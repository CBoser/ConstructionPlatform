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t BAT Format" sheetId="1" state="visible" r:id="rId1"/>
    <sheet name="Richmond BAT Format" sheetId="2" state="visible" r:id="rId2"/>
    <sheet name="Lookup 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i val="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0F0FF"/>
        <bgColor rgb="00E0F0FF"/>
      </patternFill>
    </fill>
    <fill>
      <patternFill patternType="solid">
        <fgColor rgb="00548235"/>
        <bgColor rgb="00548235"/>
      </patternFill>
    </fill>
    <fill>
      <patternFill patternType="solid">
        <fgColor rgb="00E8F5E9"/>
        <bgColor rgb="00E8F5E9"/>
      </patternFill>
    </fill>
    <fill>
      <patternFill patternType="solid">
        <fgColor rgb="007030A0"/>
        <bgColor rgb="007030A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1" fillId="4" borderId="1" applyAlignment="1" pivotButton="0" quotePrefix="0" xfId="0">
      <alignment horizontal="center"/>
    </xf>
    <xf numFmtId="0" fontId="0" fillId="5" borderId="1" pivotButton="0" quotePrefix="0" xfId="0"/>
    <xf numFmtId="0" fontId="1" fillId="6" borderId="1" applyAlignment="1" pivotButton="0" quotePrefix="0" xfId="0">
      <alignment horizontal="center"/>
    </xf>
    <xf numFmtId="164" fontId="0" fillId="7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5" customWidth="1" min="4" max="4"/>
    <col width="30" customWidth="1" min="5" max="5"/>
    <col width="12" customWidth="1" min="6" max="6"/>
    <col width="15" customWidth="1" min="7" max="7"/>
    <col width="30" customWidth="1" min="8" max="8"/>
  </cols>
  <sheetData>
    <row r="1">
      <c r="A1" s="1" t="inlineStr">
        <is>
          <t>HOLT BAT FORMAT - COPY AND PASTE TO UPDATETOOL_MARGINUPDATES SHEET</t>
        </is>
      </c>
    </row>
    <row r="2">
      <c r="A2" s="2" t="inlineStr">
        <is>
          <t>Instructions: Select all rows below (including headers) and paste to your Holt BAT</t>
        </is>
      </c>
    </row>
    <row r="3">
      <c r="A3" s="3" t="inlineStr">
        <is>
          <t>Generated: 2025-10-07 15:18:53 - 46 items</t>
        </is>
      </c>
    </row>
    <row r="4">
      <c r="A4" s="4" t="inlineStr">
        <is>
          <t>Pricing Zone</t>
        </is>
      </c>
      <c r="B4" s="4" t="inlineStr">
        <is>
          <t>Product Category</t>
        </is>
      </c>
      <c r="C4" s="4" t="inlineStr">
        <is>
          <t>Minor Category</t>
        </is>
      </c>
      <c r="D4" s="4" t="inlineStr">
        <is>
          <t>Item ID</t>
        </is>
      </c>
      <c r="E4" s="4" t="inlineStr">
        <is>
          <t>Description</t>
        </is>
      </c>
      <c r="F4" s="4" t="inlineStr">
        <is>
          <t>New Margin</t>
        </is>
      </c>
      <c r="G4" s="4" t="inlineStr">
        <is>
          <t>Price Levels</t>
        </is>
      </c>
      <c r="H4" s="4" t="inlineStr">
        <is>
          <t>Notes</t>
        </is>
      </c>
    </row>
    <row r="5">
      <c r="A5" s="5" t="inlineStr">
        <is>
          <t>PORTOR</t>
        </is>
      </c>
      <c r="B5" s="5" t="inlineStr">
        <is>
          <t>20 - ENGINEERED LBR</t>
        </is>
      </c>
      <c r="C5" s="5" t="inlineStr">
        <is>
          <t>2001 - I JOISTS</t>
        </is>
      </c>
      <c r="D5" s="5" t="inlineStr">
        <is>
          <t>ALL</t>
        </is>
      </c>
      <c r="E5" s="5" t="inlineStr"/>
      <c r="F5" s="6" t="inlineStr">
        <is>
          <t>15.0%</t>
        </is>
      </c>
      <c r="G5" s="5" t="inlineStr">
        <is>
          <t>ALL</t>
        </is>
      </c>
      <c r="H5" s="5">
        <f>IF(updatetool_MarginUpdates[[#This Row],[Item ID]]="ALL", "YES", "NO")</f>
        <v/>
      </c>
    </row>
    <row r="6">
      <c r="A6" s="5" t="inlineStr">
        <is>
          <t>PORTOR</t>
        </is>
      </c>
      <c r="B6" s="5" t="inlineStr">
        <is>
          <t>20 - ENGINEERED LBR</t>
        </is>
      </c>
      <c r="C6" s="5" t="inlineStr">
        <is>
          <t>2003 - LVL (LAMINATED VENEER LUMBER)</t>
        </is>
      </c>
      <c r="D6" s="5" t="inlineStr">
        <is>
          <t>ALL</t>
        </is>
      </c>
      <c r="E6" s="5" t="inlineStr"/>
      <c r="F6" s="6" t="inlineStr">
        <is>
          <t>15.0%</t>
        </is>
      </c>
      <c r="G6" s="5" t="inlineStr">
        <is>
          <t>ALL</t>
        </is>
      </c>
      <c r="H6" s="5">
        <f>IF(updatetool_MarginUpdates[[#This Row],[Item ID]]="ALL", "YES", "NO")</f>
        <v/>
      </c>
    </row>
    <row r="7">
      <c r="A7" s="5" t="inlineStr">
        <is>
          <t>PORTOR</t>
        </is>
      </c>
      <c r="B7" s="5" t="inlineStr">
        <is>
          <t>20 - ENGINEERED LBR</t>
        </is>
      </c>
      <c r="C7" s="5" t="inlineStr">
        <is>
          <t>2005 - RIM BOARDS</t>
        </is>
      </c>
      <c r="D7" s="5" t="inlineStr">
        <is>
          <t>ALL</t>
        </is>
      </c>
      <c r="E7" s="5" t="inlineStr"/>
      <c r="F7" s="6" t="inlineStr">
        <is>
          <t>15.0%</t>
        </is>
      </c>
      <c r="G7" s="5" t="inlineStr">
        <is>
          <t>ALL</t>
        </is>
      </c>
      <c r="H7" s="5">
        <f>IF(updatetool_MarginUpdates[[#This Row],[Item ID]]="ALL", "YES", "NO")</f>
        <v/>
      </c>
    </row>
    <row r="8">
      <c r="A8" s="5" t="inlineStr">
        <is>
          <t>PORTOR</t>
        </is>
      </c>
      <c r="B8" s="5" t="inlineStr">
        <is>
          <t>20 - ENGINEERED LBR</t>
        </is>
      </c>
      <c r="C8" s="5" t="inlineStr">
        <is>
          <t>2006 - GLULAM</t>
        </is>
      </c>
      <c r="D8" s="5" t="inlineStr">
        <is>
          <t>ALL</t>
        </is>
      </c>
      <c r="E8" s="5" t="inlineStr"/>
      <c r="F8" s="6" t="inlineStr">
        <is>
          <t>15.0%</t>
        </is>
      </c>
      <c r="G8" s="5" t="inlineStr">
        <is>
          <t>ALL</t>
        </is>
      </c>
      <c r="H8" s="5">
        <f>IF(updatetool_MarginUpdates[[#This Row],[Item ID]]="ALL", "YES", "NO")</f>
        <v/>
      </c>
    </row>
    <row r="9">
      <c r="A9" s="5" t="inlineStr">
        <is>
          <t>PORTOR</t>
        </is>
      </c>
      <c r="B9" s="5" t="inlineStr">
        <is>
          <t>20 - ENGINEERED LBR</t>
        </is>
      </c>
      <c r="C9" s="5" t="inlineStr">
        <is>
          <t>2011 - WEYERHAEUSER - I JOIST</t>
        </is>
      </c>
      <c r="D9" s="5" t="inlineStr">
        <is>
          <t>ALL</t>
        </is>
      </c>
      <c r="E9" s="5" t="inlineStr"/>
      <c r="F9" s="6" t="inlineStr">
        <is>
          <t>15.0%</t>
        </is>
      </c>
      <c r="G9" s="5" t="inlineStr">
        <is>
          <t>ALL</t>
        </is>
      </c>
      <c r="H9" s="5">
        <f>IF(updatetool_MarginUpdates[[#This Row],[Item ID]]="ALL", "YES", "NO")</f>
        <v/>
      </c>
    </row>
    <row r="10">
      <c r="A10" s="5" t="inlineStr">
        <is>
          <t>PORTOR</t>
        </is>
      </c>
      <c r="B10" s="5" t="inlineStr">
        <is>
          <t>20 - ENGINEERED LBR</t>
        </is>
      </c>
      <c r="C10" s="5" t="inlineStr">
        <is>
          <t>2012 - WEYERHAEUSER - LVL</t>
        </is>
      </c>
      <c r="D10" s="5" t="inlineStr">
        <is>
          <t>ALL</t>
        </is>
      </c>
      <c r="E10" s="5" t="inlineStr"/>
      <c r="F10" s="6" t="inlineStr">
        <is>
          <t>15.0%</t>
        </is>
      </c>
      <c r="G10" s="5" t="inlineStr">
        <is>
          <t>ALL</t>
        </is>
      </c>
      <c r="H10" s="5">
        <f>IF(updatetool_MarginUpdates[[#This Row],[Item ID]]="ALL", "YES", "NO")</f>
        <v/>
      </c>
    </row>
    <row r="11">
      <c r="A11" s="5" t="inlineStr">
        <is>
          <t>PORTOR</t>
        </is>
      </c>
      <c r="B11" s="5" t="inlineStr">
        <is>
          <t>20 - ENGINEERED LBR</t>
        </is>
      </c>
      <c r="C11" s="5" t="inlineStr">
        <is>
          <t>2013 - WEYERHAEUSER - LSL</t>
        </is>
      </c>
      <c r="D11" s="5" t="inlineStr">
        <is>
          <t>ALL</t>
        </is>
      </c>
      <c r="E11" s="5" t="inlineStr"/>
      <c r="F11" s="6" t="inlineStr">
        <is>
          <t>15.0%</t>
        </is>
      </c>
      <c r="G11" s="5" t="inlineStr">
        <is>
          <t>ALL</t>
        </is>
      </c>
      <c r="H11" s="5">
        <f>IF(updatetool_MarginUpdates[[#This Row],[Item ID]]="ALL", "YES", "NO")</f>
        <v/>
      </c>
    </row>
    <row r="12">
      <c r="A12" s="5" t="inlineStr">
        <is>
          <t>PORTOR</t>
        </is>
      </c>
      <c r="B12" s="5" t="inlineStr">
        <is>
          <t>20 - ENGINEERED LBR</t>
        </is>
      </c>
      <c r="C12" s="5" t="inlineStr">
        <is>
          <t>2031 - LOUISIANA-PACIFIC - I JOIST</t>
        </is>
      </c>
      <c r="D12" s="5" t="inlineStr">
        <is>
          <t>ALL</t>
        </is>
      </c>
      <c r="E12" s="5" t="inlineStr"/>
      <c r="F12" s="6" t="inlineStr">
        <is>
          <t>15.0%</t>
        </is>
      </c>
      <c r="G12" s="5" t="inlineStr">
        <is>
          <t>ALL</t>
        </is>
      </c>
      <c r="H12" s="5">
        <f>IF(updatetool_MarginUpdates[[#This Row],[Item ID]]="ALL", "YES", "NO")</f>
        <v/>
      </c>
    </row>
    <row r="13">
      <c r="A13" s="5" t="inlineStr">
        <is>
          <t>PORTOR</t>
        </is>
      </c>
      <c r="B13" s="5" t="inlineStr">
        <is>
          <t>20 - ENGINEERED LBR</t>
        </is>
      </c>
      <c r="C13" s="5" t="inlineStr">
        <is>
          <t>2032 - LOUISIANA-PACIFIC - LVL</t>
        </is>
      </c>
      <c r="D13" s="5" t="inlineStr">
        <is>
          <t>ALL</t>
        </is>
      </c>
      <c r="E13" s="5" t="inlineStr"/>
      <c r="F13" s="6" t="inlineStr">
        <is>
          <t>15.0%</t>
        </is>
      </c>
      <c r="G13" s="5" t="inlineStr">
        <is>
          <t>ALL</t>
        </is>
      </c>
      <c r="H13" s="5">
        <f>IF(updatetool_MarginUpdates[[#This Row],[Item ID]]="ALL", "YES", "NO")</f>
        <v/>
      </c>
    </row>
    <row r="14">
      <c r="A14" s="5" t="inlineStr">
        <is>
          <t>PORTOR</t>
        </is>
      </c>
      <c r="B14" s="5" t="inlineStr">
        <is>
          <t>20 - ENGINEERED LBR</t>
        </is>
      </c>
      <c r="C14" s="5" t="inlineStr">
        <is>
          <t>2033 - LOUISIANA-PACIFIC - LSL</t>
        </is>
      </c>
      <c r="D14" s="5" t="inlineStr">
        <is>
          <t>ALL</t>
        </is>
      </c>
      <c r="E14" s="5" t="inlineStr"/>
      <c r="F14" s="6" t="inlineStr">
        <is>
          <t>15.0%</t>
        </is>
      </c>
      <c r="G14" s="5" t="inlineStr">
        <is>
          <t>ALL</t>
        </is>
      </c>
      <c r="H14" s="5">
        <f>IF(updatetool_MarginUpdates[[#This Row],[Item ID]]="ALL", "YES", "NO")</f>
        <v/>
      </c>
    </row>
    <row r="15">
      <c r="A15" s="5" t="inlineStr">
        <is>
          <t>PORTOR</t>
        </is>
      </c>
      <c r="B15" s="5" t="inlineStr">
        <is>
          <t>20 - ENGINEERED LBR</t>
        </is>
      </c>
      <c r="C15" s="5" t="inlineStr">
        <is>
          <t>2041 - BOISE CASCADE - I JOIST</t>
        </is>
      </c>
      <c r="D15" s="5" t="inlineStr">
        <is>
          <t>ALL</t>
        </is>
      </c>
      <c r="E15" s="5" t="inlineStr"/>
      <c r="F15" s="6" t="inlineStr">
        <is>
          <t>15.0%</t>
        </is>
      </c>
      <c r="G15" s="5" t="inlineStr">
        <is>
          <t>ALL</t>
        </is>
      </c>
      <c r="H15" s="5">
        <f>IF(updatetool_MarginUpdates[[#This Row],[Item ID]]="ALL", "YES", "NO")</f>
        <v/>
      </c>
    </row>
    <row r="16">
      <c r="A16" s="5" t="inlineStr">
        <is>
          <t>PORTOR</t>
        </is>
      </c>
      <c r="B16" s="5" t="inlineStr">
        <is>
          <t>20 - ENGINEERED LBR</t>
        </is>
      </c>
      <c r="C16" s="5" t="inlineStr">
        <is>
          <t>2042 - BOISE CASCADE - LVL</t>
        </is>
      </c>
      <c r="D16" s="5" t="inlineStr">
        <is>
          <t>ALL</t>
        </is>
      </c>
      <c r="E16" s="5" t="inlineStr"/>
      <c r="F16" s="6" t="inlineStr">
        <is>
          <t>15.0%</t>
        </is>
      </c>
      <c r="G16" s="5" t="inlineStr">
        <is>
          <t>ALL</t>
        </is>
      </c>
      <c r="H16" s="5">
        <f>IF(updatetool_MarginUpdates[[#This Row],[Item ID]]="ALL", "YES", "NO")</f>
        <v/>
      </c>
    </row>
    <row r="17">
      <c r="A17" s="5" t="inlineStr">
        <is>
          <t>PORTOR</t>
        </is>
      </c>
      <c r="B17" s="5" t="inlineStr">
        <is>
          <t>20 - ENGINEERED LBR</t>
        </is>
      </c>
      <c r="C17" s="5" t="inlineStr">
        <is>
          <t>2043 - BOISE CASCADE - LSL</t>
        </is>
      </c>
      <c r="D17" s="5" t="inlineStr">
        <is>
          <t>ALL</t>
        </is>
      </c>
      <c r="E17" s="5" t="inlineStr"/>
      <c r="F17" s="6" t="inlineStr">
        <is>
          <t>15.0%</t>
        </is>
      </c>
      <c r="G17" s="5" t="inlineStr">
        <is>
          <t>ALL</t>
        </is>
      </c>
      <c r="H17" s="5">
        <f>IF(updatetool_MarginUpdates[[#This Row],[Item ID]]="ALL", "YES", "NO")</f>
        <v/>
      </c>
    </row>
    <row r="18">
      <c r="A18" s="5" t="inlineStr">
        <is>
          <t>PORTOR</t>
        </is>
      </c>
      <c r="B18" s="5" t="inlineStr">
        <is>
          <t>25 - LUMBER</t>
        </is>
      </c>
      <c r="C18" s="5" t="inlineStr">
        <is>
          <t>2510 - MISC. LUMBER</t>
        </is>
      </c>
      <c r="D18" s="5" t="inlineStr">
        <is>
          <t>2210WWP</t>
        </is>
      </c>
      <c r="E18" s="5" t="inlineStr">
        <is>
          <t>2"X2"-10' WW PRIMED</t>
        </is>
      </c>
      <c r="F18" s="6" t="inlineStr">
        <is>
          <t>16.0%</t>
        </is>
      </c>
      <c r="G18" s="5" t="inlineStr">
        <is>
          <t>ALL</t>
        </is>
      </c>
      <c r="H18" s="5">
        <f>IF(updatetool_MarginUpdates[[#This Row],[Item ID]]="ALL", "YES", "NO")</f>
        <v/>
      </c>
    </row>
    <row r="19">
      <c r="A19" s="5" t="inlineStr">
        <is>
          <t>PORTOR</t>
        </is>
      </c>
      <c r="B19" s="5" t="inlineStr">
        <is>
          <t>25 - LUMBER</t>
        </is>
      </c>
      <c r="C19" s="5" t="inlineStr">
        <is>
          <t>2510 - MISC. LUMBER</t>
        </is>
      </c>
      <c r="D19" s="5" t="inlineStr">
        <is>
          <t>2220WWP</t>
        </is>
      </c>
      <c r="E19" s="5" t="inlineStr">
        <is>
          <t>2"X2"-20' WW PRIMED</t>
        </is>
      </c>
      <c r="F19" s="6" t="inlineStr">
        <is>
          <t>16.0%</t>
        </is>
      </c>
      <c r="G19" s="5" t="inlineStr">
        <is>
          <t>ALL</t>
        </is>
      </c>
      <c r="H19" s="5">
        <f>IF(updatetool_MarginUpdates[[#This Row],[Item ID]]="ALL", "YES", "NO")</f>
        <v/>
      </c>
    </row>
    <row r="20">
      <c r="A20" s="5" t="inlineStr">
        <is>
          <t>PORTOR</t>
        </is>
      </c>
      <c r="B20" s="5" t="inlineStr">
        <is>
          <t>25 - LUMBER</t>
        </is>
      </c>
      <c r="C20" s="5" t="inlineStr">
        <is>
          <t>2510 - MISC. LUMBER</t>
        </is>
      </c>
      <c r="D20" s="5" t="inlineStr">
        <is>
          <t>2420WWP</t>
        </is>
      </c>
      <c r="E20" s="5" t="inlineStr">
        <is>
          <t>2"X4"-20' WW PRIMED</t>
        </is>
      </c>
      <c r="F20" s="6" t="inlineStr">
        <is>
          <t>16.0%</t>
        </is>
      </c>
      <c r="G20" s="5" t="inlineStr">
        <is>
          <t>ALL</t>
        </is>
      </c>
      <c r="H20" s="5">
        <f>IF(updatetool_MarginUpdates[[#This Row],[Item ID]]="ALL", "YES", "NO")</f>
        <v/>
      </c>
    </row>
    <row r="21">
      <c r="A21" s="5" t="inlineStr">
        <is>
          <t>PORTOR</t>
        </is>
      </c>
      <c r="B21" s="5" t="inlineStr">
        <is>
          <t>25 - LUMBER</t>
        </is>
      </c>
      <c r="C21" s="5" t="inlineStr">
        <is>
          <t>2510 - MISC. LUMBER</t>
        </is>
      </c>
      <c r="D21" s="5" t="inlineStr">
        <is>
          <t>2616WWP</t>
        </is>
      </c>
      <c r="E21" s="5" t="inlineStr">
        <is>
          <t>2"X6"-16' WW PRIMED</t>
        </is>
      </c>
      <c r="F21" s="6" t="inlineStr">
        <is>
          <t>16.0%</t>
        </is>
      </c>
      <c r="G21" s="5" t="inlineStr">
        <is>
          <t>ALL</t>
        </is>
      </c>
      <c r="H21" s="5">
        <f>IF(updatetool_MarginUpdates[[#This Row],[Item ID]]="ALL", "YES", "NO")</f>
        <v/>
      </c>
    </row>
    <row r="22">
      <c r="A22" s="5" t="inlineStr">
        <is>
          <t>PORTOR</t>
        </is>
      </c>
      <c r="B22" s="5" t="inlineStr">
        <is>
          <t>25 - LUMBER</t>
        </is>
      </c>
      <c r="C22" s="5" t="inlineStr">
        <is>
          <t>2510 - MISC. LUMBER</t>
        </is>
      </c>
      <c r="D22" s="5" t="inlineStr">
        <is>
          <t>2620WWP</t>
        </is>
      </c>
      <c r="E22" s="5" t="inlineStr">
        <is>
          <t>2"X6"-20' WW PRIMED</t>
        </is>
      </c>
      <c r="F22" s="6" t="inlineStr">
        <is>
          <t>16.0%</t>
        </is>
      </c>
      <c r="G22" s="5" t="inlineStr">
        <is>
          <t>ALL</t>
        </is>
      </c>
      <c r="H22" s="5">
        <f>IF(updatetool_MarginUpdates[[#This Row],[Item ID]]="ALL", "YES", "NO")</f>
        <v/>
      </c>
    </row>
    <row r="23">
      <c r="A23" s="5" t="inlineStr">
        <is>
          <t>PORTOR</t>
        </is>
      </c>
      <c r="B23" s="5" t="inlineStr">
        <is>
          <t>25 - LUMBER</t>
        </is>
      </c>
      <c r="C23" s="5" t="inlineStr">
        <is>
          <t>2510 - MISC. LUMBER</t>
        </is>
      </c>
      <c r="D23" s="5" t="inlineStr">
        <is>
          <t>2816WWP</t>
        </is>
      </c>
      <c r="E23" s="5" t="inlineStr">
        <is>
          <t>2"X8"-16' WW PRIMED</t>
        </is>
      </c>
      <c r="F23" s="6" t="inlineStr">
        <is>
          <t>16.0%</t>
        </is>
      </c>
      <c r="G23" s="5" t="inlineStr">
        <is>
          <t>ALL</t>
        </is>
      </c>
      <c r="H23" s="5">
        <f>IF(updatetool_MarginUpdates[[#This Row],[Item ID]]="ALL", "YES", "NO")</f>
        <v/>
      </c>
    </row>
    <row r="24">
      <c r="A24" s="5" t="inlineStr">
        <is>
          <t>PORTOR</t>
        </is>
      </c>
      <c r="B24" s="5" t="inlineStr">
        <is>
          <t>25 - LUMBER</t>
        </is>
      </c>
      <c r="C24" s="5" t="inlineStr">
        <is>
          <t>2510 - MISC. LUMBER</t>
        </is>
      </c>
      <c r="D24" s="5" t="inlineStr">
        <is>
          <t>2820WWP</t>
        </is>
      </c>
      <c r="E24" s="5" t="inlineStr">
        <is>
          <t>2"X8"-20' WW PRIMED</t>
        </is>
      </c>
      <c r="F24" s="6" t="inlineStr">
        <is>
          <t>16.0%</t>
        </is>
      </c>
      <c r="G24" s="5" t="inlineStr">
        <is>
          <t>ALL</t>
        </is>
      </c>
      <c r="H24" s="5">
        <f>IF(updatetool_MarginUpdates[[#This Row],[Item ID]]="ALL", "YES", "NO")</f>
        <v/>
      </c>
    </row>
    <row r="25">
      <c r="A25" s="5" t="inlineStr">
        <is>
          <t>PORTOR</t>
        </is>
      </c>
      <c r="B25" s="5" t="inlineStr">
        <is>
          <t>25 - LUMBER</t>
        </is>
      </c>
      <c r="C25" s="5" t="inlineStr">
        <is>
          <t>2510 - MISC. LUMBER</t>
        </is>
      </c>
      <c r="D25" s="5" t="inlineStr">
        <is>
          <t>21016WWP</t>
        </is>
      </c>
      <c r="E25" s="5" t="inlineStr">
        <is>
          <t>2"X10"-16' WW PRIMED</t>
        </is>
      </c>
      <c r="F25" s="6" t="inlineStr">
        <is>
          <t>16.0%</t>
        </is>
      </c>
      <c r="G25" s="5" t="inlineStr">
        <is>
          <t>ALL</t>
        </is>
      </c>
      <c r="H25" s="5">
        <f>IF(updatetool_MarginUpdates[[#This Row],[Item ID]]="ALL", "YES", "NO")</f>
        <v/>
      </c>
    </row>
    <row r="26">
      <c r="A26" s="5" t="inlineStr">
        <is>
          <t>PORTOR</t>
        </is>
      </c>
      <c r="B26" s="5" t="inlineStr">
        <is>
          <t>25 - LUMBER</t>
        </is>
      </c>
      <c r="C26" s="5" t="inlineStr">
        <is>
          <t>2510 - MISC. LUMBER</t>
        </is>
      </c>
      <c r="D26" s="5" t="inlineStr">
        <is>
          <t>21020WWP</t>
        </is>
      </c>
      <c r="E26" s="5" t="inlineStr">
        <is>
          <t>2"X10"-20' WW PRIMED</t>
        </is>
      </c>
      <c r="F26" s="6" t="inlineStr">
        <is>
          <t>16.0%</t>
        </is>
      </c>
      <c r="G26" s="5" t="inlineStr">
        <is>
          <t>ALL</t>
        </is>
      </c>
      <c r="H26" s="5">
        <f>IF(updatetool_MarginUpdates[[#This Row],[Item ID]]="ALL", "YES", "NO")</f>
        <v/>
      </c>
    </row>
    <row r="27">
      <c r="A27" s="5" t="inlineStr">
        <is>
          <t>PORTOR</t>
        </is>
      </c>
      <c r="B27" s="5" t="inlineStr">
        <is>
          <t>25 - LUMBER</t>
        </is>
      </c>
      <c r="C27" s="5" t="inlineStr">
        <is>
          <t>2510 - MISC. LUMBER</t>
        </is>
      </c>
      <c r="D27" s="5" t="inlineStr">
        <is>
          <t>21220WWP</t>
        </is>
      </c>
      <c r="E27" s="5" t="inlineStr">
        <is>
          <t>2"X12"-20' WW PRIMED</t>
        </is>
      </c>
      <c r="F27" s="6" t="inlineStr">
        <is>
          <t>16.0%</t>
        </is>
      </c>
      <c r="G27" s="5" t="inlineStr">
        <is>
          <t>ALL</t>
        </is>
      </c>
      <c r="H27" s="5">
        <f>IF(updatetool_MarginUpdates[[#This Row],[Item ID]]="ALL", "YES", "NO")</f>
        <v/>
      </c>
    </row>
    <row r="28">
      <c r="A28" s="5" t="inlineStr">
        <is>
          <t>37 - INSULATION</t>
        </is>
      </c>
      <c r="B28" s="5" t="inlineStr">
        <is>
          <t>3704 - MISC. INSULATION</t>
        </is>
      </c>
      <c r="C28" s="5" t="inlineStr">
        <is>
          <t>SS350</t>
        </is>
      </c>
      <c r="D28" s="5" t="inlineStr">
        <is>
          <t>SILL SEALER 3.5" X 50'</t>
        </is>
      </c>
      <c r="E28" s="5" t="inlineStr"/>
      <c r="F28" s="6" t="inlineStr">
        <is>
          <t>20.0%</t>
        </is>
      </c>
      <c r="G28" s="5" t="inlineStr">
        <is>
          <t>ALL</t>
        </is>
      </c>
      <c r="H28" s="5">
        <f>IF(updatetool_MarginUpdates[[#This Row],[Item ID]]="ALL", "YES", "NO")</f>
        <v/>
      </c>
    </row>
    <row r="29">
      <c r="A29" s="5" t="inlineStr">
        <is>
          <t>37 - INSULATION</t>
        </is>
      </c>
      <c r="B29" s="5" t="inlineStr">
        <is>
          <t>3704 - MISC. INSULATION</t>
        </is>
      </c>
      <c r="C29" s="5" t="inlineStr">
        <is>
          <t>SS550</t>
        </is>
      </c>
      <c r="D29" s="5" t="inlineStr">
        <is>
          <t>SILL SEALER 5.5" X 50'</t>
        </is>
      </c>
      <c r="E29" s="5" t="inlineStr"/>
      <c r="F29" s="6" t="inlineStr">
        <is>
          <t>20.0%</t>
        </is>
      </c>
      <c r="G29" s="5" t="inlineStr">
        <is>
          <t>ALL</t>
        </is>
      </c>
      <c r="H29" s="5">
        <f>IF(updatetool_MarginUpdates[[#This Row],[Item ID]]="ALL", "YES", "NO")</f>
        <v/>
      </c>
    </row>
    <row r="30">
      <c r="A30" s="5" t="inlineStr">
        <is>
          <t>37 - INSULATION</t>
        </is>
      </c>
      <c r="B30" s="5" t="inlineStr">
        <is>
          <t>3704 - MISC. INSULATION</t>
        </is>
      </c>
      <c r="C30" s="5" t="inlineStr">
        <is>
          <t>SS750</t>
        </is>
      </c>
      <c r="D30" s="5" t="inlineStr">
        <is>
          <t>SILL SEALER 7.5" X 50'</t>
        </is>
      </c>
      <c r="E30" s="5" t="inlineStr"/>
      <c r="F30" s="6" t="inlineStr">
        <is>
          <t>20.0%</t>
        </is>
      </c>
      <c r="G30" s="5" t="inlineStr">
        <is>
          <t>ALL</t>
        </is>
      </c>
      <c r="H30" s="5">
        <f>IF(updatetool_MarginUpdates[[#This Row],[Item ID]]="ALL", "YES", "NO")</f>
        <v/>
      </c>
    </row>
    <row r="31">
      <c r="A31" s="5" t="inlineStr">
        <is>
          <t>37 - INSULATION</t>
        </is>
      </c>
      <c r="B31" s="5" t="inlineStr">
        <is>
          <t>3704 - MISC. INSULATION</t>
        </is>
      </c>
      <c r="C31" s="5" t="inlineStr">
        <is>
          <t>SS850</t>
        </is>
      </c>
      <c r="D31" s="5" t="inlineStr">
        <is>
          <t>SILL SEALER 8" X 50'</t>
        </is>
      </c>
      <c r="E31" s="5" t="inlineStr"/>
      <c r="F31" s="6" t="inlineStr">
        <is>
          <t>20.0%</t>
        </is>
      </c>
      <c r="G31" s="5" t="inlineStr">
        <is>
          <t>ALL</t>
        </is>
      </c>
      <c r="H31" s="5">
        <f>IF(updatetool_MarginUpdates[[#This Row],[Item ID]]="ALL", "YES", "NO")</f>
        <v/>
      </c>
    </row>
    <row r="32">
      <c r="A32" s="5" t="inlineStr">
        <is>
          <t>PORTOR</t>
        </is>
      </c>
      <c r="B32" s="5" t="inlineStr">
        <is>
          <t>39 - SIDING</t>
        </is>
      </c>
      <c r="C32" s="5" t="inlineStr">
        <is>
          <t>3901 - PLYWOOD SIDINGS</t>
        </is>
      </c>
      <c r="D32" s="5" t="inlineStr">
        <is>
          <t>ALL</t>
        </is>
      </c>
      <c r="E32" s="5" t="inlineStr"/>
      <c r="F32" s="6" t="inlineStr">
        <is>
          <t>15.0%</t>
        </is>
      </c>
      <c r="G32" s="5" t="inlineStr">
        <is>
          <t>ALL</t>
        </is>
      </c>
      <c r="H32" s="5">
        <f>IF(updatetool_MarginUpdates[[#This Row],[Item ID]]="ALL", "YES", "NO")</f>
        <v/>
      </c>
    </row>
    <row r="33">
      <c r="A33" s="5" t="inlineStr">
        <is>
          <t>PORTOR</t>
        </is>
      </c>
      <c r="B33" s="5" t="inlineStr">
        <is>
          <t>39 - SIDING</t>
        </is>
      </c>
      <c r="C33" s="5" t="inlineStr">
        <is>
          <t>3902 - LUMBER SIDINGS</t>
        </is>
      </c>
      <c r="D33" s="5" t="inlineStr">
        <is>
          <t>ALL</t>
        </is>
      </c>
      <c r="E33" s="5" t="inlineStr"/>
      <c r="F33" s="6" t="inlineStr">
        <is>
          <t>15.0%</t>
        </is>
      </c>
      <c r="G33" s="5" t="inlineStr">
        <is>
          <t>ALL</t>
        </is>
      </c>
      <c r="H33" s="5">
        <f>IF(updatetool_MarginUpdates[[#This Row],[Item ID]]="ALL", "YES", "NO")</f>
        <v/>
      </c>
    </row>
    <row r="34">
      <c r="A34" s="5" t="inlineStr">
        <is>
          <t>PORTOR</t>
        </is>
      </c>
      <c r="B34" s="5" t="inlineStr">
        <is>
          <t>39 - SIDING</t>
        </is>
      </c>
      <c r="C34" s="5" t="inlineStr">
        <is>
          <t>3903 - VINYL/ALUMINUM SIDINGS</t>
        </is>
      </c>
      <c r="D34" s="5" t="inlineStr">
        <is>
          <t>ALL</t>
        </is>
      </c>
      <c r="E34" s="5" t="inlineStr"/>
      <c r="F34" s="6" t="inlineStr">
        <is>
          <t>15.0%</t>
        </is>
      </c>
      <c r="G34" s="5" t="inlineStr">
        <is>
          <t>ALL</t>
        </is>
      </c>
      <c r="H34" s="5">
        <f>IF(updatetool_MarginUpdates[[#This Row],[Item ID]]="ALL", "YES", "NO")</f>
        <v/>
      </c>
    </row>
    <row r="35">
      <c r="A35" s="5" t="inlineStr">
        <is>
          <t>PORTOR</t>
        </is>
      </c>
      <c r="B35" s="5" t="inlineStr">
        <is>
          <t>39 - SIDING</t>
        </is>
      </c>
      <c r="C35" s="5" t="inlineStr">
        <is>
          <t>3904 - FIBER CEMENT SIDING/HARDI</t>
        </is>
      </c>
      <c r="D35" s="5" t="inlineStr">
        <is>
          <t>ALL</t>
        </is>
      </c>
      <c r="E35" s="5" t="inlineStr"/>
      <c r="F35" s="6" t="inlineStr">
        <is>
          <t>15.0%</t>
        </is>
      </c>
      <c r="G35" s="5" t="inlineStr">
        <is>
          <t>ALL</t>
        </is>
      </c>
      <c r="H35" s="5">
        <f>IF(updatetool_MarginUpdates[[#This Row],[Item ID]]="ALL", "YES", "NO")</f>
        <v/>
      </c>
    </row>
    <row r="36">
      <c r="A36" s="5" t="inlineStr">
        <is>
          <t>PORTOR</t>
        </is>
      </c>
      <c r="B36" s="5" t="inlineStr">
        <is>
          <t>39 - SIDING</t>
        </is>
      </c>
      <c r="C36" s="5" t="inlineStr">
        <is>
          <t>3905 - HARDBOARD SIDINGS</t>
        </is>
      </c>
      <c r="D36" s="5" t="inlineStr">
        <is>
          <t>ALL</t>
        </is>
      </c>
      <c r="E36" s="5" t="inlineStr"/>
      <c r="F36" s="6" t="inlineStr">
        <is>
          <t>15.0%</t>
        </is>
      </c>
      <c r="G36" s="5" t="inlineStr">
        <is>
          <t>ALL</t>
        </is>
      </c>
      <c r="H36" s="5">
        <f>IF(updatetool_MarginUpdates[[#This Row],[Item ID]]="ALL", "YES", "NO")</f>
        <v/>
      </c>
    </row>
    <row r="37">
      <c r="A37" s="5" t="inlineStr">
        <is>
          <t>PORTOR</t>
        </is>
      </c>
      <c r="B37" s="5" t="inlineStr">
        <is>
          <t>39 - SIDING</t>
        </is>
      </c>
      <c r="C37" s="5" t="inlineStr">
        <is>
          <t>3906 - MISC. SIDINGS</t>
        </is>
      </c>
      <c r="D37" s="5" t="inlineStr">
        <is>
          <t>ALL</t>
        </is>
      </c>
      <c r="E37" s="5" t="inlineStr"/>
      <c r="F37" s="6" t="inlineStr">
        <is>
          <t>15.0%</t>
        </is>
      </c>
      <c r="G37" s="5" t="inlineStr">
        <is>
          <t>ALL</t>
        </is>
      </c>
      <c r="H37" s="5">
        <f>IF(updatetool_MarginUpdates[[#This Row],[Item ID]]="ALL", "YES", "NO")</f>
        <v/>
      </c>
    </row>
    <row r="38">
      <c r="A38" s="5" t="inlineStr">
        <is>
          <t>PORTOR</t>
        </is>
      </c>
      <c r="B38" s="5" t="inlineStr">
        <is>
          <t>40 - EXTERIOR TRIM</t>
        </is>
      </c>
      <c r="C38" s="5" t="inlineStr">
        <is>
          <t>4001 - SPRUCE BOARDS</t>
        </is>
      </c>
      <c r="D38" s="5" t="inlineStr">
        <is>
          <t>ALL</t>
        </is>
      </c>
      <c r="E38" s="5" t="inlineStr"/>
      <c r="F38" s="6" t="inlineStr">
        <is>
          <t>15.0%</t>
        </is>
      </c>
      <c r="G38" s="5" t="inlineStr">
        <is>
          <t>ALL</t>
        </is>
      </c>
      <c r="H38" s="5">
        <f>IF(updatetool_MarginUpdates[[#This Row],[Item ID]]="ALL", "YES", "NO")</f>
        <v/>
      </c>
    </row>
    <row r="39">
      <c r="A39" s="5" t="inlineStr">
        <is>
          <t>PORTOR</t>
        </is>
      </c>
      <c r="B39" s="5" t="inlineStr">
        <is>
          <t>40 - EXTERIOR TRIM</t>
        </is>
      </c>
      <c r="C39" s="5" t="inlineStr">
        <is>
          <t>4002 - FIR/LARCH BOARDS</t>
        </is>
      </c>
      <c r="D39" s="5" t="inlineStr">
        <is>
          <t>ALL</t>
        </is>
      </c>
      <c r="E39" s="5" t="inlineStr"/>
      <c r="F39" s="6" t="inlineStr">
        <is>
          <t>15.0%</t>
        </is>
      </c>
      <c r="G39" s="5" t="inlineStr">
        <is>
          <t>ALL</t>
        </is>
      </c>
      <c r="H39" s="5">
        <f>IF(updatetool_MarginUpdates[[#This Row],[Item ID]]="ALL", "YES", "NO")</f>
        <v/>
      </c>
    </row>
    <row r="40">
      <c r="A40" s="5" t="inlineStr">
        <is>
          <t>PORTOR</t>
        </is>
      </c>
      <c r="B40" s="5" t="inlineStr">
        <is>
          <t>40 - EXTERIOR TRIM</t>
        </is>
      </c>
      <c r="C40" s="5" t="inlineStr">
        <is>
          <t>4003 - PINE BOARDS</t>
        </is>
      </c>
      <c r="D40" s="5" t="inlineStr">
        <is>
          <t>ALL</t>
        </is>
      </c>
      <c r="E40" s="5" t="inlineStr"/>
      <c r="F40" s="6" t="inlineStr">
        <is>
          <t>15.0%</t>
        </is>
      </c>
      <c r="G40" s="5" t="inlineStr">
        <is>
          <t>ALL</t>
        </is>
      </c>
      <c r="H40" s="5">
        <f>IF(updatetool_MarginUpdates[[#This Row],[Item ID]]="ALL", "YES", "NO")</f>
        <v/>
      </c>
    </row>
    <row r="41">
      <c r="A41" s="5" t="inlineStr">
        <is>
          <t>PORTOR</t>
        </is>
      </c>
      <c r="B41" s="5" t="inlineStr">
        <is>
          <t>40 - EXTERIOR TRIM</t>
        </is>
      </c>
      <c r="C41" s="5" t="inlineStr">
        <is>
          <t>4005 - HARDWOOD BOARDS</t>
        </is>
      </c>
      <c r="D41" s="5" t="inlineStr">
        <is>
          <t>ALL</t>
        </is>
      </c>
      <c r="E41" s="5" t="inlineStr"/>
      <c r="F41" s="6" t="inlineStr">
        <is>
          <t>15.0%</t>
        </is>
      </c>
      <c r="G41" s="5" t="inlineStr">
        <is>
          <t>ALL</t>
        </is>
      </c>
      <c r="H41" s="5">
        <f>IF(updatetool_MarginUpdates[[#This Row],[Item ID]]="ALL", "YES", "NO")</f>
        <v/>
      </c>
    </row>
    <row r="42">
      <c r="A42" s="5" t="inlineStr">
        <is>
          <t>PORTOR</t>
        </is>
      </c>
      <c r="B42" s="5" t="inlineStr">
        <is>
          <t>40 - EXTERIOR TRIM</t>
        </is>
      </c>
      <c r="C42" s="5" t="inlineStr">
        <is>
          <t>4006 - SYNBOARD/PVC TRIM</t>
        </is>
      </c>
      <c r="D42" s="5" t="inlineStr">
        <is>
          <t>ALL</t>
        </is>
      </c>
      <c r="E42" s="5" t="inlineStr"/>
      <c r="F42" s="6" t="inlineStr">
        <is>
          <t>15.0%</t>
        </is>
      </c>
      <c r="G42" s="5" t="inlineStr">
        <is>
          <t>ALL</t>
        </is>
      </c>
      <c r="H42" s="5">
        <f>IF(updatetool_MarginUpdates[[#This Row],[Item ID]]="ALL", "YES", "NO")</f>
        <v/>
      </c>
    </row>
    <row r="43">
      <c r="A43" s="5" t="inlineStr">
        <is>
          <t>PORTOR</t>
        </is>
      </c>
      <c r="B43" s="5" t="inlineStr">
        <is>
          <t>40 - EXTERIOR TRIM</t>
        </is>
      </c>
      <c r="C43" s="5" t="inlineStr">
        <is>
          <t>4009 - CEDAR/CYPRESS BOARDS</t>
        </is>
      </c>
      <c r="D43" s="5" t="inlineStr">
        <is>
          <t>ALL</t>
        </is>
      </c>
      <c r="E43" s="5" t="inlineStr"/>
      <c r="F43" s="6" t="inlineStr">
        <is>
          <t>15.0%</t>
        </is>
      </c>
      <c r="G43" s="5" t="inlineStr">
        <is>
          <t>ALL</t>
        </is>
      </c>
      <c r="H43" s="5">
        <f>IF(updatetool_MarginUpdates[[#This Row],[Item ID]]="ALL", "YES", "NO")</f>
        <v/>
      </c>
    </row>
    <row r="44">
      <c r="A44" s="5" t="inlineStr">
        <is>
          <t>PORTOR</t>
        </is>
      </c>
      <c r="B44" s="5" t="inlineStr">
        <is>
          <t>40 - EXTERIOR TRIM</t>
        </is>
      </c>
      <c r="C44" s="5" t="inlineStr">
        <is>
          <t>4011 - EXTERIOR LOUVERS</t>
        </is>
      </c>
      <c r="D44" s="5" t="inlineStr">
        <is>
          <t>ALL</t>
        </is>
      </c>
      <c r="E44" s="5" t="inlineStr"/>
      <c r="F44" s="6" t="inlineStr">
        <is>
          <t>15.0%</t>
        </is>
      </c>
      <c r="G44" s="5" t="inlineStr">
        <is>
          <t>ALL</t>
        </is>
      </c>
      <c r="H44" s="5">
        <f>IF(updatetool_MarginUpdates[[#This Row],[Item ID]]="ALL", "YES", "NO")</f>
        <v/>
      </c>
    </row>
    <row r="45">
      <c r="A45" s="5" t="inlineStr">
        <is>
          <t>PORTOR</t>
        </is>
      </c>
      <c r="B45" s="5" t="inlineStr">
        <is>
          <t>40 - EXTERIOR TRIM</t>
        </is>
      </c>
      <c r="C45" s="5" t="inlineStr">
        <is>
          <t>4015 - MISC. EXTERIOR TRIM</t>
        </is>
      </c>
      <c r="D45" s="5" t="inlineStr">
        <is>
          <t>ALL</t>
        </is>
      </c>
      <c r="E45" s="5" t="inlineStr"/>
      <c r="F45" s="6" t="inlineStr">
        <is>
          <t>15.0%</t>
        </is>
      </c>
      <c r="G45" s="5" t="inlineStr">
        <is>
          <t>ALL</t>
        </is>
      </c>
      <c r="H45" s="5">
        <f>IF(updatetool_MarginUpdates[[#This Row],[Item ID]]="ALL", "YES", "NO")</f>
        <v/>
      </c>
    </row>
    <row r="46">
      <c r="A46" s="5" t="inlineStr">
        <is>
          <t>PORTOR</t>
        </is>
      </c>
      <c r="B46" s="5" t="inlineStr">
        <is>
          <t>42 - MISC BUILDING MATERIALS</t>
        </is>
      </c>
      <c r="C46" s="5" t="inlineStr">
        <is>
          <t>4203 - ADHESIVES &amp; SEALANTS</t>
        </is>
      </c>
      <c r="D46" s="5" t="inlineStr">
        <is>
          <t>ALL</t>
        </is>
      </c>
      <c r="E46" s="5" t="inlineStr"/>
      <c r="F46" s="6" t="inlineStr">
        <is>
          <t>17.0%</t>
        </is>
      </c>
      <c r="G46" s="5" t="inlineStr">
        <is>
          <t>ALL</t>
        </is>
      </c>
      <c r="H46" s="5">
        <f>IF(updatetool_MarginUpdates[[#This Row],[Item ID]]="ALL", "YES", "NO")</f>
        <v/>
      </c>
    </row>
    <row r="47">
      <c r="A47" s="5" t="inlineStr">
        <is>
          <t>PORTOR</t>
        </is>
      </c>
      <c r="B47" s="5" t="inlineStr">
        <is>
          <t>42 - MISC BUILDING MATERIALS</t>
        </is>
      </c>
      <c r="C47" s="5" t="inlineStr">
        <is>
          <t>4206 - VENTS/FLASHING/GUTTER</t>
        </is>
      </c>
      <c r="D47" s="5" t="inlineStr">
        <is>
          <t>ALL</t>
        </is>
      </c>
      <c r="E47" s="5" t="inlineStr"/>
      <c r="F47" s="6" t="inlineStr">
        <is>
          <t>25.0%</t>
        </is>
      </c>
      <c r="G47" s="5" t="inlineStr">
        <is>
          <t>ALL</t>
        </is>
      </c>
      <c r="H47" s="5">
        <f>IF(updatetool_MarginUpdates[[#This Row],[Item ID]]="ALL", "YES", "NO")</f>
        <v/>
      </c>
    </row>
    <row r="48">
      <c r="A48" s="5" t="inlineStr">
        <is>
          <t>PORTOR</t>
        </is>
      </c>
      <c r="B48" s="5" t="inlineStr">
        <is>
          <t>45 - HARDWARE/TOOLS</t>
        </is>
      </c>
      <c r="C48" s="5" t="inlineStr">
        <is>
          <t>4502 - CONNECTR,HANGERS,TIES,ANCHORS</t>
        </is>
      </c>
      <c r="D48" s="5" t="inlineStr">
        <is>
          <t>ALL</t>
        </is>
      </c>
      <c r="E48" s="5" t="inlineStr"/>
      <c r="F48" s="6" t="inlineStr">
        <is>
          <t>25.0%</t>
        </is>
      </c>
      <c r="G48" s="5" t="inlineStr">
        <is>
          <t>ALL</t>
        </is>
      </c>
      <c r="H48" s="5">
        <f>IF(updatetool_MarginUpdates[[#This Row],[Item ID]]="ALL", "YES", "NO")</f>
        <v/>
      </c>
    </row>
    <row r="49">
      <c r="A49" s="5" t="inlineStr">
        <is>
          <t>PORTOR</t>
        </is>
      </c>
      <c r="B49" s="5" t="inlineStr">
        <is>
          <t>45 - HARDWARE/TOOLS</t>
        </is>
      </c>
      <c r="C49" s="5" t="inlineStr">
        <is>
          <t>4504 - HAND DRIVN FASTNR (NAILS,SCRW</t>
        </is>
      </c>
      <c r="D49" s="5" t="inlineStr">
        <is>
          <t>ALL</t>
        </is>
      </c>
      <c r="E49" s="5" t="inlineStr"/>
      <c r="F49" s="6" t="inlineStr">
        <is>
          <t>25.0%</t>
        </is>
      </c>
      <c r="G49" s="5" t="inlineStr">
        <is>
          <t>ALL</t>
        </is>
      </c>
      <c r="H49" s="5">
        <f>IF(updatetool_MarginUpdates[[#This Row],[Item ID]]="ALL", "YES", "NO")</f>
        <v/>
      </c>
    </row>
    <row r="50">
      <c r="A50" s="5" t="inlineStr">
        <is>
          <t>PORTOR</t>
        </is>
      </c>
      <c r="B50" s="5" t="inlineStr">
        <is>
          <t>45 - HARDWARE/TOOLS</t>
        </is>
      </c>
      <c r="C50" s="5" t="inlineStr">
        <is>
          <t>4505 - PNEUMATIC FASTENERS, ACCESSORI</t>
        </is>
      </c>
      <c r="D50" s="5" t="inlineStr">
        <is>
          <t>ALL</t>
        </is>
      </c>
      <c r="E50" s="5" t="inlineStr"/>
      <c r="F50" s="6" t="inlineStr">
        <is>
          <t>25.0%</t>
        </is>
      </c>
      <c r="G50" s="5" t="inlineStr">
        <is>
          <t>ALL</t>
        </is>
      </c>
      <c r="H50" s="5">
        <f>IF(updatetool_MarginUpdates[[#This Row],[Item ID]]="ALL", "YES", "NO")</f>
        <v/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5" customWidth="1" min="4" max="4"/>
    <col width="30" customWidth="1" min="5" max="5"/>
    <col width="12" customWidth="1" min="6" max="6"/>
    <col width="15" customWidth="1" min="7" max="7"/>
    <col width="30" customWidth="1" min="8" max="8"/>
  </cols>
  <sheetData>
    <row r="1">
      <c r="A1" s="1" t="inlineStr">
        <is>
          <t>RICHMOND BAT FORMAT - COPY AND PASTE TO MARGINS TO CHANGE SHEET</t>
        </is>
      </c>
    </row>
    <row r="2">
      <c r="A2" s="2" t="inlineStr">
        <is>
          <t>Instructions: Select all rows below (including headers) and paste to your Richmond BAT</t>
        </is>
      </c>
    </row>
    <row r="3">
      <c r="A3" s="3" t="inlineStr">
        <is>
          <t>Generated: 2025-10-07 15:18:53 - 46 items</t>
        </is>
      </c>
    </row>
    <row r="4">
      <c r="A4" s="7" t="inlineStr">
        <is>
          <t>Pricing Zone</t>
        </is>
      </c>
      <c r="B4" s="7" t="inlineStr">
        <is>
          <t>Product Category</t>
        </is>
      </c>
      <c r="C4" s="7" t="inlineStr">
        <is>
          <t>Minor Category</t>
        </is>
      </c>
      <c r="D4" s="7" t="inlineStr">
        <is>
          <t>Item ID</t>
        </is>
      </c>
      <c r="E4" s="7" t="inlineStr">
        <is>
          <t>Description</t>
        </is>
      </c>
      <c r="F4" s="7" t="inlineStr">
        <is>
          <t>New Margin</t>
        </is>
      </c>
      <c r="G4" s="7" t="inlineStr">
        <is>
          <t>Price Levels</t>
        </is>
      </c>
      <c r="H4" s="7" t="inlineStr">
        <is>
          <t>Notes</t>
        </is>
      </c>
    </row>
    <row r="5">
      <c r="A5" s="5" t="inlineStr">
        <is>
          <t>PORTOR</t>
        </is>
      </c>
      <c r="B5" s="5" t="inlineStr">
        <is>
          <t>20 - ENGINEERED LBR</t>
        </is>
      </c>
      <c r="C5" s="5" t="inlineStr">
        <is>
          <t>2001 - I JOISTS</t>
        </is>
      </c>
      <c r="D5" s="5" t="inlineStr">
        <is>
          <t>ALL</t>
        </is>
      </c>
      <c r="E5" s="5" t="inlineStr"/>
      <c r="F5" s="8" t="inlineStr">
        <is>
          <t>15.0%</t>
        </is>
      </c>
      <c r="G5" s="5" t="inlineStr">
        <is>
          <t>ALL</t>
        </is>
      </c>
      <c r="H5" s="5">
        <f>IF(updatetool_MarginUpdates[[#This Row],[Item ID]]="ALL", "YES", "NO")</f>
        <v/>
      </c>
    </row>
    <row r="6">
      <c r="A6" s="5" t="inlineStr">
        <is>
          <t>PORTOR</t>
        </is>
      </c>
      <c r="B6" s="5" t="inlineStr">
        <is>
          <t>20 - ENGINEERED LBR</t>
        </is>
      </c>
      <c r="C6" s="5" t="inlineStr">
        <is>
          <t>2003 - LVL (LAMINATED VENEER LUMBER)</t>
        </is>
      </c>
      <c r="D6" s="5" t="inlineStr">
        <is>
          <t>ALL</t>
        </is>
      </c>
      <c r="E6" s="5" t="inlineStr"/>
      <c r="F6" s="8" t="inlineStr">
        <is>
          <t>15.0%</t>
        </is>
      </c>
      <c r="G6" s="5" t="inlineStr">
        <is>
          <t>ALL</t>
        </is>
      </c>
      <c r="H6" s="5">
        <f>IF(updatetool_MarginUpdates[[#This Row],[Item ID]]="ALL", "YES", "NO")</f>
        <v/>
      </c>
    </row>
    <row r="7">
      <c r="A7" s="5" t="inlineStr">
        <is>
          <t>PORTOR</t>
        </is>
      </c>
      <c r="B7" s="5" t="inlineStr">
        <is>
          <t>20 - ENGINEERED LBR</t>
        </is>
      </c>
      <c r="C7" s="5" t="inlineStr">
        <is>
          <t>2005 - RIM BOARDS</t>
        </is>
      </c>
      <c r="D7" s="5" t="inlineStr">
        <is>
          <t>ALL</t>
        </is>
      </c>
      <c r="E7" s="5" t="inlineStr"/>
      <c r="F7" s="8" t="inlineStr">
        <is>
          <t>15.0%</t>
        </is>
      </c>
      <c r="G7" s="5" t="inlineStr">
        <is>
          <t>ALL</t>
        </is>
      </c>
      <c r="H7" s="5">
        <f>IF(updatetool_MarginUpdates[[#This Row],[Item ID]]="ALL", "YES", "NO")</f>
        <v/>
      </c>
    </row>
    <row r="8">
      <c r="A8" s="5" t="inlineStr">
        <is>
          <t>PORTOR</t>
        </is>
      </c>
      <c r="B8" s="5" t="inlineStr">
        <is>
          <t>20 - ENGINEERED LBR</t>
        </is>
      </c>
      <c r="C8" s="5" t="inlineStr">
        <is>
          <t>2006 - GLULAM</t>
        </is>
      </c>
      <c r="D8" s="5" t="inlineStr">
        <is>
          <t>ALL</t>
        </is>
      </c>
      <c r="E8" s="5" t="inlineStr"/>
      <c r="F8" s="8" t="inlineStr">
        <is>
          <t>15.0%</t>
        </is>
      </c>
      <c r="G8" s="5" t="inlineStr">
        <is>
          <t>ALL</t>
        </is>
      </c>
      <c r="H8" s="5">
        <f>IF(updatetool_MarginUpdates[[#This Row],[Item ID]]="ALL", "YES", "NO")</f>
        <v/>
      </c>
    </row>
    <row r="9">
      <c r="A9" s="5" t="inlineStr">
        <is>
          <t>PORTOR</t>
        </is>
      </c>
      <c r="B9" s="5" t="inlineStr">
        <is>
          <t>20 - ENGINEERED LBR</t>
        </is>
      </c>
      <c r="C9" s="5" t="inlineStr">
        <is>
          <t>2011 - WEYERHAEUSER - I JOIST</t>
        </is>
      </c>
      <c r="D9" s="5" t="inlineStr">
        <is>
          <t>ALL</t>
        </is>
      </c>
      <c r="E9" s="5" t="inlineStr"/>
      <c r="F9" s="8" t="inlineStr">
        <is>
          <t>15.0%</t>
        </is>
      </c>
      <c r="G9" s="5" t="inlineStr">
        <is>
          <t>ALL</t>
        </is>
      </c>
      <c r="H9" s="5">
        <f>IF(updatetool_MarginUpdates[[#This Row],[Item ID]]="ALL", "YES", "NO")</f>
        <v/>
      </c>
    </row>
    <row r="10">
      <c r="A10" s="5" t="inlineStr">
        <is>
          <t>PORTOR</t>
        </is>
      </c>
      <c r="B10" s="5" t="inlineStr">
        <is>
          <t>20 - ENGINEERED LBR</t>
        </is>
      </c>
      <c r="C10" s="5" t="inlineStr">
        <is>
          <t>2012 - WEYERHAEUSER - LVL</t>
        </is>
      </c>
      <c r="D10" s="5" t="inlineStr">
        <is>
          <t>ALL</t>
        </is>
      </c>
      <c r="E10" s="5" t="inlineStr"/>
      <c r="F10" s="8" t="inlineStr">
        <is>
          <t>15.0%</t>
        </is>
      </c>
      <c r="G10" s="5" t="inlineStr">
        <is>
          <t>ALL</t>
        </is>
      </c>
      <c r="H10" s="5">
        <f>IF(updatetool_MarginUpdates[[#This Row],[Item ID]]="ALL", "YES", "NO")</f>
        <v/>
      </c>
    </row>
    <row r="11">
      <c r="A11" s="5" t="inlineStr">
        <is>
          <t>PORTOR</t>
        </is>
      </c>
      <c r="B11" s="5" t="inlineStr">
        <is>
          <t>20 - ENGINEERED LBR</t>
        </is>
      </c>
      <c r="C11" s="5" t="inlineStr">
        <is>
          <t>2013 - WEYERHAEUSER - LSL</t>
        </is>
      </c>
      <c r="D11" s="5" t="inlineStr">
        <is>
          <t>ALL</t>
        </is>
      </c>
      <c r="E11" s="5" t="inlineStr"/>
      <c r="F11" s="8" t="inlineStr">
        <is>
          <t>15.0%</t>
        </is>
      </c>
      <c r="G11" s="5" t="inlineStr">
        <is>
          <t>ALL</t>
        </is>
      </c>
      <c r="H11" s="5">
        <f>IF(updatetool_MarginUpdates[[#This Row],[Item ID]]="ALL", "YES", "NO")</f>
        <v/>
      </c>
    </row>
    <row r="12">
      <c r="A12" s="5" t="inlineStr">
        <is>
          <t>PORTOR</t>
        </is>
      </c>
      <c r="B12" s="5" t="inlineStr">
        <is>
          <t>20 - ENGINEERED LBR</t>
        </is>
      </c>
      <c r="C12" s="5" t="inlineStr">
        <is>
          <t>2031 - LOUISIANA-PACIFIC - I JOIST</t>
        </is>
      </c>
      <c r="D12" s="5" t="inlineStr">
        <is>
          <t>ALL</t>
        </is>
      </c>
      <c r="E12" s="5" t="inlineStr"/>
      <c r="F12" s="8" t="inlineStr">
        <is>
          <t>15.0%</t>
        </is>
      </c>
      <c r="G12" s="5" t="inlineStr">
        <is>
          <t>ALL</t>
        </is>
      </c>
      <c r="H12" s="5">
        <f>IF(updatetool_MarginUpdates[[#This Row],[Item ID]]="ALL", "YES", "NO")</f>
        <v/>
      </c>
    </row>
    <row r="13">
      <c r="A13" s="5" t="inlineStr">
        <is>
          <t>PORTOR</t>
        </is>
      </c>
      <c r="B13" s="5" t="inlineStr">
        <is>
          <t>20 - ENGINEERED LBR</t>
        </is>
      </c>
      <c r="C13" s="5" t="inlineStr">
        <is>
          <t>2032 - LOUISIANA-PACIFIC - LVL</t>
        </is>
      </c>
      <c r="D13" s="5" t="inlineStr">
        <is>
          <t>ALL</t>
        </is>
      </c>
      <c r="E13" s="5" t="inlineStr"/>
      <c r="F13" s="8" t="inlineStr">
        <is>
          <t>15.0%</t>
        </is>
      </c>
      <c r="G13" s="5" t="inlineStr">
        <is>
          <t>ALL</t>
        </is>
      </c>
      <c r="H13" s="5">
        <f>IF(updatetool_MarginUpdates[[#This Row],[Item ID]]="ALL", "YES", "NO")</f>
        <v/>
      </c>
    </row>
    <row r="14">
      <c r="A14" s="5" t="inlineStr">
        <is>
          <t>PORTOR</t>
        </is>
      </c>
      <c r="B14" s="5" t="inlineStr">
        <is>
          <t>20 - ENGINEERED LBR</t>
        </is>
      </c>
      <c r="C14" s="5" t="inlineStr">
        <is>
          <t>2033 - LOUISIANA-PACIFIC - LSL</t>
        </is>
      </c>
      <c r="D14" s="5" t="inlineStr">
        <is>
          <t>ALL</t>
        </is>
      </c>
      <c r="E14" s="5" t="inlineStr"/>
      <c r="F14" s="8" t="inlineStr">
        <is>
          <t>15.0%</t>
        </is>
      </c>
      <c r="G14" s="5" t="inlineStr">
        <is>
          <t>ALL</t>
        </is>
      </c>
      <c r="H14" s="5">
        <f>IF(updatetool_MarginUpdates[[#This Row],[Item ID]]="ALL", "YES", "NO")</f>
        <v/>
      </c>
    </row>
    <row r="15">
      <c r="A15" s="5" t="inlineStr">
        <is>
          <t>PORTOR</t>
        </is>
      </c>
      <c r="B15" s="5" t="inlineStr">
        <is>
          <t>20 - ENGINEERED LBR</t>
        </is>
      </c>
      <c r="C15" s="5" t="inlineStr">
        <is>
          <t>2041 - BOISE CASCADE - I JOIST</t>
        </is>
      </c>
      <c r="D15" s="5" t="inlineStr">
        <is>
          <t>ALL</t>
        </is>
      </c>
      <c r="E15" s="5" t="inlineStr"/>
      <c r="F15" s="8" t="inlineStr">
        <is>
          <t>15.0%</t>
        </is>
      </c>
      <c r="G15" s="5" t="inlineStr">
        <is>
          <t>ALL</t>
        </is>
      </c>
      <c r="H15" s="5">
        <f>IF(updatetool_MarginUpdates[[#This Row],[Item ID]]="ALL", "YES", "NO")</f>
        <v/>
      </c>
    </row>
    <row r="16">
      <c r="A16" s="5" t="inlineStr">
        <is>
          <t>PORTOR</t>
        </is>
      </c>
      <c r="B16" s="5" t="inlineStr">
        <is>
          <t>20 - ENGINEERED LBR</t>
        </is>
      </c>
      <c r="C16" s="5" t="inlineStr">
        <is>
          <t>2042 - BOISE CASCADE - LVL</t>
        </is>
      </c>
      <c r="D16" s="5" t="inlineStr">
        <is>
          <t>ALL</t>
        </is>
      </c>
      <c r="E16" s="5" t="inlineStr"/>
      <c r="F16" s="8" t="inlineStr">
        <is>
          <t>15.0%</t>
        </is>
      </c>
      <c r="G16" s="5" t="inlineStr">
        <is>
          <t>ALL</t>
        </is>
      </c>
      <c r="H16" s="5">
        <f>IF(updatetool_MarginUpdates[[#This Row],[Item ID]]="ALL", "YES", "NO")</f>
        <v/>
      </c>
    </row>
    <row r="17">
      <c r="A17" s="5" t="inlineStr">
        <is>
          <t>PORTOR</t>
        </is>
      </c>
      <c r="B17" s="5" t="inlineStr">
        <is>
          <t>20 - ENGINEERED LBR</t>
        </is>
      </c>
      <c r="C17" s="5" t="inlineStr">
        <is>
          <t>2043 - BOISE CASCADE - LSL</t>
        </is>
      </c>
      <c r="D17" s="5" t="inlineStr">
        <is>
          <t>ALL</t>
        </is>
      </c>
      <c r="E17" s="5" t="inlineStr"/>
      <c r="F17" s="8" t="inlineStr">
        <is>
          <t>15.0%</t>
        </is>
      </c>
      <c r="G17" s="5" t="inlineStr">
        <is>
          <t>ALL</t>
        </is>
      </c>
      <c r="H17" s="5">
        <f>IF(updatetool_MarginUpdates[[#This Row],[Item ID]]="ALL", "YES", "NO")</f>
        <v/>
      </c>
    </row>
    <row r="18">
      <c r="A18" s="5" t="inlineStr">
        <is>
          <t>PORTOR</t>
        </is>
      </c>
      <c r="B18" s="5" t="inlineStr">
        <is>
          <t>25 - LUMBER</t>
        </is>
      </c>
      <c r="C18" s="5" t="inlineStr">
        <is>
          <t>2510 - MISC. LUMBER</t>
        </is>
      </c>
      <c r="D18" s="5" t="inlineStr">
        <is>
          <t>2210WWP</t>
        </is>
      </c>
      <c r="E18" s="5" t="inlineStr">
        <is>
          <t>2"X2"-10' WW PRIMED</t>
        </is>
      </c>
      <c r="F18" s="8" t="inlineStr">
        <is>
          <t>16.0%</t>
        </is>
      </c>
      <c r="G18" s="5" t="inlineStr">
        <is>
          <t>ALL</t>
        </is>
      </c>
      <c r="H18" s="5">
        <f>IF(updatetool_MarginUpdates[[#This Row],[Item ID]]="ALL", "YES", "NO")</f>
        <v/>
      </c>
    </row>
    <row r="19">
      <c r="A19" s="5" t="inlineStr">
        <is>
          <t>PORTOR</t>
        </is>
      </c>
      <c r="B19" s="5" t="inlineStr">
        <is>
          <t>25 - LUMBER</t>
        </is>
      </c>
      <c r="C19" s="5" t="inlineStr">
        <is>
          <t>2510 - MISC. LUMBER</t>
        </is>
      </c>
      <c r="D19" s="5" t="inlineStr">
        <is>
          <t>2220WWP</t>
        </is>
      </c>
      <c r="E19" s="5" t="inlineStr">
        <is>
          <t>2"X2"-20' WW PRIMED</t>
        </is>
      </c>
      <c r="F19" s="8" t="inlineStr">
        <is>
          <t>16.0%</t>
        </is>
      </c>
      <c r="G19" s="5" t="inlineStr">
        <is>
          <t>ALL</t>
        </is>
      </c>
      <c r="H19" s="5">
        <f>IF(updatetool_MarginUpdates[[#This Row],[Item ID]]="ALL", "YES", "NO")</f>
        <v/>
      </c>
    </row>
    <row r="20">
      <c r="A20" s="5" t="inlineStr">
        <is>
          <t>PORTOR</t>
        </is>
      </c>
      <c r="B20" s="5" t="inlineStr">
        <is>
          <t>25 - LUMBER</t>
        </is>
      </c>
      <c r="C20" s="5" t="inlineStr">
        <is>
          <t>2510 - MISC. LUMBER</t>
        </is>
      </c>
      <c r="D20" s="5" t="inlineStr">
        <is>
          <t>2420WWP</t>
        </is>
      </c>
      <c r="E20" s="5" t="inlineStr">
        <is>
          <t>2"X4"-20' WW PRIMED</t>
        </is>
      </c>
      <c r="F20" s="8" t="inlineStr">
        <is>
          <t>16.0%</t>
        </is>
      </c>
      <c r="G20" s="5" t="inlineStr">
        <is>
          <t>ALL</t>
        </is>
      </c>
      <c r="H20" s="5">
        <f>IF(updatetool_MarginUpdates[[#This Row],[Item ID]]="ALL", "YES", "NO")</f>
        <v/>
      </c>
    </row>
    <row r="21">
      <c r="A21" s="5" t="inlineStr">
        <is>
          <t>PORTOR</t>
        </is>
      </c>
      <c r="B21" s="5" t="inlineStr">
        <is>
          <t>25 - LUMBER</t>
        </is>
      </c>
      <c r="C21" s="5" t="inlineStr">
        <is>
          <t>2510 - MISC. LUMBER</t>
        </is>
      </c>
      <c r="D21" s="5" t="inlineStr">
        <is>
          <t>2616WWP</t>
        </is>
      </c>
      <c r="E21" s="5" t="inlineStr">
        <is>
          <t>2"X6"-16' WW PRIMED</t>
        </is>
      </c>
      <c r="F21" s="8" t="inlineStr">
        <is>
          <t>16.0%</t>
        </is>
      </c>
      <c r="G21" s="5" t="inlineStr">
        <is>
          <t>ALL</t>
        </is>
      </c>
      <c r="H21" s="5">
        <f>IF(updatetool_MarginUpdates[[#This Row],[Item ID]]="ALL", "YES", "NO")</f>
        <v/>
      </c>
    </row>
    <row r="22">
      <c r="A22" s="5" t="inlineStr">
        <is>
          <t>PORTOR</t>
        </is>
      </c>
      <c r="B22" s="5" t="inlineStr">
        <is>
          <t>25 - LUMBER</t>
        </is>
      </c>
      <c r="C22" s="5" t="inlineStr">
        <is>
          <t>2510 - MISC. LUMBER</t>
        </is>
      </c>
      <c r="D22" s="5" t="inlineStr">
        <is>
          <t>2620WWP</t>
        </is>
      </c>
      <c r="E22" s="5" t="inlineStr">
        <is>
          <t>2"X6"-20' WW PRIMED</t>
        </is>
      </c>
      <c r="F22" s="8" t="inlineStr">
        <is>
          <t>16.0%</t>
        </is>
      </c>
      <c r="G22" s="5" t="inlineStr">
        <is>
          <t>ALL</t>
        </is>
      </c>
      <c r="H22" s="5">
        <f>IF(updatetool_MarginUpdates[[#This Row],[Item ID]]="ALL", "YES", "NO")</f>
        <v/>
      </c>
    </row>
    <row r="23">
      <c r="A23" s="5" t="inlineStr">
        <is>
          <t>PORTOR</t>
        </is>
      </c>
      <c r="B23" s="5" t="inlineStr">
        <is>
          <t>25 - LUMBER</t>
        </is>
      </c>
      <c r="C23" s="5" t="inlineStr">
        <is>
          <t>2510 - MISC. LUMBER</t>
        </is>
      </c>
      <c r="D23" s="5" t="inlineStr">
        <is>
          <t>2816WWP</t>
        </is>
      </c>
      <c r="E23" s="5" t="inlineStr">
        <is>
          <t>2"X8"-16' WW PRIMED</t>
        </is>
      </c>
      <c r="F23" s="8" t="inlineStr">
        <is>
          <t>16.0%</t>
        </is>
      </c>
      <c r="G23" s="5" t="inlineStr">
        <is>
          <t>ALL</t>
        </is>
      </c>
      <c r="H23" s="5">
        <f>IF(updatetool_MarginUpdates[[#This Row],[Item ID]]="ALL", "YES", "NO")</f>
        <v/>
      </c>
    </row>
    <row r="24">
      <c r="A24" s="5" t="inlineStr">
        <is>
          <t>PORTOR</t>
        </is>
      </c>
      <c r="B24" s="5" t="inlineStr">
        <is>
          <t>25 - LUMBER</t>
        </is>
      </c>
      <c r="C24" s="5" t="inlineStr">
        <is>
          <t>2510 - MISC. LUMBER</t>
        </is>
      </c>
      <c r="D24" s="5" t="inlineStr">
        <is>
          <t>2820WWP</t>
        </is>
      </c>
      <c r="E24" s="5" t="inlineStr">
        <is>
          <t>2"X8"-20' WW PRIMED</t>
        </is>
      </c>
      <c r="F24" s="8" t="inlineStr">
        <is>
          <t>16.0%</t>
        </is>
      </c>
      <c r="G24" s="5" t="inlineStr">
        <is>
          <t>ALL</t>
        </is>
      </c>
      <c r="H24" s="5">
        <f>IF(updatetool_MarginUpdates[[#This Row],[Item ID]]="ALL", "YES", "NO")</f>
        <v/>
      </c>
    </row>
    <row r="25">
      <c r="A25" s="5" t="inlineStr">
        <is>
          <t>PORTOR</t>
        </is>
      </c>
      <c r="B25" s="5" t="inlineStr">
        <is>
          <t>25 - LUMBER</t>
        </is>
      </c>
      <c r="C25" s="5" t="inlineStr">
        <is>
          <t>2510 - MISC. LUMBER</t>
        </is>
      </c>
      <c r="D25" s="5" t="inlineStr">
        <is>
          <t>21016WWP</t>
        </is>
      </c>
      <c r="E25" s="5" t="inlineStr">
        <is>
          <t>2"X10"-16' WW PRIMED</t>
        </is>
      </c>
      <c r="F25" s="8" t="inlineStr">
        <is>
          <t>16.0%</t>
        </is>
      </c>
      <c r="G25" s="5" t="inlineStr">
        <is>
          <t>ALL</t>
        </is>
      </c>
      <c r="H25" s="5">
        <f>IF(updatetool_MarginUpdates[[#This Row],[Item ID]]="ALL", "YES", "NO")</f>
        <v/>
      </c>
    </row>
    <row r="26">
      <c r="A26" s="5" t="inlineStr">
        <is>
          <t>PORTOR</t>
        </is>
      </c>
      <c r="B26" s="5" t="inlineStr">
        <is>
          <t>25 - LUMBER</t>
        </is>
      </c>
      <c r="C26" s="5" t="inlineStr">
        <is>
          <t>2510 - MISC. LUMBER</t>
        </is>
      </c>
      <c r="D26" s="5" t="inlineStr">
        <is>
          <t>21020WWP</t>
        </is>
      </c>
      <c r="E26" s="5" t="inlineStr">
        <is>
          <t>2"X10"-20' WW PRIMED</t>
        </is>
      </c>
      <c r="F26" s="8" t="inlineStr">
        <is>
          <t>16.0%</t>
        </is>
      </c>
      <c r="G26" s="5" t="inlineStr">
        <is>
          <t>ALL</t>
        </is>
      </c>
      <c r="H26" s="5">
        <f>IF(updatetool_MarginUpdates[[#This Row],[Item ID]]="ALL", "YES", "NO")</f>
        <v/>
      </c>
    </row>
    <row r="27">
      <c r="A27" s="5" t="inlineStr">
        <is>
          <t>PORTOR</t>
        </is>
      </c>
      <c r="B27" s="5" t="inlineStr">
        <is>
          <t>25 - LUMBER</t>
        </is>
      </c>
      <c r="C27" s="5" t="inlineStr">
        <is>
          <t>2510 - MISC. LUMBER</t>
        </is>
      </c>
      <c r="D27" s="5" t="inlineStr">
        <is>
          <t>21220WWP</t>
        </is>
      </c>
      <c r="E27" s="5" t="inlineStr">
        <is>
          <t>2"X12"-20' WW PRIMED</t>
        </is>
      </c>
      <c r="F27" s="8" t="inlineStr">
        <is>
          <t>16.0%</t>
        </is>
      </c>
      <c r="G27" s="5" t="inlineStr">
        <is>
          <t>ALL</t>
        </is>
      </c>
      <c r="H27" s="5">
        <f>IF(updatetool_MarginUpdates[[#This Row],[Item ID]]="ALL", "YES", "NO")</f>
        <v/>
      </c>
    </row>
    <row r="28">
      <c r="A28" s="5" t="inlineStr">
        <is>
          <t>37 - INSULATION</t>
        </is>
      </c>
      <c r="B28" s="5" t="inlineStr">
        <is>
          <t>3704 - MISC. INSULATION</t>
        </is>
      </c>
      <c r="C28" s="5" t="inlineStr">
        <is>
          <t>SS350</t>
        </is>
      </c>
      <c r="D28" s="5" t="inlineStr">
        <is>
          <t>SILL SEALER 3.5" X 50'</t>
        </is>
      </c>
      <c r="E28" s="5" t="inlineStr"/>
      <c r="F28" s="8" t="inlineStr">
        <is>
          <t>20.0%</t>
        </is>
      </c>
      <c r="G28" s="5" t="inlineStr">
        <is>
          <t>ALL</t>
        </is>
      </c>
      <c r="H28" s="5">
        <f>IF(updatetool_MarginUpdates[[#This Row],[Item ID]]="ALL", "YES", "NO")</f>
        <v/>
      </c>
    </row>
    <row r="29">
      <c r="A29" s="5" t="inlineStr">
        <is>
          <t>37 - INSULATION</t>
        </is>
      </c>
      <c r="B29" s="5" t="inlineStr">
        <is>
          <t>3704 - MISC. INSULATION</t>
        </is>
      </c>
      <c r="C29" s="5" t="inlineStr">
        <is>
          <t>SS550</t>
        </is>
      </c>
      <c r="D29" s="5" t="inlineStr">
        <is>
          <t>SILL SEALER 5.5" X 50'</t>
        </is>
      </c>
      <c r="E29" s="5" t="inlineStr"/>
      <c r="F29" s="8" t="inlineStr">
        <is>
          <t>20.0%</t>
        </is>
      </c>
      <c r="G29" s="5" t="inlineStr">
        <is>
          <t>ALL</t>
        </is>
      </c>
      <c r="H29" s="5">
        <f>IF(updatetool_MarginUpdates[[#This Row],[Item ID]]="ALL", "YES", "NO")</f>
        <v/>
      </c>
    </row>
    <row r="30">
      <c r="A30" s="5" t="inlineStr">
        <is>
          <t>37 - INSULATION</t>
        </is>
      </c>
      <c r="B30" s="5" t="inlineStr">
        <is>
          <t>3704 - MISC. INSULATION</t>
        </is>
      </c>
      <c r="C30" s="5" t="inlineStr">
        <is>
          <t>SS750</t>
        </is>
      </c>
      <c r="D30" s="5" t="inlineStr">
        <is>
          <t>SILL SEALER 7.5" X 50'</t>
        </is>
      </c>
      <c r="E30" s="5" t="inlineStr"/>
      <c r="F30" s="8" t="inlineStr">
        <is>
          <t>20.0%</t>
        </is>
      </c>
      <c r="G30" s="5" t="inlineStr">
        <is>
          <t>ALL</t>
        </is>
      </c>
      <c r="H30" s="5">
        <f>IF(updatetool_MarginUpdates[[#This Row],[Item ID]]="ALL", "YES", "NO")</f>
        <v/>
      </c>
    </row>
    <row r="31">
      <c r="A31" s="5" t="inlineStr">
        <is>
          <t>37 - INSULATION</t>
        </is>
      </c>
      <c r="B31" s="5" t="inlineStr">
        <is>
          <t>3704 - MISC. INSULATION</t>
        </is>
      </c>
      <c r="C31" s="5" t="inlineStr">
        <is>
          <t>SS850</t>
        </is>
      </c>
      <c r="D31" s="5" t="inlineStr">
        <is>
          <t>SILL SEALER 8" X 50'</t>
        </is>
      </c>
      <c r="E31" s="5" t="inlineStr"/>
      <c r="F31" s="8" t="inlineStr">
        <is>
          <t>20.0%</t>
        </is>
      </c>
      <c r="G31" s="5" t="inlineStr">
        <is>
          <t>ALL</t>
        </is>
      </c>
      <c r="H31" s="5">
        <f>IF(updatetool_MarginUpdates[[#This Row],[Item ID]]="ALL", "YES", "NO")</f>
        <v/>
      </c>
    </row>
    <row r="32">
      <c r="A32" s="5" t="inlineStr">
        <is>
          <t>PORTOR</t>
        </is>
      </c>
      <c r="B32" s="5" t="inlineStr">
        <is>
          <t>39 - SIDING</t>
        </is>
      </c>
      <c r="C32" s="5" t="inlineStr">
        <is>
          <t>3901 - PLYWOOD SIDINGS</t>
        </is>
      </c>
      <c r="D32" s="5" t="inlineStr">
        <is>
          <t>ALL</t>
        </is>
      </c>
      <c r="E32" s="5" t="inlineStr"/>
      <c r="F32" s="8" t="inlineStr">
        <is>
          <t>15.0%</t>
        </is>
      </c>
      <c r="G32" s="5" t="inlineStr">
        <is>
          <t>ALL</t>
        </is>
      </c>
      <c r="H32" s="5">
        <f>IF(updatetool_MarginUpdates[[#This Row],[Item ID]]="ALL", "YES", "NO")</f>
        <v/>
      </c>
    </row>
    <row r="33">
      <c r="A33" s="5" t="inlineStr">
        <is>
          <t>PORTOR</t>
        </is>
      </c>
      <c r="B33" s="5" t="inlineStr">
        <is>
          <t>39 - SIDING</t>
        </is>
      </c>
      <c r="C33" s="5" t="inlineStr">
        <is>
          <t>3902 - LUMBER SIDINGS</t>
        </is>
      </c>
      <c r="D33" s="5" t="inlineStr">
        <is>
          <t>ALL</t>
        </is>
      </c>
      <c r="E33" s="5" t="inlineStr"/>
      <c r="F33" s="8" t="inlineStr">
        <is>
          <t>15.0%</t>
        </is>
      </c>
      <c r="G33" s="5" t="inlineStr">
        <is>
          <t>ALL</t>
        </is>
      </c>
      <c r="H33" s="5">
        <f>IF(updatetool_MarginUpdates[[#This Row],[Item ID]]="ALL", "YES", "NO")</f>
        <v/>
      </c>
    </row>
    <row r="34">
      <c r="A34" s="5" t="inlineStr">
        <is>
          <t>PORTOR</t>
        </is>
      </c>
      <c r="B34" s="5" t="inlineStr">
        <is>
          <t>39 - SIDING</t>
        </is>
      </c>
      <c r="C34" s="5" t="inlineStr">
        <is>
          <t>3903 - VINYL/ALUMINUM SIDINGS</t>
        </is>
      </c>
      <c r="D34" s="5" t="inlineStr">
        <is>
          <t>ALL</t>
        </is>
      </c>
      <c r="E34" s="5" t="inlineStr"/>
      <c r="F34" s="8" t="inlineStr">
        <is>
          <t>15.0%</t>
        </is>
      </c>
      <c r="G34" s="5" t="inlineStr">
        <is>
          <t>ALL</t>
        </is>
      </c>
      <c r="H34" s="5">
        <f>IF(updatetool_MarginUpdates[[#This Row],[Item ID]]="ALL", "YES", "NO")</f>
        <v/>
      </c>
    </row>
    <row r="35">
      <c r="A35" s="5" t="inlineStr">
        <is>
          <t>PORTOR</t>
        </is>
      </c>
      <c r="B35" s="5" t="inlineStr">
        <is>
          <t>39 - SIDING</t>
        </is>
      </c>
      <c r="C35" s="5" t="inlineStr">
        <is>
          <t>3904 - FIBER CEMENT SIDING/HARDI</t>
        </is>
      </c>
      <c r="D35" s="5" t="inlineStr">
        <is>
          <t>ALL</t>
        </is>
      </c>
      <c r="E35" s="5" t="inlineStr"/>
      <c r="F35" s="8" t="inlineStr">
        <is>
          <t>15.0%</t>
        </is>
      </c>
      <c r="G35" s="5" t="inlineStr">
        <is>
          <t>ALL</t>
        </is>
      </c>
      <c r="H35" s="5">
        <f>IF(updatetool_MarginUpdates[[#This Row],[Item ID]]="ALL", "YES", "NO")</f>
        <v/>
      </c>
    </row>
    <row r="36">
      <c r="A36" s="5" t="inlineStr">
        <is>
          <t>PORTOR</t>
        </is>
      </c>
      <c r="B36" s="5" t="inlineStr">
        <is>
          <t>39 - SIDING</t>
        </is>
      </c>
      <c r="C36" s="5" t="inlineStr">
        <is>
          <t>3905 - HARDBOARD SIDINGS</t>
        </is>
      </c>
      <c r="D36" s="5" t="inlineStr">
        <is>
          <t>ALL</t>
        </is>
      </c>
      <c r="E36" s="5" t="inlineStr"/>
      <c r="F36" s="8" t="inlineStr">
        <is>
          <t>15.0%</t>
        </is>
      </c>
      <c r="G36" s="5" t="inlineStr">
        <is>
          <t>ALL</t>
        </is>
      </c>
      <c r="H36" s="5">
        <f>IF(updatetool_MarginUpdates[[#This Row],[Item ID]]="ALL", "YES", "NO")</f>
        <v/>
      </c>
    </row>
    <row r="37">
      <c r="A37" s="5" t="inlineStr">
        <is>
          <t>PORTOR</t>
        </is>
      </c>
      <c r="B37" s="5" t="inlineStr">
        <is>
          <t>39 - SIDING</t>
        </is>
      </c>
      <c r="C37" s="5" t="inlineStr">
        <is>
          <t>3906 - MISC. SIDINGS</t>
        </is>
      </c>
      <c r="D37" s="5" t="inlineStr">
        <is>
          <t>ALL</t>
        </is>
      </c>
      <c r="E37" s="5" t="inlineStr"/>
      <c r="F37" s="8" t="inlineStr">
        <is>
          <t>15.0%</t>
        </is>
      </c>
      <c r="G37" s="5" t="inlineStr">
        <is>
          <t>ALL</t>
        </is>
      </c>
      <c r="H37" s="5">
        <f>IF(updatetool_MarginUpdates[[#This Row],[Item ID]]="ALL", "YES", "NO")</f>
        <v/>
      </c>
    </row>
    <row r="38">
      <c r="A38" s="5" t="inlineStr">
        <is>
          <t>PORTOR</t>
        </is>
      </c>
      <c r="B38" s="5" t="inlineStr">
        <is>
          <t>40 - EXTERIOR TRIM</t>
        </is>
      </c>
      <c r="C38" s="5" t="inlineStr">
        <is>
          <t>4001 - SPRUCE BOARDS</t>
        </is>
      </c>
      <c r="D38" s="5" t="inlineStr">
        <is>
          <t>ALL</t>
        </is>
      </c>
      <c r="E38" s="5" t="inlineStr"/>
      <c r="F38" s="8" t="inlineStr">
        <is>
          <t>15.0%</t>
        </is>
      </c>
      <c r="G38" s="5" t="inlineStr">
        <is>
          <t>ALL</t>
        </is>
      </c>
      <c r="H38" s="5">
        <f>IF(updatetool_MarginUpdates[[#This Row],[Item ID]]="ALL", "YES", "NO")</f>
        <v/>
      </c>
    </row>
    <row r="39">
      <c r="A39" s="5" t="inlineStr">
        <is>
          <t>PORTOR</t>
        </is>
      </c>
      <c r="B39" s="5" t="inlineStr">
        <is>
          <t>40 - EXTERIOR TRIM</t>
        </is>
      </c>
      <c r="C39" s="5" t="inlineStr">
        <is>
          <t>4002 - FIR/LARCH BOARDS</t>
        </is>
      </c>
      <c r="D39" s="5" t="inlineStr">
        <is>
          <t>ALL</t>
        </is>
      </c>
      <c r="E39" s="5" t="inlineStr"/>
      <c r="F39" s="8" t="inlineStr">
        <is>
          <t>15.0%</t>
        </is>
      </c>
      <c r="G39" s="5" t="inlineStr">
        <is>
          <t>ALL</t>
        </is>
      </c>
      <c r="H39" s="5">
        <f>IF(updatetool_MarginUpdates[[#This Row],[Item ID]]="ALL", "YES", "NO")</f>
        <v/>
      </c>
    </row>
    <row r="40">
      <c r="A40" s="5" t="inlineStr">
        <is>
          <t>PORTOR</t>
        </is>
      </c>
      <c r="B40" s="5" t="inlineStr">
        <is>
          <t>40 - EXTERIOR TRIM</t>
        </is>
      </c>
      <c r="C40" s="5" t="inlineStr">
        <is>
          <t>4003 - PINE BOARDS</t>
        </is>
      </c>
      <c r="D40" s="5" t="inlineStr">
        <is>
          <t>ALL</t>
        </is>
      </c>
      <c r="E40" s="5" t="inlineStr"/>
      <c r="F40" s="8" t="inlineStr">
        <is>
          <t>15.0%</t>
        </is>
      </c>
      <c r="G40" s="5" t="inlineStr">
        <is>
          <t>ALL</t>
        </is>
      </c>
      <c r="H40" s="5">
        <f>IF(updatetool_MarginUpdates[[#This Row],[Item ID]]="ALL", "YES", "NO")</f>
        <v/>
      </c>
    </row>
    <row r="41">
      <c r="A41" s="5" t="inlineStr">
        <is>
          <t>PORTOR</t>
        </is>
      </c>
      <c r="B41" s="5" t="inlineStr">
        <is>
          <t>40 - EXTERIOR TRIM</t>
        </is>
      </c>
      <c r="C41" s="5" t="inlineStr">
        <is>
          <t>4005 - HARDWOOD BOARDS</t>
        </is>
      </c>
      <c r="D41" s="5" t="inlineStr">
        <is>
          <t>ALL</t>
        </is>
      </c>
      <c r="E41" s="5" t="inlineStr"/>
      <c r="F41" s="8" t="inlineStr">
        <is>
          <t>15.0%</t>
        </is>
      </c>
      <c r="G41" s="5" t="inlineStr">
        <is>
          <t>ALL</t>
        </is>
      </c>
      <c r="H41" s="5">
        <f>IF(updatetool_MarginUpdates[[#This Row],[Item ID]]="ALL", "YES", "NO")</f>
        <v/>
      </c>
    </row>
    <row r="42">
      <c r="A42" s="5" t="inlineStr">
        <is>
          <t>PORTOR</t>
        </is>
      </c>
      <c r="B42" s="5" t="inlineStr">
        <is>
          <t>40 - EXTERIOR TRIM</t>
        </is>
      </c>
      <c r="C42" s="5" t="inlineStr">
        <is>
          <t>4006 - SYNBOARD/PVC TRIM</t>
        </is>
      </c>
      <c r="D42" s="5" t="inlineStr">
        <is>
          <t>ALL</t>
        </is>
      </c>
      <c r="E42" s="5" t="inlineStr"/>
      <c r="F42" s="8" t="inlineStr">
        <is>
          <t>15.0%</t>
        </is>
      </c>
      <c r="G42" s="5" t="inlineStr">
        <is>
          <t>ALL</t>
        </is>
      </c>
      <c r="H42" s="5">
        <f>IF(updatetool_MarginUpdates[[#This Row],[Item ID]]="ALL", "YES", "NO")</f>
        <v/>
      </c>
    </row>
    <row r="43">
      <c r="A43" s="5" t="inlineStr">
        <is>
          <t>PORTOR</t>
        </is>
      </c>
      <c r="B43" s="5" t="inlineStr">
        <is>
          <t>40 - EXTERIOR TRIM</t>
        </is>
      </c>
      <c r="C43" s="5" t="inlineStr">
        <is>
          <t>4009 - CEDAR/CYPRESS BOARDS</t>
        </is>
      </c>
      <c r="D43" s="5" t="inlineStr">
        <is>
          <t>ALL</t>
        </is>
      </c>
      <c r="E43" s="5" t="inlineStr"/>
      <c r="F43" s="8" t="inlineStr">
        <is>
          <t>15.0%</t>
        </is>
      </c>
      <c r="G43" s="5" t="inlineStr">
        <is>
          <t>ALL</t>
        </is>
      </c>
      <c r="H43" s="5">
        <f>IF(updatetool_MarginUpdates[[#This Row],[Item ID]]="ALL", "YES", "NO")</f>
        <v/>
      </c>
    </row>
    <row r="44">
      <c r="A44" s="5" t="inlineStr">
        <is>
          <t>PORTOR</t>
        </is>
      </c>
      <c r="B44" s="5" t="inlineStr">
        <is>
          <t>40 - EXTERIOR TRIM</t>
        </is>
      </c>
      <c r="C44" s="5" t="inlineStr">
        <is>
          <t>4011 - EXTERIOR LOUVERS</t>
        </is>
      </c>
      <c r="D44" s="5" t="inlineStr">
        <is>
          <t>ALL</t>
        </is>
      </c>
      <c r="E44" s="5" t="inlineStr"/>
      <c r="F44" s="8" t="inlineStr">
        <is>
          <t>15.0%</t>
        </is>
      </c>
      <c r="G44" s="5" t="inlineStr">
        <is>
          <t>ALL</t>
        </is>
      </c>
      <c r="H44" s="5">
        <f>IF(updatetool_MarginUpdates[[#This Row],[Item ID]]="ALL", "YES", "NO")</f>
        <v/>
      </c>
    </row>
    <row r="45">
      <c r="A45" s="5" t="inlineStr">
        <is>
          <t>PORTOR</t>
        </is>
      </c>
      <c r="B45" s="5" t="inlineStr">
        <is>
          <t>40 - EXTERIOR TRIM</t>
        </is>
      </c>
      <c r="C45" s="5" t="inlineStr">
        <is>
          <t>4015 - MISC. EXTERIOR TRIM</t>
        </is>
      </c>
      <c r="D45" s="5" t="inlineStr">
        <is>
          <t>ALL</t>
        </is>
      </c>
      <c r="E45" s="5" t="inlineStr"/>
      <c r="F45" s="8" t="inlineStr">
        <is>
          <t>15.0%</t>
        </is>
      </c>
      <c r="G45" s="5" t="inlineStr">
        <is>
          <t>ALL</t>
        </is>
      </c>
      <c r="H45" s="5">
        <f>IF(updatetool_MarginUpdates[[#This Row],[Item ID]]="ALL", "YES", "NO")</f>
        <v/>
      </c>
    </row>
    <row r="46">
      <c r="A46" s="5" t="inlineStr">
        <is>
          <t>PORTOR</t>
        </is>
      </c>
      <c r="B46" s="5" t="inlineStr">
        <is>
          <t>42 - MISC BUILDING MATERIALS</t>
        </is>
      </c>
      <c r="C46" s="5" t="inlineStr">
        <is>
          <t>4203 - ADHESIVES &amp; SEALANTS</t>
        </is>
      </c>
      <c r="D46" s="5" t="inlineStr">
        <is>
          <t>ALL</t>
        </is>
      </c>
      <c r="E46" s="5" t="inlineStr"/>
      <c r="F46" s="8" t="inlineStr">
        <is>
          <t>17.0%</t>
        </is>
      </c>
      <c r="G46" s="5" t="inlineStr">
        <is>
          <t>ALL</t>
        </is>
      </c>
      <c r="H46" s="5">
        <f>IF(updatetool_MarginUpdates[[#This Row],[Item ID]]="ALL", "YES", "NO")</f>
        <v/>
      </c>
    </row>
    <row r="47">
      <c r="A47" s="5" t="inlineStr">
        <is>
          <t>PORTOR</t>
        </is>
      </c>
      <c r="B47" s="5" t="inlineStr">
        <is>
          <t>42 - MISC BUILDING MATERIALS</t>
        </is>
      </c>
      <c r="C47" s="5" t="inlineStr">
        <is>
          <t>4206 - VENTS/FLASHING/GUTTER</t>
        </is>
      </c>
      <c r="D47" s="5" t="inlineStr">
        <is>
          <t>ALL</t>
        </is>
      </c>
      <c r="E47" s="5" t="inlineStr"/>
      <c r="F47" s="8" t="inlineStr">
        <is>
          <t>25.0%</t>
        </is>
      </c>
      <c r="G47" s="5" t="inlineStr">
        <is>
          <t>ALL</t>
        </is>
      </c>
      <c r="H47" s="5">
        <f>IF(updatetool_MarginUpdates[[#This Row],[Item ID]]="ALL", "YES", "NO")</f>
        <v/>
      </c>
    </row>
    <row r="48">
      <c r="A48" s="5" t="inlineStr">
        <is>
          <t>PORTOR</t>
        </is>
      </c>
      <c r="B48" s="5" t="inlineStr">
        <is>
          <t>45 - HARDWARE/TOOLS</t>
        </is>
      </c>
      <c r="C48" s="5" t="inlineStr">
        <is>
          <t>4502 - CONNECTR,HANGERS,TIES,ANCHORS</t>
        </is>
      </c>
      <c r="D48" s="5" t="inlineStr">
        <is>
          <t>ALL</t>
        </is>
      </c>
      <c r="E48" s="5" t="inlineStr"/>
      <c r="F48" s="8" t="inlineStr">
        <is>
          <t>25.0%</t>
        </is>
      </c>
      <c r="G48" s="5" t="inlineStr">
        <is>
          <t>ALL</t>
        </is>
      </c>
      <c r="H48" s="5">
        <f>IF(updatetool_MarginUpdates[[#This Row],[Item ID]]="ALL", "YES", "NO")</f>
        <v/>
      </c>
    </row>
    <row r="49">
      <c r="A49" s="5" t="inlineStr">
        <is>
          <t>PORTOR</t>
        </is>
      </c>
      <c r="B49" s="5" t="inlineStr">
        <is>
          <t>45 - HARDWARE/TOOLS</t>
        </is>
      </c>
      <c r="C49" s="5" t="inlineStr">
        <is>
          <t>4504 - HAND DRIVN FASTNR (NAILS,SCRW</t>
        </is>
      </c>
      <c r="D49" s="5" t="inlineStr">
        <is>
          <t>ALL</t>
        </is>
      </c>
      <c r="E49" s="5" t="inlineStr"/>
      <c r="F49" s="8" t="inlineStr">
        <is>
          <t>25.0%</t>
        </is>
      </c>
      <c r="G49" s="5" t="inlineStr">
        <is>
          <t>ALL</t>
        </is>
      </c>
      <c r="H49" s="5">
        <f>IF(updatetool_MarginUpdates[[#This Row],[Item ID]]="ALL", "YES", "NO")</f>
        <v/>
      </c>
    </row>
    <row r="50">
      <c r="A50" s="5" t="inlineStr">
        <is>
          <t>PORTOR</t>
        </is>
      </c>
      <c r="B50" s="5" t="inlineStr">
        <is>
          <t>45 - HARDWARE/TOOLS</t>
        </is>
      </c>
      <c r="C50" s="5" t="inlineStr">
        <is>
          <t>4505 - PNEUMATIC FASTENERS, ACCESSORI</t>
        </is>
      </c>
      <c r="D50" s="5" t="inlineStr">
        <is>
          <t>ALL</t>
        </is>
      </c>
      <c r="E50" s="5" t="inlineStr"/>
      <c r="F50" s="8" t="inlineStr">
        <is>
          <t>25.0%</t>
        </is>
      </c>
      <c r="G50" s="5" t="inlineStr">
        <is>
          <t>ALL</t>
        </is>
      </c>
      <c r="H50" s="5">
        <f>IF(updatetool_MarginUpdates[[#This Row],[Item ID]]="ALL", "YES", "NO")</f>
        <v/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5" customWidth="1" min="4" max="4"/>
    <col width="30" customWidth="1" min="5" max="5"/>
    <col width="15" customWidth="1" min="6" max="6"/>
    <col width="12" customWidth="1" min="7" max="7"/>
    <col width="15" customWidth="1" min="8" max="8"/>
    <col width="30" customWidth="1" min="9" max="9"/>
  </cols>
  <sheetData>
    <row r="1">
      <c r="A1" s="9" t="inlineStr">
        <is>
          <t>Pricing Zone</t>
        </is>
      </c>
      <c r="B1" s="9" t="inlineStr">
        <is>
          <t>Product Category</t>
        </is>
      </c>
      <c r="C1" s="9" t="inlineStr">
        <is>
          <t>Minor Category</t>
        </is>
      </c>
      <c r="D1" s="9" t="inlineStr">
        <is>
          <t>Item ID</t>
        </is>
      </c>
      <c r="E1" s="9" t="inlineStr">
        <is>
          <t>Description</t>
        </is>
      </c>
      <c r="F1" s="9" t="inlineStr">
        <is>
          <t>Base Cost</t>
        </is>
      </c>
      <c r="G1" s="9" t="inlineStr">
        <is>
          <t>New Margin</t>
        </is>
      </c>
      <c r="H1" s="9" t="inlineStr">
        <is>
          <t>New Sell Price</t>
        </is>
      </c>
      <c r="I1" s="9" t="inlineStr">
        <is>
          <t>Notes</t>
        </is>
      </c>
    </row>
    <row r="2">
      <c r="A2" s="2" t="inlineStr">
        <is>
          <t>This sheet is for reference only. Enter base costs to see calculated sell prices.</t>
        </is>
      </c>
    </row>
    <row r="3">
      <c r="A3" s="5" t="inlineStr">
        <is>
          <t>PORTOR</t>
        </is>
      </c>
      <c r="B3" s="5" t="inlineStr">
        <is>
          <t>20 - ENGINEERED LBR</t>
        </is>
      </c>
      <c r="C3" s="5" t="inlineStr">
        <is>
          <t>2001 - I JOISTS</t>
        </is>
      </c>
      <c r="D3" s="5" t="inlineStr">
        <is>
          <t>ALL</t>
        </is>
      </c>
      <c r="E3" s="5" t="inlineStr"/>
      <c r="F3" s="10" t="n"/>
      <c r="G3" s="5" t="inlineStr">
        <is>
          <t>15.0%</t>
        </is>
      </c>
      <c r="H3" s="11">
        <f>IF(F3&gt;0,F3/(1-0.15),"")</f>
        <v/>
      </c>
      <c r="I3" s="5">
        <f>IF(updatetool_MarginUpdates[[#This Row],[Item ID]]="ALL", "YES", "NO")</f>
        <v/>
      </c>
    </row>
    <row r="4">
      <c r="A4" s="5" t="inlineStr">
        <is>
          <t>PORTOR</t>
        </is>
      </c>
      <c r="B4" s="5" t="inlineStr">
        <is>
          <t>20 - ENGINEERED LBR</t>
        </is>
      </c>
      <c r="C4" s="5" t="inlineStr">
        <is>
          <t>2003 - LVL (LAMINATED VENEER LUMBER)</t>
        </is>
      </c>
      <c r="D4" s="5" t="inlineStr">
        <is>
          <t>ALL</t>
        </is>
      </c>
      <c r="E4" s="5" t="inlineStr"/>
      <c r="F4" s="10" t="n"/>
      <c r="G4" s="5" t="inlineStr">
        <is>
          <t>15.0%</t>
        </is>
      </c>
      <c r="H4" s="11">
        <f>IF(F4&gt;0,F4/(1-0.15),"")</f>
        <v/>
      </c>
      <c r="I4" s="5">
        <f>IF(updatetool_MarginUpdates[[#This Row],[Item ID]]="ALL", "YES", "NO")</f>
        <v/>
      </c>
    </row>
    <row r="5">
      <c r="A5" s="5" t="inlineStr">
        <is>
          <t>PORTOR</t>
        </is>
      </c>
      <c r="B5" s="5" t="inlineStr">
        <is>
          <t>20 - ENGINEERED LBR</t>
        </is>
      </c>
      <c r="C5" s="5" t="inlineStr">
        <is>
          <t>2005 - RIM BOARDS</t>
        </is>
      </c>
      <c r="D5" s="5" t="inlineStr">
        <is>
          <t>ALL</t>
        </is>
      </c>
      <c r="E5" s="5" t="inlineStr"/>
      <c r="F5" s="10" t="n"/>
      <c r="G5" s="5" t="inlineStr">
        <is>
          <t>15.0%</t>
        </is>
      </c>
      <c r="H5" s="11">
        <f>IF(F5&gt;0,F5/(1-0.15),"")</f>
        <v/>
      </c>
      <c r="I5" s="5">
        <f>IF(updatetool_MarginUpdates[[#This Row],[Item ID]]="ALL", "YES", "NO")</f>
        <v/>
      </c>
    </row>
    <row r="6">
      <c r="A6" s="5" t="inlineStr">
        <is>
          <t>PORTOR</t>
        </is>
      </c>
      <c r="B6" s="5" t="inlineStr">
        <is>
          <t>20 - ENGINEERED LBR</t>
        </is>
      </c>
      <c r="C6" s="5" t="inlineStr">
        <is>
          <t>2006 - GLULAM</t>
        </is>
      </c>
      <c r="D6" s="5" t="inlineStr">
        <is>
          <t>ALL</t>
        </is>
      </c>
      <c r="E6" s="5" t="inlineStr"/>
      <c r="F6" s="10" t="n"/>
      <c r="G6" s="5" t="inlineStr">
        <is>
          <t>15.0%</t>
        </is>
      </c>
      <c r="H6" s="11">
        <f>IF(F6&gt;0,F6/(1-0.15),"")</f>
        <v/>
      </c>
      <c r="I6" s="5">
        <f>IF(updatetool_MarginUpdates[[#This Row],[Item ID]]="ALL", "YES", "NO")</f>
        <v/>
      </c>
    </row>
    <row r="7">
      <c r="A7" s="5" t="inlineStr">
        <is>
          <t>PORTOR</t>
        </is>
      </c>
      <c r="B7" s="5" t="inlineStr">
        <is>
          <t>20 - ENGINEERED LBR</t>
        </is>
      </c>
      <c r="C7" s="5" t="inlineStr">
        <is>
          <t>2011 - WEYERHAEUSER - I JOIST</t>
        </is>
      </c>
      <c r="D7" s="5" t="inlineStr">
        <is>
          <t>ALL</t>
        </is>
      </c>
      <c r="E7" s="5" t="inlineStr"/>
      <c r="F7" s="10" t="n"/>
      <c r="G7" s="5" t="inlineStr">
        <is>
          <t>15.0%</t>
        </is>
      </c>
      <c r="H7" s="11">
        <f>IF(F7&gt;0,F7/(1-0.15),"")</f>
        <v/>
      </c>
      <c r="I7" s="5">
        <f>IF(updatetool_MarginUpdates[[#This Row],[Item ID]]="ALL", "YES", "NO")</f>
        <v/>
      </c>
    </row>
    <row r="8">
      <c r="A8" s="5" t="inlineStr">
        <is>
          <t>PORTOR</t>
        </is>
      </c>
      <c r="B8" s="5" t="inlineStr">
        <is>
          <t>20 - ENGINEERED LBR</t>
        </is>
      </c>
      <c r="C8" s="5" t="inlineStr">
        <is>
          <t>2012 - WEYERHAEUSER - LVL</t>
        </is>
      </c>
      <c r="D8" s="5" t="inlineStr">
        <is>
          <t>ALL</t>
        </is>
      </c>
      <c r="E8" s="5" t="inlineStr"/>
      <c r="F8" s="10" t="n"/>
      <c r="G8" s="5" t="inlineStr">
        <is>
          <t>15.0%</t>
        </is>
      </c>
      <c r="H8" s="11">
        <f>IF(F8&gt;0,F8/(1-0.15),"")</f>
        <v/>
      </c>
      <c r="I8" s="5">
        <f>IF(updatetool_MarginUpdates[[#This Row],[Item ID]]="ALL", "YES", "NO")</f>
        <v/>
      </c>
    </row>
    <row r="9">
      <c r="A9" s="5" t="inlineStr">
        <is>
          <t>PORTOR</t>
        </is>
      </c>
      <c r="B9" s="5" t="inlineStr">
        <is>
          <t>20 - ENGINEERED LBR</t>
        </is>
      </c>
      <c r="C9" s="5" t="inlineStr">
        <is>
          <t>2013 - WEYERHAEUSER - LSL</t>
        </is>
      </c>
      <c r="D9" s="5" t="inlineStr">
        <is>
          <t>ALL</t>
        </is>
      </c>
      <c r="E9" s="5" t="inlineStr"/>
      <c r="F9" s="10" t="n"/>
      <c r="G9" s="5" t="inlineStr">
        <is>
          <t>15.0%</t>
        </is>
      </c>
      <c r="H9" s="11">
        <f>IF(F9&gt;0,F9/(1-0.15),"")</f>
        <v/>
      </c>
      <c r="I9" s="5">
        <f>IF(updatetool_MarginUpdates[[#This Row],[Item ID]]="ALL", "YES", "NO")</f>
        <v/>
      </c>
    </row>
    <row r="10">
      <c r="A10" s="5" t="inlineStr">
        <is>
          <t>PORTOR</t>
        </is>
      </c>
      <c r="B10" s="5" t="inlineStr">
        <is>
          <t>20 - ENGINEERED LBR</t>
        </is>
      </c>
      <c r="C10" s="5" t="inlineStr">
        <is>
          <t>2031 - LOUISIANA-PACIFIC - I JOIST</t>
        </is>
      </c>
      <c r="D10" s="5" t="inlineStr">
        <is>
          <t>ALL</t>
        </is>
      </c>
      <c r="E10" s="5" t="inlineStr"/>
      <c r="F10" s="10" t="n"/>
      <c r="G10" s="5" t="inlineStr">
        <is>
          <t>15.0%</t>
        </is>
      </c>
      <c r="H10" s="11">
        <f>IF(F10&gt;0,F10/(1-0.15),"")</f>
        <v/>
      </c>
      <c r="I10" s="5">
        <f>IF(updatetool_MarginUpdates[[#This Row],[Item ID]]="ALL", "YES", "NO")</f>
        <v/>
      </c>
    </row>
    <row r="11">
      <c r="A11" s="5" t="inlineStr">
        <is>
          <t>PORTOR</t>
        </is>
      </c>
      <c r="B11" s="5" t="inlineStr">
        <is>
          <t>20 - ENGINEERED LBR</t>
        </is>
      </c>
      <c r="C11" s="5" t="inlineStr">
        <is>
          <t>2032 - LOUISIANA-PACIFIC - LVL</t>
        </is>
      </c>
      <c r="D11" s="5" t="inlineStr">
        <is>
          <t>ALL</t>
        </is>
      </c>
      <c r="E11" s="5" t="inlineStr"/>
      <c r="F11" s="10" t="n"/>
      <c r="G11" s="5" t="inlineStr">
        <is>
          <t>15.0%</t>
        </is>
      </c>
      <c r="H11" s="11">
        <f>IF(F11&gt;0,F11/(1-0.15),"")</f>
        <v/>
      </c>
      <c r="I11" s="5">
        <f>IF(updatetool_MarginUpdates[[#This Row],[Item ID]]="ALL", "YES", "NO")</f>
        <v/>
      </c>
    </row>
    <row r="12">
      <c r="A12" s="5" t="inlineStr">
        <is>
          <t>PORTOR</t>
        </is>
      </c>
      <c r="B12" s="5" t="inlineStr">
        <is>
          <t>20 - ENGINEERED LBR</t>
        </is>
      </c>
      <c r="C12" s="5" t="inlineStr">
        <is>
          <t>2033 - LOUISIANA-PACIFIC - LSL</t>
        </is>
      </c>
      <c r="D12" s="5" t="inlineStr">
        <is>
          <t>ALL</t>
        </is>
      </c>
      <c r="E12" s="5" t="inlineStr"/>
      <c r="F12" s="10" t="n"/>
      <c r="G12" s="5" t="inlineStr">
        <is>
          <t>15.0%</t>
        </is>
      </c>
      <c r="H12" s="11">
        <f>IF(F12&gt;0,F12/(1-0.15),"")</f>
        <v/>
      </c>
      <c r="I12" s="5">
        <f>IF(updatetool_MarginUpdates[[#This Row],[Item ID]]="ALL", "YES", "NO")</f>
        <v/>
      </c>
    </row>
    <row r="13">
      <c r="A13" s="5" t="inlineStr">
        <is>
          <t>PORTOR</t>
        </is>
      </c>
      <c r="B13" s="5" t="inlineStr">
        <is>
          <t>20 - ENGINEERED LBR</t>
        </is>
      </c>
      <c r="C13" s="5" t="inlineStr">
        <is>
          <t>2041 - BOISE CASCADE - I JOIST</t>
        </is>
      </c>
      <c r="D13" s="5" t="inlineStr">
        <is>
          <t>ALL</t>
        </is>
      </c>
      <c r="E13" s="5" t="inlineStr"/>
      <c r="F13" s="10" t="n"/>
      <c r="G13" s="5" t="inlineStr">
        <is>
          <t>15.0%</t>
        </is>
      </c>
      <c r="H13" s="11">
        <f>IF(F13&gt;0,F13/(1-0.15),"")</f>
        <v/>
      </c>
      <c r="I13" s="5">
        <f>IF(updatetool_MarginUpdates[[#This Row],[Item ID]]="ALL", "YES", "NO")</f>
        <v/>
      </c>
    </row>
    <row r="14">
      <c r="A14" s="5" t="inlineStr">
        <is>
          <t>PORTOR</t>
        </is>
      </c>
      <c r="B14" s="5" t="inlineStr">
        <is>
          <t>20 - ENGINEERED LBR</t>
        </is>
      </c>
      <c r="C14" s="5" t="inlineStr">
        <is>
          <t>2042 - BOISE CASCADE - LVL</t>
        </is>
      </c>
      <c r="D14" s="5" t="inlineStr">
        <is>
          <t>ALL</t>
        </is>
      </c>
      <c r="E14" s="5" t="inlineStr"/>
      <c r="F14" s="10" t="n"/>
      <c r="G14" s="5" t="inlineStr">
        <is>
          <t>15.0%</t>
        </is>
      </c>
      <c r="H14" s="11">
        <f>IF(F14&gt;0,F14/(1-0.15),"")</f>
        <v/>
      </c>
      <c r="I14" s="5">
        <f>IF(updatetool_MarginUpdates[[#This Row],[Item ID]]="ALL", "YES", "NO")</f>
        <v/>
      </c>
    </row>
    <row r="15">
      <c r="A15" s="5" t="inlineStr">
        <is>
          <t>PORTOR</t>
        </is>
      </c>
      <c r="B15" s="5" t="inlineStr">
        <is>
          <t>20 - ENGINEERED LBR</t>
        </is>
      </c>
      <c r="C15" s="5" t="inlineStr">
        <is>
          <t>2043 - BOISE CASCADE - LSL</t>
        </is>
      </c>
      <c r="D15" s="5" t="inlineStr">
        <is>
          <t>ALL</t>
        </is>
      </c>
      <c r="E15" s="5" t="inlineStr"/>
      <c r="F15" s="10" t="n"/>
      <c r="G15" s="5" t="inlineStr">
        <is>
          <t>15.0%</t>
        </is>
      </c>
      <c r="H15" s="11">
        <f>IF(F15&gt;0,F15/(1-0.15),"")</f>
        <v/>
      </c>
      <c r="I15" s="5">
        <f>IF(updatetool_MarginUpdates[[#This Row],[Item ID]]="ALL", "YES", "NO")</f>
        <v/>
      </c>
    </row>
    <row r="16">
      <c r="A16" s="5" t="inlineStr">
        <is>
          <t>PORTOR</t>
        </is>
      </c>
      <c r="B16" s="5" t="inlineStr">
        <is>
          <t>25 - LUMBER</t>
        </is>
      </c>
      <c r="C16" s="5" t="inlineStr">
        <is>
          <t>2510 - MISC. LUMBER</t>
        </is>
      </c>
      <c r="D16" s="5" t="inlineStr">
        <is>
          <t>2210WWP</t>
        </is>
      </c>
      <c r="E16" s="5" t="inlineStr">
        <is>
          <t>2"X2"-10' WW PRIMED</t>
        </is>
      </c>
      <c r="F16" s="10" t="n"/>
      <c r="G16" s="5" t="inlineStr">
        <is>
          <t>16.0%</t>
        </is>
      </c>
      <c r="H16" s="11">
        <f>IF(F16&gt;0,F16/(1-0.16),"")</f>
        <v/>
      </c>
      <c r="I16" s="5">
        <f>IF(updatetool_MarginUpdates[[#This Row],[Item ID]]="ALL", "YES", "NO")</f>
        <v/>
      </c>
    </row>
    <row r="17">
      <c r="A17" s="5" t="inlineStr">
        <is>
          <t>PORTOR</t>
        </is>
      </c>
      <c r="B17" s="5" t="inlineStr">
        <is>
          <t>25 - LUMBER</t>
        </is>
      </c>
      <c r="C17" s="5" t="inlineStr">
        <is>
          <t>2510 - MISC. LUMBER</t>
        </is>
      </c>
      <c r="D17" s="5" t="inlineStr">
        <is>
          <t>2220WWP</t>
        </is>
      </c>
      <c r="E17" s="5" t="inlineStr">
        <is>
          <t>2"X2"-20' WW PRIMED</t>
        </is>
      </c>
      <c r="F17" s="10" t="n"/>
      <c r="G17" s="5" t="inlineStr">
        <is>
          <t>16.0%</t>
        </is>
      </c>
      <c r="H17" s="11">
        <f>IF(F17&gt;0,F17/(1-0.16),"")</f>
        <v/>
      </c>
      <c r="I17" s="5">
        <f>IF(updatetool_MarginUpdates[[#This Row],[Item ID]]="ALL", "YES", "NO")</f>
        <v/>
      </c>
    </row>
    <row r="18">
      <c r="A18" s="5" t="inlineStr">
        <is>
          <t>PORTOR</t>
        </is>
      </c>
      <c r="B18" s="5" t="inlineStr">
        <is>
          <t>25 - LUMBER</t>
        </is>
      </c>
      <c r="C18" s="5" t="inlineStr">
        <is>
          <t>2510 - MISC. LUMBER</t>
        </is>
      </c>
      <c r="D18" s="5" t="inlineStr">
        <is>
          <t>2420WWP</t>
        </is>
      </c>
      <c r="E18" s="5" t="inlineStr">
        <is>
          <t>2"X4"-20' WW PRIMED</t>
        </is>
      </c>
      <c r="F18" s="10" t="n"/>
      <c r="G18" s="5" t="inlineStr">
        <is>
          <t>16.0%</t>
        </is>
      </c>
      <c r="H18" s="11">
        <f>IF(F18&gt;0,F18/(1-0.16),"")</f>
        <v/>
      </c>
      <c r="I18" s="5">
        <f>IF(updatetool_MarginUpdates[[#This Row],[Item ID]]="ALL", "YES", "NO")</f>
        <v/>
      </c>
    </row>
    <row r="19">
      <c r="A19" s="5" t="inlineStr">
        <is>
          <t>PORTOR</t>
        </is>
      </c>
      <c r="B19" s="5" t="inlineStr">
        <is>
          <t>25 - LUMBER</t>
        </is>
      </c>
      <c r="C19" s="5" t="inlineStr">
        <is>
          <t>2510 - MISC. LUMBER</t>
        </is>
      </c>
      <c r="D19" s="5" t="inlineStr">
        <is>
          <t>2616WWP</t>
        </is>
      </c>
      <c r="E19" s="5" t="inlineStr">
        <is>
          <t>2"X6"-16' WW PRIMED</t>
        </is>
      </c>
      <c r="F19" s="10" t="n"/>
      <c r="G19" s="5" t="inlineStr">
        <is>
          <t>16.0%</t>
        </is>
      </c>
      <c r="H19" s="11">
        <f>IF(F19&gt;0,F19/(1-0.16),"")</f>
        <v/>
      </c>
      <c r="I19" s="5">
        <f>IF(updatetool_MarginUpdates[[#This Row],[Item ID]]="ALL", "YES", "NO")</f>
        <v/>
      </c>
    </row>
    <row r="20">
      <c r="A20" s="5" t="inlineStr">
        <is>
          <t>PORTOR</t>
        </is>
      </c>
      <c r="B20" s="5" t="inlineStr">
        <is>
          <t>25 - LUMBER</t>
        </is>
      </c>
      <c r="C20" s="5" t="inlineStr">
        <is>
          <t>2510 - MISC. LUMBER</t>
        </is>
      </c>
      <c r="D20" s="5" t="inlineStr">
        <is>
          <t>2620WWP</t>
        </is>
      </c>
      <c r="E20" s="5" t="inlineStr">
        <is>
          <t>2"X6"-20' WW PRIMED</t>
        </is>
      </c>
      <c r="F20" s="10" t="n"/>
      <c r="G20" s="5" t="inlineStr">
        <is>
          <t>16.0%</t>
        </is>
      </c>
      <c r="H20" s="11">
        <f>IF(F20&gt;0,F20/(1-0.16),"")</f>
        <v/>
      </c>
      <c r="I20" s="5">
        <f>IF(updatetool_MarginUpdates[[#This Row],[Item ID]]="ALL", "YES", "NO")</f>
        <v/>
      </c>
    </row>
    <row r="21">
      <c r="A21" s="5" t="inlineStr">
        <is>
          <t>PORTOR</t>
        </is>
      </c>
      <c r="B21" s="5" t="inlineStr">
        <is>
          <t>25 - LUMBER</t>
        </is>
      </c>
      <c r="C21" s="5" t="inlineStr">
        <is>
          <t>2510 - MISC. LUMBER</t>
        </is>
      </c>
      <c r="D21" s="5" t="inlineStr">
        <is>
          <t>2816WWP</t>
        </is>
      </c>
      <c r="E21" s="5" t="inlineStr">
        <is>
          <t>2"X8"-16' WW PRIMED</t>
        </is>
      </c>
      <c r="F21" s="10" t="n"/>
      <c r="G21" s="5" t="inlineStr">
        <is>
          <t>16.0%</t>
        </is>
      </c>
      <c r="H21" s="11">
        <f>IF(F21&gt;0,F21/(1-0.16),"")</f>
        <v/>
      </c>
      <c r="I21" s="5">
        <f>IF(updatetool_MarginUpdates[[#This Row],[Item ID]]="ALL", "YES", "NO")</f>
        <v/>
      </c>
    </row>
    <row r="22">
      <c r="A22" s="5" t="inlineStr">
        <is>
          <t>PORTOR</t>
        </is>
      </c>
      <c r="B22" s="5" t="inlineStr">
        <is>
          <t>25 - LUMBER</t>
        </is>
      </c>
      <c r="C22" s="5" t="inlineStr">
        <is>
          <t>2510 - MISC. LUMBER</t>
        </is>
      </c>
      <c r="D22" s="5" t="inlineStr">
        <is>
          <t>2820WWP</t>
        </is>
      </c>
      <c r="E22" s="5" t="inlineStr">
        <is>
          <t>2"X8"-20' WW PRIMED</t>
        </is>
      </c>
      <c r="F22" s="10" t="n"/>
      <c r="G22" s="5" t="inlineStr">
        <is>
          <t>16.0%</t>
        </is>
      </c>
      <c r="H22" s="11">
        <f>IF(F22&gt;0,F22/(1-0.16),"")</f>
        <v/>
      </c>
      <c r="I22" s="5">
        <f>IF(updatetool_MarginUpdates[[#This Row],[Item ID]]="ALL", "YES", "NO")</f>
        <v/>
      </c>
    </row>
    <row r="23">
      <c r="A23" s="5" t="inlineStr">
        <is>
          <t>PORTOR</t>
        </is>
      </c>
      <c r="B23" s="5" t="inlineStr">
        <is>
          <t>25 - LUMBER</t>
        </is>
      </c>
      <c r="C23" s="5" t="inlineStr">
        <is>
          <t>2510 - MISC. LUMBER</t>
        </is>
      </c>
      <c r="D23" s="5" t="inlineStr">
        <is>
          <t>21016WWP</t>
        </is>
      </c>
      <c r="E23" s="5" t="inlineStr">
        <is>
          <t>2"X10"-16' WW PRIMED</t>
        </is>
      </c>
      <c r="F23" s="10" t="n"/>
      <c r="G23" s="5" t="inlineStr">
        <is>
          <t>16.0%</t>
        </is>
      </c>
      <c r="H23" s="11">
        <f>IF(F23&gt;0,F23/(1-0.16),"")</f>
        <v/>
      </c>
      <c r="I23" s="5">
        <f>IF(updatetool_MarginUpdates[[#This Row],[Item ID]]="ALL", "YES", "NO")</f>
        <v/>
      </c>
    </row>
    <row r="24">
      <c r="A24" s="5" t="inlineStr">
        <is>
          <t>PORTOR</t>
        </is>
      </c>
      <c r="B24" s="5" t="inlineStr">
        <is>
          <t>25 - LUMBER</t>
        </is>
      </c>
      <c r="C24" s="5" t="inlineStr">
        <is>
          <t>2510 - MISC. LUMBER</t>
        </is>
      </c>
      <c r="D24" s="5" t="inlineStr">
        <is>
          <t>21020WWP</t>
        </is>
      </c>
      <c r="E24" s="5" t="inlineStr">
        <is>
          <t>2"X10"-20' WW PRIMED</t>
        </is>
      </c>
      <c r="F24" s="10" t="n"/>
      <c r="G24" s="5" t="inlineStr">
        <is>
          <t>16.0%</t>
        </is>
      </c>
      <c r="H24" s="11">
        <f>IF(F24&gt;0,F24/(1-0.16),"")</f>
        <v/>
      </c>
      <c r="I24" s="5">
        <f>IF(updatetool_MarginUpdates[[#This Row],[Item ID]]="ALL", "YES", "NO")</f>
        <v/>
      </c>
    </row>
    <row r="25">
      <c r="A25" s="5" t="inlineStr">
        <is>
          <t>PORTOR</t>
        </is>
      </c>
      <c r="B25" s="5" t="inlineStr">
        <is>
          <t>25 - LUMBER</t>
        </is>
      </c>
      <c r="C25" s="5" t="inlineStr">
        <is>
          <t>2510 - MISC. LUMBER</t>
        </is>
      </c>
      <c r="D25" s="5" t="inlineStr">
        <is>
          <t>21220WWP</t>
        </is>
      </c>
      <c r="E25" s="5" t="inlineStr">
        <is>
          <t>2"X12"-20' WW PRIMED</t>
        </is>
      </c>
      <c r="F25" s="10" t="n"/>
      <c r="G25" s="5" t="inlineStr">
        <is>
          <t>16.0%</t>
        </is>
      </c>
      <c r="H25" s="11">
        <f>IF(F25&gt;0,F25/(1-0.16),"")</f>
        <v/>
      </c>
      <c r="I25" s="5">
        <f>IF(updatetool_MarginUpdates[[#This Row],[Item ID]]="ALL", "YES", "NO")</f>
        <v/>
      </c>
    </row>
    <row r="26">
      <c r="A26" s="5" t="inlineStr">
        <is>
          <t>37 - INSULATION</t>
        </is>
      </c>
      <c r="B26" s="5" t="inlineStr">
        <is>
          <t>3704 - MISC. INSULATION</t>
        </is>
      </c>
      <c r="C26" s="5" t="inlineStr">
        <is>
          <t>SS350</t>
        </is>
      </c>
      <c r="D26" s="5" t="inlineStr">
        <is>
          <t>SILL SEALER 3.5" X 50'</t>
        </is>
      </c>
      <c r="E26" s="5" t="inlineStr"/>
      <c r="F26" s="10" t="n"/>
      <c r="G26" s="5" t="inlineStr">
        <is>
          <t>20.0%</t>
        </is>
      </c>
      <c r="H26" s="11">
        <f>IF(F26&gt;0,F26/(1-0.2),"")</f>
        <v/>
      </c>
      <c r="I26" s="5">
        <f>IF(updatetool_MarginUpdates[[#This Row],[Item ID]]="ALL", "YES", "NO")</f>
        <v/>
      </c>
    </row>
    <row r="27">
      <c r="A27" s="5" t="inlineStr">
        <is>
          <t>37 - INSULATION</t>
        </is>
      </c>
      <c r="B27" s="5" t="inlineStr">
        <is>
          <t>3704 - MISC. INSULATION</t>
        </is>
      </c>
      <c r="C27" s="5" t="inlineStr">
        <is>
          <t>SS550</t>
        </is>
      </c>
      <c r="D27" s="5" t="inlineStr">
        <is>
          <t>SILL SEALER 5.5" X 50'</t>
        </is>
      </c>
      <c r="E27" s="5" t="inlineStr"/>
      <c r="F27" s="10" t="n"/>
      <c r="G27" s="5" t="inlineStr">
        <is>
          <t>20.0%</t>
        </is>
      </c>
      <c r="H27" s="11">
        <f>IF(F27&gt;0,F27/(1-0.2),"")</f>
        <v/>
      </c>
      <c r="I27" s="5">
        <f>IF(updatetool_MarginUpdates[[#This Row],[Item ID]]="ALL", "YES", "NO")</f>
        <v/>
      </c>
    </row>
    <row r="28">
      <c r="A28" s="5" t="inlineStr">
        <is>
          <t>37 - INSULATION</t>
        </is>
      </c>
      <c r="B28" s="5" t="inlineStr">
        <is>
          <t>3704 - MISC. INSULATION</t>
        </is>
      </c>
      <c r="C28" s="5" t="inlineStr">
        <is>
          <t>SS750</t>
        </is>
      </c>
      <c r="D28" s="5" t="inlineStr">
        <is>
          <t>SILL SEALER 7.5" X 50'</t>
        </is>
      </c>
      <c r="E28" s="5" t="inlineStr"/>
      <c r="F28" s="10" t="n"/>
      <c r="G28" s="5" t="inlineStr">
        <is>
          <t>20.0%</t>
        </is>
      </c>
      <c r="H28" s="11">
        <f>IF(F28&gt;0,F28/(1-0.2),"")</f>
        <v/>
      </c>
      <c r="I28" s="5">
        <f>IF(updatetool_MarginUpdates[[#This Row],[Item ID]]="ALL", "YES", "NO")</f>
        <v/>
      </c>
    </row>
    <row r="29">
      <c r="A29" s="5" t="inlineStr">
        <is>
          <t>37 - INSULATION</t>
        </is>
      </c>
      <c r="B29" s="5" t="inlineStr">
        <is>
          <t>3704 - MISC. INSULATION</t>
        </is>
      </c>
      <c r="C29" s="5" t="inlineStr">
        <is>
          <t>SS850</t>
        </is>
      </c>
      <c r="D29" s="5" t="inlineStr">
        <is>
          <t>SILL SEALER 8" X 50'</t>
        </is>
      </c>
      <c r="E29" s="5" t="inlineStr"/>
      <c r="F29" s="10" t="n"/>
      <c r="G29" s="5" t="inlineStr">
        <is>
          <t>20.0%</t>
        </is>
      </c>
      <c r="H29" s="11">
        <f>IF(F29&gt;0,F29/(1-0.2),"")</f>
        <v/>
      </c>
      <c r="I29" s="5">
        <f>IF(updatetool_MarginUpdates[[#This Row],[Item ID]]="ALL", "YES", "NO")</f>
        <v/>
      </c>
    </row>
    <row r="30">
      <c r="A30" s="5" t="inlineStr">
        <is>
          <t>PORTOR</t>
        </is>
      </c>
      <c r="B30" s="5" t="inlineStr">
        <is>
          <t>39 - SIDING</t>
        </is>
      </c>
      <c r="C30" s="5" t="inlineStr">
        <is>
          <t>3901 - PLYWOOD SIDINGS</t>
        </is>
      </c>
      <c r="D30" s="5" t="inlineStr">
        <is>
          <t>ALL</t>
        </is>
      </c>
      <c r="E30" s="5" t="inlineStr"/>
      <c r="F30" s="10" t="n"/>
      <c r="G30" s="5" t="inlineStr">
        <is>
          <t>15.0%</t>
        </is>
      </c>
      <c r="H30" s="11">
        <f>IF(F30&gt;0,F30/(1-0.15),"")</f>
        <v/>
      </c>
      <c r="I30" s="5">
        <f>IF(updatetool_MarginUpdates[[#This Row],[Item ID]]="ALL", "YES", "NO")</f>
        <v/>
      </c>
    </row>
    <row r="31">
      <c r="A31" s="5" t="inlineStr">
        <is>
          <t>PORTOR</t>
        </is>
      </c>
      <c r="B31" s="5" t="inlineStr">
        <is>
          <t>39 - SIDING</t>
        </is>
      </c>
      <c r="C31" s="5" t="inlineStr">
        <is>
          <t>3902 - LUMBER SIDINGS</t>
        </is>
      </c>
      <c r="D31" s="5" t="inlineStr">
        <is>
          <t>ALL</t>
        </is>
      </c>
      <c r="E31" s="5" t="inlineStr"/>
      <c r="F31" s="10" t="n"/>
      <c r="G31" s="5" t="inlineStr">
        <is>
          <t>15.0%</t>
        </is>
      </c>
      <c r="H31" s="11">
        <f>IF(F31&gt;0,F31/(1-0.15),"")</f>
        <v/>
      </c>
      <c r="I31" s="5">
        <f>IF(updatetool_MarginUpdates[[#This Row],[Item ID]]="ALL", "YES", "NO")</f>
        <v/>
      </c>
    </row>
    <row r="32">
      <c r="A32" s="5" t="inlineStr">
        <is>
          <t>PORTOR</t>
        </is>
      </c>
      <c r="B32" s="5" t="inlineStr">
        <is>
          <t>39 - SIDING</t>
        </is>
      </c>
      <c r="C32" s="5" t="inlineStr">
        <is>
          <t>3903 - VINYL/ALUMINUM SIDINGS</t>
        </is>
      </c>
      <c r="D32" s="5" t="inlineStr">
        <is>
          <t>ALL</t>
        </is>
      </c>
      <c r="E32" s="5" t="inlineStr"/>
      <c r="F32" s="10" t="n"/>
      <c r="G32" s="5" t="inlineStr">
        <is>
          <t>15.0%</t>
        </is>
      </c>
      <c r="H32" s="11">
        <f>IF(F32&gt;0,F32/(1-0.15),"")</f>
        <v/>
      </c>
      <c r="I32" s="5">
        <f>IF(updatetool_MarginUpdates[[#This Row],[Item ID]]="ALL", "YES", "NO")</f>
        <v/>
      </c>
    </row>
    <row r="33">
      <c r="A33" s="5" t="inlineStr">
        <is>
          <t>PORTOR</t>
        </is>
      </c>
      <c r="B33" s="5" t="inlineStr">
        <is>
          <t>39 - SIDING</t>
        </is>
      </c>
      <c r="C33" s="5" t="inlineStr">
        <is>
          <t>3904 - FIBER CEMENT SIDING/HARDI</t>
        </is>
      </c>
      <c r="D33" s="5" t="inlineStr">
        <is>
          <t>ALL</t>
        </is>
      </c>
      <c r="E33" s="5" t="inlineStr"/>
      <c r="F33" s="10" t="n"/>
      <c r="G33" s="5" t="inlineStr">
        <is>
          <t>15.0%</t>
        </is>
      </c>
      <c r="H33" s="11">
        <f>IF(F33&gt;0,F33/(1-0.15),"")</f>
        <v/>
      </c>
      <c r="I33" s="5">
        <f>IF(updatetool_MarginUpdates[[#This Row],[Item ID]]="ALL", "YES", "NO")</f>
        <v/>
      </c>
    </row>
    <row r="34">
      <c r="A34" s="5" t="inlineStr">
        <is>
          <t>PORTOR</t>
        </is>
      </c>
      <c r="B34" s="5" t="inlineStr">
        <is>
          <t>39 - SIDING</t>
        </is>
      </c>
      <c r="C34" s="5" t="inlineStr">
        <is>
          <t>3905 - HARDBOARD SIDINGS</t>
        </is>
      </c>
      <c r="D34" s="5" t="inlineStr">
        <is>
          <t>ALL</t>
        </is>
      </c>
      <c r="E34" s="5" t="inlineStr"/>
      <c r="F34" s="10" t="n"/>
      <c r="G34" s="5" t="inlineStr">
        <is>
          <t>15.0%</t>
        </is>
      </c>
      <c r="H34" s="11">
        <f>IF(F34&gt;0,F34/(1-0.15),"")</f>
        <v/>
      </c>
      <c r="I34" s="5">
        <f>IF(updatetool_MarginUpdates[[#This Row],[Item ID]]="ALL", "YES", "NO")</f>
        <v/>
      </c>
    </row>
    <row r="35">
      <c r="A35" s="5" t="inlineStr">
        <is>
          <t>PORTOR</t>
        </is>
      </c>
      <c r="B35" s="5" t="inlineStr">
        <is>
          <t>39 - SIDING</t>
        </is>
      </c>
      <c r="C35" s="5" t="inlineStr">
        <is>
          <t>3906 - MISC. SIDINGS</t>
        </is>
      </c>
      <c r="D35" s="5" t="inlineStr">
        <is>
          <t>ALL</t>
        </is>
      </c>
      <c r="E35" s="5" t="inlineStr"/>
      <c r="F35" s="10" t="n"/>
      <c r="G35" s="5" t="inlineStr">
        <is>
          <t>15.0%</t>
        </is>
      </c>
      <c r="H35" s="11">
        <f>IF(F35&gt;0,F35/(1-0.15),"")</f>
        <v/>
      </c>
      <c r="I35" s="5">
        <f>IF(updatetool_MarginUpdates[[#This Row],[Item ID]]="ALL", "YES", "NO")</f>
        <v/>
      </c>
    </row>
    <row r="36">
      <c r="A36" s="5" t="inlineStr">
        <is>
          <t>PORTOR</t>
        </is>
      </c>
      <c r="B36" s="5" t="inlineStr">
        <is>
          <t>40 - EXTERIOR TRIM</t>
        </is>
      </c>
      <c r="C36" s="5" t="inlineStr">
        <is>
          <t>4001 - SPRUCE BOARDS</t>
        </is>
      </c>
      <c r="D36" s="5" t="inlineStr">
        <is>
          <t>ALL</t>
        </is>
      </c>
      <c r="E36" s="5" t="inlineStr"/>
      <c r="F36" s="10" t="n"/>
      <c r="G36" s="5" t="inlineStr">
        <is>
          <t>15.0%</t>
        </is>
      </c>
      <c r="H36" s="11">
        <f>IF(F36&gt;0,F36/(1-0.15),"")</f>
        <v/>
      </c>
      <c r="I36" s="5">
        <f>IF(updatetool_MarginUpdates[[#This Row],[Item ID]]="ALL", "YES", "NO")</f>
        <v/>
      </c>
    </row>
    <row r="37">
      <c r="A37" s="5" t="inlineStr">
        <is>
          <t>PORTOR</t>
        </is>
      </c>
      <c r="B37" s="5" t="inlineStr">
        <is>
          <t>40 - EXTERIOR TRIM</t>
        </is>
      </c>
      <c r="C37" s="5" t="inlineStr">
        <is>
          <t>4002 - FIR/LARCH BOARDS</t>
        </is>
      </c>
      <c r="D37" s="5" t="inlineStr">
        <is>
          <t>ALL</t>
        </is>
      </c>
      <c r="E37" s="5" t="inlineStr"/>
      <c r="F37" s="10" t="n"/>
      <c r="G37" s="5" t="inlineStr">
        <is>
          <t>15.0%</t>
        </is>
      </c>
      <c r="H37" s="11">
        <f>IF(F37&gt;0,F37/(1-0.15),"")</f>
        <v/>
      </c>
      <c r="I37" s="5">
        <f>IF(updatetool_MarginUpdates[[#This Row],[Item ID]]="ALL", "YES", "NO")</f>
        <v/>
      </c>
    </row>
    <row r="38">
      <c r="A38" s="5" t="inlineStr">
        <is>
          <t>PORTOR</t>
        </is>
      </c>
      <c r="B38" s="5" t="inlineStr">
        <is>
          <t>40 - EXTERIOR TRIM</t>
        </is>
      </c>
      <c r="C38" s="5" t="inlineStr">
        <is>
          <t>4003 - PINE BOARDS</t>
        </is>
      </c>
      <c r="D38" s="5" t="inlineStr">
        <is>
          <t>ALL</t>
        </is>
      </c>
      <c r="E38" s="5" t="inlineStr"/>
      <c r="F38" s="10" t="n"/>
      <c r="G38" s="5" t="inlineStr">
        <is>
          <t>15.0%</t>
        </is>
      </c>
      <c r="H38" s="11">
        <f>IF(F38&gt;0,F38/(1-0.15),"")</f>
        <v/>
      </c>
      <c r="I38" s="5">
        <f>IF(updatetool_MarginUpdates[[#This Row],[Item ID]]="ALL", "YES", "NO")</f>
        <v/>
      </c>
    </row>
    <row r="39">
      <c r="A39" s="5" t="inlineStr">
        <is>
          <t>PORTOR</t>
        </is>
      </c>
      <c r="B39" s="5" t="inlineStr">
        <is>
          <t>40 - EXTERIOR TRIM</t>
        </is>
      </c>
      <c r="C39" s="5" t="inlineStr">
        <is>
          <t>4005 - HARDWOOD BOARDS</t>
        </is>
      </c>
      <c r="D39" s="5" t="inlineStr">
        <is>
          <t>ALL</t>
        </is>
      </c>
      <c r="E39" s="5" t="inlineStr"/>
      <c r="F39" s="10" t="n"/>
      <c r="G39" s="5" t="inlineStr">
        <is>
          <t>15.0%</t>
        </is>
      </c>
      <c r="H39" s="11">
        <f>IF(F39&gt;0,F39/(1-0.15),"")</f>
        <v/>
      </c>
      <c r="I39" s="5">
        <f>IF(updatetool_MarginUpdates[[#This Row],[Item ID]]="ALL", "YES", "NO")</f>
        <v/>
      </c>
    </row>
    <row r="40">
      <c r="A40" s="5" t="inlineStr">
        <is>
          <t>PORTOR</t>
        </is>
      </c>
      <c r="B40" s="5" t="inlineStr">
        <is>
          <t>40 - EXTERIOR TRIM</t>
        </is>
      </c>
      <c r="C40" s="5" t="inlineStr">
        <is>
          <t>4006 - SYNBOARD/PVC TRIM</t>
        </is>
      </c>
      <c r="D40" s="5" t="inlineStr">
        <is>
          <t>ALL</t>
        </is>
      </c>
      <c r="E40" s="5" t="inlineStr"/>
      <c r="F40" s="10" t="n"/>
      <c r="G40" s="5" t="inlineStr">
        <is>
          <t>15.0%</t>
        </is>
      </c>
      <c r="H40" s="11">
        <f>IF(F40&gt;0,F40/(1-0.15),"")</f>
        <v/>
      </c>
      <c r="I40" s="5">
        <f>IF(updatetool_MarginUpdates[[#This Row],[Item ID]]="ALL", "YES", "NO")</f>
        <v/>
      </c>
    </row>
    <row r="41">
      <c r="A41" s="5" t="inlineStr">
        <is>
          <t>PORTOR</t>
        </is>
      </c>
      <c r="B41" s="5" t="inlineStr">
        <is>
          <t>40 - EXTERIOR TRIM</t>
        </is>
      </c>
      <c r="C41" s="5" t="inlineStr">
        <is>
          <t>4009 - CEDAR/CYPRESS BOARDS</t>
        </is>
      </c>
      <c r="D41" s="5" t="inlineStr">
        <is>
          <t>ALL</t>
        </is>
      </c>
      <c r="E41" s="5" t="inlineStr"/>
      <c r="F41" s="10" t="n"/>
      <c r="G41" s="5" t="inlineStr">
        <is>
          <t>15.0%</t>
        </is>
      </c>
      <c r="H41" s="11">
        <f>IF(F41&gt;0,F41/(1-0.15),"")</f>
        <v/>
      </c>
      <c r="I41" s="5">
        <f>IF(updatetool_MarginUpdates[[#This Row],[Item ID]]="ALL", "YES", "NO")</f>
        <v/>
      </c>
    </row>
    <row r="42">
      <c r="A42" s="5" t="inlineStr">
        <is>
          <t>PORTOR</t>
        </is>
      </c>
      <c r="B42" s="5" t="inlineStr">
        <is>
          <t>40 - EXTERIOR TRIM</t>
        </is>
      </c>
      <c r="C42" s="5" t="inlineStr">
        <is>
          <t>4011 - EXTERIOR LOUVERS</t>
        </is>
      </c>
      <c r="D42" s="5" t="inlineStr">
        <is>
          <t>ALL</t>
        </is>
      </c>
      <c r="E42" s="5" t="inlineStr"/>
      <c r="F42" s="10" t="n"/>
      <c r="G42" s="5" t="inlineStr">
        <is>
          <t>15.0%</t>
        </is>
      </c>
      <c r="H42" s="11">
        <f>IF(F42&gt;0,F42/(1-0.15),"")</f>
        <v/>
      </c>
      <c r="I42" s="5">
        <f>IF(updatetool_MarginUpdates[[#This Row],[Item ID]]="ALL", "YES", "NO")</f>
        <v/>
      </c>
    </row>
    <row r="43">
      <c r="A43" s="5" t="inlineStr">
        <is>
          <t>PORTOR</t>
        </is>
      </c>
      <c r="B43" s="5" t="inlineStr">
        <is>
          <t>40 - EXTERIOR TRIM</t>
        </is>
      </c>
      <c r="C43" s="5" t="inlineStr">
        <is>
          <t>4015 - MISC. EXTERIOR TRIM</t>
        </is>
      </c>
      <c r="D43" s="5" t="inlineStr">
        <is>
          <t>ALL</t>
        </is>
      </c>
      <c r="E43" s="5" t="inlineStr"/>
      <c r="F43" s="10" t="n"/>
      <c r="G43" s="5" t="inlineStr">
        <is>
          <t>15.0%</t>
        </is>
      </c>
      <c r="H43" s="11">
        <f>IF(F43&gt;0,F43/(1-0.15),"")</f>
        <v/>
      </c>
      <c r="I43" s="5">
        <f>IF(updatetool_MarginUpdates[[#This Row],[Item ID]]="ALL", "YES", "NO")</f>
        <v/>
      </c>
    </row>
    <row r="44">
      <c r="A44" s="5" t="inlineStr">
        <is>
          <t>PORTOR</t>
        </is>
      </c>
      <c r="B44" s="5" t="inlineStr">
        <is>
          <t>42 - MISC BUILDING MATERIALS</t>
        </is>
      </c>
      <c r="C44" s="5" t="inlineStr">
        <is>
          <t>4203 - ADHESIVES &amp; SEALANTS</t>
        </is>
      </c>
      <c r="D44" s="5" t="inlineStr">
        <is>
          <t>ALL</t>
        </is>
      </c>
      <c r="E44" s="5" t="inlineStr"/>
      <c r="F44" s="10" t="n"/>
      <c r="G44" s="5" t="inlineStr">
        <is>
          <t>17.0%</t>
        </is>
      </c>
      <c r="H44" s="11">
        <f>IF(F44&gt;0,F44/(1-0.17),"")</f>
        <v/>
      </c>
      <c r="I44" s="5">
        <f>IF(updatetool_MarginUpdates[[#This Row],[Item ID]]="ALL", "YES", "NO")</f>
        <v/>
      </c>
    </row>
    <row r="45">
      <c r="A45" s="5" t="inlineStr">
        <is>
          <t>PORTOR</t>
        </is>
      </c>
      <c r="B45" s="5" t="inlineStr">
        <is>
          <t>42 - MISC BUILDING MATERIALS</t>
        </is>
      </c>
      <c r="C45" s="5" t="inlineStr">
        <is>
          <t>4206 - VENTS/FLASHING/GUTTER</t>
        </is>
      </c>
      <c r="D45" s="5" t="inlineStr">
        <is>
          <t>ALL</t>
        </is>
      </c>
      <c r="E45" s="5" t="inlineStr"/>
      <c r="F45" s="10" t="n"/>
      <c r="G45" s="5" t="inlineStr">
        <is>
          <t>25.0%</t>
        </is>
      </c>
      <c r="H45" s="11">
        <f>IF(F45&gt;0,F45/(1-0.25),"")</f>
        <v/>
      </c>
      <c r="I45" s="5">
        <f>IF(updatetool_MarginUpdates[[#This Row],[Item ID]]="ALL", "YES", "NO")</f>
        <v/>
      </c>
    </row>
    <row r="46">
      <c r="A46" s="5" t="inlineStr">
        <is>
          <t>PORTOR</t>
        </is>
      </c>
      <c r="B46" s="5" t="inlineStr">
        <is>
          <t>45 - HARDWARE/TOOLS</t>
        </is>
      </c>
      <c r="C46" s="5" t="inlineStr">
        <is>
          <t>4502 - CONNECTR,HANGERS,TIES,ANCHORS</t>
        </is>
      </c>
      <c r="D46" s="5" t="inlineStr">
        <is>
          <t>ALL</t>
        </is>
      </c>
      <c r="E46" s="5" t="inlineStr"/>
      <c r="F46" s="10" t="n"/>
      <c r="G46" s="5" t="inlineStr">
        <is>
          <t>25.0%</t>
        </is>
      </c>
      <c r="H46" s="11">
        <f>IF(F46&gt;0,F46/(1-0.25),"")</f>
        <v/>
      </c>
      <c r="I46" s="5">
        <f>IF(updatetool_MarginUpdates[[#This Row],[Item ID]]="ALL", "YES", "NO")</f>
        <v/>
      </c>
    </row>
    <row r="47">
      <c r="A47" s="5" t="inlineStr">
        <is>
          <t>PORTOR</t>
        </is>
      </c>
      <c r="B47" s="5" t="inlineStr">
        <is>
          <t>45 - HARDWARE/TOOLS</t>
        </is>
      </c>
      <c r="C47" s="5" t="inlineStr">
        <is>
          <t>4504 - HAND DRIVN FASTNR (NAILS,SCRW</t>
        </is>
      </c>
      <c r="D47" s="5" t="inlineStr">
        <is>
          <t>ALL</t>
        </is>
      </c>
      <c r="E47" s="5" t="inlineStr"/>
      <c r="F47" s="10" t="n"/>
      <c r="G47" s="5" t="inlineStr">
        <is>
          <t>25.0%</t>
        </is>
      </c>
      <c r="H47" s="11">
        <f>IF(F47&gt;0,F47/(1-0.25),"")</f>
        <v/>
      </c>
      <c r="I47" s="5">
        <f>IF(updatetool_MarginUpdates[[#This Row],[Item ID]]="ALL", "YES", "NO")</f>
        <v/>
      </c>
    </row>
    <row r="48">
      <c r="A48" s="5" t="inlineStr">
        <is>
          <t>PORTOR</t>
        </is>
      </c>
      <c r="B48" s="5" t="inlineStr">
        <is>
          <t>45 - HARDWARE/TOOLS</t>
        </is>
      </c>
      <c r="C48" s="5" t="inlineStr">
        <is>
          <t>4505 - PNEUMATIC FASTENERS, ACCESSORI</t>
        </is>
      </c>
      <c r="D48" s="5" t="inlineStr">
        <is>
          <t>ALL</t>
        </is>
      </c>
      <c r="E48" s="5" t="inlineStr"/>
      <c r="F48" s="10" t="n"/>
      <c r="G48" s="5" t="inlineStr">
        <is>
          <t>25.0%</t>
        </is>
      </c>
      <c r="H48" s="11">
        <f>IF(F48&gt;0,F48/(1-0.25),"")</f>
        <v/>
      </c>
      <c r="I48" s="5">
        <f>IF(updatetool_MarginUpdates[[#This Row],[Item ID]]="ALL", "YES", "NO")</f>
        <v/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2025-10-07T22:18:53Z</dcterms:created>
  <dcterms:modified xsi:type="dcterms:W3CDTF">2025-10-07T22:18:53Z</dcterms:modified>
</cp:coreProperties>
</file>