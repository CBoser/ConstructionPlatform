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tables/table1.xml" ContentType="application/vnd.openxmlformats-officedocument.spreadsheetml.table+xml"/>
  <Override PartName="/xl/comments12.xml" ContentType="application/vnd.openxmlformats-officedocument.spreadsheetml.comments+xml"/>
  <Override PartName="/xl/tables/table2.xml" ContentType="application/vnd.openxmlformats-officedocument.spreadsheetml.table+xml"/>
  <Override PartName="/xl/comments13.xml" ContentType="application/vnd.openxmlformats-officedocument.spreadsheetml.comments+xml"/>
  <Override PartName="/xl/threadedComments/threadedComment4.xml" ContentType="application/vnd.ms-excel.threaded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corey_boser_bldr_com/Documents/"/>
    </mc:Choice>
  </mc:AlternateContent>
  <xr:revisionPtr revIDLastSave="18479" documentId="8_{765EC5C7-D097-4FCA-8353-32EA695AEF2C}" xr6:coauthVersionLast="47" xr6:coauthVersionMax="47" xr10:uidLastSave="{91BEC76E-BBE0-4A96-AE88-B760296B0AF1}"/>
  <bookViews>
    <workbookView xWindow="-110" yWindow="-10910" windowWidth="25820" windowHeight="10300" tabRatio="705" firstSheet="5" activeTab="5" xr2:uid="{00000000-000D-0000-FFFF-FFFF00000000}"/>
  </bookViews>
  <sheets>
    <sheet name="EPO Extravagansa" sheetId="26" r:id="rId1"/>
    <sheet name="PLAN OPTIONS" sheetId="20" r:id="rId2"/>
    <sheet name="UPDATED PLAN OPTIONS" sheetId="27" r:id="rId3"/>
    <sheet name="BATTLE CREEK" sheetId="30" r:id="rId4"/>
    <sheet name="CASCADIA RIDGE" sheetId="10" r:id="rId5"/>
    <sheet name="LUDEN ESTATES" sheetId="29" r:id="rId6"/>
    <sheet name="NORTH HAVEN" sheetId="24" r:id="rId7"/>
    <sheet name="MAPLE GROVE" sheetId="25" r:id="rId8"/>
    <sheet name="REEDS CROSSING PHASE 2D" sheetId="28" r:id="rId9"/>
    <sheet name="RIVERWALK" sheetId="32" r:id="rId10"/>
    <sheet name="VERONA HEIGHTS" sheetId="31" r:id="rId11"/>
    <sheet name="COOPER GROVE ESTATES" sheetId="14" r:id="rId12"/>
    <sheet name="FROG POND PHASE 2" sheetId="22" r:id="rId13"/>
    <sheet name="FROG POND RIDGE" sheetId="12" r:id="rId14"/>
    <sheet name="PARKERS LANDING" sheetId="17" r:id="rId15"/>
    <sheet name="REEDS CROSSING PHASE 2A" sheetId="21" r:id="rId16"/>
    <sheet name="REEDS CROSSING 3AB" sheetId="13" r:id="rId17"/>
    <sheet name="SCHOLLS HEIGHTS" sheetId="18" r:id="rId18"/>
    <sheet name="TRAILHEAD ESTATES " sheetId="19" r:id="rId19"/>
    <sheet name="EPO's " sheetId="15" r:id="rId20"/>
    <sheet name="COMPLETED EPO'S" sheetId="16" r:id="rId21"/>
    <sheet name="To Do" sheetId="5" r:id="rId22"/>
    <sheet name="Boones Crossing" sheetId="1" r:id="rId23"/>
    <sheet name="Done" sheetId="6" r:id="rId24"/>
    <sheet name="Redwood Landing 3" sheetId="11" r:id="rId25"/>
    <sheet name="Kemper Grove" sheetId="3" r:id="rId26"/>
    <sheet name="Kemper Loop" sheetId="2" r:id="rId27"/>
    <sheet name="Redwood Landing II" sheetId="4" r:id="rId28"/>
    <sheet name="EPOs" sheetId="7" r:id="rId29"/>
    <sheet name="Completed EPOs" sheetId="8" r:id="rId30"/>
    <sheet name="EPO Request Form" sheetId="9" r:id="rId31"/>
  </sheets>
  <definedNames>
    <definedName name="_xlnm._FilterDatabase" localSheetId="3" hidden="1">'BATTLE CREEK'!$A$2:$BP$49</definedName>
    <definedName name="_xlnm._FilterDatabase" localSheetId="4" hidden="1">'CASCADIA RIDGE'!$A$2:$CY$67</definedName>
    <definedName name="_xlnm._FilterDatabase" localSheetId="5" hidden="1">'LUDEN ESTATES'!$A$2:$CI$2</definedName>
    <definedName name="_xlnm._FilterDatabase" localSheetId="7" hidden="1">'MAPLE GROVE'!$B$2:$C$110</definedName>
    <definedName name="_xlnm._FilterDatabase" localSheetId="6" hidden="1">'NORTH HAVEN'!$A$2:$BA$90</definedName>
    <definedName name="_xlnm._FilterDatabase" localSheetId="14" hidden="1">'PARKERS LANDING'!$A$2:$CP$49</definedName>
    <definedName name="_xlnm._FilterDatabase" localSheetId="1" hidden="1">'PLAN OPTIONS'!$A$3:$E$3</definedName>
    <definedName name="_xlnm._FilterDatabase" localSheetId="24" hidden="1">'Redwood Landing 3'!$A$1:$AU$73</definedName>
    <definedName name="_xlnm._FilterDatabase" localSheetId="8" hidden="1">'REEDS CROSSING PHASE 2D'!$A$2:$MK$2</definedName>
    <definedName name="_xlnm._FilterDatabase" localSheetId="9" hidden="1">RIVERWALK!$A$2:$BV$2</definedName>
    <definedName name="_xlnm._FilterDatabase" localSheetId="17" hidden="1">'SCHOLLS HEIGHTS'!$A$2:$CP$2</definedName>
    <definedName name="_xlnm._FilterDatabase" localSheetId="2" hidden="1">'UPDATED PLAN OPTIONS'!$A$3:$E$3</definedName>
    <definedName name="_xlnm._FilterDatabase" localSheetId="10" hidden="1">'VERONA HEIGHTS'!$A$2:$CD$2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11" i="31" l="1"/>
  <c r="CB39" i="29"/>
  <c r="CB37" i="29"/>
  <c r="CB36" i="29"/>
  <c r="AM37" i="24"/>
  <c r="BA35" i="30"/>
  <c r="BE27" i="32"/>
  <c r="BE29" i="32"/>
  <c r="BO10" i="31"/>
  <c r="BO12" i="31"/>
  <c r="AM63" i="24"/>
  <c r="AM68" i="24"/>
  <c r="AM65" i="24"/>
  <c r="BE3" i="32"/>
  <c r="AZ36" i="30"/>
  <c r="AZ37" i="30"/>
  <c r="AZ38" i="30"/>
  <c r="AZ39" i="30"/>
  <c r="AZ40" i="30"/>
  <c r="AZ41" i="30"/>
  <c r="AZ42" i="30"/>
  <c r="AZ43" i="30"/>
  <c r="AZ44" i="30"/>
  <c r="AZ45" i="30"/>
  <c r="AZ46" i="30"/>
  <c r="AZ47" i="30"/>
  <c r="AZ48" i="30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AZ62" i="30"/>
  <c r="AZ18" i="30"/>
  <c r="AZ19" i="30"/>
  <c r="AZ20" i="30"/>
  <c r="AZ21" i="30"/>
  <c r="AZ22" i="30"/>
  <c r="AZ23" i="30"/>
  <c r="AZ24" i="30"/>
  <c r="AZ25" i="30"/>
  <c r="AZ26" i="30"/>
  <c r="AZ27" i="30"/>
  <c r="AZ28" i="30"/>
  <c r="AZ29" i="30"/>
  <c r="AZ30" i="30"/>
  <c r="AZ31" i="30"/>
  <c r="AZ32" i="30"/>
  <c r="AZ33" i="30"/>
  <c r="AZ34" i="30"/>
  <c r="AZ35" i="30"/>
  <c r="BA3" i="30"/>
  <c r="BA4" i="30"/>
  <c r="BA5" i="30"/>
  <c r="BA6" i="30"/>
  <c r="BA7" i="30"/>
  <c r="BA8" i="30"/>
  <c r="BA9" i="30"/>
  <c r="BA10" i="30"/>
  <c r="BA11" i="30"/>
  <c r="BA12" i="30"/>
  <c r="BA13" i="30"/>
  <c r="BA14" i="30"/>
  <c r="BA15" i="30"/>
  <c r="BA16" i="30"/>
  <c r="BA17" i="30"/>
  <c r="BA18" i="30"/>
  <c r="BA19" i="30"/>
  <c r="BA20" i="30"/>
  <c r="BA21" i="30"/>
  <c r="BA22" i="30"/>
  <c r="BA23" i="30"/>
  <c r="BA24" i="30"/>
  <c r="BA25" i="30"/>
  <c r="BA26" i="30"/>
  <c r="BA27" i="30"/>
  <c r="BA28" i="30"/>
  <c r="BA29" i="30"/>
  <c r="BA30" i="30"/>
  <c r="BA31" i="30"/>
  <c r="BA32" i="30"/>
  <c r="BA33" i="30"/>
  <c r="BA34" i="30"/>
  <c r="BA36" i="30"/>
  <c r="BA37" i="30"/>
  <c r="BA38" i="30"/>
  <c r="BA39" i="30"/>
  <c r="BA40" i="30"/>
  <c r="BA41" i="30"/>
  <c r="BA42" i="30"/>
  <c r="BA43" i="30"/>
  <c r="BA44" i="30"/>
  <c r="BA45" i="30"/>
  <c r="BA46" i="30"/>
  <c r="BA47" i="30"/>
  <c r="BA48" i="30"/>
  <c r="BA49" i="30"/>
  <c r="BA50" i="30"/>
  <c r="BA51" i="30"/>
  <c r="BA52" i="30"/>
  <c r="BA53" i="30"/>
  <c r="BA54" i="30"/>
  <c r="BA56" i="30"/>
  <c r="BA57" i="30"/>
  <c r="BA58" i="30"/>
  <c r="BA59" i="30"/>
  <c r="BA60" i="30"/>
  <c r="BA61" i="30"/>
  <c r="BA62" i="30"/>
  <c r="BO13" i="31"/>
  <c r="BE20" i="32"/>
  <c r="BE28" i="32"/>
  <c r="AM66" i="24"/>
  <c r="AJ12" i="28"/>
  <c r="AI12" i="28"/>
  <c r="AJ9" i="28"/>
  <c r="AI9" i="28"/>
  <c r="AJ3" i="28"/>
  <c r="AM67" i="24"/>
  <c r="BE26" i="32"/>
  <c r="CB28" i="29"/>
  <c r="L8" i="28"/>
  <c r="AJ6" i="28"/>
  <c r="AI6" i="28"/>
  <c r="AI3" i="28"/>
  <c r="BE4" i="32"/>
  <c r="CM37" i="10"/>
  <c r="BE5" i="32"/>
  <c r="BE6" i="32"/>
  <c r="BE7" i="32"/>
  <c r="BE8" i="32"/>
  <c r="BE9" i="32"/>
  <c r="BE10" i="32"/>
  <c r="BE11" i="32"/>
  <c r="BE12" i="32"/>
  <c r="BE13" i="32"/>
  <c r="BE14" i="32"/>
  <c r="BE15" i="32"/>
  <c r="BE16" i="32"/>
  <c r="BE17" i="32"/>
  <c r="BE18" i="32"/>
  <c r="BE19" i="32"/>
  <c r="BE21" i="32"/>
  <c r="BE22" i="32"/>
  <c r="BE23" i="32"/>
  <c r="BE24" i="32"/>
  <c r="BE25" i="32"/>
  <c r="BA55" i="30"/>
  <c r="BN6" i="31"/>
  <c r="BO6" i="31"/>
  <c r="CL57" i="10"/>
  <c r="CM57" i="10"/>
  <c r="CL60" i="10"/>
  <c r="CM60" i="10"/>
  <c r="CM59" i="10"/>
  <c r="BO7" i="31"/>
  <c r="BO8" i="31"/>
  <c r="BO9" i="31"/>
  <c r="BO14" i="31"/>
  <c r="BO15" i="31"/>
  <c r="BO16" i="31"/>
  <c r="BO17" i="31"/>
  <c r="BO18" i="31"/>
  <c r="BO19" i="31"/>
  <c r="BO3" i="31"/>
  <c r="BO4" i="31"/>
  <c r="BO5" i="31"/>
  <c r="CB29" i="29"/>
  <c r="CB31" i="29"/>
  <c r="CB26" i="29"/>
  <c r="CM58" i="10"/>
  <c r="CM67" i="10"/>
  <c r="AM35" i="24"/>
  <c r="CL38" i="10"/>
  <c r="CM38" i="10"/>
  <c r="CB42" i="29"/>
  <c r="CB41" i="29"/>
  <c r="CB24" i="29"/>
  <c r="CB25" i="29"/>
  <c r="CB43" i="29"/>
  <c r="AJ15" i="28"/>
  <c r="AJ18" i="28"/>
  <c r="AI18" i="28"/>
  <c r="AI15" i="28"/>
  <c r="CB44" i="29"/>
  <c r="CM41" i="10"/>
  <c r="AM70" i="24"/>
  <c r="AJ23" i="28"/>
  <c r="AJ20" i="28"/>
  <c r="AM69" i="24"/>
  <c r="CM39" i="10"/>
  <c r="CM36" i="10"/>
  <c r="AM72" i="24"/>
  <c r="AM71" i="24"/>
  <c r="AJ29" i="28"/>
  <c r="AJ32" i="28"/>
  <c r="AJ26" i="28"/>
  <c r="AB34" i="25"/>
  <c r="AJ35" i="28"/>
  <c r="AI35" i="28"/>
  <c r="AI32" i="28"/>
  <c r="AB40" i="25"/>
  <c r="CB22" i="29"/>
  <c r="CL19" i="10"/>
  <c r="AA43" i="25"/>
  <c r="AA46" i="25"/>
  <c r="CA34" i="29"/>
  <c r="CA35" i="29"/>
  <c r="CA36" i="29"/>
  <c r="CA37" i="29"/>
  <c r="CA38" i="29"/>
  <c r="CA39" i="29"/>
  <c r="CA40" i="29"/>
  <c r="CA41" i="29"/>
  <c r="CA42" i="29"/>
  <c r="CA43" i="29"/>
  <c r="CA6" i="29"/>
  <c r="CA7" i="29"/>
  <c r="CA8" i="29"/>
  <c r="CA9" i="29"/>
  <c r="CA10" i="29"/>
  <c r="CA11" i="29"/>
  <c r="CA12" i="29"/>
  <c r="CA13" i="29"/>
  <c r="CA14" i="29"/>
  <c r="CA15" i="29"/>
  <c r="CA16" i="29"/>
  <c r="CA17" i="29"/>
  <c r="CA18" i="29"/>
  <c r="CA19" i="29"/>
  <c r="CA20" i="29"/>
  <c r="CA21" i="29"/>
  <c r="CA22" i="29"/>
  <c r="CA23" i="29"/>
  <c r="CA24" i="29"/>
  <c r="CA25" i="29"/>
  <c r="CA26" i="29"/>
  <c r="CA27" i="29"/>
  <c r="CA28" i="29"/>
  <c r="CA29" i="29"/>
  <c r="CA30" i="29"/>
  <c r="CA31" i="29"/>
  <c r="CA32" i="29"/>
  <c r="CA33" i="29"/>
  <c r="CB34" i="29"/>
  <c r="CB35" i="29"/>
  <c r="CB38" i="29"/>
  <c r="CB40" i="29"/>
  <c r="CB6" i="29"/>
  <c r="CB7" i="29"/>
  <c r="CB8" i="29"/>
  <c r="CB9" i="29"/>
  <c r="CB10" i="29"/>
  <c r="CB11" i="29"/>
  <c r="CB12" i="29"/>
  <c r="CB13" i="29"/>
  <c r="CB14" i="29"/>
  <c r="CB15" i="29"/>
  <c r="CB16" i="29"/>
  <c r="CB17" i="29"/>
  <c r="CB18" i="29"/>
  <c r="CB19" i="29"/>
  <c r="CB20" i="29"/>
  <c r="CB21" i="29"/>
  <c r="CB23" i="29"/>
  <c r="CB27" i="29"/>
  <c r="CB30" i="29"/>
  <c r="CB32" i="29"/>
  <c r="CB33" i="29"/>
  <c r="CM15" i="10"/>
  <c r="CL15" i="10"/>
  <c r="AI29" i="28"/>
  <c r="AI26" i="28"/>
  <c r="CM10" i="10"/>
  <c r="CA16" i="17"/>
  <c r="CL39" i="10"/>
  <c r="CM40" i="10"/>
  <c r="CL18" i="10"/>
  <c r="CL41" i="10"/>
  <c r="CM25" i="10"/>
  <c r="AI23" i="28"/>
  <c r="AI20" i="28"/>
  <c r="L103" i="28"/>
  <c r="L91" i="28"/>
  <c r="L85" i="28"/>
  <c r="L76" i="28"/>
  <c r="L70" i="28"/>
  <c r="L67" i="28"/>
  <c r="L5" i="28"/>
  <c r="AM75" i="24"/>
  <c r="AM77" i="24"/>
  <c r="CL16" i="10"/>
  <c r="AB109" i="25"/>
  <c r="AA109" i="25"/>
  <c r="CM23" i="10"/>
  <c r="AB64" i="25"/>
  <c r="CA12" i="17"/>
  <c r="BZ16" i="17"/>
  <c r="CM14" i="10"/>
  <c r="AM17" i="24"/>
  <c r="AM18" i="24"/>
  <c r="CA15" i="17"/>
  <c r="AA76" i="25"/>
  <c r="AM78" i="24"/>
  <c r="AM76" i="24"/>
  <c r="AM32" i="24"/>
  <c r="AM33" i="24"/>
  <c r="AM34" i="24"/>
  <c r="AM36" i="24"/>
  <c r="AM38" i="24"/>
  <c r="AM39" i="24"/>
  <c r="AM40" i="24"/>
  <c r="AM41" i="24"/>
  <c r="AM42" i="24"/>
  <c r="AM43" i="24"/>
  <c r="AM44" i="24"/>
  <c r="AM45" i="24"/>
  <c r="AM46" i="24"/>
  <c r="AM47" i="24"/>
  <c r="AM48" i="24"/>
  <c r="AM31" i="24"/>
  <c r="AE20" i="21"/>
  <c r="AF20" i="21"/>
  <c r="AE19" i="21"/>
  <c r="AF19" i="21"/>
  <c r="AB79" i="25"/>
  <c r="CA14" i="17"/>
  <c r="CA13" i="17"/>
  <c r="CM22" i="10"/>
  <c r="CM13" i="10"/>
  <c r="CM12" i="10"/>
  <c r="CL11" i="10"/>
  <c r="CL10" i="10"/>
  <c r="CM11" i="10"/>
  <c r="CM24" i="10"/>
  <c r="AB100" i="25"/>
  <c r="AB103" i="25"/>
  <c r="AB106" i="25"/>
  <c r="AA82" i="25"/>
  <c r="AB82" i="25"/>
  <c r="AA85" i="25"/>
  <c r="AA88" i="25"/>
  <c r="AB97" i="25"/>
  <c r="CA11" i="17"/>
  <c r="CM16" i="10"/>
  <c r="CM17" i="10"/>
  <c r="CM18" i="10"/>
  <c r="CM19" i="10"/>
  <c r="CM20" i="10"/>
  <c r="CM21" i="10"/>
  <c r="CM26" i="10"/>
  <c r="AB19" i="25"/>
  <c r="AB4" i="25"/>
  <c r="AB7" i="25"/>
  <c r="AB10" i="25"/>
  <c r="AB13" i="25"/>
  <c r="AB16" i="25"/>
  <c r="AB22" i="25"/>
  <c r="AB25" i="25"/>
  <c r="AB28" i="25"/>
  <c r="AB31" i="25"/>
  <c r="AB37" i="25"/>
  <c r="AB43" i="25"/>
  <c r="AB46" i="25"/>
  <c r="AB49" i="25"/>
  <c r="AB52" i="25"/>
  <c r="AB55" i="25"/>
  <c r="AB58" i="25"/>
  <c r="AB61" i="25"/>
  <c r="AB67" i="25"/>
  <c r="AB70" i="25"/>
  <c r="AB73" i="25"/>
  <c r="AB76" i="25"/>
  <c r="AB85" i="25"/>
  <c r="AB88" i="25"/>
  <c r="AA106" i="25"/>
  <c r="AA103" i="25"/>
  <c r="AA100" i="25"/>
  <c r="AA97" i="25"/>
  <c r="AA94" i="25"/>
  <c r="AA91" i="25"/>
  <c r="AO109" i="25"/>
  <c r="AO91" i="25"/>
  <c r="AO94" i="25"/>
  <c r="AO97" i="25"/>
  <c r="AO100" i="25"/>
  <c r="AB94" i="25"/>
  <c r="AB91" i="25"/>
  <c r="CO34" i="17"/>
  <c r="AO106" i="25"/>
  <c r="CO33" i="17"/>
  <c r="BZ11" i="17"/>
  <c r="BZ12" i="17"/>
  <c r="BZ34" i="17"/>
  <c r="BZ33" i="17"/>
  <c r="CA34" i="17"/>
  <c r="CA33" i="17"/>
  <c r="AO13" i="25"/>
  <c r="CX3" i="10"/>
  <c r="CM34" i="10"/>
  <c r="CW9" i="10"/>
  <c r="CX9" i="10"/>
  <c r="CL9" i="10"/>
  <c r="CM9" i="10"/>
  <c r="CM8" i="10"/>
  <c r="CW8" i="10"/>
  <c r="CX8" i="10"/>
  <c r="CL8" i="10"/>
  <c r="CO38" i="17"/>
  <c r="CO35" i="17"/>
  <c r="AS13" i="21"/>
  <c r="AS14" i="21"/>
  <c r="CL36" i="10"/>
  <c r="CX36" i="10"/>
  <c r="CL3" i="10"/>
  <c r="CM3" i="10"/>
  <c r="CO23" i="17"/>
  <c r="CH9" i="18"/>
  <c r="CI9" i="18"/>
  <c r="CP9" i="18"/>
  <c r="CO37" i="17"/>
  <c r="CA38" i="17"/>
  <c r="CO48" i="17"/>
  <c r="BZ22" i="17"/>
  <c r="CA22" i="17"/>
  <c r="BZ21" i="17"/>
  <c r="CA21" i="17"/>
  <c r="CO36" i="17"/>
  <c r="CX34" i="10"/>
  <c r="CL34" i="10"/>
  <c r="BZ36" i="17"/>
  <c r="CA36" i="17"/>
  <c r="CI17" i="18"/>
  <c r="CP17" i="18"/>
  <c r="CH17" i="18"/>
  <c r="BZ35" i="17"/>
  <c r="CA35" i="17"/>
  <c r="CM35" i="10"/>
  <c r="CM61" i="10"/>
  <c r="CL61" i="10"/>
  <c r="CX61" i="10"/>
  <c r="CX32" i="10"/>
  <c r="CW32" i="10"/>
  <c r="CA23" i="17"/>
  <c r="CA24" i="17"/>
  <c r="BZ24" i="17"/>
  <c r="BZ23" i="17"/>
  <c r="AS17" i="21"/>
  <c r="AE17" i="21"/>
  <c r="AE16" i="21"/>
  <c r="CM56" i="10"/>
  <c r="CX56" i="10"/>
  <c r="CM32" i="10"/>
  <c r="CM65" i="10"/>
  <c r="AW87" i="24"/>
  <c r="AW83" i="24"/>
  <c r="AV81" i="24"/>
  <c r="AF17" i="21"/>
  <c r="AF16" i="21"/>
  <c r="AS16" i="21"/>
  <c r="CM31" i="10"/>
  <c r="CX31" i="10"/>
  <c r="CP16" i="18"/>
  <c r="CH16" i="18"/>
  <c r="CO27" i="17"/>
  <c r="BZ37" i="17"/>
  <c r="CA37" i="17"/>
  <c r="AW73" i="24"/>
  <c r="CO19" i="17"/>
  <c r="CO20" i="17"/>
  <c r="CO21" i="17"/>
  <c r="CO22" i="17"/>
  <c r="CO24" i="17"/>
  <c r="BZ20" i="17"/>
  <c r="CA20" i="17"/>
  <c r="CO47" i="17"/>
  <c r="CO15" i="18"/>
  <c r="CP15" i="18"/>
  <c r="AW74" i="24"/>
  <c r="AM73" i="24"/>
  <c r="CP14" i="18"/>
  <c r="CH14" i="18"/>
  <c r="H54" i="25"/>
  <c r="H51" i="25"/>
  <c r="H3" i="25"/>
  <c r="CO45" i="17"/>
  <c r="CO25" i="17"/>
  <c r="CA25" i="17"/>
  <c r="CA26" i="17"/>
  <c r="AW16" i="24"/>
  <c r="AW15" i="24"/>
  <c r="AW85" i="24"/>
  <c r="AL85" i="24"/>
  <c r="AM85" i="24"/>
  <c r="AV85" i="24"/>
  <c r="AW86" i="24"/>
  <c r="AW81" i="24"/>
  <c r="BZ48" i="17"/>
  <c r="CA48" i="17"/>
  <c r="CI18" i="18"/>
  <c r="CA28" i="17"/>
  <c r="CO28" i="17"/>
  <c r="BZ28" i="17"/>
  <c r="CL56" i="10"/>
  <c r="CP8" i="18"/>
  <c r="CH8" i="18"/>
  <c r="CI8" i="18"/>
  <c r="CM33" i="10"/>
  <c r="CA47" i="17"/>
  <c r="AE14" i="21"/>
  <c r="AE13" i="21"/>
  <c r="AF14" i="21"/>
  <c r="AF13" i="21"/>
  <c r="CX54" i="10"/>
  <c r="CA19" i="17"/>
  <c r="BZ19" i="17"/>
  <c r="AW14" i="24"/>
  <c r="AW13" i="24"/>
  <c r="AW12" i="24"/>
  <c r="AW11" i="24"/>
  <c r="CA49" i="17"/>
  <c r="CI14" i="18"/>
  <c r="CI15" i="18"/>
  <c r="CI16" i="18"/>
  <c r="CA27" i="17"/>
  <c r="BZ27" i="17"/>
  <c r="AM29" i="24"/>
  <c r="AW29" i="24"/>
  <c r="AW30" i="24"/>
  <c r="CI13" i="18"/>
  <c r="CM30" i="10"/>
  <c r="AM13" i="24"/>
  <c r="AM11" i="24"/>
  <c r="CI12" i="18"/>
  <c r="CA46" i="17"/>
  <c r="AW5" i="24"/>
  <c r="CM27" i="10"/>
  <c r="CX27" i="10"/>
  <c r="AW50" i="24"/>
  <c r="AW49" i="24"/>
  <c r="CN45" i="17"/>
  <c r="BZ45" i="17"/>
  <c r="CA45" i="17"/>
  <c r="AW27" i="24"/>
  <c r="AM49" i="24"/>
  <c r="AM50" i="24"/>
  <c r="AM83" i="24"/>
  <c r="CO40" i="17"/>
  <c r="AS11" i="21"/>
  <c r="AS10" i="21"/>
  <c r="CX30" i="10"/>
  <c r="CO43" i="17"/>
  <c r="CP12" i="18"/>
  <c r="CP13" i="18"/>
  <c r="AF10" i="21"/>
  <c r="AF11" i="21"/>
  <c r="AS41" i="21"/>
  <c r="AF41" i="21"/>
  <c r="AM79" i="24"/>
  <c r="AW79" i="24"/>
  <c r="AM7" i="24"/>
  <c r="AF40" i="21"/>
  <c r="AE41" i="21"/>
  <c r="AE40" i="21"/>
  <c r="AS40" i="21"/>
  <c r="CM55" i="10"/>
  <c r="CX43" i="10"/>
  <c r="AM9" i="24"/>
  <c r="AM8" i="24"/>
  <c r="AW8" i="24"/>
  <c r="AW7" i="24"/>
  <c r="AW80" i="24"/>
  <c r="AS8" i="21"/>
  <c r="AF8" i="21"/>
  <c r="AF7" i="21"/>
  <c r="AS7" i="21"/>
  <c r="AS29" i="21"/>
  <c r="AS28" i="21"/>
  <c r="CO6" i="18"/>
  <c r="CP6" i="18"/>
  <c r="CI6" i="18"/>
  <c r="AS32" i="21"/>
  <c r="AS31" i="21"/>
  <c r="CX55" i="10"/>
  <c r="AF5" i="21"/>
  <c r="AF4" i="21"/>
  <c r="AS5" i="21"/>
  <c r="AS4" i="21"/>
  <c r="AE8" i="21"/>
  <c r="AE7" i="21"/>
  <c r="AM74" i="24"/>
  <c r="AM64" i="24"/>
  <c r="CM6" i="10"/>
  <c r="CM7" i="10"/>
  <c r="CX7" i="10"/>
  <c r="CO44" i="17"/>
  <c r="CA43" i="17"/>
  <c r="BL14" i="14"/>
  <c r="CN41" i="17"/>
  <c r="CN40" i="17"/>
  <c r="CO42" i="17"/>
  <c r="CN42" i="17"/>
  <c r="CO41" i="17"/>
  <c r="CX6" i="10"/>
  <c r="AM27" i="24"/>
  <c r="CA41" i="17"/>
  <c r="CA40" i="17"/>
  <c r="CX42" i="10"/>
  <c r="CA44" i="17"/>
  <c r="AR32" i="21"/>
  <c r="CA42" i="17"/>
  <c r="AM87" i="24"/>
  <c r="L42" i="21"/>
  <c r="L41" i="21"/>
  <c r="L40" i="21"/>
  <c r="L20" i="21"/>
  <c r="L19" i="21"/>
  <c r="L17" i="21"/>
  <c r="L16" i="21"/>
  <c r="L14" i="21"/>
  <c r="L13" i="21"/>
  <c r="L11" i="21"/>
  <c r="L10" i="21"/>
  <c r="L8" i="21"/>
  <c r="L7" i="21"/>
  <c r="L5" i="21"/>
  <c r="L4" i="21"/>
  <c r="AF32" i="21"/>
  <c r="AE32" i="21"/>
  <c r="AR31" i="21"/>
  <c r="AF31" i="21"/>
  <c r="AE31" i="21"/>
  <c r="L30" i="21"/>
  <c r="L21" i="21"/>
  <c r="AF35" i="21"/>
  <c r="AF29" i="21"/>
  <c r="AF28" i="21"/>
  <c r="L33" i="21"/>
  <c r="CM42" i="10"/>
  <c r="CM54" i="10"/>
  <c r="CO6" i="17"/>
  <c r="CO7" i="17"/>
  <c r="AW88" i="24"/>
  <c r="AM5" i="24"/>
  <c r="AM4" i="24"/>
  <c r="AL4" i="24"/>
  <c r="CI11" i="18"/>
  <c r="CP11" i="18"/>
  <c r="AS38" i="21"/>
  <c r="AS37" i="21"/>
  <c r="CP23" i="18"/>
  <c r="CI23" i="18"/>
  <c r="CM43" i="10"/>
  <c r="CI7" i="18"/>
  <c r="AS35" i="21"/>
  <c r="AF34" i="21"/>
  <c r="AS34" i="21"/>
  <c r="L36" i="21"/>
  <c r="L35" i="21"/>
  <c r="L34" i="21"/>
  <c r="CP7" i="18"/>
  <c r="AM90" i="24"/>
  <c r="AW6" i="24"/>
  <c r="AS53" i="21"/>
  <c r="AS52" i="21"/>
  <c r="CO3" i="17"/>
  <c r="CO4" i="17"/>
  <c r="CO5" i="17"/>
  <c r="CO8" i="17"/>
  <c r="CO9" i="17"/>
  <c r="CO10" i="17"/>
  <c r="CO11" i="17"/>
  <c r="CO12" i="17"/>
  <c r="CO13" i="17"/>
  <c r="CO14" i="17"/>
  <c r="CO15" i="17"/>
  <c r="CO16" i="17"/>
  <c r="CA8" i="17"/>
  <c r="CA7" i="17"/>
  <c r="AL3" i="24"/>
  <c r="AL5" i="24"/>
  <c r="AL6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L39" i="24"/>
  <c r="AL40" i="24"/>
  <c r="AL41" i="24"/>
  <c r="AL42" i="24"/>
  <c r="AL43" i="24"/>
  <c r="AL44" i="24"/>
  <c r="AL45" i="24"/>
  <c r="AL46" i="24"/>
  <c r="AL47" i="24"/>
  <c r="AL48" i="24"/>
  <c r="AL49" i="24"/>
  <c r="AL50" i="24"/>
  <c r="AL51" i="24"/>
  <c r="AL52" i="24"/>
  <c r="AL53" i="24"/>
  <c r="AL54" i="24"/>
  <c r="AL55" i="24"/>
  <c r="AL56" i="24"/>
  <c r="AL57" i="24"/>
  <c r="AL58" i="24"/>
  <c r="AL59" i="24"/>
  <c r="AL60" i="24"/>
  <c r="AL61" i="24"/>
  <c r="AL62" i="24"/>
  <c r="AL63" i="24"/>
  <c r="AL64" i="24"/>
  <c r="AL65" i="24"/>
  <c r="AL66" i="24"/>
  <c r="AL67" i="24"/>
  <c r="AL68" i="24"/>
  <c r="AL69" i="24"/>
  <c r="AL70" i="24"/>
  <c r="AL71" i="24"/>
  <c r="AL72" i="24"/>
  <c r="AL73" i="24"/>
  <c r="AL74" i="24"/>
  <c r="AL75" i="24"/>
  <c r="AL76" i="24"/>
  <c r="AL77" i="24"/>
  <c r="AL78" i="24"/>
  <c r="AL79" i="24"/>
  <c r="AL80" i="24"/>
  <c r="AL81" i="24"/>
  <c r="AL82" i="24"/>
  <c r="AL83" i="24"/>
  <c r="AL84" i="24"/>
  <c r="AL86" i="24"/>
  <c r="AL87" i="24"/>
  <c r="AL88" i="24"/>
  <c r="AL89" i="24"/>
  <c r="AL90" i="24"/>
  <c r="AV4" i="24"/>
  <c r="AV5" i="24"/>
  <c r="AV6" i="24"/>
  <c r="AV7" i="24"/>
  <c r="AV8" i="24"/>
  <c r="AV10" i="24"/>
  <c r="AV11" i="24"/>
  <c r="AV12" i="24"/>
  <c r="AV13" i="24"/>
  <c r="AV14" i="24"/>
  <c r="AV15" i="24"/>
  <c r="AV16" i="24"/>
  <c r="AV17" i="24"/>
  <c r="AV18" i="24"/>
  <c r="AV19" i="24"/>
  <c r="AV20" i="24"/>
  <c r="AV21" i="24"/>
  <c r="AV22" i="24"/>
  <c r="AV23" i="24"/>
  <c r="AV24" i="24"/>
  <c r="AV25" i="24"/>
  <c r="AV26" i="24"/>
  <c r="AV27" i="24"/>
  <c r="AV28" i="24"/>
  <c r="AV29" i="24"/>
  <c r="AV30" i="24"/>
  <c r="AV31" i="24"/>
  <c r="AV32" i="24"/>
  <c r="AV33" i="24"/>
  <c r="AV34" i="24"/>
  <c r="AV35" i="24"/>
  <c r="AV36" i="24"/>
  <c r="AV37" i="24"/>
  <c r="AV38" i="24"/>
  <c r="AV39" i="24"/>
  <c r="AV40" i="24"/>
  <c r="AV41" i="24"/>
  <c r="AV42" i="24"/>
  <c r="AV43" i="24"/>
  <c r="AV44" i="24"/>
  <c r="AV45" i="24"/>
  <c r="AV46" i="24"/>
  <c r="AV47" i="24"/>
  <c r="AV48" i="24"/>
  <c r="AV49" i="24"/>
  <c r="AV50" i="24"/>
  <c r="AV51" i="24"/>
  <c r="AV52" i="24"/>
  <c r="AV53" i="24"/>
  <c r="AV54" i="24"/>
  <c r="AV55" i="24"/>
  <c r="AV56" i="24"/>
  <c r="AV57" i="24"/>
  <c r="AV58" i="24"/>
  <c r="AV59" i="24"/>
  <c r="AV60" i="24"/>
  <c r="AV61" i="24"/>
  <c r="AV62" i="24"/>
  <c r="AV63" i="24"/>
  <c r="AV64" i="24"/>
  <c r="AV65" i="24"/>
  <c r="AV66" i="24"/>
  <c r="AV67" i="24"/>
  <c r="AV68" i="24"/>
  <c r="AV69" i="24"/>
  <c r="AV70" i="24"/>
  <c r="AV71" i="24"/>
  <c r="AV72" i="24"/>
  <c r="AV73" i="24"/>
  <c r="AV74" i="24"/>
  <c r="AV75" i="24"/>
  <c r="AV76" i="24"/>
  <c r="AV77" i="24"/>
  <c r="AV78" i="24"/>
  <c r="AV79" i="24"/>
  <c r="AV80" i="24"/>
  <c r="AV82" i="24"/>
  <c r="AV83" i="24"/>
  <c r="AV84" i="24"/>
  <c r="AV86" i="24"/>
  <c r="AV87" i="24"/>
  <c r="AV88" i="24"/>
  <c r="AV89" i="24"/>
  <c r="AV90" i="24"/>
  <c r="AV3" i="24"/>
  <c r="CI25" i="18"/>
  <c r="CP25" i="18"/>
  <c r="AS50" i="21"/>
  <c r="AS49" i="21"/>
  <c r="AF50" i="21"/>
  <c r="AF49" i="21"/>
  <c r="AW4" i="24"/>
  <c r="AW9" i="24"/>
  <c r="AW10" i="24"/>
  <c r="AW17" i="24"/>
  <c r="AW18" i="24"/>
  <c r="AW19" i="24"/>
  <c r="AW20" i="24"/>
  <c r="AW21" i="24"/>
  <c r="AW22" i="24"/>
  <c r="AW23" i="24"/>
  <c r="AW24" i="24"/>
  <c r="AW25" i="24"/>
  <c r="AW26" i="24"/>
  <c r="AW28" i="24"/>
  <c r="AW31" i="24"/>
  <c r="AW32" i="24"/>
  <c r="AW33" i="24"/>
  <c r="AW34" i="24"/>
  <c r="AW35" i="24"/>
  <c r="AW36" i="24"/>
  <c r="AW37" i="24"/>
  <c r="AW38" i="24"/>
  <c r="AW39" i="24"/>
  <c r="AW40" i="24"/>
  <c r="AW41" i="24"/>
  <c r="AW42" i="24"/>
  <c r="AW43" i="24"/>
  <c r="AW44" i="24"/>
  <c r="AW45" i="24"/>
  <c r="AW46" i="24"/>
  <c r="AW47" i="24"/>
  <c r="AW48" i="24"/>
  <c r="AW51" i="24"/>
  <c r="AW52" i="24"/>
  <c r="AW53" i="24"/>
  <c r="AW54" i="24"/>
  <c r="AW55" i="24"/>
  <c r="AW56" i="24"/>
  <c r="AW57" i="24"/>
  <c r="AW58" i="24"/>
  <c r="AW59" i="24"/>
  <c r="AW60" i="24"/>
  <c r="AW61" i="24"/>
  <c r="AW62" i="24"/>
  <c r="AW63" i="24"/>
  <c r="AW64" i="24"/>
  <c r="AW65" i="24"/>
  <c r="AW66" i="24"/>
  <c r="AW67" i="24"/>
  <c r="AW68" i="24"/>
  <c r="AW69" i="24"/>
  <c r="AW70" i="24"/>
  <c r="AW71" i="24"/>
  <c r="AW72" i="24"/>
  <c r="AW75" i="24"/>
  <c r="AW76" i="24"/>
  <c r="AW77" i="24"/>
  <c r="AW78" i="24"/>
  <c r="AW82" i="24"/>
  <c r="AW84" i="24"/>
  <c r="AW89" i="24"/>
  <c r="AW90" i="24"/>
  <c r="AW3" i="24"/>
  <c r="AM6" i="24"/>
  <c r="AM10" i="24"/>
  <c r="AM12" i="24"/>
  <c r="AM14" i="24"/>
  <c r="AM15" i="24"/>
  <c r="AM16" i="24"/>
  <c r="AM19" i="24"/>
  <c r="AM20" i="24"/>
  <c r="AM21" i="24"/>
  <c r="AM22" i="24"/>
  <c r="AM23" i="24"/>
  <c r="AM24" i="24"/>
  <c r="AM25" i="24"/>
  <c r="AM26" i="24"/>
  <c r="AM28" i="24"/>
  <c r="AM30" i="24"/>
  <c r="AM51" i="24"/>
  <c r="AM52" i="24"/>
  <c r="AM53" i="24"/>
  <c r="AM54" i="24"/>
  <c r="AM55" i="24"/>
  <c r="AM56" i="24"/>
  <c r="AM57" i="24"/>
  <c r="AM58" i="24"/>
  <c r="AM59" i="24"/>
  <c r="AM60" i="24"/>
  <c r="AM61" i="24"/>
  <c r="AM62" i="24"/>
  <c r="AM80" i="24"/>
  <c r="AM81" i="24"/>
  <c r="AM82" i="24"/>
  <c r="AM84" i="24"/>
  <c r="AM86" i="24"/>
  <c r="AM88" i="24"/>
  <c r="AM89" i="24"/>
  <c r="AM3" i="24"/>
  <c r="AF37" i="21"/>
  <c r="AF38" i="21"/>
  <c r="CA6" i="17"/>
  <c r="BL16" i="14"/>
  <c r="AF46" i="21"/>
  <c r="AS47" i="21"/>
  <c r="AS46" i="21"/>
  <c r="L3" i="21"/>
  <c r="L6" i="21"/>
  <c r="L9" i="21"/>
  <c r="L12" i="21"/>
  <c r="L15" i="21"/>
  <c r="L18" i="21"/>
  <c r="L24" i="21"/>
  <c r="L27" i="21"/>
  <c r="L39" i="21"/>
  <c r="L45" i="21"/>
  <c r="L48" i="21"/>
  <c r="L51" i="21"/>
  <c r="BD3" i="22"/>
  <c r="AW3" i="22"/>
  <c r="AF44" i="21"/>
  <c r="AS44" i="21"/>
  <c r="AF53" i="21"/>
  <c r="AF52" i="21"/>
  <c r="AS43" i="21"/>
  <c r="CI24" i="18"/>
  <c r="BL9" i="14"/>
  <c r="AF23" i="21"/>
  <c r="AF22" i="21"/>
  <c r="AF25" i="21"/>
  <c r="BS16" i="14"/>
  <c r="CI21" i="18"/>
  <c r="CP24" i="18"/>
  <c r="AF26" i="21"/>
  <c r="AF43" i="21"/>
  <c r="AS26" i="21"/>
  <c r="AS25" i="21"/>
  <c r="AF47" i="21"/>
  <c r="AS23" i="21"/>
  <c r="AS22" i="21"/>
  <c r="AX23" i="21"/>
  <c r="BA9" i="19"/>
  <c r="CM29" i="10"/>
  <c r="BL13" i="14"/>
  <c r="CM46" i="10"/>
  <c r="CX46" i="10"/>
  <c r="L89" i="21"/>
  <c r="L88" i="21"/>
  <c r="L87" i="21"/>
  <c r="L86" i="21"/>
  <c r="L85" i="21"/>
  <c r="L84" i="21"/>
  <c r="L83" i="21"/>
  <c r="L82" i="21"/>
  <c r="L81" i="21"/>
  <c r="L80" i="21"/>
  <c r="L79" i="21"/>
  <c r="L78" i="21"/>
  <c r="L77" i="21"/>
  <c r="L76" i="21"/>
  <c r="L75" i="21"/>
  <c r="L74" i="21"/>
  <c r="L73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60" i="21"/>
  <c r="L59" i="21"/>
  <c r="L58" i="21"/>
  <c r="L56" i="21"/>
  <c r="L55" i="21"/>
  <c r="L54" i="21"/>
  <c r="CM44" i="10"/>
  <c r="CM45" i="10"/>
  <c r="CX45" i="10"/>
  <c r="BS10" i="14"/>
  <c r="BR10" i="14"/>
  <c r="CA10" i="17"/>
  <c r="CP10" i="17"/>
  <c r="CA9" i="17"/>
  <c r="CI4" i="18"/>
  <c r="CM28" i="10"/>
  <c r="CM52" i="10"/>
  <c r="AP31" i="13"/>
  <c r="AP32" i="13"/>
  <c r="V39" i="13"/>
  <c r="AZ10" i="12"/>
  <c r="BL12" i="14"/>
  <c r="BA5" i="19"/>
  <c r="CI3" i="18"/>
  <c r="CH3" i="18"/>
  <c r="AP14" i="13"/>
  <c r="CI5" i="18"/>
  <c r="CA17" i="17"/>
  <c r="CA18" i="17"/>
  <c r="BL10" i="14"/>
  <c r="AR10" i="11"/>
  <c r="CM62" i="10"/>
  <c r="AZ13" i="12"/>
  <c r="AZ12" i="12"/>
  <c r="CA39" i="17"/>
  <c r="CA30" i="17"/>
  <c r="CA29" i="17"/>
  <c r="CA31" i="17"/>
  <c r="AZ9" i="12"/>
  <c r="AZ8" i="12"/>
  <c r="BA6" i="19"/>
  <c r="BL6" i="14"/>
  <c r="BL4" i="14"/>
  <c r="BL11" i="14"/>
  <c r="AR8" i="11"/>
  <c r="BL7" i="14"/>
  <c r="BL15" i="14"/>
  <c r="AZ14" i="12"/>
  <c r="AZ15" i="12"/>
  <c r="AP7" i="13"/>
  <c r="CI10" i="18"/>
  <c r="CI22" i="18"/>
  <c r="CI20" i="18"/>
  <c r="AZ25" i="12"/>
  <c r="AZ7" i="12"/>
  <c r="CA4" i="17"/>
  <c r="CA5" i="17"/>
  <c r="CA3" i="17"/>
  <c r="AR7" i="11"/>
  <c r="AR12" i="11"/>
  <c r="AZ26" i="12"/>
  <c r="CA32" i="17"/>
  <c r="AZ11" i="12"/>
  <c r="CM48" i="10"/>
  <c r="CM49" i="10"/>
  <c r="AP35" i="13"/>
  <c r="AZ17" i="12"/>
  <c r="AR9" i="11"/>
  <c r="AP41" i="13"/>
  <c r="AP40" i="13"/>
  <c r="AP38" i="13"/>
  <c r="AZ6" i="12"/>
  <c r="AZ16" i="12"/>
  <c r="AZ18" i="12"/>
  <c r="AZ19" i="12"/>
  <c r="AZ20" i="12"/>
  <c r="AZ21" i="12"/>
  <c r="AZ22" i="12"/>
  <c r="AZ23" i="12"/>
  <c r="AZ24" i="12"/>
  <c r="AZ27" i="12"/>
  <c r="AZ28" i="12"/>
  <c r="AZ29" i="12"/>
  <c r="AZ30" i="12"/>
  <c r="AZ31" i="12"/>
  <c r="AZ32" i="12"/>
  <c r="AZ33" i="12"/>
  <c r="AZ34" i="12"/>
  <c r="AZ35" i="12"/>
  <c r="AZ36" i="12"/>
  <c r="AZ37" i="12"/>
  <c r="AZ38" i="12"/>
  <c r="AZ39" i="12"/>
  <c r="AZ40" i="12"/>
  <c r="AZ41" i="12"/>
  <c r="AZ42" i="12"/>
  <c r="AZ43" i="12"/>
  <c r="AZ44" i="12"/>
  <c r="AZ45" i="12"/>
  <c r="AZ46" i="12"/>
  <c r="AZ47" i="12"/>
  <c r="AZ48" i="12"/>
  <c r="AZ49" i="12"/>
  <c r="AZ50" i="12"/>
  <c r="AZ51" i="12"/>
  <c r="AZ52" i="12"/>
  <c r="AZ53" i="12"/>
  <c r="AZ54" i="12"/>
  <c r="AZ55" i="12"/>
  <c r="AZ56" i="12"/>
  <c r="AZ57" i="12"/>
  <c r="AZ58" i="12"/>
  <c r="AZ59" i="12"/>
  <c r="AZ60" i="12"/>
  <c r="AZ61" i="12"/>
  <c r="AZ62" i="12"/>
  <c r="AZ63" i="12"/>
  <c r="AZ64" i="12"/>
  <c r="AZ65" i="12"/>
  <c r="AZ66" i="12"/>
  <c r="AZ5" i="12"/>
  <c r="AP37" i="13"/>
  <c r="CM63" i="10"/>
  <c r="CM47" i="10"/>
  <c r="CM5" i="10"/>
  <c r="CM4" i="10"/>
  <c r="CM64" i="10"/>
  <c r="CM66" i="10"/>
  <c r="CM53" i="10"/>
  <c r="CM51" i="10"/>
  <c r="CM50" i="10"/>
  <c r="AP34" i="13"/>
  <c r="V8" i="13"/>
  <c r="V7" i="13"/>
  <c r="V11" i="13"/>
  <c r="V10" i="13"/>
  <c r="V14" i="13"/>
  <c r="V13" i="13"/>
  <c r="V17" i="13"/>
  <c r="V16" i="13"/>
  <c r="V23" i="13"/>
  <c r="V22" i="13"/>
  <c r="V29" i="13"/>
  <c r="V28" i="13"/>
  <c r="AP19" i="13"/>
  <c r="AP20" i="13"/>
  <c r="V19" i="13"/>
  <c r="V20" i="13"/>
  <c r="AR6" i="11"/>
  <c r="AR5" i="11"/>
  <c r="AR11" i="11"/>
  <c r="AI6" i="19"/>
  <c r="AP17" i="13"/>
  <c r="AR15" i="14"/>
  <c r="AP16" i="13"/>
  <c r="AP13" i="13"/>
  <c r="AP11" i="13"/>
  <c r="AP10" i="13"/>
  <c r="AP23" i="13"/>
  <c r="AP26" i="13"/>
  <c r="AP29" i="13"/>
  <c r="AP28" i="13"/>
  <c r="AP25" i="13"/>
  <c r="AP22" i="13"/>
  <c r="AP8" i="13"/>
  <c r="AI49" i="19"/>
  <c r="AI48" i="19"/>
  <c r="AI47" i="19"/>
  <c r="AI46" i="19"/>
  <c r="AI45" i="19"/>
  <c r="AI44" i="19"/>
  <c r="AI43" i="19"/>
  <c r="AI42" i="19"/>
  <c r="AI41" i="19"/>
  <c r="AI40" i="19"/>
  <c r="AI39" i="19"/>
  <c r="AI38" i="19"/>
  <c r="AI37" i="19"/>
  <c r="AI36" i="19"/>
  <c r="AI35" i="19"/>
  <c r="AI34" i="19"/>
  <c r="AI33" i="19"/>
  <c r="AI32" i="19"/>
  <c r="AI31" i="19"/>
  <c r="AI30" i="19"/>
  <c r="AI29" i="19"/>
  <c r="AI28" i="19"/>
  <c r="AI27" i="19"/>
  <c r="AI26" i="19"/>
  <c r="AI25" i="19"/>
  <c r="AI24" i="19"/>
  <c r="AI23" i="19"/>
  <c r="AI22" i="19"/>
  <c r="AI21" i="19"/>
  <c r="AI20" i="19"/>
  <c r="AI19" i="19"/>
  <c r="AI18" i="19"/>
  <c r="AI17" i="19"/>
  <c r="AI16" i="19"/>
  <c r="AI15" i="19"/>
  <c r="AI14" i="19"/>
  <c r="AI13" i="19"/>
  <c r="AI12" i="19"/>
  <c r="AI11" i="19"/>
  <c r="CL48" i="10"/>
  <c r="AR4" i="11"/>
  <c r="AR68" i="14"/>
  <c r="AR67" i="14"/>
  <c r="AR66" i="14"/>
  <c r="AR65" i="14"/>
  <c r="AR64" i="14"/>
  <c r="AR63" i="14"/>
  <c r="AR62" i="14"/>
  <c r="AR61" i="14"/>
  <c r="AR60" i="14"/>
  <c r="AR59" i="14"/>
  <c r="AR58" i="14"/>
  <c r="AR57" i="14"/>
  <c r="AR56" i="14"/>
  <c r="AR55" i="14"/>
  <c r="AR54" i="14"/>
  <c r="AR53" i="14"/>
  <c r="AR52" i="14"/>
  <c r="AR51" i="14"/>
  <c r="AR50" i="14"/>
  <c r="AR49" i="14"/>
  <c r="AR48" i="14"/>
  <c r="AR47" i="14"/>
  <c r="AR46" i="14"/>
  <c r="AR45" i="14"/>
  <c r="AR44" i="14"/>
  <c r="AR43" i="14"/>
  <c r="AR42" i="14"/>
  <c r="AR41" i="14"/>
  <c r="AR40" i="14"/>
  <c r="AR39" i="14"/>
  <c r="AR38" i="14"/>
  <c r="AR37" i="14"/>
  <c r="AR36" i="14"/>
  <c r="AR35" i="14"/>
  <c r="AR34" i="14"/>
  <c r="AR33" i="14"/>
  <c r="AR32" i="14"/>
  <c r="AR31" i="14"/>
  <c r="AR30" i="14"/>
  <c r="AR29" i="14"/>
  <c r="AR28" i="14"/>
  <c r="AR27" i="14"/>
  <c r="AR26" i="14"/>
  <c r="AR25" i="14"/>
  <c r="AR24" i="14"/>
  <c r="AR23" i="14"/>
  <c r="AR22" i="14"/>
  <c r="AR21" i="14"/>
  <c r="AR20" i="14"/>
  <c r="AR19" i="14"/>
  <c r="AR18" i="14"/>
  <c r="AR17" i="14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27" i="13"/>
  <c r="V26" i="13"/>
  <c r="V25" i="13"/>
  <c r="AQ12" i="11"/>
  <c r="AR13" i="11"/>
  <c r="AR14" i="11"/>
  <c r="AR15" i="11"/>
  <c r="AR16" i="11"/>
  <c r="AR55" i="11"/>
  <c r="AR56" i="11"/>
  <c r="AR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Hatley</author>
    <author>Corey Boser</author>
    <author>Alyssa Gillespie</author>
  </authors>
  <commentList>
    <comment ref="CG4" authorId="0" shapeId="0" xr:uid="{E0617FC5-7BB3-410F-BE78-21AEFF46E250}">
      <text>
        <r>
          <rPr>
            <b/>
            <sz val="9"/>
            <color indexed="81"/>
            <rFont val="Tahoma"/>
            <family val="2"/>
          </rPr>
          <t>William Hatley:</t>
        </r>
        <r>
          <rPr>
            <sz val="9"/>
            <color indexed="81"/>
            <rFont val="Tahoma"/>
            <family val="2"/>
          </rPr>
          <t xml:space="preserve">
ADD TO CONTRACT
</t>
        </r>
      </text>
    </comment>
    <comment ref="CF5" authorId="1" shapeId="0" xr:uid="{B2A858DE-40EA-4E70-B73B-017B3C63D1DC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Create separate contract for this</t>
        </r>
      </text>
    </comment>
    <comment ref="CG5" authorId="0" shapeId="0" xr:uid="{D7B0E4EF-E9B6-47CB-B93C-023611E74BE6}">
      <text>
        <r>
          <rPr>
            <b/>
            <sz val="9"/>
            <color indexed="81"/>
            <rFont val="Tahoma"/>
            <family val="2"/>
          </rPr>
          <t>William Hatley:</t>
        </r>
        <r>
          <rPr>
            <sz val="9"/>
            <color indexed="81"/>
            <rFont val="Tahoma"/>
            <family val="2"/>
          </rPr>
          <t xml:space="preserve">
CREATE INDIVIDUAL CONTRACT
</t>
        </r>
      </text>
    </comment>
    <comment ref="M19" authorId="1" shapeId="0" xr:uid="{86657BFA-9FC3-4E3A-A2F7-5C19F5300F75}">
      <text>
        <r>
          <rPr>
            <sz val="11"/>
            <color theme="1"/>
            <rFont val="Calibri"/>
            <family val="2"/>
            <scheme val="minor"/>
          </rPr>
          <t>Corey Boser:
Main level deck included in tall crawl option cost.</t>
        </r>
      </text>
    </comment>
    <comment ref="F21" authorId="2" shapeId="0" xr:uid="{089DE49C-A01E-46BF-95F8-CAE241D42AAD}">
      <text>
        <r>
          <rPr>
            <sz val="11"/>
            <color theme="1"/>
            <rFont val="Calibri"/>
            <family val="2"/>
            <scheme val="minor"/>
          </rPr>
          <t>Alyssa Gillespie:
Arch Drawings show Cov'd Deck</t>
        </r>
      </text>
    </comment>
    <comment ref="BJ31" authorId="2" shapeId="0" xr:uid="{76A9D841-9D6F-4531-A3A5-51100DD09521}">
      <text>
        <r>
          <rPr>
            <sz val="11"/>
            <color theme="1"/>
            <rFont val="Calibri"/>
            <family val="2"/>
            <scheme val="minor"/>
          </rPr>
          <t xml:space="preserve">Alyssa Gillespie:
I am assuming this is the WDWBR4 option since this is the location that the study would have been. 
</t>
        </r>
      </text>
    </comment>
    <comment ref="AC54" authorId="2" shapeId="0" xr:uid="{E369DF54-D60C-49DC-BE15-D94C3E169889}">
      <text>
        <r>
          <rPr>
            <sz val="11"/>
            <color theme="1"/>
            <rFont val="Calibri"/>
            <family val="2"/>
            <scheme val="minor"/>
          </rPr>
          <t xml:space="preserve">Alyssa Gillespie:
this is not an option they had been quoted for? but there is a PO for it
</t>
        </r>
      </text>
    </comment>
    <comment ref="BH54" authorId="2" shapeId="0" xr:uid="{8FD828FD-875C-4ACC-9636-0A4BB16AE8A4}">
      <text>
        <r>
          <rPr>
            <sz val="11"/>
            <color theme="1"/>
            <rFont val="Calibri"/>
            <family val="2"/>
            <scheme val="minor"/>
          </rPr>
          <t xml:space="preserve">Alyssa Gillespie:
Arch Drawings shows WDWMBR
</t>
        </r>
      </text>
    </comment>
    <comment ref="CA63" authorId="1" shapeId="0" xr:uid="{E2A45062-F789-4D7F-9879-D3126366FA80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Waiting on update with 10' wall option</t>
        </r>
      </text>
    </comment>
    <comment ref="CC63" authorId="1" shapeId="0" xr:uid="{AE288B06-AACE-49D2-BF9B-86A6F2A398B0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Waiting on update with 10' wall option</t>
        </r>
      </text>
    </comment>
    <comment ref="CR63" authorId="1" shapeId="0" xr:uid="{CD8C2836-755C-4B22-A687-5AA5555DD605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Waiting on update with 10' wall option</t>
        </r>
      </text>
    </comment>
    <comment ref="CT63" authorId="1" shapeId="0" xr:uid="{B6E31552-3206-45F8-BE26-ABDCB850F0F4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Waiting on update with 10' wall option</t>
        </r>
      </text>
    </comment>
    <comment ref="AT66" authorId="1" shapeId="0" xr:uid="{40181D43-8D3B-41CF-9378-A56D4B7905EF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Wrong pricing - confirm
Talk to Jordan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tc={927D91C6-4E20-4EE6-9EBB-9DB5BB921564}</author>
  </authors>
  <commentList>
    <comment ref="P28" authorId="0" shapeId="0" xr:uid="{927D91C6-4E20-4EE6-9EBB-9DB5BB921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 shows 9' walls 2nd floor but no call out on HCO - Emailed Anna &amp; Alyssa 3/17/25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Corey Boser</author>
    <author>Alyssa Gillespie</author>
    <author>Alicia Vandehey</author>
  </authors>
  <commentList>
    <comment ref="I3" authorId="0" shapeId="0" xr:uid="{626FBE86-60D0-406C-A7DD-DBF998146227}">
      <text>
        <r>
          <rPr>
            <sz val="11"/>
            <color theme="1"/>
            <rFont val="Calibri"/>
            <family val="2"/>
            <scheme val="minor"/>
          </rPr>
          <t>Corey Boser:
Deck framing and surface to be sent as EPOs</t>
        </r>
      </text>
    </comment>
    <comment ref="AS3" authorId="0" shapeId="0" xr:uid="{C37B0FE6-FC38-4751-A112-3E6CCBF9D43E}">
      <text>
        <r>
          <rPr>
            <sz val="11"/>
            <color theme="1"/>
            <rFont val="Calibri"/>
            <family val="2"/>
            <scheme val="minor"/>
          </rPr>
          <t>Corey Boser:
Missing Deck framing PO
Corey emailed Lynell 12/11
Good to go - missing options will be sent as EPO</t>
        </r>
      </text>
    </comment>
    <comment ref="C4" authorId="0" shapeId="0" xr:uid="{759125F9-9492-497E-8189-8DDF7CF59FA7}">
      <text>
        <r>
          <rPr>
            <sz val="11"/>
            <color theme="1"/>
            <rFont val="Calibri"/>
            <family val="2"/>
            <scheme val="minor"/>
          </rPr>
          <t xml:space="preserve">Corey Boser:
Elevation D charge to be send as EPO
ALYSSA:
WROTE AN SO WITH OU42 SKU ON 5/29/24 FOR THIS CHARGE
</t>
        </r>
      </text>
    </comment>
    <comment ref="I4" authorId="0" shapeId="0" xr:uid="{60C1A6F5-E709-40E2-BD63-FC36DD43C095}">
      <text>
        <r>
          <rPr>
            <sz val="11"/>
            <color theme="1"/>
            <rFont val="Calibri"/>
            <family val="2"/>
            <scheme val="minor"/>
          </rPr>
          <t>Corey Boser:
No deck engineering on plans - Per Alyssa 12/11/23, this plan should not have a deck.
Alicia emailed Lynell on 12/4
Corey emailed Lynell on 12/11 
Option paid for 4x10 deck</t>
        </r>
      </text>
    </comment>
    <comment ref="AS4" authorId="0" shapeId="0" xr:uid="{2F3D2EDB-3B85-4FFE-9619-E112C053FB01}">
      <text>
        <r>
          <rPr>
            <sz val="11"/>
            <color theme="1"/>
            <rFont val="Calibri"/>
            <family val="2"/>
            <scheme val="minor"/>
          </rPr>
          <t>Corey Boser:
Option PO is missing Elevation D
Missing Elevation D option to be send over as EPO</t>
        </r>
      </text>
    </comment>
    <comment ref="I5" authorId="0" shapeId="0" xr:uid="{0E7B87E1-D352-420D-B1D3-A9026DB5117F}">
      <text>
        <r>
          <rPr>
            <sz val="11"/>
            <color theme="1"/>
            <rFont val="Calibri"/>
            <family val="2"/>
            <scheme val="minor"/>
          </rPr>
          <t>Corey Boser:
HCO shows 4x10 deck - need to confirm with James Elliott as plans do not have any deck engineering</t>
        </r>
      </text>
    </comment>
    <comment ref="N14" authorId="1" shapeId="0" xr:uid="{C641DF09-8B93-444F-956D-7BAAB12866BF}">
      <text>
        <r>
          <rPr>
            <sz val="11"/>
            <color theme="1"/>
            <rFont val="Calibri"/>
            <family val="2"/>
            <scheme val="minor"/>
          </rPr>
          <t>Alyssa Gillespie:
email Terri @ 5/7/24 for Payment
UPDATED PO W/ PAYMENT 
ON PO 99328254</t>
        </r>
      </text>
    </comment>
    <comment ref="N15" authorId="1" shapeId="0" xr:uid="{E1ABFAD8-1B8C-45E1-8B3D-81BB3103D71A}">
      <text>
        <r>
          <rPr>
            <sz val="11"/>
            <color theme="1"/>
            <rFont val="Calibri"/>
            <family val="2"/>
            <scheme val="minor"/>
          </rPr>
          <t>Alyssa Gillespie:
emailed terri on 5/20/24 for PO</t>
        </r>
      </text>
    </comment>
    <comment ref="N16" authorId="1" shapeId="0" xr:uid="{95277A07-B37E-4F37-9B45-9F17B6EACB78}">
      <text>
        <r>
          <rPr>
            <sz val="11"/>
            <color theme="1"/>
            <rFont val="Calibri"/>
            <family val="2"/>
            <scheme val="minor"/>
          </rPr>
          <t>Alyssa Gillespie:
emailed terri on 5/20/24 for PO</t>
        </r>
      </text>
    </comment>
    <comment ref="G29" authorId="0" shapeId="0" xr:uid="{6EB089FD-07C5-42EB-9AE1-EA50CE1B017A}">
      <text>
        <r>
          <rPr>
            <sz val="11"/>
            <color theme="1"/>
            <rFont val="Calibri"/>
            <family val="2"/>
            <scheme val="minor"/>
          </rPr>
          <t>Corey Boser:
Plan shows covered patio, no covered deck - Confirmed that it will be a covered patio. PO needs to be changed.</t>
        </r>
      </text>
    </comment>
    <comment ref="N29" authorId="0" shapeId="0" xr:uid="{671DEC5A-6E62-4381-9C32-24B36BFBCA56}">
      <text>
        <r>
          <rPr>
            <sz val="11"/>
            <color theme="1"/>
            <rFont val="Calibri"/>
            <family val="2"/>
            <scheme val="minor"/>
          </rPr>
          <t>Corey Boser:
Waiting to see if RAH can get a PO in the system for this or if we are going to need to submit an EPO. 4/30/24</t>
        </r>
      </text>
    </comment>
    <comment ref="I30" authorId="0" shapeId="0" xr:uid="{9FB3B474-22B0-4270-BDD0-735B21D48FE5}">
      <text>
        <r>
          <rPr>
            <sz val="11"/>
            <color theme="1"/>
            <rFont val="Calibri"/>
            <family val="2"/>
            <scheme val="minor"/>
          </rPr>
          <t>Corey Boser:
This deck is going to be changed to an uncovered patio. PO is going to need to be adjusted.</t>
        </r>
      </text>
    </comment>
    <comment ref="N30" authorId="0" shapeId="0" xr:uid="{0DD31CE3-2EA8-49DF-94C0-46BD3B1D28BB}">
      <text>
        <r>
          <rPr>
            <sz val="11"/>
            <color theme="1"/>
            <rFont val="Calibri"/>
            <family val="2"/>
            <scheme val="minor"/>
          </rPr>
          <t>Corey Boser:
Waiting to see if RAH can get a PO in the system for this or if we are going to need to submit an EPO. 4/30/24</t>
        </r>
      </text>
    </comment>
    <comment ref="AF74" authorId="1" shapeId="0" xr:uid="{9C7A0341-CDDA-4DBC-A64F-9A57AE1968B6}">
      <text>
        <r>
          <rPr>
            <sz val="11"/>
            <color theme="1"/>
            <rFont val="Calibri"/>
            <family val="2"/>
            <scheme val="minor"/>
          </rPr>
          <t>Alyssa Gillespie:
New PO# 99412604</t>
        </r>
      </text>
    </comment>
    <comment ref="AR74" authorId="0" shapeId="0" xr:uid="{80091787-DF71-4031-9E62-DAB69603F3A9}">
      <text>
        <r>
          <rPr>
            <sz val="11"/>
            <color theme="1"/>
            <rFont val="Calibri"/>
            <family val="2"/>
            <scheme val="minor"/>
          </rPr>
          <t>Alyssa Gillespie:
New PO# 994123601</t>
        </r>
      </text>
    </comment>
    <comment ref="F76" authorId="1" shapeId="0" xr:uid="{8E170BE8-286D-4C41-B48C-F78E8FDAB6FF}">
      <text>
        <r>
          <rPr>
            <sz val="11"/>
            <color theme="1"/>
            <rFont val="Calibri"/>
            <family val="2"/>
            <scheme val="minor"/>
          </rPr>
          <t xml:space="preserve">Alyssa Gillespie:
sent in online form for payment 11/20/24
</t>
        </r>
      </text>
    </comment>
    <comment ref="N76" authorId="1" shapeId="0" xr:uid="{634A6143-CC77-4609-BA3D-151B3502EC2E}">
      <text>
        <r>
          <rPr>
            <sz val="11"/>
            <color theme="1"/>
            <rFont val="Calibri"/>
            <family val="2"/>
            <scheme val="minor"/>
          </rPr>
          <t xml:space="preserve">Alyssa Gillespie:
followed up with request for payment on 11/20/24
RECIEVED po ON 11/25/24
</t>
        </r>
      </text>
    </comment>
    <comment ref="O76" authorId="1" shapeId="0" xr:uid="{C1E7EC6C-4393-419B-B9EE-ACB01EF560FE}">
      <text>
        <r>
          <rPr>
            <sz val="11"/>
            <color theme="1"/>
            <rFont val="Calibri"/>
            <family val="2"/>
            <scheme val="minor"/>
          </rPr>
          <t>Alyssa Gillespie:
Sent form for adjustment - only need 1 firewall side
10/17/24
RA Cancelled this PO on 10/28/24</t>
        </r>
      </text>
    </comment>
    <comment ref="I77" authorId="0" shapeId="0" xr:uid="{0232B7BC-6EDD-4746-AAA2-0B8DA8C5B1B9}">
      <text>
        <r>
          <rPr>
            <sz val="11"/>
            <color theme="1"/>
            <rFont val="Calibri"/>
            <family val="2"/>
            <scheme val="minor"/>
          </rPr>
          <t xml:space="preserve">Corey Boser:
The plan shows a 4x10 deck with stairs but the HCO has a 8x10 Covered Deck.
updated on HCO 11/14/24
</t>
        </r>
      </text>
    </comment>
    <comment ref="AC77" authorId="1" shapeId="0" xr:uid="{D660F6C6-3ACC-4931-8B7F-3C3E1BB955D0}">
      <text>
        <r>
          <rPr>
            <sz val="11"/>
            <color theme="1"/>
            <rFont val="Calibri"/>
            <family val="2"/>
            <scheme val="minor"/>
          </rPr>
          <t>Alyssa Gillespie:
requested removal of FPSING payment on these POs</t>
        </r>
      </text>
    </comment>
    <comment ref="H78" authorId="1" shapeId="0" xr:uid="{8C71BC09-6E1A-4340-B88B-16418407479A}">
      <text>
        <r>
          <rPr>
            <sz val="11"/>
            <color theme="1"/>
            <rFont val="Calibri"/>
            <family val="2"/>
            <scheme val="minor"/>
          </rPr>
          <t>Alyssa Gillespie:
sent in online form request for this</t>
        </r>
      </text>
    </comment>
    <comment ref="O81" authorId="1" shapeId="0" xr:uid="{CBF6B26D-048F-45E9-A3BD-EA219712E641}">
      <text>
        <r>
          <rPr>
            <sz val="11"/>
            <color theme="1"/>
            <rFont val="Calibri"/>
            <family val="2"/>
            <scheme val="minor"/>
          </rPr>
          <t xml:space="preserve">Alyssa Gillespie:
Should see a credit come thing for this as well - sent email to Terri &amp; James on 5/21/24
</t>
        </r>
      </text>
    </comment>
    <comment ref="O85" authorId="1" shapeId="0" xr:uid="{2BB2D2EE-82F6-40CA-AED1-23BA14AB8A1C}">
      <text>
        <r>
          <rPr>
            <sz val="11"/>
            <color theme="1"/>
            <rFont val="Calibri"/>
            <family val="2"/>
            <scheme val="minor"/>
          </rPr>
          <t xml:space="preserve">Alyssa Gillespie:
Should see a credit for this. email sent to Terri &amp; James 5/21/24
</t>
        </r>
      </text>
    </comment>
    <comment ref="Z87" authorId="2" shapeId="0" xr:uid="{44297B26-D26A-486D-92D2-82389F4A8915}">
      <text>
        <r>
          <rPr>
            <sz val="11"/>
            <color theme="1"/>
            <rFont val="Calibri"/>
            <family val="2"/>
            <scheme val="minor"/>
          </rPr>
          <t>Alicia Vandehey:
New PO#s 
98712145</t>
        </r>
      </text>
    </comment>
    <comment ref="AF87" authorId="1" shapeId="0" xr:uid="{90D91509-62E3-4CA3-BCF4-99C320329530}">
      <text>
        <r>
          <rPr>
            <sz val="11"/>
            <color theme="1"/>
            <rFont val="Calibri"/>
            <family val="2"/>
            <scheme val="minor"/>
          </rPr>
          <t>Alyssa Gillespie:
New PO# 98710381</t>
        </r>
      </text>
    </comment>
    <comment ref="AH87" authorId="1" shapeId="0" xr:uid="{44D2F312-730B-4D12-807B-18812AF0E0BD}">
      <text>
        <r>
          <rPr>
            <sz val="11"/>
            <color theme="1"/>
            <rFont val="Calibri"/>
            <family val="2"/>
            <scheme val="minor"/>
          </rPr>
          <t>Alyssa Gillespie:
New PO# 98710418</t>
        </r>
      </text>
    </comment>
    <comment ref="AJ87" authorId="1" shapeId="0" xr:uid="{035068C3-206F-4B53-A095-2EE9416A68C2}">
      <text>
        <r>
          <rPr>
            <sz val="11"/>
            <color theme="1"/>
            <rFont val="Calibri"/>
            <family val="2"/>
            <scheme val="minor"/>
          </rPr>
          <t>Alyssa Gillespie:
New PO# 98712145</t>
        </r>
      </text>
    </comment>
    <comment ref="AP87" authorId="1" shapeId="0" xr:uid="{41157282-B46E-40FA-B06B-31CA8FB27FDC}">
      <text>
        <r>
          <rPr>
            <sz val="11"/>
            <color theme="1"/>
            <rFont val="Calibri"/>
            <family val="2"/>
            <scheme val="minor"/>
          </rPr>
          <t>Alyssa Gillespie:
New PO# 98712145</t>
        </r>
      </text>
    </comment>
    <comment ref="AR87" authorId="1" shapeId="0" xr:uid="{319E8199-DADD-40CC-B566-04BD32205B6E}">
      <text>
        <r>
          <rPr>
            <sz val="11"/>
            <color theme="1"/>
            <rFont val="Calibri"/>
            <family val="2"/>
            <scheme val="minor"/>
          </rPr>
          <t>Alyssa Gillespie:
New PO# 98710414</t>
        </r>
      </text>
    </comment>
    <comment ref="Z89" authorId="0" shapeId="0" xr:uid="{ED8C26AB-0911-4B6A-BCDA-817A07E80895}">
      <text>
        <r>
          <rPr>
            <sz val="11"/>
            <color theme="1"/>
            <rFont val="Calibri"/>
            <family val="2"/>
            <scheme val="minor"/>
          </rPr>
          <t>Corey Boser:
NEW PO# 98712170</t>
        </r>
      </text>
    </comment>
    <comment ref="AF89" authorId="1" shapeId="0" xr:uid="{97C10CEC-F864-4DD3-A164-7E08B630E935}">
      <text>
        <r>
          <rPr>
            <sz val="11"/>
            <color theme="1"/>
            <rFont val="Calibri"/>
            <family val="2"/>
            <scheme val="minor"/>
          </rPr>
          <t>Alyssa Gillespie:
New PO# 98710483</t>
        </r>
      </text>
    </comment>
    <comment ref="AH89" authorId="1" shapeId="0" xr:uid="{981B6646-CA02-4EA9-8248-D9CA8084D432}">
      <text>
        <r>
          <rPr>
            <sz val="11"/>
            <color theme="1"/>
            <rFont val="Calibri"/>
            <family val="2"/>
            <scheme val="minor"/>
          </rPr>
          <t>Alyssa Gillespie:
New PO# 98710483</t>
        </r>
      </text>
    </comment>
    <comment ref="AJ89" authorId="1" shapeId="0" xr:uid="{B5611A9F-1692-40BD-A801-5261291D5056}">
      <text>
        <r>
          <rPr>
            <sz val="11"/>
            <color theme="1"/>
            <rFont val="Calibri"/>
            <family val="2"/>
            <scheme val="minor"/>
          </rPr>
          <t>Alyssa Gillespie:
New PO# 98712170</t>
        </r>
      </text>
    </comment>
    <comment ref="AP89" authorId="1" shapeId="0" xr:uid="{AF93FA2F-D07C-4262-AF4E-BF5970A6BCBE}">
      <text>
        <r>
          <rPr>
            <sz val="11"/>
            <color theme="1"/>
            <rFont val="Calibri"/>
            <family val="2"/>
            <scheme val="minor"/>
          </rPr>
          <t>Alyssa Gillespie:
New PO# 98712170</t>
        </r>
      </text>
    </comment>
    <comment ref="AR89" authorId="1" shapeId="0" xr:uid="{4AD01042-0E14-46D3-B7F2-1CBDA873B392}">
      <text>
        <r>
          <rPr>
            <sz val="11"/>
            <color theme="1"/>
            <rFont val="Calibri"/>
            <family val="2"/>
            <scheme val="minor"/>
          </rPr>
          <t>Alyssa Gillespie:
New PO# 98710512</t>
        </r>
      </text>
    </comment>
    <comment ref="I90" authorId="0" shapeId="0" xr:uid="{BBFF1CE1-D271-4171-9237-ADC37A08198F}">
      <text>
        <r>
          <rPr>
            <sz val="11"/>
            <color theme="1"/>
            <rFont val="Calibri"/>
            <family val="2"/>
            <scheme val="minor"/>
          </rPr>
          <t>Corey Boser:
Submit as EPO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tc={E9D89C54-B13D-4476-92BF-6189969802C9}</author>
  </authors>
  <commentList>
    <comment ref="AE26" authorId="0" shapeId="0" xr:uid="{E9D89C54-B13D-4476-92BF-6189969802C9}">
      <text>
        <t>[Threaded comment]
Your version of Excel allows you to read this threaded comment; however, any edits to it will get removed if the file is opened in a newer version of Excel. Learn more: https://go.microsoft.com/fwlink/?linkid=870924
Comment:
    PO's have incorrect tax amount - don't bill out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tc={53259843-4B23-4E0E-8036-8F56387CCA96}</author>
  </authors>
  <commentList>
    <comment ref="AQ6" authorId="0" shapeId="0" xr:uid="{53259843-4B23-4E0E-8036-8F56387CCA96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PO's don't bill out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Corey Boser</author>
  </authors>
  <commentList>
    <comment ref="A7" authorId="0" shapeId="0" xr:uid="{249358C7-2B90-4C8F-AFF6-AC8694257BCB}">
      <text>
        <r>
          <rPr>
            <sz val="11"/>
            <color theme="1"/>
            <rFont val="Calibri"/>
            <family val="2"/>
            <scheme val="minor"/>
          </rPr>
          <t xml:space="preserve">Corey Boser:
Emailed James R, Spencer , and Lynell K on 8-29 for option PO
</t>
        </r>
      </text>
    </comment>
    <comment ref="A9" authorId="0" shapeId="0" xr:uid="{86D700A5-252C-4D24-8071-73DAB7EEBE1E}">
      <text>
        <r>
          <rPr>
            <sz val="11"/>
            <color theme="1"/>
            <rFont val="Calibri"/>
            <family val="2"/>
            <scheme val="minor"/>
          </rPr>
          <t>Corey Boser:
Emailed James R, Spencer , and Lynell K on 8-29 for option PO</t>
        </r>
      </text>
    </comment>
    <comment ref="A13" authorId="0" shapeId="0" xr:uid="{7063FD92-D1E5-4B30-8E3D-D74FE0DDE886}">
      <text>
        <r>
          <rPr>
            <sz val="11"/>
            <color theme="1"/>
            <rFont val="Calibri"/>
            <family val="2"/>
            <scheme val="minor"/>
          </rPr>
          <t>Corey Boser:
Emailed James R, Spencer , and Lynell K on 8-29 for option PO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Hatley</author>
  </authors>
  <commentList>
    <comment ref="R9" authorId="0" shapeId="0" xr:uid="{9E6B566C-CCA1-45E1-BB08-01C35C2B2A75}">
      <text>
        <r>
          <rPr>
            <sz val="11"/>
            <color theme="1"/>
            <rFont val="Calibri"/>
            <family val="2"/>
            <scheme val="minor"/>
          </rPr>
          <t>William Hatley:
DELUX MASTER BA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Corey Boser</author>
    <author>Alyssa Gillespie</author>
  </authors>
  <commentList>
    <comment ref="A25" authorId="0" shapeId="0" xr:uid="{EC45C7D7-33BE-4FE6-A860-60054E82AD65}">
      <text>
        <r>
          <rPr>
            <sz val="11"/>
            <color theme="1"/>
            <rFont val="Calibri"/>
            <family val="2"/>
            <scheme val="minor"/>
          </rPr>
          <t xml:space="preserve">Corey Boser:
No ReadyFrame PO
RF PO added 7/12/24
</t>
        </r>
      </text>
    </comment>
    <comment ref="A26" authorId="0" shapeId="0" xr:uid="{0CE1A91C-1C50-4F65-996E-AF9B9E5E189C}">
      <text>
        <r>
          <rPr>
            <sz val="11"/>
            <color theme="1"/>
            <rFont val="Calibri"/>
            <family val="2"/>
            <scheme val="minor"/>
          </rPr>
          <t xml:space="preserve">Corey Boser:
No ReadyFrame PO
RF PO ADDED 7/12/24
</t>
        </r>
      </text>
    </comment>
    <comment ref="AU38" authorId="1" shapeId="0" xr:uid="{542D689C-A53D-419B-A4E0-ED13E4D9E732}">
      <text>
        <r>
          <rPr>
            <sz val="11"/>
            <color theme="1"/>
            <rFont val="Calibri"/>
            <family val="2"/>
            <scheme val="minor"/>
          </rPr>
          <t>Alyssa Gillespie:
HCO says 1 - 2040 SH or 2030SH w/ COVP2</t>
        </r>
      </text>
    </comment>
    <comment ref="A45" authorId="0" shapeId="0" xr:uid="{F6CC4DD5-2CCE-4A2B-B4BE-2943820FA1F6}">
      <text>
        <r>
          <rPr>
            <sz val="11"/>
            <color theme="1"/>
            <rFont val="Calibri"/>
            <family val="2"/>
            <scheme val="minor"/>
          </rPr>
          <t xml:space="preserve">Corey Boser:
No Ready Frame PO
READY FRAME PO ADDED 7/12/24
</t>
        </r>
      </text>
    </comment>
    <comment ref="A46" authorId="0" shapeId="0" xr:uid="{8F44B693-1D92-4A09-BDA2-746276825FA0}">
      <text>
        <r>
          <rPr>
            <sz val="11"/>
            <color theme="1"/>
            <rFont val="Calibri"/>
            <family val="2"/>
            <scheme val="minor"/>
          </rPr>
          <t xml:space="preserve">Corey Boser:
No ReadyFrame PO
READY FRAME PO ADDED 7/12/24
</t>
        </r>
      </text>
    </comment>
    <comment ref="A48" authorId="0" shapeId="0" xr:uid="{DC1210E0-D2AE-428B-AC9A-FC6746955966}">
      <text>
        <r>
          <rPr>
            <sz val="11"/>
            <color theme="1"/>
            <rFont val="Calibri"/>
            <family val="2"/>
            <scheme val="minor"/>
          </rPr>
          <t>Corey Boser:
No ReadyFrame PO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Alyssa Gillespie</author>
  </authors>
  <commentList>
    <comment ref="E19" authorId="0" shapeId="0" xr:uid="{5E30EF90-4B04-4FB9-9463-FE54DB2905FD}">
      <text>
        <r>
          <rPr>
            <sz val="11"/>
            <color theme="1"/>
            <rFont val="Calibri"/>
            <family val="2"/>
            <scheme val="minor"/>
          </rPr>
          <t xml:space="preserve">Alyssa Gillespie:
submitted online form on 10/21/24 for payment
taken off HCO on 11/13/24
</t>
        </r>
      </text>
    </comment>
    <comment ref="E20" authorId="0" shapeId="0" xr:uid="{CB80C0ED-06A0-4654-83A8-2F68F6EB14A6}">
      <text>
        <r>
          <rPr>
            <sz val="11"/>
            <color theme="1"/>
            <rFont val="Calibri"/>
            <family val="2"/>
            <scheme val="minor"/>
          </rPr>
          <t xml:space="preserve">Alyssa Gillespie:
submitted online form on 10/21/24 for payment
taken off HCO on 11/13/24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Corey Boser</author>
  </authors>
  <commentList>
    <comment ref="AO20" authorId="0" shapeId="0" xr:uid="{FBB5A02A-F9D7-4CC5-A264-3425F9ED9847}">
      <text>
        <r>
          <rPr>
            <sz val="11"/>
            <color theme="1"/>
            <rFont val="Calibri"/>
            <family val="2"/>
            <scheme val="minor"/>
          </rPr>
          <t>Corey Boser:
Wrong PO used - refer to 97076194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Corey Boser</author>
    <author>Alyssa Gillespie</author>
  </authors>
  <commentList>
    <comment ref="Q14" authorId="0" shapeId="0" xr:uid="{54EAB731-F636-4472-B190-534E24B85990}">
      <text>
        <r>
          <rPr>
            <sz val="11"/>
            <color theme="1"/>
            <rFont val="Calibri"/>
            <family val="2"/>
            <scheme val="minor"/>
          </rPr>
          <t>Corey Boser:
Removed from HCO</t>
        </r>
      </text>
    </comment>
    <comment ref="G16" authorId="0" shapeId="0" xr:uid="{C9D880FD-9CE6-41C3-8A3D-563A2A98EE62}">
      <text>
        <r>
          <rPr>
            <sz val="11"/>
            <color theme="1"/>
            <rFont val="Calibri"/>
            <family val="2"/>
            <scheme val="minor"/>
          </rPr>
          <t>Corey Boser:
Removed from HCO - not on plan</t>
        </r>
      </text>
    </comment>
    <comment ref="BX18" authorId="1" shapeId="0" xr:uid="{3769B4C6-7D26-4BDA-B8DC-D98EFD915FEE}">
      <text>
        <r>
          <rPr>
            <sz val="11"/>
            <color theme="1"/>
            <rFont val="Calibri"/>
            <family val="2"/>
            <scheme val="minor"/>
          </rPr>
          <t xml:space="preserve">Alyssa Gillespie:
This is for the random hanger and sill seal items they submitted for.
</t>
        </r>
      </text>
    </comment>
    <comment ref="CD21" authorId="0" shapeId="0" xr:uid="{4633A1DA-D1FD-401E-9252-52513B6B050F}">
      <text>
        <r>
          <rPr>
            <sz val="11"/>
            <color theme="1"/>
            <rFont val="Calibri"/>
            <family val="2"/>
            <scheme val="minor"/>
          </rPr>
          <t>Corey Boser:
This PO# has changed in Supply Pro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Hatley</author>
  </authors>
  <commentList>
    <comment ref="H3" authorId="0" shapeId="0" xr:uid="{EA4076B3-2FF4-4CF8-BE94-6F600577BCA7}">
      <text>
        <r>
          <rPr>
            <b/>
            <sz val="9"/>
            <color indexed="81"/>
            <rFont val="Tahoma"/>
            <family val="2"/>
          </rPr>
          <t>William Hatley:</t>
        </r>
        <r>
          <rPr>
            <sz val="9"/>
            <color indexed="81"/>
            <rFont val="Tahoma"/>
            <family val="2"/>
          </rPr>
          <t xml:space="preserve">
BILL AT END OF JOB 
</t>
        </r>
      </text>
    </comment>
    <comment ref="H9" authorId="0" shapeId="0" xr:uid="{A670C051-4B74-419D-8335-3D8068E41141}">
      <text>
        <r>
          <rPr>
            <b/>
            <sz val="9"/>
            <color indexed="81"/>
            <rFont val="Tahoma"/>
            <family val="2"/>
          </rPr>
          <t>William Hatley:</t>
        </r>
        <r>
          <rPr>
            <sz val="9"/>
            <color indexed="81"/>
            <rFont val="Tahoma"/>
            <family val="2"/>
          </rPr>
          <t xml:space="preserve">
BILL AT END OF JOB
</t>
        </r>
      </text>
    </comment>
    <comment ref="H10" authorId="0" shapeId="0" xr:uid="{0A7B82D8-A1E6-427D-BBA5-18106F411A89}">
      <text>
        <r>
          <rPr>
            <b/>
            <sz val="9"/>
            <color indexed="81"/>
            <rFont val="Tahoma"/>
            <family val="2"/>
          </rPr>
          <t>William Hatley:</t>
        </r>
        <r>
          <rPr>
            <sz val="9"/>
            <color indexed="81"/>
            <rFont val="Tahoma"/>
            <family val="2"/>
          </rPr>
          <t xml:space="preserve">
BILL AT END OF JOB
</t>
        </r>
      </text>
    </comment>
    <comment ref="H14" authorId="0" shapeId="0" xr:uid="{41788CBC-251F-471F-BF24-121015849498}">
      <text>
        <r>
          <rPr>
            <b/>
            <sz val="9"/>
            <color indexed="81"/>
            <rFont val="Tahoma"/>
            <family val="2"/>
          </rPr>
          <t>William Hatley:</t>
        </r>
        <r>
          <rPr>
            <sz val="9"/>
            <color indexed="81"/>
            <rFont val="Tahoma"/>
            <family val="2"/>
          </rPr>
          <t xml:space="preserve">
BILL AT END OF JOB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tc={F2EC3092-A389-4BF9-BF15-EF002E9AB4FF}</author>
    <author>Corey Boser</author>
  </authors>
  <commentList>
    <comment ref="O2" authorId="0" shapeId="0" xr:uid="{F2EC3092-A389-4BF9-BF15-EF002E9AB4FF}">
      <text>
        <t>[Threaded comment]
Your version of Excel allows you to read this threaded comment; however, any edits to it will get removed if the file is opened in a newer version of Excel. Learn more: https://go.microsoft.com/fwlink/?linkid=870924
Comment:
    G915 includes these as standard</t>
      </text>
    </comment>
    <comment ref="X23" authorId="1" shapeId="0" xr:uid="{00000000-0006-0000-0200-000001000000}">
      <text>
        <r>
          <rPr>
            <b/>
            <sz val="9"/>
            <color indexed="81"/>
            <rFont val="Tahoma"/>
            <family val="2"/>
          </rPr>
          <t>Corey Boser: 3/24/22</t>
        </r>
        <r>
          <rPr>
            <sz val="9"/>
            <color indexed="81"/>
            <rFont val="Tahoma"/>
            <family val="2"/>
          </rPr>
          <t xml:space="preserve">
Short
2x6-16' PT Plate - 2 pieces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Corey Boser</author>
  </authors>
  <commentList>
    <comment ref="A3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Corey Boser:
</t>
        </r>
        <r>
          <rPr>
            <sz val="9"/>
            <color indexed="81"/>
            <rFont val="Tahoma"/>
            <family val="2"/>
          </rPr>
          <t>Waiting for updated PO on Supply Pro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Corey Boser</author>
  </authors>
  <commentList>
    <comment ref="G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Corey Boser:</t>
        </r>
      </text>
    </comment>
    <comment ref="AB1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Corey Boser: 3/23/22</t>
        </r>
        <r>
          <rPr>
            <sz val="9"/>
            <color indexed="81"/>
            <rFont val="Tahoma"/>
            <family val="2"/>
          </rPr>
          <t xml:space="preserve">
Short 
5/4x4-Hardie - 8 pieces
5/4x10-Hardie  2 pieces</t>
        </r>
      </text>
    </comment>
    <comment ref="V1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Tall Crawl Space Figured in Extra Option PO - No Pony Wall EPO required</t>
        </r>
      </text>
    </comment>
    <comment ref="V1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Tall Crawl Space Figured in Extra Option PO - No Pony Wall EPO required</t>
        </r>
      </text>
    </comment>
    <comment ref="V14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Tall Crawl Space Figured in Extra Option PO - No Pony Wall EPO required</t>
        </r>
      </text>
    </comment>
    <comment ref="V15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Tall Crawl Space Figured in Extra Option PO - No Pony Wall EPO required</t>
        </r>
      </text>
    </comment>
    <comment ref="V16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Corey Boser:</t>
        </r>
        <r>
          <rPr>
            <sz val="9"/>
            <color indexed="81"/>
            <rFont val="Tahoma"/>
            <family val="2"/>
          </rPr>
          <t xml:space="preserve">
Tall Crawl Space Figured in Extra Option PO - No Pony Wall EPO required</t>
        </r>
      </text>
    </comment>
  </commentList>
</comments>
</file>

<file path=xl/sharedStrings.xml><?xml version="1.0" encoding="utf-8"?>
<sst xmlns="http://schemas.openxmlformats.org/spreadsheetml/2006/main" count="8855" uniqueCount="1674">
  <si>
    <t>Subdivision</t>
  </si>
  <si>
    <t>lot</t>
  </si>
  <si>
    <t>PO's missing/credits</t>
  </si>
  <si>
    <t>Dollar Amount</t>
  </si>
  <si>
    <t>emailed Terri/James</t>
  </si>
  <si>
    <t>Response?</t>
  </si>
  <si>
    <t>PO issue resolved</t>
  </si>
  <si>
    <t>North Haven</t>
  </si>
  <si>
    <t>Firewall</t>
  </si>
  <si>
    <t>Y</t>
  </si>
  <si>
    <t>Firewall overcharge</t>
  </si>
  <si>
    <t>Parker's Landing</t>
  </si>
  <si>
    <t>Ready Frame</t>
  </si>
  <si>
    <t>Y - RF</t>
  </si>
  <si>
    <t>CovdP overcharge</t>
  </si>
  <si>
    <t>Scholls Heights</t>
  </si>
  <si>
    <t>Ready Frame, Loft, Deluxe Master Bath</t>
  </si>
  <si>
    <t>WNWBA2, WDWDIN</t>
  </si>
  <si>
    <t>WDWGRTALT?</t>
  </si>
  <si>
    <t>Siding PO tax amount?</t>
  </si>
  <si>
    <t>$769.52 vs $716.68</t>
  </si>
  <si>
    <t>Cascadia Ridge</t>
  </si>
  <si>
    <t>ABR4BA option</t>
  </si>
  <si>
    <t>Ready Frame, FrenchDB8</t>
  </si>
  <si>
    <t>RPAP</t>
  </si>
  <si>
    <t>Duplicate tax payment</t>
  </si>
  <si>
    <t>Frog Pond Ridge</t>
  </si>
  <si>
    <t>PO 997755481 - we did not provide this material</t>
  </si>
  <si>
    <t>Lump Sum Siding Credit 98333710</t>
  </si>
  <si>
    <t>Lump Sum Siding Credit 98333824</t>
  </si>
  <si>
    <t>Lump Sum Siding Credit 98333836</t>
  </si>
  <si>
    <t>Tall Crawl PO 97659965</t>
  </si>
  <si>
    <t>Tall Crawl PO 97659991</t>
  </si>
  <si>
    <t>Tall Crawl PO 97660011</t>
  </si>
  <si>
    <t>Tall Crawl PO 97660043</t>
  </si>
  <si>
    <t>Moonlight</t>
  </si>
  <si>
    <t>EPO material never picked up</t>
  </si>
  <si>
    <t>Windows at flex option payment</t>
  </si>
  <si>
    <t>Credit Memo's to write</t>
  </si>
  <si>
    <t xml:space="preserve">Firewall overcharge </t>
  </si>
  <si>
    <t xml:space="preserve">North Haven Lot 82 </t>
  </si>
  <si>
    <t>ask leslie how to handle this - they gave us a PO and it was never used and then they issued a credit for it</t>
  </si>
  <si>
    <t>North Haven Lot 104</t>
  </si>
  <si>
    <t>North Haven Lot 140</t>
  </si>
  <si>
    <t>North Haven Lot 155</t>
  </si>
  <si>
    <t>North Haven Lot 157</t>
  </si>
  <si>
    <t>North Haven Lot 161</t>
  </si>
  <si>
    <t>Deck Over Charge</t>
  </si>
  <si>
    <t>North Haven Lot 165</t>
  </si>
  <si>
    <t>North Haven Lot 162</t>
  </si>
  <si>
    <t>this is cancelled in online....</t>
  </si>
  <si>
    <t>North Haven Lot 163</t>
  </si>
  <si>
    <t>Siding Lump Sum</t>
  </si>
  <si>
    <t>Cascadia Ridge Lot 232</t>
  </si>
  <si>
    <t>Cascadia Ridge Lot 245</t>
  </si>
  <si>
    <t>Cascadia Ridge Lot 257</t>
  </si>
  <si>
    <t>Cascadia Ridge Lot 265</t>
  </si>
  <si>
    <t>EPO on wrong Lot</t>
  </si>
  <si>
    <t>Reed's Crossing 1203/1204</t>
  </si>
  <si>
    <t>Effective Date:</t>
  </si>
  <si>
    <t>Expiry Date:</t>
  </si>
  <si>
    <t>PlanID</t>
  </si>
  <si>
    <t>Option #</t>
  </si>
  <si>
    <t>Option Desc</t>
  </si>
  <si>
    <t xml:space="preserve"> Extended Amount/Bid </t>
  </si>
  <si>
    <t>Comments</t>
  </si>
  <si>
    <t>G17F</t>
  </si>
  <si>
    <t>2CAR5XA</t>
  </si>
  <si>
    <t>2 Car Garage 5' Ext - Elv A</t>
  </si>
  <si>
    <t>2CAR5XB</t>
  </si>
  <si>
    <t>2 Car Garage 5' Ext - Elv B</t>
  </si>
  <si>
    <t>2CAR5XC</t>
  </si>
  <si>
    <t>2 Car Garage 5' Ext - Elv C</t>
  </si>
  <si>
    <t>3CARA</t>
  </si>
  <si>
    <t>3 Car Garage - Elv A</t>
  </si>
  <si>
    <t>3CARB</t>
  </si>
  <si>
    <t>3 Car Garage - Elv B</t>
  </si>
  <si>
    <t>3CARC</t>
  </si>
  <si>
    <t>3 Car Garage - Elv C</t>
  </si>
  <si>
    <t>92L</t>
  </si>
  <si>
    <t>9' Ceilings - Second Floor</t>
  </si>
  <si>
    <t>COFMBR</t>
  </si>
  <si>
    <t>Tray Ceiling at Master BR</t>
  </si>
  <si>
    <t>COVD</t>
  </si>
  <si>
    <t>Covered Deck at Kitchen w/ WO</t>
  </si>
  <si>
    <t>COVD1SN</t>
  </si>
  <si>
    <t>Covered Deck at Sunroom w/ WO</t>
  </si>
  <si>
    <t>COVD2</t>
  </si>
  <si>
    <t>Covered Deck at WO w/ XGREAT</t>
  </si>
  <si>
    <t>COVP</t>
  </si>
  <si>
    <t>Covered Patio at Kitchen</t>
  </si>
  <si>
    <t>COVP2</t>
  </si>
  <si>
    <t>Covered Patio 2 at Kitchen w/</t>
  </si>
  <si>
    <t>COVPSN1</t>
  </si>
  <si>
    <t>Covered Patio at Sunroom</t>
  </si>
  <si>
    <t>ELVB</t>
  </si>
  <si>
    <t>Elevation B</t>
  </si>
  <si>
    <t>ELVC</t>
  </si>
  <si>
    <t>Elevation C</t>
  </si>
  <si>
    <t>MSLIDE1</t>
  </si>
  <si>
    <t>12' Multi-Slide Door at Kitche</t>
  </si>
  <si>
    <t>SUN</t>
  </si>
  <si>
    <t>Rear Sun Room N/A w/ XGREAT</t>
  </si>
  <si>
    <t>SUNWO</t>
  </si>
  <si>
    <t>Rear Sun Room at Walkout N/A w</t>
  </si>
  <si>
    <t>WDWBR3</t>
  </si>
  <si>
    <t>Window(s) at Bed 3 (1) 2040 SH</t>
  </si>
  <si>
    <t>WDWGAR</t>
  </si>
  <si>
    <t>Window(s) at Garage (1) 4040 F</t>
  </si>
  <si>
    <t>WDWGRTX</t>
  </si>
  <si>
    <t>Window(s) at Ext Great (2) 265</t>
  </si>
  <si>
    <t>WDWMBR</t>
  </si>
  <si>
    <t>Window(s) at Master Bedroom (1</t>
  </si>
  <si>
    <t>WO</t>
  </si>
  <si>
    <t>Walkout Basement includes Deck</t>
  </si>
  <si>
    <t>WO2</t>
  </si>
  <si>
    <t>Walkout Basement w/ XGREAT inc</t>
  </si>
  <si>
    <t>XGREAT</t>
  </si>
  <si>
    <t>Extended Great Room</t>
  </si>
  <si>
    <t>G18L</t>
  </si>
  <si>
    <t>ABR4</t>
  </si>
  <si>
    <t>Bedroom 4 ILO Loft</t>
  </si>
  <si>
    <t>Covered Deck at Nook w/ WO</t>
  </si>
  <si>
    <t>Covered Patio at Nook</t>
  </si>
  <si>
    <t>DBA</t>
  </si>
  <si>
    <t>Deluxe Master Bath Includes Te</t>
  </si>
  <si>
    <t>Window(s) at Master Bedroom (2</t>
  </si>
  <si>
    <t>G250</t>
  </si>
  <si>
    <t>ABABA3</t>
  </si>
  <si>
    <t>Optional Bath 3 at Bedroom 2</t>
  </si>
  <si>
    <t>ABR5BA</t>
  </si>
  <si>
    <t>Bedroom 5 / Bath Combination I</t>
  </si>
  <si>
    <t>COFDIN</t>
  </si>
  <si>
    <t>Tray Ceiling at Dining</t>
  </si>
  <si>
    <t>COFSTUDY</t>
  </si>
  <si>
    <t>Tray Ceiling at Study</t>
  </si>
  <si>
    <t>Covered Deck at Walkout Baseme</t>
  </si>
  <si>
    <t>Covered Deck at Sunroom w/ Wal</t>
  </si>
  <si>
    <t>Covered Patio</t>
  </si>
  <si>
    <t>Deluxe Master Bath</t>
  </si>
  <si>
    <t>DBA2</t>
  </si>
  <si>
    <t>Deluxe Master Bath 2</t>
  </si>
  <si>
    <t>DBA3</t>
  </si>
  <si>
    <t>Deluxe Master Bath 3</t>
  </si>
  <si>
    <t>DINING</t>
  </si>
  <si>
    <t>Dining Room ILO Flex</t>
  </si>
  <si>
    <t>STUDY</t>
  </si>
  <si>
    <t>Study ILO Flex</t>
  </si>
  <si>
    <t>Rear Sun Room</t>
  </si>
  <si>
    <t>Rear Sun Room at Walkout</t>
  </si>
  <si>
    <t>TALLCRWL</t>
  </si>
  <si>
    <t>Tall Crawl</t>
  </si>
  <si>
    <t>WDWDIN</t>
  </si>
  <si>
    <t>Window(s) at Dining Room (2) 2</t>
  </si>
  <si>
    <t>WDWFLEX</t>
  </si>
  <si>
    <t>Window(s) at Flex (2) 2056SH (</t>
  </si>
  <si>
    <t>Window(s) at Garage (1) 4050 S</t>
  </si>
  <si>
    <t>WDWGRALT</t>
  </si>
  <si>
    <t>Window(s) at Great Room - Alt</t>
  </si>
  <si>
    <t>WDWGREAT</t>
  </si>
  <si>
    <t>Window(s) at Great Room (2) 20</t>
  </si>
  <si>
    <t>WDWSTUDY</t>
  </si>
  <si>
    <t>Window(s) at Study (2) 2056 SH</t>
  </si>
  <si>
    <t>Finished Walkout Basement #1 i</t>
  </si>
  <si>
    <t>This price does not include deck, please let us know if his needs to include the deck</t>
  </si>
  <si>
    <t>Finished Walkout Basement #2 i</t>
  </si>
  <si>
    <t>WOU</t>
  </si>
  <si>
    <t>Unfinished Walkout Basement #1</t>
  </si>
  <si>
    <t>WOU2</t>
  </si>
  <si>
    <t>Unfinished Walkout Basement #2</t>
  </si>
  <si>
    <t>G260</t>
  </si>
  <si>
    <t>Covered Patio at Great Room</t>
  </si>
  <si>
    <t>ELVD</t>
  </si>
  <si>
    <t>Elevation D</t>
  </si>
  <si>
    <t>ELVE</t>
  </si>
  <si>
    <t>Elevation E</t>
  </si>
  <si>
    <t>ELVF</t>
  </si>
  <si>
    <t>Elevation F</t>
  </si>
  <si>
    <t>ENHD</t>
  </si>
  <si>
    <t>Enhanced Elevation D</t>
  </si>
  <si>
    <t>ENHE</t>
  </si>
  <si>
    <t>Enhanced Elevation E</t>
  </si>
  <si>
    <t>ENHF</t>
  </si>
  <si>
    <t>Enhanced Elevation F</t>
  </si>
  <si>
    <t>Window(s) at Garage (1) 4040 S</t>
  </si>
  <si>
    <t>G31H</t>
  </si>
  <si>
    <t>BOOK1</t>
  </si>
  <si>
    <t>Bookcase at Study</t>
  </si>
  <si>
    <t>Covered Deck 2 at Great Room w</t>
  </si>
  <si>
    <t>Covered Patio 2 at Great Room</t>
  </si>
  <si>
    <t>G33H</t>
  </si>
  <si>
    <t>ABR5</t>
  </si>
  <si>
    <t>Bedroom 5 ILO Loft</t>
  </si>
  <si>
    <t>Covered Deck 2 at Nook w/ WO</t>
  </si>
  <si>
    <t>Covered Patio 2 at Nook</t>
  </si>
  <si>
    <t>GAREXT2</t>
  </si>
  <si>
    <t>Garage 2' Extension</t>
  </si>
  <si>
    <t>LOFT2</t>
  </si>
  <si>
    <t>Loft #2 ILO Open to Below</t>
  </si>
  <si>
    <t>12' Center Meet Door at Great</t>
  </si>
  <si>
    <t>MSLIDE2</t>
  </si>
  <si>
    <t>12' Multi-Slide Door at Great</t>
  </si>
  <si>
    <t>PORRAIL</t>
  </si>
  <si>
    <t>Porch Railing</t>
  </si>
  <si>
    <t>G44H</t>
  </si>
  <si>
    <t>Bedroom 5 ILO Study</t>
  </si>
  <si>
    <t>BOOK2</t>
  </si>
  <si>
    <t>Bookcase at Fireplace at Great</t>
  </si>
  <si>
    <t>COFLIV</t>
  </si>
  <si>
    <t>Tray Ceiling at Living</t>
  </si>
  <si>
    <t>COFRETRT</t>
  </si>
  <si>
    <t>Tray Ceiling at Master Retreat</t>
  </si>
  <si>
    <t>DBA4</t>
  </si>
  <si>
    <t>Deluxe Master Bath 4</t>
  </si>
  <si>
    <t>16' Multi-Slide Door at Great</t>
  </si>
  <si>
    <t>G48H</t>
  </si>
  <si>
    <t>COFENTRY</t>
  </si>
  <si>
    <t>Tray Ceiling at Entry</t>
  </si>
  <si>
    <t>12' Center Meet Door at Great;</t>
  </si>
  <si>
    <t>15' Multi-Slide Door at Great;</t>
  </si>
  <si>
    <t>G593</t>
  </si>
  <si>
    <t>RETREAT</t>
  </si>
  <si>
    <t>MBR Retreat</t>
  </si>
  <si>
    <t>SITTING</t>
  </si>
  <si>
    <t>MBR Sitting ILO Loft</t>
  </si>
  <si>
    <t>G601</t>
  </si>
  <si>
    <t>ABR6</t>
  </si>
  <si>
    <t>Bedroom 6 ILO Loft</t>
  </si>
  <si>
    <t xml:space="preserve"> N/A </t>
  </si>
  <si>
    <t>Not showing on plans</t>
  </si>
  <si>
    <t>MBR Retreat ILO Bed 2</t>
  </si>
  <si>
    <t>Walkout Basement #1 includes D</t>
  </si>
  <si>
    <t>G603</t>
  </si>
  <si>
    <t>2CAR4XA</t>
  </si>
  <si>
    <t>2 Car Garage 4' Ext - Elv A</t>
  </si>
  <si>
    <t>2CAR4XB</t>
  </si>
  <si>
    <t>2 Car Garage 4' Ext - Elv B</t>
  </si>
  <si>
    <t>2CAR4XC</t>
  </si>
  <si>
    <t>2 Car Garage 4' Ext - Elv C</t>
  </si>
  <si>
    <t>ABAWC</t>
  </si>
  <si>
    <t>Optional Wall and Door at Bath</t>
  </si>
  <si>
    <t>12' Center Meet Door</t>
  </si>
  <si>
    <t>12' Multi-Slide Door</t>
  </si>
  <si>
    <t>Window(s) at Bed 3</t>
  </si>
  <si>
    <t>WDWBR4</t>
  </si>
  <si>
    <t>Window(s) at Bed 4</t>
  </si>
  <si>
    <t>WDWBR5</t>
  </si>
  <si>
    <t>Window(s) at Bed 5</t>
  </si>
  <si>
    <t>(1) 4040 FX</t>
  </si>
  <si>
    <t>(1) 3050 SH</t>
  </si>
  <si>
    <t>Walkout Basement #2 includes D</t>
  </si>
  <si>
    <t>G698</t>
  </si>
  <si>
    <t>ABR5BA3</t>
  </si>
  <si>
    <t>Bedroom 5 / Bath 3 Combination</t>
  </si>
  <si>
    <t>ABR6BA4</t>
  </si>
  <si>
    <t>Bedroom 6 / Bath 4 Combination</t>
  </si>
  <si>
    <t>Extended Covered Deck #2 at Dining Room</t>
  </si>
  <si>
    <t>COVD3</t>
  </si>
  <si>
    <t>Extended Covered Deck #3 at Dining Room</t>
  </si>
  <si>
    <t>Covered Patio 2 at Dining</t>
  </si>
  <si>
    <t>COVP3</t>
  </si>
  <si>
    <t>Covered Patio 3 at Dining</t>
  </si>
  <si>
    <t>LOFT</t>
  </si>
  <si>
    <t>Loft ILO Open to Below</t>
  </si>
  <si>
    <t>MBR Sitting ILO Bedroom 2</t>
  </si>
  <si>
    <t>Walkout Basement #1 includes Covered Deck</t>
  </si>
  <si>
    <t>Walkout Basement #2 includes Covered Deck</t>
  </si>
  <si>
    <t>WO3</t>
  </si>
  <si>
    <t>Walkout Basement #3 includes Covered Deck</t>
  </si>
  <si>
    <t>G712</t>
  </si>
  <si>
    <t>COVPX</t>
  </si>
  <si>
    <t>Extended Covered Patio</t>
  </si>
  <si>
    <t>Deluxe Master Bath 2 Includes</t>
  </si>
  <si>
    <t>Window(s) at Dining Room (1) 4</t>
  </si>
  <si>
    <t>WDWSTAIR</t>
  </si>
  <si>
    <t>Window(s) at Stairs ELV Specif</t>
  </si>
  <si>
    <t>G713</t>
  </si>
  <si>
    <t>This options sheet is missing WDWDIN, WDWENTRY, WDWFOY, WDWGAR, WDWGREAT, WDWMBR</t>
  </si>
  <si>
    <t>COVDX</t>
  </si>
  <si>
    <t>Extended Covered Deck at Walko</t>
  </si>
  <si>
    <t xml:space="preserve"> $-   </t>
  </si>
  <si>
    <t>Walkout Basement #1 includes C</t>
  </si>
  <si>
    <t>Walkout Basement #2 includes C</t>
  </si>
  <si>
    <t>G720</t>
  </si>
  <si>
    <t>ABR4BA</t>
  </si>
  <si>
    <t>Bedroom 4 / Bath Combination I</t>
  </si>
  <si>
    <t>G721</t>
  </si>
  <si>
    <t>101L</t>
  </si>
  <si>
    <t>10' Ceilings - First Floor</t>
  </si>
  <si>
    <t xml:space="preserve"> </t>
  </si>
  <si>
    <t>Bedroom 4 ILO Study (N/A w/ WO</t>
  </si>
  <si>
    <t>Extended Covered Deck #2 at Di</t>
  </si>
  <si>
    <t>Extended Covered Deck #3 at Di</t>
  </si>
  <si>
    <t>Covered Patio at Dining</t>
  </si>
  <si>
    <t>DECK2</t>
  </si>
  <si>
    <t>Extended Deck #2 at Dining w/</t>
  </si>
  <si>
    <t>DECK3</t>
  </si>
  <si>
    <t>Extended Deck #3 at Dining w/</t>
  </si>
  <si>
    <t>WDWLAUND</t>
  </si>
  <si>
    <t>Window(s) at Laundry (1) 2050</t>
  </si>
  <si>
    <t>Previous pricing did not include deck</t>
  </si>
  <si>
    <t>G723</t>
  </si>
  <si>
    <t>Optional Bath 3 at Bedroom 3</t>
  </si>
  <si>
    <t>DECKXWOA</t>
  </si>
  <si>
    <t>Extended Deck at WO</t>
  </si>
  <si>
    <t>ELVG</t>
  </si>
  <si>
    <t>Elevation G</t>
  </si>
  <si>
    <t>10' Center Meet Door at Dining</t>
  </si>
  <si>
    <t>9' Multi-Slide Door at Dining</t>
  </si>
  <si>
    <t>SGD</t>
  </si>
  <si>
    <t>Sliding Glass Door 8080 ILO 60</t>
  </si>
  <si>
    <t>Rear Sun Room 10' Deep</t>
  </si>
  <si>
    <t>SUN2</t>
  </si>
  <si>
    <t>Rear Sun Room 2 12' Deep</t>
  </si>
  <si>
    <t>SUN2WO</t>
  </si>
  <si>
    <t>Rear Sun Room 2 at Walkout 12'</t>
  </si>
  <si>
    <t>includes deck</t>
  </si>
  <si>
    <t>Rear Sun Room at Walkout 10' D</t>
  </si>
  <si>
    <t>Window(s) at Laundry (1) 2040</t>
  </si>
  <si>
    <t>WDWMUD</t>
  </si>
  <si>
    <t>Window(s) at Mud Room (1) 2040</t>
  </si>
  <si>
    <t>included deck</t>
  </si>
  <si>
    <t>G742</t>
  </si>
  <si>
    <t>Window(s) at Great Room (2) 30</t>
  </si>
  <si>
    <t>G744</t>
  </si>
  <si>
    <t>3CARD</t>
  </si>
  <si>
    <t>3 Car Garage - Elv D</t>
  </si>
  <si>
    <t>3CARE</t>
  </si>
  <si>
    <t>3 Car Garage - Elv E</t>
  </si>
  <si>
    <t>3CARF</t>
  </si>
  <si>
    <t>3 Car Garage - Elv F</t>
  </si>
  <si>
    <t>Covered Deck</t>
  </si>
  <si>
    <t>Extended Covered Patio at Dini</t>
  </si>
  <si>
    <t>Window(s) at Great Room (2) 26</t>
  </si>
  <si>
    <t>Window(s) at Stairs (2) 2036 F</t>
  </si>
  <si>
    <t>G753</t>
  </si>
  <si>
    <t>G754</t>
  </si>
  <si>
    <t>G767</t>
  </si>
  <si>
    <t>ABAPWDR</t>
  </si>
  <si>
    <t>Optional Powder</t>
  </si>
  <si>
    <t>Bedroom 4 / Bath Combination</t>
  </si>
  <si>
    <t>PDVANCB2</t>
  </si>
  <si>
    <t>Alt Vanity Cab ILO Pedestal</t>
  </si>
  <si>
    <t>G768</t>
  </si>
  <si>
    <t>G769</t>
  </si>
  <si>
    <t>ELVH</t>
  </si>
  <si>
    <t>Elevation H</t>
  </si>
  <si>
    <t>ELVJ</t>
  </si>
  <si>
    <t>Elevation J</t>
  </si>
  <si>
    <t>ELVK</t>
  </si>
  <si>
    <t>Elevation K</t>
  </si>
  <si>
    <t>G770</t>
  </si>
  <si>
    <t>WDWBA2</t>
  </si>
  <si>
    <t>Window(s) at Bath 2 (1) 2040 S</t>
  </si>
  <si>
    <t>Window(s) at Garage (2) 4040 F</t>
  </si>
  <si>
    <t>G786</t>
  </si>
  <si>
    <t>ABR3</t>
  </si>
  <si>
    <t>Bedroom 3 ILO Study at WO Bsmt</t>
  </si>
  <si>
    <t>Bedroom 5 ILO Flex at WO Bsmt</t>
  </si>
  <si>
    <t>Dining Room ILO Study</t>
  </si>
  <si>
    <t>Walkout Basement includes Cove</t>
  </si>
  <si>
    <t>G892</t>
  </si>
  <si>
    <t>Optional 8'x8' Covered Deck at</t>
  </si>
  <si>
    <t>Covered Patio 2</t>
  </si>
  <si>
    <t>Covered Patio 3</t>
  </si>
  <si>
    <t>DECK</t>
  </si>
  <si>
    <t>Optional 8'x8' Deck at Great R</t>
  </si>
  <si>
    <t>ENHB</t>
  </si>
  <si>
    <t>Enhanced Elevation B</t>
  </si>
  <si>
    <t>WDWBR2</t>
  </si>
  <si>
    <t>Window(s) at Bed 2 (1) 3040 SH</t>
  </si>
  <si>
    <t>Window(s) at Bed 3 (1) 2650 SH</t>
  </si>
  <si>
    <t>Window(s) at Dining Room (1) 3</t>
  </si>
  <si>
    <t>G893</t>
  </si>
  <si>
    <t>Optional 4'x10' Deck at Great R</t>
  </si>
  <si>
    <t>G896</t>
  </si>
  <si>
    <t>Optional 8'x10' Covered Deck at</t>
  </si>
  <si>
    <t>Covered Patio 3 at Great Room</t>
  </si>
  <si>
    <t>Optional 8'x10' Deck at Dinning</t>
  </si>
  <si>
    <t>Optional 4'x10' Deck at Great</t>
  </si>
  <si>
    <t>Window(s) at Bed 2 (1) 2650 SH</t>
  </si>
  <si>
    <t>Window(s) at Great Room (4) 20</t>
  </si>
  <si>
    <t>G913</t>
  </si>
  <si>
    <t>Window(s) at Garage (1) 4040 SL</t>
  </si>
  <si>
    <t>Window(s) at Great Room (2) 2050SH</t>
  </si>
  <si>
    <t>Window(s) at Laundry (1) 2030 SH</t>
  </si>
  <si>
    <t>Window(s) at Master Bedroom (2) 2050 SH</t>
  </si>
  <si>
    <t>KITALT</t>
  </si>
  <si>
    <t>Alternate Kitchen</t>
  </si>
  <si>
    <t>G914</t>
  </si>
  <si>
    <t>G915</t>
  </si>
  <si>
    <t>Window(s) at Flex (1) 4050 SL</t>
  </si>
  <si>
    <t>Window(s) at Study (1) 4050 SL</t>
  </si>
  <si>
    <t>G921</t>
  </si>
  <si>
    <t>Bedroom 4 ILO Study</t>
  </si>
  <si>
    <t>G941</t>
  </si>
  <si>
    <t>Window(s) at Bed 2 (1) 2050 SH</t>
  </si>
  <si>
    <t>Window(s) at Bed 3 (1) 2050 SH</t>
  </si>
  <si>
    <t>Window(s) at Dining Room (1) 5</t>
  </si>
  <si>
    <t>G943</t>
  </si>
  <si>
    <t>WDWBA3</t>
  </si>
  <si>
    <t>Window(s) at Bath 3 (1) 2620 F</t>
  </si>
  <si>
    <t>Window(s) at Garage (1) 4040SL</t>
  </si>
  <si>
    <t>WDWPDR</t>
  </si>
  <si>
    <t>Window(s) at Powder (1) 2620 F</t>
  </si>
  <si>
    <t>Extended Amount/Bid</t>
  </si>
  <si>
    <t>+</t>
  </si>
  <si>
    <t>Optional Wall and Door</t>
  </si>
  <si>
    <t>at Bath 2</t>
  </si>
  <si>
    <t>FPELEC01</t>
  </si>
  <si>
    <t>Electric Fireplace w/Drywall</t>
  </si>
  <si>
    <t>No Mantel</t>
  </si>
  <si>
    <t>FPELEC02</t>
  </si>
  <si>
    <t>With Mantel</t>
  </si>
  <si>
    <t>FPELEC03</t>
  </si>
  <si>
    <t>Electric Fireplace w/Tile</t>
  </si>
  <si>
    <t>FPELEC04</t>
  </si>
  <si>
    <t>FPELEC05</t>
  </si>
  <si>
    <t>Electric FP w/ 1/2 Wall Tile</t>
  </si>
  <si>
    <t>FPELEC07</t>
  </si>
  <si>
    <t>No Mantel - Corner Location</t>
  </si>
  <si>
    <t>FPELEC08</t>
  </si>
  <si>
    <t>With Mantel - Corner Location</t>
  </si>
  <si>
    <t>FPELEC09</t>
  </si>
  <si>
    <t>FPELEC10</t>
  </si>
  <si>
    <t>FPSIN2TL</t>
  </si>
  <si>
    <t>Traditional Fireplace - Tile</t>
  </si>
  <si>
    <t>Corner location</t>
  </si>
  <si>
    <t>FPSING01</t>
  </si>
  <si>
    <t>Cosmo w/Drywall &amp; No Mantel</t>
  </si>
  <si>
    <t>FPSING02</t>
  </si>
  <si>
    <t>Cosmo w/Drywall &amp; Mantel</t>
  </si>
  <si>
    <t>FPSING03</t>
  </si>
  <si>
    <t>Cosmo w/Tile &amp; No Mantel</t>
  </si>
  <si>
    <t>FPSING04</t>
  </si>
  <si>
    <t>Cosmo w/Tile &amp; Mantel</t>
  </si>
  <si>
    <t>FPSING05</t>
  </si>
  <si>
    <t>Cosmo w/Tile Frame &amp; No Mantel</t>
  </si>
  <si>
    <t>FPSING06</t>
  </si>
  <si>
    <t>Cosmo w/Tile Frame &amp; Mantel</t>
  </si>
  <si>
    <t>FPSING07</t>
  </si>
  <si>
    <t>FPSING08</t>
  </si>
  <si>
    <t>FPSING09</t>
  </si>
  <si>
    <t>FPSING10</t>
  </si>
  <si>
    <t>FPSING11</t>
  </si>
  <si>
    <t>FPSING12</t>
  </si>
  <si>
    <t>FPSINGBR</t>
  </si>
  <si>
    <t>Traditional Fireplace - Brick</t>
  </si>
  <si>
    <t>FPSINGST</t>
  </si>
  <si>
    <t>Traditional Fireplace - Stone</t>
  </si>
  <si>
    <t>FPSINGTL</t>
  </si>
  <si>
    <t>at Kitchen w/ WO</t>
  </si>
  <si>
    <t>at Sunroom w/ WO</t>
  </si>
  <si>
    <t>at WO w/ XGREAT</t>
  </si>
  <si>
    <t>at Kitchen</t>
  </si>
  <si>
    <t>at Kitchen w/ XGREAT</t>
  </si>
  <si>
    <t>at Sunroom</t>
  </si>
  <si>
    <t>N/A w/ XGREAT</t>
  </si>
  <si>
    <t>(1) 2040 SH</t>
  </si>
  <si>
    <t>Window(s) at Garage</t>
  </si>
  <si>
    <t>Window(s) at Ext Great</t>
  </si>
  <si>
    <t>(2) 2650 SH</t>
  </si>
  <si>
    <t>Window(s) at Master Bedroom</t>
  </si>
  <si>
    <t>(1) 5050 SL</t>
  </si>
  <si>
    <t>Walkout Basement</t>
  </si>
  <si>
    <t>includes Deck</t>
  </si>
  <si>
    <t>Walkout Basement w/ XGREAT</t>
  </si>
  <si>
    <t>N/A with Sunroom</t>
  </si>
  <si>
    <t>Base House (Ready Frame)</t>
  </si>
  <si>
    <t>Bedroom 4</t>
  </si>
  <si>
    <t>ILO Loft</t>
  </si>
  <si>
    <t>at Nook w/ WO</t>
  </si>
  <si>
    <t>at Nook</t>
  </si>
  <si>
    <t>Includes Tech Center</t>
  </si>
  <si>
    <t>(2) 2050SH</t>
  </si>
  <si>
    <t>Concrete Wall Garage Ledger Garage Structural Floor</t>
  </si>
  <si>
    <t>8'+ Concrete Wall Garage Ledger Garage Structural Floor</t>
  </si>
  <si>
    <t>3CAR</t>
  </si>
  <si>
    <t>3 Car Concrete Wall Garage Ledger Garage Structural Floor</t>
  </si>
  <si>
    <t>3CAR8'+</t>
  </si>
  <si>
    <t>3 Car 8'+ Concrete Wall Garage Ledger Garage Structural Floor</t>
  </si>
  <si>
    <t>Optional Bath 3</t>
  </si>
  <si>
    <t>at Bedroom 2</t>
  </si>
  <si>
    <t>Bedroom 5 / Bath Combination</t>
  </si>
  <si>
    <t>Bookcase</t>
  </si>
  <si>
    <t>at Study</t>
  </si>
  <si>
    <t>at Walkout Basement</t>
  </si>
  <si>
    <t>at Sunroom w/ Walkout Basement</t>
  </si>
  <si>
    <t>Dining Room</t>
  </si>
  <si>
    <t>ILO Flex</t>
  </si>
  <si>
    <t>Study</t>
  </si>
  <si>
    <t>includes pony wall framing, siding, deck framing, surface &amp; rail)</t>
  </si>
  <si>
    <t>Window(s) at Dining Room</t>
  </si>
  <si>
    <t>(2) 2056SH (N/A w/ ELVC)</t>
  </si>
  <si>
    <t>Window(s) at Flex</t>
  </si>
  <si>
    <t>(1) 4050 SL</t>
  </si>
  <si>
    <t>(1) 2050 SH w/Corner Fireplace</t>
  </si>
  <si>
    <t>Window(s) at Great Room</t>
  </si>
  <si>
    <t>(2) 2050 SH</t>
  </si>
  <si>
    <t>Window(s) at Study</t>
  </si>
  <si>
    <t>(2) 2056 SH (N/A w/ ELVC)</t>
  </si>
  <si>
    <t>Finished Walkout Basement #1</t>
  </si>
  <si>
    <t>Finished Walkout Basement #2</t>
  </si>
  <si>
    <t>ILO Dining/Powder</t>
  </si>
  <si>
    <t>at Great Room</t>
  </si>
  <si>
    <t>(1) 4040 SL</t>
  </si>
  <si>
    <t>(2) 3050 SH</t>
  </si>
  <si>
    <t>G591</t>
  </si>
  <si>
    <t>ILO Open to Below</t>
  </si>
  <si>
    <t>Loft</t>
  </si>
  <si>
    <t>MBR Sitting</t>
  </si>
  <si>
    <t>Walkout Basement #1</t>
  </si>
  <si>
    <t>includes Covered Deck</t>
  </si>
  <si>
    <t>Walkout Basement #2</t>
  </si>
  <si>
    <t>G592</t>
  </si>
  <si>
    <t>ILO Study and Powder</t>
  </si>
  <si>
    <t>Bedroom 6</t>
  </si>
  <si>
    <t>(2) 3050 SH w/ Fireplace</t>
  </si>
  <si>
    <t>(4) 3050 SH</t>
  </si>
  <si>
    <t>G654</t>
  </si>
  <si>
    <t>Bedroom 5/Tech Room</t>
  </si>
  <si>
    <t>FRENCHDB</t>
  </si>
  <si>
    <t>6'8" French Doors ILO Opening</t>
  </si>
  <si>
    <t>(1) 2050 SH</t>
  </si>
  <si>
    <t>ABR6BA</t>
  </si>
  <si>
    <t>Bedroom 6 / Bath Combination</t>
  </si>
  <si>
    <t>N/A w/ Fireplace Options</t>
  </si>
  <si>
    <t>Extended Covered Deck #2</t>
  </si>
  <si>
    <t>at Dining w/ WO</t>
  </si>
  <si>
    <t>Extended Covered Deck #3</t>
  </si>
  <si>
    <t>Extended Covered Patio 2</t>
  </si>
  <si>
    <t>at Dining</t>
  </si>
  <si>
    <t>Extended Covered Patio #3</t>
  </si>
  <si>
    <t>ILO Bedroom 2</t>
  </si>
  <si>
    <t>Window(s) at Bath 2</t>
  </si>
  <si>
    <t>(2) 2040 SH</t>
  </si>
  <si>
    <t>Includes Euro Style Shwr Door</t>
  </si>
  <si>
    <t>Window(s) at Stairs</t>
  </si>
  <si>
    <t>ELV Specific (N/A w/ ELVC)</t>
  </si>
  <si>
    <t>WDWFOY</t>
  </si>
  <si>
    <t>Window(s) at Entry</t>
  </si>
  <si>
    <t>(1) 2050SH</t>
  </si>
  <si>
    <t>(2) 3050SH</t>
  </si>
  <si>
    <t>(3) 2040 FX</t>
  </si>
  <si>
    <t>Bedroom 5</t>
  </si>
  <si>
    <t>(2) 2640SH</t>
  </si>
  <si>
    <t>ILO Study (N/A w/ WO Bsmt)</t>
  </si>
  <si>
    <t>Extended Deck #2</t>
  </si>
  <si>
    <t>Extended Deck #3</t>
  </si>
  <si>
    <t>Window(s) at Laundry</t>
  </si>
  <si>
    <t>at Bedroom 3</t>
  </si>
  <si>
    <t>Extended Covered Deck</t>
  </si>
  <si>
    <t>10' Center Meet Door</t>
  </si>
  <si>
    <t>9' Multi-Slide Door</t>
  </si>
  <si>
    <t>Sliding Glass Door</t>
  </si>
  <si>
    <t>8080 ILO 6080 (N/A w/ Sunroom)</t>
  </si>
  <si>
    <t>10' Deep</t>
  </si>
  <si>
    <t>Rear Sun Room 2</t>
  </si>
  <si>
    <t>12' Deep</t>
  </si>
  <si>
    <t>Rear Sun Room 2 at Walkout</t>
  </si>
  <si>
    <t>Window(s) at Mud Room</t>
  </si>
  <si>
    <t>ILO Study/Powder</t>
  </si>
  <si>
    <t>(2) 2036 FX</t>
  </si>
  <si>
    <t>ILO Storage</t>
  </si>
  <si>
    <t>ILO Recreation &amp; Storage</t>
  </si>
  <si>
    <t>includes Build-Out</t>
  </si>
  <si>
    <t>ENHC</t>
  </si>
  <si>
    <t>Enhanced Elevation C</t>
  </si>
  <si>
    <t>(2) 4040 FX</t>
  </si>
  <si>
    <t>(2) 2650SH</t>
  </si>
  <si>
    <t>ILO Study</t>
  </si>
  <si>
    <t>16' Multi-Slide Door</t>
  </si>
  <si>
    <t>G846</t>
  </si>
  <si>
    <t>Optional 8'x8' Covered Deck</t>
  </si>
  <si>
    <t>Optional 8'x8' Covered Patio</t>
  </si>
  <si>
    <t>Optional 8'x10' Covered Patio</t>
  </si>
  <si>
    <t>Optional 8'x8' Deck</t>
  </si>
  <si>
    <t>FIREWAL1</t>
  </si>
  <si>
    <t>Fire Wall</t>
  </si>
  <si>
    <t>One Side</t>
  </si>
  <si>
    <t>(1) 2650 SH</t>
  </si>
  <si>
    <t>Optional 4'x10' Deck</t>
  </si>
  <si>
    <t>Window(s) at Bed 2</t>
  </si>
  <si>
    <t>(4) 2050 SH</t>
  </si>
  <si>
    <t>(1) 2030 SH</t>
  </si>
  <si>
    <t>(1) 2040 SH or 2030SH w/ COVP2</t>
  </si>
  <si>
    <t>Optional 8'x10' Covered Deck</t>
  </si>
  <si>
    <t>Optional 10x25 Covered Patio 2</t>
  </si>
  <si>
    <t>Optional 8'x10' Deck</t>
  </si>
  <si>
    <t>GA35</t>
  </si>
  <si>
    <t>(1) 4050 FX</t>
  </si>
  <si>
    <t>GA36</t>
  </si>
  <si>
    <t>GA41</t>
  </si>
  <si>
    <t>GA42</t>
  </si>
  <si>
    <t>GA45</t>
  </si>
  <si>
    <t>GA46</t>
  </si>
  <si>
    <t>(2) 2640 SH</t>
  </si>
  <si>
    <t>G21D</t>
  </si>
  <si>
    <t>Optional Powder ILO Pantry</t>
  </si>
  <si>
    <t>9' Multi-Slide Door at Great R</t>
  </si>
  <si>
    <t>G22M</t>
  </si>
  <si>
    <t>Optional Powder ILO WIC Not av</t>
  </si>
  <si>
    <t>Covered Deck at Great Room</t>
  </si>
  <si>
    <t>10' Center Meet Door at Great</t>
  </si>
  <si>
    <t>Study ILO Bedroom 2</t>
  </si>
  <si>
    <t>Window(s) at Bed 3 (1) 2060 SH</t>
  </si>
  <si>
    <t>G23H</t>
  </si>
  <si>
    <t>Covered Deck at Nook</t>
  </si>
  <si>
    <t>Covered Deck 2 at Nook</t>
  </si>
  <si>
    <t>Study ILO Dining</t>
  </si>
  <si>
    <t>BATTLE CREEK</t>
  </si>
  <si>
    <t>PLANS:</t>
  </si>
  <si>
    <t>LOT #</t>
  </si>
  <si>
    <t>PLAN#</t>
  </si>
  <si>
    <t>ELEV.</t>
  </si>
  <si>
    <t>GAR</t>
  </si>
  <si>
    <t>FIREWALL 1</t>
  </si>
  <si>
    <t>FPSING</t>
  </si>
  <si>
    <t>TALLCRAWL</t>
  </si>
  <si>
    <t>RF</t>
  </si>
  <si>
    <t>LOT ID</t>
  </si>
  <si>
    <t>FRAMING BAT Comp?</t>
  </si>
  <si>
    <t>SIDING BAT Comp?</t>
  </si>
  <si>
    <t>Readyframe SO Sent?</t>
  </si>
  <si>
    <t>Readyframe Total</t>
  </si>
  <si>
    <t>Readyframe SO#</t>
  </si>
  <si>
    <t>Pony Wall?</t>
  </si>
  <si>
    <t>Pony Wall EPO SO</t>
  </si>
  <si>
    <t>Deck EPO?</t>
  </si>
  <si>
    <t>Deck EPO SO</t>
  </si>
  <si>
    <t>Garage Height</t>
  </si>
  <si>
    <t>FRAMING PO</t>
  </si>
  <si>
    <t>FRAMING TOTAL</t>
  </si>
  <si>
    <t xml:space="preserve"> OPTION PO</t>
  </si>
  <si>
    <t xml:space="preserve"> OPTION TOTAL</t>
  </si>
  <si>
    <t xml:space="preserve"> EXTRA OPTION PO</t>
  </si>
  <si>
    <t xml:space="preserve"> EXTRA OPTION TOTAL</t>
  </si>
  <si>
    <t xml:space="preserve">READY FRAME PO </t>
  </si>
  <si>
    <t xml:space="preserve">READY FRAME TOTAL </t>
  </si>
  <si>
    <t>FIRE PLACE PO</t>
  </si>
  <si>
    <t>FIRE PLACE TOTAL</t>
  </si>
  <si>
    <t>SIDING PO</t>
  </si>
  <si>
    <t>SIDING PO Total</t>
  </si>
  <si>
    <t>Combined Contract #</t>
  </si>
  <si>
    <t>Combined Contract Amount</t>
  </si>
  <si>
    <t>Combined Siding Contract #</t>
  </si>
  <si>
    <t>Combined Siding Contract Amount</t>
  </si>
  <si>
    <t>C</t>
  </si>
  <si>
    <t>A</t>
  </si>
  <si>
    <t>B</t>
  </si>
  <si>
    <t>X</t>
  </si>
  <si>
    <t>L33BATTLECREEKOR</t>
  </si>
  <si>
    <t>covd deck po 2134793</t>
  </si>
  <si>
    <t>L53BATTLECREEKOR</t>
  </si>
  <si>
    <t>ENH</t>
  </si>
  <si>
    <t>DECK (Option Not Provided on any plans as of 5/12/24)</t>
  </si>
  <si>
    <t>102L</t>
  </si>
  <si>
    <t>WDWTECH</t>
  </si>
  <si>
    <t xml:space="preserve">FRAMING PO </t>
  </si>
  <si>
    <t>OPTION PO</t>
  </si>
  <si>
    <t>OPTION TOTAL</t>
  </si>
  <si>
    <t>OPTION PO #2</t>
  </si>
  <si>
    <t>OPTION TOTAL #2</t>
  </si>
  <si>
    <t>EXTRA OPTION PO</t>
  </si>
  <si>
    <t>EXTRA OPTION TOTAL</t>
  </si>
  <si>
    <t>READY FRAME PO</t>
  </si>
  <si>
    <t>READY FRAME TOTAL</t>
  </si>
  <si>
    <t>FIRE PLACE OPTION PO</t>
  </si>
  <si>
    <t>SIDING CONTRACT</t>
  </si>
  <si>
    <t>SIDING TOTAL</t>
  </si>
  <si>
    <t>COMBINED CONTRACT #</t>
  </si>
  <si>
    <t>COMBINED CONTRACT AMOUNT</t>
  </si>
  <si>
    <t>ADDITIONAL PO'S</t>
  </si>
  <si>
    <t>ADDITIONAL PO TOTAL</t>
  </si>
  <si>
    <t>COMBINED SIDING CONTRACT #</t>
  </si>
  <si>
    <t>COMBINED SIDING CONTRACT AMOUNT</t>
  </si>
  <si>
    <t>L206CASCADIA18OR</t>
  </si>
  <si>
    <t>w/ opt PO</t>
  </si>
  <si>
    <t>99864882-SID</t>
  </si>
  <si>
    <t>L207CASCADIARIOR</t>
  </si>
  <si>
    <t>L208CASCADIARIOR</t>
  </si>
  <si>
    <t>97035591-000</t>
  </si>
  <si>
    <t>L209CASCADIA19OR</t>
  </si>
  <si>
    <t>98273303-SID</t>
  </si>
  <si>
    <t>L210CASCADIA20OR</t>
  </si>
  <si>
    <t>98273360-SID</t>
  </si>
  <si>
    <t>L211CASCADIA20OR</t>
  </si>
  <si>
    <t>w/ opt po</t>
  </si>
  <si>
    <t>D</t>
  </si>
  <si>
    <t>L212CASCADIA20OR</t>
  </si>
  <si>
    <t>EVERYTHING IS ON FRAMING CONTRACT</t>
  </si>
  <si>
    <t>L213CASCADIA20OR</t>
  </si>
  <si>
    <t>L214CASCADIA20OR</t>
  </si>
  <si>
    <t>L215CASCADIA20OR</t>
  </si>
  <si>
    <t>L216CASCADIA21OR</t>
  </si>
  <si>
    <t>L217CASCADIA21OR</t>
  </si>
  <si>
    <t>L218CASCADIA21OR</t>
  </si>
  <si>
    <t>L219CASCADIA21OR</t>
  </si>
  <si>
    <t>L220CASCADIA21OR</t>
  </si>
  <si>
    <t>L221CASCADIA21OR</t>
  </si>
  <si>
    <t>L222CASCADIA21OR</t>
  </si>
  <si>
    <t>L223CASCADIA21OR</t>
  </si>
  <si>
    <t>L224CASCADIA21OR</t>
  </si>
  <si>
    <t>L225CASCADIA21OR</t>
  </si>
  <si>
    <t>L226CASCADIA20OR</t>
  </si>
  <si>
    <t>L227CASCADIA20OR</t>
  </si>
  <si>
    <t>L228CASCADIA20OR</t>
  </si>
  <si>
    <t>L229CASCADIA20OR</t>
  </si>
  <si>
    <t>L230CASCADIA13OR</t>
  </si>
  <si>
    <t>98212671-SID</t>
  </si>
  <si>
    <t>L231CASCADIARIOR</t>
  </si>
  <si>
    <t>104-5/8</t>
  </si>
  <si>
    <t>L232CASCADIA20OR</t>
  </si>
  <si>
    <t>97788377-SIDING</t>
  </si>
  <si>
    <t>L233CASCADIA20OR</t>
  </si>
  <si>
    <t>L234CASCADIA20OR</t>
  </si>
  <si>
    <t>L235CASCADIA20OR</t>
  </si>
  <si>
    <t>L236CASCADIA21OR</t>
  </si>
  <si>
    <t>L237CASCADIA21OR</t>
  </si>
  <si>
    <t xml:space="preserve">w/ opt po </t>
  </si>
  <si>
    <t>99722265-SID</t>
  </si>
  <si>
    <t>L238CASCADIA21OR</t>
  </si>
  <si>
    <t>w/ opt po# 99645017</t>
  </si>
  <si>
    <t>99645151-SID</t>
  </si>
  <si>
    <t>L239CASCADIA21OR</t>
  </si>
  <si>
    <t>99891208-SID</t>
  </si>
  <si>
    <t>L240CASCADIA21OR</t>
  </si>
  <si>
    <t>L241CASCADIA21OR</t>
  </si>
  <si>
    <t>L242CASCADIA21OR</t>
  </si>
  <si>
    <t>L243CASCADIA21OR</t>
  </si>
  <si>
    <t>L244CASCADIA21OR</t>
  </si>
  <si>
    <t>L245CASCADIA21OR</t>
  </si>
  <si>
    <t>L246CASCADIA20OR</t>
  </si>
  <si>
    <t>L247CASCADIARIOR</t>
  </si>
  <si>
    <t>L248CASCADIA20OR</t>
  </si>
  <si>
    <t>97812048-SID</t>
  </si>
  <si>
    <t>L249CASCADIA21OR</t>
  </si>
  <si>
    <t>97812117-SID</t>
  </si>
  <si>
    <t>L250CASCADIARIOR</t>
  </si>
  <si>
    <t xml:space="preserve">	96812233</t>
  </si>
  <si>
    <t>96812678 FRM/SID</t>
  </si>
  <si>
    <t>L251CASCADIARIOR</t>
  </si>
  <si>
    <t>L252CASCADIARIOR</t>
  </si>
  <si>
    <t>L253CASCADIARIOR</t>
  </si>
  <si>
    <t>L254CASCADIARIOR</t>
  </si>
  <si>
    <t>L255CASCADIARIOR</t>
  </si>
  <si>
    <t>L256CASCADIARIOR</t>
  </si>
  <si>
    <t>L257CASCADIA21OR</t>
  </si>
  <si>
    <t>L258CASCADIA21OR</t>
  </si>
  <si>
    <t>98486010-SID</t>
  </si>
  <si>
    <t>L259CASCADIA20OR</t>
  </si>
  <si>
    <t>99445612-SID</t>
  </si>
  <si>
    <t>L260CASCADIA20OR</t>
  </si>
  <si>
    <t>L261CASCADIA20OR</t>
  </si>
  <si>
    <t>L262CASCADIA20OR</t>
  </si>
  <si>
    <t>ex siding po 1304846</t>
  </si>
  <si>
    <t>L263CASCADIA20OR</t>
  </si>
  <si>
    <t>ex siding po 1504710</t>
  </si>
  <si>
    <t>L264CASCADIA20OR</t>
  </si>
  <si>
    <t>included w/ po#99482076</t>
  </si>
  <si>
    <t>99482076-SID</t>
  </si>
  <si>
    <t>L265CASCADIARIOR</t>
  </si>
  <si>
    <t>Contract over due to new POs added to Supply Pro</t>
  </si>
  <si>
    <t>L266CASCADIARIOR</t>
  </si>
  <si>
    <t>L267CASCADIARIOR</t>
  </si>
  <si>
    <t>L268CASCADIARIOR</t>
  </si>
  <si>
    <t>L269CASCADIARIOR</t>
  </si>
  <si>
    <t>No charge</t>
  </si>
  <si>
    <t>96580945 / 96580959</t>
  </si>
  <si>
    <t>L270CASCADIARIOR</t>
  </si>
  <si>
    <t>LUDEN ESTATES</t>
  </si>
  <si>
    <t>2CAR4X</t>
  </si>
  <si>
    <t>2CAR5X</t>
  </si>
  <si>
    <t>SUNWO2</t>
  </si>
  <si>
    <t>EXTRA FRAMING PO</t>
  </si>
  <si>
    <t xml:space="preserve">EXTRA FRAMING TOTAL </t>
  </si>
  <si>
    <t xml:space="preserve">OPTION TOTAL </t>
  </si>
  <si>
    <t>COMBINED PO</t>
  </si>
  <si>
    <t>COMBINED TOTAL</t>
  </si>
  <si>
    <t>L79LUDENESTATEWA</t>
  </si>
  <si>
    <t>L81LUDENESTATEWA</t>
  </si>
  <si>
    <t>L82LUDENESTATEWA</t>
  </si>
  <si>
    <t>ELEC FP - 1304909</t>
  </si>
  <si>
    <t>L83LUDENESTATEWA</t>
  </si>
  <si>
    <t>L84LUDENESTATEWA</t>
  </si>
  <si>
    <t>ex sid po 1504713</t>
  </si>
  <si>
    <t>L85LUDENESTATEWA</t>
  </si>
  <si>
    <t>ex sid po 1504714</t>
  </si>
  <si>
    <t>ex sid po 1312480</t>
  </si>
  <si>
    <t>FP 1690665</t>
  </si>
  <si>
    <t>FP 1698538</t>
  </si>
  <si>
    <t>L86LUDENESTATEWA</t>
  </si>
  <si>
    <t>L87LUDENESTATEWA</t>
  </si>
  <si>
    <t>ELEC FP - 1304918</t>
  </si>
  <si>
    <t>L88LUDENESTATEWA</t>
  </si>
  <si>
    <t>SID PO - 1313217</t>
  </si>
  <si>
    <t>L89LUDENESTATEWA</t>
  </si>
  <si>
    <t>ELEC FP - 1304926</t>
  </si>
  <si>
    <t>L90LUDENESTATEWA</t>
  </si>
  <si>
    <t>L91LUDENESTATEWA</t>
  </si>
  <si>
    <t>L92LUDENESTATEWA</t>
  </si>
  <si>
    <t>L93LUDENESTATEWA</t>
  </si>
  <si>
    <t>L94LUDENESTATEWA</t>
  </si>
  <si>
    <t>L95LUDENESTATEWA</t>
  </si>
  <si>
    <t>L96LUDENESTATEWA</t>
  </si>
  <si>
    <t>L97LUDENESTATEWA</t>
  </si>
  <si>
    <t>L98LUDENESTATEWA</t>
  </si>
  <si>
    <t>L99LUDENESTATEWA</t>
  </si>
  <si>
    <t>L100LUDENESTATWA</t>
  </si>
  <si>
    <t>L101LUDENESTATWA</t>
  </si>
  <si>
    <t>e</t>
  </si>
  <si>
    <t>ENH ELV</t>
  </si>
  <si>
    <t>DECK STAIRS</t>
  </si>
  <si>
    <t>FIREWAL1 (1 SIDE)</t>
  </si>
  <si>
    <t>FIREWAL2 (2 SIDES)</t>
  </si>
  <si>
    <t>L79NORTH17813NWA</t>
  </si>
  <si>
    <t>W/Option PO</t>
  </si>
  <si>
    <t>L80NORTHHAVEN1WA</t>
  </si>
  <si>
    <t>L81NORTHHAVEN1WA</t>
  </si>
  <si>
    <t>X - EPO</t>
  </si>
  <si>
    <t>L82NORTHHAVEN1WA</t>
  </si>
  <si>
    <t>L83NORTHHAVEN7WA</t>
  </si>
  <si>
    <t>L84NORTHHAVEN7WA</t>
  </si>
  <si>
    <t>L85NORTHHAVEN7WA</t>
  </si>
  <si>
    <t>98775327-SID</t>
  </si>
  <si>
    <t>L86NORTHHAVEN7WA</t>
  </si>
  <si>
    <t>L87BIRTHHAVEN7WA</t>
  </si>
  <si>
    <t>W/Option PO# 99328404</t>
  </si>
  <si>
    <t>L88NORTHHAVEN7WA</t>
  </si>
  <si>
    <t>W/Option PO# 99328151</t>
  </si>
  <si>
    <t>L89NORTHHAVEN7WA</t>
  </si>
  <si>
    <t>W/Option PO# 99328203</t>
  </si>
  <si>
    <t>L90NORTHHAVEN7WA</t>
  </si>
  <si>
    <t>W/Option PO# 99328254</t>
  </si>
  <si>
    <t>L91NORTHHAVEN7WA</t>
  </si>
  <si>
    <t>W/ OPTION PO# 99412257</t>
  </si>
  <si>
    <t>L92NORTHHAVEN7WA</t>
  </si>
  <si>
    <t>W/ OPTION PO#99412355</t>
  </si>
  <si>
    <t>L93NORTHHAVEN7WA</t>
  </si>
  <si>
    <t>L94NORTHHAVEN7WA</t>
  </si>
  <si>
    <t>8x8</t>
  </si>
  <si>
    <t>L103NORTHHAVENWA</t>
  </si>
  <si>
    <t>L104NORTH834NWWA</t>
  </si>
  <si>
    <t>L105NORTH838NWWA</t>
  </si>
  <si>
    <t>W/OPTION PO 99314008</t>
  </si>
  <si>
    <t>L106NORTH842NWWA</t>
  </si>
  <si>
    <t>W/OPTION PO 99314059</t>
  </si>
  <si>
    <t>G</t>
  </si>
  <si>
    <t>L107NORTH842NWWA</t>
  </si>
  <si>
    <t>4x10</t>
  </si>
  <si>
    <t>L108NORTH850NWWA</t>
  </si>
  <si>
    <t>F</t>
  </si>
  <si>
    <t>L109NORTH904NWWA</t>
  </si>
  <si>
    <t>L110NORTH908NWWA</t>
  </si>
  <si>
    <t>8X8</t>
  </si>
  <si>
    <t>L111NORTH912NWWA</t>
  </si>
  <si>
    <t>ex siding po 1504711</t>
  </si>
  <si>
    <t>L112NORTH916NWWA</t>
  </si>
  <si>
    <t>ex siding po 1504712</t>
  </si>
  <si>
    <t>L113NORTHHAVENWA</t>
  </si>
  <si>
    <t>W/OPTION PO 3200152</t>
  </si>
  <si>
    <t>Does this have a deck? S2.01 is not clear</t>
  </si>
  <si>
    <t>L114NORTHHAVENWA</t>
  </si>
  <si>
    <t>W/OPTION PO 3200196</t>
  </si>
  <si>
    <t>L125NORTHHAVENWA</t>
  </si>
  <si>
    <t>4X10</t>
  </si>
  <si>
    <t>L126NORTHHAVENWA</t>
  </si>
  <si>
    <t>L139NORTH1027NWA</t>
  </si>
  <si>
    <t>EPO</t>
  </si>
  <si>
    <t>8X10</t>
  </si>
  <si>
    <t>L140NORTH1023NWA</t>
  </si>
  <si>
    <t>98297481-DECK</t>
  </si>
  <si>
    <t>L141NORTHHAVENWA</t>
  </si>
  <si>
    <t>L142NORTHHAVENWA</t>
  </si>
  <si>
    <t xml:space="preserve">X </t>
  </si>
  <si>
    <t>L143NORTHHAVENWA</t>
  </si>
  <si>
    <t>L144NORTH1007NWA</t>
  </si>
  <si>
    <t>8x10</t>
  </si>
  <si>
    <t>L145NORTH941NWWA</t>
  </si>
  <si>
    <t>L146NORTHHAVENWA</t>
  </si>
  <si>
    <t>L147NORTH933NWWA</t>
  </si>
  <si>
    <t>FIREWALL 1059621</t>
  </si>
  <si>
    <t>EX FRAMING 1081823</t>
  </si>
  <si>
    <t>L148NORTH929NWWA</t>
  </si>
  <si>
    <t>EX FRAMING 1081824</t>
  </si>
  <si>
    <t>L149NORTH925NWWA</t>
  </si>
  <si>
    <r>
      <rPr>
        <b/>
        <sz val="11"/>
        <color rgb="FF000000"/>
        <rFont val="Calibri"/>
        <scheme val="minor"/>
      </rPr>
      <t>DECK</t>
    </r>
    <r>
      <rPr>
        <sz val="11"/>
        <color rgb="FF000000"/>
        <rFont val="Calibri"/>
        <scheme val="minor"/>
      </rPr>
      <t xml:space="preserve"> 99412464</t>
    </r>
  </si>
  <si>
    <t>L150NORTH921NWWA</t>
  </si>
  <si>
    <t>W/OPT PO 99412604</t>
  </si>
  <si>
    <t>EPOs</t>
  </si>
  <si>
    <t>L151NORTH917NWWA</t>
  </si>
  <si>
    <t xml:space="preserve">8x10 </t>
  </si>
  <si>
    <t>L152NORTH913NWWA</t>
  </si>
  <si>
    <t>12973.13-12283.35</t>
  </si>
  <si>
    <t>L153NORTH835NWWA</t>
  </si>
  <si>
    <t>L154NORTH831NWWA</t>
  </si>
  <si>
    <t>8X10 EPO</t>
  </si>
  <si>
    <t>x</t>
  </si>
  <si>
    <t>L155NORTH827NWWA</t>
  </si>
  <si>
    <t>L156NORTH823NWWA</t>
  </si>
  <si>
    <t>EPO - We will se a credit and a new PO</t>
  </si>
  <si>
    <t>L157NORTH819NWWA</t>
  </si>
  <si>
    <t>99431918 - DECK</t>
  </si>
  <si>
    <t>L158NORTH815NWWA</t>
  </si>
  <si>
    <t>L159NORTH811NWWA</t>
  </si>
  <si>
    <t>L160NORTH807NWWA</t>
  </si>
  <si>
    <t>L161NORTH737NWWA</t>
  </si>
  <si>
    <t>L162NORTH733NWWA</t>
  </si>
  <si>
    <t>L163NORTH729NWWA</t>
  </si>
  <si>
    <t>98710383-DECK</t>
  </si>
  <si>
    <t>L164NORTH725NWWA</t>
  </si>
  <si>
    <t>Included in Option PO</t>
  </si>
  <si>
    <t>L165NORTH721NWWA</t>
  </si>
  <si>
    <t>L166NORTH717NWWA</t>
  </si>
  <si>
    <t>Maple Grove</t>
  </si>
  <si>
    <t>Plans</t>
  </si>
  <si>
    <t>135mph classification</t>
  </si>
  <si>
    <t>JOB ID #</t>
  </si>
  <si>
    <t>Readyframe SO #</t>
  </si>
  <si>
    <t>Pony Wall EPO</t>
  </si>
  <si>
    <t>Deck EPO</t>
  </si>
  <si>
    <t>Framing PO</t>
  </si>
  <si>
    <t>FRAMING PO Total</t>
  </si>
  <si>
    <t>Options PO</t>
  </si>
  <si>
    <t>Options PO Total</t>
  </si>
  <si>
    <t>Extra Framing PO</t>
  </si>
  <si>
    <t>Extra Framing TOTAL</t>
  </si>
  <si>
    <t>Fireplace Option PO</t>
  </si>
  <si>
    <t>FP Option Total</t>
  </si>
  <si>
    <t>Siding PO</t>
  </si>
  <si>
    <r>
      <rPr>
        <b/>
        <sz val="11"/>
        <color theme="0"/>
        <rFont val="Calibri"/>
        <family val="2"/>
        <scheme val="minor"/>
      </rPr>
      <t xml:space="preserve">Combined Contract #     </t>
    </r>
    <r>
      <rPr>
        <sz val="11"/>
        <color theme="0"/>
        <rFont val="Calibri"/>
        <family val="2"/>
        <scheme val="minor"/>
      </rPr>
      <t xml:space="preserve">              (Contract setup  with Umbrella contracts as the Main "Framing" PO#-"Framing", "Siding",  or "Framing/Siding")</t>
    </r>
  </si>
  <si>
    <t>Siding Parapet Contract</t>
  </si>
  <si>
    <t>Parapet PO Total</t>
  </si>
  <si>
    <t>Option PO</t>
  </si>
  <si>
    <t>Option PO Total</t>
  </si>
  <si>
    <t>COMBINED SIDING PO</t>
  </si>
  <si>
    <t>DECK CONTRACT</t>
  </si>
  <si>
    <t>DECK TOTAL</t>
  </si>
  <si>
    <t>COMBINED DECK</t>
  </si>
  <si>
    <t>Combined Deck Contract Amount</t>
  </si>
  <si>
    <t>L4MAPLEGROVE20WA</t>
  </si>
  <si>
    <t>L8MAPLEGROVE21WA</t>
  </si>
  <si>
    <t>L9MAPLEGROVE21WA</t>
  </si>
  <si>
    <t>L10MAPLEGROVE2WA</t>
  </si>
  <si>
    <t>L11MAPLEGROVE2WA</t>
  </si>
  <si>
    <t>L12MAPLEGROVE2WA</t>
  </si>
  <si>
    <t>L13MAPLEGROVE2WA</t>
  </si>
  <si>
    <t>L14MAPLEGROVE2WA</t>
  </si>
  <si>
    <t>L15MAPLEGROVE2WA</t>
  </si>
  <si>
    <t>L16MAPLEGROVE2WA</t>
  </si>
  <si>
    <t>L20MAPLEGROVE5WA</t>
  </si>
  <si>
    <t>L21MAPLEGROVE5WA</t>
  </si>
  <si>
    <t>L22MAPLEGROVE5WA</t>
  </si>
  <si>
    <t>L23MAPLEGROVE2WA</t>
  </si>
  <si>
    <t>L24MAPLEGROVE2WA</t>
  </si>
  <si>
    <t>L25MAPLEGROVE2WA</t>
  </si>
  <si>
    <t>L26MAPLEGROVE2WA</t>
  </si>
  <si>
    <t>L27MAPLEGROVE2WA</t>
  </si>
  <si>
    <t>L28MAPLEGROVE2WA</t>
  </si>
  <si>
    <t>L29MAPLEGROVE2WA</t>
  </si>
  <si>
    <t>L30MAPLEGROVE2WA</t>
  </si>
  <si>
    <t>L31MAPLEGROVE3WA</t>
  </si>
  <si>
    <t>L32MAPLEGROVE2WA</t>
  </si>
  <si>
    <t>L33MAPLEGROVE2WA</t>
  </si>
  <si>
    <t>L34MAPLEGROVE2WA</t>
  </si>
  <si>
    <t>L35MAPLEGROVE2WA</t>
  </si>
  <si>
    <t>L36MAPLEGROVE2WA</t>
  </si>
  <si>
    <t>REEDS CROSSING</t>
  </si>
  <si>
    <t>767/768</t>
  </si>
  <si>
    <t>769/770</t>
  </si>
  <si>
    <t>ENHANCED?</t>
  </si>
  <si>
    <t>JOB ID</t>
  </si>
  <si>
    <t>Framing Contract</t>
  </si>
  <si>
    <t>Additional Framing Contract</t>
  </si>
  <si>
    <t>Additional FRAMING PO Total</t>
  </si>
  <si>
    <t>Options Contract</t>
  </si>
  <si>
    <t>Extra Option PO</t>
  </si>
  <si>
    <t>Extra Option TOTAL</t>
  </si>
  <si>
    <t>Siding Contract</t>
  </si>
  <si>
    <t>Additional Siding Contract</t>
  </si>
  <si>
    <t>Additional SIDING PO Total</t>
  </si>
  <si>
    <r>
      <rPr>
        <b/>
        <sz val="11"/>
        <color rgb="FFFFFFFF"/>
        <rFont val="Calibri"/>
        <scheme val="minor"/>
      </rPr>
      <t xml:space="preserve">Combined Contract #     </t>
    </r>
    <r>
      <rPr>
        <sz val="11"/>
        <color rgb="FFFFFFFF"/>
        <rFont val="Calibri"/>
        <scheme val="minor"/>
      </rPr>
      <t xml:space="preserve">              </t>
    </r>
  </si>
  <si>
    <t>K</t>
  </si>
  <si>
    <t>L1460REEDSCROSOR</t>
  </si>
  <si>
    <t>L1461REEDSCROSOR</t>
  </si>
  <si>
    <t>H</t>
  </si>
  <si>
    <t>L1462REEDSCROSOR</t>
  </si>
  <si>
    <t>L1463REEDSCROSOR</t>
  </si>
  <si>
    <t>J</t>
  </si>
  <si>
    <t>L1464REEDSCROSOR</t>
  </si>
  <si>
    <t>L1465REEDSCROSOR</t>
  </si>
  <si>
    <t>L1473REEDSCROSOR</t>
  </si>
  <si>
    <t>L1474REEDSCROSOR</t>
  </si>
  <si>
    <t>L1520REEDSCROSOR</t>
  </si>
  <si>
    <t>L1521REEDSCROSOR</t>
  </si>
  <si>
    <t>L1522REEDSCROSOR</t>
  </si>
  <si>
    <t>L1523REEDSCROSOR</t>
  </si>
  <si>
    <t>RIVERWALK</t>
  </si>
  <si>
    <t>21D</t>
  </si>
  <si>
    <t>22M</t>
  </si>
  <si>
    <t>23H</t>
  </si>
  <si>
    <t>L1RIVERWALK303WA</t>
  </si>
  <si>
    <t>L2RIVERWALK304WA</t>
  </si>
  <si>
    <t>X?</t>
  </si>
  <si>
    <t>L22RIVERWALK30WA</t>
  </si>
  <si>
    <t>L23RIVERWALK30WA</t>
  </si>
  <si>
    <t>L28RIVERWALK30WA</t>
  </si>
  <si>
    <t>FP PO 1788864</t>
  </si>
  <si>
    <t>FP PO 1779318</t>
  </si>
  <si>
    <t>L29RIVERWALK30WA</t>
  </si>
  <si>
    <t>ex sid po 2204397</t>
  </si>
  <si>
    <t>ex framing po 2204397</t>
  </si>
  <si>
    <t>L30RIVERWALK31WA</t>
  </si>
  <si>
    <t>L31RIVERWALK31WA</t>
  </si>
  <si>
    <t>ex sid po 2204398</t>
  </si>
  <si>
    <t>ex framing po 2204398</t>
  </si>
  <si>
    <t>VERONA HEIGHTS</t>
  </si>
  <si>
    <t>29A</t>
  </si>
  <si>
    <t>L63VERONAHEIGHOR</t>
  </si>
  <si>
    <t>E</t>
  </si>
  <si>
    <t>L67VERONAHEIGHOR</t>
  </si>
  <si>
    <t>MSLIDE OPT 2156897</t>
  </si>
  <si>
    <t>L68VERONAHEIGHOR</t>
  </si>
  <si>
    <t>L69VERONAHEIGHOR</t>
  </si>
  <si>
    <t xml:space="preserve">mslide opt 2018654 </t>
  </si>
  <si>
    <t>L70VERONAHEIGHOR</t>
  </si>
  <si>
    <t>COOPER GROVE ESTATES</t>
  </si>
  <si>
    <t>G31H, G601, G786</t>
  </si>
  <si>
    <t>RETREAT DBA</t>
  </si>
  <si>
    <t>RETREAT DBA2</t>
  </si>
  <si>
    <t>RETREAT DBA3</t>
  </si>
  <si>
    <t>FRAMING OPTIONS PO</t>
  </si>
  <si>
    <t>FRAMING OPTIONS TOTAL</t>
  </si>
  <si>
    <t>FIREPLACE OPTION PO</t>
  </si>
  <si>
    <t>FIRE PLACE OPTION TOTAL</t>
  </si>
  <si>
    <r>
      <rPr>
        <b/>
        <sz val="11"/>
        <color theme="0"/>
        <rFont val="Calibri"/>
        <family val="2"/>
        <scheme val="minor"/>
      </rPr>
      <t xml:space="preserve">Combined Contract #     </t>
    </r>
    <r>
      <rPr>
        <sz val="11"/>
        <color theme="0"/>
        <rFont val="Calibri"/>
        <family val="2"/>
        <scheme val="minor"/>
      </rPr>
      <t xml:space="preserve">              (Contract setup  with Umbrella contracts as the Main)</t>
    </r>
  </si>
  <si>
    <r>
      <rPr>
        <b/>
        <sz val="11"/>
        <color rgb="FFFFFFFF"/>
        <rFont val="Calibri"/>
      </rPr>
      <t xml:space="preserve">Combined Siding Contract #     </t>
    </r>
    <r>
      <rPr>
        <sz val="11"/>
        <color rgb="FFFFFFFF"/>
        <rFont val="Calibri"/>
      </rPr>
      <t xml:space="preserve">              (Contract setup  with Umbrella contracts as the Main)</t>
    </r>
  </si>
  <si>
    <t>SH80 Bradford A</t>
  </si>
  <si>
    <t>S</t>
  </si>
  <si>
    <t>L2COOPERGROVEEWA</t>
  </si>
  <si>
    <t>L4COOPERGROVEEWA</t>
  </si>
  <si>
    <t>L5COOPERGROVEEWA</t>
  </si>
  <si>
    <t>3-S</t>
  </si>
  <si>
    <t>L7COOPERGROVEEWA</t>
  </si>
  <si>
    <t>L8COOPERGROVEEWA</t>
  </si>
  <si>
    <t>L9COOPERGROVEEWA</t>
  </si>
  <si>
    <t>L10COOPERGROVEWA</t>
  </si>
  <si>
    <t>L11COOPERGROVEWA</t>
  </si>
  <si>
    <t>L12COOPERGROVEWA</t>
  </si>
  <si>
    <t>L14COOPER8612NWA</t>
  </si>
  <si>
    <t xml:space="preserve">FROG POND RIDGE </t>
  </si>
  <si>
    <t>260, 742, 744, 753/754</t>
  </si>
  <si>
    <t>ENHANCED SIDING</t>
  </si>
  <si>
    <t>FRAMING OPTION PO</t>
  </si>
  <si>
    <t>FRAMING OPTION TOTAL</t>
  </si>
  <si>
    <t>FIREPLACE PO</t>
  </si>
  <si>
    <t>FIREPLACE TOTAL</t>
  </si>
  <si>
    <r>
      <rPr>
        <b/>
        <sz val="11"/>
        <color theme="0"/>
        <rFont val="Calibri"/>
        <family val="2"/>
        <scheme val="minor"/>
      </rPr>
      <t xml:space="preserve">COMBINED CONTRACT #     </t>
    </r>
    <r>
      <rPr>
        <sz val="11"/>
        <color theme="0"/>
        <rFont val="Calibri"/>
        <family val="2"/>
        <scheme val="minor"/>
      </rPr>
      <t xml:space="preserve">              (Contract setup  with Umbrella contracts as the Main "Framing" PO#-"Framing", "Siding",  or "Framing/Siding")</t>
    </r>
  </si>
  <si>
    <t xml:space="preserve">SIDING TOTAL </t>
  </si>
  <si>
    <t>Combined Siding PO</t>
  </si>
  <si>
    <t>COMBINED SIDING TOTAL</t>
  </si>
  <si>
    <t>L26FROGPONDP26OR</t>
  </si>
  <si>
    <t>FIRE DETAIL</t>
  </si>
  <si>
    <t>L3FROGPONDRIDGOR</t>
  </si>
  <si>
    <t>L4FROGPONDRIDGOR</t>
  </si>
  <si>
    <t>L7FROGPONDRIDGOR</t>
  </si>
  <si>
    <t>L8FROGPONDRIDGOR</t>
  </si>
  <si>
    <t xml:space="preserve">E </t>
  </si>
  <si>
    <t>L9FROGPONDRIDGOR</t>
  </si>
  <si>
    <t>L10FROGPONDRIDOR</t>
  </si>
  <si>
    <t>L11FROGPONDRIDOR</t>
  </si>
  <si>
    <t>L12FROGPONDRIDOR</t>
  </si>
  <si>
    <t>L13FROGPONDRIDOR</t>
  </si>
  <si>
    <t xml:space="preserve">All POs are matched are good to go - Needs LC credit to invoice </t>
  </si>
  <si>
    <t>L14FROGPONDRIDOR</t>
  </si>
  <si>
    <t>L15FROGPONDRIDOR</t>
  </si>
  <si>
    <t>L17FROGPONDRIDOR</t>
  </si>
  <si>
    <t>L25FROGPONDRIDOR</t>
  </si>
  <si>
    <t>L26FROGPONDRIDOR</t>
  </si>
  <si>
    <t>PARKERS LANDING</t>
  </si>
  <si>
    <t>FRENCHDB8</t>
  </si>
  <si>
    <t>WDWMEDIA</t>
  </si>
  <si>
    <t>L5PARKERSLANDIWA</t>
  </si>
  <si>
    <t>L6PARKERSLANDIWA</t>
  </si>
  <si>
    <t>L7PARKERSLANDIWA</t>
  </si>
  <si>
    <t>L8PARKERSLANDIWA</t>
  </si>
  <si>
    <t>L9PARKERSLANDIWA</t>
  </si>
  <si>
    <t>L10PARKERSLANDWA</t>
  </si>
  <si>
    <t>L11PARKERSLANDWA</t>
  </si>
  <si>
    <t>L12PARKERSLANDWA</t>
  </si>
  <si>
    <t>97873188-SID</t>
  </si>
  <si>
    <t>L13PARKERSLANDWA</t>
  </si>
  <si>
    <t>L14PARKERSLANDWA</t>
  </si>
  <si>
    <t>L15PARKERSLANDWA</t>
  </si>
  <si>
    <t>L16PARKERSLANDWA</t>
  </si>
  <si>
    <t>L17PARKERSLANDWA</t>
  </si>
  <si>
    <t>L18PARKERSLANDWA</t>
  </si>
  <si>
    <t>L19PARKERSLANDWA</t>
  </si>
  <si>
    <t>L20PARKERSLANDWA</t>
  </si>
  <si>
    <t>L21PARKERSLANDWA</t>
  </si>
  <si>
    <t>L22PARKERSLANDWA</t>
  </si>
  <si>
    <t>L23PARKERSLANDWA</t>
  </si>
  <si>
    <t>L24PARKERSLANDWA</t>
  </si>
  <si>
    <t>L25PARKERSLANDWA</t>
  </si>
  <si>
    <t xml:space="preserve">w/ option po </t>
  </si>
  <si>
    <t>L26PARKERSLANDWA</t>
  </si>
  <si>
    <t>w/ option po</t>
  </si>
  <si>
    <t>L27PARKERSLANDWA</t>
  </si>
  <si>
    <t>L28PARKERSLANDWA</t>
  </si>
  <si>
    <t>$318.50</t>
  </si>
  <si>
    <t>NO PO</t>
  </si>
  <si>
    <t>9934333-SID</t>
  </si>
  <si>
    <t>L29PARKERSLANDWA</t>
  </si>
  <si>
    <t>989990268-SID</t>
  </si>
  <si>
    <t>L30PARKERSLANDWA</t>
  </si>
  <si>
    <t>L37PARKERSLANDWA</t>
  </si>
  <si>
    <t>L38PARKERSLANDWA</t>
  </si>
  <si>
    <t>L39PARKERSLANDWA</t>
  </si>
  <si>
    <t>L40PARKERSLANDWA</t>
  </si>
  <si>
    <t>L41PARKERSLANDWA</t>
  </si>
  <si>
    <t>138913-SID</t>
  </si>
  <si>
    <t>L42PARKERSLANDWA</t>
  </si>
  <si>
    <t>138929-SID</t>
  </si>
  <si>
    <t>L43PARKERSLANDWA</t>
  </si>
  <si>
    <t>99671275- SID</t>
  </si>
  <si>
    <t>L44PARKERSLANDWA</t>
  </si>
  <si>
    <t>L45PARKERSLANDWA</t>
  </si>
  <si>
    <t>w/ Option PO# 99529789</t>
  </si>
  <si>
    <t>99529949-SID</t>
  </si>
  <si>
    <t>L46PARKERSLANDWA</t>
  </si>
  <si>
    <t>w/ option PO</t>
  </si>
  <si>
    <t>99670621-SID</t>
  </si>
  <si>
    <t>L47PARKERSLANDWA</t>
  </si>
  <si>
    <t>L48PARKERSLANDWA</t>
  </si>
  <si>
    <t>L49PARKERSLANDWA</t>
  </si>
  <si>
    <t>L50PARKERSLANDWA</t>
  </si>
  <si>
    <t>L51PARKERSLANDWA</t>
  </si>
  <si>
    <t>L52PARKERSLANDWA</t>
  </si>
  <si>
    <t>L53PARKERSLANDWA</t>
  </si>
  <si>
    <t>L54PARKERSLANDWA</t>
  </si>
  <si>
    <t>L55PARKERSLANDWA</t>
  </si>
  <si>
    <t>L56PARKERSLANDWA</t>
  </si>
  <si>
    <t>L57PARKERSLANDWA</t>
  </si>
  <si>
    <t>Option Contract</t>
  </si>
  <si>
    <t>L1163REEDS8147OR</t>
  </si>
  <si>
    <t>98649086-SID</t>
  </si>
  <si>
    <t>L1164REEDS8155OR</t>
  </si>
  <si>
    <t>98649110-SID</t>
  </si>
  <si>
    <t>L1165REEDS8163OR</t>
  </si>
  <si>
    <t>With OPT PO</t>
  </si>
  <si>
    <t>98577608-SID</t>
  </si>
  <si>
    <t>L1166REEDS8177OR</t>
  </si>
  <si>
    <t>98814356-SID</t>
  </si>
  <si>
    <t>L1167REEDS8185OR</t>
  </si>
  <si>
    <t>98999322-SID</t>
  </si>
  <si>
    <t>L1168REEDS8193OR</t>
  </si>
  <si>
    <t>98999347-SID</t>
  </si>
  <si>
    <t>L1169REEDS8207OR</t>
  </si>
  <si>
    <t>99314165-SID</t>
  </si>
  <si>
    <t>L1170REEDS8215OR</t>
  </si>
  <si>
    <t>99314180-SID</t>
  </si>
  <si>
    <t>L1171REEDS8223OR</t>
  </si>
  <si>
    <t>99413672-SID</t>
  </si>
  <si>
    <t>L1172REEDS8237OR</t>
  </si>
  <si>
    <t>99413751-SID</t>
  </si>
  <si>
    <t>L1173REEDS8245OR</t>
  </si>
  <si>
    <t>L1174REEDS8253OR</t>
  </si>
  <si>
    <t>L1175REEDS8267OR</t>
  </si>
  <si>
    <t>L1176REEDS8275OR</t>
  </si>
  <si>
    <t>L1177REEDDS828OR</t>
  </si>
  <si>
    <t>L1178REEDS8291OR</t>
  </si>
  <si>
    <t>L1201REEDS3673OR</t>
  </si>
  <si>
    <t>98464808-SID</t>
  </si>
  <si>
    <t>L1202REEDS3665OR</t>
  </si>
  <si>
    <t>98464924-SID</t>
  </si>
  <si>
    <t>L1203REEDS3657OR</t>
  </si>
  <si>
    <t>L1204REEDS3649OR</t>
  </si>
  <si>
    <t>98465077-SID</t>
  </si>
  <si>
    <t>L1205REEDS3641OR</t>
  </si>
  <si>
    <t>L1206REEDS3633OR</t>
  </si>
  <si>
    <t>L1207REEDS3625OR</t>
  </si>
  <si>
    <t>L1208REEDS3617OR</t>
  </si>
  <si>
    <t>L1209REEDS3609OR</t>
  </si>
  <si>
    <t>98568141-SID</t>
  </si>
  <si>
    <t>L1210REEDS3601OR</t>
  </si>
  <si>
    <t>98568157-SID</t>
  </si>
  <si>
    <t>L1218REEDS8095OR</t>
  </si>
  <si>
    <t>L1219REEDS8083OR</t>
  </si>
  <si>
    <t>L1220REEDS8069OR</t>
  </si>
  <si>
    <t>L1221REEDS8057OR</t>
  </si>
  <si>
    <t>L1222REEDS8050OR</t>
  </si>
  <si>
    <t>L1223REEDS8064OR</t>
  </si>
  <si>
    <t>97994870-SID</t>
  </si>
  <si>
    <t>L1224REEDS8078OR</t>
  </si>
  <si>
    <t>L1225REEDS8092OR</t>
  </si>
  <si>
    <t>FLEX ROOM (OPT G148)</t>
  </si>
  <si>
    <t>Framing Options Contract</t>
  </si>
  <si>
    <t>Framing Options PO Total</t>
  </si>
  <si>
    <t>L950REEDSCROSSOR</t>
  </si>
  <si>
    <t>G769H-G770H</t>
  </si>
  <si>
    <t>L951REEDSCROSSOR</t>
  </si>
  <si>
    <t>L952REEDSCROSSOR</t>
  </si>
  <si>
    <t>G769K-G770K</t>
  </si>
  <si>
    <t>L953REEDSCROSSOR</t>
  </si>
  <si>
    <t>L954REEDSCROSSOR</t>
  </si>
  <si>
    <t>G769J-G770J</t>
  </si>
  <si>
    <t>L955REEDSCROSSOR</t>
  </si>
  <si>
    <t>L956REEDSCROSSOR</t>
  </si>
  <si>
    <t>L957REEDSCROSSOR</t>
  </si>
  <si>
    <t>L958REEDSCROSSOR</t>
  </si>
  <si>
    <t>L959REEDSCROSSOR</t>
  </si>
  <si>
    <t>L960REEDSCROSSOR</t>
  </si>
  <si>
    <t>L961REEDSCROSSOR</t>
  </si>
  <si>
    <t>L962REEDSCROSSOR</t>
  </si>
  <si>
    <t>L963REEDSCROSSOR</t>
  </si>
  <si>
    <t>L987REEDSCROSSOR</t>
  </si>
  <si>
    <t>L988REEDSCROSSOR</t>
  </si>
  <si>
    <t>L989REEDSCROSSOR</t>
  </si>
  <si>
    <t>L990REEDSCROSSOR</t>
  </si>
  <si>
    <t>L991REEDSCROSSOR</t>
  </si>
  <si>
    <t>L992REEDSCROSSOR</t>
  </si>
  <si>
    <t>L993REEDSCROSSOR</t>
  </si>
  <si>
    <t>L994REEDSCROSSOR</t>
  </si>
  <si>
    <t>L995REEDSCROSSOR</t>
  </si>
  <si>
    <t>L996REEDSCROSSOR</t>
  </si>
  <si>
    <t>SCHOLLS HEIGHTS</t>
  </si>
  <si>
    <t xml:space="preserve">EXTRA OPTION TOTAL </t>
  </si>
  <si>
    <t>L79SCHOLLHEIGHOR</t>
  </si>
  <si>
    <t>L80SCHOLLHEIGHOR</t>
  </si>
  <si>
    <t>L81SCHOLLHEIGHOR</t>
  </si>
  <si>
    <t>L82SCHOLLHEIGHOR</t>
  </si>
  <si>
    <t>L83SCHOLLHEIGHOR</t>
  </si>
  <si>
    <t>L84SCHOLLHEIGHOR</t>
  </si>
  <si>
    <t>98777293-SID</t>
  </si>
  <si>
    <t>L85SCHOLLHEIGHOR</t>
  </si>
  <si>
    <t>W/ OPTION PO</t>
  </si>
  <si>
    <t>99658053-SID</t>
  </si>
  <si>
    <t>L86SCHOLLHEIGHOR</t>
  </si>
  <si>
    <t>L114SCHOLLHEIGOR</t>
  </si>
  <si>
    <t>L115SCHOLLHEIGOR</t>
  </si>
  <si>
    <t>18L</t>
  </si>
  <si>
    <t>L116SCHOLLHEIGOR</t>
  </si>
  <si>
    <t>98920405-SID</t>
  </si>
  <si>
    <t>L117SCHOLLHEIGOR</t>
  </si>
  <si>
    <t>99314120-SID</t>
  </si>
  <si>
    <t>L118SCHOLLHEIGOR</t>
  </si>
  <si>
    <t>L119SCHOLLHEIGOR</t>
  </si>
  <si>
    <t>99314150-SID</t>
  </si>
  <si>
    <t>L120SCHOLLHEIGOR</t>
  </si>
  <si>
    <t>L121SCHOLLHEIGOR</t>
  </si>
  <si>
    <t>This should be the PO total --&gt;</t>
  </si>
  <si>
    <t>L122SCHOLLHEIGOR</t>
  </si>
  <si>
    <t>L123SCHOLLHEIGOR</t>
  </si>
  <si>
    <t>L124SCHOLLHEIGOR</t>
  </si>
  <si>
    <t>L125SCHOLLHEIGOR</t>
  </si>
  <si>
    <t>L126SCHOLLHEIGOR</t>
  </si>
  <si>
    <t>17F</t>
  </si>
  <si>
    <t>L127SCHOLLHEIGOR</t>
  </si>
  <si>
    <t>L128SCHOLLHEIGOR</t>
  </si>
  <si>
    <t>L129SCHOLLHEIGOR</t>
  </si>
  <si>
    <t>TRAILHEAD ESTATES</t>
  </si>
  <si>
    <t>RETREATCH</t>
  </si>
  <si>
    <t>READY FRAME TOTA</t>
  </si>
  <si>
    <t>L4TRAILHEADESTWA</t>
  </si>
  <si>
    <t>L5TRAILHEADESTWA</t>
  </si>
  <si>
    <t>L8TRAILHEADESTWA</t>
  </si>
  <si>
    <t>3 - S</t>
  </si>
  <si>
    <t>N/A</t>
  </si>
  <si>
    <t>Submittal date</t>
  </si>
  <si>
    <t>JOB</t>
  </si>
  <si>
    <t>LOT</t>
  </si>
  <si>
    <t xml:space="preserve">DESCRIPTION </t>
  </si>
  <si>
    <t>WARRANTY?</t>
  </si>
  <si>
    <t>TOTAL W/ TAX</t>
  </si>
  <si>
    <t>ORDER #</t>
  </si>
  <si>
    <t>Check date</t>
  </si>
  <si>
    <t>AGING</t>
  </si>
  <si>
    <t>EPO#</t>
  </si>
  <si>
    <t>NOTES</t>
  </si>
  <si>
    <t>REDWOOD LANDING</t>
  </si>
  <si>
    <t>READY FRAME</t>
  </si>
  <si>
    <t xml:space="preserve">CASCADIA RIDGE </t>
  </si>
  <si>
    <t xml:space="preserve">READY FRAME </t>
  </si>
  <si>
    <t>NOT SUBMITTED</t>
  </si>
  <si>
    <t>CASCADIA</t>
  </si>
  <si>
    <t>REDWOOD</t>
  </si>
  <si>
    <t xml:space="preserve">CASCADIA </t>
  </si>
  <si>
    <t xml:space="preserve">REDWOOD </t>
  </si>
  <si>
    <t>FPR</t>
  </si>
  <si>
    <t>RC</t>
  </si>
  <si>
    <t>To Do</t>
  </si>
  <si>
    <t>Due</t>
  </si>
  <si>
    <t>Plan #</t>
  </si>
  <si>
    <t>CR254 BAT</t>
  </si>
  <si>
    <t>Boones Crossing</t>
  </si>
  <si>
    <t>CP</t>
  </si>
  <si>
    <t>FP</t>
  </si>
  <si>
    <t>GRW</t>
  </si>
  <si>
    <t>DRW</t>
  </si>
  <si>
    <t>TECH</t>
  </si>
  <si>
    <t>FLEX WNDW</t>
  </si>
  <si>
    <t>GSD</t>
  </si>
  <si>
    <t>GW</t>
  </si>
  <si>
    <t>SCW</t>
  </si>
  <si>
    <t>LRW</t>
  </si>
  <si>
    <t>MBW</t>
  </si>
  <si>
    <t>STDY</t>
  </si>
  <si>
    <t>BR4</t>
  </si>
  <si>
    <t>BR5</t>
  </si>
  <si>
    <t>Garage Wall Height</t>
  </si>
  <si>
    <t>Extra PO?</t>
  </si>
  <si>
    <t>Extra PO Billed?</t>
  </si>
  <si>
    <t>CLOSED 2/14/22</t>
  </si>
  <si>
    <t>UPDATED 2/17/22</t>
  </si>
  <si>
    <t>Upcoming Start</t>
  </si>
  <si>
    <t>Upcoming Siding</t>
  </si>
  <si>
    <t>Pricing Issue</t>
  </si>
  <si>
    <t>NEEDS TO BE REVIEWED</t>
  </si>
  <si>
    <t>NO</t>
  </si>
  <si>
    <t>CLOSED 4/12/22</t>
  </si>
  <si>
    <t>CLOSED 3/7/22</t>
  </si>
  <si>
    <t>COMPLETED 3/9/22</t>
  </si>
  <si>
    <t>89009076 (CLOSED 4/12/22)</t>
  </si>
  <si>
    <t>COMPLETED 3/6/22</t>
  </si>
  <si>
    <t>87795413 (CLOSED 4/12/22)</t>
  </si>
  <si>
    <t>COMPLETED 3/5/22</t>
  </si>
  <si>
    <t>87795535-000</t>
  </si>
  <si>
    <t>CLOSED 4/15/22</t>
  </si>
  <si>
    <t>104-5/8"</t>
  </si>
  <si>
    <t>COMPLETED 3/7/22</t>
  </si>
  <si>
    <t>COMPLETED 3/24/22</t>
  </si>
  <si>
    <t>90262871-000</t>
  </si>
  <si>
    <t>COMPLETED 4/19/22</t>
  </si>
  <si>
    <t>COMPLETED 4/27/22</t>
  </si>
  <si>
    <t>COMPLETED 5/27/22</t>
  </si>
  <si>
    <t>UPDATED 3/20/22</t>
  </si>
  <si>
    <t>90262930-000</t>
  </si>
  <si>
    <t>UPDATED 3/20/23</t>
  </si>
  <si>
    <t>90262988-000</t>
  </si>
  <si>
    <t>COMPLETED 4/19/23</t>
  </si>
  <si>
    <t>Done</t>
  </si>
  <si>
    <t>UPDATED 3/31/22</t>
  </si>
  <si>
    <t>89393166 (CLOSED 4/15/22)</t>
  </si>
  <si>
    <t>Updated 3/23/22</t>
  </si>
  <si>
    <t>Completed 3/30/22</t>
  </si>
  <si>
    <t>UPDATED 2/4/22</t>
  </si>
  <si>
    <t>UPDATED 3/14/22</t>
  </si>
  <si>
    <t>1'T @ 13'</t>
  </si>
  <si>
    <t>COMPLETED 3/4/22</t>
  </si>
  <si>
    <t>89640651 (CLOSED 4/12/22)</t>
  </si>
  <si>
    <t>UPDATED 4/12/22</t>
  </si>
  <si>
    <t>UPDATED 5/16/22</t>
  </si>
  <si>
    <t>COMPLETED 3/28/22</t>
  </si>
  <si>
    <t>UPDATED 5/6/22</t>
  </si>
  <si>
    <t>COMPLETED 5/4/22</t>
  </si>
  <si>
    <t>COMPLETED 4/12/22</t>
  </si>
  <si>
    <t>UPDATED 5/10/22</t>
  </si>
  <si>
    <t>COMPLETED 4/15/22</t>
  </si>
  <si>
    <t>COMPLETED 4/25/22</t>
  </si>
  <si>
    <t>UPDATED 6/3/22</t>
  </si>
  <si>
    <t>COMPLETED 5/6/22</t>
  </si>
  <si>
    <t>UPDATED 6/1/22</t>
  </si>
  <si>
    <t>COMPLETED 5/8/22</t>
  </si>
  <si>
    <t>UPDATED 6/8/22</t>
  </si>
  <si>
    <t>MODEL HOME</t>
  </si>
  <si>
    <t>N</t>
  </si>
  <si>
    <t>COMPLETED</t>
  </si>
  <si>
    <t>44409.46 / 506.23</t>
  </si>
  <si>
    <t>92608978 / 92608994</t>
  </si>
  <si>
    <t>UPDATED 6/21/22</t>
  </si>
  <si>
    <t>RW23 Siding BAT</t>
  </si>
  <si>
    <t>915B 2C</t>
  </si>
  <si>
    <t xml:space="preserve">RW13 Siding BAT </t>
  </si>
  <si>
    <t>913A 2C CP2</t>
  </si>
  <si>
    <t xml:space="preserve">RW14 Siding BAT </t>
  </si>
  <si>
    <t>915C 2C CP2</t>
  </si>
  <si>
    <t>RW12 Siding BAT</t>
  </si>
  <si>
    <t>943B 2C CP2</t>
  </si>
  <si>
    <t>RW11 Siding BAT</t>
  </si>
  <si>
    <t>913C 2C CP2</t>
  </si>
  <si>
    <t>BC 241 SIDING BAT</t>
  </si>
  <si>
    <t>902C 2C CP1</t>
  </si>
  <si>
    <t xml:space="preserve">RW19 Siding BAT </t>
  </si>
  <si>
    <t xml:space="preserve">RW22 Siding BAT </t>
  </si>
  <si>
    <t>943A 2C CP2</t>
  </si>
  <si>
    <t>BC245 Framing BAT</t>
  </si>
  <si>
    <t>913C 3C</t>
  </si>
  <si>
    <t>BC244 Framing BAT</t>
  </si>
  <si>
    <t>903B 3C CP1</t>
  </si>
  <si>
    <t>BC240 Framing BAT</t>
  </si>
  <si>
    <t>921A 2C</t>
  </si>
  <si>
    <t>RW17 Siding BAT</t>
  </si>
  <si>
    <t>712C 2C</t>
  </si>
  <si>
    <t xml:space="preserve">RW18 Siding BAT </t>
  </si>
  <si>
    <t>912A 2C CP1</t>
  </si>
  <si>
    <t xml:space="preserve">RW21 Siding BAT </t>
  </si>
  <si>
    <t>BC237 SIDING BAT</t>
  </si>
  <si>
    <t>BC226 SIDING BAT</t>
  </si>
  <si>
    <t>BC238 Framing BAT</t>
  </si>
  <si>
    <t>921C 2C</t>
  </si>
  <si>
    <t>BC228 Framing BAT</t>
  </si>
  <si>
    <t>913C 2C CP1</t>
  </si>
  <si>
    <t>BC243 Framing BAT</t>
  </si>
  <si>
    <t>915A 3C</t>
  </si>
  <si>
    <t xml:space="preserve">RW13 Framing BAT </t>
  </si>
  <si>
    <t xml:space="preserve">RW14 Framing BAT </t>
  </si>
  <si>
    <t>RW12 Framing BAT</t>
  </si>
  <si>
    <t>BC229 SIDING BAT</t>
  </si>
  <si>
    <t>913A 3C</t>
  </si>
  <si>
    <t>BC230 SIDING BAT</t>
  </si>
  <si>
    <t xml:space="preserve">BC227 SIDING BAT </t>
  </si>
  <si>
    <t>915C 2C CP1</t>
  </si>
  <si>
    <t>RW11 Framing BAT</t>
  </si>
  <si>
    <t>KL 3 FRAMING BAT</t>
  </si>
  <si>
    <t>921A 2C EXT CP</t>
  </si>
  <si>
    <t>BC 242 FRAMING BAT</t>
  </si>
  <si>
    <t>BC 241 FRAMING BAT</t>
  </si>
  <si>
    <t>BC237 Siding BAT</t>
  </si>
  <si>
    <t>921B 2C</t>
  </si>
  <si>
    <t>RWII L7 Siding BAT</t>
  </si>
  <si>
    <t>943B 2C CP1</t>
  </si>
  <si>
    <t>RW15 Siding BAT</t>
  </si>
  <si>
    <t>712B 2C NoCP</t>
  </si>
  <si>
    <t>RW20 Framing BAT</t>
  </si>
  <si>
    <t>943A 2C CP1</t>
  </si>
  <si>
    <t>KL 37 Siding BAT</t>
  </si>
  <si>
    <t>913B 2C CP2</t>
  </si>
  <si>
    <t>RW 22 FRAMING BAT</t>
  </si>
  <si>
    <t>RW19 Framing BAT</t>
  </si>
  <si>
    <t xml:space="preserve">BC231 Siding BAT </t>
  </si>
  <si>
    <t>915B 3C</t>
  </si>
  <si>
    <t>RW9 Siding BAT</t>
  </si>
  <si>
    <t>913A 2C CP1</t>
  </si>
  <si>
    <t>RW21 Framing BAT</t>
  </si>
  <si>
    <t xml:space="preserve">BC239 FRAMING BAT </t>
  </si>
  <si>
    <t xml:space="preserve">BC227 FRAMING BAT </t>
  </si>
  <si>
    <t>BC229 FRAMING BAT</t>
  </si>
  <si>
    <t>BC230 FRAMING BAT</t>
  </si>
  <si>
    <t>BC 232 Siding BAT</t>
  </si>
  <si>
    <t>913C 3C NoCP</t>
  </si>
  <si>
    <t>KL 35 Siding BAT</t>
  </si>
  <si>
    <t>G921 2C EXT CP</t>
  </si>
  <si>
    <t>RW18 Framing BAT</t>
  </si>
  <si>
    <t>915A 2C CP1</t>
  </si>
  <si>
    <t>BC 236 Siding BAT</t>
  </si>
  <si>
    <t>902A 2C NCP</t>
  </si>
  <si>
    <t>RW17 Framing BAT</t>
  </si>
  <si>
    <t>RW16 Siding BAT</t>
  </si>
  <si>
    <t>RW8 Siding BAT</t>
  </si>
  <si>
    <t>KL 19 Siding BAT</t>
  </si>
  <si>
    <t>915C 3C CP2</t>
  </si>
  <si>
    <t>KL 38 Siding BAT</t>
  </si>
  <si>
    <t>BC 220 Siding BAT</t>
  </si>
  <si>
    <t xml:space="preserve">902B 2C </t>
  </si>
  <si>
    <t>BC226 Framing BAT</t>
  </si>
  <si>
    <t>913A 2C</t>
  </si>
  <si>
    <t>BC237 Framing BAT</t>
  </si>
  <si>
    <t>Update BC 223 Siding BAT</t>
  </si>
  <si>
    <t>BC234 Siding BAT</t>
  </si>
  <si>
    <t>Update BC 219 Siding BAT</t>
  </si>
  <si>
    <t>RW6 Framing BAT</t>
  </si>
  <si>
    <t>RW7 Framing BAT</t>
  </si>
  <si>
    <t>KL 39 Siding BAT</t>
  </si>
  <si>
    <t>913A 3C CP2</t>
  </si>
  <si>
    <t>KL 20 Siding BAT</t>
  </si>
  <si>
    <t>942A 3C CP2</t>
  </si>
  <si>
    <t>KL 21 SIDING BAT</t>
  </si>
  <si>
    <t>942B 3C CP1</t>
  </si>
  <si>
    <t>BC 233 Framing BAT</t>
  </si>
  <si>
    <t>Update BC218 Siding BAT</t>
  </si>
  <si>
    <t>902A 2C NoCP</t>
  </si>
  <si>
    <t xml:space="preserve">Need updated PO BC 232 Framing </t>
  </si>
  <si>
    <t>Update BC216 Siding BAT</t>
  </si>
  <si>
    <t>902A 2C CP1</t>
  </si>
  <si>
    <t>BC 231 Framing BAT</t>
  </si>
  <si>
    <t>915B 3C NCP</t>
  </si>
  <si>
    <t>KL24 Siding BAT</t>
  </si>
  <si>
    <t>942C 3C CP1</t>
  </si>
  <si>
    <t>BC 232 Framing BAT</t>
  </si>
  <si>
    <t>KL 35 Framing BAT</t>
  </si>
  <si>
    <t>G921C 2C EXT CP</t>
  </si>
  <si>
    <t>BC 236 Framing BAT</t>
  </si>
  <si>
    <t>RW9 Framing BAT</t>
  </si>
  <si>
    <t>BC 220 Framing BAT</t>
  </si>
  <si>
    <t>RW16 Framing BAT</t>
  </si>
  <si>
    <t>KL 37 Framing BAT</t>
  </si>
  <si>
    <t>Need Updated PO RW15 Framing</t>
  </si>
  <si>
    <t>RW15 Framing BAT</t>
  </si>
  <si>
    <t>Talk to Christin to apply EPO for L221</t>
  </si>
  <si>
    <t>KG1/2 Siding BAT</t>
  </si>
  <si>
    <t>892/893D</t>
  </si>
  <si>
    <t>KL15 Siding BAT</t>
  </si>
  <si>
    <t>942B 3C CP2</t>
  </si>
  <si>
    <t>KL20 Siding EPO</t>
  </si>
  <si>
    <t>G942A 3C CP2</t>
  </si>
  <si>
    <t>KL22 Siding BAT</t>
  </si>
  <si>
    <t>RW8 Framing BAT</t>
  </si>
  <si>
    <t>913C 3C CP2</t>
  </si>
  <si>
    <t>712 Liesel Takeoff</t>
  </si>
  <si>
    <t>KL18 Siding BAT</t>
  </si>
  <si>
    <t>Submit Plan G924 to Richard Herrera</t>
  </si>
  <si>
    <t>Call Tony about RWII Lot 8/15 &amp; BC Lot 232 pricing and check on RWII Lot 16 &amp; BC Lot 237</t>
  </si>
  <si>
    <t>Redwood Landing II</t>
  </si>
  <si>
    <t>712, 913, 915, 943</t>
  </si>
  <si>
    <t>L30REDWOODII11OR</t>
  </si>
  <si>
    <t>116-5/8</t>
  </si>
  <si>
    <t>L31REDWOODII11OR</t>
  </si>
  <si>
    <t>L32G904CREDWOOOR</t>
  </si>
  <si>
    <t>96921126 FRM</t>
  </si>
  <si>
    <t>L33REDWOODII11OR</t>
  </si>
  <si>
    <t>L34REDWOODII11OR</t>
  </si>
  <si>
    <t>L35REDWOODIIG9OR</t>
  </si>
  <si>
    <t>L36REDWOODLANDOR</t>
  </si>
  <si>
    <t>L37REDWOOD2118OR</t>
  </si>
  <si>
    <t>L59REDWOODII11OR</t>
  </si>
  <si>
    <t>L71REDWOODLANDOR</t>
  </si>
  <si>
    <t>9650679-OPTION</t>
  </si>
  <si>
    <t>96590679-000 - 47100</t>
  </si>
  <si>
    <t>L72REDWOODLANDOR</t>
  </si>
  <si>
    <t>96590725-OPTION</t>
  </si>
  <si>
    <t>96590725-000 - 47100</t>
  </si>
  <si>
    <t>L73REDWOODLANDOR</t>
  </si>
  <si>
    <t>96590758-000 - 47100</t>
  </si>
  <si>
    <t>96709478-FRM/SID</t>
  </si>
  <si>
    <t>$18,879.38 / $20,367.34</t>
  </si>
  <si>
    <t>96580945 / 96580960</t>
  </si>
  <si>
    <t>Kemper Grove</t>
  </si>
  <si>
    <t>Kemper Loop</t>
  </si>
  <si>
    <t>FLEX</t>
  </si>
  <si>
    <t>EXT</t>
  </si>
  <si>
    <t>Updated 5/10/22</t>
  </si>
  <si>
    <t>85822330-1</t>
  </si>
  <si>
    <t>Updated 1/30/2022</t>
  </si>
  <si>
    <t>CLOSED</t>
  </si>
  <si>
    <t>Updated 2/3/22</t>
  </si>
  <si>
    <t>Updated 2/9/22</t>
  </si>
  <si>
    <t>88106951-000</t>
  </si>
  <si>
    <t>Updated 3/22/22</t>
  </si>
  <si>
    <t>Updated 3/9/22</t>
  </si>
  <si>
    <t>Updated 2/28/22</t>
  </si>
  <si>
    <t>87854756-000</t>
  </si>
  <si>
    <t>PWDR</t>
  </si>
  <si>
    <t>FLEX WNDW (STUDY)</t>
  </si>
  <si>
    <t>116-5/8"?</t>
  </si>
  <si>
    <t>UPDATED 5/19/22</t>
  </si>
  <si>
    <t>COMPLETED 6/29/22</t>
  </si>
  <si>
    <t>116-5/8"</t>
  </si>
  <si>
    <t>44409.46 / 506-23</t>
  </si>
  <si>
    <t>92994030 / 92993973</t>
  </si>
  <si>
    <t>COMPLETED 7/12/22</t>
  </si>
  <si>
    <t>COMPLETED 6/7/22</t>
  </si>
  <si>
    <t>UPDATED 4/28/22</t>
  </si>
  <si>
    <t>42104.34 / 1669.32</t>
  </si>
  <si>
    <t>91845042 / 91845129</t>
  </si>
  <si>
    <t>Complete 5/26/22</t>
  </si>
  <si>
    <t>COMPLETED 5/26/22</t>
  </si>
  <si>
    <t xml:space="preserve">UPDATED 3/3/22 </t>
  </si>
  <si>
    <t xml:space="preserve"> 89902117-000 (CLOSED 4/12/22)</t>
  </si>
  <si>
    <t>Completed 4/5/22</t>
  </si>
  <si>
    <t>UPDATED 3/3/22</t>
  </si>
  <si>
    <t>90183192-000 (CLOSED 4/12/22)</t>
  </si>
  <si>
    <t>Completed 4/10/22</t>
  </si>
  <si>
    <t>UPDATED 2/1/22</t>
  </si>
  <si>
    <t>CLOSED 2/28/22</t>
  </si>
  <si>
    <t>Completed</t>
  </si>
  <si>
    <t>88262979-000 (CLOSED 4/12/22)</t>
  </si>
  <si>
    <t>UPDATED 2/17/2022</t>
  </si>
  <si>
    <t>89166707-000</t>
  </si>
  <si>
    <t>PW &amp; DECK</t>
  </si>
  <si>
    <t>UPDATED 5/27/22</t>
  </si>
  <si>
    <t>UPDATED 4/19/22</t>
  </si>
  <si>
    <t>42704.51 / 8586.00</t>
  </si>
  <si>
    <t>91062633 / 91062726</t>
  </si>
  <si>
    <t>COMPLETED 5/16/22</t>
  </si>
  <si>
    <t>UPDATED 4/20/22</t>
  </si>
  <si>
    <t xml:space="preserve">42224.43 / 8592.00 </t>
  </si>
  <si>
    <t>90940270 / 90940435</t>
  </si>
  <si>
    <t>9889.03  / 4771.59</t>
  </si>
  <si>
    <t>90940270 / 90940350</t>
  </si>
  <si>
    <t>UPDATED 4/24/22</t>
  </si>
  <si>
    <t>UPDATED 2/15/22</t>
  </si>
  <si>
    <t>89166754-000</t>
  </si>
  <si>
    <t>Complete 4/7/22</t>
  </si>
  <si>
    <t xml:space="preserve"> 89166754-000 (CLOSED 4/12/22)</t>
  </si>
  <si>
    <t>UPDATED 2/16/22</t>
  </si>
  <si>
    <t>90183719-000</t>
  </si>
  <si>
    <t>89431161-000 (CLOSED 4/12/22)</t>
  </si>
  <si>
    <t>UPDATED 3/13/22</t>
  </si>
  <si>
    <t>90660937-000</t>
  </si>
  <si>
    <t>COMPLETED 4/29/22</t>
  </si>
  <si>
    <t>UPDATED 3/18/22</t>
  </si>
  <si>
    <t>89902617-000 (CLOSED 4/12/22)</t>
  </si>
  <si>
    <t>COMPLETED 3/18/22</t>
  </si>
  <si>
    <t xml:space="preserve">N </t>
  </si>
  <si>
    <t>UPDATED 4/4/22</t>
  </si>
  <si>
    <t>90942075-000</t>
  </si>
  <si>
    <t>UPDATED 4/6/22</t>
  </si>
  <si>
    <t>UPDATED 3/30/22</t>
  </si>
  <si>
    <t>90942370-000</t>
  </si>
  <si>
    <t>42104.34 / 2445.45</t>
  </si>
  <si>
    <t>90942623 / 90942786</t>
  </si>
  <si>
    <t>UPDATED 4/29/22</t>
  </si>
  <si>
    <t>COMPLETED 6/1/22</t>
  </si>
  <si>
    <t>42387.22 / 622.74</t>
  </si>
  <si>
    <t>92994059 / 92994074</t>
  </si>
  <si>
    <t>COMPLETED 6/30/22</t>
  </si>
  <si>
    <t>42652.24 / (266.84)</t>
  </si>
  <si>
    <t>92994107 / 92994121</t>
  </si>
  <si>
    <t>UPDATED 5/26/22</t>
  </si>
  <si>
    <t>42387.22 / (771.77)</t>
  </si>
  <si>
    <t>92243640 / 92243658</t>
  </si>
  <si>
    <t>COMPLETE 6/30/22</t>
  </si>
  <si>
    <t>UPDATED 5/8/22</t>
  </si>
  <si>
    <t>38828.73 / 2717.04</t>
  </si>
  <si>
    <t>92243720 / 92243750</t>
  </si>
  <si>
    <t>UPDATED 5/9/22</t>
  </si>
  <si>
    <t>155.57 / (92.42)</t>
  </si>
  <si>
    <t>48043.66 / 506.23</t>
  </si>
  <si>
    <t>92994154 / 92994168</t>
  </si>
  <si>
    <t>Order Date</t>
  </si>
  <si>
    <t>Lot</t>
  </si>
  <si>
    <t>Descption</t>
  </si>
  <si>
    <t>Yard</t>
  </si>
  <si>
    <t>Order#</t>
  </si>
  <si>
    <t>Order Total</t>
  </si>
  <si>
    <t xml:space="preserve">EPO </t>
  </si>
  <si>
    <t>Job Super</t>
  </si>
  <si>
    <t>RW6</t>
  </si>
  <si>
    <t>HANGERS FOR FLUSH BEAMS</t>
  </si>
  <si>
    <t>CLACORYD</t>
  </si>
  <si>
    <t>James Elliott</t>
  </si>
  <si>
    <t>RW7</t>
  </si>
  <si>
    <t>BC236</t>
  </si>
  <si>
    <t>4X4-12' PT PORCH POST</t>
  </si>
  <si>
    <t>MCMNORYD</t>
  </si>
  <si>
    <t>RW18</t>
  </si>
  <si>
    <t>BC234</t>
  </si>
  <si>
    <t>STOLEN HARDIE SIDING</t>
  </si>
  <si>
    <t>BC225</t>
  </si>
  <si>
    <t>COLUMN MATERIAL FOR FRAMING ISSUE</t>
  </si>
  <si>
    <t>KL37</t>
  </si>
  <si>
    <t>2X AND 4X4 MATERIAL</t>
  </si>
  <si>
    <t>Vance Tokita</t>
  </si>
  <si>
    <t>POST MATERIAL</t>
  </si>
  <si>
    <t>James Elliott/Jeff Coughlin</t>
  </si>
  <si>
    <t>RW19</t>
  </si>
  <si>
    <t>Jeff Coughlin</t>
  </si>
  <si>
    <t>RW22</t>
  </si>
  <si>
    <t>TRUSS CLIPS</t>
  </si>
  <si>
    <t xml:space="preserve">HANGERS </t>
  </si>
  <si>
    <t>KL21</t>
  </si>
  <si>
    <t>WILL CALL ITEMS</t>
  </si>
  <si>
    <t>VANCWAYD</t>
  </si>
  <si>
    <t>82.08 / 88.97</t>
  </si>
  <si>
    <t>Chase Eigstl</t>
  </si>
  <si>
    <t>RW21</t>
  </si>
  <si>
    <t>PONY WALL MATERIAL</t>
  </si>
  <si>
    <t>784511-000 </t>
  </si>
  <si>
    <t xml:space="preserve">RW20 </t>
  </si>
  <si>
    <t>784527-000 </t>
  </si>
  <si>
    <t>RW9</t>
  </si>
  <si>
    <t>STOLEN STRAPS</t>
  </si>
  <si>
    <t xml:space="preserve">757576-000 </t>
  </si>
  <si>
    <t>Richmond American EPO Form</t>
  </si>
  <si>
    <t>Community:</t>
  </si>
  <si>
    <t>Lot #:</t>
  </si>
  <si>
    <t>Address:</t>
  </si>
  <si>
    <t>Plan # &amp; Elevation:</t>
  </si>
  <si>
    <t>Order #:</t>
  </si>
  <si>
    <t>Requested Delivery Date:</t>
  </si>
  <si>
    <t>Superintendent:</t>
  </si>
  <si>
    <t>Description:</t>
  </si>
  <si>
    <t>Total Price w/o Tax:</t>
  </si>
  <si>
    <t>Total Price inc. Tax: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</si>
</sst>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mm/dd/yy"/>
  </numFmts>
  <fonts count="4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Tahoma"/>
      <family val="2"/>
    </font>
    <font>
      <sz val="11"/>
      <color rgb="FF000000"/>
      <name val="Calibri"/>
      <family val="2"/>
    </font>
    <font>
      <i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rgb="FF444444"/>
      <name val="Calibri"/>
      <scheme val="minor"/>
    </font>
    <font>
      <sz val="12"/>
      <color theme="1"/>
      <name val="Calibri"/>
      <family val="2"/>
      <scheme val="minor"/>
    </font>
    <font>
      <sz val="12"/>
      <color rgb="FF444444"/>
      <name val="Calibri"/>
      <charset val="1"/>
    </font>
    <font>
      <sz val="12"/>
      <color rgb="FF444444"/>
      <name val="Calibri"/>
      <family val="2"/>
      <charset val="1"/>
    </font>
    <font>
      <b/>
      <sz val="12"/>
      <color rgb="FF444444"/>
      <name val="Calibri"/>
      <charset val="1"/>
    </font>
    <font>
      <b/>
      <sz val="11"/>
      <color rgb="FF000000"/>
      <name val="Calibri"/>
      <scheme val="minor"/>
    </font>
    <font>
      <b/>
      <sz val="11"/>
      <color rgb="FF444444"/>
      <name val="Aptos Narrow"/>
      <charset val="1"/>
    </font>
    <font>
      <b/>
      <sz val="11"/>
      <color rgb="FF000000"/>
      <name val="Aptos Narrow"/>
      <charset val="1"/>
    </font>
    <font>
      <sz val="11"/>
      <color rgb="FF000000"/>
      <name val="Aptos Narrow"/>
      <charset val="1"/>
    </font>
    <font>
      <b/>
      <sz val="12"/>
      <color rgb="FF444444"/>
      <name val="Calibri"/>
      <scheme val="minor"/>
    </font>
    <font>
      <sz val="11"/>
      <color theme="1"/>
      <name val="Gulim"/>
    </font>
    <font>
      <b/>
      <sz val="11"/>
      <color theme="1"/>
      <name val="Gulim"/>
    </font>
    <font>
      <sz val="11"/>
      <color theme="0"/>
      <name val="Aptos Narrow"/>
      <charset val="1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Aptos Narrow"/>
      <family val="2"/>
    </font>
    <font>
      <b/>
      <sz val="11"/>
      <color rgb="FF92D05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053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3" borderId="2" xfId="0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" fontId="0" fillId="3" borderId="1" xfId="0" applyNumberFormat="1" applyFill="1" applyBorder="1"/>
    <xf numFmtId="4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2" fillId="7" borderId="1" xfId="0" applyFont="1" applyFill="1" applyBorder="1"/>
    <xf numFmtId="14" fontId="0" fillId="6" borderId="1" xfId="0" applyNumberForma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1" fillId="0" borderId="9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6" borderId="1" xfId="0" applyFill="1" applyBorder="1"/>
    <xf numFmtId="2" fontId="0" fillId="3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0" borderId="9" xfId="0" applyBorder="1"/>
    <xf numFmtId="4" fontId="0" fillId="0" borderId="1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9" xfId="0" applyFont="1" applyBorder="1"/>
    <xf numFmtId="0" fontId="6" fillId="0" borderId="15" xfId="0" applyFont="1" applyBorder="1"/>
    <xf numFmtId="0" fontId="6" fillId="2" borderId="17" xfId="0" applyFont="1" applyFill="1" applyBorder="1"/>
    <xf numFmtId="0" fontId="6" fillId="0" borderId="20" xfId="0" applyFont="1" applyBorder="1"/>
    <xf numFmtId="0" fontId="0" fillId="2" borderId="22" xfId="0" applyFill="1" applyBorder="1"/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0" fillId="8" borderId="1" xfId="0" applyFill="1" applyBorder="1"/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0" fillId="0" borderId="0" xfId="0" applyAlignment="1">
      <alignment horizontal="center" textRotation="45"/>
    </xf>
    <xf numFmtId="0" fontId="0" fillId="0" borderId="1" xfId="0" applyBorder="1" applyAlignment="1">
      <alignment horizontal="center" textRotation="45"/>
    </xf>
    <xf numFmtId="49" fontId="0" fillId="0" borderId="1" xfId="0" applyNumberFormat="1" applyBorder="1" applyAlignment="1">
      <alignment textRotation="45"/>
    </xf>
    <xf numFmtId="0" fontId="0" fillId="0" borderId="1" xfId="0" applyBorder="1" applyAlignment="1">
      <alignment textRotation="45"/>
    </xf>
    <xf numFmtId="0" fontId="0" fillId="2" borderId="1" xfId="0" applyFill="1" applyBorder="1" applyAlignment="1">
      <alignment horizontal="center" textRotation="45"/>
    </xf>
    <xf numFmtId="0" fontId="0" fillId="3" borderId="2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5" xfId="0" applyBorder="1" applyAlignment="1">
      <alignment horizontal="center" textRotation="45"/>
    </xf>
    <xf numFmtId="0" fontId="0" fillId="0" borderId="6" xfId="0" applyBorder="1" applyAlignment="1">
      <alignment horizontal="center" textRotation="45"/>
    </xf>
    <xf numFmtId="0" fontId="0" fillId="0" borderId="6" xfId="0" applyBorder="1" applyAlignment="1">
      <alignment horizontal="center" textRotation="45" wrapText="1"/>
    </xf>
    <xf numFmtId="0" fontId="0" fillId="2" borderId="6" xfId="0" applyFill="1" applyBorder="1" applyAlignment="1">
      <alignment horizontal="center" textRotation="45"/>
    </xf>
    <xf numFmtId="0" fontId="0" fillId="0" borderId="28" xfId="0" applyBorder="1" applyAlignment="1">
      <alignment horizontal="center" textRotation="45"/>
    </xf>
    <xf numFmtId="0" fontId="0" fillId="0" borderId="29" xfId="0" applyBorder="1" applyAlignment="1">
      <alignment horizontal="center" textRotation="45"/>
    </xf>
    <xf numFmtId="2" fontId="0" fillId="2" borderId="4" xfId="0" applyNumberFormat="1" applyFill="1" applyBorder="1" applyAlignment="1">
      <alignment horizontal="center"/>
    </xf>
    <xf numFmtId="2" fontId="0" fillId="0" borderId="29" xfId="0" applyNumberFormat="1" applyBorder="1" applyAlignment="1">
      <alignment horizontal="center" textRotation="45"/>
    </xf>
    <xf numFmtId="2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4" borderId="6" xfId="0" applyFill="1" applyBorder="1" applyAlignment="1">
      <alignment horizontal="center" textRotation="45"/>
    </xf>
    <xf numFmtId="0" fontId="0" fillId="4" borderId="1" xfId="0" applyFill="1" applyBorder="1" applyAlignment="1">
      <alignment horizontal="center" textRotation="45"/>
    </xf>
    <xf numFmtId="0" fontId="0" fillId="0" borderId="31" xfId="0" applyBorder="1" applyAlignment="1">
      <alignment horizontal="center"/>
    </xf>
    <xf numFmtId="0" fontId="0" fillId="4" borderId="5" xfId="0" applyFill="1" applyBorder="1" applyAlignment="1">
      <alignment horizontal="center" textRotation="45"/>
    </xf>
    <xf numFmtId="164" fontId="0" fillId="3" borderId="2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11" fillId="2" borderId="43" xfId="0" applyFont="1" applyFill="1" applyBorder="1" applyAlignment="1">
      <alignment horizontal="left"/>
    </xf>
    <xf numFmtId="164" fontId="11" fillId="2" borderId="43" xfId="0" applyNumberFormat="1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14" fontId="10" fillId="11" borderId="1" xfId="0" applyNumberFormat="1" applyFont="1" applyFill="1" applyBorder="1" applyAlignment="1">
      <alignment horizontal="left"/>
    </xf>
    <xf numFmtId="0" fontId="10" fillId="11" borderId="1" xfId="0" applyFont="1" applyFill="1" applyBorder="1" applyAlignment="1">
      <alignment horizontal="left"/>
    </xf>
    <xf numFmtId="164" fontId="10" fillId="11" borderId="1" xfId="0" applyNumberFormat="1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4" fontId="10" fillId="4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164" fontId="10" fillId="4" borderId="1" xfId="0" applyNumberFormat="1" applyFont="1" applyFill="1" applyBorder="1" applyAlignment="1">
      <alignment horizontal="left"/>
    </xf>
    <xf numFmtId="0" fontId="10" fillId="11" borderId="36" xfId="0" applyFont="1" applyFill="1" applyBorder="1" applyAlignment="1">
      <alignment horizontal="left"/>
    </xf>
    <xf numFmtId="14" fontId="10" fillId="11" borderId="25" xfId="0" applyNumberFormat="1" applyFont="1" applyFill="1" applyBorder="1" applyAlignment="1">
      <alignment horizontal="left"/>
    </xf>
    <xf numFmtId="0" fontId="10" fillId="11" borderId="25" xfId="0" applyFont="1" applyFill="1" applyBorder="1" applyAlignment="1">
      <alignment horizontal="left"/>
    </xf>
    <xf numFmtId="164" fontId="10" fillId="11" borderId="25" xfId="0" applyNumberFormat="1" applyFont="1" applyFill="1" applyBorder="1" applyAlignment="1">
      <alignment horizontal="left"/>
    </xf>
    <xf numFmtId="0" fontId="12" fillId="13" borderId="0" xfId="0" applyFont="1" applyFill="1"/>
    <xf numFmtId="0" fontId="10" fillId="13" borderId="25" xfId="0" applyFont="1" applyFill="1" applyBorder="1" applyAlignment="1">
      <alignment horizontal="left"/>
    </xf>
    <xf numFmtId="14" fontId="10" fillId="4" borderId="25" xfId="0" applyNumberFormat="1" applyFont="1" applyFill="1" applyBorder="1" applyAlignment="1">
      <alignment horizontal="left"/>
    </xf>
    <xf numFmtId="0" fontId="10" fillId="4" borderId="25" xfId="0" applyFont="1" applyFill="1" applyBorder="1" applyAlignment="1">
      <alignment horizontal="left"/>
    </xf>
    <xf numFmtId="164" fontId="10" fillId="4" borderId="25" xfId="0" applyNumberFormat="1" applyFont="1" applyFill="1" applyBorder="1" applyAlignment="1">
      <alignment horizontal="left"/>
    </xf>
    <xf numFmtId="164" fontId="10" fillId="11" borderId="0" xfId="0" applyNumberFormat="1" applyFont="1" applyFill="1" applyAlignment="1">
      <alignment horizontal="left"/>
    </xf>
    <xf numFmtId="14" fontId="0" fillId="4" borderId="42" xfId="0" applyNumberFormat="1" applyFill="1" applyBorder="1" applyAlignment="1">
      <alignment horizontal="left"/>
    </xf>
    <xf numFmtId="0" fontId="9" fillId="2" borderId="43" xfId="0" applyFont="1" applyFill="1" applyBorder="1" applyAlignment="1">
      <alignment horizontal="left"/>
    </xf>
    <xf numFmtId="164" fontId="9" fillId="2" borderId="43" xfId="0" applyNumberFormat="1" applyFont="1" applyFill="1" applyBorder="1" applyAlignment="1">
      <alignment horizontal="left"/>
    </xf>
    <xf numFmtId="0" fontId="0" fillId="11" borderId="44" xfId="0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11" borderId="0" xfId="0" applyFill="1" applyAlignment="1">
      <alignment horizontal="left"/>
    </xf>
    <xf numFmtId="0" fontId="0" fillId="0" borderId="25" xfId="0" applyBorder="1" applyAlignment="1">
      <alignment horizontal="left"/>
    </xf>
    <xf numFmtId="14" fontId="0" fillId="0" borderId="25" xfId="0" applyNumberForma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164" fontId="0" fillId="11" borderId="0" xfId="0" applyNumberFormat="1" applyFill="1" applyAlignment="1">
      <alignment horizontal="left"/>
    </xf>
    <xf numFmtId="0" fontId="0" fillId="0" borderId="18" xfId="0" applyBorder="1" applyAlignment="1">
      <alignment horizontal="center" textRotation="45"/>
    </xf>
    <xf numFmtId="0" fontId="0" fillId="3" borderId="31" xfId="0" applyFill="1" applyBorder="1" applyAlignment="1">
      <alignment horizontal="center"/>
    </xf>
    <xf numFmtId="165" fontId="10" fillId="11" borderId="25" xfId="0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14" fontId="0" fillId="11" borderId="1" xfId="0" applyNumberForma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164" fontId="0" fillId="11" borderId="1" xfId="0" applyNumberFormat="1" applyFill="1" applyBorder="1" applyAlignment="1">
      <alignment horizontal="left"/>
    </xf>
    <xf numFmtId="14" fontId="0" fillId="11" borderId="45" xfId="0" applyNumberFormat="1" applyFill="1" applyBorder="1" applyAlignment="1">
      <alignment horizontal="left"/>
    </xf>
    <xf numFmtId="0" fontId="0" fillId="11" borderId="45" xfId="0" applyFill="1" applyBorder="1" applyAlignment="1">
      <alignment horizontal="left"/>
    </xf>
    <xf numFmtId="164" fontId="0" fillId="11" borderId="45" xfId="0" applyNumberFormat="1" applyFill="1" applyBorder="1" applyAlignment="1">
      <alignment horizontal="left"/>
    </xf>
    <xf numFmtId="165" fontId="0" fillId="11" borderId="45" xfId="0" applyNumberFormat="1" applyFill="1" applyBorder="1" applyAlignment="1">
      <alignment horizontal="left"/>
    </xf>
    <xf numFmtId="165" fontId="10" fillId="11" borderId="45" xfId="0" applyNumberFormat="1" applyFont="1" applyFill="1" applyBorder="1" applyAlignment="1">
      <alignment horizontal="left"/>
    </xf>
    <xf numFmtId="0" fontId="10" fillId="11" borderId="45" xfId="0" applyFont="1" applyFill="1" applyBorder="1" applyAlignment="1">
      <alignment horizontal="left"/>
    </xf>
    <xf numFmtId="164" fontId="10" fillId="11" borderId="45" xfId="0" applyNumberFormat="1" applyFont="1" applyFill="1" applyBorder="1" applyAlignment="1">
      <alignment horizontal="left"/>
    </xf>
    <xf numFmtId="165" fontId="10" fillId="7" borderId="25" xfId="0" applyNumberFormat="1" applyFont="1" applyFill="1" applyBorder="1" applyAlignment="1">
      <alignment horizontal="left"/>
    </xf>
    <xf numFmtId="0" fontId="10" fillId="7" borderId="25" xfId="0" applyFont="1" applyFill="1" applyBorder="1" applyAlignment="1">
      <alignment horizontal="left"/>
    </xf>
    <xf numFmtId="164" fontId="10" fillId="7" borderId="25" xfId="0" applyNumberFormat="1" applyFont="1" applyFill="1" applyBorder="1" applyAlignment="1">
      <alignment horizontal="left"/>
    </xf>
    <xf numFmtId="0" fontId="2" fillId="0" borderId="26" xfId="0" applyFont="1" applyBorder="1" applyAlignment="1">
      <alignment horizontal="right"/>
    </xf>
    <xf numFmtId="0" fontId="2" fillId="0" borderId="0" xfId="0" applyFont="1" applyAlignment="1">
      <alignment horizontal="center"/>
    </xf>
    <xf numFmtId="165" fontId="10" fillId="11" borderId="1" xfId="0" applyNumberFormat="1" applyFont="1" applyFill="1" applyBorder="1" applyAlignment="1">
      <alignment horizontal="left"/>
    </xf>
    <xf numFmtId="164" fontId="0" fillId="6" borderId="21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3" borderId="47" xfId="0" applyFill="1" applyBorder="1" applyAlignment="1">
      <alignment horizontal="center"/>
    </xf>
    <xf numFmtId="0" fontId="0" fillId="0" borderId="46" xfId="0" applyBorder="1" applyAlignment="1">
      <alignment horizontal="center" textRotation="45"/>
    </xf>
    <xf numFmtId="0" fontId="0" fillId="0" borderId="49" xfId="0" applyBorder="1" applyAlignment="1">
      <alignment horizontal="center"/>
    </xf>
    <xf numFmtId="14" fontId="0" fillId="0" borderId="31" xfId="0" applyNumberFormat="1" applyBorder="1" applyAlignment="1">
      <alignment horizontal="center"/>
    </xf>
    <xf numFmtId="4" fontId="0" fillId="3" borderId="31" xfId="0" applyNumberFormat="1" applyFill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0" fontId="0" fillId="5" borderId="50" xfId="0" applyFill="1" applyBorder="1" applyAlignment="1">
      <alignment horizontal="center" textRotation="45"/>
    </xf>
    <xf numFmtId="0" fontId="0" fillId="5" borderId="20" xfId="0" applyFill="1" applyBorder="1" applyAlignment="1">
      <alignment horizontal="center"/>
    </xf>
    <xf numFmtId="164" fontId="0" fillId="5" borderId="51" xfId="0" applyNumberFormat="1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164" fontId="0" fillId="5" borderId="21" xfId="0" applyNumberFormat="1" applyFill="1" applyBorder="1" applyAlignment="1">
      <alignment horizontal="center"/>
    </xf>
    <xf numFmtId="0" fontId="8" fillId="5" borderId="53" xfId="0" applyFont="1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5" borderId="54" xfId="0" applyFill="1" applyBorder="1" applyAlignment="1">
      <alignment horizontal="right"/>
    </xf>
    <xf numFmtId="164" fontId="8" fillId="5" borderId="21" xfId="0" applyNumberFormat="1" applyFont="1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14" borderId="5" xfId="0" applyFill="1" applyBorder="1" applyAlignment="1">
      <alignment horizontal="center" textRotation="45"/>
    </xf>
    <xf numFmtId="164" fontId="0" fillId="14" borderId="8" xfId="0" applyNumberFormat="1" applyFill="1" applyBorder="1" applyAlignment="1">
      <alignment horizontal="center" textRotation="45"/>
    </xf>
    <xf numFmtId="0" fontId="0" fillId="14" borderId="26" xfId="0" applyFill="1" applyBorder="1" applyAlignment="1">
      <alignment horizontal="center"/>
    </xf>
    <xf numFmtId="164" fontId="0" fillId="14" borderId="34" xfId="0" applyNumberFormat="1" applyFill="1" applyBorder="1" applyAlignment="1">
      <alignment horizontal="center"/>
    </xf>
    <xf numFmtId="0" fontId="0" fillId="14" borderId="56" xfId="0" applyFill="1" applyBorder="1" applyAlignment="1">
      <alignment horizontal="center"/>
    </xf>
    <xf numFmtId="164" fontId="0" fillId="14" borderId="51" xfId="0" applyNumberFormat="1" applyFill="1" applyBorder="1" applyAlignment="1">
      <alignment horizontal="center"/>
    </xf>
    <xf numFmtId="0" fontId="0" fillId="14" borderId="57" xfId="0" applyFill="1" applyBorder="1" applyAlignment="1">
      <alignment horizontal="center"/>
    </xf>
    <xf numFmtId="164" fontId="0" fillId="14" borderId="21" xfId="0" applyNumberFormat="1" applyFill="1" applyBorder="1" applyAlignment="1">
      <alignment horizontal="center"/>
    </xf>
    <xf numFmtId="0" fontId="0" fillId="14" borderId="57" xfId="0" applyFill="1" applyBorder="1" applyAlignment="1">
      <alignment horizontal="right"/>
    </xf>
    <xf numFmtId="0" fontId="0" fillId="14" borderId="58" xfId="0" applyFill="1" applyBorder="1" applyAlignment="1">
      <alignment horizontal="center"/>
    </xf>
    <xf numFmtId="164" fontId="0" fillId="14" borderId="35" xfId="0" applyNumberFormat="1" applyFill="1" applyBorder="1" applyAlignment="1">
      <alignment horizontal="center"/>
    </xf>
    <xf numFmtId="0" fontId="0" fillId="14" borderId="53" xfId="0" applyFill="1" applyBorder="1" applyAlignment="1">
      <alignment horizontal="center"/>
    </xf>
    <xf numFmtId="164" fontId="0" fillId="14" borderId="19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 textRotation="45"/>
    </xf>
    <xf numFmtId="0" fontId="0" fillId="15" borderId="8" xfId="0" applyFill="1" applyBorder="1" applyAlignment="1">
      <alignment horizontal="center" textRotation="45"/>
    </xf>
    <xf numFmtId="0" fontId="0" fillId="15" borderId="26" xfId="0" applyFill="1" applyBorder="1" applyAlignment="1">
      <alignment horizontal="center"/>
    </xf>
    <xf numFmtId="0" fontId="0" fillId="15" borderId="34" xfId="0" applyFill="1" applyBorder="1" applyAlignment="1">
      <alignment horizontal="center"/>
    </xf>
    <xf numFmtId="0" fontId="0" fillId="15" borderId="57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58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8" fontId="0" fillId="15" borderId="17" xfId="0" applyNumberFormat="1" applyFill="1" applyBorder="1" applyAlignment="1">
      <alignment horizontal="center"/>
    </xf>
    <xf numFmtId="8" fontId="0" fillId="15" borderId="59" xfId="0" applyNumberFormat="1" applyFill="1" applyBorder="1" applyAlignment="1">
      <alignment horizontal="center"/>
    </xf>
    <xf numFmtId="0" fontId="0" fillId="15" borderId="53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3" borderId="5" xfId="0" applyFill="1" applyBorder="1" applyAlignment="1">
      <alignment horizontal="center" textRotation="45"/>
    </xf>
    <xf numFmtId="164" fontId="0" fillId="3" borderId="8" xfId="0" applyNumberFormat="1" applyFill="1" applyBorder="1" applyAlignment="1">
      <alignment horizontal="center" textRotation="45"/>
    </xf>
    <xf numFmtId="0" fontId="0" fillId="3" borderId="2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164" fontId="0" fillId="3" borderId="35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164" fontId="0" fillId="3" borderId="59" xfId="0" applyNumberFormat="1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164" fontId="0" fillId="3" borderId="1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 textRotation="45"/>
    </xf>
    <xf numFmtId="4" fontId="0" fillId="16" borderId="24" xfId="0" applyNumberFormat="1" applyFill="1" applyBorder="1" applyAlignment="1">
      <alignment horizontal="center" textRotation="45"/>
    </xf>
    <xf numFmtId="0" fontId="0" fillId="16" borderId="57" xfId="0" applyFill="1" applyBorder="1" applyAlignment="1">
      <alignment horizontal="center"/>
    </xf>
    <xf numFmtId="4" fontId="0" fillId="16" borderId="34" xfId="0" applyNumberFormat="1" applyFill="1" applyBorder="1" applyAlignment="1">
      <alignment horizontal="center"/>
    </xf>
    <xf numFmtId="0" fontId="0" fillId="16" borderId="56" xfId="0" applyFill="1" applyBorder="1" applyAlignment="1">
      <alignment horizontal="center"/>
    </xf>
    <xf numFmtId="4" fontId="0" fillId="16" borderId="51" xfId="0" applyNumberFormat="1" applyFill="1" applyBorder="1" applyAlignment="1">
      <alignment horizontal="center"/>
    </xf>
    <xf numFmtId="4" fontId="0" fillId="16" borderId="21" xfId="0" applyNumberFormat="1" applyFill="1" applyBorder="1" applyAlignment="1">
      <alignment horizontal="center"/>
    </xf>
    <xf numFmtId="0" fontId="0" fillId="16" borderId="57" xfId="0" applyFill="1" applyBorder="1" applyAlignment="1">
      <alignment horizontal="right"/>
    </xf>
    <xf numFmtId="164" fontId="0" fillId="16" borderId="21" xfId="0" applyNumberFormat="1" applyFill="1" applyBorder="1" applyAlignment="1">
      <alignment horizontal="center"/>
    </xf>
    <xf numFmtId="0" fontId="0" fillId="16" borderId="53" xfId="0" applyFill="1" applyBorder="1" applyAlignment="1">
      <alignment horizontal="center"/>
    </xf>
    <xf numFmtId="4" fontId="0" fillId="16" borderId="19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 textRotation="45"/>
    </xf>
    <xf numFmtId="164" fontId="9" fillId="17" borderId="34" xfId="0" applyNumberFormat="1" applyFont="1" applyFill="1" applyBorder="1" applyAlignment="1">
      <alignment horizontal="center"/>
    </xf>
    <xf numFmtId="164" fontId="9" fillId="17" borderId="21" xfId="0" applyNumberFormat="1" applyFont="1" applyFill="1" applyBorder="1" applyAlignment="1">
      <alignment horizontal="center"/>
    </xf>
    <xf numFmtId="164" fontId="9" fillId="17" borderId="35" xfId="0" applyNumberFormat="1" applyFont="1" applyFill="1" applyBorder="1" applyAlignment="1">
      <alignment horizontal="center"/>
    </xf>
    <xf numFmtId="164" fontId="9" fillId="17" borderId="8" xfId="0" applyNumberFormat="1" applyFont="1" applyFill="1" applyBorder="1" applyAlignment="1">
      <alignment horizontal="center" textRotation="45"/>
    </xf>
    <xf numFmtId="0" fontId="8" fillId="5" borderId="57" xfId="0" applyFont="1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0" fillId="5" borderId="57" xfId="0" applyFill="1" applyBorder="1" applyAlignment="1">
      <alignment horizontal="right"/>
    </xf>
    <xf numFmtId="0" fontId="0" fillId="15" borderId="56" xfId="0" applyFill="1" applyBorder="1" applyAlignment="1">
      <alignment horizontal="center"/>
    </xf>
    <xf numFmtId="0" fontId="0" fillId="15" borderId="60" xfId="0" applyFill="1" applyBorder="1" applyAlignment="1">
      <alignment horizontal="center"/>
    </xf>
    <xf numFmtId="0" fontId="0" fillId="15" borderId="61" xfId="0" applyFill="1" applyBorder="1" applyAlignment="1">
      <alignment horizontal="center"/>
    </xf>
    <xf numFmtId="0" fontId="0" fillId="15" borderId="57" xfId="0" applyFill="1" applyBorder="1" applyAlignment="1">
      <alignment horizontal="right"/>
    </xf>
    <xf numFmtId="0" fontId="0" fillId="15" borderId="61" xfId="0" applyFill="1" applyBorder="1" applyAlignment="1">
      <alignment horizontal="right"/>
    </xf>
    <xf numFmtId="164" fontId="0" fillId="15" borderId="61" xfId="0" applyNumberFormat="1" applyFill="1" applyBorder="1" applyAlignment="1">
      <alignment horizontal="center"/>
    </xf>
    <xf numFmtId="0" fontId="0" fillId="15" borderId="62" xfId="0" applyFill="1" applyBorder="1" applyAlignment="1">
      <alignment horizontal="center"/>
    </xf>
    <xf numFmtId="2" fontId="0" fillId="16" borderId="60" xfId="0" applyNumberFormat="1" applyFill="1" applyBorder="1" applyAlignment="1">
      <alignment horizontal="center"/>
    </xf>
    <xf numFmtId="2" fontId="0" fillId="16" borderId="61" xfId="0" applyNumberFormat="1" applyFill="1" applyBorder="1" applyAlignment="1">
      <alignment horizontal="center"/>
    </xf>
    <xf numFmtId="4" fontId="0" fillId="16" borderId="61" xfId="0" applyNumberFormat="1" applyFill="1" applyBorder="1" applyAlignment="1">
      <alignment horizontal="center"/>
    </xf>
    <xf numFmtId="0" fontId="0" fillId="16" borderId="61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9" fillId="17" borderId="56" xfId="0" applyFont="1" applyFill="1" applyBorder="1" applyAlignment="1">
      <alignment horizontal="center"/>
    </xf>
    <xf numFmtId="0" fontId="9" fillId="17" borderId="57" xfId="0" applyFont="1" applyFill="1" applyBorder="1" applyAlignment="1">
      <alignment horizontal="center"/>
    </xf>
    <xf numFmtId="0" fontId="9" fillId="17" borderId="58" xfId="0" applyFont="1" applyFill="1" applyBorder="1" applyAlignment="1">
      <alignment horizontal="center"/>
    </xf>
    <xf numFmtId="0" fontId="9" fillId="17" borderId="17" xfId="0" applyFont="1" applyFill="1" applyBorder="1" applyAlignment="1">
      <alignment horizontal="center"/>
    </xf>
    <xf numFmtId="164" fontId="9" fillId="17" borderId="59" xfId="0" applyNumberFormat="1" applyFont="1" applyFill="1" applyBorder="1" applyAlignment="1">
      <alignment horizontal="center"/>
    </xf>
    <xf numFmtId="0" fontId="9" fillId="17" borderId="53" xfId="0" applyFont="1" applyFill="1" applyBorder="1" applyAlignment="1">
      <alignment horizontal="center"/>
    </xf>
    <xf numFmtId="164" fontId="9" fillId="17" borderId="19" xfId="0" applyNumberFormat="1" applyFont="1" applyFill="1" applyBorder="1" applyAlignment="1">
      <alignment horizontal="center"/>
    </xf>
    <xf numFmtId="0" fontId="0" fillId="15" borderId="24" xfId="0" applyFill="1" applyBorder="1" applyAlignment="1">
      <alignment horizontal="center" textRotation="45"/>
    </xf>
    <xf numFmtId="0" fontId="0" fillId="16" borderId="24" xfId="0" applyFill="1" applyBorder="1" applyAlignment="1">
      <alignment horizontal="center" textRotation="45"/>
    </xf>
    <xf numFmtId="0" fontId="9" fillId="17" borderId="5" xfId="0" applyFont="1" applyFill="1" applyBorder="1" applyAlignment="1">
      <alignment horizontal="center" textRotation="45" wrapText="1"/>
    </xf>
    <xf numFmtId="164" fontId="0" fillId="15" borderId="21" xfId="0" applyNumberFormat="1" applyFill="1" applyBorder="1" applyAlignment="1">
      <alignment horizontal="center"/>
    </xf>
    <xf numFmtId="0" fontId="0" fillId="3" borderId="6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64" fontId="8" fillId="5" borderId="19" xfId="0" applyNumberFormat="1" applyFont="1" applyFill="1" applyBorder="1" applyAlignment="1">
      <alignment horizontal="center"/>
    </xf>
    <xf numFmtId="8" fontId="0" fillId="5" borderId="21" xfId="0" applyNumberFormat="1" applyFill="1" applyBorder="1" applyAlignment="1">
      <alignment horizontal="center"/>
    </xf>
    <xf numFmtId="0" fontId="8" fillId="14" borderId="53" xfId="0" applyFont="1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1" fontId="0" fillId="14" borderId="57" xfId="0" applyNumberFormat="1" applyFill="1" applyBorder="1" applyAlignment="1">
      <alignment horizontal="center"/>
    </xf>
    <xf numFmtId="8" fontId="0" fillId="14" borderId="21" xfId="0" applyNumberFormat="1" applyFill="1" applyBorder="1" applyAlignment="1">
      <alignment horizontal="center"/>
    </xf>
    <xf numFmtId="0" fontId="0" fillId="14" borderId="19" xfId="0" applyFill="1" applyBorder="1" applyAlignment="1">
      <alignment horizontal="center"/>
    </xf>
    <xf numFmtId="0" fontId="0" fillId="13" borderId="57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13" borderId="53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14" borderId="8" xfId="0" applyFill="1" applyBorder="1" applyAlignment="1">
      <alignment horizontal="center" textRotation="45"/>
    </xf>
    <xf numFmtId="0" fontId="0" fillId="13" borderId="5" xfId="0" applyFill="1" applyBorder="1" applyAlignment="1">
      <alignment horizontal="center" textRotation="45"/>
    </xf>
    <xf numFmtId="0" fontId="0" fillId="16" borderId="8" xfId="0" applyFill="1" applyBorder="1" applyAlignment="1">
      <alignment horizontal="center" textRotation="45"/>
    </xf>
    <xf numFmtId="0" fontId="0" fillId="5" borderId="5" xfId="0" applyFill="1" applyBorder="1" applyAlignment="1">
      <alignment horizontal="center" textRotation="45"/>
    </xf>
    <xf numFmtId="0" fontId="0" fillId="6" borderId="5" xfId="0" applyFill="1" applyBorder="1" applyAlignment="1">
      <alignment horizontal="center" textRotation="45"/>
    </xf>
    <xf numFmtId="164" fontId="0" fillId="6" borderId="8" xfId="0" applyNumberFormat="1" applyFill="1" applyBorder="1" applyAlignment="1">
      <alignment horizontal="center" textRotation="45"/>
    </xf>
    <xf numFmtId="0" fontId="0" fillId="6" borderId="56" xfId="0" applyFill="1" applyBorder="1" applyAlignment="1">
      <alignment horizontal="center"/>
    </xf>
    <xf numFmtId="164" fontId="0" fillId="6" borderId="51" xfId="0" applyNumberFormat="1" applyFill="1" applyBorder="1" applyAlignment="1">
      <alignment horizontal="center"/>
    </xf>
    <xf numFmtId="0" fontId="0" fillId="6" borderId="57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164" fontId="0" fillId="6" borderId="35" xfId="0" applyNumberFormat="1" applyFill="1" applyBorder="1" applyAlignment="1">
      <alignment horizontal="center"/>
    </xf>
    <xf numFmtId="8" fontId="0" fillId="6" borderId="17" xfId="0" applyNumberFormat="1" applyFill="1" applyBorder="1" applyAlignment="1">
      <alignment horizontal="center"/>
    </xf>
    <xf numFmtId="164" fontId="0" fillId="6" borderId="59" xfId="0" applyNumberFormat="1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164" fontId="0" fillId="6" borderId="19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 textRotation="45"/>
    </xf>
    <xf numFmtId="0" fontId="0" fillId="6" borderId="21" xfId="0" applyFill="1" applyBorder="1" applyAlignment="1">
      <alignment horizontal="center"/>
    </xf>
    <xf numFmtId="8" fontId="0" fillId="6" borderId="21" xfId="0" applyNumberForma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11" borderId="50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9" fillId="11" borderId="23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164" fontId="0" fillId="11" borderId="23" xfId="0" applyNumberFormat="1" applyFill="1" applyBorder="1" applyAlignment="1">
      <alignment horizontal="center"/>
    </xf>
    <xf numFmtId="4" fontId="0" fillId="11" borderId="23" xfId="0" applyNumberFormat="1" applyFill="1" applyBorder="1" applyAlignment="1">
      <alignment horizontal="center"/>
    </xf>
    <xf numFmtId="164" fontId="9" fillId="11" borderId="23" xfId="0" applyNumberFormat="1" applyFont="1" applyFill="1" applyBorder="1" applyAlignment="1">
      <alignment horizontal="center"/>
    </xf>
    <xf numFmtId="0" fontId="0" fillId="5" borderId="56" xfId="0" applyFill="1" applyBorder="1" applyAlignment="1">
      <alignment horizontal="center" textRotation="45"/>
    </xf>
    <xf numFmtId="164" fontId="0" fillId="13" borderId="21" xfId="0" applyNumberFormat="1" applyFill="1" applyBorder="1" applyAlignment="1">
      <alignment horizontal="center"/>
    </xf>
    <xf numFmtId="8" fontId="0" fillId="16" borderId="21" xfId="0" applyNumberFormat="1" applyFill="1" applyBorder="1" applyAlignment="1">
      <alignment horizontal="center"/>
    </xf>
    <xf numFmtId="0" fontId="0" fillId="13" borderId="54" xfId="0" applyFill="1" applyBorder="1" applyAlignment="1">
      <alignment horizontal="center"/>
    </xf>
    <xf numFmtId="164" fontId="0" fillId="15" borderId="60" xfId="0" applyNumberFormat="1" applyFill="1" applyBorder="1" applyAlignment="1">
      <alignment horizontal="center"/>
    </xf>
    <xf numFmtId="164" fontId="0" fillId="16" borderId="60" xfId="0" applyNumberFormat="1" applyFill="1" applyBorder="1" applyAlignment="1">
      <alignment horizontal="center"/>
    </xf>
    <xf numFmtId="0" fontId="0" fillId="5" borderId="53" xfId="0" applyFill="1" applyBorder="1" applyAlignment="1">
      <alignment horizontal="center" textRotation="45"/>
    </xf>
    <xf numFmtId="0" fontId="15" fillId="0" borderId="0" xfId="0" applyFont="1" applyAlignment="1">
      <alignment horizontal="left"/>
    </xf>
    <xf numFmtId="4" fontId="0" fillId="11" borderId="1" xfId="0" applyNumberFormat="1" applyFill="1" applyBorder="1" applyAlignment="1">
      <alignment horizontal="center"/>
    </xf>
    <xf numFmtId="0" fontId="9" fillId="17" borderId="32" xfId="0" applyFont="1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4" fontId="0" fillId="6" borderId="31" xfId="0" applyNumberFormat="1" applyFill="1" applyBorder="1" applyAlignment="1">
      <alignment horizontal="center"/>
    </xf>
    <xf numFmtId="4" fontId="0" fillId="11" borderId="31" xfId="0" applyNumberFormat="1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6" borderId="31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3" borderId="46" xfId="0" applyNumberFormat="1" applyFill="1" applyBorder="1" applyAlignment="1">
      <alignment horizontal="center" textRotation="45"/>
    </xf>
    <xf numFmtId="164" fontId="0" fillId="3" borderId="47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0" fontId="8" fillId="16" borderId="57" xfId="0" applyFont="1" applyFill="1" applyBorder="1" applyAlignment="1">
      <alignment horizontal="center"/>
    </xf>
    <xf numFmtId="2" fontId="0" fillId="16" borderId="21" xfId="0" applyNumberFormat="1" applyFill="1" applyBorder="1" applyAlignment="1">
      <alignment horizontal="center"/>
    </xf>
    <xf numFmtId="164" fontId="0" fillId="5" borderId="47" xfId="0" applyNumberFormat="1" applyFill="1" applyBorder="1" applyAlignment="1">
      <alignment horizontal="center" textRotation="45"/>
    </xf>
    <xf numFmtId="164" fontId="0" fillId="5" borderId="31" xfId="0" applyNumberFormat="1" applyFill="1" applyBorder="1" applyAlignment="1">
      <alignment horizontal="center"/>
    </xf>
    <xf numFmtId="0" fontId="0" fillId="13" borderId="29" xfId="0" applyFill="1" applyBorder="1" applyAlignment="1">
      <alignment horizontal="center" textRotation="45"/>
    </xf>
    <xf numFmtId="0" fontId="0" fillId="13" borderId="3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8" fontId="0" fillId="13" borderId="48" xfId="0" applyNumberFormat="1" applyFill="1" applyBorder="1" applyAlignment="1">
      <alignment horizontal="center"/>
    </xf>
    <xf numFmtId="0" fontId="0" fillId="14" borderId="56" xfId="0" applyFill="1" applyBorder="1" applyAlignment="1">
      <alignment horizontal="center" textRotation="45"/>
    </xf>
    <xf numFmtId="164" fontId="0" fillId="14" borderId="51" xfId="0" applyNumberFormat="1" applyFill="1" applyBorder="1" applyAlignment="1">
      <alignment horizontal="center" textRotation="45"/>
    </xf>
    <xf numFmtId="0" fontId="0" fillId="16" borderId="56" xfId="0" applyFill="1" applyBorder="1" applyAlignment="1">
      <alignment horizontal="center" textRotation="45"/>
    </xf>
    <xf numFmtId="0" fontId="0" fillId="16" borderId="51" xfId="0" applyFill="1" applyBorder="1" applyAlignment="1">
      <alignment horizontal="center" textRotation="45"/>
    </xf>
    <xf numFmtId="0" fontId="9" fillId="17" borderId="29" xfId="0" applyFont="1" applyFill="1" applyBorder="1" applyAlignment="1">
      <alignment horizontal="center" textRotation="45" wrapText="1"/>
    </xf>
    <xf numFmtId="0" fontId="9" fillId="17" borderId="37" xfId="0" applyFont="1" applyFill="1" applyBorder="1" applyAlignment="1">
      <alignment horizontal="center"/>
    </xf>
    <xf numFmtId="0" fontId="9" fillId="17" borderId="33" xfId="0" applyFont="1" applyFill="1" applyBorder="1" applyAlignment="1">
      <alignment horizontal="center"/>
    </xf>
    <xf numFmtId="164" fontId="9" fillId="17" borderId="51" xfId="0" applyNumberFormat="1" applyFont="1" applyFill="1" applyBorder="1" applyAlignment="1">
      <alignment horizontal="center"/>
    </xf>
    <xf numFmtId="8" fontId="9" fillId="17" borderId="32" xfId="0" applyNumberFormat="1" applyFont="1" applyFill="1" applyBorder="1" applyAlignment="1">
      <alignment horizontal="center"/>
    </xf>
    <xf numFmtId="0" fontId="9" fillId="17" borderId="38" xfId="0" applyFont="1" applyFill="1" applyBorder="1" applyAlignment="1">
      <alignment horizontal="center"/>
    </xf>
    <xf numFmtId="0" fontId="9" fillId="17" borderId="48" xfId="0" applyFont="1" applyFill="1" applyBorder="1" applyAlignment="1">
      <alignment horizontal="center"/>
    </xf>
    <xf numFmtId="164" fontId="9" fillId="17" borderId="30" xfId="0" applyNumberFormat="1" applyFont="1" applyFill="1" applyBorder="1" applyAlignment="1">
      <alignment horizontal="center"/>
    </xf>
    <xf numFmtId="0" fontId="9" fillId="17" borderId="0" xfId="0" applyFont="1" applyFill="1" applyAlignment="1">
      <alignment horizontal="center"/>
    </xf>
    <xf numFmtId="164" fontId="9" fillId="17" borderId="0" xfId="0" applyNumberFormat="1" applyFont="1" applyFill="1" applyAlignment="1">
      <alignment horizontal="center"/>
    </xf>
    <xf numFmtId="164" fontId="8" fillId="5" borderId="31" xfId="0" applyNumberFormat="1" applyFont="1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164" fontId="0" fillId="14" borderId="47" xfId="0" applyNumberFormat="1" applyFill="1" applyBorder="1" applyAlignment="1">
      <alignment horizontal="center" textRotation="45"/>
    </xf>
    <xf numFmtId="164" fontId="0" fillId="14" borderId="31" xfId="0" applyNumberFormat="1" applyFill="1" applyBorder="1" applyAlignment="1">
      <alignment horizontal="center"/>
    </xf>
    <xf numFmtId="0" fontId="0" fillId="13" borderId="56" xfId="0" applyFill="1" applyBorder="1" applyAlignment="1">
      <alignment horizontal="center" textRotation="45"/>
    </xf>
    <xf numFmtId="164" fontId="0" fillId="13" borderId="47" xfId="0" applyNumberFormat="1" applyFill="1" applyBorder="1" applyAlignment="1">
      <alignment horizontal="center" textRotation="45"/>
    </xf>
    <xf numFmtId="164" fontId="0" fillId="13" borderId="31" xfId="0" applyNumberFormat="1" applyFill="1" applyBorder="1" applyAlignment="1">
      <alignment horizontal="center"/>
    </xf>
    <xf numFmtId="0" fontId="0" fillId="6" borderId="56" xfId="0" applyFill="1" applyBorder="1" applyAlignment="1">
      <alignment horizontal="center" textRotation="45"/>
    </xf>
    <xf numFmtId="164" fontId="0" fillId="6" borderId="47" xfId="0" applyNumberFormat="1" applyFill="1" applyBorder="1" applyAlignment="1">
      <alignment horizontal="center" textRotation="45"/>
    </xf>
    <xf numFmtId="164" fontId="0" fillId="16" borderId="61" xfId="0" applyNumberFormat="1" applyFill="1" applyBorder="1" applyAlignment="1">
      <alignment horizontal="center"/>
    </xf>
    <xf numFmtId="0" fontId="9" fillId="18" borderId="0" xfId="0" applyFont="1" applyFill="1" applyAlignment="1">
      <alignment horizontal="center"/>
    </xf>
    <xf numFmtId="164" fontId="9" fillId="18" borderId="1" xfId="0" applyNumberFormat="1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8" borderId="57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164" fontId="0" fillId="8" borderId="21" xfId="0" applyNumberFormat="1" applyFill="1" applyBorder="1" applyAlignment="1">
      <alignment horizontal="center"/>
    </xf>
    <xf numFmtId="0" fontId="0" fillId="8" borderId="53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9" fillId="18" borderId="32" xfId="0" applyFont="1" applyFill="1" applyBorder="1" applyAlignment="1">
      <alignment horizontal="center"/>
    </xf>
    <xf numFmtId="0" fontId="0" fillId="14" borderId="17" xfId="0" applyFill="1" applyBorder="1" applyAlignment="1">
      <alignment horizontal="center" textRotation="45"/>
    </xf>
    <xf numFmtId="0" fontId="0" fillId="14" borderId="59" xfId="0" applyFill="1" applyBorder="1" applyAlignment="1">
      <alignment horizontal="center" textRotation="45"/>
    </xf>
    <xf numFmtId="0" fontId="0" fillId="13" borderId="17" xfId="0" applyFill="1" applyBorder="1" applyAlignment="1">
      <alignment horizontal="center" textRotation="45"/>
    </xf>
    <xf numFmtId="0" fontId="0" fillId="13" borderId="59" xfId="0" applyFill="1" applyBorder="1" applyAlignment="1">
      <alignment horizontal="center" textRotation="45"/>
    </xf>
    <xf numFmtId="0" fontId="0" fillId="8" borderId="17" xfId="0" applyFill="1" applyBorder="1" applyAlignment="1">
      <alignment horizontal="center" textRotation="45"/>
    </xf>
    <xf numFmtId="0" fontId="0" fillId="8" borderId="59" xfId="0" applyFill="1" applyBorder="1" applyAlignment="1">
      <alignment horizontal="center" textRotation="45"/>
    </xf>
    <xf numFmtId="0" fontId="9" fillId="18" borderId="33" xfId="0" applyFont="1" applyFill="1" applyBorder="1" applyAlignment="1">
      <alignment horizontal="center" textRotation="45"/>
    </xf>
    <xf numFmtId="0" fontId="9" fillId="18" borderId="2" xfId="0" applyFont="1" applyFill="1" applyBorder="1" applyAlignment="1">
      <alignment horizontal="center" textRotation="45"/>
    </xf>
    <xf numFmtId="0" fontId="0" fillId="0" borderId="47" xfId="0" applyBorder="1" applyAlignment="1">
      <alignment horizontal="center"/>
    </xf>
    <xf numFmtId="0" fontId="0" fillId="14" borderId="51" xfId="0" applyFill="1" applyBorder="1" applyAlignment="1">
      <alignment horizontal="center" textRotation="45"/>
    </xf>
    <xf numFmtId="0" fontId="0" fillId="14" borderId="54" xfId="0" applyFill="1" applyBorder="1" applyAlignment="1">
      <alignment horizontal="center"/>
    </xf>
    <xf numFmtId="164" fontId="8" fillId="14" borderId="21" xfId="0" applyNumberFormat="1" applyFont="1" applyFill="1" applyBorder="1" applyAlignment="1">
      <alignment horizontal="center"/>
    </xf>
    <xf numFmtId="0" fontId="0" fillId="5" borderId="17" xfId="0" applyFill="1" applyBorder="1" applyAlignment="1">
      <alignment horizontal="center" textRotation="45"/>
    </xf>
    <xf numFmtId="0" fontId="0" fillId="5" borderId="59" xfId="0" applyFill="1" applyBorder="1" applyAlignment="1">
      <alignment horizontal="center" textRotation="45"/>
    </xf>
    <xf numFmtId="0" fontId="8" fillId="13" borderId="57" xfId="0" applyFont="1" applyFill="1" applyBorder="1" applyAlignment="1">
      <alignment horizontal="center"/>
    </xf>
    <xf numFmtId="0" fontId="8" fillId="8" borderId="57" xfId="0" applyFont="1" applyFill="1" applyBorder="1" applyAlignment="1">
      <alignment horizontal="center"/>
    </xf>
    <xf numFmtId="0" fontId="9" fillId="19" borderId="56" xfId="0" applyFont="1" applyFill="1" applyBorder="1" applyAlignment="1">
      <alignment horizontal="center" textRotation="45"/>
    </xf>
    <xf numFmtId="0" fontId="9" fillId="19" borderId="51" xfId="0" applyFont="1" applyFill="1" applyBorder="1" applyAlignment="1">
      <alignment horizontal="center" textRotation="45"/>
    </xf>
    <xf numFmtId="0" fontId="9" fillId="19" borderId="57" xfId="0" applyFont="1" applyFill="1" applyBorder="1" applyAlignment="1">
      <alignment horizontal="center"/>
    </xf>
    <xf numFmtId="164" fontId="9" fillId="19" borderId="21" xfId="0" applyNumberFormat="1" applyFont="1" applyFill="1" applyBorder="1" applyAlignment="1">
      <alignment horizontal="center"/>
    </xf>
    <xf numFmtId="0" fontId="9" fillId="19" borderId="53" xfId="0" applyFont="1" applyFill="1" applyBorder="1" applyAlignment="1">
      <alignment horizontal="center"/>
    </xf>
    <xf numFmtId="0" fontId="9" fillId="19" borderId="19" xfId="0" applyFont="1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16" borderId="47" xfId="0" applyFill="1" applyBorder="1" applyAlignment="1">
      <alignment horizontal="center" textRotation="45"/>
    </xf>
    <xf numFmtId="2" fontId="0" fillId="16" borderId="31" xfId="0" applyNumberFormat="1" applyFill="1" applyBorder="1" applyAlignment="1">
      <alignment horizontal="center"/>
    </xf>
    <xf numFmtId="164" fontId="0" fillId="16" borderId="31" xfId="0" applyNumberFormat="1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20" borderId="56" xfId="0" applyFill="1" applyBorder="1" applyAlignment="1">
      <alignment horizontal="center" textRotation="45"/>
    </xf>
    <xf numFmtId="164" fontId="0" fillId="20" borderId="47" xfId="0" applyNumberFormat="1" applyFill="1" applyBorder="1" applyAlignment="1">
      <alignment horizontal="center" textRotation="45"/>
    </xf>
    <xf numFmtId="0" fontId="0" fillId="20" borderId="57" xfId="0" applyFill="1" applyBorder="1" applyAlignment="1">
      <alignment horizontal="center"/>
    </xf>
    <xf numFmtId="164" fontId="0" fillId="20" borderId="31" xfId="0" applyNumberFormat="1" applyFill="1" applyBorder="1" applyAlignment="1">
      <alignment horizontal="center"/>
    </xf>
    <xf numFmtId="0" fontId="9" fillId="18" borderId="56" xfId="0" applyFont="1" applyFill="1" applyBorder="1" applyAlignment="1">
      <alignment horizontal="center" textRotation="45" wrapText="1"/>
    </xf>
    <xf numFmtId="164" fontId="9" fillId="18" borderId="51" xfId="0" applyNumberFormat="1" applyFont="1" applyFill="1" applyBorder="1" applyAlignment="1">
      <alignment horizontal="center" textRotation="45"/>
    </xf>
    <xf numFmtId="0" fontId="9" fillId="18" borderId="57" xfId="0" applyFont="1" applyFill="1" applyBorder="1" applyAlignment="1">
      <alignment horizontal="center"/>
    </xf>
    <xf numFmtId="164" fontId="9" fillId="18" borderId="21" xfId="0" applyNumberFormat="1" applyFont="1" applyFill="1" applyBorder="1" applyAlignment="1">
      <alignment horizontal="center"/>
    </xf>
    <xf numFmtId="8" fontId="9" fillId="18" borderId="57" xfId="0" applyNumberFormat="1" applyFont="1" applyFill="1" applyBorder="1" applyAlignment="1">
      <alignment horizontal="center"/>
    </xf>
    <xf numFmtId="4" fontId="0" fillId="13" borderId="23" xfId="0" applyNumberFormat="1" applyFill="1" applyBorder="1" applyAlignment="1">
      <alignment horizontal="center" textRotation="45"/>
    </xf>
    <xf numFmtId="4" fontId="0" fillId="13" borderId="39" xfId="0" applyNumberFormat="1" applyFill="1" applyBorder="1" applyAlignment="1">
      <alignment horizontal="center"/>
    </xf>
    <xf numFmtId="4" fontId="0" fillId="13" borderId="40" xfId="0" applyNumberFormat="1" applyFill="1" applyBorder="1" applyAlignment="1">
      <alignment horizontal="center"/>
    </xf>
    <xf numFmtId="4" fontId="0" fillId="13" borderId="41" xfId="0" applyNumberFormat="1" applyFill="1" applyBorder="1" applyAlignment="1">
      <alignment horizontal="center"/>
    </xf>
    <xf numFmtId="4" fontId="0" fillId="13" borderId="0" xfId="0" applyNumberFormat="1" applyFill="1" applyAlignment="1">
      <alignment horizontal="center"/>
    </xf>
    <xf numFmtId="4" fontId="0" fillId="8" borderId="1" xfId="0" applyNumberFormat="1" applyFill="1" applyBorder="1" applyAlignment="1">
      <alignment horizontal="center"/>
    </xf>
    <xf numFmtId="4" fontId="0" fillId="8" borderId="31" xfId="0" applyNumberFormat="1" applyFill="1" applyBorder="1" applyAlignment="1">
      <alignment horizontal="center"/>
    </xf>
    <xf numFmtId="164" fontId="0" fillId="13" borderId="40" xfId="0" applyNumberForma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18" borderId="23" xfId="0" applyFont="1" applyFill="1" applyBorder="1" applyAlignment="1">
      <alignment horizontal="center"/>
    </xf>
    <xf numFmtId="0" fontId="9" fillId="18" borderId="29" xfId="0" applyFont="1" applyFill="1" applyBorder="1" applyAlignment="1">
      <alignment horizontal="center" textRotation="45" wrapText="1"/>
    </xf>
    <xf numFmtId="4" fontId="9" fillId="18" borderId="8" xfId="0" applyNumberFormat="1" applyFont="1" applyFill="1" applyBorder="1" applyAlignment="1">
      <alignment horizontal="center" textRotation="45"/>
    </xf>
    <xf numFmtId="0" fontId="9" fillId="18" borderId="37" xfId="0" applyFont="1" applyFill="1" applyBorder="1" applyAlignment="1">
      <alignment horizontal="center"/>
    </xf>
    <xf numFmtId="4" fontId="9" fillId="18" borderId="34" xfId="0" applyNumberFormat="1" applyFont="1" applyFill="1" applyBorder="1" applyAlignment="1">
      <alignment horizontal="center"/>
    </xf>
    <xf numFmtId="4" fontId="9" fillId="18" borderId="21" xfId="0" applyNumberFormat="1" applyFont="1" applyFill="1" applyBorder="1" applyAlignment="1">
      <alignment horizontal="center"/>
    </xf>
    <xf numFmtId="0" fontId="9" fillId="18" borderId="38" xfId="0" applyFont="1" applyFill="1" applyBorder="1" applyAlignment="1">
      <alignment horizontal="center"/>
    </xf>
    <xf numFmtId="0" fontId="9" fillId="18" borderId="48" xfId="0" applyFont="1" applyFill="1" applyBorder="1" applyAlignment="1">
      <alignment horizontal="center"/>
    </xf>
    <xf numFmtId="4" fontId="9" fillId="18" borderId="30" xfId="0" applyNumberFormat="1" applyFont="1" applyFill="1" applyBorder="1" applyAlignment="1">
      <alignment horizontal="center"/>
    </xf>
    <xf numFmtId="4" fontId="9" fillId="18" borderId="0" xfId="0" applyNumberFormat="1" applyFont="1" applyFill="1" applyAlignment="1">
      <alignment horizontal="center"/>
    </xf>
    <xf numFmtId="0" fontId="9" fillId="18" borderId="5" xfId="0" applyFont="1" applyFill="1" applyBorder="1" applyAlignment="1">
      <alignment horizontal="center" textRotation="45"/>
    </xf>
    <xf numFmtId="0" fontId="9" fillId="18" borderId="8" xfId="0" applyFont="1" applyFill="1" applyBorder="1" applyAlignment="1">
      <alignment horizontal="center" textRotation="45"/>
    </xf>
    <xf numFmtId="8" fontId="9" fillId="18" borderId="21" xfId="0" applyNumberFormat="1" applyFont="1" applyFill="1" applyBorder="1" applyAlignment="1">
      <alignment horizontal="center"/>
    </xf>
    <xf numFmtId="0" fontId="9" fillId="18" borderId="53" xfId="0" applyFont="1" applyFill="1" applyBorder="1" applyAlignment="1">
      <alignment horizontal="center"/>
    </xf>
    <xf numFmtId="0" fontId="9" fillId="18" borderId="19" xfId="0" applyFont="1" applyFill="1" applyBorder="1" applyAlignment="1">
      <alignment horizontal="center"/>
    </xf>
    <xf numFmtId="4" fontId="9" fillId="11" borderId="23" xfId="0" applyNumberFormat="1" applyFont="1" applyFill="1" applyBorder="1" applyAlignment="1">
      <alignment horizontal="center"/>
    </xf>
    <xf numFmtId="0" fontId="0" fillId="5" borderId="66" xfId="0" applyFill="1" applyBorder="1" applyAlignment="1">
      <alignment horizontal="center" textRotation="45"/>
    </xf>
    <xf numFmtId="164" fontId="0" fillId="5" borderId="67" xfId="0" applyNumberFormat="1" applyFill="1" applyBorder="1" applyAlignment="1">
      <alignment horizontal="center" textRotation="45"/>
    </xf>
    <xf numFmtId="0" fontId="0" fillId="14" borderId="29" xfId="0" applyFill="1" applyBorder="1" applyAlignment="1">
      <alignment horizontal="center" textRotation="45"/>
    </xf>
    <xf numFmtId="164" fontId="0" fillId="11" borderId="0" xfId="0" applyNumberFormat="1" applyFill="1" applyAlignment="1">
      <alignment horizontal="center"/>
    </xf>
    <xf numFmtId="0" fontId="2" fillId="0" borderId="27" xfId="0" applyFont="1" applyBorder="1" applyAlignment="1">
      <alignment horizontal="left"/>
    </xf>
    <xf numFmtId="0" fontId="0" fillId="11" borderId="39" xfId="0" applyFill="1" applyBorder="1" applyAlignment="1">
      <alignment horizontal="center" vertical="center"/>
    </xf>
    <xf numFmtId="0" fontId="2" fillId="14" borderId="57" xfId="0" applyFont="1" applyFill="1" applyBorder="1" applyAlignment="1">
      <alignment horizontal="center"/>
    </xf>
    <xf numFmtId="164" fontId="2" fillId="14" borderId="21" xfId="0" applyNumberFormat="1" applyFont="1" applyFill="1" applyBorder="1" applyAlignment="1">
      <alignment horizontal="center"/>
    </xf>
    <xf numFmtId="0" fontId="2" fillId="13" borderId="57" xfId="0" applyFont="1" applyFill="1" applyBorder="1" applyAlignment="1">
      <alignment horizontal="center"/>
    </xf>
    <xf numFmtId="164" fontId="2" fillId="13" borderId="21" xfId="0" applyNumberFormat="1" applyFont="1" applyFill="1" applyBorder="1" applyAlignment="1">
      <alignment horizontal="center"/>
    </xf>
    <xf numFmtId="0" fontId="2" fillId="5" borderId="57" xfId="0" applyFont="1" applyFill="1" applyBorder="1" applyAlignment="1">
      <alignment horizontal="center"/>
    </xf>
    <xf numFmtId="164" fontId="2" fillId="5" borderId="21" xfId="0" applyNumberFormat="1" applyFont="1" applyFill="1" applyBorder="1" applyAlignment="1">
      <alignment horizontal="center"/>
    </xf>
    <xf numFmtId="0" fontId="2" fillId="16" borderId="57" xfId="0" applyFont="1" applyFill="1" applyBorder="1" applyAlignment="1">
      <alignment horizontal="center"/>
    </xf>
    <xf numFmtId="164" fontId="2" fillId="16" borderId="21" xfId="0" applyNumberFormat="1" applyFont="1" applyFill="1" applyBorder="1" applyAlignment="1">
      <alignment horizontal="center"/>
    </xf>
    <xf numFmtId="0" fontId="2" fillId="8" borderId="57" xfId="0" applyFont="1" applyFill="1" applyBorder="1" applyAlignment="1">
      <alignment horizontal="center"/>
    </xf>
    <xf numFmtId="164" fontId="2" fillId="8" borderId="21" xfId="0" applyNumberFormat="1" applyFont="1" applyFill="1" applyBorder="1" applyAlignment="1">
      <alignment horizontal="center"/>
    </xf>
    <xf numFmtId="0" fontId="14" fillId="18" borderId="32" xfId="0" applyFont="1" applyFill="1" applyBorder="1" applyAlignment="1">
      <alignment horizontal="center"/>
    </xf>
    <xf numFmtId="164" fontId="14" fillId="18" borderId="1" xfId="0" applyNumberFormat="1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164" fontId="2" fillId="3" borderId="21" xfId="0" applyNumberFormat="1" applyFont="1" applyFill="1" applyBorder="1" applyAlignment="1">
      <alignment horizontal="center"/>
    </xf>
    <xf numFmtId="0" fontId="2" fillId="15" borderId="57" xfId="0" applyFont="1" applyFill="1" applyBorder="1" applyAlignment="1">
      <alignment horizontal="center"/>
    </xf>
    <xf numFmtId="164" fontId="2" fillId="15" borderId="21" xfId="0" applyNumberFormat="1" applyFont="1" applyFill="1" applyBorder="1" applyAlignment="1">
      <alignment horizontal="center"/>
    </xf>
    <xf numFmtId="0" fontId="2" fillId="5" borderId="54" xfId="0" applyFont="1" applyFill="1" applyBorder="1" applyAlignment="1">
      <alignment horizontal="center"/>
    </xf>
    <xf numFmtId="164" fontId="14" fillId="18" borderId="21" xfId="0" applyNumberFormat="1" applyFont="1" applyFill="1" applyBorder="1" applyAlignment="1">
      <alignment horizontal="center"/>
    </xf>
    <xf numFmtId="0" fontId="17" fillId="18" borderId="32" xfId="0" applyFont="1" applyFill="1" applyBorder="1" applyAlignment="1">
      <alignment horizontal="center"/>
    </xf>
    <xf numFmtId="164" fontId="17" fillId="18" borderId="2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6" borderId="57" xfId="0" applyFont="1" applyFill="1" applyBorder="1" applyAlignment="1">
      <alignment horizontal="center"/>
    </xf>
    <xf numFmtId="164" fontId="2" fillId="6" borderId="21" xfId="0" applyNumberFormat="1" applyFont="1" applyFill="1" applyBorder="1" applyAlignment="1">
      <alignment horizontal="center"/>
    </xf>
    <xf numFmtId="1" fontId="2" fillId="14" borderId="57" xfId="0" applyNumberFormat="1" applyFont="1" applyFill="1" applyBorder="1" applyAlignment="1">
      <alignment horizontal="center"/>
    </xf>
    <xf numFmtId="0" fontId="14" fillId="18" borderId="57" xfId="0" applyFont="1" applyFill="1" applyBorder="1" applyAlignment="1">
      <alignment horizontal="center"/>
    </xf>
    <xf numFmtId="164" fontId="2" fillId="5" borderId="31" xfId="0" applyNumberFormat="1" applyFont="1" applyFill="1" applyBorder="1" applyAlignment="1">
      <alignment horizontal="center"/>
    </xf>
    <xf numFmtId="0" fontId="2" fillId="13" borderId="32" xfId="0" applyFont="1" applyFill="1" applyBorder="1" applyAlignment="1">
      <alignment horizontal="center"/>
    </xf>
    <xf numFmtId="164" fontId="2" fillId="13" borderId="40" xfId="0" applyNumberFormat="1" applyFont="1" applyFill="1" applyBorder="1" applyAlignment="1">
      <alignment horizontal="center"/>
    </xf>
    <xf numFmtId="164" fontId="2" fillId="3" borderId="31" xfId="0" applyNumberFormat="1" applyFont="1" applyFill="1" applyBorder="1" applyAlignment="1">
      <alignment horizontal="center"/>
    </xf>
    <xf numFmtId="0" fontId="18" fillId="5" borderId="57" xfId="0" applyFont="1" applyFill="1" applyBorder="1" applyAlignment="1">
      <alignment horizontal="center"/>
    </xf>
    <xf numFmtId="164" fontId="2" fillId="13" borderId="31" xfId="0" applyNumberFormat="1" applyFont="1" applyFill="1" applyBorder="1" applyAlignment="1">
      <alignment horizontal="center"/>
    </xf>
    <xf numFmtId="0" fontId="14" fillId="17" borderId="32" xfId="0" applyFont="1" applyFill="1" applyBorder="1" applyAlignment="1">
      <alignment horizontal="center"/>
    </xf>
    <xf numFmtId="164" fontId="14" fillId="17" borderId="21" xfId="0" applyNumberFormat="1" applyFont="1" applyFill="1" applyBorder="1" applyAlignment="1">
      <alignment horizontal="center"/>
    </xf>
    <xf numFmtId="164" fontId="2" fillId="15" borderId="61" xfId="0" applyNumberFormat="1" applyFont="1" applyFill="1" applyBorder="1" applyAlignment="1">
      <alignment horizontal="center"/>
    </xf>
    <xf numFmtId="164" fontId="2" fillId="16" borderId="61" xfId="0" applyNumberFormat="1" applyFont="1" applyFill="1" applyBorder="1" applyAlignment="1">
      <alignment horizontal="center"/>
    </xf>
    <xf numFmtId="0" fontId="0" fillId="22" borderId="23" xfId="0" applyFill="1" applyBorder="1" applyAlignment="1">
      <alignment horizontal="center"/>
    </xf>
    <xf numFmtId="0" fontId="0" fillId="22" borderId="0" xfId="0" applyFill="1" applyAlignment="1">
      <alignment horizontal="center" textRotation="45"/>
    </xf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3" borderId="2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5" borderId="54" xfId="0" applyFont="1" applyFill="1" applyBorder="1" applyAlignment="1">
      <alignment horizontal="center"/>
    </xf>
    <xf numFmtId="164" fontId="1" fillId="5" borderId="21" xfId="0" applyNumberFormat="1" applyFont="1" applyFill="1" applyBorder="1" applyAlignment="1">
      <alignment horizontal="center"/>
    </xf>
    <xf numFmtId="0" fontId="1" fillId="14" borderId="57" xfId="0" applyFont="1" applyFill="1" applyBorder="1" applyAlignment="1">
      <alignment horizontal="center"/>
    </xf>
    <xf numFmtId="164" fontId="1" fillId="14" borderId="21" xfId="0" applyNumberFormat="1" applyFont="1" applyFill="1" applyBorder="1" applyAlignment="1">
      <alignment horizontal="center"/>
    </xf>
    <xf numFmtId="0" fontId="1" fillId="15" borderId="57" xfId="0" applyFont="1" applyFill="1" applyBorder="1" applyAlignment="1">
      <alignment horizontal="center"/>
    </xf>
    <xf numFmtId="164" fontId="1" fillId="15" borderId="21" xfId="0" applyNumberFormat="1" applyFont="1" applyFill="1" applyBorder="1" applyAlignment="1">
      <alignment horizontal="center"/>
    </xf>
    <xf numFmtId="0" fontId="1" fillId="3" borderId="57" xfId="0" applyFont="1" applyFill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0" fontId="1" fillId="16" borderId="57" xfId="0" applyFont="1" applyFill="1" applyBorder="1" applyAlignment="1">
      <alignment horizontal="center"/>
    </xf>
    <xf numFmtId="164" fontId="1" fillId="16" borderId="21" xfId="0" applyNumberFormat="1" applyFont="1" applyFill="1" applyBorder="1" applyAlignment="1">
      <alignment horizontal="center"/>
    </xf>
    <xf numFmtId="0" fontId="19" fillId="18" borderId="32" xfId="0" applyFont="1" applyFill="1" applyBorder="1" applyAlignment="1">
      <alignment horizontal="center"/>
    </xf>
    <xf numFmtId="164" fontId="19" fillId="18" borderId="21" xfId="0" applyNumberFormat="1" applyFont="1" applyFill="1" applyBorder="1" applyAlignment="1">
      <alignment horizontal="center"/>
    </xf>
    <xf numFmtId="0" fontId="2" fillId="14" borderId="54" xfId="0" applyFont="1" applyFill="1" applyBorder="1" applyAlignment="1">
      <alignment horizontal="center"/>
    </xf>
    <xf numFmtId="8" fontId="2" fillId="5" borderId="21" xfId="0" applyNumberFormat="1" applyFont="1" applyFill="1" applyBorder="1" applyAlignment="1">
      <alignment horizontal="center"/>
    </xf>
    <xf numFmtId="0" fontId="2" fillId="16" borderId="57" xfId="0" applyFont="1" applyFill="1" applyBorder="1" applyAlignment="1">
      <alignment horizontal="center" vertical="center"/>
    </xf>
    <xf numFmtId="8" fontId="2" fillId="14" borderId="21" xfId="0" applyNumberFormat="1" applyFont="1" applyFill="1" applyBorder="1" applyAlignment="1">
      <alignment horizontal="center"/>
    </xf>
    <xf numFmtId="164" fontId="2" fillId="14" borderId="31" xfId="0" applyNumberFormat="1" applyFont="1" applyFill="1" applyBorder="1" applyAlignment="1">
      <alignment horizontal="center"/>
    </xf>
    <xf numFmtId="8" fontId="2" fillId="8" borderId="21" xfId="0" applyNumberFormat="1" applyFont="1" applyFill="1" applyBorder="1" applyAlignment="1">
      <alignment horizontal="center"/>
    </xf>
    <xf numFmtId="8" fontId="2" fillId="16" borderId="21" xfId="0" applyNumberFormat="1" applyFont="1" applyFill="1" applyBorder="1" applyAlignment="1">
      <alignment horizontal="center"/>
    </xf>
    <xf numFmtId="0" fontId="18" fillId="5" borderId="53" xfId="0" applyFont="1" applyFill="1" applyBorder="1" applyAlignment="1">
      <alignment horizontal="center"/>
    </xf>
    <xf numFmtId="164" fontId="0" fillId="16" borderId="19" xfId="0" applyNumberFormat="1" applyFill="1" applyBorder="1" applyAlignment="1">
      <alignment horizontal="center"/>
    </xf>
    <xf numFmtId="0" fontId="21" fillId="17" borderId="5" xfId="0" applyFont="1" applyFill="1" applyBorder="1" applyAlignment="1">
      <alignment horizontal="center" textRotation="45" wrapText="1"/>
    </xf>
    <xf numFmtId="0" fontId="14" fillId="19" borderId="57" xfId="0" applyFont="1" applyFill="1" applyBorder="1" applyAlignment="1">
      <alignment horizontal="center"/>
    </xf>
    <xf numFmtId="164" fontId="14" fillId="19" borderId="21" xfId="0" applyNumberFormat="1" applyFont="1" applyFill="1" applyBorder="1" applyAlignment="1">
      <alignment horizontal="center"/>
    </xf>
    <xf numFmtId="0" fontId="2" fillId="15" borderId="56" xfId="0" applyFont="1" applyFill="1" applyBorder="1" applyAlignment="1">
      <alignment horizontal="center"/>
    </xf>
    <xf numFmtId="164" fontId="2" fillId="15" borderId="60" xfId="0" applyNumberFormat="1" applyFont="1" applyFill="1" applyBorder="1" applyAlignment="1">
      <alignment horizontal="center"/>
    </xf>
    <xf numFmtId="0" fontId="2" fillId="14" borderId="56" xfId="0" applyFont="1" applyFill="1" applyBorder="1" applyAlignment="1">
      <alignment horizontal="center"/>
    </xf>
    <xf numFmtId="164" fontId="2" fillId="14" borderId="51" xfId="0" applyNumberFormat="1" applyFont="1" applyFill="1" applyBorder="1" applyAlignment="1">
      <alignment horizontal="center"/>
    </xf>
    <xf numFmtId="0" fontId="2" fillId="16" borderId="56" xfId="0" applyFont="1" applyFill="1" applyBorder="1" applyAlignment="1">
      <alignment horizontal="center"/>
    </xf>
    <xf numFmtId="164" fontId="2" fillId="16" borderId="6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14" borderId="53" xfId="0" applyFont="1" applyFill="1" applyBorder="1" applyAlignment="1">
      <alignment horizontal="center"/>
    </xf>
    <xf numFmtId="0" fontId="2" fillId="5" borderId="57" xfId="0" applyFont="1" applyFill="1" applyBorder="1" applyAlignment="1">
      <alignment horizontal="center" vertical="center"/>
    </xf>
    <xf numFmtId="0" fontId="14" fillId="17" borderId="57" xfId="0" applyFont="1" applyFill="1" applyBorder="1" applyAlignment="1">
      <alignment horizontal="center"/>
    </xf>
    <xf numFmtId="0" fontId="2" fillId="20" borderId="57" xfId="0" applyFont="1" applyFill="1" applyBorder="1" applyAlignment="1">
      <alignment horizontal="center"/>
    </xf>
    <xf numFmtId="164" fontId="2" fillId="20" borderId="31" xfId="0" applyNumberFormat="1" applyFont="1" applyFill="1" applyBorder="1" applyAlignment="1">
      <alignment horizontal="center"/>
    </xf>
    <xf numFmtId="164" fontId="2" fillId="16" borderId="31" xfId="0" applyNumberFormat="1" applyFont="1" applyFill="1" applyBorder="1" applyAlignment="1">
      <alignment horizontal="center"/>
    </xf>
    <xf numFmtId="0" fontId="18" fillId="14" borderId="57" xfId="0" applyFont="1" applyFill="1" applyBorder="1" applyAlignment="1">
      <alignment horizontal="center"/>
    </xf>
    <xf numFmtId="0" fontId="18" fillId="16" borderId="57" xfId="0" applyFont="1" applyFill="1" applyBorder="1" applyAlignment="1">
      <alignment horizontal="center"/>
    </xf>
    <xf numFmtId="164" fontId="22" fillId="14" borderId="31" xfId="0" applyNumberFormat="1" applyFont="1" applyFill="1" applyBorder="1" applyAlignment="1">
      <alignment horizontal="center"/>
    </xf>
    <xf numFmtId="8" fontId="23" fillId="5" borderId="2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164" fontId="0" fillId="2" borderId="31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164" fontId="9" fillId="2" borderId="21" xfId="0" applyNumberFormat="1" applyFont="1" applyFill="1" applyBorder="1" applyAlignment="1">
      <alignment horizontal="center"/>
    </xf>
    <xf numFmtId="0" fontId="0" fillId="11" borderId="0" xfId="0" applyFill="1" applyAlignment="1">
      <alignment horizontal="center" textRotation="45"/>
    </xf>
    <xf numFmtId="0" fontId="0" fillId="0" borderId="69" xfId="0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70" xfId="0" applyFont="1" applyBorder="1" applyAlignment="1">
      <alignment horizontal="left"/>
    </xf>
    <xf numFmtId="8" fontId="0" fillId="13" borderId="21" xfId="0" applyNumberForma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64" fontId="2" fillId="16" borderId="19" xfId="0" applyNumberFormat="1" applyFont="1" applyFill="1" applyBorder="1" applyAlignment="1">
      <alignment horizontal="center"/>
    </xf>
    <xf numFmtId="164" fontId="2" fillId="5" borderId="57" xfId="0" applyNumberFormat="1" applyFont="1" applyFill="1" applyBorder="1" applyAlignment="1">
      <alignment horizontal="center"/>
    </xf>
    <xf numFmtId="0" fontId="18" fillId="13" borderId="57" xfId="0" applyFont="1" applyFill="1" applyBorder="1" applyAlignment="1">
      <alignment horizontal="center"/>
    </xf>
    <xf numFmtId="0" fontId="18" fillId="8" borderId="57" xfId="0" applyFont="1" applyFill="1" applyBorder="1" applyAlignment="1">
      <alignment horizontal="center"/>
    </xf>
    <xf numFmtId="0" fontId="2" fillId="16" borderId="21" xfId="0" applyFont="1" applyFill="1" applyBorder="1" applyAlignment="1">
      <alignment horizontal="center"/>
    </xf>
    <xf numFmtId="8" fontId="0" fillId="8" borderId="21" xfId="0" applyNumberFormat="1" applyFill="1" applyBorder="1" applyAlignment="1">
      <alignment horizontal="center"/>
    </xf>
    <xf numFmtId="164" fontId="2" fillId="6" borderId="31" xfId="0" applyNumberFormat="1" applyFont="1" applyFill="1" applyBorder="1" applyAlignment="1">
      <alignment horizontal="center"/>
    </xf>
    <xf numFmtId="8" fontId="24" fillId="5" borderId="21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8" fontId="2" fillId="13" borderId="21" xfId="0" applyNumberFormat="1" applyFont="1" applyFill="1" applyBorder="1" applyAlignment="1">
      <alignment horizontal="center"/>
    </xf>
    <xf numFmtId="164" fontId="23" fillId="14" borderId="3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8" fontId="2" fillId="15" borderId="61" xfId="0" applyNumberFormat="1" applyFont="1" applyFill="1" applyBorder="1" applyAlignment="1">
      <alignment horizontal="center"/>
    </xf>
    <xf numFmtId="164" fontId="0" fillId="13" borderId="8" xfId="0" applyNumberFormat="1" applyFill="1" applyBorder="1" applyAlignment="1">
      <alignment horizontal="center" textRotation="45"/>
    </xf>
    <xf numFmtId="164" fontId="0" fillId="13" borderId="19" xfId="0" applyNumberFormat="1" applyFill="1" applyBorder="1" applyAlignment="1">
      <alignment horizontal="center"/>
    </xf>
    <xf numFmtId="164" fontId="8" fillId="5" borderId="61" xfId="0" applyNumberFormat="1" applyFont="1" applyFill="1" applyBorder="1" applyAlignment="1">
      <alignment horizontal="center"/>
    </xf>
    <xf numFmtId="164" fontId="0" fillId="5" borderId="51" xfId="0" applyNumberFormat="1" applyFill="1" applyBorder="1" applyAlignment="1">
      <alignment horizontal="center" textRotation="45"/>
    </xf>
    <xf numFmtId="164" fontId="0" fillId="5" borderId="21" xfId="0" applyNumberFormat="1" applyFill="1" applyBorder="1" applyAlignment="1">
      <alignment horizontal="center" vertical="center" indent="1"/>
    </xf>
    <xf numFmtId="164" fontId="0" fillId="5" borderId="21" xfId="0" applyNumberFormat="1" applyFill="1" applyBorder="1" applyAlignment="1">
      <alignment horizontal="center" vertical="top" indent="1"/>
    </xf>
    <xf numFmtId="164" fontId="0" fillId="5" borderId="19" xfId="0" applyNumberFormat="1" applyFill="1" applyBorder="1" applyAlignment="1">
      <alignment horizontal="center"/>
    </xf>
    <xf numFmtId="164" fontId="0" fillId="13" borderId="59" xfId="0" applyNumberFormat="1" applyFill="1" applyBorder="1" applyAlignment="1">
      <alignment horizontal="center" textRotation="45"/>
    </xf>
    <xf numFmtId="164" fontId="2" fillId="13" borderId="57" xfId="0" applyNumberFormat="1" applyFont="1" applyFill="1" applyBorder="1" applyAlignment="1">
      <alignment horizontal="center"/>
    </xf>
    <xf numFmtId="164" fontId="0" fillId="16" borderId="51" xfId="0" applyNumberFormat="1" applyFill="1" applyBorder="1" applyAlignment="1">
      <alignment horizontal="center" textRotation="45"/>
    </xf>
    <xf numFmtId="164" fontId="0" fillId="14" borderId="59" xfId="0" applyNumberFormat="1" applyFill="1" applyBorder="1" applyAlignment="1">
      <alignment horizontal="center" textRotation="45"/>
    </xf>
    <xf numFmtId="164" fontId="0" fillId="8" borderId="59" xfId="0" applyNumberFormat="1" applyFill="1" applyBorder="1" applyAlignment="1">
      <alignment horizontal="center" textRotation="45"/>
    </xf>
    <xf numFmtId="164" fontId="0" fillId="8" borderId="19" xfId="0" applyNumberForma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164" fontId="14" fillId="2" borderId="21" xfId="0" applyNumberFormat="1" applyFont="1" applyFill="1" applyBorder="1" applyAlignment="1">
      <alignment horizontal="center"/>
    </xf>
    <xf numFmtId="0" fontId="16" fillId="0" borderId="65" xfId="0" applyFont="1" applyBorder="1"/>
    <xf numFmtId="0" fontId="16" fillId="0" borderId="1" xfId="0" applyFont="1" applyBorder="1"/>
    <xf numFmtId="0" fontId="16" fillId="0" borderId="25" xfId="0" applyFont="1" applyBorder="1"/>
    <xf numFmtId="0" fontId="16" fillId="0" borderId="30" xfId="0" applyFont="1" applyBorder="1"/>
    <xf numFmtId="0" fontId="16" fillId="0" borderId="26" xfId="0" applyFont="1" applyBorder="1"/>
    <xf numFmtId="0" fontId="16" fillId="0" borderId="27" xfId="0" applyFont="1" applyBorder="1"/>
    <xf numFmtId="0" fontId="16" fillId="0" borderId="57" xfId="0" applyFont="1" applyBorder="1"/>
    <xf numFmtId="0" fontId="16" fillId="0" borderId="58" xfId="0" applyFont="1" applyBorder="1"/>
    <xf numFmtId="0" fontId="16" fillId="0" borderId="28" xfId="0" applyFont="1" applyBorder="1"/>
    <xf numFmtId="0" fontId="16" fillId="0" borderId="2" xfId="0" applyFont="1" applyBorder="1"/>
    <xf numFmtId="0" fontId="16" fillId="0" borderId="47" xfId="0" applyFont="1" applyBorder="1"/>
    <xf numFmtId="14" fontId="0" fillId="0" borderId="0" xfId="0" applyNumberFormat="1"/>
    <xf numFmtId="0" fontId="25" fillId="0" borderId="68" xfId="0" applyFont="1" applyBorder="1" applyAlignment="1">
      <alignment horizontal="left"/>
    </xf>
    <xf numFmtId="0" fontId="26" fillId="4" borderId="5" xfId="0" applyFont="1" applyFill="1" applyBorder="1" applyAlignment="1">
      <alignment horizontal="center" textRotation="45"/>
    </xf>
    <xf numFmtId="0" fontId="26" fillId="2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0" borderId="5" xfId="0" applyFont="1" applyBorder="1" applyAlignment="1">
      <alignment horizontal="center" textRotation="45"/>
    </xf>
    <xf numFmtId="0" fontId="29" fillId="2" borderId="1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/>
    </xf>
    <xf numFmtId="0" fontId="29" fillId="6" borderId="2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30" fillId="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7" fillId="2" borderId="0" xfId="0" applyFont="1" applyFill="1"/>
    <xf numFmtId="164" fontId="2" fillId="5" borderId="21" xfId="0" applyNumberFormat="1" applyFont="1" applyFill="1" applyBorder="1" applyAlignment="1">
      <alignment horizontal="center" vertical="center" indent="1"/>
    </xf>
    <xf numFmtId="164" fontId="2" fillId="5" borderId="21" xfId="0" applyNumberFormat="1" applyFont="1" applyFill="1" applyBorder="1" applyAlignment="1">
      <alignment horizontal="center" vertical="top" indent="1"/>
    </xf>
    <xf numFmtId="164" fontId="23" fillId="14" borderId="21" xfId="0" applyNumberFormat="1" applyFont="1" applyFill="1" applyBorder="1" applyAlignment="1">
      <alignment horizontal="center"/>
    </xf>
    <xf numFmtId="4" fontId="2" fillId="16" borderId="21" xfId="0" applyNumberFormat="1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3" fillId="14" borderId="31" xfId="0" applyNumberFormat="1" applyFont="1" applyFill="1" applyBorder="1" applyAlignment="1">
      <alignment horizontal="center"/>
    </xf>
    <xf numFmtId="0" fontId="34" fillId="0" borderId="0" xfId="0" applyFont="1"/>
    <xf numFmtId="0" fontId="35" fillId="0" borderId="0" xfId="0" applyFont="1"/>
    <xf numFmtId="0" fontId="25" fillId="0" borderId="1" xfId="0" applyFont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0" fillId="16" borderId="71" xfId="0" applyFill="1" applyBorder="1" applyAlignment="1">
      <alignment horizontal="center"/>
    </xf>
    <xf numFmtId="0" fontId="0" fillId="14" borderId="71" xfId="0" applyFill="1" applyBorder="1" applyAlignment="1">
      <alignment horizontal="center"/>
    </xf>
    <xf numFmtId="0" fontId="2" fillId="13" borderId="71" xfId="0" applyFont="1" applyFill="1" applyBorder="1" applyAlignment="1">
      <alignment horizontal="center"/>
    </xf>
    <xf numFmtId="164" fontId="2" fillId="13" borderId="71" xfId="0" applyNumberFormat="1" applyFont="1" applyFill="1" applyBorder="1" applyAlignment="1">
      <alignment horizontal="center"/>
    </xf>
    <xf numFmtId="0" fontId="2" fillId="8" borderId="32" xfId="0" applyFont="1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14" borderId="72" xfId="0" applyFill="1" applyBorder="1" applyAlignment="1">
      <alignment horizontal="center"/>
    </xf>
    <xf numFmtId="4" fontId="16" fillId="0" borderId="1" xfId="0" applyNumberFormat="1" applyFont="1" applyBorder="1"/>
    <xf numFmtId="0" fontId="36" fillId="0" borderId="0" xfId="0" applyFont="1"/>
    <xf numFmtId="0" fontId="36" fillId="6" borderId="0" xfId="0" applyFont="1" applyFill="1" applyAlignment="1">
      <alignment horizontal="center"/>
    </xf>
    <xf numFmtId="0" fontId="22" fillId="6" borderId="0" xfId="0" applyFont="1" applyFill="1"/>
    <xf numFmtId="0" fontId="22" fillId="0" borderId="0" xfId="0" applyFont="1"/>
    <xf numFmtId="164" fontId="8" fillId="14" borderId="31" xfId="0" applyNumberFormat="1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/>
    </xf>
    <xf numFmtId="0" fontId="8" fillId="5" borderId="59" xfId="0" applyFont="1" applyFill="1" applyBorder="1" applyAlignment="1">
      <alignment horizontal="center" textRotation="45"/>
    </xf>
    <xf numFmtId="0" fontId="8" fillId="5" borderId="21" xfId="0" applyFont="1" applyFill="1" applyBorder="1" applyAlignment="1">
      <alignment horizontal="center"/>
    </xf>
    <xf numFmtId="8" fontId="18" fillId="5" borderId="21" xfId="0" applyNumberFormat="1" applyFont="1" applyFill="1" applyBorder="1" applyAlignment="1">
      <alignment horizontal="center"/>
    </xf>
    <xf numFmtId="8" fontId="8" fillId="5" borderId="21" xfId="0" applyNumberFormat="1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2" fontId="2" fillId="16" borderId="21" xfId="0" applyNumberFormat="1" applyFont="1" applyFill="1" applyBorder="1" applyAlignment="1">
      <alignment horizontal="center"/>
    </xf>
    <xf numFmtId="164" fontId="24" fillId="14" borderId="31" xfId="0" applyNumberFormat="1" applyFont="1" applyFill="1" applyBorder="1" applyAlignment="1">
      <alignment horizontal="center"/>
    </xf>
    <xf numFmtId="0" fontId="8" fillId="6" borderId="57" xfId="0" applyFont="1" applyFill="1" applyBorder="1" applyAlignment="1">
      <alignment horizontal="center"/>
    </xf>
    <xf numFmtId="0" fontId="8" fillId="6" borderId="53" xfId="0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4" borderId="21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6" fontId="0" fillId="13" borderId="21" xfId="0" applyNumberFormat="1" applyFill="1" applyBorder="1" applyAlignment="1">
      <alignment horizontal="center"/>
    </xf>
    <xf numFmtId="0" fontId="0" fillId="16" borderId="74" xfId="0" applyFill="1" applyBorder="1" applyAlignment="1">
      <alignment horizontal="center"/>
    </xf>
    <xf numFmtId="0" fontId="0" fillId="16" borderId="75" xfId="0" applyFill="1" applyBorder="1" applyAlignment="1">
      <alignment horizontal="center"/>
    </xf>
    <xf numFmtId="0" fontId="0" fillId="16" borderId="76" xfId="0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0" fontId="22" fillId="14" borderId="57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8" borderId="39" xfId="0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49" fontId="2" fillId="0" borderId="1" xfId="0" applyNumberFormat="1" applyFont="1" applyBorder="1" applyAlignment="1">
      <alignment textRotation="45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0" fillId="5" borderId="57" xfId="0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/>
    </xf>
    <xf numFmtId="0" fontId="0" fillId="7" borderId="57" xfId="0" applyFill="1" applyBorder="1" applyAlignment="1">
      <alignment horizontal="center" wrapText="1"/>
    </xf>
    <xf numFmtId="0" fontId="0" fillId="7" borderId="21" xfId="0" applyFill="1" applyBorder="1" applyAlignment="1">
      <alignment horizontal="center"/>
    </xf>
    <xf numFmtId="8" fontId="0" fillId="0" borderId="0" xfId="0" applyNumberForma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22" borderId="0" xfId="0" applyFont="1" applyFill="1" applyAlignment="1">
      <alignment horizontal="center"/>
    </xf>
    <xf numFmtId="164" fontId="2" fillId="5" borderId="21" xfId="0" applyNumberFormat="1" applyFont="1" applyFill="1" applyBorder="1" applyAlignment="1">
      <alignment horizontal="center" vertical="center"/>
    </xf>
    <xf numFmtId="8" fontId="2" fillId="6" borderId="2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31" xfId="0" applyNumberFormat="1" applyFont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2" fillId="3" borderId="31" xfId="0" applyNumberFormat="1" applyFont="1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164" fontId="14" fillId="17" borderId="0" xfId="0" applyNumberFormat="1" applyFont="1" applyFill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14" fillId="6" borderId="1" xfId="0" applyFont="1" applyFill="1" applyBorder="1" applyAlignment="1">
      <alignment horizontal="center"/>
    </xf>
    <xf numFmtId="4" fontId="0" fillId="14" borderId="21" xfId="0" applyNumberFormat="1" applyFill="1" applyBorder="1" applyAlignment="1">
      <alignment horizontal="center"/>
    </xf>
    <xf numFmtId="49" fontId="0" fillId="14" borderId="21" xfId="0" applyNumberFormat="1" applyFill="1" applyBorder="1" applyAlignment="1">
      <alignment horizontal="center"/>
    </xf>
    <xf numFmtId="0" fontId="0" fillId="11" borderId="77" xfId="0" applyFill="1" applyBorder="1" applyAlignment="1">
      <alignment horizontal="center"/>
    </xf>
    <xf numFmtId="0" fontId="29" fillId="11" borderId="77" xfId="0" applyFont="1" applyFill="1" applyBorder="1" applyAlignment="1">
      <alignment horizontal="center"/>
    </xf>
    <xf numFmtId="0" fontId="32" fillId="6" borderId="78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35" fillId="6" borderId="78" xfId="0" applyFont="1" applyFill="1" applyBorder="1"/>
    <xf numFmtId="0" fontId="26" fillId="0" borderId="2" xfId="0" applyFont="1" applyBorder="1" applyAlignment="1">
      <alignment horizontal="center"/>
    </xf>
    <xf numFmtId="0" fontId="26" fillId="11" borderId="1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4" fillId="11" borderId="1" xfId="0" applyFont="1" applyFill="1" applyBorder="1" applyAlignment="1">
      <alignment horizontal="center"/>
    </xf>
    <xf numFmtId="0" fontId="9" fillId="18" borderId="71" xfId="0" applyFont="1" applyFill="1" applyBorder="1" applyAlignment="1">
      <alignment horizontal="center"/>
    </xf>
    <xf numFmtId="164" fontId="9" fillId="18" borderId="71" xfId="0" applyNumberFormat="1" applyFont="1" applyFill="1" applyBorder="1" applyAlignment="1">
      <alignment horizontal="center"/>
    </xf>
    <xf numFmtId="8" fontId="9" fillId="18" borderId="71" xfId="0" applyNumberFormat="1" applyFont="1" applyFill="1" applyBorder="1" applyAlignment="1">
      <alignment horizontal="center"/>
    </xf>
    <xf numFmtId="164" fontId="14" fillId="18" borderId="71" xfId="0" applyNumberFormat="1" applyFont="1" applyFill="1" applyBorder="1" applyAlignment="1">
      <alignment horizontal="center"/>
    </xf>
    <xf numFmtId="4" fontId="9" fillId="18" borderId="71" xfId="0" applyNumberFormat="1" applyFont="1" applyFill="1" applyBorder="1" applyAlignment="1">
      <alignment horizontal="center"/>
    </xf>
    <xf numFmtId="0" fontId="9" fillId="18" borderId="79" xfId="0" applyFont="1" applyFill="1" applyBorder="1" applyAlignment="1">
      <alignment horizontal="center"/>
    </xf>
    <xf numFmtId="0" fontId="14" fillId="18" borderId="79" xfId="0" applyFont="1" applyFill="1" applyBorder="1" applyAlignment="1">
      <alignment horizontal="center"/>
    </xf>
    <xf numFmtId="0" fontId="0" fillId="16" borderId="80" xfId="0" applyFill="1" applyBorder="1" applyAlignment="1">
      <alignment horizontal="center"/>
    </xf>
    <xf numFmtId="0" fontId="0" fillId="14" borderId="80" xfId="0" applyFill="1" applyBorder="1" applyAlignment="1">
      <alignment horizontal="center"/>
    </xf>
    <xf numFmtId="0" fontId="2" fillId="13" borderId="80" xfId="0" applyFont="1" applyFill="1" applyBorder="1" applyAlignment="1">
      <alignment horizontal="center"/>
    </xf>
    <xf numFmtId="164" fontId="2" fillId="13" borderId="80" xfId="0" applyNumberFormat="1" applyFont="1" applyFill="1" applyBorder="1" applyAlignment="1">
      <alignment horizontal="center"/>
    </xf>
    <xf numFmtId="0" fontId="2" fillId="8" borderId="36" xfId="0" applyFont="1" applyFill="1" applyBorder="1" applyAlignment="1">
      <alignment horizontal="center"/>
    </xf>
    <xf numFmtId="164" fontId="2" fillId="8" borderId="73" xfId="0" applyNumberFormat="1" applyFont="1" applyFill="1" applyBorder="1" applyAlignment="1">
      <alignment horizontal="center"/>
    </xf>
    <xf numFmtId="0" fontId="0" fillId="16" borderId="81" xfId="0" applyFill="1" applyBorder="1" applyAlignment="1">
      <alignment horizontal="center"/>
    </xf>
    <xf numFmtId="0" fontId="0" fillId="14" borderId="81" xfId="0" applyFill="1" applyBorder="1" applyAlignment="1">
      <alignment horizontal="center"/>
    </xf>
    <xf numFmtId="0" fontId="2" fillId="13" borderId="81" xfId="0" applyFont="1" applyFill="1" applyBorder="1" applyAlignment="1">
      <alignment horizontal="center"/>
    </xf>
    <xf numFmtId="164" fontId="2" fillId="13" borderId="81" xfId="0" applyNumberFormat="1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164" fontId="2" fillId="8" borderId="51" xfId="0" applyNumberFormat="1" applyFont="1" applyFill="1" applyBorder="1" applyAlignment="1">
      <alignment horizontal="center"/>
    </xf>
    <xf numFmtId="0" fontId="2" fillId="13" borderId="82" xfId="0" applyFont="1" applyFill="1" applyBorder="1" applyAlignment="1">
      <alignment horizontal="center"/>
    </xf>
    <xf numFmtId="164" fontId="2" fillId="13" borderId="82" xfId="0" applyNumberFormat="1" applyFont="1" applyFill="1" applyBorder="1" applyAlignment="1">
      <alignment horizontal="center"/>
    </xf>
    <xf numFmtId="0" fontId="0" fillId="13" borderId="83" xfId="0" applyFill="1" applyBorder="1" applyAlignment="1">
      <alignment horizontal="center"/>
    </xf>
    <xf numFmtId="164" fontId="0" fillId="13" borderId="84" xfId="0" applyNumberFormat="1" applyFill="1" applyBorder="1" applyAlignment="1">
      <alignment horizontal="center"/>
    </xf>
    <xf numFmtId="0" fontId="2" fillId="13" borderId="83" xfId="0" applyFont="1" applyFill="1" applyBorder="1" applyAlignment="1">
      <alignment horizontal="center"/>
    </xf>
    <xf numFmtId="164" fontId="0" fillId="13" borderId="61" xfId="0" applyNumberFormat="1" applyFill="1" applyBorder="1" applyAlignment="1">
      <alignment horizontal="center"/>
    </xf>
    <xf numFmtId="164" fontId="2" fillId="13" borderId="61" xfId="0" applyNumberFormat="1" applyFont="1" applyFill="1" applyBorder="1" applyAlignment="1">
      <alignment horizontal="center"/>
    </xf>
    <xf numFmtId="0" fontId="0" fillId="14" borderId="76" xfId="0" applyFill="1" applyBorder="1" applyAlignment="1">
      <alignment horizontal="center"/>
    </xf>
    <xf numFmtId="0" fontId="0" fillId="5" borderId="84" xfId="0" applyFill="1" applyBorder="1" applyAlignment="1">
      <alignment horizontal="center"/>
    </xf>
    <xf numFmtId="164" fontId="0" fillId="5" borderId="61" xfId="0" applyNumberFormat="1" applyFill="1" applyBorder="1" applyAlignment="1">
      <alignment horizontal="center"/>
    </xf>
    <xf numFmtId="0" fontId="0" fillId="16" borderId="85" xfId="0" applyFill="1" applyBorder="1" applyAlignment="1">
      <alignment horizontal="center"/>
    </xf>
    <xf numFmtId="0" fontId="0" fillId="16" borderId="86" xfId="0" applyFill="1" applyBorder="1" applyAlignment="1">
      <alignment horizontal="center"/>
    </xf>
    <xf numFmtId="0" fontId="0" fillId="16" borderId="87" xfId="0" applyFill="1" applyBorder="1" applyAlignment="1">
      <alignment horizontal="center"/>
    </xf>
    <xf numFmtId="0" fontId="0" fillId="16" borderId="88" xfId="0" applyFill="1" applyBorder="1" applyAlignment="1">
      <alignment horizontal="center"/>
    </xf>
    <xf numFmtId="0" fontId="2" fillId="16" borderId="85" xfId="0" applyFont="1" applyFill="1" applyBorder="1" applyAlignment="1">
      <alignment horizontal="center"/>
    </xf>
    <xf numFmtId="0" fontId="2" fillId="16" borderId="86" xfId="0" applyFont="1" applyFill="1" applyBorder="1" applyAlignment="1">
      <alignment horizontal="center"/>
    </xf>
    <xf numFmtId="0" fontId="0" fillId="14" borderId="85" xfId="0" applyFill="1" applyBorder="1" applyAlignment="1">
      <alignment horizontal="center"/>
    </xf>
    <xf numFmtId="0" fontId="0" fillId="14" borderId="86" xfId="0" applyFill="1" applyBorder="1" applyAlignment="1">
      <alignment horizontal="center"/>
    </xf>
    <xf numFmtId="0" fontId="0" fillId="14" borderId="87" xfId="0" applyFill="1" applyBorder="1" applyAlignment="1">
      <alignment horizontal="center"/>
    </xf>
    <xf numFmtId="0" fontId="2" fillId="14" borderId="85" xfId="0" applyFont="1" applyFill="1" applyBorder="1" applyAlignment="1">
      <alignment horizontal="center"/>
    </xf>
    <xf numFmtId="164" fontId="0" fillId="16" borderId="88" xfId="0" applyNumberFormat="1" applyFill="1" applyBorder="1" applyAlignment="1">
      <alignment horizontal="center"/>
    </xf>
    <xf numFmtId="8" fontId="0" fillId="16" borderId="88" xfId="0" applyNumberFormat="1" applyFill="1" applyBorder="1" applyAlignment="1">
      <alignment horizontal="center"/>
    </xf>
    <xf numFmtId="8" fontId="0" fillId="16" borderId="93" xfId="0" applyNumberFormat="1" applyFill="1" applyBorder="1" applyAlignment="1">
      <alignment horizontal="center"/>
    </xf>
    <xf numFmtId="164" fontId="2" fillId="16" borderId="92" xfId="0" applyNumberFormat="1" applyFont="1" applyFill="1" applyBorder="1" applyAlignment="1">
      <alignment horizontal="center"/>
    </xf>
    <xf numFmtId="164" fontId="2" fillId="16" borderId="88" xfId="0" applyNumberFormat="1" applyFont="1" applyFill="1" applyBorder="1" applyAlignment="1">
      <alignment horizontal="center"/>
    </xf>
    <xf numFmtId="4" fontId="0" fillId="16" borderId="88" xfId="0" applyNumberFormat="1" applyFill="1" applyBorder="1" applyAlignment="1">
      <alignment horizontal="center"/>
    </xf>
    <xf numFmtId="8" fontId="2" fillId="14" borderId="85" xfId="0" applyNumberFormat="1" applyFont="1" applyFill="1" applyBorder="1" applyAlignment="1">
      <alignment horizontal="center"/>
    </xf>
    <xf numFmtId="0" fontId="0" fillId="14" borderId="92" xfId="0" applyFill="1" applyBorder="1" applyAlignment="1">
      <alignment horizontal="center"/>
    </xf>
    <xf numFmtId="0" fontId="0" fillId="14" borderId="88" xfId="0" applyFill="1" applyBorder="1" applyAlignment="1">
      <alignment horizontal="center"/>
    </xf>
    <xf numFmtId="0" fontId="0" fillId="14" borderId="93" xfId="0" applyFill="1" applyBorder="1" applyAlignment="1">
      <alignment horizontal="center"/>
    </xf>
    <xf numFmtId="0" fontId="2" fillId="14" borderId="92" xfId="0" applyFont="1" applyFill="1" applyBorder="1" applyAlignment="1">
      <alignment horizontal="center"/>
    </xf>
    <xf numFmtId="8" fontId="0" fillId="14" borderId="88" xfId="0" applyNumberFormat="1" applyFill="1" applyBorder="1" applyAlignment="1">
      <alignment horizontal="center"/>
    </xf>
    <xf numFmtId="0" fontId="23" fillId="14" borderId="88" xfId="0" applyFont="1" applyFill="1" applyBorder="1" applyAlignment="1">
      <alignment horizontal="center"/>
    </xf>
    <xf numFmtId="0" fontId="0" fillId="13" borderId="85" xfId="0" applyFill="1" applyBorder="1" applyAlignment="1">
      <alignment horizontal="center"/>
    </xf>
    <xf numFmtId="0" fontId="0" fillId="13" borderId="86" xfId="0" applyFill="1" applyBorder="1" applyAlignment="1">
      <alignment horizontal="center"/>
    </xf>
    <xf numFmtId="0" fontId="0" fillId="13" borderId="87" xfId="0" applyFill="1" applyBorder="1" applyAlignment="1">
      <alignment horizontal="center"/>
    </xf>
    <xf numFmtId="0" fontId="2" fillId="13" borderId="85" xfId="0" applyFont="1" applyFill="1" applyBorder="1" applyAlignment="1">
      <alignment horizontal="center"/>
    </xf>
    <xf numFmtId="0" fontId="0" fillId="8" borderId="85" xfId="0" applyFill="1" applyBorder="1" applyAlignment="1">
      <alignment horizontal="center"/>
    </xf>
    <xf numFmtId="0" fontId="0" fillId="8" borderId="89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8" borderId="90" xfId="0" applyFill="1" applyBorder="1" applyAlignment="1">
      <alignment horizontal="center"/>
    </xf>
    <xf numFmtId="0" fontId="0" fillId="8" borderId="87" xfId="0" applyFill="1" applyBorder="1" applyAlignment="1">
      <alignment horizontal="center"/>
    </xf>
    <xf numFmtId="0" fontId="0" fillId="8" borderId="91" xfId="0" applyFill="1" applyBorder="1" applyAlignment="1">
      <alignment horizontal="center"/>
    </xf>
    <xf numFmtId="0" fontId="2" fillId="8" borderId="85" xfId="0" applyFont="1" applyFill="1" applyBorder="1" applyAlignment="1">
      <alignment horizontal="center"/>
    </xf>
    <xf numFmtId="0" fontId="2" fillId="8" borderId="89" xfId="0" applyFont="1" applyFill="1" applyBorder="1" applyAlignment="1">
      <alignment horizontal="center"/>
    </xf>
    <xf numFmtId="164" fontId="0" fillId="8" borderId="90" xfId="0" applyNumberFormat="1" applyFill="1" applyBorder="1" applyAlignment="1">
      <alignment horizontal="center"/>
    </xf>
    <xf numFmtId="0" fontId="0" fillId="13" borderId="92" xfId="0" applyFill="1" applyBorder="1" applyAlignment="1">
      <alignment horizontal="center"/>
    </xf>
    <xf numFmtId="0" fontId="0" fillId="13" borderId="88" xfId="0" applyFill="1" applyBorder="1" applyAlignment="1">
      <alignment horizontal="center"/>
    </xf>
    <xf numFmtId="164" fontId="0" fillId="13" borderId="93" xfId="0" applyNumberFormat="1" applyFill="1" applyBorder="1" applyAlignment="1">
      <alignment horizontal="center"/>
    </xf>
    <xf numFmtId="0" fontId="2" fillId="13" borderId="92" xfId="0" applyFont="1" applyFill="1" applyBorder="1" applyAlignment="1">
      <alignment horizontal="center"/>
    </xf>
    <xf numFmtId="164" fontId="0" fillId="13" borderId="88" xfId="0" applyNumberFormat="1" applyFill="1" applyBorder="1" applyAlignment="1">
      <alignment horizontal="center"/>
    </xf>
    <xf numFmtId="0" fontId="0" fillId="13" borderId="93" xfId="0" applyFill="1" applyBorder="1" applyAlignment="1">
      <alignment horizontal="center"/>
    </xf>
    <xf numFmtId="8" fontId="0" fillId="16" borderId="92" xfId="0" applyNumberFormat="1" applyFill="1" applyBorder="1" applyAlignment="1">
      <alignment horizontal="center"/>
    </xf>
    <xf numFmtId="0" fontId="38" fillId="0" borderId="0" xfId="0" applyFont="1"/>
    <xf numFmtId="0" fontId="39" fillId="0" borderId="94" xfId="0" applyFont="1" applyBorder="1"/>
    <xf numFmtId="14" fontId="38" fillId="0" borderId="0" xfId="0" applyNumberFormat="1" applyFont="1"/>
    <xf numFmtId="0" fontId="2" fillId="4" borderId="1" xfId="0" applyFont="1" applyFill="1" applyBorder="1" applyAlignment="1">
      <alignment horizontal="center" wrapText="1"/>
    </xf>
    <xf numFmtId="164" fontId="0" fillId="14" borderId="63" xfId="0" applyNumberFormat="1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164" fontId="0" fillId="2" borderId="47" xfId="0" applyNumberForma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" fillId="16" borderId="87" xfId="0" applyFont="1" applyFill="1" applyBorder="1" applyAlignment="1">
      <alignment horizontal="center"/>
    </xf>
    <xf numFmtId="8" fontId="2" fillId="16" borderId="93" xfId="0" applyNumberFormat="1" applyFont="1" applyFill="1" applyBorder="1" applyAlignment="1">
      <alignment horizontal="center"/>
    </xf>
    <xf numFmtId="0" fontId="2" fillId="14" borderId="87" xfId="0" applyFont="1" applyFill="1" applyBorder="1" applyAlignment="1">
      <alignment horizontal="center"/>
    </xf>
    <xf numFmtId="0" fontId="2" fillId="14" borderId="93" xfId="0" applyFont="1" applyFill="1" applyBorder="1" applyAlignment="1">
      <alignment horizontal="center"/>
    </xf>
    <xf numFmtId="0" fontId="2" fillId="13" borderId="87" xfId="0" applyFont="1" applyFill="1" applyBorder="1" applyAlignment="1">
      <alignment horizontal="center"/>
    </xf>
    <xf numFmtId="164" fontId="2" fillId="13" borderId="93" xfId="0" applyNumberFormat="1" applyFont="1" applyFill="1" applyBorder="1" applyAlignment="1">
      <alignment horizontal="center"/>
    </xf>
    <xf numFmtId="0" fontId="2" fillId="8" borderId="87" xfId="0" applyFont="1" applyFill="1" applyBorder="1" applyAlignment="1">
      <alignment horizontal="center"/>
    </xf>
    <xf numFmtId="164" fontId="2" fillId="8" borderId="91" xfId="0" applyNumberFormat="1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13" borderId="21" xfId="0" applyFont="1" applyFill="1" applyBorder="1" applyAlignment="1">
      <alignment horizontal="center"/>
    </xf>
    <xf numFmtId="0" fontId="2" fillId="16" borderId="51" xfId="0" applyFont="1" applyFill="1" applyBorder="1" applyAlignment="1">
      <alignment horizontal="center"/>
    </xf>
    <xf numFmtId="0" fontId="18" fillId="5" borderId="21" xfId="0" applyFont="1" applyFill="1" applyBorder="1" applyAlignment="1">
      <alignment horizontal="center"/>
    </xf>
    <xf numFmtId="0" fontId="39" fillId="0" borderId="0" xfId="0" applyFont="1"/>
    <xf numFmtId="164" fontId="39" fillId="0" borderId="94" xfId="0" applyNumberFormat="1" applyFont="1" applyBorder="1"/>
    <xf numFmtId="164" fontId="38" fillId="0" borderId="0" xfId="0" applyNumberFormat="1" applyFont="1"/>
    <xf numFmtId="0" fontId="38" fillId="24" borderId="0" xfId="0" applyFont="1" applyFill="1"/>
    <xf numFmtId="164" fontId="38" fillId="24" borderId="0" xfId="0" applyNumberFormat="1" applyFont="1" applyFill="1"/>
    <xf numFmtId="14" fontId="38" fillId="24" borderId="0" xfId="0" applyNumberFormat="1" applyFont="1" applyFill="1"/>
    <xf numFmtId="8" fontId="2" fillId="22" borderId="0" xfId="0" applyNumberFormat="1" applyFont="1" applyFill="1" applyAlignment="1">
      <alignment horizontal="center"/>
    </xf>
    <xf numFmtId="164" fontId="2" fillId="22" borderId="0" xfId="0" applyNumberFormat="1" applyFont="1" applyFill="1" applyAlignment="1">
      <alignment horizontal="center"/>
    </xf>
    <xf numFmtId="0" fontId="2" fillId="16" borderId="71" xfId="0" applyFont="1" applyFill="1" applyBorder="1" applyAlignment="1">
      <alignment horizontal="center"/>
    </xf>
    <xf numFmtId="0" fontId="2" fillId="14" borderId="71" xfId="0" applyFont="1" applyFill="1" applyBorder="1" applyAlignment="1">
      <alignment horizontal="center"/>
    </xf>
    <xf numFmtId="0" fontId="14" fillId="18" borderId="0" xfId="0" applyFont="1" applyFill="1" applyAlignment="1">
      <alignment horizontal="center"/>
    </xf>
    <xf numFmtId="0" fontId="2" fillId="16" borderId="82" xfId="0" applyFont="1" applyFill="1" applyBorder="1" applyAlignment="1">
      <alignment horizontal="center"/>
    </xf>
    <xf numFmtId="0" fontId="2" fillId="14" borderId="82" xfId="0" applyFont="1" applyFill="1" applyBorder="1" applyAlignment="1">
      <alignment horizontal="center"/>
    </xf>
    <xf numFmtId="0" fontId="2" fillId="8" borderId="48" xfId="0" applyFont="1" applyFill="1" applyBorder="1" applyAlignment="1">
      <alignment horizontal="center"/>
    </xf>
    <xf numFmtId="0" fontId="2" fillId="8" borderId="59" xfId="0" applyFont="1" applyFill="1" applyBorder="1" applyAlignment="1">
      <alignment horizontal="center"/>
    </xf>
    <xf numFmtId="0" fontId="2" fillId="14" borderId="86" xfId="0" applyFont="1" applyFill="1" applyBorder="1" applyAlignment="1">
      <alignment horizontal="center"/>
    </xf>
    <xf numFmtId="0" fontId="2" fillId="14" borderId="88" xfId="0" applyFont="1" applyFill="1" applyBorder="1" applyAlignment="1">
      <alignment horizontal="center"/>
    </xf>
    <xf numFmtId="0" fontId="2" fillId="13" borderId="86" xfId="0" applyFont="1" applyFill="1" applyBorder="1" applyAlignment="1">
      <alignment horizontal="center"/>
    </xf>
    <xf numFmtId="0" fontId="2" fillId="13" borderId="88" xfId="0" applyFont="1" applyFill="1" applyBorder="1" applyAlignment="1">
      <alignment horizontal="center"/>
    </xf>
    <xf numFmtId="0" fontId="2" fillId="8" borderId="86" xfId="0" applyFont="1" applyFill="1" applyBorder="1" applyAlignment="1">
      <alignment horizontal="center"/>
    </xf>
    <xf numFmtId="0" fontId="2" fillId="8" borderId="90" xfId="0" applyFont="1" applyFill="1" applyBorder="1" applyAlignment="1">
      <alignment horizontal="center"/>
    </xf>
    <xf numFmtId="8" fontId="14" fillId="18" borderId="7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40" fillId="18" borderId="0" xfId="0" applyFont="1" applyFill="1" applyAlignment="1">
      <alignment horizontal="center"/>
    </xf>
    <xf numFmtId="0" fontId="14" fillId="0" borderId="1" xfId="0" applyFont="1" applyBorder="1" applyAlignment="1">
      <alignment horizontal="center"/>
    </xf>
    <xf numFmtId="0" fontId="8" fillId="16" borderId="85" xfId="0" applyFont="1" applyFill="1" applyBorder="1" applyAlignment="1">
      <alignment horizontal="center"/>
    </xf>
    <xf numFmtId="8" fontId="8" fillId="16" borderId="92" xfId="0" applyNumberFormat="1" applyFont="1" applyFill="1" applyBorder="1" applyAlignment="1">
      <alignment horizontal="center"/>
    </xf>
    <xf numFmtId="0" fontId="16" fillId="0" borderId="71" xfId="0" applyFont="1" applyBorder="1"/>
    <xf numFmtId="8" fontId="16" fillId="0" borderId="71" xfId="0" applyNumberFormat="1" applyFont="1" applyBorder="1"/>
    <xf numFmtId="0" fontId="16" fillId="13" borderId="71" xfId="0" applyFont="1" applyFill="1" applyBorder="1"/>
    <xf numFmtId="8" fontId="16" fillId="13" borderId="71" xfId="0" applyNumberFormat="1" applyFont="1" applyFill="1" applyBorder="1"/>
    <xf numFmtId="4" fontId="16" fillId="13" borderId="71" xfId="0" applyNumberFormat="1" applyFont="1" applyFill="1" applyBorder="1"/>
    <xf numFmtId="0" fontId="6" fillId="0" borderId="2" xfId="0" applyFont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16" borderId="80" xfId="0" applyFont="1" applyFill="1" applyBorder="1" applyAlignment="1">
      <alignment horizontal="center"/>
    </xf>
    <xf numFmtId="8" fontId="2" fillId="16" borderId="80" xfId="0" applyNumberFormat="1" applyFont="1" applyFill="1" applyBorder="1" applyAlignment="1">
      <alignment horizontal="center"/>
    </xf>
    <xf numFmtId="0" fontId="2" fillId="14" borderId="80" xfId="0" applyFont="1" applyFill="1" applyBorder="1" applyAlignment="1">
      <alignment horizontal="center"/>
    </xf>
    <xf numFmtId="0" fontId="2" fillId="8" borderId="73" xfId="0" applyFont="1" applyFill="1" applyBorder="1" applyAlignment="1">
      <alignment horizontal="center"/>
    </xf>
    <xf numFmtId="4" fontId="2" fillId="16" borderId="71" xfId="0" applyNumberFormat="1" applyFont="1" applyFill="1" applyBorder="1" applyAlignment="1">
      <alignment horizontal="center"/>
    </xf>
    <xf numFmtId="4" fontId="14" fillId="18" borderId="0" xfId="0" applyNumberFormat="1" applyFont="1" applyFill="1" applyAlignment="1">
      <alignment horizontal="center"/>
    </xf>
    <xf numFmtId="8" fontId="14" fillId="18" borderId="0" xfId="0" applyNumberFormat="1" applyFont="1" applyFill="1" applyAlignment="1">
      <alignment horizontal="center"/>
    </xf>
    <xf numFmtId="0" fontId="24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5" borderId="56" xfId="0" applyFont="1" applyFill="1" applyBorder="1" applyAlignment="1">
      <alignment horizontal="center"/>
    </xf>
    <xf numFmtId="164" fontId="2" fillId="5" borderId="51" xfId="0" applyNumberFormat="1" applyFont="1" applyFill="1" applyBorder="1" applyAlignment="1">
      <alignment horizontal="center"/>
    </xf>
    <xf numFmtId="0" fontId="2" fillId="14" borderId="51" xfId="0" applyFont="1" applyFill="1" applyBorder="1" applyAlignment="1">
      <alignment horizontal="center"/>
    </xf>
    <xf numFmtId="0" fontId="2" fillId="13" borderId="56" xfId="0" applyFont="1" applyFill="1" applyBorder="1" applyAlignment="1">
      <alignment horizontal="center"/>
    </xf>
    <xf numFmtId="164" fontId="2" fillId="13" borderId="51" xfId="0" applyNumberFormat="1" applyFont="1" applyFill="1" applyBorder="1" applyAlignment="1">
      <alignment horizontal="center"/>
    </xf>
    <xf numFmtId="0" fontId="2" fillId="6" borderId="56" xfId="0" applyFont="1" applyFill="1" applyBorder="1" applyAlignment="1">
      <alignment horizontal="center"/>
    </xf>
    <xf numFmtId="0" fontId="2" fillId="6" borderId="51" xfId="0" applyFont="1" applyFill="1" applyBorder="1" applyAlignment="1">
      <alignment horizontal="center"/>
    </xf>
    <xf numFmtId="0" fontId="14" fillId="18" borderId="56" xfId="0" applyFont="1" applyFill="1" applyBorder="1" applyAlignment="1">
      <alignment horizontal="center"/>
    </xf>
    <xf numFmtId="4" fontId="14" fillId="18" borderId="51" xfId="0" applyNumberFormat="1" applyFont="1" applyFill="1" applyBorder="1" applyAlignment="1">
      <alignment horizontal="center"/>
    </xf>
    <xf numFmtId="0" fontId="0" fillId="0" borderId="71" xfId="0" applyBorder="1" applyAlignment="1">
      <alignment horizontal="center" textRotation="45"/>
    </xf>
    <xf numFmtId="0" fontId="0" fillId="2" borderId="29" xfId="0" applyFill="1" applyBorder="1" applyAlignment="1">
      <alignment horizontal="center" textRotation="45"/>
    </xf>
    <xf numFmtId="0" fontId="41" fillId="5" borderId="57" xfId="0" applyFont="1" applyFill="1" applyBorder="1" applyAlignment="1">
      <alignment horizontal="center"/>
    </xf>
    <xf numFmtId="164" fontId="41" fillId="5" borderId="21" xfId="0" applyNumberFormat="1" applyFont="1" applyFill="1" applyBorder="1" applyAlignment="1">
      <alignment horizontal="center"/>
    </xf>
    <xf numFmtId="0" fontId="41" fillId="14" borderId="57" xfId="0" applyFont="1" applyFill="1" applyBorder="1" applyAlignment="1">
      <alignment horizontal="center"/>
    </xf>
    <xf numFmtId="164" fontId="41" fillId="14" borderId="21" xfId="0" applyNumberFormat="1" applyFont="1" applyFill="1" applyBorder="1" applyAlignment="1">
      <alignment horizontal="center"/>
    </xf>
    <xf numFmtId="164" fontId="41" fillId="14" borderId="31" xfId="0" applyNumberFormat="1" applyFont="1" applyFill="1" applyBorder="1" applyAlignment="1">
      <alignment horizontal="center"/>
    </xf>
    <xf numFmtId="164" fontId="41" fillId="5" borderId="31" xfId="0" applyNumberFormat="1" applyFont="1" applyFill="1" applyBorder="1" applyAlignment="1">
      <alignment horizontal="center"/>
    </xf>
    <xf numFmtId="0" fontId="41" fillId="16" borderId="57" xfId="0" applyFont="1" applyFill="1" applyBorder="1" applyAlignment="1">
      <alignment horizontal="center"/>
    </xf>
    <xf numFmtId="8" fontId="41" fillId="16" borderId="21" xfId="0" applyNumberFormat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64" fontId="42" fillId="16" borderId="21" xfId="0" applyNumberFormat="1" applyFont="1" applyFill="1" applyBorder="1" applyAlignment="1">
      <alignment horizontal="center"/>
    </xf>
    <xf numFmtId="164" fontId="41" fillId="16" borderId="31" xfId="0" applyNumberFormat="1" applyFont="1" applyFill="1" applyBorder="1" applyAlignment="1">
      <alignment horizontal="center"/>
    </xf>
    <xf numFmtId="0" fontId="42" fillId="16" borderId="57" xfId="0" applyFont="1" applyFill="1" applyBorder="1" applyAlignment="1">
      <alignment horizontal="center"/>
    </xf>
    <xf numFmtId="0" fontId="42" fillId="5" borderId="57" xfId="0" applyFont="1" applyFill="1" applyBorder="1" applyAlignment="1">
      <alignment horizontal="center"/>
    </xf>
    <xf numFmtId="164" fontId="42" fillId="5" borderId="31" xfId="0" applyNumberFormat="1" applyFont="1" applyFill="1" applyBorder="1" applyAlignment="1">
      <alignment horizontal="center"/>
    </xf>
    <xf numFmtId="164" fontId="42" fillId="16" borderId="31" xfId="0" applyNumberFormat="1" applyFont="1" applyFill="1" applyBorder="1" applyAlignment="1">
      <alignment horizontal="center"/>
    </xf>
    <xf numFmtId="0" fontId="42" fillId="14" borderId="57" xfId="0" applyFont="1" applyFill="1" applyBorder="1" applyAlignment="1">
      <alignment horizontal="center"/>
    </xf>
    <xf numFmtId="164" fontId="42" fillId="14" borderId="31" xfId="0" applyNumberFormat="1" applyFont="1" applyFill="1" applyBorder="1" applyAlignment="1">
      <alignment horizontal="center"/>
    </xf>
    <xf numFmtId="0" fontId="42" fillId="16" borderId="21" xfId="0" applyFont="1" applyFill="1" applyBorder="1" applyAlignment="1">
      <alignment horizontal="center"/>
    </xf>
    <xf numFmtId="164" fontId="42" fillId="14" borderId="21" xfId="0" applyNumberFormat="1" applyFont="1" applyFill="1" applyBorder="1" applyAlignment="1">
      <alignment horizontal="center"/>
    </xf>
    <xf numFmtId="164" fontId="41" fillId="16" borderId="21" xfId="0" applyNumberFormat="1" applyFont="1" applyFill="1" applyBorder="1" applyAlignment="1">
      <alignment horizontal="center"/>
    </xf>
    <xf numFmtId="0" fontId="0" fillId="16" borderId="57" xfId="0" applyFill="1" applyBorder="1" applyAlignment="1">
      <alignment horizontal="center" vertical="center"/>
    </xf>
    <xf numFmtId="0" fontId="44" fillId="17" borderId="29" xfId="0" applyFont="1" applyFill="1" applyBorder="1" applyAlignment="1">
      <alignment horizontal="center" textRotation="45" wrapText="1"/>
    </xf>
    <xf numFmtId="0" fontId="2" fillId="2" borderId="2" xfId="0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2" fontId="2" fillId="11" borderId="1" xfId="0" applyNumberFormat="1" applyFont="1" applyFill="1" applyBorder="1" applyAlignment="1">
      <alignment horizontal="center"/>
    </xf>
    <xf numFmtId="0" fontId="2" fillId="11" borderId="31" xfId="0" applyFont="1" applyFill="1" applyBorder="1" applyAlignment="1">
      <alignment horizontal="center"/>
    </xf>
    <xf numFmtId="8" fontId="41" fillId="14" borderId="21" xfId="0" applyNumberFormat="1" applyFont="1" applyFill="1" applyBorder="1" applyAlignment="1">
      <alignment horizontal="center"/>
    </xf>
    <xf numFmtId="0" fontId="2" fillId="16" borderId="72" xfId="0" applyFont="1" applyFill="1" applyBorder="1" applyAlignment="1">
      <alignment horizontal="center"/>
    </xf>
    <xf numFmtId="0" fontId="2" fillId="16" borderId="73" xfId="0" applyFont="1" applyFill="1" applyBorder="1" applyAlignment="1">
      <alignment horizontal="center"/>
    </xf>
    <xf numFmtId="0" fontId="2" fillId="14" borderId="72" xfId="0" applyFont="1" applyFill="1" applyBorder="1" applyAlignment="1">
      <alignment horizontal="center"/>
    </xf>
    <xf numFmtId="0" fontId="2" fillId="14" borderId="73" xfId="0" applyFont="1" applyFill="1" applyBorder="1" applyAlignment="1">
      <alignment horizontal="center"/>
    </xf>
    <xf numFmtId="0" fontId="2" fillId="13" borderId="72" xfId="0" applyFont="1" applyFill="1" applyBorder="1" applyAlignment="1">
      <alignment horizontal="center"/>
    </xf>
    <xf numFmtId="0" fontId="2" fillId="13" borderId="73" xfId="0" applyFont="1" applyFill="1" applyBorder="1" applyAlignment="1">
      <alignment horizontal="center"/>
    </xf>
    <xf numFmtId="164" fontId="18" fillId="5" borderId="21" xfId="0" applyNumberFormat="1" applyFont="1" applyFill="1" applyBorder="1" applyAlignment="1">
      <alignment horizontal="center"/>
    </xf>
    <xf numFmtId="164" fontId="18" fillId="16" borderId="21" xfId="0" applyNumberFormat="1" applyFont="1" applyFill="1" applyBorder="1" applyAlignment="1">
      <alignment horizontal="center"/>
    </xf>
    <xf numFmtId="164" fontId="0" fillId="5" borderId="57" xfId="0" applyNumberFormat="1" applyFill="1" applyBorder="1" applyAlignment="1">
      <alignment horizontal="center"/>
    </xf>
    <xf numFmtId="0" fontId="0" fillId="16" borderId="51" xfId="0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16" borderId="53" xfId="0" applyFont="1" applyFill="1" applyBorder="1" applyAlignment="1">
      <alignment horizontal="center"/>
    </xf>
    <xf numFmtId="0" fontId="2" fillId="5" borderId="53" xfId="0" applyFont="1" applyFill="1" applyBorder="1" applyAlignment="1">
      <alignment horizontal="center"/>
    </xf>
    <xf numFmtId="0" fontId="18" fillId="5" borderId="19" xfId="0" applyFont="1" applyFill="1" applyBorder="1" applyAlignment="1">
      <alignment horizontal="center"/>
    </xf>
    <xf numFmtId="0" fontId="14" fillId="19" borderId="53" xfId="0" applyFont="1" applyFill="1" applyBorder="1" applyAlignment="1">
      <alignment horizontal="center"/>
    </xf>
    <xf numFmtId="0" fontId="14" fillId="19" borderId="19" xfId="0" applyFont="1" applyFill="1" applyBorder="1" applyAlignment="1">
      <alignment horizontal="center"/>
    </xf>
    <xf numFmtId="0" fontId="24" fillId="6" borderId="57" xfId="0" applyFont="1" applyFill="1" applyBorder="1" applyAlignment="1">
      <alignment horizontal="center"/>
    </xf>
    <xf numFmtId="164" fontId="24" fillId="6" borderId="31" xfId="0" applyNumberFormat="1" applyFont="1" applyFill="1" applyBorder="1" applyAlignment="1">
      <alignment horizontal="center"/>
    </xf>
    <xf numFmtId="0" fontId="24" fillId="16" borderId="57" xfId="0" applyFont="1" applyFill="1" applyBorder="1" applyAlignment="1">
      <alignment horizontal="center"/>
    </xf>
    <xf numFmtId="164" fontId="24" fillId="16" borderId="21" xfId="0" applyNumberFormat="1" applyFont="1" applyFill="1" applyBorder="1" applyAlignment="1">
      <alignment horizontal="center"/>
    </xf>
    <xf numFmtId="0" fontId="23" fillId="5" borderId="57" xfId="0" applyFont="1" applyFill="1" applyBorder="1" applyAlignment="1">
      <alignment horizontal="center"/>
    </xf>
    <xf numFmtId="164" fontId="23" fillId="5" borderId="31" xfId="0" applyNumberFormat="1" applyFont="1" applyFill="1" applyBorder="1" applyAlignment="1">
      <alignment horizontal="center"/>
    </xf>
    <xf numFmtId="0" fontId="23" fillId="14" borderId="57" xfId="0" applyFont="1" applyFill="1" applyBorder="1" applyAlignment="1">
      <alignment horizontal="center"/>
    </xf>
    <xf numFmtId="0" fontId="23" fillId="6" borderId="57" xfId="0" applyFont="1" applyFill="1" applyBorder="1" applyAlignment="1">
      <alignment horizontal="center"/>
    </xf>
    <xf numFmtId="164" fontId="23" fillId="6" borderId="31" xfId="0" applyNumberFormat="1" applyFont="1" applyFill="1" applyBorder="1" applyAlignment="1">
      <alignment horizontal="center"/>
    </xf>
    <xf numFmtId="0" fontId="23" fillId="16" borderId="57" xfId="0" applyFont="1" applyFill="1" applyBorder="1" applyAlignment="1">
      <alignment horizontal="center"/>
    </xf>
    <xf numFmtId="2" fontId="23" fillId="16" borderId="21" xfId="0" applyNumberFormat="1" applyFont="1" applyFill="1" applyBorder="1" applyAlignment="1">
      <alignment horizontal="center"/>
    </xf>
    <xf numFmtId="0" fontId="23" fillId="2" borderId="57" xfId="0" applyFont="1" applyFill="1" applyBorder="1" applyAlignment="1">
      <alignment horizontal="center"/>
    </xf>
    <xf numFmtId="164" fontId="23" fillId="2" borderId="31" xfId="0" applyNumberFormat="1" applyFont="1" applyFill="1" applyBorder="1" applyAlignment="1">
      <alignment horizontal="center"/>
    </xf>
    <xf numFmtId="2" fontId="23" fillId="2" borderId="21" xfId="0" applyNumberFormat="1" applyFont="1" applyFill="1" applyBorder="1" applyAlignment="1">
      <alignment horizontal="center"/>
    </xf>
    <xf numFmtId="0" fontId="42" fillId="2" borderId="57" xfId="0" applyFont="1" applyFill="1" applyBorder="1" applyAlignment="1">
      <alignment horizontal="center"/>
    </xf>
    <xf numFmtId="164" fontId="42" fillId="2" borderId="3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14" borderId="51" xfId="0" applyFill="1" applyBorder="1" applyAlignment="1">
      <alignment horizontal="center"/>
    </xf>
    <xf numFmtId="0" fontId="8" fillId="14" borderId="57" xfId="0" applyFont="1" applyFill="1" applyBorder="1" applyAlignment="1">
      <alignment horizontal="center"/>
    </xf>
    <xf numFmtId="0" fontId="2" fillId="0" borderId="95" xfId="0" applyFont="1" applyBorder="1" applyAlignment="1">
      <alignment horizontal="center"/>
    </xf>
    <xf numFmtId="0" fontId="2" fillId="2" borderId="95" xfId="0" applyFont="1" applyFill="1" applyBorder="1" applyAlignment="1">
      <alignment horizontal="center"/>
    </xf>
    <xf numFmtId="164" fontId="18" fillId="5" borderId="31" xfId="0" applyNumberFormat="1" applyFont="1" applyFill="1" applyBorder="1" applyAlignment="1">
      <alignment horizontal="center"/>
    </xf>
    <xf numFmtId="0" fontId="18" fillId="6" borderId="57" xfId="0" applyFont="1" applyFill="1" applyBorder="1" applyAlignment="1">
      <alignment horizontal="center"/>
    </xf>
    <xf numFmtId="164" fontId="18" fillId="6" borderId="31" xfId="0" applyNumberFormat="1" applyFont="1" applyFill="1" applyBorder="1" applyAlignment="1">
      <alignment horizontal="center"/>
    </xf>
    <xf numFmtId="0" fontId="41" fillId="13" borderId="57" xfId="0" applyFont="1" applyFill="1" applyBorder="1" applyAlignment="1">
      <alignment horizontal="center"/>
    </xf>
    <xf numFmtId="164" fontId="41" fillId="13" borderId="2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4" fontId="2" fillId="6" borderId="31" xfId="0" applyNumberFormat="1" applyFont="1" applyFill="1" applyBorder="1" applyAlignment="1">
      <alignment horizontal="center"/>
    </xf>
    <xf numFmtId="164" fontId="18" fillId="14" borderId="31" xfId="0" applyNumberFormat="1" applyFont="1" applyFill="1" applyBorder="1" applyAlignment="1">
      <alignment horizontal="center"/>
    </xf>
    <xf numFmtId="0" fontId="24" fillId="5" borderId="57" xfId="0" applyFont="1" applyFill="1" applyBorder="1" applyAlignment="1">
      <alignment horizontal="center"/>
    </xf>
    <xf numFmtId="164" fontId="24" fillId="5" borderId="31" xfId="0" applyNumberFormat="1" applyFont="1" applyFill="1" applyBorder="1" applyAlignment="1">
      <alignment horizontal="center"/>
    </xf>
    <xf numFmtId="0" fontId="24" fillId="14" borderId="57" xfId="0" applyFont="1" applyFill="1" applyBorder="1" applyAlignment="1">
      <alignment horizontal="center"/>
    </xf>
    <xf numFmtId="2" fontId="24" fillId="16" borderId="21" xfId="0" applyNumberFormat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4" fillId="2" borderId="57" xfId="0" applyFont="1" applyFill="1" applyBorder="1" applyAlignment="1">
      <alignment horizontal="center"/>
    </xf>
    <xf numFmtId="164" fontId="24" fillId="2" borderId="31" xfId="0" applyNumberFormat="1" applyFont="1" applyFill="1" applyBorder="1" applyAlignment="1">
      <alignment horizontal="center"/>
    </xf>
    <xf numFmtId="0" fontId="41" fillId="2" borderId="57" xfId="0" applyFont="1" applyFill="1" applyBorder="1" applyAlignment="1">
      <alignment horizontal="center"/>
    </xf>
    <xf numFmtId="164" fontId="41" fillId="2" borderId="31" xfId="0" applyNumberFormat="1" applyFont="1" applyFill="1" applyBorder="1" applyAlignment="1">
      <alignment horizontal="center"/>
    </xf>
    <xf numFmtId="2" fontId="24" fillId="2" borderId="21" xfId="0" applyNumberFormat="1" applyFont="1" applyFill="1" applyBorder="1" applyAlignment="1">
      <alignment horizontal="center"/>
    </xf>
    <xf numFmtId="0" fontId="41" fillId="14" borderId="54" xfId="0" applyFont="1" applyFill="1" applyBorder="1" applyAlignment="1">
      <alignment horizontal="center"/>
    </xf>
    <xf numFmtId="164" fontId="41" fillId="13" borderId="31" xfId="0" applyNumberFormat="1" applyFont="1" applyFill="1" applyBorder="1" applyAlignment="1">
      <alignment horizontal="center"/>
    </xf>
    <xf numFmtId="0" fontId="0" fillId="16" borderId="57" xfId="0" applyFill="1" applyBorder="1" applyAlignment="1">
      <alignment horizontal="center" wrapText="1"/>
    </xf>
    <xf numFmtId="8" fontId="41" fillId="5" borderId="21" xfId="0" applyNumberFormat="1" applyFont="1" applyFill="1" applyBorder="1" applyAlignment="1">
      <alignment horizontal="center"/>
    </xf>
    <xf numFmtId="0" fontId="42" fillId="14" borderId="54" xfId="0" applyFont="1" applyFill="1" applyBorder="1" applyAlignment="1">
      <alignment horizontal="center"/>
    </xf>
    <xf numFmtId="0" fontId="41" fillId="8" borderId="57" xfId="0" applyFont="1" applyFill="1" applyBorder="1" applyAlignment="1">
      <alignment horizontal="center"/>
    </xf>
    <xf numFmtId="164" fontId="41" fillId="8" borderId="21" xfId="0" applyNumberFormat="1" applyFont="1" applyFill="1" applyBorder="1" applyAlignment="1">
      <alignment horizontal="center"/>
    </xf>
    <xf numFmtId="8" fontId="41" fillId="13" borderId="21" xfId="0" applyNumberFormat="1" applyFont="1" applyFill="1" applyBorder="1" applyAlignment="1">
      <alignment horizontal="center"/>
    </xf>
    <xf numFmtId="8" fontId="41" fillId="8" borderId="21" xfId="0" applyNumberFormat="1" applyFont="1" applyFill="1" applyBorder="1" applyAlignment="1">
      <alignment horizontal="center"/>
    </xf>
    <xf numFmtId="0" fontId="41" fillId="13" borderId="21" xfId="0" applyFont="1" applyFill="1" applyBorder="1" applyAlignment="1">
      <alignment horizontal="center"/>
    </xf>
    <xf numFmtId="0" fontId="41" fillId="8" borderId="21" xfId="0" applyFont="1" applyFill="1" applyBorder="1" applyAlignment="1">
      <alignment horizontal="center"/>
    </xf>
    <xf numFmtId="4" fontId="41" fillId="5" borderId="2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4" fontId="42" fillId="5" borderId="21" xfId="0" applyNumberFormat="1" applyFont="1" applyFill="1" applyBorder="1" applyAlignment="1">
      <alignment horizontal="center"/>
    </xf>
    <xf numFmtId="8" fontId="42" fillId="16" borderId="21" xfId="0" applyNumberFormat="1" applyFont="1" applyFill="1" applyBorder="1" applyAlignment="1">
      <alignment horizontal="center"/>
    </xf>
    <xf numFmtId="164" fontId="8" fillId="16" borderId="21" xfId="0" applyNumberFormat="1" applyFont="1" applyFill="1" applyBorder="1" applyAlignment="1">
      <alignment horizontal="center"/>
    </xf>
    <xf numFmtId="0" fontId="0" fillId="16" borderId="72" xfId="0" applyFill="1" applyBorder="1" applyAlignment="1">
      <alignment horizontal="center"/>
    </xf>
    <xf numFmtId="0" fontId="0" fillId="16" borderId="73" xfId="0" applyFill="1" applyBorder="1" applyAlignment="1">
      <alignment horizontal="center"/>
    </xf>
    <xf numFmtId="0" fontId="0" fillId="14" borderId="73" xfId="0" applyFill="1" applyBorder="1" applyAlignment="1">
      <alignment horizontal="center"/>
    </xf>
    <xf numFmtId="0" fontId="0" fillId="13" borderId="72" xfId="0" applyFill="1" applyBorder="1" applyAlignment="1">
      <alignment horizontal="center"/>
    </xf>
    <xf numFmtId="0" fontId="0" fillId="13" borderId="73" xfId="0" applyFill="1" applyBorder="1" applyAlignment="1">
      <alignment horizontal="center"/>
    </xf>
    <xf numFmtId="0" fontId="0" fillId="13" borderId="71" xfId="0" applyFill="1" applyBorder="1" applyAlignment="1">
      <alignment horizontal="center"/>
    </xf>
    <xf numFmtId="164" fontId="0" fillId="13" borderId="71" xfId="0" applyNumberFormat="1" applyFill="1" applyBorder="1" applyAlignment="1">
      <alignment horizontal="center"/>
    </xf>
    <xf numFmtId="0" fontId="0" fillId="13" borderId="80" xfId="0" applyFill="1" applyBorder="1" applyAlignment="1">
      <alignment horizontal="center"/>
    </xf>
    <xf numFmtId="164" fontId="0" fillId="13" borderId="80" xfId="0" applyNumberFormat="1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164" fontId="0" fillId="8" borderId="73" xfId="0" applyNumberFormat="1" applyFill="1" applyBorder="1" applyAlignment="1">
      <alignment horizontal="center"/>
    </xf>
    <xf numFmtId="0" fontId="0" fillId="13" borderId="81" xfId="0" applyFill="1" applyBorder="1" applyAlignment="1">
      <alignment horizontal="center"/>
    </xf>
    <xf numFmtId="164" fontId="0" fillId="13" borderId="81" xfId="0" applyNumberFormat="1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164" fontId="0" fillId="8" borderId="51" xfId="0" applyNumberFormat="1" applyFill="1" applyBorder="1" applyAlignment="1">
      <alignment horizontal="center"/>
    </xf>
    <xf numFmtId="4" fontId="0" fillId="16" borderId="71" xfId="0" applyNumberFormat="1" applyFill="1" applyBorder="1" applyAlignment="1">
      <alignment horizontal="center"/>
    </xf>
    <xf numFmtId="8" fontId="0" fillId="16" borderId="80" xfId="0" applyNumberFormat="1" applyFill="1" applyBorder="1" applyAlignment="1">
      <alignment horizontal="center"/>
    </xf>
    <xf numFmtId="0" fontId="0" fillId="8" borderId="73" xfId="0" applyFill="1" applyBorder="1" applyAlignment="1">
      <alignment horizontal="center"/>
    </xf>
    <xf numFmtId="8" fontId="9" fillId="18" borderId="0" xfId="0" applyNumberFormat="1" applyFont="1" applyFill="1" applyAlignment="1">
      <alignment horizontal="center"/>
    </xf>
    <xf numFmtId="164" fontId="0" fillId="8" borderId="91" xfId="0" applyNumberFormat="1" applyFill="1" applyBorder="1" applyAlignment="1">
      <alignment horizontal="center"/>
    </xf>
    <xf numFmtId="0" fontId="0" fillId="16" borderId="82" xfId="0" applyFill="1" applyBorder="1" applyAlignment="1">
      <alignment horizontal="center"/>
    </xf>
    <xf numFmtId="0" fontId="0" fillId="14" borderId="82" xfId="0" applyFill="1" applyBorder="1" applyAlignment="1">
      <alignment horizontal="center"/>
    </xf>
    <xf numFmtId="0" fontId="0" fillId="13" borderId="82" xfId="0" applyFill="1" applyBorder="1" applyAlignment="1">
      <alignment horizontal="center"/>
    </xf>
    <xf numFmtId="164" fontId="0" fillId="13" borderId="82" xfId="0" applyNumberFormat="1" applyFill="1" applyBorder="1" applyAlignment="1">
      <alignment horizontal="center"/>
    </xf>
    <xf numFmtId="0" fontId="0" fillId="8" borderId="48" xfId="0" applyFill="1" applyBorder="1" applyAlignment="1">
      <alignment horizontal="center"/>
    </xf>
    <xf numFmtId="0" fontId="0" fillId="8" borderId="59" xfId="0" applyFill="1" applyBorder="1" applyAlignment="1">
      <alignment horizontal="center"/>
    </xf>
    <xf numFmtId="164" fontId="0" fillId="16" borderId="92" xfId="0" applyNumberFormat="1" applyFill="1" applyBorder="1" applyAlignment="1">
      <alignment horizontal="center"/>
    </xf>
    <xf numFmtId="8" fontId="0" fillId="14" borderId="85" xfId="0" applyNumberFormat="1" applyFill="1" applyBorder="1" applyAlignment="1">
      <alignment horizontal="center"/>
    </xf>
    <xf numFmtId="0" fontId="45" fillId="0" borderId="1" xfId="0" applyFont="1" applyBorder="1" applyAlignment="1">
      <alignment horizontal="center" textRotation="90"/>
    </xf>
    <xf numFmtId="0" fontId="45" fillId="0" borderId="32" xfId="0" applyFont="1" applyBorder="1" applyAlignment="1">
      <alignment horizontal="center" textRotation="90"/>
    </xf>
    <xf numFmtId="0" fontId="0" fillId="5" borderId="72" xfId="0" applyFill="1" applyBorder="1" applyAlignment="1">
      <alignment horizontal="center"/>
    </xf>
    <xf numFmtId="164" fontId="0" fillId="5" borderId="73" xfId="0" applyNumberFormat="1" applyFill="1" applyBorder="1" applyAlignment="1">
      <alignment horizontal="center"/>
    </xf>
    <xf numFmtId="164" fontId="0" fillId="14" borderId="73" xfId="0" applyNumberFormat="1" applyFill="1" applyBorder="1" applyAlignment="1">
      <alignment horizontal="center"/>
    </xf>
    <xf numFmtId="8" fontId="0" fillId="14" borderId="73" xfId="0" applyNumberFormat="1" applyFill="1" applyBorder="1" applyAlignment="1">
      <alignment horizontal="center"/>
    </xf>
    <xf numFmtId="8" fontId="0" fillId="16" borderId="73" xfId="0" applyNumberFormat="1" applyFill="1" applyBorder="1" applyAlignment="1">
      <alignment horizontal="center"/>
    </xf>
    <xf numFmtId="0" fontId="9" fillId="18" borderId="72" xfId="0" applyFont="1" applyFill="1" applyBorder="1" applyAlignment="1">
      <alignment horizontal="center"/>
    </xf>
    <xf numFmtId="8" fontId="9" fillId="18" borderId="73" xfId="0" applyNumberFormat="1" applyFont="1" applyFill="1" applyBorder="1" applyAlignment="1">
      <alignment horizontal="center"/>
    </xf>
    <xf numFmtId="164" fontId="0" fillId="16" borderId="73" xfId="0" applyNumberFormat="1" applyFill="1" applyBorder="1" applyAlignment="1">
      <alignment horizontal="center"/>
    </xf>
    <xf numFmtId="164" fontId="9" fillId="18" borderId="73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164" fontId="2" fillId="14" borderId="71" xfId="0" applyNumberFormat="1" applyFont="1" applyFill="1" applyBorder="1" applyAlignment="1">
      <alignment horizontal="center"/>
    </xf>
    <xf numFmtId="0" fontId="14" fillId="18" borderId="71" xfId="0" applyFont="1" applyFill="1" applyBorder="1" applyAlignment="1">
      <alignment horizontal="center"/>
    </xf>
    <xf numFmtId="0" fontId="2" fillId="22" borderId="71" xfId="0" applyFont="1" applyFill="1" applyBorder="1" applyAlignment="1">
      <alignment horizontal="center"/>
    </xf>
    <xf numFmtId="164" fontId="2" fillId="16" borderId="71" xfId="0" applyNumberFormat="1" applyFont="1" applyFill="1" applyBorder="1" applyAlignment="1">
      <alignment horizontal="center"/>
    </xf>
    <xf numFmtId="0" fontId="0" fillId="0" borderId="71" xfId="0" applyBorder="1"/>
    <xf numFmtId="0" fontId="16" fillId="13" borderId="80" xfId="0" applyFont="1" applyFill="1" applyBorder="1"/>
    <xf numFmtId="8" fontId="16" fillId="13" borderId="80" xfId="0" applyNumberFormat="1" applyFont="1" applyFill="1" applyBorder="1"/>
    <xf numFmtId="0" fontId="0" fillId="13" borderId="71" xfId="0" applyFill="1" applyBorder="1"/>
    <xf numFmtId="164" fontId="18" fillId="8" borderId="2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left" textRotation="45"/>
    </xf>
    <xf numFmtId="0" fontId="0" fillId="0" borderId="1" xfId="0" applyBorder="1" applyAlignment="1">
      <alignment horizontal="left" textRotation="45"/>
    </xf>
    <xf numFmtId="0" fontId="0" fillId="0" borderId="71" xfId="0" applyBorder="1" applyAlignment="1">
      <alignment horizontal="left" textRotation="45"/>
    </xf>
    <xf numFmtId="0" fontId="45" fillId="0" borderId="32" xfId="0" applyFont="1" applyBorder="1" applyAlignment="1">
      <alignment horizontal="center" textRotation="90" wrapText="1"/>
    </xf>
    <xf numFmtId="0" fontId="45" fillId="0" borderId="32" xfId="0" applyFont="1" applyBorder="1" applyAlignment="1">
      <alignment horizontal="center" textRotation="45" wrapText="1"/>
    </xf>
    <xf numFmtId="0" fontId="23" fillId="0" borderId="1" xfId="0" applyFont="1" applyBorder="1" applyAlignment="1">
      <alignment horizontal="center"/>
    </xf>
    <xf numFmtId="1" fontId="41" fillId="14" borderId="57" xfId="0" applyNumberFormat="1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18" fillId="14" borderId="21" xfId="0" applyNumberFormat="1" applyFont="1" applyFill="1" applyBorder="1" applyAlignment="1">
      <alignment horizontal="center"/>
    </xf>
    <xf numFmtId="164" fontId="18" fillId="13" borderId="21" xfId="0" applyNumberFormat="1" applyFont="1" applyFill="1" applyBorder="1" applyAlignment="1">
      <alignment horizontal="center"/>
    </xf>
    <xf numFmtId="0" fontId="18" fillId="8" borderId="21" xfId="0" applyFont="1" applyFill="1" applyBorder="1" applyAlignment="1">
      <alignment horizontal="center"/>
    </xf>
    <xf numFmtId="0" fontId="2" fillId="16" borderId="19" xfId="0" applyFont="1" applyFill="1" applyBorder="1" applyAlignment="1">
      <alignment horizontal="center"/>
    </xf>
    <xf numFmtId="0" fontId="2" fillId="14" borderId="19" xfId="0" applyFont="1" applyFill="1" applyBorder="1" applyAlignment="1">
      <alignment horizontal="center"/>
    </xf>
    <xf numFmtId="0" fontId="2" fillId="13" borderId="53" xfId="0" applyFont="1" applyFill="1" applyBorder="1" applyAlignment="1">
      <alignment horizontal="center"/>
    </xf>
    <xf numFmtId="0" fontId="2" fillId="13" borderId="19" xfId="0" applyFont="1" applyFill="1" applyBorder="1" applyAlignment="1">
      <alignment horizontal="center"/>
    </xf>
    <xf numFmtId="0" fontId="2" fillId="8" borderId="53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23" borderId="31" xfId="0" applyFont="1" applyFill="1" applyBorder="1" applyAlignment="1">
      <alignment horizontal="center"/>
    </xf>
    <xf numFmtId="0" fontId="41" fillId="14" borderId="71" xfId="0" applyFont="1" applyFill="1" applyBorder="1" applyAlignment="1">
      <alignment horizontal="center"/>
    </xf>
    <xf numFmtId="164" fontId="41" fillId="14" borderId="71" xfId="0" applyNumberFormat="1" applyFont="1" applyFill="1" applyBorder="1" applyAlignment="1">
      <alignment horizontal="center"/>
    </xf>
    <xf numFmtId="0" fontId="18" fillId="14" borderId="21" xfId="0" applyFont="1" applyFill="1" applyBorder="1" applyAlignment="1">
      <alignment horizontal="center"/>
    </xf>
    <xf numFmtId="0" fontId="41" fillId="5" borderId="71" xfId="0" applyFont="1" applyFill="1" applyBorder="1" applyAlignment="1">
      <alignment horizontal="center"/>
    </xf>
    <xf numFmtId="164" fontId="41" fillId="5" borderId="71" xfId="0" applyNumberFormat="1" applyFont="1" applyFill="1" applyBorder="1" applyAlignment="1">
      <alignment horizontal="center"/>
    </xf>
    <xf numFmtId="0" fontId="18" fillId="16" borderId="85" xfId="0" applyFont="1" applyFill="1" applyBorder="1" applyAlignment="1">
      <alignment horizontal="center"/>
    </xf>
    <xf numFmtId="8" fontId="18" fillId="16" borderId="92" xfId="0" applyNumberFormat="1" applyFont="1" applyFill="1" applyBorder="1" applyAlignment="1">
      <alignment horizontal="center"/>
    </xf>
    <xf numFmtId="0" fontId="41" fillId="14" borderId="21" xfId="0" applyFont="1" applyFill="1" applyBorder="1" applyAlignment="1">
      <alignment horizontal="center"/>
    </xf>
    <xf numFmtId="0" fontId="41" fillId="5" borderId="21" xfId="0" applyFont="1" applyFill="1" applyBorder="1" applyAlignment="1">
      <alignment horizontal="center"/>
    </xf>
    <xf numFmtId="0" fontId="41" fillId="13" borderId="83" xfId="0" applyFont="1" applyFill="1" applyBorder="1" applyAlignment="1">
      <alignment horizontal="center"/>
    </xf>
    <xf numFmtId="164" fontId="41" fillId="13" borderId="61" xfId="0" applyNumberFormat="1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46" fillId="5" borderId="57" xfId="0" applyFont="1" applyFill="1" applyBorder="1" applyAlignment="1">
      <alignment horizontal="center"/>
    </xf>
    <xf numFmtId="164" fontId="46" fillId="5" borderId="21" xfId="0" applyNumberFormat="1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2" fillId="0" borderId="26" xfId="0" applyFont="1" applyBorder="1" applyAlignment="1">
      <alignment horizontal="right"/>
    </xf>
    <xf numFmtId="0" fontId="2" fillId="0" borderId="27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9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1" xfId="0" applyBorder="1" applyAlignment="1">
      <alignment horizontal="left"/>
    </xf>
    <xf numFmtId="164" fontId="0" fillId="0" borderId="12" xfId="0" applyNumberFormat="1" applyBorder="1" applyAlignment="1">
      <alignment horizontal="left"/>
    </xf>
    <xf numFmtId="164" fontId="0" fillId="0" borderId="13" xfId="0" applyNumberFormat="1" applyBorder="1" applyAlignment="1">
      <alignment horizontal="left"/>
    </xf>
    <xf numFmtId="164" fontId="0" fillId="0" borderId="14" xfId="0" applyNumberFormat="1" applyBorder="1" applyAlignment="1">
      <alignment horizontal="left"/>
    </xf>
    <xf numFmtId="0" fontId="42" fillId="14" borderId="21" xfId="0" applyFont="1" applyFill="1" applyBorder="1" applyAlignment="1">
      <alignment horizontal="center"/>
    </xf>
  </cellXfs>
  <cellStyles count="1">
    <cellStyle name="Normal" xfId="0" builtinId="0"/>
  </cellStyles>
  <dxfs count="1392"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m/dd/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FFFFFF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65" formatCode="mm/dd/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rey Boser" id="{DF48A5CF-DADB-44F3-832C-F2844FF32021}" userId="S::corey.boser@bldr.com::0dc32000-198d-4a75-b595-ad7064c2bed5" providerId="AD"/>
  <person displayName="Alyssa Prinzing" id="{37FB2841-409B-434E-8A10-35EBCFF5C882}" userId="S::alyssa.gillespie@bldr.com::40455b34-1010-408a-ae44-b2a2efa25ef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184D9-E8A1-4856-BCA6-AB40B9A75386}" name="Table1" displayName="Table1" ref="B1:L21" totalsRowShown="0" headerRowDxfId="35" dataDxfId="34" tableBorderDxfId="33">
  <autoFilter ref="B1:L21" xr:uid="{3AA184D9-E8A1-4856-BCA6-AB40B9A75386}"/>
  <sortState xmlns:xlrd2="http://schemas.microsoft.com/office/spreadsheetml/2017/richdata2" ref="B2:L5">
    <sortCondition ref="B1:B5"/>
  </sortState>
  <tableColumns count="11">
    <tableColumn id="1" xr3:uid="{A05CEE25-5711-4B78-9C1A-E86F6CC4E8EE}" name="Submittal date" dataDxfId="32"/>
    <tableColumn id="2" xr3:uid="{67110B81-1758-478F-AE61-F8A347F85008}" name="JOB" dataDxfId="31"/>
    <tableColumn id="3" xr3:uid="{11D6ED89-D2E7-4554-B135-9BC30D755A2C}" name="LOT" dataDxfId="30"/>
    <tableColumn id="4" xr3:uid="{B694AA38-B990-4505-9923-2D50BC6FF9E3}" name="DESCRIPTION " dataDxfId="29"/>
    <tableColumn id="11" xr3:uid="{EC9B7C74-A79F-4484-8B25-ADE4E9026C38}" name="WARRANTY?" dataDxfId="28"/>
    <tableColumn id="5" xr3:uid="{4564ABB8-7832-4350-A9D0-C504D857B154}" name="TOTAL W/ TAX" dataDxfId="27"/>
    <tableColumn id="6" xr3:uid="{EF702BB6-BB4B-451F-A0D5-F0AB9B2A66F6}" name="ORDER #" dataDxfId="26"/>
    <tableColumn id="10" xr3:uid="{906907E3-3CC8-410D-B47A-170F4F3B08A7}" name="Check date" dataDxfId="25"/>
    <tableColumn id="7" xr3:uid="{99AA893A-DFA5-468A-8F55-0CA20D0749CB}" name="AGING" dataDxfId="24"/>
    <tableColumn id="8" xr3:uid="{684CD0BC-CDBC-44A6-9EB0-A6F62087C63C}" name="EPO#" dataDxfId="23"/>
    <tableColumn id="9" xr3:uid="{C5F8A739-CE61-4E6F-A098-7D6130760410}" name="NOTE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184FA9-0189-4178-98D8-4B1ACD8D6C5D}" name="Table13" displayName="Table13" ref="B1:L2" insertRow="1" totalsRowShown="0" headerRowDxfId="13" dataDxfId="12" tableBorderDxfId="11">
  <autoFilter ref="B1:L2" xr:uid="{CF184FA9-0189-4178-98D8-4B1ACD8D6C5D}"/>
  <sortState xmlns:xlrd2="http://schemas.microsoft.com/office/spreadsheetml/2017/richdata2" ref="B2:L2">
    <sortCondition ref="B1:B2"/>
  </sortState>
  <tableColumns count="11">
    <tableColumn id="1" xr3:uid="{33213037-F722-499D-A657-82AE9DAF3E95}" name="Submittal date" dataDxfId="10"/>
    <tableColumn id="2" xr3:uid="{E1F74DC7-2BE4-4433-9D1E-B7EF1B147D27}" name="JOB" dataDxfId="9"/>
    <tableColumn id="3" xr3:uid="{6BD7E75D-AE94-4334-9727-675543EBC9B4}" name="LOT" dataDxfId="8"/>
    <tableColumn id="4" xr3:uid="{74481498-8B7F-4DC1-887F-3C48F39E748F}" name="DESCRIPTION " dataDxfId="7"/>
    <tableColumn id="11" xr3:uid="{779370B0-BD04-42A1-B844-CF49BB935EC0}" name="WARRANTY?" dataDxfId="6"/>
    <tableColumn id="5" xr3:uid="{88D96D56-4753-4BE5-8777-E923D9CDCFA0}" name="TOTAL W/ TAX" dataDxfId="5"/>
    <tableColumn id="6" xr3:uid="{4D79A125-8C35-4499-8007-9966B3D2DE0F}" name="ORDER #" dataDxfId="4"/>
    <tableColumn id="10" xr3:uid="{D06824B7-8657-4C59-BF25-6629E4141FB9}" name="Check date" dataDxfId="3"/>
    <tableColumn id="7" xr3:uid="{C6F52F63-AE8C-49F6-B935-05610D028F2B}" name="AGING" dataDxfId="2"/>
    <tableColumn id="8" xr3:uid="{DA692A89-2E6D-49A8-9D90-091205BE6B12}" name="EPO#" dataDxfId="1"/>
    <tableColumn id="9" xr3:uid="{DC3082E2-3064-4EBA-8E90-39CE3BD79A56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8" dT="2025-03-17T15:03:16.64" personId="{DF48A5CF-DADB-44F3-832C-F2844FF32021}" id="{927D91C6-4E20-4EE6-9EBB-9DB5BB921564}">
    <text>Plan shows 9' walls 2nd floor but no call out on HCO - Emailed Anna &amp; Alyssa 3/17/25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26" dT="2025-04-07T15:59:58.40" personId="{37FB2841-409B-434E-8A10-35EBCFF5C882}" id="{E9D89C54-B13D-4476-92BF-6189969802C9}">
    <text>PO's have incorrect tax amount - don't bill out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Q6" dT="2025-04-07T16:01:35.60" personId="{37FB2841-409B-434E-8A10-35EBCFF5C882}" id="{53259843-4B23-4E0E-8036-8F56387CCA96}">
    <text>missing PO's don't bill out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O2" dT="2022-04-12T17:48:23.36" personId="{DF48A5CF-DADB-44F3-832C-F2844FF32021}" id="{F2EC3092-A389-4BF9-BF15-EF002E9AB4FF}">
    <text>G915 includes these as standard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F112-7E36-4C51-801C-C166288047CF}">
  <dimension ref="A1:M65"/>
  <sheetViews>
    <sheetView workbookViewId="0">
      <selection activeCell="A39" sqref="A39"/>
    </sheetView>
  </sheetViews>
  <sheetFormatPr defaultColWidth="9.140625" defaultRowHeight="12.95"/>
  <cols>
    <col min="1" max="1" width="25.140625" style="761" bestFit="1" customWidth="1"/>
    <col min="2" max="2" width="4.85546875" style="761" bestFit="1" customWidth="1"/>
    <col min="3" max="3" width="41.28515625" style="761" bestFit="1" customWidth="1"/>
    <col min="4" max="4" width="41.28515625" style="784" customWidth="1"/>
    <col min="5" max="5" width="21.7109375" style="761" bestFit="1" customWidth="1"/>
    <col min="6" max="6" width="11.5703125" style="761" bestFit="1" customWidth="1"/>
    <col min="7" max="7" width="20.28515625" style="761" bestFit="1" customWidth="1"/>
    <col min="8" max="8" width="9.140625" style="761"/>
    <col min="9" max="9" width="11" style="761" bestFit="1" customWidth="1"/>
    <col min="10" max="16384" width="9.140625" style="761"/>
  </cols>
  <sheetData>
    <row r="1" spans="1:7">
      <c r="A1" s="762" t="s">
        <v>0</v>
      </c>
      <c r="B1" s="762" t="s">
        <v>1</v>
      </c>
      <c r="C1" s="762" t="s">
        <v>2</v>
      </c>
      <c r="D1" s="783" t="s">
        <v>3</v>
      </c>
      <c r="E1" s="762" t="s">
        <v>4</v>
      </c>
      <c r="F1" s="762" t="s">
        <v>5</v>
      </c>
      <c r="G1" s="762" t="s">
        <v>6</v>
      </c>
    </row>
    <row r="2" spans="1:7">
      <c r="A2" s="785" t="s">
        <v>7</v>
      </c>
      <c r="B2" s="785">
        <v>90</v>
      </c>
      <c r="C2" s="785" t="s">
        <v>8</v>
      </c>
      <c r="D2" s="786"/>
      <c r="E2" s="787">
        <v>45419</v>
      </c>
      <c r="F2" s="785" t="s">
        <v>9</v>
      </c>
      <c r="G2" s="785" t="s">
        <v>9</v>
      </c>
    </row>
    <row r="3" spans="1:7">
      <c r="A3" s="785" t="s">
        <v>7</v>
      </c>
      <c r="B3" s="785">
        <v>140</v>
      </c>
      <c r="C3" s="785" t="s">
        <v>10</v>
      </c>
      <c r="D3" s="786">
        <v>6738.7</v>
      </c>
      <c r="E3" s="787">
        <v>45426</v>
      </c>
      <c r="F3" s="785" t="s">
        <v>9</v>
      </c>
      <c r="G3" s="785"/>
    </row>
    <row r="4" spans="1:7">
      <c r="A4" s="785" t="s">
        <v>7</v>
      </c>
      <c r="B4" s="785">
        <v>91</v>
      </c>
      <c r="C4" s="785" t="s">
        <v>8</v>
      </c>
      <c r="D4" s="786"/>
      <c r="E4" s="787">
        <v>45432</v>
      </c>
      <c r="F4" s="785" t="s">
        <v>9</v>
      </c>
      <c r="G4" s="785" t="s">
        <v>9</v>
      </c>
    </row>
    <row r="5" spans="1:7">
      <c r="A5" s="785" t="s">
        <v>7</v>
      </c>
      <c r="B5" s="785">
        <v>92</v>
      </c>
      <c r="C5" s="785" t="s">
        <v>8</v>
      </c>
      <c r="D5" s="786"/>
      <c r="E5" s="787">
        <v>45432</v>
      </c>
      <c r="F5" s="785" t="s">
        <v>9</v>
      </c>
      <c r="G5" s="785" t="s">
        <v>9</v>
      </c>
    </row>
    <row r="6" spans="1:7">
      <c r="A6" s="785" t="s">
        <v>7</v>
      </c>
      <c r="B6" s="785">
        <v>161</v>
      </c>
      <c r="C6" s="785" t="s">
        <v>10</v>
      </c>
      <c r="D6" s="786">
        <v>6695.22</v>
      </c>
      <c r="E6" s="787">
        <v>45433</v>
      </c>
      <c r="F6" s="785" t="s">
        <v>9</v>
      </c>
      <c r="G6" s="785" t="s">
        <v>9</v>
      </c>
    </row>
    <row r="7" spans="1:7">
      <c r="A7" s="785" t="s">
        <v>7</v>
      </c>
      <c r="B7" s="785">
        <v>157</v>
      </c>
      <c r="C7" s="785" t="s">
        <v>10</v>
      </c>
      <c r="D7" s="786">
        <v>6695.22</v>
      </c>
      <c r="E7" s="787">
        <v>45433</v>
      </c>
      <c r="F7" s="785" t="s">
        <v>9</v>
      </c>
      <c r="G7" s="785" t="s">
        <v>9</v>
      </c>
    </row>
    <row r="8" spans="1:7">
      <c r="A8" s="785" t="s">
        <v>11</v>
      </c>
      <c r="B8" s="785">
        <v>22</v>
      </c>
      <c r="C8" s="785" t="s">
        <v>12</v>
      </c>
      <c r="D8" s="786"/>
      <c r="E8" s="787">
        <v>45434</v>
      </c>
      <c r="F8" s="785" t="s">
        <v>9</v>
      </c>
      <c r="G8" s="785" t="s">
        <v>9</v>
      </c>
    </row>
    <row r="9" spans="1:7">
      <c r="A9" s="785" t="s">
        <v>11</v>
      </c>
      <c r="B9" s="785">
        <v>23</v>
      </c>
      <c r="C9" s="785" t="s">
        <v>12</v>
      </c>
      <c r="D9" s="786"/>
      <c r="E9" s="787">
        <v>45434</v>
      </c>
      <c r="F9" s="785" t="s">
        <v>9</v>
      </c>
      <c r="G9" s="785" t="s">
        <v>9</v>
      </c>
    </row>
    <row r="10" spans="1:7">
      <c r="A10" s="785" t="s">
        <v>11</v>
      </c>
      <c r="B10" s="785">
        <v>24</v>
      </c>
      <c r="C10" s="785" t="s">
        <v>12</v>
      </c>
      <c r="D10" s="786"/>
      <c r="E10" s="787">
        <v>45434</v>
      </c>
      <c r="F10" s="785" t="s">
        <v>9</v>
      </c>
      <c r="G10" s="785" t="s">
        <v>9</v>
      </c>
    </row>
    <row r="11" spans="1:7">
      <c r="A11" s="785" t="s">
        <v>11</v>
      </c>
      <c r="B11" s="785">
        <v>27</v>
      </c>
      <c r="C11" s="785" t="s">
        <v>12</v>
      </c>
      <c r="D11" s="786"/>
      <c r="E11" s="787">
        <v>45434</v>
      </c>
      <c r="F11" s="785" t="s">
        <v>9</v>
      </c>
      <c r="G11" s="785" t="s">
        <v>13</v>
      </c>
    </row>
    <row r="12" spans="1:7">
      <c r="A12" s="785" t="s">
        <v>11</v>
      </c>
      <c r="B12" s="785">
        <v>28</v>
      </c>
      <c r="C12" s="785" t="s">
        <v>12</v>
      </c>
      <c r="D12" s="786"/>
      <c r="E12" s="787">
        <v>45434</v>
      </c>
      <c r="F12" s="785" t="s">
        <v>9</v>
      </c>
      <c r="G12" s="785" t="s">
        <v>13</v>
      </c>
    </row>
    <row r="13" spans="1:7">
      <c r="A13" s="785" t="s">
        <v>11</v>
      </c>
      <c r="B13" s="785">
        <v>53</v>
      </c>
      <c r="C13" s="785" t="s">
        <v>12</v>
      </c>
      <c r="D13" s="786"/>
      <c r="E13" s="787">
        <v>45434</v>
      </c>
      <c r="F13" s="785" t="s">
        <v>9</v>
      </c>
      <c r="G13" s="785" t="s">
        <v>13</v>
      </c>
    </row>
    <row r="14" spans="1:7">
      <c r="A14" s="785" t="s">
        <v>11</v>
      </c>
      <c r="B14" s="785">
        <v>54</v>
      </c>
      <c r="C14" s="785" t="s">
        <v>12</v>
      </c>
      <c r="D14" s="786"/>
      <c r="E14" s="787">
        <v>45434</v>
      </c>
      <c r="F14" s="785" t="s">
        <v>9</v>
      </c>
      <c r="G14" s="785" t="s">
        <v>13</v>
      </c>
    </row>
    <row r="15" spans="1:7">
      <c r="A15" s="785" t="s">
        <v>11</v>
      </c>
      <c r="B15" s="785">
        <v>56</v>
      </c>
      <c r="C15" s="785" t="s">
        <v>12</v>
      </c>
      <c r="D15" s="786"/>
      <c r="E15" s="787">
        <v>45434</v>
      </c>
      <c r="F15" s="785" t="s">
        <v>9</v>
      </c>
      <c r="G15" s="785" t="s">
        <v>13</v>
      </c>
    </row>
    <row r="16" spans="1:7">
      <c r="A16" s="785" t="s">
        <v>7</v>
      </c>
      <c r="B16" s="785">
        <v>165</v>
      </c>
      <c r="C16" s="785" t="s">
        <v>14</v>
      </c>
      <c r="D16" s="786">
        <v>371.79</v>
      </c>
      <c r="E16" s="787">
        <v>45435</v>
      </c>
      <c r="F16" s="785" t="s">
        <v>9</v>
      </c>
      <c r="G16" s="785" t="s">
        <v>9</v>
      </c>
    </row>
    <row r="17" spans="1:7">
      <c r="A17" s="785" t="s">
        <v>7</v>
      </c>
      <c r="B17" s="785">
        <v>161</v>
      </c>
      <c r="C17" s="785" t="s">
        <v>14</v>
      </c>
      <c r="D17" s="786">
        <v>371.79</v>
      </c>
      <c r="E17" s="787">
        <v>45435</v>
      </c>
      <c r="F17" s="785" t="s">
        <v>9</v>
      </c>
      <c r="G17" s="785" t="s">
        <v>9</v>
      </c>
    </row>
    <row r="18" spans="1:7">
      <c r="A18" s="761" t="s">
        <v>15</v>
      </c>
      <c r="B18" s="761">
        <v>121</v>
      </c>
      <c r="C18" s="761" t="s">
        <v>16</v>
      </c>
      <c r="E18" s="763">
        <v>45436</v>
      </c>
    </row>
    <row r="19" spans="1:7">
      <c r="A19" s="761" t="s">
        <v>11</v>
      </c>
      <c r="B19" s="761">
        <v>29</v>
      </c>
      <c r="C19" s="761" t="s">
        <v>17</v>
      </c>
      <c r="E19" s="763">
        <v>45440</v>
      </c>
    </row>
    <row r="20" spans="1:7">
      <c r="A20" s="785" t="s">
        <v>11</v>
      </c>
      <c r="B20" s="785">
        <v>27</v>
      </c>
      <c r="C20" s="785" t="s">
        <v>18</v>
      </c>
      <c r="D20" s="786"/>
      <c r="E20" s="787">
        <v>45440</v>
      </c>
      <c r="F20" s="785"/>
      <c r="G20" s="785" t="s">
        <v>9</v>
      </c>
    </row>
    <row r="21" spans="1:7">
      <c r="A21" s="761" t="s">
        <v>7</v>
      </c>
      <c r="B21" s="761">
        <v>82</v>
      </c>
      <c r="C21" s="761" t="s">
        <v>19</v>
      </c>
      <c r="D21" s="784" t="s">
        <v>20</v>
      </c>
      <c r="E21" s="763">
        <v>45441</v>
      </c>
    </row>
    <row r="22" spans="1:7">
      <c r="A22" s="761" t="s">
        <v>21</v>
      </c>
      <c r="B22" s="761">
        <v>234</v>
      </c>
      <c r="C22" s="761" t="s">
        <v>22</v>
      </c>
      <c r="E22" s="763">
        <v>45449</v>
      </c>
    </row>
    <row r="23" spans="1:7">
      <c r="A23" s="761" t="s">
        <v>21</v>
      </c>
      <c r="B23" s="761">
        <v>235</v>
      </c>
      <c r="C23" s="761" t="s">
        <v>22</v>
      </c>
      <c r="E23" s="763">
        <v>45449</v>
      </c>
    </row>
    <row r="24" spans="1:7">
      <c r="A24" s="761" t="s">
        <v>21</v>
      </c>
      <c r="B24" s="761">
        <v>237</v>
      </c>
      <c r="C24" s="761" t="s">
        <v>22</v>
      </c>
      <c r="E24" s="763">
        <v>45474</v>
      </c>
    </row>
    <row r="25" spans="1:7">
      <c r="A25" s="785" t="s">
        <v>11</v>
      </c>
      <c r="B25" s="785">
        <v>25</v>
      </c>
      <c r="C25" s="785" t="s">
        <v>12</v>
      </c>
      <c r="D25" s="786"/>
      <c r="E25" s="787">
        <v>45474</v>
      </c>
      <c r="F25" s="785"/>
      <c r="G25" s="785" t="s">
        <v>9</v>
      </c>
    </row>
    <row r="26" spans="1:7">
      <c r="A26" s="785" t="s">
        <v>11</v>
      </c>
      <c r="B26" s="785">
        <v>26</v>
      </c>
      <c r="C26" s="785" t="s">
        <v>23</v>
      </c>
      <c r="D26" s="786"/>
      <c r="E26" s="787">
        <v>45474</v>
      </c>
      <c r="F26" s="785"/>
      <c r="G26" s="785" t="s">
        <v>13</v>
      </c>
    </row>
    <row r="27" spans="1:7">
      <c r="A27" s="785" t="s">
        <v>11</v>
      </c>
      <c r="B27" s="785">
        <v>44</v>
      </c>
      <c r="C27" s="785" t="s">
        <v>12</v>
      </c>
      <c r="D27" s="786"/>
      <c r="E27" s="787">
        <v>45474</v>
      </c>
      <c r="F27" s="785"/>
      <c r="G27" s="785" t="s">
        <v>9</v>
      </c>
    </row>
    <row r="29" spans="1:7">
      <c r="A29" s="782" t="s">
        <v>24</v>
      </c>
    </row>
    <row r="30" spans="1:7">
      <c r="A30" s="762" t="s">
        <v>0</v>
      </c>
      <c r="B30" s="762" t="s">
        <v>1</v>
      </c>
      <c r="C30" s="762" t="s">
        <v>2</v>
      </c>
      <c r="D30" s="783" t="s">
        <v>3</v>
      </c>
    </row>
    <row r="31" spans="1:7">
      <c r="A31" s="761" t="s">
        <v>7</v>
      </c>
      <c r="B31" s="761">
        <v>165</v>
      </c>
      <c r="C31" s="761" t="s">
        <v>25</v>
      </c>
      <c r="D31" s="784">
        <v>50.69</v>
      </c>
    </row>
    <row r="32" spans="1:7">
      <c r="A32" s="761" t="s">
        <v>26</v>
      </c>
      <c r="B32" s="761">
        <v>1</v>
      </c>
      <c r="C32" s="761" t="s">
        <v>27</v>
      </c>
      <c r="D32" s="784">
        <v>3015.04</v>
      </c>
    </row>
    <row r="33" spans="1:4">
      <c r="A33" s="785" t="s">
        <v>21</v>
      </c>
      <c r="B33" s="785">
        <v>232</v>
      </c>
      <c r="C33" s="785" t="s">
        <v>28</v>
      </c>
      <c r="D33" s="786">
        <v>8996</v>
      </c>
    </row>
    <row r="34" spans="1:4">
      <c r="A34" s="785" t="s">
        <v>21</v>
      </c>
      <c r="B34" s="785">
        <v>265</v>
      </c>
      <c r="C34" s="785" t="s">
        <v>29</v>
      </c>
      <c r="D34" s="786">
        <v>10879</v>
      </c>
    </row>
    <row r="35" spans="1:4">
      <c r="A35" s="785" t="s">
        <v>21</v>
      </c>
      <c r="B35" s="785">
        <v>267</v>
      </c>
      <c r="C35" s="785" t="s">
        <v>30</v>
      </c>
      <c r="D35" s="786">
        <v>12131</v>
      </c>
    </row>
    <row r="36" spans="1:4">
      <c r="A36" s="761" t="s">
        <v>21</v>
      </c>
      <c r="B36" s="761">
        <v>265</v>
      </c>
      <c r="C36" s="761" t="s">
        <v>31</v>
      </c>
      <c r="D36" s="784">
        <v>5045</v>
      </c>
    </row>
    <row r="37" spans="1:4">
      <c r="A37" s="761" t="s">
        <v>21</v>
      </c>
      <c r="B37" s="761">
        <v>266</v>
      </c>
      <c r="C37" s="761" t="s">
        <v>32</v>
      </c>
      <c r="D37" s="784">
        <v>5433</v>
      </c>
    </row>
    <row r="38" spans="1:4">
      <c r="A38" s="761" t="s">
        <v>21</v>
      </c>
      <c r="B38" s="761">
        <v>267</v>
      </c>
      <c r="C38" s="761" t="s">
        <v>33</v>
      </c>
      <c r="D38" s="784">
        <v>5015</v>
      </c>
    </row>
    <row r="39" spans="1:4">
      <c r="A39" s="761" t="s">
        <v>21</v>
      </c>
      <c r="B39" s="761">
        <v>268</v>
      </c>
      <c r="C39" s="761" t="s">
        <v>34</v>
      </c>
      <c r="D39" s="784">
        <v>5045</v>
      </c>
    </row>
    <row r="40" spans="1:4">
      <c r="A40" s="761" t="s">
        <v>35</v>
      </c>
      <c r="B40" s="761">
        <v>3</v>
      </c>
      <c r="C40" s="761" t="s">
        <v>36</v>
      </c>
      <c r="D40" s="784">
        <v>128.77000000000001</v>
      </c>
    </row>
    <row r="41" spans="1:4">
      <c r="A41" s="761" t="s">
        <v>21</v>
      </c>
      <c r="B41" s="761">
        <v>249</v>
      </c>
      <c r="C41" s="761" t="s">
        <v>37</v>
      </c>
      <c r="D41" s="784">
        <v>138.22</v>
      </c>
    </row>
    <row r="49" spans="1:13">
      <c r="A49" s="782" t="s">
        <v>38</v>
      </c>
    </row>
    <row r="50" spans="1:13">
      <c r="A50" s="785" t="s">
        <v>39</v>
      </c>
      <c r="B50" s="785"/>
      <c r="C50" s="785" t="s">
        <v>40</v>
      </c>
      <c r="D50" s="786">
        <v>6210.78</v>
      </c>
      <c r="E50" s="785" t="s">
        <v>41</v>
      </c>
      <c r="F50" s="785"/>
      <c r="G50" s="785"/>
      <c r="H50" s="785"/>
      <c r="I50" s="785"/>
      <c r="J50" s="785"/>
      <c r="K50" s="785"/>
      <c r="L50" s="785"/>
      <c r="M50" s="785"/>
    </row>
    <row r="51" spans="1:13">
      <c r="A51" s="785" t="s">
        <v>39</v>
      </c>
      <c r="B51" s="785"/>
      <c r="C51" s="785" t="s">
        <v>42</v>
      </c>
      <c r="D51" s="786">
        <v>2511.86</v>
      </c>
      <c r="E51" s="785">
        <v>112608</v>
      </c>
      <c r="F51" s="785">
        <v>1484755</v>
      </c>
      <c r="G51" s="785">
        <v>73759313</v>
      </c>
      <c r="H51" s="785"/>
      <c r="I51" s="785">
        <v>75574782</v>
      </c>
    </row>
    <row r="52" spans="1:13">
      <c r="A52" s="785" t="s">
        <v>39</v>
      </c>
      <c r="B52" s="785"/>
      <c r="C52" s="785" t="s">
        <v>43</v>
      </c>
      <c r="D52" s="786">
        <v>3897.72</v>
      </c>
      <c r="E52" s="785">
        <v>112609</v>
      </c>
      <c r="F52" s="785">
        <v>1444112</v>
      </c>
      <c r="G52" s="785">
        <v>73082452</v>
      </c>
      <c r="H52" s="785"/>
      <c r="I52" s="785">
        <v>75575108</v>
      </c>
    </row>
    <row r="53" spans="1:13">
      <c r="A53" s="785" t="s">
        <v>39</v>
      </c>
      <c r="B53" s="785"/>
      <c r="C53" s="785" t="s">
        <v>44</v>
      </c>
      <c r="D53" s="786">
        <v>1732.32</v>
      </c>
      <c r="E53" s="785">
        <v>112613</v>
      </c>
      <c r="F53" s="785">
        <v>1473856</v>
      </c>
      <c r="G53" s="785">
        <v>73703164</v>
      </c>
      <c r="H53" s="785"/>
      <c r="I53" s="785">
        <v>75576055</v>
      </c>
    </row>
    <row r="54" spans="1:13">
      <c r="A54" s="785" t="s">
        <v>39</v>
      </c>
      <c r="B54" s="785"/>
      <c r="C54" s="785" t="s">
        <v>45</v>
      </c>
      <c r="D54" s="786">
        <v>3767.8</v>
      </c>
      <c r="E54" s="785">
        <v>112615</v>
      </c>
      <c r="F54" s="785">
        <v>1470966</v>
      </c>
      <c r="G54" s="785">
        <v>73473721</v>
      </c>
      <c r="H54" s="785"/>
      <c r="I54" s="785">
        <v>75576140</v>
      </c>
    </row>
    <row r="55" spans="1:13">
      <c r="A55" s="785" t="s">
        <v>39</v>
      </c>
      <c r="B55" s="785"/>
      <c r="C55" s="785" t="s">
        <v>46</v>
      </c>
      <c r="D55" s="786">
        <v>3724.49</v>
      </c>
      <c r="E55" s="785">
        <v>112616</v>
      </c>
      <c r="F55" s="785">
        <v>1470973</v>
      </c>
      <c r="G55" s="785">
        <v>73474040</v>
      </c>
      <c r="H55" s="785"/>
      <c r="I55" s="785">
        <v>75576209</v>
      </c>
    </row>
    <row r="56" spans="1:13">
      <c r="A56" s="785" t="s">
        <v>47</v>
      </c>
      <c r="B56" s="785"/>
      <c r="C56" s="785" t="s">
        <v>48</v>
      </c>
      <c r="D56" s="786">
        <v>371.79</v>
      </c>
      <c r="E56" s="785">
        <v>112682</v>
      </c>
      <c r="F56" s="785">
        <v>1434834</v>
      </c>
      <c r="G56" s="785">
        <v>72769915</v>
      </c>
      <c r="H56" s="785"/>
      <c r="I56" s="785">
        <v>75576390</v>
      </c>
    </row>
    <row r="57" spans="1:13">
      <c r="A57" s="785" t="s">
        <v>47</v>
      </c>
      <c r="B57" s="785"/>
      <c r="C57" s="785" t="s">
        <v>49</v>
      </c>
      <c r="D57" s="786">
        <v>937.89</v>
      </c>
      <c r="E57" s="785">
        <v>112688</v>
      </c>
      <c r="F57" s="785">
        <v>1460983</v>
      </c>
      <c r="G57" s="785">
        <v>73397261</v>
      </c>
      <c r="H57" s="785" t="s">
        <v>50</v>
      </c>
      <c r="I57" s="785"/>
    </row>
    <row r="58" spans="1:13">
      <c r="A58" s="785" t="s">
        <v>47</v>
      </c>
      <c r="B58" s="785"/>
      <c r="C58" s="785" t="s">
        <v>46</v>
      </c>
      <c r="D58" s="786">
        <v>371.79</v>
      </c>
      <c r="E58" s="785">
        <v>112684</v>
      </c>
      <c r="F58" s="785">
        <v>1437021</v>
      </c>
      <c r="G58" s="785">
        <v>72979193</v>
      </c>
      <c r="H58" s="785"/>
      <c r="I58" s="785">
        <v>75576581</v>
      </c>
    </row>
    <row r="59" spans="1:13">
      <c r="A59" s="785" t="s">
        <v>47</v>
      </c>
      <c r="B59" s="785"/>
      <c r="C59" s="785" t="s">
        <v>45</v>
      </c>
      <c r="D59" s="786">
        <v>371.79</v>
      </c>
      <c r="E59" s="785">
        <v>112685</v>
      </c>
      <c r="F59" s="785">
        <v>1437018</v>
      </c>
      <c r="G59" s="785">
        <v>72979082</v>
      </c>
      <c r="H59" s="785"/>
      <c r="I59" s="785">
        <v>75576665</v>
      </c>
    </row>
    <row r="60" spans="1:13">
      <c r="A60" s="785" t="s">
        <v>47</v>
      </c>
      <c r="B60" s="785"/>
      <c r="C60" s="785" t="s">
        <v>51</v>
      </c>
      <c r="D60" s="786">
        <v>795.97</v>
      </c>
      <c r="E60" s="785">
        <v>112689</v>
      </c>
      <c r="F60" s="785">
        <v>1434814</v>
      </c>
      <c r="G60" s="785">
        <v>72745433</v>
      </c>
      <c r="H60" s="785"/>
      <c r="I60" s="785">
        <v>75576724</v>
      </c>
    </row>
    <row r="61" spans="1:13">
      <c r="A61" s="785" t="s">
        <v>52</v>
      </c>
      <c r="B61" s="785"/>
      <c r="C61" s="785" t="s">
        <v>53</v>
      </c>
      <c r="D61" s="786">
        <v>8996</v>
      </c>
      <c r="E61" s="785">
        <v>112855</v>
      </c>
      <c r="F61" s="785"/>
      <c r="G61" s="785"/>
      <c r="H61" s="785"/>
      <c r="I61" s="785"/>
    </row>
    <row r="62" spans="1:13">
      <c r="A62" s="785" t="s">
        <v>52</v>
      </c>
      <c r="B62" s="785"/>
      <c r="C62" s="785" t="s">
        <v>54</v>
      </c>
      <c r="D62" s="786">
        <v>12131</v>
      </c>
      <c r="E62" s="785">
        <v>112856</v>
      </c>
      <c r="F62" s="785"/>
      <c r="G62" s="785"/>
      <c r="H62" s="785"/>
      <c r="I62" s="785"/>
    </row>
    <row r="63" spans="1:13">
      <c r="A63" s="785" t="s">
        <v>52</v>
      </c>
      <c r="B63" s="785"/>
      <c r="C63" s="785" t="s">
        <v>55</v>
      </c>
      <c r="D63" s="786">
        <v>10879</v>
      </c>
      <c r="E63" s="785">
        <v>112857</v>
      </c>
      <c r="F63" s="785"/>
      <c r="G63" s="785"/>
      <c r="H63" s="785"/>
      <c r="I63" s="785"/>
    </row>
    <row r="64" spans="1:13">
      <c r="A64" s="785" t="s">
        <v>52</v>
      </c>
      <c r="B64" s="785"/>
      <c r="C64" s="785" t="s">
        <v>56</v>
      </c>
      <c r="D64" s="786">
        <v>10879</v>
      </c>
      <c r="E64" s="785">
        <v>112859</v>
      </c>
      <c r="F64" s="785"/>
      <c r="G64" s="785"/>
      <c r="H64" s="785"/>
      <c r="I64" s="785"/>
    </row>
    <row r="65" spans="1:8">
      <c r="A65" s="785" t="s">
        <v>57</v>
      </c>
      <c r="B65" s="785"/>
      <c r="C65" s="785" t="s">
        <v>58</v>
      </c>
      <c r="D65" s="786">
        <v>387.75</v>
      </c>
      <c r="E65" s="785">
        <v>112864</v>
      </c>
      <c r="F65" s="785">
        <v>1438298</v>
      </c>
      <c r="G65" s="785">
        <v>75281776</v>
      </c>
      <c r="H65" s="7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8D08-FDA2-4AEA-B02E-8B80791C65B8}">
  <dimension ref="A1:E580"/>
  <sheetViews>
    <sheetView topLeftCell="A106" workbookViewId="0">
      <selection activeCell="N34" sqref="N34"/>
    </sheetView>
  </sheetViews>
  <sheetFormatPr defaultRowHeight="14.45"/>
  <cols>
    <col min="1" max="1" width="14" bestFit="1" customWidth="1"/>
    <col min="2" max="2" width="15.85546875" bestFit="1" customWidth="1"/>
    <col min="3" max="3" width="41.42578125" bestFit="1" customWidth="1"/>
    <col min="4" max="4" width="21.5703125" customWidth="1"/>
    <col min="5" max="5" width="56.5703125" customWidth="1"/>
  </cols>
  <sheetData>
    <row r="1" spans="1:5">
      <c r="A1" t="s">
        <v>59</v>
      </c>
      <c r="B1" s="571">
        <v>45292</v>
      </c>
    </row>
    <row r="2" spans="1:5">
      <c r="A2" t="s">
        <v>60</v>
      </c>
      <c r="B2" s="571">
        <v>45381</v>
      </c>
      <c r="D2" s="571"/>
    </row>
    <row r="3" spans="1:5">
      <c r="A3" t="s">
        <v>61</v>
      </c>
      <c r="B3" t="s">
        <v>62</v>
      </c>
      <c r="C3" t="s">
        <v>63</v>
      </c>
      <c r="D3" t="s">
        <v>64</v>
      </c>
      <c r="E3" t="s">
        <v>65</v>
      </c>
    </row>
    <row r="4" spans="1:5">
      <c r="A4" s="560" t="s">
        <v>66</v>
      </c>
      <c r="B4" s="560" t="s">
        <v>67</v>
      </c>
      <c r="C4" s="560" t="s">
        <v>68</v>
      </c>
      <c r="D4" s="560">
        <v>3006.19</v>
      </c>
      <c r="E4" s="560"/>
    </row>
    <row r="5" spans="1:5">
      <c r="A5" s="561" t="s">
        <v>66</v>
      </c>
      <c r="B5" s="561" t="s">
        <v>69</v>
      </c>
      <c r="C5" s="561" t="s">
        <v>70</v>
      </c>
      <c r="D5" s="561">
        <v>2972.14</v>
      </c>
      <c r="E5" s="561"/>
    </row>
    <row r="6" spans="1:5">
      <c r="A6" s="561" t="s">
        <v>66</v>
      </c>
      <c r="B6" s="561" t="s">
        <v>71</v>
      </c>
      <c r="C6" s="561" t="s">
        <v>72</v>
      </c>
      <c r="D6" s="561">
        <v>2743.46</v>
      </c>
      <c r="E6" s="561"/>
    </row>
    <row r="7" spans="1:5">
      <c r="A7" s="561" t="s">
        <v>66</v>
      </c>
      <c r="B7" s="561" t="s">
        <v>73</v>
      </c>
      <c r="C7" s="561" t="s">
        <v>74</v>
      </c>
      <c r="D7" s="561">
        <v>2630.03</v>
      </c>
      <c r="E7" s="561"/>
    </row>
    <row r="8" spans="1:5">
      <c r="A8" s="561" t="s">
        <v>66</v>
      </c>
      <c r="B8" s="561" t="s">
        <v>75</v>
      </c>
      <c r="C8" s="561" t="s">
        <v>76</v>
      </c>
      <c r="D8" s="561">
        <v>2686.55</v>
      </c>
      <c r="E8" s="561"/>
    </row>
    <row r="9" spans="1:5">
      <c r="A9" s="561" t="s">
        <v>66</v>
      </c>
      <c r="B9" s="561" t="s">
        <v>77</v>
      </c>
      <c r="C9" s="561" t="s">
        <v>78</v>
      </c>
      <c r="D9" s="561">
        <v>2422.19</v>
      </c>
      <c r="E9" s="561"/>
    </row>
    <row r="10" spans="1:5">
      <c r="A10" s="561" t="s">
        <v>66</v>
      </c>
      <c r="B10" s="561" t="s">
        <v>79</v>
      </c>
      <c r="C10" s="561" t="s">
        <v>80</v>
      </c>
      <c r="D10" s="561">
        <v>209.76</v>
      </c>
      <c r="E10" s="561"/>
    </row>
    <row r="11" spans="1:5">
      <c r="A11" s="561" t="s">
        <v>66</v>
      </c>
      <c r="B11" s="561" t="s">
        <v>81</v>
      </c>
      <c r="C11" s="561" t="s">
        <v>82</v>
      </c>
      <c r="D11" s="561">
        <v>149.11000000000001</v>
      </c>
      <c r="E11" s="561"/>
    </row>
    <row r="12" spans="1:5">
      <c r="A12" s="561" t="s">
        <v>66</v>
      </c>
      <c r="B12" s="561" t="s">
        <v>83</v>
      </c>
      <c r="C12" s="561" t="s">
        <v>84</v>
      </c>
      <c r="D12" s="561">
        <v>1766.97</v>
      </c>
      <c r="E12" s="561"/>
    </row>
    <row r="13" spans="1:5">
      <c r="A13" s="561" t="s">
        <v>66</v>
      </c>
      <c r="B13" s="561" t="s">
        <v>85</v>
      </c>
      <c r="C13" s="561" t="s">
        <v>86</v>
      </c>
      <c r="D13" s="561">
        <v>1559.09</v>
      </c>
      <c r="E13" s="561"/>
    </row>
    <row r="14" spans="1:5">
      <c r="A14" s="561" t="s">
        <v>66</v>
      </c>
      <c r="B14" s="561" t="s">
        <v>87</v>
      </c>
      <c r="C14" s="561" t="s">
        <v>88</v>
      </c>
      <c r="D14" s="561">
        <v>1687.09</v>
      </c>
      <c r="E14" s="561"/>
    </row>
    <row r="15" spans="1:5">
      <c r="A15" s="561" t="s">
        <v>66</v>
      </c>
      <c r="B15" s="561" t="s">
        <v>89</v>
      </c>
      <c r="C15" s="561" t="s">
        <v>90</v>
      </c>
      <c r="D15" s="561">
        <v>1864.05</v>
      </c>
      <c r="E15" s="561"/>
    </row>
    <row r="16" spans="1:5">
      <c r="A16" s="561" t="s">
        <v>66</v>
      </c>
      <c r="B16" s="561" t="s">
        <v>91</v>
      </c>
      <c r="C16" s="561" t="s">
        <v>92</v>
      </c>
      <c r="D16" s="561">
        <v>1687.09</v>
      </c>
      <c r="E16" s="561"/>
    </row>
    <row r="17" spans="1:5">
      <c r="A17" s="561" t="s">
        <v>66</v>
      </c>
      <c r="B17" s="561" t="s">
        <v>93</v>
      </c>
      <c r="C17" s="561" t="s">
        <v>94</v>
      </c>
      <c r="D17" s="561">
        <v>1559.09</v>
      </c>
      <c r="E17" s="561"/>
    </row>
    <row r="18" spans="1:5">
      <c r="A18" s="561" t="s">
        <v>66</v>
      </c>
      <c r="B18" s="561" t="s">
        <v>95</v>
      </c>
      <c r="C18" s="561" t="s">
        <v>96</v>
      </c>
      <c r="D18" s="561">
        <v>1115.94</v>
      </c>
      <c r="E18" s="561"/>
    </row>
    <row r="19" spans="1:5">
      <c r="A19" s="561" t="s">
        <v>66</v>
      </c>
      <c r="B19" s="561" t="s">
        <v>97</v>
      </c>
      <c r="C19" s="561" t="s">
        <v>98</v>
      </c>
      <c r="D19" s="561">
        <v>-335.62</v>
      </c>
      <c r="E19" s="561"/>
    </row>
    <row r="20" spans="1:5">
      <c r="A20" s="561" t="s">
        <v>66</v>
      </c>
      <c r="B20" s="561" t="s">
        <v>99</v>
      </c>
      <c r="C20" s="561" t="s">
        <v>100</v>
      </c>
      <c r="D20" s="561">
        <v>436.02</v>
      </c>
      <c r="E20" s="561"/>
    </row>
    <row r="21" spans="1:5">
      <c r="A21" s="561" t="s">
        <v>66</v>
      </c>
      <c r="B21" s="561" t="s">
        <v>101</v>
      </c>
      <c r="C21" s="561" t="s">
        <v>102</v>
      </c>
      <c r="D21" s="561">
        <v>2733</v>
      </c>
      <c r="E21" s="561"/>
    </row>
    <row r="22" spans="1:5">
      <c r="A22" s="561" t="s">
        <v>66</v>
      </c>
      <c r="B22" s="561" t="s">
        <v>103</v>
      </c>
      <c r="C22" s="561" t="s">
        <v>104</v>
      </c>
      <c r="D22" s="561">
        <v>7495.42</v>
      </c>
      <c r="E22" s="561"/>
    </row>
    <row r="23" spans="1:5">
      <c r="A23" s="561" t="s">
        <v>66</v>
      </c>
      <c r="B23" s="561" t="s">
        <v>105</v>
      </c>
      <c r="C23" s="561" t="s">
        <v>106</v>
      </c>
      <c r="D23" s="561">
        <v>58.21</v>
      </c>
      <c r="E23" s="561"/>
    </row>
    <row r="24" spans="1:5">
      <c r="A24" s="561" t="s">
        <v>66</v>
      </c>
      <c r="B24" s="561" t="s">
        <v>107</v>
      </c>
      <c r="C24" s="561" t="s">
        <v>108</v>
      </c>
      <c r="D24" s="561">
        <v>89.14</v>
      </c>
      <c r="E24" s="561"/>
    </row>
    <row r="25" spans="1:5">
      <c r="A25" s="561" t="s">
        <v>66</v>
      </c>
      <c r="B25" s="561" t="s">
        <v>109</v>
      </c>
      <c r="C25" s="561" t="s">
        <v>110</v>
      </c>
      <c r="D25" s="561">
        <v>108.84</v>
      </c>
      <c r="E25" s="561"/>
    </row>
    <row r="26" spans="1:5">
      <c r="A26" s="561" t="s">
        <v>66</v>
      </c>
      <c r="B26" s="561" t="s">
        <v>111</v>
      </c>
      <c r="C26" s="561" t="s">
        <v>112</v>
      </c>
      <c r="D26" s="561">
        <v>85.77</v>
      </c>
      <c r="E26" s="561"/>
    </row>
    <row r="27" spans="1:5">
      <c r="A27" s="561" t="s">
        <v>66</v>
      </c>
      <c r="B27" s="561" t="s">
        <v>113</v>
      </c>
      <c r="C27" s="561" t="s">
        <v>114</v>
      </c>
      <c r="D27" s="561">
        <v>10642.41</v>
      </c>
      <c r="E27" s="561"/>
    </row>
    <row r="28" spans="1:5">
      <c r="A28" s="561" t="s">
        <v>66</v>
      </c>
      <c r="B28" s="561" t="s">
        <v>115</v>
      </c>
      <c r="C28" s="561" t="s">
        <v>116</v>
      </c>
      <c r="D28" s="561">
        <v>12076.13</v>
      </c>
      <c r="E28" s="561"/>
    </row>
    <row r="29" spans="1:5">
      <c r="A29" s="562" t="s">
        <v>66</v>
      </c>
      <c r="B29" s="562" t="s">
        <v>117</v>
      </c>
      <c r="C29" s="562" t="s">
        <v>118</v>
      </c>
      <c r="D29" s="562">
        <v>701.49</v>
      </c>
      <c r="E29" s="562"/>
    </row>
    <row r="30" spans="1:5">
      <c r="A30" s="560" t="s">
        <v>119</v>
      </c>
      <c r="B30" s="560" t="s">
        <v>79</v>
      </c>
      <c r="C30" s="560" t="s">
        <v>80</v>
      </c>
      <c r="D30" s="560">
        <v>252.05</v>
      </c>
      <c r="E30" s="560"/>
    </row>
    <row r="31" spans="1:5">
      <c r="A31" s="561" t="s">
        <v>119</v>
      </c>
      <c r="B31" s="561" t="s">
        <v>120</v>
      </c>
      <c r="C31" s="561" t="s">
        <v>121</v>
      </c>
      <c r="D31" s="561">
        <v>125.17</v>
      </c>
      <c r="E31" s="561"/>
    </row>
    <row r="32" spans="1:5">
      <c r="A32" s="561" t="s">
        <v>119</v>
      </c>
      <c r="B32" s="561" t="s">
        <v>81</v>
      </c>
      <c r="C32" s="561" t="s">
        <v>82</v>
      </c>
      <c r="D32" s="561">
        <v>133.38999999999999</v>
      </c>
      <c r="E32" s="561"/>
    </row>
    <row r="33" spans="1:5">
      <c r="A33" s="561" t="s">
        <v>119</v>
      </c>
      <c r="B33" s="561" t="s">
        <v>83</v>
      </c>
      <c r="C33" s="561" t="s">
        <v>122</v>
      </c>
      <c r="D33" s="561">
        <v>2074.08</v>
      </c>
      <c r="E33" s="561"/>
    </row>
    <row r="34" spans="1:5">
      <c r="A34" s="561" t="s">
        <v>119</v>
      </c>
      <c r="B34" s="561" t="s">
        <v>89</v>
      </c>
      <c r="C34" s="561" t="s">
        <v>123</v>
      </c>
      <c r="D34" s="561">
        <v>2154.98</v>
      </c>
      <c r="E34" s="561"/>
    </row>
    <row r="35" spans="1:5">
      <c r="A35" s="561" t="s">
        <v>119</v>
      </c>
      <c r="B35" s="561" t="s">
        <v>124</v>
      </c>
      <c r="C35" s="561" t="s">
        <v>125</v>
      </c>
      <c r="D35" s="561">
        <v>351.24</v>
      </c>
      <c r="E35" s="561"/>
    </row>
    <row r="36" spans="1:5">
      <c r="A36" s="561" t="s">
        <v>119</v>
      </c>
      <c r="B36" s="561" t="s">
        <v>95</v>
      </c>
      <c r="C36" s="561" t="s">
        <v>96</v>
      </c>
      <c r="D36" s="561">
        <v>-245.28</v>
      </c>
      <c r="E36" s="561"/>
    </row>
    <row r="37" spans="1:5">
      <c r="A37" s="561" t="s">
        <v>119</v>
      </c>
      <c r="B37" s="561" t="s">
        <v>97</v>
      </c>
      <c r="C37" s="561" t="s">
        <v>98</v>
      </c>
      <c r="D37" s="561">
        <v>-2981.91</v>
      </c>
      <c r="E37" s="561"/>
    </row>
    <row r="38" spans="1:5">
      <c r="A38" s="561" t="s">
        <v>119</v>
      </c>
      <c r="B38" s="561" t="s">
        <v>105</v>
      </c>
      <c r="C38" s="561" t="s">
        <v>106</v>
      </c>
      <c r="D38" s="561">
        <v>59.99</v>
      </c>
      <c r="E38" s="561"/>
    </row>
    <row r="39" spans="1:5">
      <c r="A39" s="561" t="s">
        <v>119</v>
      </c>
      <c r="B39" s="561" t="s">
        <v>107</v>
      </c>
      <c r="C39" s="561" t="s">
        <v>108</v>
      </c>
      <c r="D39" s="561">
        <v>151.66</v>
      </c>
      <c r="E39" s="561"/>
    </row>
    <row r="40" spans="1:5">
      <c r="A40" s="561" t="s">
        <v>119</v>
      </c>
      <c r="B40" s="561" t="s">
        <v>111</v>
      </c>
      <c r="C40" s="561" t="s">
        <v>126</v>
      </c>
      <c r="D40" s="561">
        <v>104.74</v>
      </c>
      <c r="E40" s="561"/>
    </row>
    <row r="41" spans="1:5">
      <c r="A41" s="562" t="s">
        <v>119</v>
      </c>
      <c r="B41" s="562" t="s">
        <v>113</v>
      </c>
      <c r="C41" s="562" t="s">
        <v>114</v>
      </c>
      <c r="D41" s="562">
        <v>10054.870000000001</v>
      </c>
      <c r="E41" s="562"/>
    </row>
    <row r="42" spans="1:5">
      <c r="A42" s="560" t="s">
        <v>127</v>
      </c>
      <c r="B42" s="560" t="s">
        <v>73</v>
      </c>
      <c r="C42" s="560" t="s">
        <v>74</v>
      </c>
      <c r="D42" s="560">
        <v>2226.31</v>
      </c>
      <c r="E42" s="560"/>
    </row>
    <row r="43" spans="1:5">
      <c r="A43" s="561" t="s">
        <v>127</v>
      </c>
      <c r="B43" s="561" t="s">
        <v>75</v>
      </c>
      <c r="C43" s="561" t="s">
        <v>76</v>
      </c>
      <c r="D43" s="561">
        <v>2145.41</v>
      </c>
      <c r="E43" s="561"/>
    </row>
    <row r="44" spans="1:5">
      <c r="A44" s="561" t="s">
        <v>127</v>
      </c>
      <c r="B44" s="561" t="s">
        <v>77</v>
      </c>
      <c r="C44" s="561" t="s">
        <v>78</v>
      </c>
      <c r="D44" s="561">
        <v>1819.19</v>
      </c>
      <c r="E44" s="561"/>
    </row>
    <row r="45" spans="1:5">
      <c r="A45" s="561" t="s">
        <v>127</v>
      </c>
      <c r="B45" s="561" t="s">
        <v>128</v>
      </c>
      <c r="C45" s="561" t="s">
        <v>129</v>
      </c>
      <c r="D45" s="561">
        <v>117.16</v>
      </c>
      <c r="E45" s="561"/>
    </row>
    <row r="46" spans="1:5">
      <c r="A46" s="561" t="s">
        <v>127</v>
      </c>
      <c r="B46" s="561" t="s">
        <v>130</v>
      </c>
      <c r="C46" s="561" t="s">
        <v>131</v>
      </c>
      <c r="D46" s="561">
        <v>259.08999999999997</v>
      </c>
      <c r="E46" s="561"/>
    </row>
    <row r="47" spans="1:5">
      <c r="A47" s="561" t="s">
        <v>127</v>
      </c>
      <c r="B47" s="561" t="s">
        <v>132</v>
      </c>
      <c r="C47" s="561" t="s">
        <v>133</v>
      </c>
      <c r="D47" s="561">
        <v>89.64</v>
      </c>
      <c r="E47" s="561"/>
    </row>
    <row r="48" spans="1:5">
      <c r="A48" s="561" t="s">
        <v>127</v>
      </c>
      <c r="B48" s="561" t="s">
        <v>81</v>
      </c>
      <c r="C48" s="561" t="s">
        <v>82</v>
      </c>
      <c r="D48" s="561">
        <v>108.97</v>
      </c>
      <c r="E48" s="561"/>
    </row>
    <row r="49" spans="1:5">
      <c r="A49" s="561" t="s">
        <v>127</v>
      </c>
      <c r="B49" s="561" t="s">
        <v>134</v>
      </c>
      <c r="C49" s="561" t="s">
        <v>135</v>
      </c>
      <c r="D49" s="561">
        <v>89.64</v>
      </c>
      <c r="E49" s="561"/>
    </row>
    <row r="50" spans="1:5">
      <c r="A50" s="561" t="s">
        <v>127</v>
      </c>
      <c r="B50" s="561" t="s">
        <v>83</v>
      </c>
      <c r="C50" s="561" t="s">
        <v>136</v>
      </c>
      <c r="D50" s="561">
        <v>6333.4</v>
      </c>
      <c r="E50" s="561"/>
    </row>
    <row r="51" spans="1:5">
      <c r="A51" s="561" t="s">
        <v>127</v>
      </c>
      <c r="B51" s="561" t="s">
        <v>85</v>
      </c>
      <c r="C51" s="561" t="s">
        <v>137</v>
      </c>
      <c r="D51" s="561">
        <v>8922.5499999999993</v>
      </c>
      <c r="E51" s="561"/>
    </row>
    <row r="52" spans="1:5">
      <c r="A52" s="561" t="s">
        <v>127</v>
      </c>
      <c r="B52" s="561" t="s">
        <v>89</v>
      </c>
      <c r="C52" s="561" t="s">
        <v>138</v>
      </c>
      <c r="D52" s="561">
        <v>2367.14</v>
      </c>
      <c r="E52" s="561"/>
    </row>
    <row r="53" spans="1:5">
      <c r="A53" s="561" t="s">
        <v>127</v>
      </c>
      <c r="B53" s="561" t="s">
        <v>93</v>
      </c>
      <c r="C53" s="561" t="s">
        <v>94</v>
      </c>
      <c r="D53" s="561">
        <v>2094.41</v>
      </c>
      <c r="E53" s="561"/>
    </row>
    <row r="54" spans="1:5">
      <c r="A54" s="561" t="s">
        <v>127</v>
      </c>
      <c r="B54" s="561" t="s">
        <v>124</v>
      </c>
      <c r="C54" s="561" t="s">
        <v>139</v>
      </c>
      <c r="D54" s="561">
        <v>163.86</v>
      </c>
      <c r="E54" s="561"/>
    </row>
    <row r="55" spans="1:5">
      <c r="A55" s="561" t="s">
        <v>127</v>
      </c>
      <c r="B55" s="561" t="s">
        <v>140</v>
      </c>
      <c r="C55" s="561" t="s">
        <v>141</v>
      </c>
      <c r="D55" s="561">
        <v>155.41</v>
      </c>
      <c r="E55" s="561"/>
    </row>
    <row r="56" spans="1:5">
      <c r="A56" s="561" t="s">
        <v>127</v>
      </c>
      <c r="B56" s="561" t="s">
        <v>142</v>
      </c>
      <c r="C56" s="561" t="s">
        <v>143</v>
      </c>
      <c r="D56" s="561">
        <v>166.4</v>
      </c>
      <c r="E56" s="561"/>
    </row>
    <row r="57" spans="1:5">
      <c r="A57" s="561" t="s">
        <v>127</v>
      </c>
      <c r="B57" s="561" t="s">
        <v>144</v>
      </c>
      <c r="C57" s="561" t="s">
        <v>145</v>
      </c>
      <c r="D57" s="561">
        <v>89.64</v>
      </c>
      <c r="E57" s="561"/>
    </row>
    <row r="58" spans="1:5">
      <c r="A58" s="561" t="s">
        <v>127</v>
      </c>
      <c r="B58" s="561" t="s">
        <v>95</v>
      </c>
      <c r="C58" s="561" t="s">
        <v>96</v>
      </c>
      <c r="D58" s="561">
        <v>495.17</v>
      </c>
      <c r="E58" s="561"/>
    </row>
    <row r="59" spans="1:5">
      <c r="A59" s="561" t="s">
        <v>127</v>
      </c>
      <c r="B59" s="561" t="s">
        <v>97</v>
      </c>
      <c r="C59" s="561" t="s">
        <v>98</v>
      </c>
      <c r="D59" s="561">
        <v>333.15</v>
      </c>
      <c r="E59" s="561"/>
    </row>
    <row r="60" spans="1:5">
      <c r="A60" s="561" t="s">
        <v>127</v>
      </c>
      <c r="B60" s="561" t="s">
        <v>146</v>
      </c>
      <c r="C60" s="561" t="s">
        <v>147</v>
      </c>
      <c r="D60" s="561">
        <v>105.06</v>
      </c>
      <c r="E60" s="561"/>
    </row>
    <row r="61" spans="1:5">
      <c r="A61" s="561" t="s">
        <v>127</v>
      </c>
      <c r="B61" s="561" t="s">
        <v>101</v>
      </c>
      <c r="C61" s="561" t="s">
        <v>148</v>
      </c>
      <c r="D61" s="561">
        <v>2998.29</v>
      </c>
      <c r="E61" s="561"/>
    </row>
    <row r="62" spans="1:5">
      <c r="A62" s="561" t="s">
        <v>127</v>
      </c>
      <c r="B62" s="561" t="s">
        <v>103</v>
      </c>
      <c r="C62" s="561" t="s">
        <v>149</v>
      </c>
      <c r="D62" s="561">
        <v>7422.48</v>
      </c>
      <c r="E62" s="561"/>
    </row>
    <row r="63" spans="1:5">
      <c r="A63" s="561" t="s">
        <v>127</v>
      </c>
      <c r="B63" s="561" t="s">
        <v>150</v>
      </c>
      <c r="C63" s="561" t="s">
        <v>151</v>
      </c>
      <c r="D63" s="561">
        <v>5165.16</v>
      </c>
      <c r="E63" s="561"/>
    </row>
    <row r="64" spans="1:5">
      <c r="A64" s="561" t="s">
        <v>127</v>
      </c>
      <c r="B64" s="561" t="s">
        <v>152</v>
      </c>
      <c r="C64" s="561" t="s">
        <v>153</v>
      </c>
      <c r="D64" s="561">
        <v>50.95</v>
      </c>
      <c r="E64" s="561"/>
    </row>
    <row r="65" spans="1:5">
      <c r="A65" s="561" t="s">
        <v>127</v>
      </c>
      <c r="B65" s="561" t="s">
        <v>154</v>
      </c>
      <c r="C65" s="561" t="s">
        <v>155</v>
      </c>
      <c r="D65" s="561">
        <v>64.66</v>
      </c>
      <c r="E65" s="561"/>
    </row>
    <row r="66" spans="1:5">
      <c r="A66" s="561" t="s">
        <v>127</v>
      </c>
      <c r="B66" s="561" t="s">
        <v>107</v>
      </c>
      <c r="C66" s="561" t="s">
        <v>156</v>
      </c>
      <c r="D66" s="561">
        <v>88.37</v>
      </c>
      <c r="E66" s="561"/>
    </row>
    <row r="67" spans="1:5">
      <c r="A67" s="561" t="s">
        <v>127</v>
      </c>
      <c r="B67" s="561" t="s">
        <v>157</v>
      </c>
      <c r="C67" s="561" t="s">
        <v>158</v>
      </c>
      <c r="D67" s="561">
        <v>83.47</v>
      </c>
      <c r="E67" s="561"/>
    </row>
    <row r="68" spans="1:5">
      <c r="A68" s="561" t="s">
        <v>127</v>
      </c>
      <c r="B68" s="561" t="s">
        <v>159</v>
      </c>
      <c r="C68" s="561" t="s">
        <v>160</v>
      </c>
      <c r="D68" s="561">
        <v>83.47</v>
      </c>
      <c r="E68" s="561"/>
    </row>
    <row r="69" spans="1:5">
      <c r="A69" s="561" t="s">
        <v>127</v>
      </c>
      <c r="B69" s="561" t="s">
        <v>161</v>
      </c>
      <c r="C69" s="561" t="s">
        <v>162</v>
      </c>
      <c r="D69" s="561">
        <v>64.66</v>
      </c>
      <c r="E69" s="561"/>
    </row>
    <row r="70" spans="1:5">
      <c r="A70" s="561" t="s">
        <v>127</v>
      </c>
      <c r="B70" s="561" t="s">
        <v>113</v>
      </c>
      <c r="C70" s="561" t="s">
        <v>163</v>
      </c>
      <c r="D70" s="561">
        <v>3791.43</v>
      </c>
      <c r="E70" s="561" t="s">
        <v>164</v>
      </c>
    </row>
    <row r="71" spans="1:5">
      <c r="A71" s="561" t="s">
        <v>127</v>
      </c>
      <c r="B71" s="561" t="s">
        <v>115</v>
      </c>
      <c r="C71" s="561" t="s">
        <v>165</v>
      </c>
      <c r="D71" s="561">
        <v>4157.04</v>
      </c>
      <c r="E71" s="561" t="s">
        <v>164</v>
      </c>
    </row>
    <row r="72" spans="1:5">
      <c r="A72" s="561" t="s">
        <v>127</v>
      </c>
      <c r="B72" s="561" t="s">
        <v>166</v>
      </c>
      <c r="C72" s="561" t="s">
        <v>167</v>
      </c>
      <c r="D72" s="561">
        <v>3791.43</v>
      </c>
      <c r="E72" s="561" t="s">
        <v>164</v>
      </c>
    </row>
    <row r="73" spans="1:5">
      <c r="A73" s="562" t="s">
        <v>127</v>
      </c>
      <c r="B73" s="562" t="s">
        <v>168</v>
      </c>
      <c r="C73" s="562" t="s">
        <v>169</v>
      </c>
      <c r="D73" s="562">
        <v>4157.04</v>
      </c>
      <c r="E73" s="562" t="s">
        <v>164</v>
      </c>
    </row>
    <row r="74" spans="1:5">
      <c r="A74" s="560" t="s">
        <v>170</v>
      </c>
      <c r="B74" s="560" t="s">
        <v>79</v>
      </c>
      <c r="C74" s="560" t="s">
        <v>80</v>
      </c>
      <c r="D74" s="560">
        <v>503.91</v>
      </c>
      <c r="E74" s="560"/>
    </row>
    <row r="75" spans="1:5">
      <c r="A75" s="561" t="s">
        <v>170</v>
      </c>
      <c r="B75" s="561" t="s">
        <v>130</v>
      </c>
      <c r="C75" s="561" t="s">
        <v>131</v>
      </c>
      <c r="D75" s="561">
        <v>468.1</v>
      </c>
      <c r="E75" s="561"/>
    </row>
    <row r="76" spans="1:5">
      <c r="A76" s="561" t="s">
        <v>170</v>
      </c>
      <c r="B76" s="561" t="s">
        <v>132</v>
      </c>
      <c r="C76" s="561" t="s">
        <v>133</v>
      </c>
      <c r="D76" s="561">
        <v>67.94</v>
      </c>
      <c r="E76" s="561"/>
    </row>
    <row r="77" spans="1:5">
      <c r="A77" s="561" t="s">
        <v>170</v>
      </c>
      <c r="B77" s="561" t="s">
        <v>81</v>
      </c>
      <c r="C77" s="561" t="s">
        <v>82</v>
      </c>
      <c r="D77" s="561">
        <v>95.11</v>
      </c>
      <c r="E77" s="561"/>
    </row>
    <row r="78" spans="1:5">
      <c r="A78" s="561" t="s">
        <v>170</v>
      </c>
      <c r="B78" s="561" t="s">
        <v>89</v>
      </c>
      <c r="C78" s="561" t="s">
        <v>171</v>
      </c>
      <c r="D78" s="561">
        <v>2063.3000000000002</v>
      </c>
      <c r="E78" s="561"/>
    </row>
    <row r="79" spans="1:5">
      <c r="A79" s="561" t="s">
        <v>170</v>
      </c>
      <c r="B79" s="561" t="s">
        <v>124</v>
      </c>
      <c r="C79" s="561" t="s">
        <v>139</v>
      </c>
      <c r="D79" s="561">
        <v>759.99</v>
      </c>
      <c r="E79" s="561"/>
    </row>
    <row r="80" spans="1:5">
      <c r="A80" s="561" t="s">
        <v>170</v>
      </c>
      <c r="B80" s="561" t="s">
        <v>140</v>
      </c>
      <c r="C80" s="561" t="s">
        <v>141</v>
      </c>
      <c r="D80" s="561">
        <v>-2061.4</v>
      </c>
      <c r="E80" s="561"/>
    </row>
    <row r="81" spans="1:5">
      <c r="A81" s="561" t="s">
        <v>170</v>
      </c>
      <c r="B81" s="561" t="s">
        <v>95</v>
      </c>
      <c r="C81" s="561" t="s">
        <v>96</v>
      </c>
      <c r="D81" s="561">
        <v>1619.18</v>
      </c>
      <c r="E81" s="561"/>
    </row>
    <row r="82" spans="1:5">
      <c r="A82" s="561" t="s">
        <v>170</v>
      </c>
      <c r="B82" s="561" t="s">
        <v>97</v>
      </c>
      <c r="C82" s="561" t="s">
        <v>98</v>
      </c>
      <c r="D82" s="561">
        <v>1535.01</v>
      </c>
      <c r="E82" s="561"/>
    </row>
    <row r="83" spans="1:5">
      <c r="A83" s="561" t="s">
        <v>170</v>
      </c>
      <c r="B83" s="561" t="s">
        <v>172</v>
      </c>
      <c r="C83" s="561" t="s">
        <v>173</v>
      </c>
      <c r="D83" s="561">
        <v>-305.32</v>
      </c>
      <c r="E83" s="561"/>
    </row>
    <row r="84" spans="1:5">
      <c r="A84" s="561" t="s">
        <v>170</v>
      </c>
      <c r="B84" s="561" t="s">
        <v>174</v>
      </c>
      <c r="C84" s="561" t="s">
        <v>175</v>
      </c>
      <c r="D84" s="561">
        <v>3047.79</v>
      </c>
      <c r="E84" s="561"/>
    </row>
    <row r="85" spans="1:5">
      <c r="A85" s="561" t="s">
        <v>170</v>
      </c>
      <c r="B85" s="561" t="s">
        <v>176</v>
      </c>
      <c r="C85" s="561" t="s">
        <v>177</v>
      </c>
      <c r="D85" s="561">
        <v>2996.27</v>
      </c>
      <c r="E85" s="561"/>
    </row>
    <row r="86" spans="1:5">
      <c r="A86" s="561" t="s">
        <v>170</v>
      </c>
      <c r="B86" s="561" t="s">
        <v>178</v>
      </c>
      <c r="C86" s="561" t="s">
        <v>179</v>
      </c>
      <c r="D86" s="561">
        <v>251</v>
      </c>
      <c r="E86" s="561"/>
    </row>
    <row r="87" spans="1:5">
      <c r="A87" s="561" t="s">
        <v>170</v>
      </c>
      <c r="B87" s="561" t="s">
        <v>180</v>
      </c>
      <c r="C87" s="561" t="s">
        <v>181</v>
      </c>
      <c r="D87" s="561">
        <v>86.62</v>
      </c>
      <c r="E87" s="561"/>
    </row>
    <row r="88" spans="1:5">
      <c r="A88" s="561" t="s">
        <v>170</v>
      </c>
      <c r="B88" s="561" t="s">
        <v>182</v>
      </c>
      <c r="C88" s="561" t="s">
        <v>183</v>
      </c>
      <c r="D88" s="561">
        <v>141.93</v>
      </c>
      <c r="E88" s="561"/>
    </row>
    <row r="89" spans="1:5">
      <c r="A89" s="561" t="s">
        <v>170</v>
      </c>
      <c r="B89" s="561" t="s">
        <v>107</v>
      </c>
      <c r="C89" s="561" t="s">
        <v>184</v>
      </c>
      <c r="D89" s="561">
        <v>94.2</v>
      </c>
      <c r="E89" s="561"/>
    </row>
    <row r="90" spans="1:5">
      <c r="A90" s="562" t="s">
        <v>170</v>
      </c>
      <c r="B90" s="562" t="s">
        <v>111</v>
      </c>
      <c r="C90" s="562" t="s">
        <v>126</v>
      </c>
      <c r="D90" s="562">
        <v>140.77000000000001</v>
      </c>
      <c r="E90" s="562"/>
    </row>
    <row r="91" spans="1:5">
      <c r="A91" s="560" t="s">
        <v>185</v>
      </c>
      <c r="B91" s="560" t="s">
        <v>186</v>
      </c>
      <c r="C91" s="560" t="s">
        <v>187</v>
      </c>
      <c r="D91" s="560">
        <v>121.52</v>
      </c>
      <c r="E91" s="560"/>
    </row>
    <row r="92" spans="1:5">
      <c r="A92" s="561" t="s">
        <v>185</v>
      </c>
      <c r="B92" s="561" t="s">
        <v>132</v>
      </c>
      <c r="C92" s="561" t="s">
        <v>133</v>
      </c>
      <c r="D92" s="561">
        <v>95.11</v>
      </c>
      <c r="E92" s="561"/>
    </row>
    <row r="93" spans="1:5">
      <c r="A93" s="561" t="s">
        <v>185</v>
      </c>
      <c r="B93" s="561" t="s">
        <v>81</v>
      </c>
      <c r="C93" s="561" t="s">
        <v>82</v>
      </c>
      <c r="D93" s="561">
        <v>101.91</v>
      </c>
      <c r="E93" s="561"/>
    </row>
    <row r="94" spans="1:5">
      <c r="A94" s="561" t="s">
        <v>185</v>
      </c>
      <c r="B94" s="561" t="s">
        <v>87</v>
      </c>
      <c r="C94" s="561" t="s">
        <v>188</v>
      </c>
      <c r="D94" s="561">
        <v>7398.7</v>
      </c>
      <c r="E94" s="561"/>
    </row>
    <row r="95" spans="1:5">
      <c r="A95" s="561" t="s">
        <v>185</v>
      </c>
      <c r="B95" s="561" t="s">
        <v>91</v>
      </c>
      <c r="C95" s="561" t="s">
        <v>189</v>
      </c>
      <c r="D95" s="561">
        <v>2426.69</v>
      </c>
      <c r="E95" s="561"/>
    </row>
    <row r="96" spans="1:5">
      <c r="A96" s="561" t="s">
        <v>185</v>
      </c>
      <c r="B96" s="561" t="s">
        <v>140</v>
      </c>
      <c r="C96" s="561" t="s">
        <v>141</v>
      </c>
      <c r="D96" s="561">
        <v>297.57</v>
      </c>
      <c r="E96" s="561"/>
    </row>
    <row r="97" spans="1:5">
      <c r="A97" s="561" t="s">
        <v>185</v>
      </c>
      <c r="B97" s="561" t="s">
        <v>142</v>
      </c>
      <c r="C97" s="561" t="s">
        <v>143</v>
      </c>
      <c r="D97" s="561">
        <v>380.54</v>
      </c>
      <c r="E97" s="561"/>
    </row>
    <row r="98" spans="1:5">
      <c r="A98" s="561" t="s">
        <v>185</v>
      </c>
      <c r="B98" s="561" t="s">
        <v>95</v>
      </c>
      <c r="C98" s="561" t="s">
        <v>96</v>
      </c>
      <c r="D98" s="561">
        <v>-1152.54</v>
      </c>
      <c r="E98" s="561"/>
    </row>
    <row r="99" spans="1:5">
      <c r="A99" s="562" t="s">
        <v>185</v>
      </c>
      <c r="B99" s="562" t="s">
        <v>97</v>
      </c>
      <c r="C99" s="562" t="s">
        <v>98</v>
      </c>
      <c r="D99" s="562">
        <v>-6215.81</v>
      </c>
      <c r="E99" s="562"/>
    </row>
    <row r="100" spans="1:5">
      <c r="A100" s="560" t="s">
        <v>190</v>
      </c>
      <c r="B100" s="560" t="s">
        <v>191</v>
      </c>
      <c r="C100" s="560" t="s">
        <v>192</v>
      </c>
      <c r="D100" s="560">
        <v>157.71</v>
      </c>
      <c r="E100" s="560"/>
    </row>
    <row r="101" spans="1:5">
      <c r="A101" s="561" t="s">
        <v>190</v>
      </c>
      <c r="B101" s="561" t="s">
        <v>132</v>
      </c>
      <c r="C101" s="561" t="s">
        <v>133</v>
      </c>
      <c r="D101" s="561">
        <v>108.97</v>
      </c>
      <c r="E101" s="561"/>
    </row>
    <row r="102" spans="1:5">
      <c r="A102" s="561" t="s">
        <v>190</v>
      </c>
      <c r="B102" s="561" t="s">
        <v>134</v>
      </c>
      <c r="C102" s="561" t="s">
        <v>135</v>
      </c>
      <c r="D102" s="561">
        <v>89.64</v>
      </c>
      <c r="E102" s="561"/>
    </row>
    <row r="103" spans="1:5">
      <c r="A103" s="561" t="s">
        <v>190</v>
      </c>
      <c r="B103" s="561" t="s">
        <v>83</v>
      </c>
      <c r="C103" s="561" t="s">
        <v>136</v>
      </c>
      <c r="D103" s="561">
        <v>1876.15</v>
      </c>
      <c r="E103" s="561"/>
    </row>
    <row r="104" spans="1:5">
      <c r="A104" s="561" t="s">
        <v>190</v>
      </c>
      <c r="B104" s="561" t="s">
        <v>87</v>
      </c>
      <c r="C104" s="561" t="s">
        <v>193</v>
      </c>
      <c r="D104" s="561">
        <v>5908.32</v>
      </c>
      <c r="E104" s="561"/>
    </row>
    <row r="105" spans="1:5">
      <c r="A105" s="561" t="s">
        <v>190</v>
      </c>
      <c r="B105" s="561" t="s">
        <v>89</v>
      </c>
      <c r="C105" s="561" t="s">
        <v>123</v>
      </c>
      <c r="D105" s="561">
        <v>1965.14</v>
      </c>
      <c r="E105" s="561"/>
    </row>
    <row r="106" spans="1:5">
      <c r="A106" s="561" t="s">
        <v>190</v>
      </c>
      <c r="B106" s="561" t="s">
        <v>91</v>
      </c>
      <c r="C106" s="561" t="s">
        <v>194</v>
      </c>
      <c r="D106" s="561">
        <v>2516.63</v>
      </c>
      <c r="E106" s="561"/>
    </row>
    <row r="107" spans="1:5">
      <c r="A107" s="561" t="s">
        <v>190</v>
      </c>
      <c r="B107" s="561" t="s">
        <v>95</v>
      </c>
      <c r="C107" s="561" t="s">
        <v>96</v>
      </c>
      <c r="D107" s="561">
        <v>753.95</v>
      </c>
      <c r="E107" s="561"/>
    </row>
    <row r="108" spans="1:5">
      <c r="A108" s="561" t="s">
        <v>190</v>
      </c>
      <c r="B108" s="561" t="s">
        <v>97</v>
      </c>
      <c r="C108" s="561" t="s">
        <v>98</v>
      </c>
      <c r="D108" s="561">
        <v>-3468.9</v>
      </c>
      <c r="E108" s="561"/>
    </row>
    <row r="109" spans="1:5">
      <c r="A109" s="561" t="s">
        <v>190</v>
      </c>
      <c r="B109" s="561" t="s">
        <v>195</v>
      </c>
      <c r="C109" s="561" t="s">
        <v>196</v>
      </c>
      <c r="D109" s="561">
        <v>148.31</v>
      </c>
      <c r="E109" s="561"/>
    </row>
    <row r="110" spans="1:5">
      <c r="A110" s="561" t="s">
        <v>190</v>
      </c>
      <c r="B110" s="561" t="s">
        <v>197</v>
      </c>
      <c r="C110" s="561" t="s">
        <v>198</v>
      </c>
      <c r="D110" s="561">
        <v>2892.52</v>
      </c>
      <c r="E110" s="561"/>
    </row>
    <row r="111" spans="1:5">
      <c r="A111" s="561" t="s">
        <v>190</v>
      </c>
      <c r="B111" s="561" t="s">
        <v>99</v>
      </c>
      <c r="C111" s="561" t="s">
        <v>199</v>
      </c>
      <c r="D111" s="561">
        <v>437.85</v>
      </c>
      <c r="E111" s="561"/>
    </row>
    <row r="112" spans="1:5">
      <c r="A112" s="561" t="s">
        <v>190</v>
      </c>
      <c r="B112" s="561" t="s">
        <v>200</v>
      </c>
      <c r="C112" s="561" t="s">
        <v>201</v>
      </c>
      <c r="D112" s="561">
        <v>528.58000000000004</v>
      </c>
      <c r="E112" s="561"/>
    </row>
    <row r="113" spans="1:5">
      <c r="A113" s="561" t="s">
        <v>190</v>
      </c>
      <c r="B113" s="561" t="s">
        <v>202</v>
      </c>
      <c r="C113" s="561" t="s">
        <v>203</v>
      </c>
      <c r="D113" s="561">
        <v>273.94</v>
      </c>
      <c r="E113" s="561"/>
    </row>
    <row r="114" spans="1:5">
      <c r="A114" s="561" t="s">
        <v>190</v>
      </c>
      <c r="B114" s="561" t="s">
        <v>152</v>
      </c>
      <c r="C114" s="561" t="s">
        <v>153</v>
      </c>
      <c r="D114" s="561">
        <v>124.34</v>
      </c>
      <c r="E114" s="561"/>
    </row>
    <row r="115" spans="1:5">
      <c r="A115" s="561" t="s">
        <v>190</v>
      </c>
      <c r="B115" s="561" t="s">
        <v>107</v>
      </c>
      <c r="C115" s="561" t="s">
        <v>108</v>
      </c>
      <c r="D115" s="561">
        <v>78.3</v>
      </c>
      <c r="E115" s="561"/>
    </row>
    <row r="116" spans="1:5">
      <c r="A116" s="562" t="s">
        <v>190</v>
      </c>
      <c r="B116" s="562" t="s">
        <v>113</v>
      </c>
      <c r="C116" s="562" t="s">
        <v>114</v>
      </c>
      <c r="D116" s="562">
        <v>11234.69</v>
      </c>
      <c r="E116" s="562"/>
    </row>
    <row r="117" spans="1:5">
      <c r="A117" s="560" t="s">
        <v>204</v>
      </c>
      <c r="B117" s="560" t="s">
        <v>191</v>
      </c>
      <c r="C117" s="560" t="s">
        <v>205</v>
      </c>
      <c r="D117" s="560">
        <v>86.71</v>
      </c>
      <c r="E117" s="560"/>
    </row>
    <row r="118" spans="1:5">
      <c r="A118" s="561" t="s">
        <v>204</v>
      </c>
      <c r="B118" s="561" t="s">
        <v>186</v>
      </c>
      <c r="C118" s="561" t="s">
        <v>187</v>
      </c>
      <c r="D118" s="561">
        <v>141.53</v>
      </c>
      <c r="E118" s="561"/>
    </row>
    <row r="119" spans="1:5">
      <c r="A119" s="561" t="s">
        <v>204</v>
      </c>
      <c r="B119" s="561" t="s">
        <v>206</v>
      </c>
      <c r="C119" s="561" t="s">
        <v>207</v>
      </c>
      <c r="D119" s="561">
        <v>96.76</v>
      </c>
      <c r="E119" s="561"/>
    </row>
    <row r="120" spans="1:5">
      <c r="A120" s="561" t="s">
        <v>204</v>
      </c>
      <c r="B120" s="561" t="s">
        <v>132</v>
      </c>
      <c r="C120" s="561" t="s">
        <v>133</v>
      </c>
      <c r="D120" s="561">
        <v>61.14</v>
      </c>
      <c r="E120" s="561"/>
    </row>
    <row r="121" spans="1:5">
      <c r="A121" s="561" t="s">
        <v>204</v>
      </c>
      <c r="B121" s="561" t="s">
        <v>208</v>
      </c>
      <c r="C121" s="561" t="s">
        <v>209</v>
      </c>
      <c r="D121" s="561">
        <v>95.11</v>
      </c>
      <c r="E121" s="561"/>
    </row>
    <row r="122" spans="1:5">
      <c r="A122" s="561" t="s">
        <v>204</v>
      </c>
      <c r="B122" s="561" t="s">
        <v>81</v>
      </c>
      <c r="C122" s="561" t="s">
        <v>82</v>
      </c>
      <c r="D122" s="561">
        <v>135.88</v>
      </c>
      <c r="E122" s="561"/>
    </row>
    <row r="123" spans="1:5">
      <c r="A123" s="561" t="s">
        <v>204</v>
      </c>
      <c r="B123" s="561" t="s">
        <v>210</v>
      </c>
      <c r="C123" s="561" t="s">
        <v>211</v>
      </c>
      <c r="D123" s="561">
        <v>88.32</v>
      </c>
      <c r="E123" s="561"/>
    </row>
    <row r="124" spans="1:5">
      <c r="A124" s="561" t="s">
        <v>204</v>
      </c>
      <c r="B124" s="561" t="s">
        <v>83</v>
      </c>
      <c r="C124" s="561" t="s">
        <v>136</v>
      </c>
      <c r="D124" s="561">
        <v>1525.95</v>
      </c>
      <c r="E124" s="561"/>
    </row>
    <row r="125" spans="1:5">
      <c r="A125" s="561" t="s">
        <v>204</v>
      </c>
      <c r="B125" s="561" t="s">
        <v>89</v>
      </c>
      <c r="C125" s="561" t="s">
        <v>123</v>
      </c>
      <c r="D125" s="561">
        <v>1647.61</v>
      </c>
      <c r="E125" s="561"/>
    </row>
    <row r="126" spans="1:5">
      <c r="A126" s="561" t="s">
        <v>204</v>
      </c>
      <c r="B126" s="561" t="s">
        <v>140</v>
      </c>
      <c r="C126" s="561" t="s">
        <v>141</v>
      </c>
      <c r="D126" s="561">
        <v>580.65</v>
      </c>
      <c r="E126" s="561"/>
    </row>
    <row r="127" spans="1:5">
      <c r="A127" s="561" t="s">
        <v>204</v>
      </c>
      <c r="B127" s="561" t="s">
        <v>212</v>
      </c>
      <c r="C127" s="561" t="s">
        <v>213</v>
      </c>
      <c r="D127" s="561">
        <v>502.78</v>
      </c>
      <c r="E127" s="561"/>
    </row>
    <row r="128" spans="1:5">
      <c r="A128" s="561" t="s">
        <v>204</v>
      </c>
      <c r="B128" s="561" t="s">
        <v>95</v>
      </c>
      <c r="C128" s="561" t="s">
        <v>96</v>
      </c>
      <c r="D128" s="561">
        <v>2364.5300000000002</v>
      </c>
      <c r="E128" s="561"/>
    </row>
    <row r="129" spans="1:5">
      <c r="A129" s="561" t="s">
        <v>204</v>
      </c>
      <c r="B129" s="561" t="s">
        <v>97</v>
      </c>
      <c r="C129" s="561" t="s">
        <v>98</v>
      </c>
      <c r="D129" s="561">
        <v>-3954.47</v>
      </c>
      <c r="E129" s="561"/>
    </row>
    <row r="130" spans="1:5">
      <c r="A130" s="561" t="s">
        <v>204</v>
      </c>
      <c r="B130" s="561" t="s">
        <v>99</v>
      </c>
      <c r="C130" s="561" t="s">
        <v>214</v>
      </c>
      <c r="D130" s="561">
        <v>843.63</v>
      </c>
      <c r="E130" s="561"/>
    </row>
    <row r="131" spans="1:5">
      <c r="A131" s="562" t="s">
        <v>204</v>
      </c>
      <c r="B131" s="562" t="s">
        <v>113</v>
      </c>
      <c r="C131" s="562" t="s">
        <v>114</v>
      </c>
      <c r="D131" s="562">
        <v>10487.1</v>
      </c>
      <c r="E131" s="562"/>
    </row>
    <row r="132" spans="1:5">
      <c r="A132" s="560" t="s">
        <v>215</v>
      </c>
      <c r="B132" s="560" t="s">
        <v>186</v>
      </c>
      <c r="C132" s="560" t="s">
        <v>187</v>
      </c>
      <c r="D132" s="560">
        <v>64.489999999999995</v>
      </c>
      <c r="E132" s="560"/>
    </row>
    <row r="133" spans="1:5">
      <c r="A133" s="561" t="s">
        <v>215</v>
      </c>
      <c r="B133" s="561" t="s">
        <v>132</v>
      </c>
      <c r="C133" s="561" t="s">
        <v>133</v>
      </c>
      <c r="D133" s="561">
        <v>74.73</v>
      </c>
      <c r="E133" s="561"/>
    </row>
    <row r="134" spans="1:5">
      <c r="A134" s="561" t="s">
        <v>215</v>
      </c>
      <c r="B134" s="561" t="s">
        <v>216</v>
      </c>
      <c r="C134" s="561" t="s">
        <v>217</v>
      </c>
      <c r="D134" s="561">
        <v>115.49</v>
      </c>
      <c r="E134" s="561"/>
    </row>
    <row r="135" spans="1:5">
      <c r="A135" s="561" t="s">
        <v>215</v>
      </c>
      <c r="B135" s="561" t="s">
        <v>208</v>
      </c>
      <c r="C135" s="561" t="s">
        <v>209</v>
      </c>
      <c r="D135" s="561">
        <v>88.32</v>
      </c>
      <c r="E135" s="561"/>
    </row>
    <row r="136" spans="1:5">
      <c r="A136" s="561" t="s">
        <v>215</v>
      </c>
      <c r="B136" s="561" t="s">
        <v>81</v>
      </c>
      <c r="C136" s="561" t="s">
        <v>82</v>
      </c>
      <c r="D136" s="561">
        <v>176.64</v>
      </c>
      <c r="E136" s="561"/>
    </row>
    <row r="137" spans="1:5">
      <c r="A137" s="561" t="s">
        <v>215</v>
      </c>
      <c r="B137" s="561" t="s">
        <v>134</v>
      </c>
      <c r="C137" s="561" t="s">
        <v>135</v>
      </c>
      <c r="D137" s="561">
        <v>67.94</v>
      </c>
      <c r="E137" s="561"/>
    </row>
    <row r="138" spans="1:5">
      <c r="A138" s="561" t="s">
        <v>215</v>
      </c>
      <c r="B138" s="561" t="s">
        <v>83</v>
      </c>
      <c r="C138" s="561" t="s">
        <v>136</v>
      </c>
      <c r="D138" s="561">
        <v>1382.95</v>
      </c>
      <c r="E138" s="561"/>
    </row>
    <row r="139" spans="1:5">
      <c r="A139" s="561" t="s">
        <v>215</v>
      </c>
      <c r="B139" s="561" t="s">
        <v>89</v>
      </c>
      <c r="C139" s="561" t="s">
        <v>94</v>
      </c>
      <c r="D139" s="561">
        <v>1382.95</v>
      </c>
      <c r="E139" s="561"/>
    </row>
    <row r="140" spans="1:5">
      <c r="A140" s="561" t="s">
        <v>215</v>
      </c>
      <c r="B140" s="561" t="s">
        <v>95</v>
      </c>
      <c r="C140" s="561" t="s">
        <v>96</v>
      </c>
      <c r="D140" s="561">
        <v>-2754.17</v>
      </c>
      <c r="E140" s="561"/>
    </row>
    <row r="141" spans="1:5">
      <c r="A141" s="561" t="s">
        <v>215</v>
      </c>
      <c r="B141" s="561" t="s">
        <v>97</v>
      </c>
      <c r="C141" s="561" t="s">
        <v>98</v>
      </c>
      <c r="D141" s="561">
        <v>-5126.54</v>
      </c>
      <c r="E141" s="561"/>
    </row>
    <row r="142" spans="1:5">
      <c r="A142" s="561" t="s">
        <v>215</v>
      </c>
      <c r="B142" s="561" t="s">
        <v>99</v>
      </c>
      <c r="C142" s="561" t="s">
        <v>218</v>
      </c>
      <c r="D142" s="561">
        <v>453.76</v>
      </c>
      <c r="E142" s="561"/>
    </row>
    <row r="143" spans="1:5">
      <c r="A143" s="561" t="s">
        <v>215</v>
      </c>
      <c r="B143" s="561" t="s">
        <v>200</v>
      </c>
      <c r="C143" s="561" t="s">
        <v>219</v>
      </c>
      <c r="D143" s="561">
        <v>771.89</v>
      </c>
      <c r="E143" s="561"/>
    </row>
    <row r="144" spans="1:5">
      <c r="A144" s="561" t="s">
        <v>215</v>
      </c>
      <c r="B144" s="561" t="s">
        <v>107</v>
      </c>
      <c r="C144" s="561" t="s">
        <v>108</v>
      </c>
      <c r="D144" s="561">
        <v>72.06</v>
      </c>
      <c r="E144" s="561"/>
    </row>
    <row r="145" spans="1:5">
      <c r="A145" s="562" t="s">
        <v>215</v>
      </c>
      <c r="B145" s="562" t="s">
        <v>113</v>
      </c>
      <c r="C145" s="562" t="s">
        <v>114</v>
      </c>
      <c r="D145" s="562">
        <v>14626</v>
      </c>
      <c r="E145" s="562"/>
    </row>
    <row r="146" spans="1:5">
      <c r="A146" s="560" t="s">
        <v>220</v>
      </c>
      <c r="B146" s="560" t="s">
        <v>120</v>
      </c>
      <c r="C146" s="560" t="s">
        <v>121</v>
      </c>
      <c r="D146" s="560">
        <v>299.67</v>
      </c>
      <c r="E146" s="560"/>
    </row>
    <row r="147" spans="1:5">
      <c r="A147" s="561" t="s">
        <v>220</v>
      </c>
      <c r="B147" s="561" t="s">
        <v>81</v>
      </c>
      <c r="C147" s="561" t="s">
        <v>82</v>
      </c>
      <c r="D147" s="561">
        <v>112.04</v>
      </c>
      <c r="E147" s="561"/>
    </row>
    <row r="148" spans="1:5">
      <c r="A148" s="561" t="s">
        <v>220</v>
      </c>
      <c r="B148" s="561" t="s">
        <v>89</v>
      </c>
      <c r="C148" s="561" t="s">
        <v>138</v>
      </c>
      <c r="D148" s="561">
        <v>1949.77</v>
      </c>
      <c r="E148" s="561"/>
    </row>
    <row r="149" spans="1:5">
      <c r="A149" s="561" t="s">
        <v>220</v>
      </c>
      <c r="B149" s="561" t="s">
        <v>124</v>
      </c>
      <c r="C149" s="561" t="s">
        <v>139</v>
      </c>
      <c r="D149" s="561">
        <v>70.56</v>
      </c>
      <c r="E149" s="561"/>
    </row>
    <row r="150" spans="1:5">
      <c r="A150" s="561" t="s">
        <v>220</v>
      </c>
      <c r="B150" s="561" t="s">
        <v>140</v>
      </c>
      <c r="C150" s="561" t="s">
        <v>141</v>
      </c>
      <c r="D150" s="561">
        <v>41.49</v>
      </c>
      <c r="E150" s="561"/>
    </row>
    <row r="151" spans="1:5">
      <c r="A151" s="561" t="s">
        <v>220</v>
      </c>
      <c r="B151" s="561" t="s">
        <v>95</v>
      </c>
      <c r="C151" s="561" t="s">
        <v>96</v>
      </c>
      <c r="D151" s="561">
        <v>1141.69</v>
      </c>
      <c r="E151" s="561"/>
    </row>
    <row r="152" spans="1:5">
      <c r="A152" s="561" t="s">
        <v>220</v>
      </c>
      <c r="B152" s="561" t="s">
        <v>97</v>
      </c>
      <c r="C152" s="561" t="s">
        <v>98</v>
      </c>
      <c r="D152" s="561">
        <v>1562.98</v>
      </c>
      <c r="E152" s="561"/>
    </row>
    <row r="153" spans="1:5">
      <c r="A153" s="561" t="s">
        <v>220</v>
      </c>
      <c r="B153" s="561" t="s">
        <v>172</v>
      </c>
      <c r="C153" s="561" t="s">
        <v>173</v>
      </c>
      <c r="D153" s="615">
        <v>12725.88</v>
      </c>
      <c r="E153" s="563"/>
    </row>
    <row r="154" spans="1:5">
      <c r="A154" s="561" t="s">
        <v>220</v>
      </c>
      <c r="B154" s="561" t="s">
        <v>174</v>
      </c>
      <c r="C154" s="561" t="s">
        <v>175</v>
      </c>
      <c r="D154" s="615">
        <v>12420.42</v>
      </c>
      <c r="E154" s="563"/>
    </row>
    <row r="155" spans="1:5">
      <c r="A155" s="561" t="s">
        <v>220</v>
      </c>
      <c r="B155" s="561" t="s">
        <v>176</v>
      </c>
      <c r="C155" s="561" t="s">
        <v>177</v>
      </c>
      <c r="D155" s="615">
        <v>6612.14</v>
      </c>
      <c r="E155" s="563"/>
    </row>
    <row r="156" spans="1:5">
      <c r="A156" s="561" t="s">
        <v>220</v>
      </c>
      <c r="B156" s="561" t="s">
        <v>221</v>
      </c>
      <c r="C156" s="563" t="s">
        <v>222</v>
      </c>
      <c r="D156" s="563">
        <v>685.71</v>
      </c>
      <c r="E156" s="563"/>
    </row>
    <row r="157" spans="1:5">
      <c r="A157" s="562" t="s">
        <v>220</v>
      </c>
      <c r="B157" s="562" t="s">
        <v>223</v>
      </c>
      <c r="C157" s="562" t="s">
        <v>224</v>
      </c>
      <c r="D157" s="562">
        <v>283.69</v>
      </c>
      <c r="E157" s="562"/>
    </row>
    <row r="158" spans="1:5">
      <c r="A158" s="560" t="s">
        <v>225</v>
      </c>
      <c r="B158" s="560" t="s">
        <v>79</v>
      </c>
      <c r="C158" s="560" t="s">
        <v>80</v>
      </c>
      <c r="D158" s="560">
        <v>502.94</v>
      </c>
      <c r="E158" s="560"/>
    </row>
    <row r="159" spans="1:5">
      <c r="A159" s="561" t="s">
        <v>225</v>
      </c>
      <c r="B159" s="561" t="s">
        <v>226</v>
      </c>
      <c r="C159" s="561" t="s">
        <v>227</v>
      </c>
      <c r="D159" s="561">
        <v>168.89</v>
      </c>
      <c r="E159" s="561"/>
    </row>
    <row r="160" spans="1:5">
      <c r="A160" s="561" t="s">
        <v>225</v>
      </c>
      <c r="B160" s="561" t="s">
        <v>132</v>
      </c>
      <c r="C160" s="561" t="s">
        <v>133</v>
      </c>
      <c r="D160" s="561">
        <v>72.38</v>
      </c>
      <c r="E160" s="561"/>
    </row>
    <row r="161" spans="1:5">
      <c r="A161" s="561" t="s">
        <v>225</v>
      </c>
      <c r="B161" s="561" t="s">
        <v>81</v>
      </c>
      <c r="C161" s="561" t="s">
        <v>82</v>
      </c>
      <c r="D161" s="561">
        <v>96.51</v>
      </c>
      <c r="E161" s="561"/>
    </row>
    <row r="162" spans="1:5">
      <c r="A162" s="561" t="s">
        <v>225</v>
      </c>
      <c r="B162" s="561" t="s">
        <v>83</v>
      </c>
      <c r="C162" s="561" t="s">
        <v>136</v>
      </c>
      <c r="D162" s="561">
        <v>3695.15</v>
      </c>
      <c r="E162" s="561"/>
    </row>
    <row r="163" spans="1:5">
      <c r="A163" s="561" t="s">
        <v>225</v>
      </c>
      <c r="B163" s="561" t="s">
        <v>89</v>
      </c>
      <c r="C163" s="561" t="s">
        <v>123</v>
      </c>
      <c r="D163" s="561">
        <v>1809.13</v>
      </c>
      <c r="E163" s="561"/>
    </row>
    <row r="164" spans="1:5">
      <c r="A164" s="561" t="s">
        <v>225</v>
      </c>
      <c r="B164" s="561" t="s">
        <v>124</v>
      </c>
      <c r="C164" s="561" t="s">
        <v>139</v>
      </c>
      <c r="D164" s="561">
        <v>163.86</v>
      </c>
      <c r="E164" s="561"/>
    </row>
    <row r="165" spans="1:5">
      <c r="A165" s="561" t="s">
        <v>225</v>
      </c>
      <c r="B165" s="561" t="s">
        <v>140</v>
      </c>
      <c r="C165" s="561" t="s">
        <v>141</v>
      </c>
      <c r="D165" s="561">
        <v>155.41</v>
      </c>
      <c r="E165" s="561"/>
    </row>
    <row r="166" spans="1:5">
      <c r="A166" s="561" t="s">
        <v>225</v>
      </c>
      <c r="B166" s="561" t="s">
        <v>142</v>
      </c>
      <c r="C166" s="561" t="s">
        <v>143</v>
      </c>
      <c r="D166" s="561">
        <v>166.4</v>
      </c>
      <c r="E166" s="561"/>
    </row>
    <row r="167" spans="1:5">
      <c r="A167" s="561" t="s">
        <v>225</v>
      </c>
      <c r="B167" s="561" t="s">
        <v>95</v>
      </c>
      <c r="C167" s="561" t="s">
        <v>96</v>
      </c>
      <c r="D167" s="561">
        <v>1123.02</v>
      </c>
      <c r="E167" s="561"/>
    </row>
    <row r="168" spans="1:5">
      <c r="A168" s="561" t="s">
        <v>225</v>
      </c>
      <c r="B168" s="561" t="s">
        <v>97</v>
      </c>
      <c r="C168" s="561" t="s">
        <v>98</v>
      </c>
      <c r="D168" s="561">
        <v>19</v>
      </c>
      <c r="E168" s="561"/>
    </row>
    <row r="169" spans="1:5">
      <c r="A169" s="561" t="s">
        <v>225</v>
      </c>
      <c r="B169" s="561" t="s">
        <v>99</v>
      </c>
      <c r="C169" s="561" t="s">
        <v>199</v>
      </c>
      <c r="D169" s="561">
        <v>772.05</v>
      </c>
      <c r="E169" s="561"/>
    </row>
    <row r="170" spans="1:5">
      <c r="A170" s="561" t="s">
        <v>225</v>
      </c>
      <c r="B170" s="561" t="s">
        <v>200</v>
      </c>
      <c r="C170" s="561" t="s">
        <v>201</v>
      </c>
      <c r="D170" s="561" t="s">
        <v>228</v>
      </c>
      <c r="E170" s="561" t="s">
        <v>229</v>
      </c>
    </row>
    <row r="171" spans="1:5">
      <c r="A171" s="561" t="s">
        <v>225</v>
      </c>
      <c r="B171" s="561" t="s">
        <v>221</v>
      </c>
      <c r="C171" s="561" t="s">
        <v>230</v>
      </c>
      <c r="D171" s="561">
        <v>340.01</v>
      </c>
      <c r="E171" s="561"/>
    </row>
    <row r="172" spans="1:5">
      <c r="A172" s="561" t="s">
        <v>225</v>
      </c>
      <c r="B172" s="561" t="s">
        <v>107</v>
      </c>
      <c r="C172" s="561" t="s">
        <v>184</v>
      </c>
      <c r="D172" s="561">
        <v>122.75</v>
      </c>
      <c r="E172" s="561"/>
    </row>
    <row r="173" spans="1:5">
      <c r="A173" s="562" t="s">
        <v>225</v>
      </c>
      <c r="B173" s="562" t="s">
        <v>113</v>
      </c>
      <c r="C173" s="562" t="s">
        <v>231</v>
      </c>
      <c r="D173" s="562">
        <v>8418.9599999999991</v>
      </c>
      <c r="E173" s="562"/>
    </row>
    <row r="174" spans="1:5">
      <c r="A174" s="560" t="s">
        <v>232</v>
      </c>
      <c r="B174" s="560" t="s">
        <v>233</v>
      </c>
      <c r="C174" s="560" t="s">
        <v>234</v>
      </c>
      <c r="D174" s="560">
        <v>1669.54</v>
      </c>
      <c r="E174" s="560"/>
    </row>
    <row r="175" spans="1:5">
      <c r="A175" s="561" t="s">
        <v>232</v>
      </c>
      <c r="B175" s="561" t="s">
        <v>235</v>
      </c>
      <c r="C175" s="561" t="s">
        <v>236</v>
      </c>
      <c r="D175" s="561">
        <v>1648.49</v>
      </c>
      <c r="E175" s="561"/>
    </row>
    <row r="176" spans="1:5">
      <c r="A176" s="561" t="s">
        <v>232</v>
      </c>
      <c r="B176" s="561" t="s">
        <v>237</v>
      </c>
      <c r="C176" s="561" t="s">
        <v>238</v>
      </c>
      <c r="D176" s="561">
        <v>1718.77</v>
      </c>
      <c r="E176" s="561"/>
    </row>
    <row r="177" spans="1:5">
      <c r="A177" s="561" t="s">
        <v>232</v>
      </c>
      <c r="B177" s="561" t="s">
        <v>73</v>
      </c>
      <c r="C177" s="561" t="s">
        <v>74</v>
      </c>
      <c r="D177" s="561">
        <v>2245.6</v>
      </c>
      <c r="E177" s="561"/>
    </row>
    <row r="178" spans="1:5">
      <c r="A178" s="561" t="s">
        <v>232</v>
      </c>
      <c r="B178" s="561" t="s">
        <v>75</v>
      </c>
      <c r="C178" s="561" t="s">
        <v>76</v>
      </c>
      <c r="D178" s="561">
        <v>2291.9299999999998</v>
      </c>
      <c r="E178" s="561"/>
    </row>
    <row r="179" spans="1:5">
      <c r="A179" s="561" t="s">
        <v>232</v>
      </c>
      <c r="B179" s="561" t="s">
        <v>77</v>
      </c>
      <c r="C179" s="561" t="s">
        <v>78</v>
      </c>
      <c r="D179" s="561">
        <v>2214.5700000000002</v>
      </c>
      <c r="E179" s="561"/>
    </row>
    <row r="180" spans="1:5">
      <c r="A180" s="561" t="s">
        <v>232</v>
      </c>
      <c r="B180" s="561" t="s">
        <v>239</v>
      </c>
      <c r="C180" s="561" t="s">
        <v>240</v>
      </c>
      <c r="D180" s="561">
        <v>29.51</v>
      </c>
      <c r="E180" s="561"/>
    </row>
    <row r="181" spans="1:5">
      <c r="A181" s="561" t="s">
        <v>232</v>
      </c>
      <c r="B181" s="561" t="s">
        <v>99</v>
      </c>
      <c r="C181" s="561" t="s">
        <v>241</v>
      </c>
      <c r="D181" s="561">
        <v>627.04</v>
      </c>
      <c r="E181" s="561"/>
    </row>
    <row r="182" spans="1:5">
      <c r="A182" s="561" t="s">
        <v>232</v>
      </c>
      <c r="B182" s="561" t="s">
        <v>200</v>
      </c>
      <c r="C182" s="561" t="s">
        <v>242</v>
      </c>
      <c r="D182" s="561">
        <v>627.04</v>
      </c>
      <c r="E182" s="561"/>
    </row>
    <row r="183" spans="1:5">
      <c r="A183" s="561" t="s">
        <v>232</v>
      </c>
      <c r="B183" s="561" t="s">
        <v>105</v>
      </c>
      <c r="C183" s="561" t="s">
        <v>243</v>
      </c>
      <c r="D183" s="561">
        <v>82.67</v>
      </c>
      <c r="E183" s="561"/>
    </row>
    <row r="184" spans="1:5">
      <c r="A184" s="561" t="s">
        <v>232</v>
      </c>
      <c r="B184" s="561" t="s">
        <v>244</v>
      </c>
      <c r="C184" s="561" t="s">
        <v>245</v>
      </c>
      <c r="D184" s="561">
        <v>87.56</v>
      </c>
      <c r="E184" s="561"/>
    </row>
    <row r="185" spans="1:5">
      <c r="A185" s="561" t="s">
        <v>232</v>
      </c>
      <c r="B185" s="561" t="s">
        <v>246</v>
      </c>
      <c r="C185" s="561" t="s">
        <v>247</v>
      </c>
      <c r="D185" s="561">
        <v>82.67</v>
      </c>
      <c r="E185" s="561"/>
    </row>
    <row r="186" spans="1:5">
      <c r="A186" s="561" t="s">
        <v>232</v>
      </c>
      <c r="B186" s="561" t="s">
        <v>107</v>
      </c>
      <c r="C186" s="561" t="s">
        <v>248</v>
      </c>
      <c r="D186" s="561">
        <v>86.17</v>
      </c>
      <c r="E186" s="561"/>
    </row>
    <row r="187" spans="1:5">
      <c r="A187" s="561" t="s">
        <v>232</v>
      </c>
      <c r="B187" s="561" t="s">
        <v>161</v>
      </c>
      <c r="C187" s="561" t="s">
        <v>249</v>
      </c>
      <c r="D187" s="561">
        <v>82.67</v>
      </c>
      <c r="E187" s="561"/>
    </row>
    <row r="188" spans="1:5">
      <c r="A188" s="561" t="s">
        <v>232</v>
      </c>
      <c r="B188" s="561" t="s">
        <v>130</v>
      </c>
      <c r="C188" s="561" t="s">
        <v>131</v>
      </c>
      <c r="D188" s="561">
        <v>199.18</v>
      </c>
      <c r="E188" s="561"/>
    </row>
    <row r="189" spans="1:5">
      <c r="A189" s="561" t="s">
        <v>232</v>
      </c>
      <c r="B189" s="561" t="s">
        <v>81</v>
      </c>
      <c r="C189" s="561" t="s">
        <v>82</v>
      </c>
      <c r="D189" s="561">
        <v>122.29</v>
      </c>
      <c r="E189" s="561"/>
    </row>
    <row r="190" spans="1:5">
      <c r="A190" s="561" t="s">
        <v>232</v>
      </c>
      <c r="B190" s="561" t="s">
        <v>124</v>
      </c>
      <c r="C190" s="561" t="s">
        <v>139</v>
      </c>
      <c r="D190" s="561">
        <v>286.62</v>
      </c>
      <c r="E190" s="561"/>
    </row>
    <row r="191" spans="1:5">
      <c r="A191" s="561" t="s">
        <v>232</v>
      </c>
      <c r="B191" s="561" t="s">
        <v>140</v>
      </c>
      <c r="C191" s="561" t="s">
        <v>141</v>
      </c>
      <c r="D191" s="561">
        <v>302.32</v>
      </c>
      <c r="E191" s="561"/>
    </row>
    <row r="192" spans="1:5">
      <c r="A192" s="561" t="s">
        <v>232</v>
      </c>
      <c r="B192" s="561" t="s">
        <v>95</v>
      </c>
      <c r="C192" s="561" t="s">
        <v>96</v>
      </c>
      <c r="D192" s="561">
        <v>1478.7</v>
      </c>
      <c r="E192" s="561"/>
    </row>
    <row r="193" spans="1:5">
      <c r="A193" s="561" t="s">
        <v>232</v>
      </c>
      <c r="B193" s="561" t="s">
        <v>97</v>
      </c>
      <c r="C193" s="561" t="s">
        <v>98</v>
      </c>
      <c r="D193" s="561">
        <v>-1122.82</v>
      </c>
      <c r="E193" s="561"/>
    </row>
    <row r="194" spans="1:5">
      <c r="A194" s="561" t="s">
        <v>232</v>
      </c>
      <c r="B194" s="561" t="s">
        <v>113</v>
      </c>
      <c r="C194" s="561" t="s">
        <v>231</v>
      </c>
      <c r="D194" s="561">
        <v>6005.89</v>
      </c>
      <c r="E194" s="561"/>
    </row>
    <row r="195" spans="1:5">
      <c r="A195" s="562" t="s">
        <v>232</v>
      </c>
      <c r="B195" s="562" t="s">
        <v>115</v>
      </c>
      <c r="C195" s="562" t="s">
        <v>250</v>
      </c>
      <c r="D195" s="562">
        <v>6173.71</v>
      </c>
      <c r="E195" s="562"/>
    </row>
    <row r="196" spans="1:5">
      <c r="A196" s="565" t="s">
        <v>251</v>
      </c>
      <c r="B196" s="564" t="s">
        <v>233</v>
      </c>
      <c r="C196" s="565" t="s">
        <v>234</v>
      </c>
      <c r="D196" s="565"/>
      <c r="E196" s="565"/>
    </row>
    <row r="197" spans="1:5">
      <c r="A197" s="561" t="s">
        <v>251</v>
      </c>
      <c r="B197" s="566" t="s">
        <v>235</v>
      </c>
      <c r="C197" s="561" t="s">
        <v>236</v>
      </c>
      <c r="D197" s="561"/>
      <c r="E197" s="561"/>
    </row>
    <row r="198" spans="1:5">
      <c r="A198" s="561" t="s">
        <v>251</v>
      </c>
      <c r="B198" s="566" t="s">
        <v>237</v>
      </c>
      <c r="C198" s="561" t="s">
        <v>238</v>
      </c>
      <c r="D198" s="561"/>
      <c r="E198" s="561"/>
    </row>
    <row r="199" spans="1:5">
      <c r="A199" s="561" t="s">
        <v>251</v>
      </c>
      <c r="B199" s="566" t="s">
        <v>73</v>
      </c>
      <c r="C199" s="561" t="s">
        <v>74</v>
      </c>
      <c r="D199" s="561"/>
      <c r="E199" s="561"/>
    </row>
    <row r="200" spans="1:5">
      <c r="A200" s="561" t="s">
        <v>251</v>
      </c>
      <c r="B200" s="566" t="s">
        <v>75</v>
      </c>
      <c r="C200" s="561" t="s">
        <v>76</v>
      </c>
      <c r="D200" s="561"/>
      <c r="E200" s="561"/>
    </row>
    <row r="201" spans="1:5">
      <c r="A201" s="561" t="s">
        <v>251</v>
      </c>
      <c r="B201" s="566" t="s">
        <v>77</v>
      </c>
      <c r="C201" s="561" t="s">
        <v>78</v>
      </c>
      <c r="D201" s="561"/>
      <c r="E201" s="561"/>
    </row>
    <row r="202" spans="1:5">
      <c r="A202" s="561" t="s">
        <v>251</v>
      </c>
      <c r="B202" s="566" t="s">
        <v>252</v>
      </c>
      <c r="C202" s="561" t="s">
        <v>253</v>
      </c>
      <c r="D202" s="561"/>
      <c r="E202" s="561"/>
    </row>
    <row r="203" spans="1:5">
      <c r="A203" s="561" t="s">
        <v>251</v>
      </c>
      <c r="B203" s="566" t="s">
        <v>254</v>
      </c>
      <c r="C203" s="561" t="s">
        <v>255</v>
      </c>
      <c r="D203" s="561"/>
      <c r="E203" s="561"/>
    </row>
    <row r="204" spans="1:5">
      <c r="A204" s="561" t="s">
        <v>251</v>
      </c>
      <c r="B204" s="566" t="s">
        <v>87</v>
      </c>
      <c r="C204" s="561" t="s">
        <v>256</v>
      </c>
      <c r="D204" s="561"/>
      <c r="E204" s="561"/>
    </row>
    <row r="205" spans="1:5">
      <c r="A205" s="561" t="s">
        <v>251</v>
      </c>
      <c r="B205" s="566" t="s">
        <v>257</v>
      </c>
      <c r="C205" s="561" t="s">
        <v>258</v>
      </c>
      <c r="D205" s="561"/>
      <c r="E205" s="561"/>
    </row>
    <row r="206" spans="1:5">
      <c r="A206" s="561" t="s">
        <v>251</v>
      </c>
      <c r="B206" s="566" t="s">
        <v>91</v>
      </c>
      <c r="C206" s="561" t="s">
        <v>259</v>
      </c>
      <c r="D206" s="561"/>
      <c r="E206" s="561"/>
    </row>
    <row r="207" spans="1:5">
      <c r="A207" s="561" t="s">
        <v>251</v>
      </c>
      <c r="B207" s="566" t="s">
        <v>260</v>
      </c>
      <c r="C207" s="561" t="s">
        <v>261</v>
      </c>
      <c r="D207" s="561"/>
      <c r="E207" s="561"/>
    </row>
    <row r="208" spans="1:5">
      <c r="A208" s="561" t="s">
        <v>251</v>
      </c>
      <c r="B208" s="566" t="s">
        <v>140</v>
      </c>
      <c r="C208" s="561" t="s">
        <v>141</v>
      </c>
      <c r="D208" s="561"/>
      <c r="E208" s="561"/>
    </row>
    <row r="209" spans="1:5">
      <c r="A209" s="561" t="s">
        <v>251</v>
      </c>
      <c r="B209" s="566" t="s">
        <v>142</v>
      </c>
      <c r="C209" s="561" t="s">
        <v>143</v>
      </c>
      <c r="D209" s="561"/>
      <c r="E209" s="561"/>
    </row>
    <row r="210" spans="1:5">
      <c r="A210" s="561" t="s">
        <v>251</v>
      </c>
      <c r="B210" s="566" t="s">
        <v>95</v>
      </c>
      <c r="C210" s="561" t="s">
        <v>96</v>
      </c>
      <c r="D210" s="561"/>
      <c r="E210" s="561"/>
    </row>
    <row r="211" spans="1:5">
      <c r="A211" s="561" t="s">
        <v>251</v>
      </c>
      <c r="B211" s="566" t="s">
        <v>97</v>
      </c>
      <c r="C211" s="561" t="s">
        <v>98</v>
      </c>
      <c r="D211" s="561"/>
      <c r="E211" s="561"/>
    </row>
    <row r="212" spans="1:5">
      <c r="A212" s="561" t="s">
        <v>251</v>
      </c>
      <c r="B212" s="566" t="s">
        <v>262</v>
      </c>
      <c r="C212" s="561" t="s">
        <v>263</v>
      </c>
      <c r="D212" s="561"/>
      <c r="E212" s="561"/>
    </row>
    <row r="213" spans="1:5">
      <c r="A213" s="561" t="s">
        <v>251</v>
      </c>
      <c r="B213" s="566" t="s">
        <v>99</v>
      </c>
      <c r="C213" s="561" t="s">
        <v>241</v>
      </c>
      <c r="D213" s="561"/>
      <c r="E213" s="561"/>
    </row>
    <row r="214" spans="1:5">
      <c r="A214" s="561" t="s">
        <v>251</v>
      </c>
      <c r="B214" s="566" t="s">
        <v>221</v>
      </c>
      <c r="C214" s="561" t="s">
        <v>222</v>
      </c>
      <c r="D214" s="561"/>
      <c r="E214" s="561"/>
    </row>
    <row r="215" spans="1:5">
      <c r="A215" s="561" t="s">
        <v>251</v>
      </c>
      <c r="B215" s="566" t="s">
        <v>223</v>
      </c>
      <c r="C215" s="561" t="s">
        <v>264</v>
      </c>
      <c r="D215" s="561"/>
      <c r="E215" s="561"/>
    </row>
    <row r="216" spans="1:5">
      <c r="A216" s="561" t="s">
        <v>251</v>
      </c>
      <c r="B216" s="566" t="s">
        <v>113</v>
      </c>
      <c r="C216" s="561" t="s">
        <v>265</v>
      </c>
      <c r="D216" s="561"/>
      <c r="E216" s="561"/>
    </row>
    <row r="217" spans="1:5">
      <c r="A217" s="561" t="s">
        <v>251</v>
      </c>
      <c r="B217" s="566" t="s">
        <v>115</v>
      </c>
      <c r="C217" s="561" t="s">
        <v>266</v>
      </c>
      <c r="D217" s="561"/>
      <c r="E217" s="561"/>
    </row>
    <row r="218" spans="1:5">
      <c r="A218" s="568" t="s">
        <v>251</v>
      </c>
      <c r="B218" s="567" t="s">
        <v>267</v>
      </c>
      <c r="C218" s="568" t="s">
        <v>268</v>
      </c>
      <c r="D218" s="568"/>
      <c r="E218" s="568"/>
    </row>
    <row r="219" spans="1:5">
      <c r="A219" s="569" t="s">
        <v>269</v>
      </c>
      <c r="B219" s="569" t="s">
        <v>239</v>
      </c>
      <c r="C219" s="569" t="s">
        <v>240</v>
      </c>
      <c r="D219" s="569">
        <v>24.17</v>
      </c>
      <c r="E219" s="569"/>
    </row>
    <row r="220" spans="1:5">
      <c r="A220" s="561" t="s">
        <v>269</v>
      </c>
      <c r="B220" s="561" t="s">
        <v>120</v>
      </c>
      <c r="C220" s="561" t="s">
        <v>121</v>
      </c>
      <c r="D220" s="561">
        <v>197.08</v>
      </c>
      <c r="E220" s="561"/>
    </row>
    <row r="221" spans="1:5">
      <c r="A221" s="561" t="s">
        <v>269</v>
      </c>
      <c r="B221" s="561" t="s">
        <v>81</v>
      </c>
      <c r="C221" s="561" t="s">
        <v>82</v>
      </c>
      <c r="D221" s="561">
        <v>96.51</v>
      </c>
      <c r="E221" s="561"/>
    </row>
    <row r="222" spans="1:5">
      <c r="A222" s="561" t="s">
        <v>269</v>
      </c>
      <c r="B222" s="561" t="s">
        <v>270</v>
      </c>
      <c r="C222" s="561" t="s">
        <v>271</v>
      </c>
      <c r="D222" s="561">
        <v>2107.5</v>
      </c>
      <c r="E222" s="561"/>
    </row>
    <row r="223" spans="1:5">
      <c r="A223" s="561" t="s">
        <v>269</v>
      </c>
      <c r="B223" s="561" t="s">
        <v>124</v>
      </c>
      <c r="C223" s="561" t="s">
        <v>139</v>
      </c>
      <c r="D223" s="561">
        <v>99.5</v>
      </c>
      <c r="E223" s="561"/>
    </row>
    <row r="224" spans="1:5">
      <c r="A224" s="561" t="s">
        <v>269</v>
      </c>
      <c r="B224" s="561" t="s">
        <v>140</v>
      </c>
      <c r="C224" s="561" t="s">
        <v>272</v>
      </c>
      <c r="D224" s="561">
        <v>188.61</v>
      </c>
      <c r="E224" s="561"/>
    </row>
    <row r="225" spans="1:5">
      <c r="A225" s="561" t="s">
        <v>269</v>
      </c>
      <c r="B225" s="561" t="s">
        <v>95</v>
      </c>
      <c r="C225" s="561" t="s">
        <v>96</v>
      </c>
      <c r="D225" s="561">
        <v>-668.86</v>
      </c>
      <c r="E225" s="561"/>
    </row>
    <row r="226" spans="1:5">
      <c r="A226" s="561" t="s">
        <v>269</v>
      </c>
      <c r="B226" s="561" t="s">
        <v>97</v>
      </c>
      <c r="C226" s="561" t="s">
        <v>98</v>
      </c>
      <c r="D226" s="561">
        <v>-3061.96</v>
      </c>
      <c r="E226" s="561"/>
    </row>
    <row r="227" spans="1:5">
      <c r="A227" s="561" t="s">
        <v>269</v>
      </c>
      <c r="B227" s="561" t="s">
        <v>152</v>
      </c>
      <c r="C227" s="561" t="s">
        <v>273</v>
      </c>
      <c r="D227" s="561">
        <v>115.38</v>
      </c>
      <c r="E227" s="561"/>
    </row>
    <row r="228" spans="1:5">
      <c r="A228" s="561" t="s">
        <v>269</v>
      </c>
      <c r="B228" s="561" t="s">
        <v>107</v>
      </c>
      <c r="C228" s="561" t="s">
        <v>156</v>
      </c>
      <c r="D228" s="561">
        <v>124.19</v>
      </c>
      <c r="E228" s="561"/>
    </row>
    <row r="229" spans="1:5">
      <c r="A229" s="561" t="s">
        <v>269</v>
      </c>
      <c r="B229" s="561" t="s">
        <v>159</v>
      </c>
      <c r="C229" s="561" t="s">
        <v>160</v>
      </c>
      <c r="D229" s="561">
        <v>151.27000000000001</v>
      </c>
      <c r="E229" s="561"/>
    </row>
    <row r="230" spans="1:5">
      <c r="A230" s="561" t="s">
        <v>269</v>
      </c>
      <c r="B230" s="561" t="s">
        <v>111</v>
      </c>
      <c r="C230" s="561" t="s">
        <v>112</v>
      </c>
      <c r="D230" s="561">
        <v>91.97</v>
      </c>
      <c r="E230" s="561"/>
    </row>
    <row r="231" spans="1:5">
      <c r="A231" s="561" t="s">
        <v>269</v>
      </c>
      <c r="B231" s="561" t="s">
        <v>274</v>
      </c>
      <c r="C231" s="561" t="s">
        <v>275</v>
      </c>
      <c r="D231" s="561">
        <v>155.38999999999999</v>
      </c>
      <c r="E231" s="561"/>
    </row>
    <row r="232" spans="1:5">
      <c r="A232" s="561" t="s">
        <v>269</v>
      </c>
      <c r="B232" s="561" t="s">
        <v>113</v>
      </c>
      <c r="C232" s="561" t="s">
        <v>231</v>
      </c>
      <c r="D232" s="561">
        <v>8423.32</v>
      </c>
      <c r="E232" s="561"/>
    </row>
    <row r="233" spans="1:5">
      <c r="A233" s="562" t="s">
        <v>269</v>
      </c>
      <c r="B233" s="562" t="s">
        <v>115</v>
      </c>
      <c r="C233" s="562" t="s">
        <v>250</v>
      </c>
      <c r="D233" s="562">
        <v>7962.18</v>
      </c>
      <c r="E233" s="562"/>
    </row>
    <row r="234" spans="1:5">
      <c r="A234" s="560" t="s">
        <v>276</v>
      </c>
      <c r="B234" s="560" t="s">
        <v>120</v>
      </c>
      <c r="C234" s="560" t="s">
        <v>121</v>
      </c>
      <c r="D234" s="560">
        <v>197.08</v>
      </c>
      <c r="E234" s="560" t="s">
        <v>277</v>
      </c>
    </row>
    <row r="235" spans="1:5">
      <c r="A235" s="561" t="s">
        <v>276</v>
      </c>
      <c r="B235" s="561" t="s">
        <v>130</v>
      </c>
      <c r="C235" s="561" t="s">
        <v>131</v>
      </c>
      <c r="D235" s="561">
        <v>344.85</v>
      </c>
      <c r="E235" s="561"/>
    </row>
    <row r="236" spans="1:5">
      <c r="A236" s="561" t="s">
        <v>276</v>
      </c>
      <c r="B236" s="561" t="s">
        <v>134</v>
      </c>
      <c r="C236" s="561" t="s">
        <v>135</v>
      </c>
      <c r="D236" s="561">
        <v>89.64</v>
      </c>
      <c r="E236" s="561"/>
    </row>
    <row r="237" spans="1:5">
      <c r="A237" s="561" t="s">
        <v>276</v>
      </c>
      <c r="B237" s="561" t="s">
        <v>83</v>
      </c>
      <c r="C237" s="561" t="s">
        <v>136</v>
      </c>
      <c r="D237" s="561">
        <v>4531.93</v>
      </c>
      <c r="E237" s="561"/>
    </row>
    <row r="238" spans="1:5">
      <c r="A238" s="561" t="s">
        <v>276</v>
      </c>
      <c r="B238" s="561" t="s">
        <v>278</v>
      </c>
      <c r="C238" s="561" t="s">
        <v>279</v>
      </c>
      <c r="D238" s="561">
        <v>5818.2</v>
      </c>
      <c r="E238" s="561"/>
    </row>
    <row r="239" spans="1:5">
      <c r="A239" s="561" t="s">
        <v>276</v>
      </c>
      <c r="B239" s="561" t="s">
        <v>89</v>
      </c>
      <c r="C239" s="561" t="s">
        <v>138</v>
      </c>
      <c r="D239" s="561">
        <v>1057.05</v>
      </c>
      <c r="E239" s="561"/>
    </row>
    <row r="240" spans="1:5">
      <c r="A240" s="561" t="s">
        <v>276</v>
      </c>
      <c r="B240" s="561" t="s">
        <v>270</v>
      </c>
      <c r="C240" s="561" t="s">
        <v>271</v>
      </c>
      <c r="D240" s="561">
        <v>1183.43</v>
      </c>
      <c r="E240" s="561"/>
    </row>
    <row r="241" spans="1:5">
      <c r="A241" s="561" t="s">
        <v>276</v>
      </c>
      <c r="B241" s="561" t="s">
        <v>124</v>
      </c>
      <c r="C241" s="561" t="s">
        <v>139</v>
      </c>
      <c r="D241" s="561" t="s">
        <v>280</v>
      </c>
      <c r="E241" s="561"/>
    </row>
    <row r="242" spans="1:5">
      <c r="A242" s="561" t="s">
        <v>276</v>
      </c>
      <c r="B242" s="561" t="s">
        <v>140</v>
      </c>
      <c r="C242" s="561" t="s">
        <v>141</v>
      </c>
      <c r="D242" s="561">
        <v>245.5</v>
      </c>
      <c r="E242" s="561"/>
    </row>
    <row r="243" spans="1:5">
      <c r="A243" s="561" t="s">
        <v>276</v>
      </c>
      <c r="B243" s="561" t="s">
        <v>95</v>
      </c>
      <c r="C243" s="561" t="s">
        <v>96</v>
      </c>
      <c r="D243" s="561">
        <v>2290.4299999999998</v>
      </c>
      <c r="E243" s="561"/>
    </row>
    <row r="244" spans="1:5">
      <c r="A244" s="561" t="s">
        <v>276</v>
      </c>
      <c r="B244" s="561" t="s">
        <v>97</v>
      </c>
      <c r="C244" s="561" t="s">
        <v>98</v>
      </c>
      <c r="D244" s="561">
        <v>1653.52</v>
      </c>
      <c r="E244" s="561"/>
    </row>
    <row r="245" spans="1:5">
      <c r="A245" s="561" t="s">
        <v>276</v>
      </c>
      <c r="B245" s="561" t="s">
        <v>113</v>
      </c>
      <c r="C245" s="561" t="s">
        <v>281</v>
      </c>
      <c r="D245" s="561">
        <v>5711.28</v>
      </c>
      <c r="E245" s="561"/>
    </row>
    <row r="246" spans="1:5">
      <c r="A246" s="562" t="s">
        <v>276</v>
      </c>
      <c r="B246" s="562" t="s">
        <v>115</v>
      </c>
      <c r="C246" s="562" t="s">
        <v>282</v>
      </c>
      <c r="D246" s="562">
        <v>6056.73</v>
      </c>
      <c r="E246" s="562"/>
    </row>
    <row r="247" spans="1:5">
      <c r="A247" s="560" t="s">
        <v>283</v>
      </c>
      <c r="B247" s="560" t="s">
        <v>284</v>
      </c>
      <c r="C247" s="560" t="s">
        <v>285</v>
      </c>
      <c r="D247" s="560">
        <v>145.05000000000001</v>
      </c>
      <c r="E247" s="560"/>
    </row>
    <row r="248" spans="1:5">
      <c r="A248" s="561" t="s">
        <v>283</v>
      </c>
      <c r="B248" s="561" t="s">
        <v>191</v>
      </c>
      <c r="C248" s="561" t="s">
        <v>192</v>
      </c>
      <c r="D248" s="561">
        <v>155.41</v>
      </c>
      <c r="E248" s="561"/>
    </row>
    <row r="249" spans="1:5">
      <c r="A249" s="561" t="s">
        <v>283</v>
      </c>
      <c r="B249" s="561" t="s">
        <v>81</v>
      </c>
      <c r="C249" s="561" t="s">
        <v>82</v>
      </c>
      <c r="D249" s="561">
        <v>144.12</v>
      </c>
      <c r="E249" s="561"/>
    </row>
    <row r="250" spans="1:5">
      <c r="A250" s="561" t="s">
        <v>283</v>
      </c>
      <c r="B250" s="561" t="s">
        <v>134</v>
      </c>
      <c r="C250" s="561" t="s">
        <v>135</v>
      </c>
      <c r="D250" s="561">
        <v>112.04</v>
      </c>
      <c r="E250" s="561"/>
    </row>
    <row r="251" spans="1:5">
      <c r="A251" s="561" t="s">
        <v>283</v>
      </c>
      <c r="B251" s="561" t="s">
        <v>124</v>
      </c>
      <c r="C251" s="561" t="s">
        <v>139</v>
      </c>
      <c r="D251" s="561">
        <v>6.27</v>
      </c>
      <c r="E251" s="561"/>
    </row>
    <row r="252" spans="1:5">
      <c r="A252" s="561" t="s">
        <v>283</v>
      </c>
      <c r="B252" s="561" t="s">
        <v>140</v>
      </c>
      <c r="C252" s="561" t="s">
        <v>272</v>
      </c>
      <c r="D252" s="561">
        <v>66.290000000000006</v>
      </c>
      <c r="E252" s="561"/>
    </row>
    <row r="253" spans="1:5">
      <c r="A253" s="561" t="s">
        <v>283</v>
      </c>
      <c r="B253" s="561" t="s">
        <v>95</v>
      </c>
      <c r="C253" s="561" t="s">
        <v>96</v>
      </c>
      <c r="D253" s="561">
        <v>3966.99</v>
      </c>
      <c r="E253" s="561"/>
    </row>
    <row r="254" spans="1:5">
      <c r="A254" s="561" t="s">
        <v>283</v>
      </c>
      <c r="B254" s="561" t="s">
        <v>97</v>
      </c>
      <c r="C254" s="561" t="s">
        <v>98</v>
      </c>
      <c r="D254" s="561">
        <v>-3641.51</v>
      </c>
      <c r="E254" s="561"/>
    </row>
    <row r="255" spans="1:5">
      <c r="A255" s="562" t="s">
        <v>283</v>
      </c>
      <c r="B255" s="562" t="s">
        <v>111</v>
      </c>
      <c r="C255" s="562" t="s">
        <v>126</v>
      </c>
      <c r="D255" s="562">
        <v>123.06</v>
      </c>
      <c r="E255" s="562"/>
    </row>
    <row r="256" spans="1:5">
      <c r="A256" s="560" t="s">
        <v>286</v>
      </c>
      <c r="B256" s="560" t="s">
        <v>287</v>
      </c>
      <c r="C256" s="560" t="s">
        <v>288</v>
      </c>
      <c r="D256" s="560">
        <v>857.27</v>
      </c>
      <c r="E256" s="560" t="s">
        <v>289</v>
      </c>
    </row>
    <row r="257" spans="1:5">
      <c r="A257" s="561" t="s">
        <v>286</v>
      </c>
      <c r="B257" s="561" t="s">
        <v>73</v>
      </c>
      <c r="C257" s="561" t="s">
        <v>74</v>
      </c>
      <c r="D257" s="561">
        <v>2069.2800000000002</v>
      </c>
      <c r="E257" s="561"/>
    </row>
    <row r="258" spans="1:5">
      <c r="A258" s="561" t="s">
        <v>286</v>
      </c>
      <c r="B258" s="561" t="s">
        <v>75</v>
      </c>
      <c r="C258" s="561" t="s">
        <v>76</v>
      </c>
      <c r="D258" s="561">
        <v>1939.2</v>
      </c>
      <c r="E258" s="561"/>
    </row>
    <row r="259" spans="1:5">
      <c r="A259" s="561" t="s">
        <v>286</v>
      </c>
      <c r="B259" s="561" t="s">
        <v>77</v>
      </c>
      <c r="C259" s="561" t="s">
        <v>78</v>
      </c>
      <c r="D259" s="561">
        <v>1539.29</v>
      </c>
      <c r="E259" s="561"/>
    </row>
    <row r="260" spans="1:5">
      <c r="A260" s="561" t="s">
        <v>286</v>
      </c>
      <c r="B260" s="561" t="s">
        <v>120</v>
      </c>
      <c r="C260" s="561" t="s">
        <v>290</v>
      </c>
      <c r="D260" s="561">
        <v>60.71</v>
      </c>
      <c r="E260" s="561"/>
    </row>
    <row r="261" spans="1:5">
      <c r="A261" s="561" t="s">
        <v>286</v>
      </c>
      <c r="B261" s="561" t="s">
        <v>81</v>
      </c>
      <c r="C261" s="561" t="s">
        <v>82</v>
      </c>
      <c r="D261" s="561">
        <v>144.12</v>
      </c>
      <c r="E261" s="561"/>
    </row>
    <row r="262" spans="1:5">
      <c r="A262" s="561" t="s">
        <v>286</v>
      </c>
      <c r="B262" s="561" t="s">
        <v>83</v>
      </c>
      <c r="C262" s="561" t="s">
        <v>136</v>
      </c>
      <c r="D262" s="561">
        <v>5640.19</v>
      </c>
      <c r="E262" s="561"/>
    </row>
    <row r="263" spans="1:5">
      <c r="A263" s="561" t="s">
        <v>286</v>
      </c>
      <c r="B263" s="561" t="s">
        <v>87</v>
      </c>
      <c r="C263" s="561" t="s">
        <v>291</v>
      </c>
      <c r="D263" s="561">
        <v>8983.2800000000007</v>
      </c>
      <c r="E263" s="561"/>
    </row>
    <row r="264" spans="1:5">
      <c r="A264" s="561" t="s">
        <v>286</v>
      </c>
      <c r="B264" s="561" t="s">
        <v>257</v>
      </c>
      <c r="C264" s="561" t="s">
        <v>292</v>
      </c>
      <c r="D264" s="561">
        <v>11116.8</v>
      </c>
      <c r="E264" s="561"/>
    </row>
    <row r="265" spans="1:5">
      <c r="A265" s="561" t="s">
        <v>286</v>
      </c>
      <c r="B265" s="561" t="s">
        <v>89</v>
      </c>
      <c r="C265" s="561" t="s">
        <v>293</v>
      </c>
      <c r="D265" s="561">
        <v>1296.1199999999999</v>
      </c>
      <c r="E265" s="561"/>
    </row>
    <row r="266" spans="1:5">
      <c r="A266" s="561" t="s">
        <v>286</v>
      </c>
      <c r="B266" s="561" t="s">
        <v>91</v>
      </c>
      <c r="C266" s="561" t="s">
        <v>259</v>
      </c>
      <c r="D266" s="561">
        <v>2286.5700000000002</v>
      </c>
      <c r="E266" s="561"/>
    </row>
    <row r="267" spans="1:5">
      <c r="A267" s="561" t="s">
        <v>286</v>
      </c>
      <c r="B267" s="561" t="s">
        <v>260</v>
      </c>
      <c r="C267" s="561" t="s">
        <v>261</v>
      </c>
      <c r="D267" s="561">
        <v>2663.99</v>
      </c>
      <c r="E267" s="561"/>
    </row>
    <row r="268" spans="1:5">
      <c r="A268" s="561" t="s">
        <v>286</v>
      </c>
      <c r="B268" s="561" t="s">
        <v>124</v>
      </c>
      <c r="C268" s="561" t="s">
        <v>139</v>
      </c>
      <c r="D268" s="561">
        <v>60.74</v>
      </c>
      <c r="E268" s="561"/>
    </row>
    <row r="269" spans="1:5">
      <c r="A269" s="561" t="s">
        <v>286</v>
      </c>
      <c r="B269" s="561" t="s">
        <v>140</v>
      </c>
      <c r="C269" s="561" t="s">
        <v>141</v>
      </c>
      <c r="D269" s="561">
        <v>60.74</v>
      </c>
      <c r="E269" s="561"/>
    </row>
    <row r="270" spans="1:5">
      <c r="A270" s="561" t="s">
        <v>286</v>
      </c>
      <c r="B270" s="561" t="s">
        <v>142</v>
      </c>
      <c r="C270" s="561" t="s">
        <v>143</v>
      </c>
      <c r="D270" s="561">
        <v>60.74</v>
      </c>
      <c r="E270" s="561"/>
    </row>
    <row r="271" spans="1:5">
      <c r="A271" s="561" t="s">
        <v>286</v>
      </c>
      <c r="B271" s="561" t="s">
        <v>294</v>
      </c>
      <c r="C271" s="561" t="s">
        <v>295</v>
      </c>
      <c r="D271" s="561">
        <v>6256.42</v>
      </c>
      <c r="E271" s="561"/>
    </row>
    <row r="272" spans="1:5">
      <c r="A272" s="561" t="s">
        <v>286</v>
      </c>
      <c r="B272" s="561" t="s">
        <v>296</v>
      </c>
      <c r="C272" s="561" t="s">
        <v>297</v>
      </c>
      <c r="D272" s="561">
        <v>8299.83</v>
      </c>
      <c r="E272" s="561"/>
    </row>
    <row r="273" spans="1:5">
      <c r="A273" s="561" t="s">
        <v>286</v>
      </c>
      <c r="B273" s="561" t="s">
        <v>95</v>
      </c>
      <c r="C273" s="561" t="s">
        <v>96</v>
      </c>
      <c r="D273" s="561">
        <v>1092.2</v>
      </c>
      <c r="E273" s="561"/>
    </row>
    <row r="274" spans="1:5">
      <c r="A274" s="561" t="s">
        <v>286</v>
      </c>
      <c r="B274" s="561" t="s">
        <v>97</v>
      </c>
      <c r="C274" s="561" t="s">
        <v>98</v>
      </c>
      <c r="D274" s="561">
        <v>299.86</v>
      </c>
      <c r="E274" s="561"/>
    </row>
    <row r="275" spans="1:5">
      <c r="A275" s="561" t="s">
        <v>286</v>
      </c>
      <c r="B275" s="561" t="s">
        <v>99</v>
      </c>
      <c r="C275" s="561" t="s">
        <v>199</v>
      </c>
      <c r="D275" s="561">
        <v>309.39999999999998</v>
      </c>
      <c r="E275" s="561"/>
    </row>
    <row r="276" spans="1:5">
      <c r="A276" s="561" t="s">
        <v>286</v>
      </c>
      <c r="B276" s="561" t="s">
        <v>200</v>
      </c>
      <c r="C276" s="561" t="s">
        <v>201</v>
      </c>
      <c r="D276" s="561">
        <v>309.39999999999998</v>
      </c>
      <c r="E276" s="561"/>
    </row>
    <row r="277" spans="1:5">
      <c r="A277" s="561" t="s">
        <v>286</v>
      </c>
      <c r="B277" s="561" t="s">
        <v>150</v>
      </c>
      <c r="C277" s="561" t="s">
        <v>151</v>
      </c>
      <c r="D277" s="561">
        <v>88.37</v>
      </c>
      <c r="E277" s="561"/>
    </row>
    <row r="278" spans="1:5">
      <c r="A278" s="561" t="s">
        <v>286</v>
      </c>
      <c r="B278" s="561" t="s">
        <v>107</v>
      </c>
      <c r="C278" s="561" t="s">
        <v>184</v>
      </c>
      <c r="D278" s="561">
        <v>90.44</v>
      </c>
      <c r="E278" s="561"/>
    </row>
    <row r="279" spans="1:5">
      <c r="A279" s="561" t="s">
        <v>286</v>
      </c>
      <c r="B279" s="561" t="s">
        <v>298</v>
      </c>
      <c r="C279" s="561" t="s">
        <v>299</v>
      </c>
      <c r="D279" s="561">
        <v>107.03</v>
      </c>
      <c r="E279" s="561"/>
    </row>
    <row r="280" spans="1:5">
      <c r="A280" s="561" t="s">
        <v>286</v>
      </c>
      <c r="B280" s="561" t="s">
        <v>111</v>
      </c>
      <c r="C280" s="561" t="s">
        <v>126</v>
      </c>
      <c r="D280" s="561">
        <v>5511.52</v>
      </c>
      <c r="E280" s="561"/>
    </row>
    <row r="281" spans="1:5">
      <c r="A281" s="561" t="s">
        <v>286</v>
      </c>
      <c r="B281" s="561" t="s">
        <v>113</v>
      </c>
      <c r="C281" s="561" t="s">
        <v>163</v>
      </c>
      <c r="D281" s="561">
        <v>9340.69</v>
      </c>
      <c r="E281" s="561" t="s">
        <v>300</v>
      </c>
    </row>
    <row r="282" spans="1:5">
      <c r="A282" s="561" t="s">
        <v>286</v>
      </c>
      <c r="B282" s="561" t="s">
        <v>166</v>
      </c>
      <c r="C282" s="561" t="s">
        <v>167</v>
      </c>
      <c r="D282" s="561">
        <v>9340.69</v>
      </c>
      <c r="E282" s="561" t="s">
        <v>300</v>
      </c>
    </row>
    <row r="283" spans="1:5">
      <c r="A283" s="562" t="s">
        <v>286</v>
      </c>
      <c r="B283" s="562" t="s">
        <v>168</v>
      </c>
      <c r="C283" s="562" t="s">
        <v>169</v>
      </c>
      <c r="D283" s="562">
        <v>11652.59</v>
      </c>
      <c r="E283" s="562" t="s">
        <v>300</v>
      </c>
    </row>
    <row r="284" spans="1:5">
      <c r="A284" s="560" t="s">
        <v>301</v>
      </c>
      <c r="B284" s="560" t="s">
        <v>73</v>
      </c>
      <c r="C284" s="560" t="s">
        <v>74</v>
      </c>
      <c r="D284" s="560">
        <v>2950.27</v>
      </c>
      <c r="E284" s="560"/>
    </row>
    <row r="285" spans="1:5">
      <c r="A285" s="561" t="s">
        <v>301</v>
      </c>
      <c r="B285" s="561" t="s">
        <v>75</v>
      </c>
      <c r="C285" s="561" t="s">
        <v>76</v>
      </c>
      <c r="D285" s="561">
        <v>3587.99</v>
      </c>
      <c r="E285" s="561"/>
    </row>
    <row r="286" spans="1:5">
      <c r="A286" s="561" t="s">
        <v>301</v>
      </c>
      <c r="B286" s="561" t="s">
        <v>77</v>
      </c>
      <c r="C286" s="561" t="s">
        <v>78</v>
      </c>
      <c r="D286" s="561">
        <v>2919.02</v>
      </c>
      <c r="E286" s="561"/>
    </row>
    <row r="287" spans="1:5">
      <c r="A287" s="561" t="s">
        <v>301</v>
      </c>
      <c r="B287" s="561" t="s">
        <v>128</v>
      </c>
      <c r="C287" s="561" t="s">
        <v>302</v>
      </c>
      <c r="D287" s="561">
        <v>396.64</v>
      </c>
      <c r="E287" s="561"/>
    </row>
    <row r="288" spans="1:5">
      <c r="A288" s="561" t="s">
        <v>301</v>
      </c>
      <c r="B288" s="561" t="s">
        <v>120</v>
      </c>
      <c r="C288" s="561" t="s">
        <v>121</v>
      </c>
      <c r="D288" s="561">
        <v>58.29</v>
      </c>
      <c r="E288" s="561"/>
    </row>
    <row r="289" spans="1:5">
      <c r="A289" s="561" t="s">
        <v>301</v>
      </c>
      <c r="B289" s="561" t="s">
        <v>130</v>
      </c>
      <c r="C289" s="561" t="s">
        <v>131</v>
      </c>
      <c r="D289" s="561">
        <v>77.63</v>
      </c>
      <c r="E289" s="561"/>
    </row>
    <row r="290" spans="1:5">
      <c r="A290" s="561" t="s">
        <v>301</v>
      </c>
      <c r="B290" s="561" t="s">
        <v>81</v>
      </c>
      <c r="C290" s="561" t="s">
        <v>82</v>
      </c>
      <c r="D290" s="561">
        <v>112.04</v>
      </c>
      <c r="E290" s="561"/>
    </row>
    <row r="291" spans="1:5">
      <c r="A291" s="561" t="s">
        <v>301</v>
      </c>
      <c r="B291" s="561" t="s">
        <v>83</v>
      </c>
      <c r="C291" s="561" t="s">
        <v>136</v>
      </c>
      <c r="D291" s="561">
        <v>6002.77</v>
      </c>
      <c r="E291" s="561"/>
    </row>
    <row r="292" spans="1:5">
      <c r="A292" s="561" t="s">
        <v>301</v>
      </c>
      <c r="B292" s="561" t="s">
        <v>85</v>
      </c>
      <c r="C292" s="561" t="s">
        <v>137</v>
      </c>
      <c r="D292" s="561">
        <v>7880.53</v>
      </c>
      <c r="E292" s="561"/>
    </row>
    <row r="293" spans="1:5">
      <c r="A293" s="561" t="s">
        <v>301</v>
      </c>
      <c r="B293" s="561" t="s">
        <v>278</v>
      </c>
      <c r="C293" s="561" t="s">
        <v>279</v>
      </c>
      <c r="D293" s="561">
        <v>12405.87</v>
      </c>
      <c r="E293" s="561"/>
    </row>
    <row r="294" spans="1:5">
      <c r="A294" s="561" t="s">
        <v>301</v>
      </c>
      <c r="B294" s="561" t="s">
        <v>89</v>
      </c>
      <c r="C294" s="561" t="s">
        <v>138</v>
      </c>
      <c r="D294" s="561">
        <v>1763.58</v>
      </c>
      <c r="E294" s="561"/>
    </row>
    <row r="295" spans="1:5">
      <c r="A295" s="561" t="s">
        <v>301</v>
      </c>
      <c r="B295" s="561" t="s">
        <v>93</v>
      </c>
      <c r="C295" s="561" t="s">
        <v>94</v>
      </c>
      <c r="D295" s="561">
        <v>3873.08</v>
      </c>
      <c r="E295" s="561"/>
    </row>
    <row r="296" spans="1:5">
      <c r="A296" s="561" t="s">
        <v>301</v>
      </c>
      <c r="B296" s="561" t="s">
        <v>270</v>
      </c>
      <c r="C296" s="561" t="s">
        <v>271</v>
      </c>
      <c r="D296" s="561">
        <v>3286.01</v>
      </c>
      <c r="E296" s="561"/>
    </row>
    <row r="297" spans="1:5">
      <c r="A297" s="561" t="s">
        <v>301</v>
      </c>
      <c r="B297" s="561" t="s">
        <v>124</v>
      </c>
      <c r="C297" s="561" t="s">
        <v>139</v>
      </c>
      <c r="D297" s="561">
        <v>17.73</v>
      </c>
      <c r="E297" s="561"/>
    </row>
    <row r="298" spans="1:5">
      <c r="A298" s="561" t="s">
        <v>301</v>
      </c>
      <c r="B298" s="561" t="s">
        <v>140</v>
      </c>
      <c r="C298" s="561" t="s">
        <v>141</v>
      </c>
      <c r="D298" s="561">
        <v>66.66</v>
      </c>
      <c r="E298" s="561"/>
    </row>
    <row r="299" spans="1:5">
      <c r="A299" s="561" t="s">
        <v>301</v>
      </c>
      <c r="B299" s="561" t="s">
        <v>142</v>
      </c>
      <c r="C299" s="561" t="s">
        <v>143</v>
      </c>
      <c r="D299" s="561">
        <v>17.73</v>
      </c>
      <c r="E299" s="561"/>
    </row>
    <row r="300" spans="1:5">
      <c r="A300" s="561" t="s">
        <v>301</v>
      </c>
      <c r="B300" s="561" t="s">
        <v>303</v>
      </c>
      <c r="C300" s="561" t="s">
        <v>304</v>
      </c>
      <c r="D300" s="561">
        <v>8375.14</v>
      </c>
      <c r="E300" s="561"/>
    </row>
    <row r="301" spans="1:5">
      <c r="A301" s="561" t="s">
        <v>301</v>
      </c>
      <c r="B301" s="561" t="s">
        <v>95</v>
      </c>
      <c r="C301" s="561" t="s">
        <v>96</v>
      </c>
      <c r="D301" s="561">
        <v>1064.3499999999999</v>
      </c>
      <c r="E301" s="561"/>
    </row>
    <row r="302" spans="1:5">
      <c r="A302" s="561" t="s">
        <v>301</v>
      </c>
      <c r="B302" s="561" t="s">
        <v>97</v>
      </c>
      <c r="C302" s="561" t="s">
        <v>98</v>
      </c>
      <c r="D302" s="561">
        <v>-2274.27</v>
      </c>
      <c r="E302" s="561"/>
    </row>
    <row r="303" spans="1:5">
      <c r="A303" s="561" t="s">
        <v>301</v>
      </c>
      <c r="B303" s="561" t="s">
        <v>172</v>
      </c>
      <c r="C303" s="561" t="s">
        <v>173</v>
      </c>
      <c r="D303" s="561">
        <v>3246.37</v>
      </c>
      <c r="E303" s="561"/>
    </row>
    <row r="304" spans="1:5">
      <c r="A304" s="561" t="s">
        <v>301</v>
      </c>
      <c r="B304" s="561" t="s">
        <v>174</v>
      </c>
      <c r="C304" s="561" t="s">
        <v>175</v>
      </c>
      <c r="D304" s="561">
        <v>3703.61</v>
      </c>
      <c r="E304" s="561"/>
    </row>
    <row r="305" spans="1:5">
      <c r="A305" s="561" t="s">
        <v>301</v>
      </c>
      <c r="B305" s="561" t="s">
        <v>176</v>
      </c>
      <c r="C305" s="561" t="s">
        <v>177</v>
      </c>
      <c r="D305" s="561">
        <v>-476.84</v>
      </c>
      <c r="E305" s="561"/>
    </row>
    <row r="306" spans="1:5">
      <c r="A306" s="561" t="s">
        <v>301</v>
      </c>
      <c r="B306" s="561" t="s">
        <v>305</v>
      </c>
      <c r="C306" s="561" t="s">
        <v>306</v>
      </c>
      <c r="D306" s="561">
        <v>531.92999999999995</v>
      </c>
      <c r="E306" s="561"/>
    </row>
    <row r="307" spans="1:5">
      <c r="A307" s="561" t="s">
        <v>301</v>
      </c>
      <c r="B307" s="561" t="s">
        <v>178</v>
      </c>
      <c r="C307" s="561" t="s">
        <v>179</v>
      </c>
      <c r="D307" s="561">
        <v>303.82</v>
      </c>
      <c r="E307" s="561"/>
    </row>
    <row r="308" spans="1:5">
      <c r="A308" s="561" t="s">
        <v>301</v>
      </c>
      <c r="B308" s="561" t="s">
        <v>180</v>
      </c>
      <c r="C308" s="561" t="s">
        <v>181</v>
      </c>
      <c r="D308" s="561">
        <v>492.72</v>
      </c>
      <c r="E308" s="561"/>
    </row>
    <row r="309" spans="1:5">
      <c r="A309" s="561" t="s">
        <v>301</v>
      </c>
      <c r="B309" s="561" t="s">
        <v>182</v>
      </c>
      <c r="C309" s="561" t="s">
        <v>183</v>
      </c>
      <c r="D309" s="561">
        <v>315.61</v>
      </c>
      <c r="E309" s="561"/>
    </row>
    <row r="310" spans="1:5">
      <c r="A310" s="561" t="s">
        <v>301</v>
      </c>
      <c r="B310" s="561" t="s">
        <v>99</v>
      </c>
      <c r="C310" s="561" t="s">
        <v>307</v>
      </c>
      <c r="D310" s="561">
        <v>876.16</v>
      </c>
      <c r="E310" s="561"/>
    </row>
    <row r="311" spans="1:5">
      <c r="A311" s="561" t="s">
        <v>301</v>
      </c>
      <c r="B311" s="561" t="s">
        <v>200</v>
      </c>
      <c r="C311" s="561" t="s">
        <v>308</v>
      </c>
      <c r="D311" s="561">
        <v>852.73</v>
      </c>
      <c r="E311" s="561"/>
    </row>
    <row r="312" spans="1:5">
      <c r="A312" s="561" t="s">
        <v>301</v>
      </c>
      <c r="B312" s="561" t="s">
        <v>309</v>
      </c>
      <c r="C312" s="561" t="s">
        <v>310</v>
      </c>
      <c r="D312" s="561">
        <v>160.28</v>
      </c>
      <c r="E312" s="561"/>
    </row>
    <row r="313" spans="1:5">
      <c r="A313" s="561" t="s">
        <v>301</v>
      </c>
      <c r="B313" s="561" t="s">
        <v>101</v>
      </c>
      <c r="C313" s="561" t="s">
        <v>311</v>
      </c>
      <c r="D313" s="561">
        <v>2948.11</v>
      </c>
      <c r="E313" s="561"/>
    </row>
    <row r="314" spans="1:5">
      <c r="A314" s="561" t="s">
        <v>301</v>
      </c>
      <c r="B314" s="561" t="s">
        <v>312</v>
      </c>
      <c r="C314" s="561" t="s">
        <v>313</v>
      </c>
      <c r="D314" s="561">
        <v>3104</v>
      </c>
      <c r="E314" s="561"/>
    </row>
    <row r="315" spans="1:5">
      <c r="A315" s="561" t="s">
        <v>301</v>
      </c>
      <c r="B315" s="561" t="s">
        <v>314</v>
      </c>
      <c r="C315" s="561" t="s">
        <v>315</v>
      </c>
      <c r="D315" s="561">
        <v>10941.31</v>
      </c>
      <c r="E315" s="561" t="s">
        <v>316</v>
      </c>
    </row>
    <row r="316" spans="1:5">
      <c r="A316" s="561" t="s">
        <v>301</v>
      </c>
      <c r="B316" s="561" t="s">
        <v>103</v>
      </c>
      <c r="C316" s="561" t="s">
        <v>317</v>
      </c>
      <c r="D316" s="561">
        <v>11050.2</v>
      </c>
      <c r="E316" s="561" t="s">
        <v>316</v>
      </c>
    </row>
    <row r="317" spans="1:5">
      <c r="A317" s="561" t="s">
        <v>301</v>
      </c>
      <c r="B317" s="561" t="s">
        <v>150</v>
      </c>
      <c r="C317" s="561" t="s">
        <v>151</v>
      </c>
      <c r="D317" s="561">
        <v>7599.79</v>
      </c>
      <c r="E317" s="561" t="s">
        <v>316</v>
      </c>
    </row>
    <row r="318" spans="1:5">
      <c r="A318" s="561" t="s">
        <v>301</v>
      </c>
      <c r="B318" s="561" t="s">
        <v>107</v>
      </c>
      <c r="C318" s="561" t="s">
        <v>156</v>
      </c>
      <c r="D318" s="561">
        <v>83.95</v>
      </c>
      <c r="E318" s="561"/>
    </row>
    <row r="319" spans="1:5">
      <c r="A319" s="561" t="s">
        <v>301</v>
      </c>
      <c r="B319" s="561" t="s">
        <v>298</v>
      </c>
      <c r="C319" s="561" t="s">
        <v>318</v>
      </c>
      <c r="D319" s="561">
        <v>68.36</v>
      </c>
      <c r="E319" s="561"/>
    </row>
    <row r="320" spans="1:5">
      <c r="A320" s="561" t="s">
        <v>301</v>
      </c>
      <c r="B320" s="561" t="s">
        <v>111</v>
      </c>
      <c r="C320" s="561" t="s">
        <v>126</v>
      </c>
      <c r="D320" s="561">
        <v>104.29</v>
      </c>
      <c r="E320" s="561"/>
    </row>
    <row r="321" spans="1:5">
      <c r="A321" s="561" t="s">
        <v>301</v>
      </c>
      <c r="B321" s="561" t="s">
        <v>319</v>
      </c>
      <c r="C321" s="561" t="s">
        <v>320</v>
      </c>
      <c r="D321" s="561">
        <v>71.209999999999994</v>
      </c>
      <c r="E321" s="561"/>
    </row>
    <row r="322" spans="1:5">
      <c r="A322" s="561" t="s">
        <v>301</v>
      </c>
      <c r="B322" s="561" t="s">
        <v>113</v>
      </c>
      <c r="C322" s="561" t="s">
        <v>163</v>
      </c>
      <c r="D322" s="561">
        <v>11763.21</v>
      </c>
      <c r="E322" s="561" t="s">
        <v>316</v>
      </c>
    </row>
    <row r="323" spans="1:5">
      <c r="A323" s="561" t="s">
        <v>301</v>
      </c>
      <c r="B323" s="561" t="s">
        <v>115</v>
      </c>
      <c r="C323" s="561" t="s">
        <v>165</v>
      </c>
      <c r="D323" s="561">
        <v>12129.19</v>
      </c>
      <c r="E323" s="561" t="s">
        <v>316</v>
      </c>
    </row>
    <row r="324" spans="1:5">
      <c r="A324" s="561" t="s">
        <v>301</v>
      </c>
      <c r="B324" s="561" t="s">
        <v>166</v>
      </c>
      <c r="C324" s="561" t="s">
        <v>167</v>
      </c>
      <c r="D324" s="561">
        <v>8618.59</v>
      </c>
      <c r="E324" s="561" t="s">
        <v>321</v>
      </c>
    </row>
    <row r="325" spans="1:5">
      <c r="A325" s="562" t="s">
        <v>301</v>
      </c>
      <c r="B325" s="562" t="s">
        <v>168</v>
      </c>
      <c r="C325" s="562" t="s">
        <v>169</v>
      </c>
      <c r="D325" s="562">
        <v>8618.59</v>
      </c>
      <c r="E325" s="562" t="s">
        <v>316</v>
      </c>
    </row>
    <row r="326" spans="1:5">
      <c r="A326" s="560" t="s">
        <v>322</v>
      </c>
      <c r="B326" s="560" t="s">
        <v>73</v>
      </c>
      <c r="C326" s="560" t="s">
        <v>74</v>
      </c>
      <c r="D326" s="560">
        <v>2482.7199999999998</v>
      </c>
      <c r="E326" s="560"/>
    </row>
    <row r="327" spans="1:5">
      <c r="A327" s="561" t="s">
        <v>322</v>
      </c>
      <c r="B327" s="561" t="s">
        <v>75</v>
      </c>
      <c r="C327" s="561" t="s">
        <v>76</v>
      </c>
      <c r="D327" s="561">
        <v>2929.16</v>
      </c>
      <c r="E327" s="561"/>
    </row>
    <row r="328" spans="1:5">
      <c r="A328" s="561" t="s">
        <v>322</v>
      </c>
      <c r="B328" s="561" t="s">
        <v>77</v>
      </c>
      <c r="C328" s="561" t="s">
        <v>78</v>
      </c>
      <c r="D328" s="561">
        <v>2727.95</v>
      </c>
      <c r="E328" s="561"/>
    </row>
    <row r="329" spans="1:5">
      <c r="A329" s="561" t="s">
        <v>322</v>
      </c>
      <c r="B329" s="561" t="s">
        <v>79</v>
      </c>
      <c r="C329" s="561" t="s">
        <v>80</v>
      </c>
      <c r="D329" s="561">
        <v>353.66</v>
      </c>
      <c r="E329" s="561"/>
    </row>
    <row r="330" spans="1:5">
      <c r="A330" s="561" t="s">
        <v>322</v>
      </c>
      <c r="B330" s="561" t="s">
        <v>120</v>
      </c>
      <c r="C330" s="561" t="s">
        <v>121</v>
      </c>
      <c r="D330" s="561">
        <v>212.52</v>
      </c>
      <c r="E330" s="561"/>
    </row>
    <row r="331" spans="1:5">
      <c r="A331" s="561" t="s">
        <v>322</v>
      </c>
      <c r="B331" s="561" t="s">
        <v>130</v>
      </c>
      <c r="C331" s="561" t="s">
        <v>131</v>
      </c>
      <c r="D331" s="561">
        <v>106.27</v>
      </c>
      <c r="E331" s="561"/>
    </row>
    <row r="332" spans="1:5">
      <c r="A332" s="561" t="s">
        <v>322</v>
      </c>
      <c r="B332" s="561" t="s">
        <v>81</v>
      </c>
      <c r="C332" s="561" t="s">
        <v>82</v>
      </c>
      <c r="D332" s="561">
        <v>160.79</v>
      </c>
      <c r="E332" s="561"/>
    </row>
    <row r="333" spans="1:5">
      <c r="A333" s="561" t="s">
        <v>322</v>
      </c>
      <c r="B333" s="561" t="s">
        <v>134</v>
      </c>
      <c r="C333" s="561" t="s">
        <v>135</v>
      </c>
      <c r="D333" s="561">
        <v>112.04</v>
      </c>
      <c r="E333" s="561"/>
    </row>
    <row r="334" spans="1:5">
      <c r="A334" s="561" t="s">
        <v>322</v>
      </c>
      <c r="B334" s="561" t="s">
        <v>83</v>
      </c>
      <c r="C334" s="561" t="s">
        <v>136</v>
      </c>
      <c r="D334" s="561">
        <v>1803.5</v>
      </c>
      <c r="E334" s="561"/>
    </row>
    <row r="335" spans="1:5">
      <c r="A335" s="561" t="s">
        <v>322</v>
      </c>
      <c r="B335" s="561" t="s">
        <v>89</v>
      </c>
      <c r="C335" s="561" t="s">
        <v>90</v>
      </c>
      <c r="D335" s="561">
        <v>1803.5</v>
      </c>
      <c r="E335" s="561"/>
    </row>
    <row r="336" spans="1:5">
      <c r="A336" s="561" t="s">
        <v>322</v>
      </c>
      <c r="B336" s="561" t="s">
        <v>124</v>
      </c>
      <c r="C336" s="561" t="s">
        <v>139</v>
      </c>
      <c r="D336" s="561">
        <v>101.26</v>
      </c>
      <c r="E336" s="561"/>
    </row>
    <row r="337" spans="1:5">
      <c r="A337" s="561" t="s">
        <v>322</v>
      </c>
      <c r="B337" s="561" t="s">
        <v>140</v>
      </c>
      <c r="C337" s="561" t="s">
        <v>141</v>
      </c>
      <c r="D337" s="561">
        <v>181.04</v>
      </c>
      <c r="E337" s="561"/>
    </row>
    <row r="338" spans="1:5">
      <c r="A338" s="561" t="s">
        <v>322</v>
      </c>
      <c r="B338" s="561" t="s">
        <v>95</v>
      </c>
      <c r="C338" s="561" t="s">
        <v>96</v>
      </c>
      <c r="D338" s="561">
        <v>18334.400000000001</v>
      </c>
      <c r="E338" s="561"/>
    </row>
    <row r="339" spans="1:5">
      <c r="A339" s="561" t="s">
        <v>322</v>
      </c>
      <c r="B339" s="561" t="s">
        <v>97</v>
      </c>
      <c r="C339" s="561" t="s">
        <v>98</v>
      </c>
      <c r="D339" s="561">
        <v>16681.13</v>
      </c>
      <c r="E339" s="561"/>
    </row>
    <row r="340" spans="1:5">
      <c r="A340" s="561" t="s">
        <v>322</v>
      </c>
      <c r="B340" s="561" t="s">
        <v>172</v>
      </c>
      <c r="C340" s="561" t="s">
        <v>173</v>
      </c>
      <c r="D340" s="561">
        <v>20395.3</v>
      </c>
      <c r="E340" s="561"/>
    </row>
    <row r="341" spans="1:5">
      <c r="A341" s="561" t="s">
        <v>322</v>
      </c>
      <c r="B341" s="561" t="s">
        <v>174</v>
      </c>
      <c r="C341" s="561" t="s">
        <v>175</v>
      </c>
      <c r="D341" s="561">
        <v>20169.55</v>
      </c>
      <c r="E341" s="561"/>
    </row>
    <row r="342" spans="1:5">
      <c r="A342" s="561" t="s">
        <v>322</v>
      </c>
      <c r="B342" s="561" t="s">
        <v>176</v>
      </c>
      <c r="C342" s="561" t="s">
        <v>177</v>
      </c>
      <c r="D342" s="561">
        <v>19637.28</v>
      </c>
      <c r="E342" s="561"/>
    </row>
    <row r="343" spans="1:5">
      <c r="A343" s="561" t="s">
        <v>322</v>
      </c>
      <c r="B343" s="561" t="s">
        <v>178</v>
      </c>
      <c r="C343" s="561" t="s">
        <v>179</v>
      </c>
      <c r="D343" s="561">
        <v>1121.83</v>
      </c>
      <c r="E343" s="561"/>
    </row>
    <row r="344" spans="1:5">
      <c r="A344" s="561" t="s">
        <v>322</v>
      </c>
      <c r="B344" s="561" t="s">
        <v>180</v>
      </c>
      <c r="C344" s="561" t="s">
        <v>181</v>
      </c>
      <c r="D344" s="561">
        <v>446.69</v>
      </c>
      <c r="E344" s="561"/>
    </row>
    <row r="345" spans="1:5">
      <c r="A345" s="561" t="s">
        <v>322</v>
      </c>
      <c r="B345" s="561" t="s">
        <v>182</v>
      </c>
      <c r="C345" s="561" t="s">
        <v>183</v>
      </c>
      <c r="D345" s="561">
        <v>667.46</v>
      </c>
      <c r="E345" s="561"/>
    </row>
    <row r="346" spans="1:5">
      <c r="A346" s="561" t="s">
        <v>322</v>
      </c>
      <c r="B346" s="561" t="s">
        <v>223</v>
      </c>
      <c r="C346" s="561" t="s">
        <v>264</v>
      </c>
      <c r="D346" s="561">
        <v>104.99</v>
      </c>
      <c r="E346" s="561"/>
    </row>
    <row r="347" spans="1:5">
      <c r="A347" s="561" t="s">
        <v>322</v>
      </c>
      <c r="B347" s="561" t="s">
        <v>107</v>
      </c>
      <c r="C347" s="561" t="s">
        <v>184</v>
      </c>
      <c r="D347" s="561">
        <v>63.64</v>
      </c>
      <c r="E347" s="561"/>
    </row>
    <row r="348" spans="1:5">
      <c r="A348" s="561" t="s">
        <v>322</v>
      </c>
      <c r="B348" s="561" t="s">
        <v>159</v>
      </c>
      <c r="C348" s="561" t="s">
        <v>323</v>
      </c>
      <c r="D348" s="561">
        <v>110.48</v>
      </c>
      <c r="E348" s="561"/>
    </row>
    <row r="349" spans="1:5">
      <c r="A349" s="561" t="s">
        <v>322</v>
      </c>
      <c r="B349" s="561" t="s">
        <v>111</v>
      </c>
      <c r="C349" s="561" t="s">
        <v>126</v>
      </c>
      <c r="D349" s="561">
        <v>87.62</v>
      </c>
      <c r="E349" s="561"/>
    </row>
    <row r="350" spans="1:5">
      <c r="A350" s="562" t="s">
        <v>322</v>
      </c>
      <c r="B350" s="562" t="s">
        <v>113</v>
      </c>
      <c r="C350" s="562" t="s">
        <v>231</v>
      </c>
      <c r="D350" s="562">
        <v>9902.59</v>
      </c>
      <c r="E350" s="562" t="s">
        <v>316</v>
      </c>
    </row>
    <row r="351" spans="1:5">
      <c r="A351" s="560" t="s">
        <v>324</v>
      </c>
      <c r="B351" s="560" t="s">
        <v>73</v>
      </c>
      <c r="C351" s="560" t="s">
        <v>74</v>
      </c>
      <c r="D351" s="560">
        <v>3149.62</v>
      </c>
      <c r="E351" s="560"/>
    </row>
    <row r="352" spans="1:5">
      <c r="A352" s="561" t="s">
        <v>324</v>
      </c>
      <c r="B352" s="561" t="s">
        <v>75</v>
      </c>
      <c r="C352" s="561" t="s">
        <v>76</v>
      </c>
      <c r="D352" s="561">
        <v>3149.62</v>
      </c>
      <c r="E352" s="561"/>
    </row>
    <row r="353" spans="1:5">
      <c r="A353" s="561" t="s">
        <v>324</v>
      </c>
      <c r="B353" s="561" t="s">
        <v>77</v>
      </c>
      <c r="C353" s="561" t="s">
        <v>78</v>
      </c>
      <c r="D353" s="561">
        <v>3166.28</v>
      </c>
      <c r="E353" s="561"/>
    </row>
    <row r="354" spans="1:5">
      <c r="A354" s="561" t="s">
        <v>324</v>
      </c>
      <c r="B354" s="561" t="s">
        <v>325</v>
      </c>
      <c r="C354" s="561" t="s">
        <v>326</v>
      </c>
      <c r="D354" s="561">
        <v>3149.62</v>
      </c>
      <c r="E354" s="561"/>
    </row>
    <row r="355" spans="1:5">
      <c r="A355" s="561" t="s">
        <v>324</v>
      </c>
      <c r="B355" s="561" t="s">
        <v>327</v>
      </c>
      <c r="C355" s="561" t="s">
        <v>328</v>
      </c>
      <c r="D355" s="561">
        <v>3149.62</v>
      </c>
      <c r="E355" s="561"/>
    </row>
    <row r="356" spans="1:5">
      <c r="A356" s="561" t="s">
        <v>324</v>
      </c>
      <c r="B356" s="561" t="s">
        <v>329</v>
      </c>
      <c r="C356" s="561" t="s">
        <v>330</v>
      </c>
      <c r="D356" s="561">
        <v>3149.62</v>
      </c>
      <c r="E356" s="561"/>
    </row>
    <row r="357" spans="1:5">
      <c r="A357" s="561" t="s">
        <v>324</v>
      </c>
      <c r="B357" s="561" t="s">
        <v>79</v>
      </c>
      <c r="C357" s="561" t="s">
        <v>80</v>
      </c>
      <c r="D357" s="561">
        <v>354.84</v>
      </c>
      <c r="E357" s="561"/>
    </row>
    <row r="358" spans="1:5">
      <c r="A358" s="561" t="s">
        <v>324</v>
      </c>
      <c r="B358" s="561" t="s">
        <v>120</v>
      </c>
      <c r="C358" s="561" t="s">
        <v>121</v>
      </c>
      <c r="D358" s="561">
        <v>218.43</v>
      </c>
      <c r="E358" s="561"/>
    </row>
    <row r="359" spans="1:5">
      <c r="A359" s="561" t="s">
        <v>324</v>
      </c>
      <c r="B359" s="561" t="s">
        <v>81</v>
      </c>
      <c r="C359" s="561" t="s">
        <v>82</v>
      </c>
      <c r="D359" s="561">
        <v>74.73</v>
      </c>
      <c r="E359" s="561"/>
    </row>
    <row r="360" spans="1:5">
      <c r="A360" s="561" t="s">
        <v>324</v>
      </c>
      <c r="B360" s="561" t="s">
        <v>83</v>
      </c>
      <c r="C360" s="561" t="s">
        <v>331</v>
      </c>
      <c r="D360" s="561">
        <v>3855.89</v>
      </c>
      <c r="E360" s="561"/>
    </row>
    <row r="361" spans="1:5">
      <c r="A361" s="561" t="s">
        <v>324</v>
      </c>
      <c r="B361" s="561" t="s">
        <v>278</v>
      </c>
      <c r="C361" s="561" t="s">
        <v>279</v>
      </c>
      <c r="D361" s="561">
        <v>5815.23</v>
      </c>
      <c r="E361" s="561"/>
    </row>
    <row r="362" spans="1:5">
      <c r="A362" s="561" t="s">
        <v>324</v>
      </c>
      <c r="B362" s="561" t="s">
        <v>270</v>
      </c>
      <c r="C362" s="561" t="s">
        <v>332</v>
      </c>
      <c r="D362" s="561">
        <v>932.23</v>
      </c>
      <c r="E362" s="561"/>
    </row>
    <row r="363" spans="1:5">
      <c r="A363" s="561" t="s">
        <v>324</v>
      </c>
      <c r="B363" s="561" t="s">
        <v>124</v>
      </c>
      <c r="C363" s="561" t="s">
        <v>139</v>
      </c>
      <c r="D363" s="561">
        <v>384.23</v>
      </c>
      <c r="E363" s="561"/>
    </row>
    <row r="364" spans="1:5">
      <c r="A364" s="561" t="s">
        <v>324</v>
      </c>
      <c r="B364" s="561" t="s">
        <v>140</v>
      </c>
      <c r="C364" s="561" t="s">
        <v>141</v>
      </c>
      <c r="D364" s="561">
        <v>502.3</v>
      </c>
      <c r="E364" s="561"/>
    </row>
    <row r="365" spans="1:5">
      <c r="A365" s="561" t="s">
        <v>324</v>
      </c>
      <c r="B365" s="561" t="s">
        <v>95</v>
      </c>
      <c r="C365" s="561" t="s">
        <v>96</v>
      </c>
      <c r="D365" s="561">
        <v>734.1</v>
      </c>
      <c r="E365" s="561"/>
    </row>
    <row r="366" spans="1:5">
      <c r="A366" s="561" t="s">
        <v>324</v>
      </c>
      <c r="B366" s="561" t="s">
        <v>97</v>
      </c>
      <c r="C366" s="561" t="s">
        <v>98</v>
      </c>
      <c r="D366" s="561">
        <v>-2883.1</v>
      </c>
      <c r="E366" s="561"/>
    </row>
    <row r="367" spans="1:5">
      <c r="A367" s="561" t="s">
        <v>324</v>
      </c>
      <c r="B367" s="561" t="s">
        <v>172</v>
      </c>
      <c r="C367" s="561" t="s">
        <v>173</v>
      </c>
      <c r="D367" s="561">
        <v>240.36</v>
      </c>
      <c r="E367" s="561"/>
    </row>
    <row r="368" spans="1:5">
      <c r="A368" s="561" t="s">
        <v>324</v>
      </c>
      <c r="B368" s="561" t="s">
        <v>174</v>
      </c>
      <c r="C368" s="561" t="s">
        <v>175</v>
      </c>
      <c r="D368" s="561">
        <v>-1096.94</v>
      </c>
      <c r="E368" s="561"/>
    </row>
    <row r="369" spans="1:5">
      <c r="A369" s="561" t="s">
        <v>324</v>
      </c>
      <c r="B369" s="561" t="s">
        <v>176</v>
      </c>
      <c r="C369" s="561" t="s">
        <v>177</v>
      </c>
      <c r="D369" s="561">
        <v>-2187.4699999999998</v>
      </c>
      <c r="E369" s="561"/>
    </row>
    <row r="370" spans="1:5">
      <c r="A370" s="561" t="s">
        <v>324</v>
      </c>
      <c r="B370" s="561" t="s">
        <v>178</v>
      </c>
      <c r="C370" s="561" t="s">
        <v>179</v>
      </c>
      <c r="D370" s="561">
        <v>928.17</v>
      </c>
      <c r="E370" s="561"/>
    </row>
    <row r="371" spans="1:5">
      <c r="A371" s="561" t="s">
        <v>324</v>
      </c>
      <c r="B371" s="561" t="s">
        <v>180</v>
      </c>
      <c r="C371" s="561" t="s">
        <v>181</v>
      </c>
      <c r="D371" s="561">
        <v>981.15</v>
      </c>
      <c r="E371" s="561"/>
    </row>
    <row r="372" spans="1:5">
      <c r="A372" s="561" t="s">
        <v>324</v>
      </c>
      <c r="B372" s="561" t="s">
        <v>182</v>
      </c>
      <c r="C372" s="561" t="s">
        <v>183</v>
      </c>
      <c r="D372" s="561">
        <v>261.83999999999997</v>
      </c>
      <c r="E372" s="561"/>
    </row>
    <row r="373" spans="1:5">
      <c r="A373" s="561" t="s">
        <v>324</v>
      </c>
      <c r="B373" s="561" t="s">
        <v>152</v>
      </c>
      <c r="C373" s="561" t="s">
        <v>273</v>
      </c>
      <c r="D373" s="561">
        <v>83.79</v>
      </c>
      <c r="E373" s="561"/>
    </row>
    <row r="374" spans="1:5">
      <c r="A374" s="561" t="s">
        <v>324</v>
      </c>
      <c r="B374" s="561" t="s">
        <v>107</v>
      </c>
      <c r="C374" s="561" t="s">
        <v>184</v>
      </c>
      <c r="D374" s="561">
        <v>84.89</v>
      </c>
      <c r="E374" s="561"/>
    </row>
    <row r="375" spans="1:5">
      <c r="A375" s="561" t="s">
        <v>324</v>
      </c>
      <c r="B375" s="561" t="s">
        <v>159</v>
      </c>
      <c r="C375" s="561" t="s">
        <v>333</v>
      </c>
      <c r="D375" s="561">
        <v>123.34</v>
      </c>
      <c r="E375" s="561"/>
    </row>
    <row r="376" spans="1:5">
      <c r="A376" s="561" t="s">
        <v>324</v>
      </c>
      <c r="B376" s="561" t="s">
        <v>111</v>
      </c>
      <c r="C376" s="561" t="s">
        <v>112</v>
      </c>
      <c r="D376" s="561">
        <v>98.88</v>
      </c>
      <c r="E376" s="561"/>
    </row>
    <row r="377" spans="1:5">
      <c r="A377" s="561" t="s">
        <v>324</v>
      </c>
      <c r="B377" s="561" t="s">
        <v>274</v>
      </c>
      <c r="C377" s="561" t="s">
        <v>334</v>
      </c>
      <c r="D377" s="561">
        <v>143.5</v>
      </c>
      <c r="E377" s="561"/>
    </row>
    <row r="378" spans="1:5">
      <c r="A378" s="562" t="s">
        <v>324</v>
      </c>
      <c r="B378" s="562" t="s">
        <v>113</v>
      </c>
      <c r="C378" s="562" t="s">
        <v>281</v>
      </c>
      <c r="D378" s="562">
        <v>9516.08</v>
      </c>
      <c r="E378" s="562"/>
    </row>
    <row r="379" spans="1:5">
      <c r="A379" s="560" t="s">
        <v>335</v>
      </c>
      <c r="B379" s="560" t="s">
        <v>79</v>
      </c>
      <c r="C379" s="560" t="s">
        <v>80</v>
      </c>
      <c r="D379" s="560">
        <v>570.29</v>
      </c>
      <c r="E379" s="560"/>
    </row>
    <row r="380" spans="1:5">
      <c r="A380" s="561" t="s">
        <v>335</v>
      </c>
      <c r="B380" s="561" t="s">
        <v>120</v>
      </c>
      <c r="C380" s="561" t="s">
        <v>121</v>
      </c>
      <c r="D380" s="561">
        <v>242.86</v>
      </c>
      <c r="E380" s="561"/>
    </row>
    <row r="381" spans="1:5">
      <c r="A381" s="561" t="s">
        <v>335</v>
      </c>
      <c r="B381" s="561" t="s">
        <v>81</v>
      </c>
      <c r="C381" s="561" t="s">
        <v>82</v>
      </c>
      <c r="D381" s="561">
        <v>74.73</v>
      </c>
      <c r="E381" s="561"/>
    </row>
    <row r="382" spans="1:5">
      <c r="A382" s="561" t="s">
        <v>335</v>
      </c>
      <c r="B382" s="561" t="s">
        <v>89</v>
      </c>
      <c r="C382" s="561" t="s">
        <v>90</v>
      </c>
      <c r="D382" s="561">
        <v>1207.95</v>
      </c>
      <c r="E382" s="561"/>
    </row>
    <row r="383" spans="1:5">
      <c r="A383" s="561" t="s">
        <v>335</v>
      </c>
      <c r="B383" s="561" t="s">
        <v>95</v>
      </c>
      <c r="C383" s="561" t="s">
        <v>96</v>
      </c>
      <c r="D383" s="561">
        <v>677.36</v>
      </c>
      <c r="E383" s="561"/>
    </row>
    <row r="384" spans="1:5">
      <c r="A384" s="561" t="s">
        <v>335</v>
      </c>
      <c r="B384" s="561" t="s">
        <v>97</v>
      </c>
      <c r="C384" s="561" t="s">
        <v>98</v>
      </c>
      <c r="D384" s="561">
        <v>-1785.25</v>
      </c>
      <c r="E384" s="561"/>
    </row>
    <row r="385" spans="1:5">
      <c r="A385" s="561" t="s">
        <v>335</v>
      </c>
      <c r="B385" s="561" t="s">
        <v>172</v>
      </c>
      <c r="C385" s="561" t="s">
        <v>173</v>
      </c>
      <c r="D385" s="561">
        <v>1090.6500000000001</v>
      </c>
      <c r="E385" s="561"/>
    </row>
    <row r="386" spans="1:5">
      <c r="A386" s="561" t="s">
        <v>335</v>
      </c>
      <c r="B386" s="561" t="s">
        <v>174</v>
      </c>
      <c r="C386" s="561" t="s">
        <v>175</v>
      </c>
      <c r="D386" s="561">
        <v>684.82</v>
      </c>
      <c r="E386" s="561"/>
    </row>
    <row r="387" spans="1:5">
      <c r="A387" s="561" t="s">
        <v>335</v>
      </c>
      <c r="B387" s="561" t="s">
        <v>176</v>
      </c>
      <c r="C387" s="561" t="s">
        <v>177</v>
      </c>
      <c r="D387" s="561">
        <v>859.25</v>
      </c>
      <c r="E387" s="561"/>
    </row>
    <row r="388" spans="1:5">
      <c r="A388" s="561" t="s">
        <v>335</v>
      </c>
      <c r="B388" s="561" t="s">
        <v>178</v>
      </c>
      <c r="C388" s="561" t="s">
        <v>179</v>
      </c>
      <c r="D388" s="561">
        <v>829.62</v>
      </c>
      <c r="E388" s="561"/>
    </row>
    <row r="389" spans="1:5">
      <c r="A389" s="561" t="s">
        <v>335</v>
      </c>
      <c r="B389" s="561" t="s">
        <v>180</v>
      </c>
      <c r="C389" s="561" t="s">
        <v>181</v>
      </c>
      <c r="D389" s="561">
        <v>829.5</v>
      </c>
      <c r="E389" s="561"/>
    </row>
    <row r="390" spans="1:5">
      <c r="A390" s="561" t="s">
        <v>335</v>
      </c>
      <c r="B390" s="561" t="s">
        <v>182</v>
      </c>
      <c r="C390" s="561" t="s">
        <v>183</v>
      </c>
      <c r="D390" s="561">
        <v>650.57000000000005</v>
      </c>
      <c r="E390" s="561"/>
    </row>
    <row r="391" spans="1:5">
      <c r="A391" s="562" t="s">
        <v>335</v>
      </c>
      <c r="B391" s="562" t="s">
        <v>111</v>
      </c>
      <c r="C391" s="562" t="s">
        <v>126</v>
      </c>
      <c r="D391" s="562">
        <v>126.48</v>
      </c>
      <c r="E391" s="562"/>
    </row>
    <row r="392" spans="1:5">
      <c r="A392" s="560" t="s">
        <v>336</v>
      </c>
      <c r="B392" s="560" t="s">
        <v>79</v>
      </c>
      <c r="C392" s="560" t="s">
        <v>80</v>
      </c>
      <c r="D392" s="560">
        <v>408.3</v>
      </c>
      <c r="E392" s="560"/>
    </row>
    <row r="393" spans="1:5">
      <c r="A393" s="561" t="s">
        <v>336</v>
      </c>
      <c r="B393" s="561" t="s">
        <v>120</v>
      </c>
      <c r="C393" s="561" t="s">
        <v>121</v>
      </c>
      <c r="D393" s="561">
        <v>185.49</v>
      </c>
      <c r="E393" s="561"/>
    </row>
    <row r="394" spans="1:5">
      <c r="A394" s="561" t="s">
        <v>336</v>
      </c>
      <c r="B394" s="561" t="s">
        <v>81</v>
      </c>
      <c r="C394" s="561" t="s">
        <v>82</v>
      </c>
      <c r="D394" s="561">
        <v>88.32</v>
      </c>
      <c r="E394" s="561"/>
    </row>
    <row r="395" spans="1:5">
      <c r="A395" s="561" t="s">
        <v>336</v>
      </c>
      <c r="B395" s="561" t="s">
        <v>89</v>
      </c>
      <c r="C395" s="561" t="s">
        <v>293</v>
      </c>
      <c r="D395" s="561">
        <v>1156.0999999999999</v>
      </c>
      <c r="E395" s="561"/>
    </row>
    <row r="396" spans="1:5">
      <c r="A396" s="561" t="s">
        <v>336</v>
      </c>
      <c r="B396" s="561" t="s">
        <v>95</v>
      </c>
      <c r="C396" s="561" t="s">
        <v>96</v>
      </c>
      <c r="D396" s="561">
        <v>1335.71</v>
      </c>
      <c r="E396" s="561"/>
    </row>
    <row r="397" spans="1:5">
      <c r="A397" s="561" t="s">
        <v>336</v>
      </c>
      <c r="B397" s="561" t="s">
        <v>97</v>
      </c>
      <c r="C397" s="561" t="s">
        <v>98</v>
      </c>
      <c r="D397" s="561">
        <v>5859.11</v>
      </c>
      <c r="E397" s="561"/>
    </row>
    <row r="398" spans="1:5">
      <c r="A398" s="561" t="s">
        <v>336</v>
      </c>
      <c r="B398" s="561" t="s">
        <v>172</v>
      </c>
      <c r="C398" s="561" t="s">
        <v>173</v>
      </c>
      <c r="D398" s="561">
        <v>694.39</v>
      </c>
      <c r="E398" s="561"/>
    </row>
    <row r="399" spans="1:5">
      <c r="A399" s="561" t="s">
        <v>336</v>
      </c>
      <c r="B399" s="561" t="s">
        <v>174</v>
      </c>
      <c r="C399" s="561" t="s">
        <v>175</v>
      </c>
      <c r="D399" s="561">
        <v>1060.25</v>
      </c>
      <c r="E399" s="561"/>
    </row>
    <row r="400" spans="1:5">
      <c r="A400" s="561" t="s">
        <v>336</v>
      </c>
      <c r="B400" s="561" t="s">
        <v>176</v>
      </c>
      <c r="C400" s="561" t="s">
        <v>177</v>
      </c>
      <c r="D400" s="561">
        <v>5087.59</v>
      </c>
      <c r="E400" s="561"/>
    </row>
    <row r="401" spans="1:5">
      <c r="A401" s="561" t="s">
        <v>336</v>
      </c>
      <c r="B401" s="561" t="s">
        <v>178</v>
      </c>
      <c r="C401" s="561" t="s">
        <v>179</v>
      </c>
      <c r="D401" s="561">
        <v>488.86</v>
      </c>
      <c r="E401" s="561"/>
    </row>
    <row r="402" spans="1:5">
      <c r="A402" s="561" t="s">
        <v>336</v>
      </c>
      <c r="B402" s="561" t="s">
        <v>180</v>
      </c>
      <c r="C402" s="561" t="s">
        <v>181</v>
      </c>
      <c r="D402" s="561">
        <v>989.52</v>
      </c>
      <c r="E402" s="561"/>
    </row>
    <row r="403" spans="1:5">
      <c r="A403" s="561" t="s">
        <v>336</v>
      </c>
      <c r="B403" s="561" t="s">
        <v>182</v>
      </c>
      <c r="C403" s="561" t="s">
        <v>183</v>
      </c>
      <c r="D403" s="561">
        <v>35.799999999999997</v>
      </c>
      <c r="E403" s="561"/>
    </row>
    <row r="404" spans="1:5">
      <c r="A404" s="568" t="s">
        <v>336</v>
      </c>
      <c r="B404" s="568" t="s">
        <v>111</v>
      </c>
      <c r="C404" s="568" t="s">
        <v>126</v>
      </c>
      <c r="D404" s="568">
        <v>282.76</v>
      </c>
      <c r="E404" s="568"/>
    </row>
    <row r="405" spans="1:5">
      <c r="A405" s="569" t="s">
        <v>337</v>
      </c>
      <c r="B405" s="569" t="s">
        <v>338</v>
      </c>
      <c r="C405" s="569" t="s">
        <v>339</v>
      </c>
      <c r="D405" s="569">
        <v>63.17</v>
      </c>
      <c r="E405" s="569"/>
    </row>
    <row r="406" spans="1:5">
      <c r="A406" s="561" t="s">
        <v>337</v>
      </c>
      <c r="B406" s="561" t="s">
        <v>284</v>
      </c>
      <c r="C406" s="561" t="s">
        <v>340</v>
      </c>
      <c r="D406" s="561">
        <v>145.05000000000001</v>
      </c>
      <c r="E406" s="561"/>
    </row>
    <row r="407" spans="1:5">
      <c r="A407" s="561" t="s">
        <v>337</v>
      </c>
      <c r="B407" s="561" t="s">
        <v>95</v>
      </c>
      <c r="C407" s="561" t="s">
        <v>96</v>
      </c>
      <c r="D407" s="561">
        <v>-63.23</v>
      </c>
      <c r="E407" s="561"/>
    </row>
    <row r="408" spans="1:5">
      <c r="A408" s="561" t="s">
        <v>337</v>
      </c>
      <c r="B408" s="561" t="s">
        <v>97</v>
      </c>
      <c r="C408" s="561" t="s">
        <v>98</v>
      </c>
      <c r="D408" s="561">
        <v>1900.95</v>
      </c>
      <c r="E408" s="561"/>
    </row>
    <row r="409" spans="1:5">
      <c r="A409" s="561" t="s">
        <v>337</v>
      </c>
      <c r="B409" s="561" t="s">
        <v>172</v>
      </c>
      <c r="C409" s="561" t="s">
        <v>173</v>
      </c>
      <c r="D409" s="561">
        <v>2544.96</v>
      </c>
      <c r="E409" s="561"/>
    </row>
    <row r="410" spans="1:5">
      <c r="A410" s="568" t="s">
        <v>337</v>
      </c>
      <c r="B410" s="568" t="s">
        <v>341</v>
      </c>
      <c r="C410" s="568" t="s">
        <v>342</v>
      </c>
      <c r="D410" s="568" t="s">
        <v>280</v>
      </c>
      <c r="E410" s="568"/>
    </row>
    <row r="411" spans="1:5">
      <c r="A411" s="569" t="s">
        <v>343</v>
      </c>
      <c r="B411" s="569" t="s">
        <v>338</v>
      </c>
      <c r="C411" s="569" t="s">
        <v>339</v>
      </c>
      <c r="D411" s="569">
        <v>63.17</v>
      </c>
      <c r="E411" s="569"/>
    </row>
    <row r="412" spans="1:5">
      <c r="A412" s="561" t="s">
        <v>343</v>
      </c>
      <c r="B412" s="561" t="s">
        <v>284</v>
      </c>
      <c r="C412" s="561" t="s">
        <v>340</v>
      </c>
      <c r="D412" s="561">
        <v>145.05000000000001</v>
      </c>
      <c r="E412" s="561"/>
    </row>
    <row r="413" spans="1:5">
      <c r="A413" s="561" t="s">
        <v>343</v>
      </c>
      <c r="B413" s="561" t="s">
        <v>95</v>
      </c>
      <c r="C413" s="561" t="s">
        <v>96</v>
      </c>
      <c r="D413" s="561">
        <v>59.66</v>
      </c>
      <c r="E413" s="561"/>
    </row>
    <row r="414" spans="1:5">
      <c r="A414" s="561" t="s">
        <v>343</v>
      </c>
      <c r="B414" s="561" t="s">
        <v>97</v>
      </c>
      <c r="C414" s="561" t="s">
        <v>98</v>
      </c>
      <c r="D414" s="561">
        <v>2329.84</v>
      </c>
      <c r="E414" s="561"/>
    </row>
    <row r="415" spans="1:5">
      <c r="A415" s="561" t="s">
        <v>343</v>
      </c>
      <c r="B415" s="561" t="s">
        <v>172</v>
      </c>
      <c r="C415" s="561" t="s">
        <v>173</v>
      </c>
      <c r="D415" s="561">
        <v>2593.87</v>
      </c>
      <c r="E415" s="561"/>
    </row>
    <row r="416" spans="1:5">
      <c r="A416" s="568" t="s">
        <v>343</v>
      </c>
      <c r="B416" s="568" t="s">
        <v>341</v>
      </c>
      <c r="C416" s="568" t="s">
        <v>342</v>
      </c>
      <c r="D416" s="568" t="s">
        <v>280</v>
      </c>
      <c r="E416" s="568"/>
    </row>
    <row r="417" spans="1:5">
      <c r="A417" s="560" t="s">
        <v>344</v>
      </c>
      <c r="B417" s="560" t="s">
        <v>95</v>
      </c>
      <c r="C417" s="560" t="s">
        <v>96</v>
      </c>
      <c r="D417" s="560">
        <v>936.82</v>
      </c>
      <c r="E417" s="560"/>
    </row>
    <row r="418" spans="1:5">
      <c r="A418" s="561" t="s">
        <v>344</v>
      </c>
      <c r="B418" s="561" t="s">
        <v>97</v>
      </c>
      <c r="C418" s="561" t="s">
        <v>98</v>
      </c>
      <c r="D418" s="561">
        <v>789.64</v>
      </c>
      <c r="E418" s="561"/>
    </row>
    <row r="419" spans="1:5">
      <c r="A419" s="561" t="s">
        <v>344</v>
      </c>
      <c r="B419" s="561" t="s">
        <v>172</v>
      </c>
      <c r="C419" s="561" t="s">
        <v>173</v>
      </c>
      <c r="D419" s="561">
        <v>507.54</v>
      </c>
      <c r="E419" s="561"/>
    </row>
    <row r="420" spans="1:5">
      <c r="A420" s="561" t="s">
        <v>344</v>
      </c>
      <c r="B420" s="561" t="s">
        <v>174</v>
      </c>
      <c r="C420" s="561" t="s">
        <v>175</v>
      </c>
      <c r="D420" s="561">
        <v>3016.81</v>
      </c>
      <c r="E420" s="561"/>
    </row>
    <row r="421" spans="1:5">
      <c r="A421" s="561" t="s">
        <v>344</v>
      </c>
      <c r="B421" s="561" t="s">
        <v>176</v>
      </c>
      <c r="C421" s="561" t="s">
        <v>177</v>
      </c>
      <c r="D421" s="561">
        <v>584.34</v>
      </c>
      <c r="E421" s="561"/>
    </row>
    <row r="422" spans="1:5">
      <c r="A422" s="561" t="s">
        <v>344</v>
      </c>
      <c r="B422" s="561" t="s">
        <v>305</v>
      </c>
      <c r="C422" s="561" t="s">
        <v>306</v>
      </c>
      <c r="D422" s="561">
        <v>1883.53</v>
      </c>
      <c r="E422" s="561"/>
    </row>
    <row r="423" spans="1:5">
      <c r="A423" s="561" t="s">
        <v>344</v>
      </c>
      <c r="B423" s="561" t="s">
        <v>345</v>
      </c>
      <c r="C423" s="561" t="s">
        <v>346</v>
      </c>
      <c r="D423" s="561">
        <v>3344.52</v>
      </c>
      <c r="E423" s="561"/>
    </row>
    <row r="424" spans="1:5">
      <c r="A424" s="561" t="s">
        <v>344</v>
      </c>
      <c r="B424" s="561" t="s">
        <v>347</v>
      </c>
      <c r="C424" s="561" t="s">
        <v>348</v>
      </c>
      <c r="D424" s="561">
        <v>-496.54</v>
      </c>
      <c r="E424" s="561"/>
    </row>
    <row r="425" spans="1:5">
      <c r="A425" s="561" t="s">
        <v>344</v>
      </c>
      <c r="B425" s="561" t="s">
        <v>349</v>
      </c>
      <c r="C425" s="561" t="s">
        <v>350</v>
      </c>
      <c r="D425" s="561">
        <v>2618.58</v>
      </c>
      <c r="E425" s="561"/>
    </row>
    <row r="426" spans="1:5">
      <c r="A426" s="561" t="s">
        <v>344</v>
      </c>
      <c r="B426" s="561" t="s">
        <v>107</v>
      </c>
      <c r="C426" s="561" t="s">
        <v>108</v>
      </c>
      <c r="D426" s="561">
        <v>88.83</v>
      </c>
      <c r="E426" s="561"/>
    </row>
    <row r="427" spans="1:5">
      <c r="A427" s="562" t="s">
        <v>344</v>
      </c>
      <c r="B427" s="562" t="s">
        <v>111</v>
      </c>
      <c r="C427" s="562" t="s">
        <v>126</v>
      </c>
      <c r="D427" s="562">
        <v>150.74</v>
      </c>
      <c r="E427" s="562"/>
    </row>
    <row r="428" spans="1:5">
      <c r="A428" s="560" t="s">
        <v>351</v>
      </c>
      <c r="B428" s="560" t="s">
        <v>95</v>
      </c>
      <c r="C428" s="560" t="s">
        <v>96</v>
      </c>
      <c r="D428" s="560">
        <v>636.79</v>
      </c>
      <c r="E428" s="560"/>
    </row>
    <row r="429" spans="1:5">
      <c r="A429" s="561" t="s">
        <v>351</v>
      </c>
      <c r="B429" s="561" t="s">
        <v>97</v>
      </c>
      <c r="C429" s="561" t="s">
        <v>98</v>
      </c>
      <c r="D429" s="561">
        <v>1241.67</v>
      </c>
      <c r="E429" s="561"/>
    </row>
    <row r="430" spans="1:5">
      <c r="A430" s="561" t="s">
        <v>351</v>
      </c>
      <c r="B430" s="561" t="s">
        <v>172</v>
      </c>
      <c r="C430" s="561" t="s">
        <v>173</v>
      </c>
      <c r="D430" s="561">
        <v>1338.48</v>
      </c>
      <c r="E430" s="561"/>
    </row>
    <row r="431" spans="1:5">
      <c r="A431" s="561" t="s">
        <v>351</v>
      </c>
      <c r="B431" s="561" t="s">
        <v>174</v>
      </c>
      <c r="C431" s="561" t="s">
        <v>175</v>
      </c>
      <c r="D431" s="561">
        <v>3445.75</v>
      </c>
      <c r="E431" s="561"/>
    </row>
    <row r="432" spans="1:5">
      <c r="A432" s="561" t="s">
        <v>351</v>
      </c>
      <c r="B432" s="561" t="s">
        <v>176</v>
      </c>
      <c r="C432" s="561" t="s">
        <v>177</v>
      </c>
      <c r="D432" s="561">
        <v>485.53</v>
      </c>
      <c r="E432" s="561"/>
    </row>
    <row r="433" spans="1:5">
      <c r="A433" s="561" t="s">
        <v>351</v>
      </c>
      <c r="B433" s="561" t="s">
        <v>305</v>
      </c>
      <c r="C433" s="561" t="s">
        <v>306</v>
      </c>
      <c r="D433" s="561">
        <v>1913.07</v>
      </c>
      <c r="E433" s="561"/>
    </row>
    <row r="434" spans="1:5">
      <c r="A434" s="561" t="s">
        <v>351</v>
      </c>
      <c r="B434" s="561" t="s">
        <v>345</v>
      </c>
      <c r="C434" s="561" t="s">
        <v>346</v>
      </c>
      <c r="D434" s="561">
        <v>2895.51</v>
      </c>
      <c r="E434" s="561"/>
    </row>
    <row r="435" spans="1:5">
      <c r="A435" s="561" t="s">
        <v>351</v>
      </c>
      <c r="B435" s="561" t="s">
        <v>347</v>
      </c>
      <c r="C435" s="561" t="s">
        <v>348</v>
      </c>
      <c r="D435" s="561">
        <v>864.45</v>
      </c>
      <c r="E435" s="561"/>
    </row>
    <row r="436" spans="1:5">
      <c r="A436" s="561" t="s">
        <v>351</v>
      </c>
      <c r="B436" s="561" t="s">
        <v>349</v>
      </c>
      <c r="C436" s="561" t="s">
        <v>350</v>
      </c>
      <c r="D436" s="561">
        <v>2207.81</v>
      </c>
      <c r="E436" s="561"/>
    </row>
    <row r="437" spans="1:5">
      <c r="A437" s="561" t="s">
        <v>351</v>
      </c>
      <c r="B437" s="561" t="s">
        <v>352</v>
      </c>
      <c r="C437" s="561" t="s">
        <v>353</v>
      </c>
      <c r="D437" s="561">
        <v>61.07</v>
      </c>
      <c r="E437" s="561"/>
    </row>
    <row r="438" spans="1:5">
      <c r="A438" s="561" t="s">
        <v>351</v>
      </c>
      <c r="B438" s="561" t="s">
        <v>107</v>
      </c>
      <c r="C438" s="561" t="s">
        <v>354</v>
      </c>
      <c r="D438" s="561">
        <v>150.5</v>
      </c>
      <c r="E438" s="561"/>
    </row>
    <row r="439" spans="1:5">
      <c r="A439" s="562" t="s">
        <v>351</v>
      </c>
      <c r="B439" s="562" t="s">
        <v>111</v>
      </c>
      <c r="C439" s="562" t="s">
        <v>126</v>
      </c>
      <c r="D439" s="562">
        <v>127.12</v>
      </c>
      <c r="E439" s="562"/>
    </row>
    <row r="440" spans="1:5">
      <c r="A440" s="560" t="s">
        <v>355</v>
      </c>
      <c r="B440" s="560" t="s">
        <v>287</v>
      </c>
      <c r="C440" s="560" t="s">
        <v>288</v>
      </c>
      <c r="D440" s="560">
        <v>257.19</v>
      </c>
      <c r="E440" s="560"/>
    </row>
    <row r="441" spans="1:5">
      <c r="A441" s="561" t="s">
        <v>355</v>
      </c>
      <c r="B441" s="561" t="s">
        <v>356</v>
      </c>
      <c r="C441" s="561" t="s">
        <v>357</v>
      </c>
      <c r="D441" s="561">
        <v>249.96</v>
      </c>
      <c r="E441" s="561"/>
    </row>
    <row r="442" spans="1:5">
      <c r="A442" s="561" t="s">
        <v>355</v>
      </c>
      <c r="B442" s="561" t="s">
        <v>191</v>
      </c>
      <c r="C442" s="561" t="s">
        <v>358</v>
      </c>
      <c r="D442" s="561">
        <v>318.37</v>
      </c>
      <c r="E442" s="561"/>
    </row>
    <row r="443" spans="1:5">
      <c r="A443" s="561" t="s">
        <v>355</v>
      </c>
      <c r="B443" s="561" t="s">
        <v>124</v>
      </c>
      <c r="C443" s="561" t="s">
        <v>139</v>
      </c>
      <c r="D443" s="561">
        <v>222.14</v>
      </c>
      <c r="E443" s="561"/>
    </row>
    <row r="444" spans="1:5">
      <c r="A444" s="561" t="s">
        <v>355</v>
      </c>
      <c r="B444" s="561" t="s">
        <v>140</v>
      </c>
      <c r="C444" s="561" t="s">
        <v>141</v>
      </c>
      <c r="D444" s="561">
        <v>264.33999999999997</v>
      </c>
      <c r="E444" s="561"/>
    </row>
    <row r="445" spans="1:5">
      <c r="A445" s="561" t="s">
        <v>355</v>
      </c>
      <c r="B445" s="561" t="s">
        <v>142</v>
      </c>
      <c r="C445" s="561" t="s">
        <v>143</v>
      </c>
      <c r="D445" s="561">
        <v>228.04</v>
      </c>
      <c r="E445" s="561"/>
    </row>
    <row r="446" spans="1:5">
      <c r="A446" s="561" t="s">
        <v>355</v>
      </c>
      <c r="B446" s="561" t="s">
        <v>144</v>
      </c>
      <c r="C446" s="561" t="s">
        <v>359</v>
      </c>
      <c r="D446" s="561">
        <v>161.38</v>
      </c>
      <c r="E446" s="561"/>
    </row>
    <row r="447" spans="1:5">
      <c r="A447" s="561" t="s">
        <v>355</v>
      </c>
      <c r="B447" s="561" t="s">
        <v>95</v>
      </c>
      <c r="C447" s="561" t="s">
        <v>96</v>
      </c>
      <c r="D447" s="561">
        <v>1278.81</v>
      </c>
      <c r="E447" s="561"/>
    </row>
    <row r="448" spans="1:5">
      <c r="A448" s="561" t="s">
        <v>355</v>
      </c>
      <c r="B448" s="561" t="s">
        <v>97</v>
      </c>
      <c r="C448" s="561" t="s">
        <v>98</v>
      </c>
      <c r="D448" s="561">
        <v>-2980.54</v>
      </c>
      <c r="E448" s="561"/>
    </row>
    <row r="449" spans="1:5">
      <c r="A449" s="561" t="s">
        <v>355</v>
      </c>
      <c r="B449" s="561" t="s">
        <v>99</v>
      </c>
      <c r="C449" s="561" t="s">
        <v>199</v>
      </c>
      <c r="D449" s="561">
        <v>876.16</v>
      </c>
      <c r="E449" s="561"/>
    </row>
    <row r="450" spans="1:5">
      <c r="A450" s="561" t="s">
        <v>355</v>
      </c>
      <c r="B450" s="561" t="s">
        <v>200</v>
      </c>
      <c r="C450" s="561" t="s">
        <v>214</v>
      </c>
      <c r="D450" s="561">
        <v>819.91</v>
      </c>
      <c r="E450" s="561"/>
    </row>
    <row r="451" spans="1:5">
      <c r="A451" s="561" t="s">
        <v>355</v>
      </c>
      <c r="B451" s="561" t="s">
        <v>107</v>
      </c>
      <c r="C451" s="561" t="s">
        <v>184</v>
      </c>
      <c r="D451" s="561">
        <v>60.99</v>
      </c>
      <c r="E451" s="561"/>
    </row>
    <row r="452" spans="1:5">
      <c r="A452" s="561" t="s">
        <v>355</v>
      </c>
      <c r="B452" s="561" t="s">
        <v>159</v>
      </c>
      <c r="C452" s="561" t="s">
        <v>333</v>
      </c>
      <c r="D452" s="561">
        <v>108.61</v>
      </c>
      <c r="E452" s="561"/>
    </row>
    <row r="453" spans="1:5">
      <c r="A453" s="561" t="s">
        <v>355</v>
      </c>
      <c r="B453" s="561" t="s">
        <v>111</v>
      </c>
      <c r="C453" s="561" t="s">
        <v>126</v>
      </c>
      <c r="D453" s="561">
        <v>91.49</v>
      </c>
      <c r="E453" s="561"/>
    </row>
    <row r="454" spans="1:5">
      <c r="A454" s="568" t="s">
        <v>355</v>
      </c>
      <c r="B454" s="568" t="s">
        <v>113</v>
      </c>
      <c r="C454" s="568" t="s">
        <v>360</v>
      </c>
      <c r="D454" s="568">
        <v>12608.76</v>
      </c>
      <c r="E454" s="568"/>
    </row>
    <row r="455" spans="1:5">
      <c r="A455" s="569" t="s">
        <v>361</v>
      </c>
      <c r="B455" s="569" t="s">
        <v>79</v>
      </c>
      <c r="C455" s="569" t="s">
        <v>80</v>
      </c>
      <c r="D455" s="569">
        <v>248.08</v>
      </c>
      <c r="E455" s="569"/>
    </row>
    <row r="456" spans="1:5">
      <c r="A456" s="561" t="s">
        <v>361</v>
      </c>
      <c r="B456" s="561" t="s">
        <v>83</v>
      </c>
      <c r="C456" s="561" t="s">
        <v>362</v>
      </c>
      <c r="D456" s="561">
        <v>3282.64</v>
      </c>
      <c r="E456" s="561"/>
    </row>
    <row r="457" spans="1:5">
      <c r="A457" s="561" t="s">
        <v>361</v>
      </c>
      <c r="B457" s="561" t="s">
        <v>89</v>
      </c>
      <c r="C457" s="561" t="s">
        <v>138</v>
      </c>
      <c r="D457" s="561">
        <v>1081.25</v>
      </c>
      <c r="E457" s="561"/>
    </row>
    <row r="458" spans="1:5">
      <c r="A458" s="561" t="s">
        <v>361</v>
      </c>
      <c r="B458" s="561" t="s">
        <v>91</v>
      </c>
      <c r="C458" s="561" t="s">
        <v>363</v>
      </c>
      <c r="D458" s="561">
        <v>1151</v>
      </c>
      <c r="E458" s="561"/>
    </row>
    <row r="459" spans="1:5">
      <c r="A459" s="561" t="s">
        <v>361</v>
      </c>
      <c r="B459" s="561" t="s">
        <v>260</v>
      </c>
      <c r="C459" s="561" t="s">
        <v>364</v>
      </c>
      <c r="D459" s="561">
        <v>1192.96</v>
      </c>
      <c r="E459" s="561"/>
    </row>
    <row r="460" spans="1:5">
      <c r="A460" s="561" t="s">
        <v>361</v>
      </c>
      <c r="B460" s="561" t="s">
        <v>365</v>
      </c>
      <c r="C460" s="561" t="s">
        <v>366</v>
      </c>
      <c r="D460" s="561">
        <v>2274.15</v>
      </c>
      <c r="E460" s="561"/>
    </row>
    <row r="461" spans="1:5">
      <c r="A461" s="561" t="s">
        <v>361</v>
      </c>
      <c r="B461" s="561" t="s">
        <v>95</v>
      </c>
      <c r="C461" s="561" t="s">
        <v>96</v>
      </c>
      <c r="D461" s="561">
        <v>96.33</v>
      </c>
      <c r="E461" s="561"/>
    </row>
    <row r="462" spans="1:5">
      <c r="A462" s="561" t="s">
        <v>361</v>
      </c>
      <c r="B462" s="561" t="s">
        <v>176</v>
      </c>
      <c r="C462" s="561" t="s">
        <v>177</v>
      </c>
      <c r="D462" s="561">
        <v>848.58</v>
      </c>
      <c r="E462" s="561"/>
    </row>
    <row r="463" spans="1:5">
      <c r="A463" s="561" t="s">
        <v>361</v>
      </c>
      <c r="B463" s="561" t="s">
        <v>305</v>
      </c>
      <c r="C463" s="561" t="s">
        <v>306</v>
      </c>
      <c r="D463" s="561">
        <v>-229.21</v>
      </c>
      <c r="E463" s="561"/>
    </row>
    <row r="464" spans="1:5">
      <c r="A464" s="561" t="s">
        <v>361</v>
      </c>
      <c r="B464" s="561" t="s">
        <v>367</v>
      </c>
      <c r="C464" s="561" t="s">
        <v>368</v>
      </c>
      <c r="D464" s="561">
        <v>828.19</v>
      </c>
      <c r="E464" s="561"/>
    </row>
    <row r="465" spans="1:5">
      <c r="A465" s="561" t="s">
        <v>361</v>
      </c>
      <c r="B465" s="561" t="s">
        <v>369</v>
      </c>
      <c r="C465" s="561" t="s">
        <v>370</v>
      </c>
      <c r="D465" s="561">
        <v>114.27</v>
      </c>
      <c r="E465" s="561"/>
    </row>
    <row r="466" spans="1:5">
      <c r="A466" s="561" t="s">
        <v>361</v>
      </c>
      <c r="B466" s="561" t="s">
        <v>105</v>
      </c>
      <c r="C466" s="561" t="s">
        <v>371</v>
      </c>
      <c r="D466" s="561">
        <v>114.27</v>
      </c>
      <c r="E466" s="561"/>
    </row>
    <row r="467" spans="1:5">
      <c r="A467" s="561" t="s">
        <v>361</v>
      </c>
      <c r="B467" s="561" t="s">
        <v>152</v>
      </c>
      <c r="C467" s="561" t="s">
        <v>372</v>
      </c>
      <c r="D467" s="561">
        <v>127.86</v>
      </c>
      <c r="E467" s="561"/>
    </row>
    <row r="468" spans="1:5">
      <c r="A468" s="561" t="s">
        <v>361</v>
      </c>
      <c r="B468" s="561" t="s">
        <v>107</v>
      </c>
      <c r="C468" s="561" t="s">
        <v>184</v>
      </c>
      <c r="D468" s="561">
        <v>175.48</v>
      </c>
      <c r="E468" s="561"/>
    </row>
    <row r="469" spans="1:5">
      <c r="A469" s="561" t="s">
        <v>361</v>
      </c>
      <c r="B469" s="561" t="s">
        <v>159</v>
      </c>
      <c r="C469" s="561" t="s">
        <v>160</v>
      </c>
      <c r="D469" s="561">
        <v>175.48</v>
      </c>
      <c r="E469" s="561"/>
    </row>
    <row r="470" spans="1:5">
      <c r="A470" s="568" t="s">
        <v>361</v>
      </c>
      <c r="B470" s="568" t="s">
        <v>111</v>
      </c>
      <c r="C470" s="568" t="s">
        <v>126</v>
      </c>
      <c r="D470" s="568">
        <v>91.49</v>
      </c>
      <c r="E470" s="568"/>
    </row>
    <row r="471" spans="1:5">
      <c r="A471" s="569" t="s">
        <v>373</v>
      </c>
      <c r="B471" s="569" t="s">
        <v>79</v>
      </c>
      <c r="C471" s="569" t="s">
        <v>80</v>
      </c>
      <c r="D471" s="569">
        <v>259.42</v>
      </c>
      <c r="E471" s="569"/>
    </row>
    <row r="472" spans="1:5">
      <c r="A472" s="561" t="s">
        <v>373</v>
      </c>
      <c r="B472" s="561" t="s">
        <v>89</v>
      </c>
      <c r="C472" s="561" t="s">
        <v>138</v>
      </c>
      <c r="D472" s="561">
        <v>1081.25</v>
      </c>
      <c r="E472" s="561"/>
    </row>
    <row r="473" spans="1:5">
      <c r="A473" s="561" t="s">
        <v>373</v>
      </c>
      <c r="B473" s="561" t="s">
        <v>91</v>
      </c>
      <c r="C473" s="561" t="s">
        <v>363</v>
      </c>
      <c r="D473" s="561">
        <v>1161.58</v>
      </c>
      <c r="E473" s="561"/>
    </row>
    <row r="474" spans="1:5">
      <c r="A474" s="561" t="s">
        <v>373</v>
      </c>
      <c r="B474" s="561" t="s">
        <v>260</v>
      </c>
      <c r="C474" s="561" t="s">
        <v>364</v>
      </c>
      <c r="D474" s="561">
        <v>1240.1199999999999</v>
      </c>
      <c r="E474" s="561"/>
    </row>
    <row r="475" spans="1:5">
      <c r="A475" s="561" t="s">
        <v>373</v>
      </c>
      <c r="B475" s="561" t="s">
        <v>365</v>
      </c>
      <c r="C475" s="561" t="s">
        <v>374</v>
      </c>
      <c r="D475" s="561">
        <v>1632.04</v>
      </c>
      <c r="E475" s="561"/>
    </row>
    <row r="476" spans="1:5">
      <c r="A476" s="561" t="s">
        <v>373</v>
      </c>
      <c r="B476" s="561" t="s">
        <v>95</v>
      </c>
      <c r="C476" s="561" t="s">
        <v>96</v>
      </c>
      <c r="D476" s="561">
        <v>44.4</v>
      </c>
      <c r="E476" s="561"/>
    </row>
    <row r="477" spans="1:5">
      <c r="A477" s="561" t="s">
        <v>373</v>
      </c>
      <c r="B477" s="561" t="s">
        <v>176</v>
      </c>
      <c r="C477" s="561" t="s">
        <v>177</v>
      </c>
      <c r="D477" s="561">
        <v>719.05</v>
      </c>
      <c r="E477" s="561"/>
    </row>
    <row r="478" spans="1:5">
      <c r="A478" s="561" t="s">
        <v>373</v>
      </c>
      <c r="B478" s="561" t="s">
        <v>305</v>
      </c>
      <c r="C478" s="561" t="s">
        <v>306</v>
      </c>
      <c r="D478" s="561">
        <v>321.14999999999998</v>
      </c>
      <c r="E478" s="561"/>
    </row>
    <row r="479" spans="1:5">
      <c r="A479" s="561" t="s">
        <v>373</v>
      </c>
      <c r="B479" s="561" t="s">
        <v>367</v>
      </c>
      <c r="C479" s="561" t="s">
        <v>368</v>
      </c>
      <c r="D479" s="561">
        <v>902.99</v>
      </c>
      <c r="E479" s="561"/>
    </row>
    <row r="480" spans="1:5">
      <c r="A480" s="561" t="s">
        <v>373</v>
      </c>
      <c r="B480" s="561" t="s">
        <v>369</v>
      </c>
      <c r="C480" s="561" t="s">
        <v>370</v>
      </c>
      <c r="D480" s="561"/>
      <c r="E480" s="561"/>
    </row>
    <row r="481" spans="1:5">
      <c r="A481" s="561" t="s">
        <v>373</v>
      </c>
      <c r="B481" s="561" t="s">
        <v>105</v>
      </c>
      <c r="C481" s="561" t="s">
        <v>371</v>
      </c>
      <c r="D481" s="561">
        <v>114.27</v>
      </c>
      <c r="E481" s="561"/>
    </row>
    <row r="482" spans="1:5">
      <c r="A482" s="561" t="s">
        <v>373</v>
      </c>
      <c r="B482" s="561" t="s">
        <v>152</v>
      </c>
      <c r="C482" s="561" t="s">
        <v>372</v>
      </c>
      <c r="D482" s="561">
        <v>69.7</v>
      </c>
      <c r="E482" s="561"/>
    </row>
    <row r="483" spans="1:5">
      <c r="A483" s="561" t="s">
        <v>373</v>
      </c>
      <c r="B483" s="561" t="s">
        <v>107</v>
      </c>
      <c r="C483" s="561" t="s">
        <v>184</v>
      </c>
      <c r="D483" s="561">
        <v>127.86</v>
      </c>
      <c r="E483" s="561"/>
    </row>
    <row r="484" spans="1:5">
      <c r="A484" s="561" t="s">
        <v>373</v>
      </c>
      <c r="B484" s="561" t="s">
        <v>159</v>
      </c>
      <c r="C484" s="561" t="s">
        <v>160</v>
      </c>
      <c r="D484" s="561">
        <v>141.71</v>
      </c>
      <c r="E484" s="561"/>
    </row>
    <row r="485" spans="1:5">
      <c r="A485" s="568" t="s">
        <v>373</v>
      </c>
      <c r="B485" s="568" t="s">
        <v>111</v>
      </c>
      <c r="C485" s="568" t="s">
        <v>126</v>
      </c>
      <c r="D485" s="568">
        <v>175.48</v>
      </c>
      <c r="E485" s="568"/>
    </row>
    <row r="486" spans="1:5">
      <c r="A486" s="569" t="s">
        <v>375</v>
      </c>
      <c r="B486" s="569" t="s">
        <v>79</v>
      </c>
      <c r="C486" s="570" t="s">
        <v>80</v>
      </c>
      <c r="D486" s="570">
        <v>263.60000000000002</v>
      </c>
      <c r="E486" s="570"/>
    </row>
    <row r="487" spans="1:5">
      <c r="A487" s="569" t="s">
        <v>375</v>
      </c>
      <c r="B487" s="561" t="s">
        <v>83</v>
      </c>
      <c r="C487" s="561" t="s">
        <v>376</v>
      </c>
      <c r="D487" s="561">
        <v>3658.62</v>
      </c>
      <c r="E487" s="561"/>
    </row>
    <row r="488" spans="1:5">
      <c r="A488" s="561" t="s">
        <v>375</v>
      </c>
      <c r="B488" s="561" t="s">
        <v>89</v>
      </c>
      <c r="C488" s="561" t="s">
        <v>171</v>
      </c>
      <c r="D488" s="561">
        <v>1086.92</v>
      </c>
      <c r="E488" s="561"/>
    </row>
    <row r="489" spans="1:5">
      <c r="A489" s="561" t="s">
        <v>375</v>
      </c>
      <c r="B489" s="561" t="s">
        <v>91</v>
      </c>
      <c r="C489" s="561" t="s">
        <v>189</v>
      </c>
      <c r="D489" s="561">
        <v>1143.07</v>
      </c>
      <c r="E489" s="561"/>
    </row>
    <row r="490" spans="1:5">
      <c r="A490" s="561" t="s">
        <v>375</v>
      </c>
      <c r="B490" s="561" t="s">
        <v>260</v>
      </c>
      <c r="C490" s="561" t="s">
        <v>377</v>
      </c>
      <c r="D490" s="561">
        <v>1334.06</v>
      </c>
      <c r="E490" s="561"/>
    </row>
    <row r="491" spans="1:5">
      <c r="A491" s="561" t="s">
        <v>375</v>
      </c>
      <c r="B491" s="561" t="s">
        <v>365</v>
      </c>
      <c r="C491" s="561" t="s">
        <v>378</v>
      </c>
      <c r="D491" s="561">
        <v>2571.6999999999998</v>
      </c>
      <c r="E491" s="561"/>
    </row>
    <row r="492" spans="1:5">
      <c r="A492" s="561" t="s">
        <v>375</v>
      </c>
      <c r="B492" s="561" t="s">
        <v>365</v>
      </c>
      <c r="C492" s="561" t="s">
        <v>379</v>
      </c>
      <c r="D492" s="561">
        <v>1632.04</v>
      </c>
      <c r="E492" s="561"/>
    </row>
    <row r="493" spans="1:5">
      <c r="A493" s="561" t="s">
        <v>375</v>
      </c>
      <c r="B493" s="561" t="s">
        <v>97</v>
      </c>
      <c r="C493" s="561" t="s">
        <v>98</v>
      </c>
      <c r="D493" s="561">
        <v>-490.55</v>
      </c>
      <c r="E493" s="561"/>
    </row>
    <row r="494" spans="1:5">
      <c r="A494" s="561" t="s">
        <v>375</v>
      </c>
      <c r="B494" s="561" t="s">
        <v>172</v>
      </c>
      <c r="C494" s="561" t="s">
        <v>173</v>
      </c>
      <c r="D494" s="561">
        <v>595.66999999999996</v>
      </c>
      <c r="E494" s="561"/>
    </row>
    <row r="495" spans="1:5">
      <c r="A495" s="561" t="s">
        <v>375</v>
      </c>
      <c r="B495" s="561" t="s">
        <v>369</v>
      </c>
      <c r="C495" s="561" t="s">
        <v>380</v>
      </c>
      <c r="D495" s="561">
        <v>104.9</v>
      </c>
      <c r="E495" s="561"/>
    </row>
    <row r="496" spans="1:5">
      <c r="A496" s="561" t="s">
        <v>375</v>
      </c>
      <c r="B496" s="561" t="s">
        <v>105</v>
      </c>
      <c r="C496" s="561" t="s">
        <v>371</v>
      </c>
      <c r="D496" s="561">
        <v>99.8</v>
      </c>
      <c r="E496" s="561"/>
    </row>
    <row r="497" spans="1:5">
      <c r="A497" s="561" t="s">
        <v>375</v>
      </c>
      <c r="B497" s="561" t="s">
        <v>152</v>
      </c>
      <c r="C497" s="561" t="s">
        <v>372</v>
      </c>
      <c r="D497" s="561">
        <v>109.57</v>
      </c>
      <c r="E497" s="561"/>
    </row>
    <row r="498" spans="1:5">
      <c r="A498" s="561" t="s">
        <v>375</v>
      </c>
      <c r="B498" s="561" t="s">
        <v>107</v>
      </c>
      <c r="C498" s="561" t="s">
        <v>184</v>
      </c>
      <c r="D498" s="561">
        <v>114.54</v>
      </c>
      <c r="E498" s="561"/>
    </row>
    <row r="499" spans="1:5">
      <c r="A499" s="561" t="s">
        <v>375</v>
      </c>
      <c r="B499" s="561" t="s">
        <v>159</v>
      </c>
      <c r="C499" s="561" t="s">
        <v>381</v>
      </c>
      <c r="D499" s="561">
        <v>97.31</v>
      </c>
      <c r="E499" s="561"/>
    </row>
    <row r="500" spans="1:5">
      <c r="A500" s="561" t="s">
        <v>375</v>
      </c>
      <c r="B500" s="561" t="s">
        <v>298</v>
      </c>
      <c r="C500" s="561" t="s">
        <v>299</v>
      </c>
      <c r="D500" s="561">
        <v>101.69</v>
      </c>
      <c r="E500" s="561"/>
    </row>
    <row r="501" spans="1:5">
      <c r="A501" s="562" t="s">
        <v>375</v>
      </c>
      <c r="B501" s="562" t="s">
        <v>111</v>
      </c>
      <c r="C501" s="562" t="s">
        <v>126</v>
      </c>
      <c r="D501" s="562">
        <v>92.38</v>
      </c>
      <c r="E501" s="562"/>
    </row>
    <row r="502" spans="1:5">
      <c r="A502" s="560" t="s">
        <v>382</v>
      </c>
      <c r="B502" s="560" t="s">
        <v>73</v>
      </c>
      <c r="C502" s="560" t="s">
        <v>74</v>
      </c>
      <c r="D502" s="560">
        <v>2036.16</v>
      </c>
      <c r="E502" s="560"/>
    </row>
    <row r="503" spans="1:5">
      <c r="A503" s="561" t="s">
        <v>382</v>
      </c>
      <c r="B503" s="561" t="s">
        <v>75</v>
      </c>
      <c r="C503" s="561" t="s">
        <v>76</v>
      </c>
      <c r="D503" s="561">
        <v>2083.59</v>
      </c>
      <c r="E503" s="561"/>
    </row>
    <row r="504" spans="1:5">
      <c r="A504" s="561" t="s">
        <v>382</v>
      </c>
      <c r="B504" s="561" t="s">
        <v>77</v>
      </c>
      <c r="C504" s="561" t="s">
        <v>78</v>
      </c>
      <c r="D504" s="561">
        <v>2005.16</v>
      </c>
      <c r="E504" s="561"/>
    </row>
    <row r="505" spans="1:5">
      <c r="A505" s="561" t="s">
        <v>382</v>
      </c>
      <c r="B505" s="561" t="s">
        <v>284</v>
      </c>
      <c r="C505" s="561" t="s">
        <v>340</v>
      </c>
      <c r="D505" s="561">
        <v>56.69</v>
      </c>
      <c r="E505" s="561"/>
    </row>
    <row r="506" spans="1:5">
      <c r="A506" s="561" t="s">
        <v>382</v>
      </c>
      <c r="B506" s="561" t="s">
        <v>107</v>
      </c>
      <c r="C506" s="561" t="s">
        <v>383</v>
      </c>
      <c r="D506" s="561">
        <v>98.24</v>
      </c>
      <c r="E506" s="561"/>
    </row>
    <row r="507" spans="1:5">
      <c r="A507" s="561" t="s">
        <v>382</v>
      </c>
      <c r="B507" s="561" t="s">
        <v>159</v>
      </c>
      <c r="C507" s="561" t="s">
        <v>384</v>
      </c>
      <c r="D507" s="561">
        <v>148.25</v>
      </c>
      <c r="E507" s="561"/>
    </row>
    <row r="508" spans="1:5">
      <c r="A508" s="561" t="s">
        <v>382</v>
      </c>
      <c r="B508" s="561" t="s">
        <v>298</v>
      </c>
      <c r="C508" s="561" t="s">
        <v>385</v>
      </c>
      <c r="D508" s="561">
        <v>90.23</v>
      </c>
      <c r="E508" s="561"/>
    </row>
    <row r="509" spans="1:5">
      <c r="A509" s="561" t="s">
        <v>382</v>
      </c>
      <c r="B509" s="561" t="s">
        <v>111</v>
      </c>
      <c r="C509" s="561" t="s">
        <v>386</v>
      </c>
      <c r="D509" s="561">
        <v>150.4</v>
      </c>
      <c r="E509" s="561"/>
    </row>
    <row r="510" spans="1:5">
      <c r="A510" s="561" t="s">
        <v>382</v>
      </c>
      <c r="B510" s="561" t="s">
        <v>387</v>
      </c>
      <c r="C510" s="561" t="s">
        <v>388</v>
      </c>
      <c r="D510" s="561"/>
      <c r="E510" s="561"/>
    </row>
    <row r="511" spans="1:5">
      <c r="A511" s="561" t="s">
        <v>382</v>
      </c>
      <c r="B511" s="561" t="s">
        <v>89</v>
      </c>
      <c r="C511" s="561" t="s">
        <v>138</v>
      </c>
      <c r="D511" s="561">
        <v>1705.78</v>
      </c>
      <c r="E511" s="561"/>
    </row>
    <row r="512" spans="1:5">
      <c r="A512" s="561" t="s">
        <v>382</v>
      </c>
      <c r="B512" s="561" t="s">
        <v>91</v>
      </c>
      <c r="C512" s="561" t="s">
        <v>363</v>
      </c>
      <c r="D512" s="561">
        <v>3176.58</v>
      </c>
      <c r="E512" s="561"/>
    </row>
    <row r="513" spans="1:5">
      <c r="A513" s="561" t="s">
        <v>382</v>
      </c>
      <c r="B513" s="561" t="s">
        <v>150</v>
      </c>
      <c r="C513" s="561" t="s">
        <v>151</v>
      </c>
      <c r="D513" s="561">
        <v>6133.75</v>
      </c>
      <c r="E513" s="561" t="s">
        <v>316</v>
      </c>
    </row>
    <row r="514" spans="1:5">
      <c r="A514" s="561" t="s">
        <v>382</v>
      </c>
      <c r="B514" s="561" t="s">
        <v>95</v>
      </c>
      <c r="C514" s="561" t="s">
        <v>96</v>
      </c>
      <c r="D514" s="561">
        <v>3.03</v>
      </c>
      <c r="E514" s="561"/>
    </row>
    <row r="515" spans="1:5">
      <c r="A515" s="562" t="s">
        <v>382</v>
      </c>
      <c r="B515" s="562" t="s">
        <v>97</v>
      </c>
      <c r="C515" s="562" t="s">
        <v>98</v>
      </c>
      <c r="D515" s="562">
        <v>-1332.71</v>
      </c>
      <c r="E515" s="562"/>
    </row>
    <row r="516" spans="1:5">
      <c r="A516" s="560" t="s">
        <v>389</v>
      </c>
      <c r="B516" s="560" t="s">
        <v>73</v>
      </c>
      <c r="C516" s="560" t="s">
        <v>74</v>
      </c>
      <c r="D516" s="560">
        <v>3725.47</v>
      </c>
      <c r="E516" s="560"/>
    </row>
    <row r="517" spans="1:5">
      <c r="A517" s="561" t="s">
        <v>389</v>
      </c>
      <c r="B517" s="561" t="s">
        <v>75</v>
      </c>
      <c r="C517" s="561" t="s">
        <v>76</v>
      </c>
      <c r="D517" s="561">
        <v>3858</v>
      </c>
      <c r="E517" s="561"/>
    </row>
    <row r="518" spans="1:5">
      <c r="A518" s="561" t="s">
        <v>389</v>
      </c>
      <c r="B518" s="561" t="s">
        <v>77</v>
      </c>
      <c r="C518" s="561" t="s">
        <v>78</v>
      </c>
      <c r="D518" s="561">
        <v>3912.74</v>
      </c>
      <c r="E518" s="561"/>
    </row>
    <row r="519" spans="1:5">
      <c r="A519" s="561" t="s">
        <v>389</v>
      </c>
      <c r="B519" s="561" t="s">
        <v>79</v>
      </c>
      <c r="C519" s="561" t="s">
        <v>80</v>
      </c>
      <c r="D519" s="561">
        <v>315</v>
      </c>
      <c r="E519" s="561"/>
    </row>
    <row r="520" spans="1:5">
      <c r="A520" s="561" t="s">
        <v>389</v>
      </c>
      <c r="B520" s="561" t="s">
        <v>130</v>
      </c>
      <c r="C520" s="561" t="s">
        <v>131</v>
      </c>
      <c r="D520" s="561">
        <v>145.9</v>
      </c>
      <c r="E520" s="561"/>
    </row>
    <row r="521" spans="1:5">
      <c r="A521" s="561" t="s">
        <v>389</v>
      </c>
      <c r="B521" s="561" t="s">
        <v>226</v>
      </c>
      <c r="C521" s="561" t="s">
        <v>227</v>
      </c>
      <c r="D521" s="561">
        <v>106.27</v>
      </c>
      <c r="E521" s="561"/>
    </row>
    <row r="522" spans="1:5">
      <c r="A522" s="561" t="s">
        <v>389</v>
      </c>
      <c r="B522" s="561" t="s">
        <v>89</v>
      </c>
      <c r="C522" s="561" t="s">
        <v>293</v>
      </c>
      <c r="D522" s="561">
        <v>777.53</v>
      </c>
      <c r="E522" s="561"/>
    </row>
    <row r="523" spans="1:5">
      <c r="A523" s="561" t="s">
        <v>389</v>
      </c>
      <c r="B523" s="561" t="s">
        <v>91</v>
      </c>
      <c r="C523" s="561" t="s">
        <v>259</v>
      </c>
      <c r="D523" s="561">
        <v>1463.82</v>
      </c>
      <c r="E523" s="561"/>
    </row>
    <row r="524" spans="1:5">
      <c r="A524" s="561" t="s">
        <v>389</v>
      </c>
      <c r="B524" s="561" t="s">
        <v>95</v>
      </c>
      <c r="C524" s="561" t="s">
        <v>96</v>
      </c>
      <c r="D524" s="561">
        <v>289.58999999999997</v>
      </c>
      <c r="E524" s="561"/>
    </row>
    <row r="525" spans="1:5">
      <c r="A525" s="561" t="s">
        <v>389</v>
      </c>
      <c r="B525" s="561" t="s">
        <v>97</v>
      </c>
      <c r="C525" s="561" t="s">
        <v>98</v>
      </c>
      <c r="D525" s="561">
        <v>-1213.75</v>
      </c>
      <c r="E525" s="561"/>
    </row>
    <row r="526" spans="1:5">
      <c r="A526" s="561" t="s">
        <v>389</v>
      </c>
      <c r="B526" s="561" t="s">
        <v>107</v>
      </c>
      <c r="C526" s="561" t="s">
        <v>108</v>
      </c>
      <c r="D526" s="561">
        <v>95.82</v>
      </c>
      <c r="E526" s="561"/>
    </row>
    <row r="527" spans="1:5">
      <c r="A527" s="561" t="s">
        <v>389</v>
      </c>
      <c r="B527" s="561" t="s">
        <v>159</v>
      </c>
      <c r="C527" s="561" t="s">
        <v>333</v>
      </c>
      <c r="D527" s="561">
        <v>126.68</v>
      </c>
      <c r="E527" s="561"/>
    </row>
    <row r="528" spans="1:5">
      <c r="A528" s="562" t="s">
        <v>389</v>
      </c>
      <c r="B528" s="562" t="s">
        <v>111</v>
      </c>
      <c r="C528" s="562" t="s">
        <v>126</v>
      </c>
      <c r="D528" s="562">
        <v>105.56</v>
      </c>
      <c r="E528" s="562"/>
    </row>
    <row r="529" spans="1:5">
      <c r="A529" s="560" t="s">
        <v>390</v>
      </c>
      <c r="B529" s="560" t="s">
        <v>73</v>
      </c>
      <c r="C529" s="560" t="s">
        <v>74</v>
      </c>
      <c r="D529" s="560">
        <v>2199.64</v>
      </c>
      <c r="E529" s="560"/>
    </row>
    <row r="530" spans="1:5">
      <c r="A530" s="561" t="s">
        <v>390</v>
      </c>
      <c r="B530" s="561" t="s">
        <v>75</v>
      </c>
      <c r="C530" s="561" t="s">
        <v>76</v>
      </c>
      <c r="D530" s="561">
        <v>2216.09</v>
      </c>
      <c r="E530" s="561"/>
    </row>
    <row r="531" spans="1:5">
      <c r="A531" s="561" t="s">
        <v>390</v>
      </c>
      <c r="B531" s="561" t="s">
        <v>77</v>
      </c>
      <c r="C531" s="561" t="s">
        <v>78</v>
      </c>
      <c r="D531" s="561">
        <v>1927.22</v>
      </c>
      <c r="E531" s="561"/>
    </row>
    <row r="532" spans="1:5">
      <c r="A532" s="561" t="s">
        <v>390</v>
      </c>
      <c r="B532" s="561" t="s">
        <v>120</v>
      </c>
      <c r="C532" s="561" t="s">
        <v>121</v>
      </c>
      <c r="D532" s="561">
        <v>124.68</v>
      </c>
      <c r="E532" s="561"/>
    </row>
    <row r="533" spans="1:5">
      <c r="A533" s="561" t="s">
        <v>390</v>
      </c>
      <c r="B533" s="561" t="s">
        <v>89</v>
      </c>
      <c r="C533" s="561" t="s">
        <v>138</v>
      </c>
      <c r="D533" s="561">
        <v>1842.34</v>
      </c>
      <c r="E533" s="561"/>
    </row>
    <row r="534" spans="1:5">
      <c r="A534" s="561" t="s">
        <v>390</v>
      </c>
      <c r="B534" s="561" t="s">
        <v>91</v>
      </c>
      <c r="C534" s="561" t="s">
        <v>363</v>
      </c>
      <c r="D534" s="561">
        <v>2842.18</v>
      </c>
      <c r="E534" s="561"/>
    </row>
    <row r="535" spans="1:5">
      <c r="A535" s="561" t="s">
        <v>390</v>
      </c>
      <c r="B535" s="561" t="s">
        <v>95</v>
      </c>
      <c r="C535" s="561" t="s">
        <v>96</v>
      </c>
      <c r="D535" s="561">
        <v>-188.85</v>
      </c>
      <c r="E535" s="561"/>
    </row>
    <row r="536" spans="1:5">
      <c r="A536" s="561" t="s">
        <v>390</v>
      </c>
      <c r="B536" s="561" t="s">
        <v>97</v>
      </c>
      <c r="C536" s="561" t="s">
        <v>98</v>
      </c>
      <c r="D536" s="561">
        <v>-1511.17</v>
      </c>
      <c r="E536" s="561"/>
    </row>
    <row r="537" spans="1:5">
      <c r="A537" s="561" t="s">
        <v>390</v>
      </c>
      <c r="B537" s="561" t="s">
        <v>146</v>
      </c>
      <c r="C537" s="561" t="s">
        <v>147</v>
      </c>
      <c r="D537" s="561">
        <v>209.08</v>
      </c>
      <c r="E537" s="561"/>
    </row>
    <row r="538" spans="1:5">
      <c r="A538" s="561" t="s">
        <v>390</v>
      </c>
      <c r="B538" s="561" t="s">
        <v>154</v>
      </c>
      <c r="C538" s="561" t="s">
        <v>391</v>
      </c>
      <c r="D538" s="561">
        <v>123.89</v>
      </c>
      <c r="E538" s="561"/>
    </row>
    <row r="539" spans="1:5">
      <c r="A539" s="561" t="s">
        <v>390</v>
      </c>
      <c r="B539" s="561" t="s">
        <v>107</v>
      </c>
      <c r="C539" s="561" t="s">
        <v>184</v>
      </c>
      <c r="D539" s="561">
        <v>113.06</v>
      </c>
      <c r="E539" s="561"/>
    </row>
    <row r="540" spans="1:5">
      <c r="A540" s="562" t="s">
        <v>390</v>
      </c>
      <c r="B540" s="562" t="s">
        <v>161</v>
      </c>
      <c r="C540" s="562" t="s">
        <v>392</v>
      </c>
      <c r="D540" s="562">
        <v>90.23</v>
      </c>
      <c r="E540" s="562"/>
    </row>
    <row r="541" spans="1:5">
      <c r="A541" s="560" t="s">
        <v>393</v>
      </c>
      <c r="B541" s="560" t="s">
        <v>73</v>
      </c>
      <c r="C541" s="560" t="s">
        <v>74</v>
      </c>
      <c r="D541" s="560">
        <v>1429.37</v>
      </c>
      <c r="E541" s="560"/>
    </row>
    <row r="542" spans="1:5">
      <c r="A542" s="561" t="s">
        <v>393</v>
      </c>
      <c r="B542" s="561" t="s">
        <v>75</v>
      </c>
      <c r="C542" s="561" t="s">
        <v>76</v>
      </c>
      <c r="D542" s="561">
        <v>1459.61</v>
      </c>
      <c r="E542" s="561"/>
    </row>
    <row r="543" spans="1:5">
      <c r="A543" s="561" t="s">
        <v>393</v>
      </c>
      <c r="B543" s="561" t="s">
        <v>77</v>
      </c>
      <c r="C543" s="561" t="s">
        <v>78</v>
      </c>
      <c r="D543" s="561">
        <v>1338.21</v>
      </c>
      <c r="E543" s="561"/>
    </row>
    <row r="544" spans="1:5">
      <c r="A544" s="561" t="s">
        <v>393</v>
      </c>
      <c r="B544" s="561" t="s">
        <v>325</v>
      </c>
      <c r="C544" s="561" t="s">
        <v>326</v>
      </c>
      <c r="D544" s="561">
        <v>1426.95</v>
      </c>
      <c r="E544" s="561"/>
    </row>
    <row r="545" spans="1:5">
      <c r="A545" s="561" t="s">
        <v>393</v>
      </c>
      <c r="B545" s="561" t="s">
        <v>327</v>
      </c>
      <c r="C545" s="561" t="s">
        <v>328</v>
      </c>
      <c r="D545" s="561">
        <v>1351.4</v>
      </c>
      <c r="E545" s="561"/>
    </row>
    <row r="546" spans="1:5">
      <c r="A546" s="561" t="s">
        <v>393</v>
      </c>
      <c r="B546" s="561" t="s">
        <v>329</v>
      </c>
      <c r="C546" s="561" t="s">
        <v>330</v>
      </c>
      <c r="D546" s="561">
        <v>1302.3900000000001</v>
      </c>
      <c r="E546" s="561"/>
    </row>
    <row r="547" spans="1:5">
      <c r="A547" s="561" t="s">
        <v>393</v>
      </c>
      <c r="B547" s="561" t="s">
        <v>120</v>
      </c>
      <c r="C547" s="561" t="s">
        <v>394</v>
      </c>
      <c r="D547" s="561">
        <v>86.89</v>
      </c>
      <c r="E547" s="561"/>
    </row>
    <row r="548" spans="1:5">
      <c r="A548" s="561" t="s">
        <v>393</v>
      </c>
      <c r="B548" s="561" t="s">
        <v>270</v>
      </c>
      <c r="C548" s="561" t="s">
        <v>271</v>
      </c>
      <c r="D548" s="561">
        <v>797.77</v>
      </c>
      <c r="E548" s="561"/>
    </row>
    <row r="549" spans="1:5">
      <c r="A549" s="561" t="s">
        <v>393</v>
      </c>
      <c r="B549" s="561" t="s">
        <v>95</v>
      </c>
      <c r="C549" s="561" t="s">
        <v>96</v>
      </c>
      <c r="D549" s="561">
        <v>87.22</v>
      </c>
      <c r="E549" s="561"/>
    </row>
    <row r="550" spans="1:5">
      <c r="A550" s="561" t="s">
        <v>393</v>
      </c>
      <c r="B550" s="561" t="s">
        <v>97</v>
      </c>
      <c r="C550" s="561" t="s">
        <v>98</v>
      </c>
      <c r="D550" s="561">
        <v>-1999.31</v>
      </c>
      <c r="E550" s="561"/>
    </row>
    <row r="551" spans="1:5">
      <c r="A551" s="561" t="s">
        <v>393</v>
      </c>
      <c r="B551" s="561" t="s">
        <v>172</v>
      </c>
      <c r="C551" s="561" t="s">
        <v>173</v>
      </c>
      <c r="D551" s="561">
        <v>762.32</v>
      </c>
      <c r="E551" s="561"/>
    </row>
    <row r="552" spans="1:5">
      <c r="A552" s="561" t="s">
        <v>393</v>
      </c>
      <c r="B552" s="561" t="s">
        <v>174</v>
      </c>
      <c r="C552" s="561" t="s">
        <v>175</v>
      </c>
      <c r="D552" s="561">
        <v>-62.22</v>
      </c>
      <c r="E552" s="561"/>
    </row>
    <row r="553" spans="1:5">
      <c r="A553" s="561" t="s">
        <v>393</v>
      </c>
      <c r="B553" s="561" t="s">
        <v>176</v>
      </c>
      <c r="C553" s="561" t="s">
        <v>177</v>
      </c>
      <c r="D553" s="561">
        <v>-459.23</v>
      </c>
      <c r="E553" s="561"/>
    </row>
    <row r="554" spans="1:5">
      <c r="A554" s="561" t="s">
        <v>393</v>
      </c>
      <c r="B554" s="561" t="s">
        <v>107</v>
      </c>
      <c r="C554" s="561" t="s">
        <v>184</v>
      </c>
      <c r="D554" s="561">
        <v>102.57</v>
      </c>
      <c r="E554" s="561"/>
    </row>
    <row r="555" spans="1:5">
      <c r="A555" s="562" t="s">
        <v>393</v>
      </c>
      <c r="B555" s="562" t="s">
        <v>159</v>
      </c>
      <c r="C555" s="562" t="s">
        <v>333</v>
      </c>
      <c r="D555" s="562">
        <v>189.91</v>
      </c>
      <c r="E555" s="562"/>
    </row>
    <row r="556" spans="1:5">
      <c r="A556" s="560" t="s">
        <v>395</v>
      </c>
      <c r="B556" s="560" t="s">
        <v>79</v>
      </c>
      <c r="C556" s="560" t="s">
        <v>80</v>
      </c>
      <c r="D556" s="560">
        <v>211.98</v>
      </c>
      <c r="E556" s="560"/>
    </row>
    <row r="557" spans="1:5">
      <c r="A557" s="561" t="s">
        <v>395</v>
      </c>
      <c r="B557" s="561" t="s">
        <v>120</v>
      </c>
      <c r="C557" s="561" t="s">
        <v>121</v>
      </c>
      <c r="D557" s="561">
        <v>114.48</v>
      </c>
      <c r="E557" s="561"/>
    </row>
    <row r="558" spans="1:5">
      <c r="A558" s="561" t="s">
        <v>395</v>
      </c>
      <c r="B558" s="561" t="s">
        <v>89</v>
      </c>
      <c r="C558" s="561" t="s">
        <v>293</v>
      </c>
      <c r="D558" s="561">
        <v>1145.07</v>
      </c>
      <c r="E558" s="561"/>
    </row>
    <row r="559" spans="1:5">
      <c r="A559" s="561" t="s">
        <v>395</v>
      </c>
      <c r="B559" s="561" t="s">
        <v>91</v>
      </c>
      <c r="C559" s="561" t="s">
        <v>259</v>
      </c>
      <c r="D559" s="561">
        <v>2074.5500000000002</v>
      </c>
      <c r="E559" s="561"/>
    </row>
    <row r="560" spans="1:5">
      <c r="A560" s="561" t="s">
        <v>395</v>
      </c>
      <c r="B560" s="561" t="s">
        <v>95</v>
      </c>
      <c r="C560" s="561" t="s">
        <v>96</v>
      </c>
      <c r="D560" s="561">
        <v>594.35</v>
      </c>
      <c r="E560" s="561"/>
    </row>
    <row r="561" spans="1:5">
      <c r="A561" s="561" t="s">
        <v>395</v>
      </c>
      <c r="B561" s="561" t="s">
        <v>97</v>
      </c>
      <c r="C561" s="561" t="s">
        <v>98</v>
      </c>
      <c r="D561" s="561">
        <v>-858.06</v>
      </c>
      <c r="E561" s="561"/>
    </row>
    <row r="562" spans="1:5">
      <c r="A562" s="561" t="s">
        <v>395</v>
      </c>
      <c r="B562" s="561" t="s">
        <v>352</v>
      </c>
      <c r="C562" s="561" t="s">
        <v>353</v>
      </c>
      <c r="D562" s="561">
        <v>81.84</v>
      </c>
      <c r="E562" s="561"/>
    </row>
    <row r="563" spans="1:5">
      <c r="A563" s="561" t="s">
        <v>395</v>
      </c>
      <c r="B563" s="561" t="s">
        <v>369</v>
      </c>
      <c r="C563" s="561" t="s">
        <v>396</v>
      </c>
      <c r="D563" s="561">
        <v>81.84</v>
      </c>
      <c r="E563" s="561"/>
    </row>
    <row r="564" spans="1:5">
      <c r="A564" s="561" t="s">
        <v>395</v>
      </c>
      <c r="B564" s="561" t="s">
        <v>105</v>
      </c>
      <c r="C564" s="561" t="s">
        <v>397</v>
      </c>
      <c r="D564" s="561">
        <v>81.84</v>
      </c>
      <c r="E564" s="561"/>
    </row>
    <row r="565" spans="1:5">
      <c r="A565" s="561" t="s">
        <v>395</v>
      </c>
      <c r="B565" s="561" t="s">
        <v>152</v>
      </c>
      <c r="C565" s="561" t="s">
        <v>398</v>
      </c>
      <c r="D565" s="561">
        <v>107.94</v>
      </c>
      <c r="E565" s="561"/>
    </row>
    <row r="566" spans="1:5">
      <c r="A566" s="561" t="s">
        <v>395</v>
      </c>
      <c r="B566" s="561" t="s">
        <v>107</v>
      </c>
      <c r="C566" s="561" t="s">
        <v>108</v>
      </c>
      <c r="D566" s="561">
        <v>86.17</v>
      </c>
      <c r="E566" s="561"/>
    </row>
    <row r="567" spans="1:5">
      <c r="A567" s="561" t="s">
        <v>395</v>
      </c>
      <c r="B567" s="561" t="s">
        <v>159</v>
      </c>
      <c r="C567" s="561" t="s">
        <v>160</v>
      </c>
      <c r="D567" s="561">
        <v>112.32</v>
      </c>
      <c r="E567" s="561"/>
    </row>
    <row r="568" spans="1:5">
      <c r="A568" s="562" t="s">
        <v>395</v>
      </c>
      <c r="B568" s="562" t="s">
        <v>111</v>
      </c>
      <c r="C568" s="562" t="s">
        <v>126</v>
      </c>
      <c r="D568" s="562">
        <v>115.24</v>
      </c>
      <c r="E568" s="562"/>
    </row>
    <row r="569" spans="1:5">
      <c r="A569" s="560" t="s">
        <v>399</v>
      </c>
      <c r="B569" s="560" t="s">
        <v>73</v>
      </c>
      <c r="C569" s="560" t="s">
        <v>74</v>
      </c>
      <c r="D569" s="560">
        <v>2714.23</v>
      </c>
      <c r="E569" s="560"/>
    </row>
    <row r="570" spans="1:5">
      <c r="A570" s="561" t="s">
        <v>399</v>
      </c>
      <c r="B570" s="561" t="s">
        <v>75</v>
      </c>
      <c r="C570" s="561" t="s">
        <v>76</v>
      </c>
      <c r="D570" s="561">
        <v>2770.75</v>
      </c>
      <c r="E570" s="561"/>
    </row>
    <row r="571" spans="1:5">
      <c r="A571" s="561" t="s">
        <v>399</v>
      </c>
      <c r="B571" s="561" t="s">
        <v>77</v>
      </c>
      <c r="C571" s="561" t="s">
        <v>78</v>
      </c>
      <c r="D571" s="561">
        <v>2501.91</v>
      </c>
      <c r="E571" s="561"/>
    </row>
    <row r="572" spans="1:5">
      <c r="A572" s="561" t="s">
        <v>399</v>
      </c>
      <c r="B572" s="561" t="s">
        <v>284</v>
      </c>
      <c r="C572" s="561" t="s">
        <v>285</v>
      </c>
      <c r="D572" s="561">
        <v>112.57</v>
      </c>
      <c r="E572" s="561"/>
    </row>
    <row r="573" spans="1:5">
      <c r="A573" s="561" t="s">
        <v>399</v>
      </c>
      <c r="B573" s="561" t="s">
        <v>89</v>
      </c>
      <c r="C573" s="561" t="s">
        <v>293</v>
      </c>
      <c r="D573" s="561">
        <v>1755.88</v>
      </c>
      <c r="E573" s="561"/>
    </row>
    <row r="574" spans="1:5">
      <c r="A574" s="561" t="s">
        <v>399</v>
      </c>
      <c r="B574" s="561" t="s">
        <v>91</v>
      </c>
      <c r="C574" s="561" t="s">
        <v>259</v>
      </c>
      <c r="D574" s="561">
        <v>1779.8</v>
      </c>
      <c r="E574" s="561"/>
    </row>
    <row r="575" spans="1:5">
      <c r="A575" s="561" t="s">
        <v>399</v>
      </c>
      <c r="B575" s="561" t="s">
        <v>95</v>
      </c>
      <c r="C575" s="561" t="s">
        <v>96</v>
      </c>
      <c r="D575" s="561">
        <v>117.42</v>
      </c>
      <c r="E575" s="561"/>
    </row>
    <row r="576" spans="1:5">
      <c r="A576" s="561" t="s">
        <v>399</v>
      </c>
      <c r="B576" s="561" t="s">
        <v>97</v>
      </c>
      <c r="C576" s="561" t="s">
        <v>98</v>
      </c>
      <c r="D576" s="561">
        <v>-2068.83</v>
      </c>
      <c r="E576" s="561"/>
    </row>
    <row r="577" spans="1:5">
      <c r="A577" s="561" t="s">
        <v>399</v>
      </c>
      <c r="B577" s="561" t="s">
        <v>150</v>
      </c>
      <c r="C577" s="561" t="s">
        <v>151</v>
      </c>
      <c r="D577" s="561">
        <v>5165.16</v>
      </c>
      <c r="E577" s="561"/>
    </row>
    <row r="578" spans="1:5">
      <c r="A578" s="561" t="s">
        <v>399</v>
      </c>
      <c r="B578" s="561" t="s">
        <v>400</v>
      </c>
      <c r="C578" s="561" t="s">
        <v>401</v>
      </c>
      <c r="D578" s="561">
        <v>58.21</v>
      </c>
      <c r="E578" s="561"/>
    </row>
    <row r="579" spans="1:5">
      <c r="A579" s="561" t="s">
        <v>399</v>
      </c>
      <c r="B579" s="561" t="s">
        <v>107</v>
      </c>
      <c r="C579" s="561" t="s">
        <v>402</v>
      </c>
      <c r="D579" s="561">
        <v>97.69</v>
      </c>
      <c r="E579" s="561"/>
    </row>
    <row r="580" spans="1:5">
      <c r="A580" s="561" t="s">
        <v>399</v>
      </c>
      <c r="B580" s="561" t="s">
        <v>403</v>
      </c>
      <c r="C580" s="561" t="s">
        <v>404</v>
      </c>
      <c r="D580" s="561">
        <v>87.8</v>
      </c>
      <c r="E580" s="561"/>
    </row>
  </sheetData>
  <autoFilter ref="A3:E3" xr:uid="{973E8D08-FDA2-4AEA-B02E-8B80791C65B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7A6C-56D7-45F0-B33A-F5E90D463A84}">
  <dimension ref="A1:E636"/>
  <sheetViews>
    <sheetView topLeftCell="A598" workbookViewId="0">
      <selection activeCell="J594" sqref="J594"/>
    </sheetView>
  </sheetViews>
  <sheetFormatPr defaultRowHeight="14.45"/>
  <cols>
    <col min="1" max="1" width="14" bestFit="1" customWidth="1"/>
    <col min="2" max="2" width="15.85546875" bestFit="1" customWidth="1"/>
    <col min="3" max="3" width="41.42578125" bestFit="1" customWidth="1"/>
    <col min="4" max="4" width="21.5703125" customWidth="1"/>
    <col min="5" max="5" width="19.28515625" customWidth="1"/>
  </cols>
  <sheetData>
    <row r="1" spans="1:5">
      <c r="A1" t="s">
        <v>59</v>
      </c>
      <c r="B1" s="571">
        <v>45292</v>
      </c>
    </row>
    <row r="2" spans="1:5">
      <c r="A2" t="s">
        <v>60</v>
      </c>
      <c r="B2" s="571">
        <v>45657</v>
      </c>
      <c r="D2" s="571"/>
    </row>
    <row r="3" spans="1:5">
      <c r="A3" t="s">
        <v>61</v>
      </c>
      <c r="B3" t="s">
        <v>62</v>
      </c>
      <c r="C3" t="s">
        <v>63</v>
      </c>
      <c r="D3" t="s">
        <v>65</v>
      </c>
      <c r="E3" t="s">
        <v>405</v>
      </c>
    </row>
    <row r="4" spans="1:5">
      <c r="A4" s="810" t="s">
        <v>406</v>
      </c>
      <c r="B4" s="810" t="s">
        <v>239</v>
      </c>
      <c r="C4" s="810" t="s">
        <v>407</v>
      </c>
      <c r="D4" s="810" t="s">
        <v>408</v>
      </c>
      <c r="E4" s="811">
        <v>22.19</v>
      </c>
    </row>
    <row r="5" spans="1:5">
      <c r="A5" s="810" t="s">
        <v>406</v>
      </c>
      <c r="B5" s="810" t="s">
        <v>409</v>
      </c>
      <c r="C5" s="810" t="s">
        <v>410</v>
      </c>
      <c r="D5" s="810" t="s">
        <v>411</v>
      </c>
      <c r="E5" s="811">
        <v>109.55</v>
      </c>
    </row>
    <row r="6" spans="1:5">
      <c r="A6" s="810" t="s">
        <v>406</v>
      </c>
      <c r="B6" s="810" t="s">
        <v>412</v>
      </c>
      <c r="C6" s="810" t="s">
        <v>410</v>
      </c>
      <c r="D6" s="810" t="s">
        <v>413</v>
      </c>
      <c r="E6" s="811">
        <v>109.55</v>
      </c>
    </row>
    <row r="7" spans="1:5">
      <c r="A7" s="810" t="s">
        <v>406</v>
      </c>
      <c r="B7" s="810" t="s">
        <v>414</v>
      </c>
      <c r="C7" s="810" t="s">
        <v>415</v>
      </c>
      <c r="D7" s="810" t="s">
        <v>411</v>
      </c>
      <c r="E7" s="811">
        <v>109.55</v>
      </c>
    </row>
    <row r="8" spans="1:5">
      <c r="A8" s="810" t="s">
        <v>406</v>
      </c>
      <c r="B8" s="810" t="s">
        <v>416</v>
      </c>
      <c r="C8" s="810" t="s">
        <v>415</v>
      </c>
      <c r="D8" s="810" t="s">
        <v>413</v>
      </c>
      <c r="E8" s="811">
        <v>109.55</v>
      </c>
    </row>
    <row r="9" spans="1:5">
      <c r="A9" s="810" t="s">
        <v>406</v>
      </c>
      <c r="B9" s="810" t="s">
        <v>417</v>
      </c>
      <c r="C9" s="810" t="s">
        <v>418</v>
      </c>
      <c r="D9" s="810" t="s">
        <v>413</v>
      </c>
      <c r="E9" s="811">
        <v>109.55</v>
      </c>
    </row>
    <row r="10" spans="1:5">
      <c r="A10" s="810" t="s">
        <v>406</v>
      </c>
      <c r="B10" s="810" t="s">
        <v>419</v>
      </c>
      <c r="C10" s="810" t="s">
        <v>410</v>
      </c>
      <c r="D10" s="810" t="s">
        <v>420</v>
      </c>
      <c r="E10" s="811">
        <v>109.55</v>
      </c>
    </row>
    <row r="11" spans="1:5">
      <c r="A11" s="810" t="s">
        <v>406</v>
      </c>
      <c r="B11" s="810" t="s">
        <v>421</v>
      </c>
      <c r="C11" s="810" t="s">
        <v>410</v>
      </c>
      <c r="D11" s="810" t="s">
        <v>422</v>
      </c>
      <c r="E11" s="811">
        <v>109.55</v>
      </c>
    </row>
    <row r="12" spans="1:5">
      <c r="A12" s="810" t="s">
        <v>406</v>
      </c>
      <c r="B12" s="810" t="s">
        <v>423</v>
      </c>
      <c r="C12" s="810" t="s">
        <v>415</v>
      </c>
      <c r="D12" s="810" t="s">
        <v>420</v>
      </c>
      <c r="E12" s="811">
        <v>109.55</v>
      </c>
    </row>
    <row r="13" spans="1:5">
      <c r="A13" s="810" t="s">
        <v>406</v>
      </c>
      <c r="B13" s="810" t="s">
        <v>424</v>
      </c>
      <c r="C13" s="810" t="s">
        <v>415</v>
      </c>
      <c r="D13" s="810" t="s">
        <v>422</v>
      </c>
      <c r="E13" s="811">
        <v>109.55</v>
      </c>
    </row>
    <row r="14" spans="1:5">
      <c r="A14" s="810" t="s">
        <v>406</v>
      </c>
      <c r="B14" s="810" t="s">
        <v>425</v>
      </c>
      <c r="C14" s="810" t="s">
        <v>426</v>
      </c>
      <c r="D14" s="810" t="s">
        <v>427</v>
      </c>
      <c r="E14" s="811">
        <v>101.99</v>
      </c>
    </row>
    <row r="15" spans="1:5">
      <c r="A15" s="810" t="s">
        <v>406</v>
      </c>
      <c r="B15" s="810" t="s">
        <v>428</v>
      </c>
      <c r="C15" s="810" t="s">
        <v>429</v>
      </c>
      <c r="D15" s="810"/>
      <c r="E15" s="811">
        <v>101.99</v>
      </c>
    </row>
    <row r="16" spans="1:5">
      <c r="A16" s="810" t="s">
        <v>406</v>
      </c>
      <c r="B16" s="810" t="s">
        <v>430</v>
      </c>
      <c r="C16" s="810" t="s">
        <v>431</v>
      </c>
      <c r="D16" s="810"/>
      <c r="E16" s="811">
        <v>101.99</v>
      </c>
    </row>
    <row r="17" spans="1:5">
      <c r="A17" s="810" t="s">
        <v>406</v>
      </c>
      <c r="B17" s="810" t="s">
        <v>432</v>
      </c>
      <c r="C17" s="810" t="s">
        <v>433</v>
      </c>
      <c r="D17" s="810"/>
      <c r="E17" s="811">
        <v>101.99</v>
      </c>
    </row>
    <row r="18" spans="1:5">
      <c r="A18" s="810" t="s">
        <v>406</v>
      </c>
      <c r="B18" s="810" t="s">
        <v>434</v>
      </c>
      <c r="C18" s="810" t="s">
        <v>435</v>
      </c>
      <c r="D18" s="810"/>
      <c r="E18" s="811">
        <v>101.99</v>
      </c>
    </row>
    <row r="19" spans="1:5">
      <c r="A19" s="810" t="s">
        <v>406</v>
      </c>
      <c r="B19" s="810" t="s">
        <v>436</v>
      </c>
      <c r="C19" s="810" t="s">
        <v>437</v>
      </c>
      <c r="D19" s="810"/>
      <c r="E19" s="811">
        <v>101.99</v>
      </c>
    </row>
    <row r="20" spans="1:5">
      <c r="A20" s="810" t="s">
        <v>406</v>
      </c>
      <c r="B20" s="810" t="s">
        <v>438</v>
      </c>
      <c r="C20" s="810" t="s">
        <v>439</v>
      </c>
      <c r="D20" s="810"/>
      <c r="E20" s="811">
        <v>101.99</v>
      </c>
    </row>
    <row r="21" spans="1:5">
      <c r="A21" s="810" t="s">
        <v>406</v>
      </c>
      <c r="B21" s="810" t="s">
        <v>440</v>
      </c>
      <c r="C21" s="810" t="s">
        <v>429</v>
      </c>
      <c r="D21" s="810" t="s">
        <v>427</v>
      </c>
      <c r="E21" s="811">
        <v>101.99</v>
      </c>
    </row>
    <row r="22" spans="1:5">
      <c r="A22" s="810" t="s">
        <v>406</v>
      </c>
      <c r="B22" s="810" t="s">
        <v>441</v>
      </c>
      <c r="C22" s="810" t="s">
        <v>431</v>
      </c>
      <c r="D22" s="810" t="s">
        <v>427</v>
      </c>
      <c r="E22" s="811">
        <v>101.99</v>
      </c>
    </row>
    <row r="23" spans="1:5">
      <c r="A23" s="810" t="s">
        <v>406</v>
      </c>
      <c r="B23" s="810" t="s">
        <v>442</v>
      </c>
      <c r="C23" s="810" t="s">
        <v>433</v>
      </c>
      <c r="D23" s="810" t="s">
        <v>427</v>
      </c>
      <c r="E23" s="811">
        <v>101.99</v>
      </c>
    </row>
    <row r="24" spans="1:5">
      <c r="A24" s="810" t="s">
        <v>406</v>
      </c>
      <c r="B24" s="810" t="s">
        <v>443</v>
      </c>
      <c r="C24" s="810" t="s">
        <v>435</v>
      </c>
      <c r="D24" s="810" t="s">
        <v>427</v>
      </c>
      <c r="E24" s="811">
        <v>101.99</v>
      </c>
    </row>
    <row r="25" spans="1:5">
      <c r="A25" s="810" t="s">
        <v>406</v>
      </c>
      <c r="B25" s="810" t="s">
        <v>444</v>
      </c>
      <c r="C25" s="810" t="s">
        <v>437</v>
      </c>
      <c r="D25" s="810" t="s">
        <v>427</v>
      </c>
      <c r="E25" s="811">
        <v>101.99</v>
      </c>
    </row>
    <row r="26" spans="1:5">
      <c r="A26" s="810" t="s">
        <v>406</v>
      </c>
      <c r="B26" s="810" t="s">
        <v>445</v>
      </c>
      <c r="C26" s="810" t="s">
        <v>439</v>
      </c>
      <c r="D26" s="810" t="s">
        <v>427</v>
      </c>
      <c r="E26" s="811">
        <v>101.99</v>
      </c>
    </row>
    <row r="27" spans="1:5">
      <c r="A27" s="810" t="s">
        <v>406</v>
      </c>
      <c r="B27" s="810" t="s">
        <v>446</v>
      </c>
      <c r="C27" s="810" t="s">
        <v>447</v>
      </c>
      <c r="D27" s="810"/>
      <c r="E27" s="811">
        <v>101.99</v>
      </c>
    </row>
    <row r="28" spans="1:5">
      <c r="A28" s="810" t="s">
        <v>406</v>
      </c>
      <c r="B28" s="810" t="s">
        <v>448</v>
      </c>
      <c r="C28" s="810" t="s">
        <v>449</v>
      </c>
      <c r="D28" s="810"/>
      <c r="E28" s="811">
        <v>101.99</v>
      </c>
    </row>
    <row r="29" spans="1:5">
      <c r="A29" s="810" t="s">
        <v>406</v>
      </c>
      <c r="B29" s="810" t="s">
        <v>450</v>
      </c>
      <c r="C29" s="810" t="s">
        <v>426</v>
      </c>
      <c r="D29" s="810"/>
      <c r="E29" s="811">
        <v>101.99</v>
      </c>
    </row>
    <row r="30" spans="1:5">
      <c r="A30" s="812" t="s">
        <v>66</v>
      </c>
      <c r="B30" s="812" t="s">
        <v>67</v>
      </c>
      <c r="C30" s="812" t="s">
        <v>68</v>
      </c>
      <c r="D30" s="812"/>
      <c r="E30" s="813">
        <v>2979.83</v>
      </c>
    </row>
    <row r="31" spans="1:5">
      <c r="A31" s="812" t="s">
        <v>66</v>
      </c>
      <c r="B31" s="812" t="s">
        <v>69</v>
      </c>
      <c r="C31" s="812" t="s">
        <v>70</v>
      </c>
      <c r="D31" s="812"/>
      <c r="E31" s="813">
        <v>2945.68</v>
      </c>
    </row>
    <row r="32" spans="1:5">
      <c r="A32" s="812" t="s">
        <v>66</v>
      </c>
      <c r="B32" s="812" t="s">
        <v>71</v>
      </c>
      <c r="C32" s="812" t="s">
        <v>72</v>
      </c>
      <c r="D32" s="812"/>
      <c r="E32" s="813">
        <v>2724.09</v>
      </c>
    </row>
    <row r="33" spans="1:5">
      <c r="A33" s="812" t="s">
        <v>66</v>
      </c>
      <c r="B33" s="812" t="s">
        <v>73</v>
      </c>
      <c r="C33" s="812" t="s">
        <v>74</v>
      </c>
      <c r="D33" s="812"/>
      <c r="E33" s="813">
        <v>2598.9899999999998</v>
      </c>
    </row>
    <row r="34" spans="1:5">
      <c r="A34" s="812" t="s">
        <v>66</v>
      </c>
      <c r="B34" s="812" t="s">
        <v>75</v>
      </c>
      <c r="C34" s="812" t="s">
        <v>76</v>
      </c>
      <c r="D34" s="812"/>
      <c r="E34" s="813">
        <v>2655.01</v>
      </c>
    </row>
    <row r="35" spans="1:5">
      <c r="A35" s="812" t="s">
        <v>66</v>
      </c>
      <c r="B35" s="812" t="s">
        <v>77</v>
      </c>
      <c r="C35" s="812" t="s">
        <v>78</v>
      </c>
      <c r="D35" s="812"/>
      <c r="E35" s="813">
        <v>2392.75</v>
      </c>
    </row>
    <row r="36" spans="1:5">
      <c r="A36" s="812" t="s">
        <v>66</v>
      </c>
      <c r="B36" s="812" t="s">
        <v>79</v>
      </c>
      <c r="C36" s="812" t="s">
        <v>80</v>
      </c>
      <c r="D36" s="812"/>
      <c r="E36" s="813">
        <v>311.49</v>
      </c>
    </row>
    <row r="37" spans="1:5">
      <c r="A37" s="812" t="s">
        <v>66</v>
      </c>
      <c r="B37" s="812" t="s">
        <v>81</v>
      </c>
      <c r="C37" s="812" t="s">
        <v>82</v>
      </c>
      <c r="D37" s="812"/>
      <c r="E37" s="813">
        <v>129.6</v>
      </c>
    </row>
    <row r="38" spans="1:5">
      <c r="A38" s="812" t="s">
        <v>66</v>
      </c>
      <c r="B38" s="812" t="s">
        <v>83</v>
      </c>
      <c r="C38" s="812" t="s">
        <v>331</v>
      </c>
      <c r="D38" s="812" t="s">
        <v>451</v>
      </c>
      <c r="E38" s="813">
        <v>1755.89</v>
      </c>
    </row>
    <row r="39" spans="1:5">
      <c r="A39" s="812" t="s">
        <v>66</v>
      </c>
      <c r="B39" s="812" t="s">
        <v>85</v>
      </c>
      <c r="C39" s="812" t="s">
        <v>331</v>
      </c>
      <c r="D39" s="812" t="s">
        <v>452</v>
      </c>
      <c r="E39" s="813">
        <v>1542.64</v>
      </c>
    </row>
    <row r="40" spans="1:5">
      <c r="A40" s="812" t="s">
        <v>66</v>
      </c>
      <c r="B40" s="812" t="s">
        <v>87</v>
      </c>
      <c r="C40" s="812" t="s">
        <v>331</v>
      </c>
      <c r="D40" s="812" t="s">
        <v>453</v>
      </c>
      <c r="E40" s="813">
        <v>1676.67</v>
      </c>
    </row>
    <row r="41" spans="1:5">
      <c r="A41" s="812" t="s">
        <v>66</v>
      </c>
      <c r="B41" s="812" t="s">
        <v>89</v>
      </c>
      <c r="C41" s="812" t="s">
        <v>138</v>
      </c>
      <c r="D41" s="812" t="s">
        <v>454</v>
      </c>
      <c r="E41" s="813">
        <v>1852.97</v>
      </c>
    </row>
    <row r="42" spans="1:5">
      <c r="A42" s="812" t="s">
        <v>66</v>
      </c>
      <c r="B42" s="812" t="s">
        <v>91</v>
      </c>
      <c r="C42" s="812" t="s">
        <v>363</v>
      </c>
      <c r="D42" s="812" t="s">
        <v>455</v>
      </c>
      <c r="E42" s="813">
        <v>1676.67</v>
      </c>
    </row>
    <row r="43" spans="1:5">
      <c r="A43" s="812" t="s">
        <v>66</v>
      </c>
      <c r="B43" s="812" t="s">
        <v>93</v>
      </c>
      <c r="C43" s="812" t="s">
        <v>138</v>
      </c>
      <c r="D43" s="812" t="s">
        <v>456</v>
      </c>
      <c r="E43" s="813">
        <v>1542.64</v>
      </c>
    </row>
    <row r="44" spans="1:5">
      <c r="A44" s="812" t="s">
        <v>66</v>
      </c>
      <c r="B44" s="812" t="s">
        <v>95</v>
      </c>
      <c r="C44" s="812" t="s">
        <v>96</v>
      </c>
      <c r="D44" s="812"/>
      <c r="E44" s="813">
        <v>1159.57</v>
      </c>
    </row>
    <row r="45" spans="1:5">
      <c r="A45" s="812" t="s">
        <v>66</v>
      </c>
      <c r="B45" s="812" t="s">
        <v>97</v>
      </c>
      <c r="C45" s="812" t="s">
        <v>98</v>
      </c>
      <c r="D45" s="812"/>
      <c r="E45" s="813">
        <v>-270.23</v>
      </c>
    </row>
    <row r="46" spans="1:5">
      <c r="A46" s="812" t="s">
        <v>66</v>
      </c>
      <c r="B46" s="812" t="s">
        <v>99</v>
      </c>
      <c r="C46" s="812" t="s">
        <v>242</v>
      </c>
      <c r="D46" s="812" t="s">
        <v>454</v>
      </c>
      <c r="E46" s="813">
        <v>436.95</v>
      </c>
    </row>
    <row r="47" spans="1:5">
      <c r="A47" s="812" t="s">
        <v>66</v>
      </c>
      <c r="B47" s="812" t="s">
        <v>101</v>
      </c>
      <c r="C47" s="812" t="s">
        <v>148</v>
      </c>
      <c r="D47" s="812" t="s">
        <v>457</v>
      </c>
      <c r="E47" s="813">
        <v>2712.99</v>
      </c>
    </row>
    <row r="48" spans="1:5">
      <c r="A48" s="812" t="s">
        <v>66</v>
      </c>
      <c r="B48" s="812" t="s">
        <v>103</v>
      </c>
      <c r="C48" s="812" t="s">
        <v>149</v>
      </c>
      <c r="D48" s="812" t="s">
        <v>457</v>
      </c>
      <c r="E48" s="813">
        <v>7473.56</v>
      </c>
    </row>
    <row r="49" spans="1:5">
      <c r="A49" s="812" t="s">
        <v>66</v>
      </c>
      <c r="B49" s="812" t="s">
        <v>105</v>
      </c>
      <c r="C49" s="812" t="s">
        <v>243</v>
      </c>
      <c r="D49" s="812" t="s">
        <v>458</v>
      </c>
      <c r="E49" s="813">
        <v>58.09</v>
      </c>
    </row>
    <row r="50" spans="1:5">
      <c r="A50" s="812" t="s">
        <v>66</v>
      </c>
      <c r="B50" s="812" t="s">
        <v>107</v>
      </c>
      <c r="C50" s="812" t="s">
        <v>459</v>
      </c>
      <c r="D50" s="812" t="s">
        <v>248</v>
      </c>
      <c r="E50" s="813">
        <v>90.42</v>
      </c>
    </row>
    <row r="51" spans="1:5">
      <c r="A51" s="812" t="s">
        <v>66</v>
      </c>
      <c r="B51" s="812" t="s">
        <v>109</v>
      </c>
      <c r="C51" s="812" t="s">
        <v>460</v>
      </c>
      <c r="D51" s="812" t="s">
        <v>461</v>
      </c>
      <c r="E51" s="813">
        <v>108.56</v>
      </c>
    </row>
    <row r="52" spans="1:5">
      <c r="A52" s="812" t="s">
        <v>66</v>
      </c>
      <c r="B52" s="812" t="s">
        <v>111</v>
      </c>
      <c r="C52" s="812" t="s">
        <v>462</v>
      </c>
      <c r="D52" s="812" t="s">
        <v>463</v>
      </c>
      <c r="E52" s="813">
        <v>86.27</v>
      </c>
    </row>
    <row r="53" spans="1:5">
      <c r="A53" s="812" t="s">
        <v>66</v>
      </c>
      <c r="B53" s="812" t="s">
        <v>113</v>
      </c>
      <c r="C53" s="812" t="s">
        <v>464</v>
      </c>
      <c r="D53" s="812" t="s">
        <v>465</v>
      </c>
      <c r="E53" s="813">
        <v>10594.18</v>
      </c>
    </row>
    <row r="54" spans="1:5">
      <c r="A54" s="812" t="s">
        <v>66</v>
      </c>
      <c r="B54" s="812" t="s">
        <v>115</v>
      </c>
      <c r="C54" s="812" t="s">
        <v>466</v>
      </c>
      <c r="D54" s="812" t="s">
        <v>465</v>
      </c>
      <c r="E54" s="813">
        <v>12014.58</v>
      </c>
    </row>
    <row r="55" spans="1:5">
      <c r="A55" s="812" t="s">
        <v>66</v>
      </c>
      <c r="B55" s="812" t="s">
        <v>117</v>
      </c>
      <c r="C55" s="812" t="s">
        <v>118</v>
      </c>
      <c r="D55" s="812" t="s">
        <v>467</v>
      </c>
      <c r="E55" s="813">
        <v>706.18</v>
      </c>
    </row>
    <row r="56" spans="1:5">
      <c r="A56" s="812" t="s">
        <v>66</v>
      </c>
      <c r="B56" s="812"/>
      <c r="C56" s="812" t="s">
        <v>468</v>
      </c>
      <c r="D56" s="812"/>
      <c r="E56" s="813">
        <v>450</v>
      </c>
    </row>
    <row r="57" spans="1:5">
      <c r="A57" s="810" t="s">
        <v>119</v>
      </c>
      <c r="B57" s="810" t="s">
        <v>79</v>
      </c>
      <c r="C57" s="810" t="s">
        <v>80</v>
      </c>
      <c r="D57" s="810"/>
      <c r="E57" s="811">
        <v>350.41</v>
      </c>
    </row>
    <row r="58" spans="1:5">
      <c r="A58" s="810" t="s">
        <v>119</v>
      </c>
      <c r="B58" s="810" t="s">
        <v>120</v>
      </c>
      <c r="C58" s="810" t="s">
        <v>469</v>
      </c>
      <c r="D58" s="810" t="s">
        <v>470</v>
      </c>
      <c r="E58" s="811">
        <v>114.04</v>
      </c>
    </row>
    <row r="59" spans="1:5">
      <c r="A59" s="810" t="s">
        <v>119</v>
      </c>
      <c r="B59" s="810" t="s">
        <v>81</v>
      </c>
      <c r="C59" s="810" t="s">
        <v>82</v>
      </c>
      <c r="D59" s="810"/>
      <c r="E59" s="811">
        <v>115.94</v>
      </c>
    </row>
    <row r="60" spans="1:5">
      <c r="A60" s="810" t="s">
        <v>119</v>
      </c>
      <c r="B60" s="810" t="s">
        <v>83</v>
      </c>
      <c r="C60" s="810" t="s">
        <v>331</v>
      </c>
      <c r="D60" s="810" t="s">
        <v>471</v>
      </c>
      <c r="E60" s="811">
        <v>2057.86</v>
      </c>
    </row>
    <row r="61" spans="1:5">
      <c r="A61" s="810" t="s">
        <v>119</v>
      </c>
      <c r="B61" s="810" t="s">
        <v>89</v>
      </c>
      <c r="C61" s="810" t="s">
        <v>138</v>
      </c>
      <c r="D61" s="810" t="s">
        <v>472</v>
      </c>
      <c r="E61" s="811">
        <v>2138.7600000000002</v>
      </c>
    </row>
    <row r="62" spans="1:5">
      <c r="A62" s="810" t="s">
        <v>119</v>
      </c>
      <c r="B62" s="810" t="s">
        <v>124</v>
      </c>
      <c r="C62" s="810" t="s">
        <v>139</v>
      </c>
      <c r="D62" s="810" t="s">
        <v>473</v>
      </c>
      <c r="E62" s="811">
        <v>331.11</v>
      </c>
    </row>
    <row r="63" spans="1:5">
      <c r="A63" s="810" t="s">
        <v>119</v>
      </c>
      <c r="B63" s="810" t="s">
        <v>95</v>
      </c>
      <c r="C63" s="810" t="s">
        <v>96</v>
      </c>
      <c r="D63" s="810"/>
      <c r="E63" s="811">
        <v>-220.38</v>
      </c>
    </row>
    <row r="64" spans="1:5">
      <c r="A64" s="810" t="s">
        <v>119</v>
      </c>
      <c r="B64" s="810" t="s">
        <v>97</v>
      </c>
      <c r="C64" s="810" t="s">
        <v>98</v>
      </c>
      <c r="D64" s="810"/>
      <c r="E64" s="811">
        <v>-2920.13</v>
      </c>
    </row>
    <row r="65" spans="1:5">
      <c r="A65" s="810" t="s">
        <v>119</v>
      </c>
      <c r="B65" s="810" t="s">
        <v>105</v>
      </c>
      <c r="C65" s="810" t="s">
        <v>243</v>
      </c>
      <c r="D65" s="810" t="s">
        <v>458</v>
      </c>
      <c r="E65" s="811">
        <v>60.3</v>
      </c>
    </row>
    <row r="66" spans="1:5">
      <c r="A66" s="810" t="s">
        <v>119</v>
      </c>
      <c r="B66" s="810" t="s">
        <v>107</v>
      </c>
      <c r="C66" s="810" t="s">
        <v>459</v>
      </c>
      <c r="D66" s="810" t="s">
        <v>248</v>
      </c>
      <c r="E66" s="811">
        <v>158.1</v>
      </c>
    </row>
    <row r="67" spans="1:5">
      <c r="A67" s="810" t="s">
        <v>119</v>
      </c>
      <c r="B67" s="810" t="s">
        <v>111</v>
      </c>
      <c r="C67" s="810" t="s">
        <v>462</v>
      </c>
      <c r="D67" s="810" t="s">
        <v>474</v>
      </c>
      <c r="E67" s="811">
        <v>104.5</v>
      </c>
    </row>
    <row r="68" spans="1:5">
      <c r="A68" s="810" t="s">
        <v>119</v>
      </c>
      <c r="B68" s="810" t="s">
        <v>113</v>
      </c>
      <c r="C68" s="810" t="s">
        <v>464</v>
      </c>
      <c r="D68" s="810" t="s">
        <v>465</v>
      </c>
      <c r="E68" s="811">
        <v>9961.26</v>
      </c>
    </row>
    <row r="69" spans="1:5">
      <c r="A69" s="810" t="s">
        <v>119</v>
      </c>
      <c r="B69" s="810"/>
      <c r="C69" s="810" t="s">
        <v>468</v>
      </c>
      <c r="D69" s="810"/>
      <c r="E69" s="811">
        <v>450</v>
      </c>
    </row>
    <row r="70" spans="1:5">
      <c r="A70" s="812" t="s">
        <v>127</v>
      </c>
      <c r="B70" s="812"/>
      <c r="C70" s="812" t="s">
        <v>475</v>
      </c>
      <c r="D70" s="812"/>
      <c r="E70" s="813">
        <v>4393.46</v>
      </c>
    </row>
    <row r="71" spans="1:5">
      <c r="A71" s="812" t="s">
        <v>127</v>
      </c>
      <c r="B71" s="812"/>
      <c r="C71" s="812" t="s">
        <v>476</v>
      </c>
      <c r="D71" s="812"/>
      <c r="E71" s="813">
        <v>5931.84</v>
      </c>
    </row>
    <row r="72" spans="1:5">
      <c r="A72" s="812" t="s">
        <v>127</v>
      </c>
      <c r="B72" s="812" t="s">
        <v>477</v>
      </c>
      <c r="C72" s="812" t="s">
        <v>478</v>
      </c>
      <c r="D72" s="812"/>
      <c r="E72" s="813">
        <v>6237.37</v>
      </c>
    </row>
    <row r="73" spans="1:5">
      <c r="A73" s="812" t="s">
        <v>127</v>
      </c>
      <c r="B73" s="812" t="s">
        <v>479</v>
      </c>
      <c r="C73" s="812" t="s">
        <v>480</v>
      </c>
      <c r="D73" s="812"/>
      <c r="E73" s="813">
        <v>8123</v>
      </c>
    </row>
    <row r="74" spans="1:5">
      <c r="A74" s="812" t="s">
        <v>127</v>
      </c>
      <c r="B74" s="812" t="s">
        <v>73</v>
      </c>
      <c r="C74" s="812" t="s">
        <v>74</v>
      </c>
      <c r="D74" s="812"/>
      <c r="E74" s="813">
        <v>2269.6</v>
      </c>
    </row>
    <row r="75" spans="1:5">
      <c r="A75" s="812" t="s">
        <v>127</v>
      </c>
      <c r="B75" s="812" t="s">
        <v>75</v>
      </c>
      <c r="C75" s="812" t="s">
        <v>76</v>
      </c>
      <c r="D75" s="812"/>
      <c r="E75" s="813">
        <v>2114.5100000000002</v>
      </c>
    </row>
    <row r="76" spans="1:5">
      <c r="A76" s="812" t="s">
        <v>127</v>
      </c>
      <c r="B76" s="812" t="s">
        <v>77</v>
      </c>
      <c r="C76" s="812" t="s">
        <v>78</v>
      </c>
      <c r="D76" s="812"/>
      <c r="E76" s="813">
        <v>1795.66</v>
      </c>
    </row>
    <row r="77" spans="1:5">
      <c r="A77" s="812" t="s">
        <v>127</v>
      </c>
      <c r="B77" s="812" t="s">
        <v>128</v>
      </c>
      <c r="C77" s="812" t="s">
        <v>481</v>
      </c>
      <c r="D77" s="812" t="s">
        <v>482</v>
      </c>
      <c r="E77" s="813">
        <v>107.56</v>
      </c>
    </row>
    <row r="78" spans="1:5">
      <c r="A78" s="812" t="s">
        <v>127</v>
      </c>
      <c r="B78" s="812" t="s">
        <v>130</v>
      </c>
      <c r="C78" s="812" t="s">
        <v>483</v>
      </c>
      <c r="D78" s="812" t="s">
        <v>470</v>
      </c>
      <c r="E78" s="813">
        <v>237.6</v>
      </c>
    </row>
    <row r="79" spans="1:5">
      <c r="A79" s="812" t="s">
        <v>127</v>
      </c>
      <c r="B79" s="812" t="s">
        <v>186</v>
      </c>
      <c r="C79" s="812" t="s">
        <v>484</v>
      </c>
      <c r="D79" s="812" t="s">
        <v>485</v>
      </c>
      <c r="E79" s="813">
        <v>128.52000000000001</v>
      </c>
    </row>
    <row r="80" spans="1:5">
      <c r="A80" s="812" t="s">
        <v>127</v>
      </c>
      <c r="B80" s="812" t="s">
        <v>132</v>
      </c>
      <c r="C80" s="812" t="s">
        <v>133</v>
      </c>
      <c r="D80" s="812"/>
      <c r="E80" s="813">
        <v>81.22</v>
      </c>
    </row>
    <row r="81" spans="1:5">
      <c r="A81" s="812" t="s">
        <v>127</v>
      </c>
      <c r="B81" s="812" t="s">
        <v>81</v>
      </c>
      <c r="C81" s="812" t="s">
        <v>82</v>
      </c>
      <c r="D81" s="812"/>
      <c r="E81" s="813">
        <v>99.67</v>
      </c>
    </row>
    <row r="82" spans="1:5">
      <c r="A82" s="812" t="s">
        <v>127</v>
      </c>
      <c r="B82" s="812" t="s">
        <v>134</v>
      </c>
      <c r="C82" s="812" t="s">
        <v>135</v>
      </c>
      <c r="D82" s="812"/>
      <c r="E82" s="813">
        <v>81.22</v>
      </c>
    </row>
    <row r="83" spans="1:5">
      <c r="A83" s="812" t="s">
        <v>127</v>
      </c>
      <c r="B83" s="812" t="s">
        <v>83</v>
      </c>
      <c r="C83" s="812" t="s">
        <v>331</v>
      </c>
      <c r="D83" s="812" t="s">
        <v>486</v>
      </c>
      <c r="E83" s="813">
        <v>6323.16</v>
      </c>
    </row>
    <row r="84" spans="1:5">
      <c r="A84" s="812" t="s">
        <v>127</v>
      </c>
      <c r="B84" s="812" t="s">
        <v>85</v>
      </c>
      <c r="C84" s="812" t="s">
        <v>331</v>
      </c>
      <c r="D84" s="812" t="s">
        <v>487</v>
      </c>
      <c r="E84" s="813">
        <v>6486.22</v>
      </c>
    </row>
    <row r="85" spans="1:5">
      <c r="A85" s="812" t="s">
        <v>127</v>
      </c>
      <c r="B85" s="812" t="s">
        <v>89</v>
      </c>
      <c r="C85" s="812" t="s">
        <v>138</v>
      </c>
      <c r="D85" s="812"/>
      <c r="E85" s="813">
        <v>2371.4299999999998</v>
      </c>
    </row>
    <row r="86" spans="1:5">
      <c r="A86" s="812" t="s">
        <v>127</v>
      </c>
      <c r="B86" s="812" t="s">
        <v>93</v>
      </c>
      <c r="C86" s="812" t="s">
        <v>138</v>
      </c>
      <c r="D86" s="812" t="s">
        <v>456</v>
      </c>
      <c r="E86" s="813">
        <v>2064.38</v>
      </c>
    </row>
    <row r="87" spans="1:5">
      <c r="A87" s="812" t="s">
        <v>127</v>
      </c>
      <c r="B87" s="812" t="s">
        <v>124</v>
      </c>
      <c r="C87" s="812" t="s">
        <v>139</v>
      </c>
      <c r="D87" s="812"/>
      <c r="E87" s="813">
        <v>155.44999999999999</v>
      </c>
    </row>
    <row r="88" spans="1:5">
      <c r="A88" s="812" t="s">
        <v>127</v>
      </c>
      <c r="B88" s="812" t="s">
        <v>140</v>
      </c>
      <c r="C88" s="812" t="s">
        <v>141</v>
      </c>
      <c r="D88" s="812"/>
      <c r="E88" s="813">
        <v>142.47</v>
      </c>
    </row>
    <row r="89" spans="1:5">
      <c r="A89" s="812" t="s">
        <v>127</v>
      </c>
      <c r="B89" s="812" t="s">
        <v>142</v>
      </c>
      <c r="C89" s="812" t="s">
        <v>143</v>
      </c>
      <c r="D89" s="812"/>
      <c r="E89" s="813">
        <v>157.66999999999999</v>
      </c>
    </row>
    <row r="90" spans="1:5">
      <c r="A90" s="812" t="s">
        <v>127</v>
      </c>
      <c r="B90" s="812" t="s">
        <v>144</v>
      </c>
      <c r="C90" s="812" t="s">
        <v>488</v>
      </c>
      <c r="D90" s="812" t="s">
        <v>489</v>
      </c>
      <c r="E90" s="813">
        <v>81.22</v>
      </c>
    </row>
    <row r="91" spans="1:5">
      <c r="A91" s="812" t="s">
        <v>127</v>
      </c>
      <c r="B91" s="812" t="s">
        <v>95</v>
      </c>
      <c r="C91" s="812" t="s">
        <v>96</v>
      </c>
      <c r="D91" s="812"/>
      <c r="E91" s="813">
        <v>478.14</v>
      </c>
    </row>
    <row r="92" spans="1:5">
      <c r="A92" s="812" t="s">
        <v>127</v>
      </c>
      <c r="B92" s="812" t="s">
        <v>97</v>
      </c>
      <c r="C92" s="812" t="s">
        <v>98</v>
      </c>
      <c r="D92" s="812"/>
      <c r="E92" s="813">
        <v>322.66000000000003</v>
      </c>
    </row>
    <row r="93" spans="1:5">
      <c r="A93" s="812" t="s">
        <v>127</v>
      </c>
      <c r="B93" s="812" t="s">
        <v>146</v>
      </c>
      <c r="C93" s="812" t="s">
        <v>490</v>
      </c>
      <c r="D93" s="812" t="s">
        <v>489</v>
      </c>
      <c r="E93" s="813">
        <v>105.55</v>
      </c>
    </row>
    <row r="94" spans="1:5">
      <c r="A94" s="812" t="s">
        <v>127</v>
      </c>
      <c r="B94" s="812" t="s">
        <v>101</v>
      </c>
      <c r="C94" s="812" t="s">
        <v>148</v>
      </c>
      <c r="D94" s="812"/>
      <c r="E94" s="813">
        <v>2952.95</v>
      </c>
    </row>
    <row r="95" spans="1:5">
      <c r="A95" s="812" t="s">
        <v>127</v>
      </c>
      <c r="B95" s="812" t="s">
        <v>103</v>
      </c>
      <c r="C95" s="812" t="s">
        <v>149</v>
      </c>
      <c r="D95" s="812"/>
      <c r="E95" s="813">
        <v>7374.79</v>
      </c>
    </row>
    <row r="96" spans="1:5">
      <c r="A96" s="812" t="s">
        <v>127</v>
      </c>
      <c r="B96" s="812" t="s">
        <v>150</v>
      </c>
      <c r="C96" s="812"/>
      <c r="D96" s="812" t="s">
        <v>491</v>
      </c>
      <c r="E96" s="813">
        <v>7100.83</v>
      </c>
    </row>
    <row r="97" spans="1:5">
      <c r="A97" s="812" t="s">
        <v>127</v>
      </c>
      <c r="B97" s="812" t="s">
        <v>152</v>
      </c>
      <c r="C97" s="812" t="s">
        <v>492</v>
      </c>
      <c r="D97" s="812" t="s">
        <v>493</v>
      </c>
      <c r="E97" s="813">
        <v>50.48</v>
      </c>
    </row>
    <row r="98" spans="1:5">
      <c r="A98" s="812" t="s">
        <v>127</v>
      </c>
      <c r="B98" s="812" t="s">
        <v>154</v>
      </c>
      <c r="C98" s="812" t="s">
        <v>494</v>
      </c>
      <c r="D98" s="812" t="s">
        <v>493</v>
      </c>
      <c r="E98" s="813">
        <v>64.64</v>
      </c>
    </row>
    <row r="99" spans="1:5">
      <c r="A99" s="812" t="s">
        <v>127</v>
      </c>
      <c r="B99" s="812" t="s">
        <v>107</v>
      </c>
      <c r="C99" s="812" t="s">
        <v>459</v>
      </c>
      <c r="D99" s="812" t="s">
        <v>495</v>
      </c>
      <c r="E99" s="813">
        <v>90.47</v>
      </c>
    </row>
    <row r="100" spans="1:5">
      <c r="A100" s="812" t="s">
        <v>127</v>
      </c>
      <c r="B100" s="812" t="s">
        <v>157</v>
      </c>
      <c r="C100" s="812" t="s">
        <v>158</v>
      </c>
      <c r="D100" s="812" t="s">
        <v>496</v>
      </c>
      <c r="E100" s="813">
        <v>83.23</v>
      </c>
    </row>
    <row r="101" spans="1:5">
      <c r="A101" s="812" t="s">
        <v>127</v>
      </c>
      <c r="B101" s="812" t="s">
        <v>159</v>
      </c>
      <c r="C101" s="812" t="s">
        <v>497</v>
      </c>
      <c r="D101" s="812" t="s">
        <v>498</v>
      </c>
      <c r="E101" s="813">
        <v>83.23</v>
      </c>
    </row>
    <row r="102" spans="1:5">
      <c r="A102" s="812" t="s">
        <v>127</v>
      </c>
      <c r="B102" s="812" t="s">
        <v>161</v>
      </c>
      <c r="C102" s="812" t="s">
        <v>499</v>
      </c>
      <c r="D102" s="812" t="s">
        <v>500</v>
      </c>
      <c r="E102" s="813">
        <v>64.64</v>
      </c>
    </row>
    <row r="103" spans="1:5">
      <c r="A103" s="812" t="s">
        <v>127</v>
      </c>
      <c r="B103" s="812" t="s">
        <v>113</v>
      </c>
      <c r="C103" s="812" t="s">
        <v>501</v>
      </c>
      <c r="D103" s="812" t="s">
        <v>465</v>
      </c>
      <c r="E103" s="813">
        <v>7754.9</v>
      </c>
    </row>
    <row r="104" spans="1:5">
      <c r="A104" s="812" t="s">
        <v>127</v>
      </c>
      <c r="B104" s="812" t="s">
        <v>115</v>
      </c>
      <c r="C104" s="812" t="s">
        <v>502</v>
      </c>
      <c r="D104" s="812" t="s">
        <v>465</v>
      </c>
      <c r="E104" s="813">
        <v>8094.77</v>
      </c>
    </row>
    <row r="105" spans="1:5">
      <c r="A105" s="812" t="s">
        <v>127</v>
      </c>
      <c r="B105" s="812" t="s">
        <v>166</v>
      </c>
      <c r="C105" s="812" t="s">
        <v>167</v>
      </c>
      <c r="D105" s="812"/>
      <c r="E105" s="813">
        <v>3248.04</v>
      </c>
    </row>
    <row r="106" spans="1:5">
      <c r="A106" s="812" t="s">
        <v>127</v>
      </c>
      <c r="B106" s="812" t="s">
        <v>168</v>
      </c>
      <c r="C106" s="812" t="s">
        <v>169</v>
      </c>
      <c r="D106" s="812"/>
      <c r="E106" s="813">
        <v>3587.91</v>
      </c>
    </row>
    <row r="107" spans="1:5">
      <c r="A107" s="812" t="s">
        <v>127</v>
      </c>
      <c r="B107" s="812"/>
      <c r="C107" s="812" t="s">
        <v>468</v>
      </c>
      <c r="D107" s="812"/>
      <c r="E107" s="813">
        <v>450</v>
      </c>
    </row>
    <row r="108" spans="1:5">
      <c r="A108" s="810" t="s">
        <v>170</v>
      </c>
      <c r="B108" s="810" t="s">
        <v>79</v>
      </c>
      <c r="C108" s="810" t="s">
        <v>80</v>
      </c>
      <c r="D108" s="810"/>
      <c r="E108" s="811">
        <v>618.85</v>
      </c>
    </row>
    <row r="109" spans="1:5">
      <c r="A109" s="810" t="s">
        <v>170</v>
      </c>
      <c r="B109" s="810" t="s">
        <v>130</v>
      </c>
      <c r="C109" s="810" t="s">
        <v>483</v>
      </c>
      <c r="D109" s="810" t="s">
        <v>503</v>
      </c>
      <c r="E109" s="811">
        <v>437.69</v>
      </c>
    </row>
    <row r="110" spans="1:5">
      <c r="A110" s="810" t="s">
        <v>170</v>
      </c>
      <c r="B110" s="810" t="s">
        <v>132</v>
      </c>
      <c r="C110" s="810" t="s">
        <v>133</v>
      </c>
      <c r="D110" s="810"/>
      <c r="E110" s="811">
        <v>59.05</v>
      </c>
    </row>
    <row r="111" spans="1:5">
      <c r="A111" s="810" t="s">
        <v>170</v>
      </c>
      <c r="B111" s="810" t="s">
        <v>81</v>
      </c>
      <c r="C111" s="810" t="s">
        <v>82</v>
      </c>
      <c r="D111" s="810"/>
      <c r="E111" s="811">
        <v>82.67</v>
      </c>
    </row>
    <row r="112" spans="1:5">
      <c r="A112" s="810" t="s">
        <v>170</v>
      </c>
      <c r="B112" s="810" t="s">
        <v>89</v>
      </c>
      <c r="C112" s="810" t="s">
        <v>138</v>
      </c>
      <c r="D112" s="810" t="s">
        <v>504</v>
      </c>
      <c r="E112" s="811">
        <v>2047.63</v>
      </c>
    </row>
    <row r="113" spans="1:5">
      <c r="A113" s="810" t="s">
        <v>170</v>
      </c>
      <c r="B113" s="810" t="s">
        <v>124</v>
      </c>
      <c r="C113" s="810" t="s">
        <v>139</v>
      </c>
      <c r="D113" s="810"/>
      <c r="E113" s="811">
        <v>79.95</v>
      </c>
    </row>
    <row r="114" spans="1:5">
      <c r="A114" s="810" t="s">
        <v>170</v>
      </c>
      <c r="B114" s="810" t="s">
        <v>140</v>
      </c>
      <c r="C114" s="810" t="s">
        <v>141</v>
      </c>
      <c r="D114" s="810"/>
      <c r="E114" s="811">
        <v>130.03</v>
      </c>
    </row>
    <row r="115" spans="1:5">
      <c r="A115" s="810" t="s">
        <v>170</v>
      </c>
      <c r="B115" s="810" t="s">
        <v>95</v>
      </c>
      <c r="C115" s="810" t="s">
        <v>96</v>
      </c>
      <c r="D115" s="810"/>
      <c r="E115" s="811">
        <v>774.29</v>
      </c>
    </row>
    <row r="116" spans="1:5">
      <c r="A116" s="810" t="s">
        <v>170</v>
      </c>
      <c r="B116" s="810" t="s">
        <v>97</v>
      </c>
      <c r="C116" s="810" t="s">
        <v>98</v>
      </c>
      <c r="D116" s="810"/>
      <c r="E116" s="811">
        <v>-1955.67</v>
      </c>
    </row>
    <row r="117" spans="1:5">
      <c r="A117" s="810" t="s">
        <v>170</v>
      </c>
      <c r="B117" s="810" t="s">
        <v>172</v>
      </c>
      <c r="C117" s="810" t="s">
        <v>173</v>
      </c>
      <c r="D117" s="810"/>
      <c r="E117" s="811">
        <v>1571.29</v>
      </c>
    </row>
    <row r="118" spans="1:5">
      <c r="A118" s="810" t="s">
        <v>170</v>
      </c>
      <c r="B118" s="810" t="s">
        <v>174</v>
      </c>
      <c r="C118" s="810" t="s">
        <v>175</v>
      </c>
      <c r="D118" s="810"/>
      <c r="E118" s="811">
        <v>1516.35</v>
      </c>
    </row>
    <row r="119" spans="1:5">
      <c r="A119" s="810" t="s">
        <v>170</v>
      </c>
      <c r="B119" s="810" t="s">
        <v>176</v>
      </c>
      <c r="C119" s="810" t="s">
        <v>177</v>
      </c>
      <c r="D119" s="810"/>
      <c r="E119" s="811">
        <v>-218.77</v>
      </c>
    </row>
    <row r="120" spans="1:5">
      <c r="A120" s="810" t="s">
        <v>170</v>
      </c>
      <c r="B120" s="810" t="s">
        <v>178</v>
      </c>
      <c r="C120" s="810" t="s">
        <v>179</v>
      </c>
      <c r="D120" s="810"/>
      <c r="E120" s="811">
        <v>3003.6</v>
      </c>
    </row>
    <row r="121" spans="1:5">
      <c r="A121" s="810" t="s">
        <v>170</v>
      </c>
      <c r="B121" s="810" t="s">
        <v>180</v>
      </c>
      <c r="C121" s="810" t="s">
        <v>181</v>
      </c>
      <c r="D121" s="810"/>
      <c r="E121" s="811">
        <v>2981.31</v>
      </c>
    </row>
    <row r="122" spans="1:5">
      <c r="A122" s="810" t="s">
        <v>170</v>
      </c>
      <c r="B122" s="810" t="s">
        <v>182</v>
      </c>
      <c r="C122" s="810" t="s">
        <v>183</v>
      </c>
      <c r="D122" s="810"/>
      <c r="E122" s="811">
        <v>341.25</v>
      </c>
    </row>
    <row r="123" spans="1:5">
      <c r="A123" s="810" t="s">
        <v>170</v>
      </c>
      <c r="B123" s="810" t="s">
        <v>202</v>
      </c>
      <c r="C123" s="810" t="s">
        <v>203</v>
      </c>
      <c r="D123" s="810"/>
      <c r="E123" s="811">
        <v>317.87</v>
      </c>
    </row>
    <row r="124" spans="1:5">
      <c r="A124" s="810" t="s">
        <v>170</v>
      </c>
      <c r="B124" s="810" t="s">
        <v>107</v>
      </c>
      <c r="C124" s="810" t="s">
        <v>459</v>
      </c>
      <c r="D124" s="810" t="s">
        <v>505</v>
      </c>
      <c r="E124" s="811">
        <v>94.6</v>
      </c>
    </row>
    <row r="125" spans="1:5">
      <c r="A125" s="810" t="s">
        <v>170</v>
      </c>
      <c r="B125" s="810" t="s">
        <v>111</v>
      </c>
      <c r="C125" s="810" t="s">
        <v>462</v>
      </c>
      <c r="D125" s="810" t="s">
        <v>506</v>
      </c>
      <c r="E125" s="811">
        <v>140.21</v>
      </c>
    </row>
    <row r="126" spans="1:5">
      <c r="A126" s="810" t="s">
        <v>170</v>
      </c>
      <c r="B126" s="810"/>
      <c r="C126" s="810" t="s">
        <v>468</v>
      </c>
      <c r="D126" s="810"/>
      <c r="E126" s="811">
        <v>450</v>
      </c>
    </row>
    <row r="127" spans="1:5">
      <c r="A127" s="812" t="s">
        <v>507</v>
      </c>
      <c r="B127" s="812" t="s">
        <v>120</v>
      </c>
      <c r="C127" s="812" t="s">
        <v>469</v>
      </c>
      <c r="D127" s="812" t="s">
        <v>508</v>
      </c>
      <c r="E127" s="813">
        <v>927.06</v>
      </c>
    </row>
    <row r="128" spans="1:5">
      <c r="A128" s="812" t="s">
        <v>507</v>
      </c>
      <c r="B128" s="812" t="s">
        <v>81</v>
      </c>
      <c r="C128" s="812" t="s">
        <v>82</v>
      </c>
      <c r="D128" s="812"/>
      <c r="E128" s="813">
        <v>104.1</v>
      </c>
    </row>
    <row r="129" spans="1:5">
      <c r="A129" s="812" t="s">
        <v>507</v>
      </c>
      <c r="B129" s="812" t="s">
        <v>124</v>
      </c>
      <c r="C129" s="812" t="s">
        <v>139</v>
      </c>
      <c r="D129" s="812"/>
      <c r="E129" s="813">
        <v>254.7</v>
      </c>
    </row>
    <row r="130" spans="1:5">
      <c r="A130" s="812" t="s">
        <v>507</v>
      </c>
      <c r="B130" s="812" t="s">
        <v>140</v>
      </c>
      <c r="C130" s="812" t="s">
        <v>141</v>
      </c>
      <c r="D130" s="812"/>
      <c r="E130" s="813">
        <v>306</v>
      </c>
    </row>
    <row r="131" spans="1:5">
      <c r="A131" s="812" t="s">
        <v>507</v>
      </c>
      <c r="B131" s="812" t="s">
        <v>95</v>
      </c>
      <c r="C131" s="812" t="s">
        <v>96</v>
      </c>
      <c r="D131" s="812"/>
      <c r="E131" s="813">
        <v>2155.8000000000002</v>
      </c>
    </row>
    <row r="132" spans="1:5">
      <c r="A132" s="812" t="s">
        <v>507</v>
      </c>
      <c r="B132" s="812" t="s">
        <v>97</v>
      </c>
      <c r="C132" s="812" t="s">
        <v>98</v>
      </c>
      <c r="D132" s="812"/>
      <c r="E132" s="813">
        <v>-796.89</v>
      </c>
    </row>
    <row r="133" spans="1:5">
      <c r="A133" s="812" t="s">
        <v>507</v>
      </c>
      <c r="B133" s="812" t="s">
        <v>262</v>
      </c>
      <c r="C133" s="812" t="s">
        <v>509</v>
      </c>
      <c r="D133" s="812" t="s">
        <v>508</v>
      </c>
      <c r="E133" s="813">
        <v>755.7</v>
      </c>
    </row>
    <row r="134" spans="1:5">
      <c r="A134" s="812" t="s">
        <v>507</v>
      </c>
      <c r="B134" s="812" t="s">
        <v>223</v>
      </c>
      <c r="C134" s="812" t="s">
        <v>510</v>
      </c>
      <c r="D134" s="812" t="s">
        <v>508</v>
      </c>
      <c r="E134" s="813">
        <v>861</v>
      </c>
    </row>
    <row r="135" spans="1:5">
      <c r="A135" s="812" t="s">
        <v>507</v>
      </c>
      <c r="B135" s="812" t="s">
        <v>111</v>
      </c>
      <c r="C135" s="812" t="s">
        <v>462</v>
      </c>
      <c r="D135" s="812" t="s">
        <v>461</v>
      </c>
      <c r="E135" s="813">
        <v>144.38999999999999</v>
      </c>
    </row>
    <row r="136" spans="1:5">
      <c r="A136" s="812" t="s">
        <v>507</v>
      </c>
      <c r="B136" s="812" t="s">
        <v>113</v>
      </c>
      <c r="C136" s="812" t="s">
        <v>511</v>
      </c>
      <c r="D136" s="812" t="s">
        <v>512</v>
      </c>
      <c r="E136" s="813">
        <v>11208.31</v>
      </c>
    </row>
    <row r="137" spans="1:5">
      <c r="A137" s="812" t="s">
        <v>507</v>
      </c>
      <c r="B137" s="812" t="s">
        <v>115</v>
      </c>
      <c r="C137" s="812" t="s">
        <v>513</v>
      </c>
      <c r="D137" s="812" t="s">
        <v>512</v>
      </c>
      <c r="E137" s="813">
        <v>11745.12</v>
      </c>
    </row>
    <row r="138" spans="1:5">
      <c r="A138" s="812" t="s">
        <v>507</v>
      </c>
      <c r="B138" s="812"/>
      <c r="C138" s="812" t="s">
        <v>468</v>
      </c>
      <c r="D138" s="812"/>
      <c r="E138" s="813">
        <v>450</v>
      </c>
    </row>
    <row r="139" spans="1:5">
      <c r="A139" s="810" t="s">
        <v>514</v>
      </c>
      <c r="B139" s="810" t="s">
        <v>130</v>
      </c>
      <c r="C139" s="810" t="s">
        <v>483</v>
      </c>
      <c r="D139" s="810" t="s">
        <v>515</v>
      </c>
      <c r="E139" s="811">
        <v>132.66</v>
      </c>
    </row>
    <row r="140" spans="1:5">
      <c r="A140" s="810" t="s">
        <v>514</v>
      </c>
      <c r="B140" s="810" t="s">
        <v>226</v>
      </c>
      <c r="C140" s="810" t="s">
        <v>516</v>
      </c>
      <c r="D140" s="810" t="s">
        <v>470</v>
      </c>
      <c r="E140" s="811">
        <v>96.62</v>
      </c>
    </row>
    <row r="141" spans="1:5">
      <c r="A141" s="810" t="s">
        <v>514</v>
      </c>
      <c r="B141" s="810" t="s">
        <v>81</v>
      </c>
      <c r="C141" s="810" t="s">
        <v>82</v>
      </c>
      <c r="D141" s="810"/>
      <c r="E141" s="811">
        <v>100.42</v>
      </c>
    </row>
    <row r="142" spans="1:5">
      <c r="A142" s="810" t="s">
        <v>514</v>
      </c>
      <c r="B142" s="810" t="s">
        <v>134</v>
      </c>
      <c r="C142" s="810" t="s">
        <v>135</v>
      </c>
      <c r="D142" s="810"/>
      <c r="E142" s="811">
        <v>81.22</v>
      </c>
    </row>
    <row r="143" spans="1:5">
      <c r="A143" s="810" t="s">
        <v>514</v>
      </c>
      <c r="B143" s="810" t="s">
        <v>124</v>
      </c>
      <c r="C143" s="810" t="s">
        <v>139</v>
      </c>
      <c r="D143" s="810"/>
      <c r="E143" s="811">
        <v>204.66</v>
      </c>
    </row>
    <row r="144" spans="1:5">
      <c r="A144" s="810" t="s">
        <v>514</v>
      </c>
      <c r="B144" s="810" t="s">
        <v>140</v>
      </c>
      <c r="C144" s="810" t="s">
        <v>141</v>
      </c>
      <c r="D144" s="810"/>
      <c r="E144" s="811">
        <v>287.57</v>
      </c>
    </row>
    <row r="145" spans="1:5">
      <c r="A145" s="810" t="s">
        <v>514</v>
      </c>
      <c r="B145" s="810" t="s">
        <v>95</v>
      </c>
      <c r="C145" s="810" t="s">
        <v>96</v>
      </c>
      <c r="D145" s="810"/>
      <c r="E145" s="811">
        <v>389.21</v>
      </c>
    </row>
    <row r="146" spans="1:5">
      <c r="A146" s="810" t="s">
        <v>514</v>
      </c>
      <c r="B146" s="810" t="s">
        <v>97</v>
      </c>
      <c r="C146" s="810" t="s">
        <v>98</v>
      </c>
      <c r="D146" s="810"/>
      <c r="E146" s="811">
        <v>-1386.56</v>
      </c>
    </row>
    <row r="147" spans="1:5">
      <c r="A147" s="810" t="s">
        <v>514</v>
      </c>
      <c r="B147" s="810" t="s">
        <v>223</v>
      </c>
      <c r="C147" s="810" t="s">
        <v>510</v>
      </c>
      <c r="D147" s="810" t="s">
        <v>470</v>
      </c>
      <c r="E147" s="811">
        <v>199.51</v>
      </c>
    </row>
    <row r="148" spans="1:5">
      <c r="A148" s="810" t="s">
        <v>514</v>
      </c>
      <c r="B148" s="810" t="s">
        <v>157</v>
      </c>
      <c r="C148" s="810" t="s">
        <v>158</v>
      </c>
      <c r="D148" s="810" t="s">
        <v>517</v>
      </c>
      <c r="E148" s="811">
        <v>320.86</v>
      </c>
    </row>
    <row r="149" spans="1:5">
      <c r="A149" s="810" t="s">
        <v>514</v>
      </c>
      <c r="B149" s="810" t="s">
        <v>159</v>
      </c>
      <c r="C149" s="810" t="s">
        <v>497</v>
      </c>
      <c r="D149" s="810" t="s">
        <v>518</v>
      </c>
      <c r="E149" s="811">
        <v>320.86</v>
      </c>
    </row>
    <row r="150" spans="1:5">
      <c r="A150" s="810" t="s">
        <v>514</v>
      </c>
      <c r="B150" s="810" t="s">
        <v>111</v>
      </c>
      <c r="C150" s="810" t="s">
        <v>462</v>
      </c>
      <c r="D150" s="810" t="s">
        <v>518</v>
      </c>
      <c r="E150" s="811">
        <v>320.86</v>
      </c>
    </row>
    <row r="151" spans="1:5">
      <c r="A151" s="810" t="s">
        <v>514</v>
      </c>
      <c r="B151" s="810"/>
      <c r="C151" s="810" t="s">
        <v>468</v>
      </c>
      <c r="D151" s="810"/>
      <c r="E151" s="811">
        <v>450</v>
      </c>
    </row>
    <row r="152" spans="1:5">
      <c r="A152" s="812" t="s">
        <v>220</v>
      </c>
      <c r="B152" s="812" t="s">
        <v>120</v>
      </c>
      <c r="C152" s="812" t="s">
        <v>469</v>
      </c>
      <c r="D152" s="812" t="s">
        <v>470</v>
      </c>
      <c r="E152" s="813">
        <v>279.70999999999998</v>
      </c>
    </row>
    <row r="153" spans="1:5">
      <c r="A153" s="812" t="s">
        <v>220</v>
      </c>
      <c r="B153" s="812" t="s">
        <v>81</v>
      </c>
      <c r="C153" s="812" t="s">
        <v>82</v>
      </c>
      <c r="D153" s="812"/>
      <c r="E153" s="813">
        <v>101.53</v>
      </c>
    </row>
    <row r="154" spans="1:5">
      <c r="A154" s="812" t="s">
        <v>220</v>
      </c>
      <c r="B154" s="812" t="s">
        <v>89</v>
      </c>
      <c r="C154" s="812" t="s">
        <v>138</v>
      </c>
      <c r="D154" s="812"/>
      <c r="E154" s="813">
        <v>1936.24</v>
      </c>
    </row>
    <row r="155" spans="1:5">
      <c r="A155" s="812" t="s">
        <v>220</v>
      </c>
      <c r="B155" s="812" t="s">
        <v>124</v>
      </c>
      <c r="C155" s="812" t="s">
        <v>139</v>
      </c>
      <c r="D155" s="812"/>
      <c r="E155" s="813">
        <v>67.88</v>
      </c>
    </row>
    <row r="156" spans="1:5">
      <c r="A156" s="812" t="s">
        <v>220</v>
      </c>
      <c r="B156" s="812" t="s">
        <v>140</v>
      </c>
      <c r="C156" s="812" t="s">
        <v>141</v>
      </c>
      <c r="D156" s="812"/>
      <c r="E156" s="813">
        <v>42.79</v>
      </c>
    </row>
    <row r="157" spans="1:5">
      <c r="A157" s="812" t="s">
        <v>220</v>
      </c>
      <c r="B157" s="812" t="s">
        <v>95</v>
      </c>
      <c r="C157" s="812" t="s">
        <v>96</v>
      </c>
      <c r="D157" s="812"/>
      <c r="E157" s="813">
        <v>1120.3900000000001</v>
      </c>
    </row>
    <row r="158" spans="1:5">
      <c r="A158" s="812" t="s">
        <v>220</v>
      </c>
      <c r="B158" s="812" t="s">
        <v>97</v>
      </c>
      <c r="C158" s="812" t="s">
        <v>98</v>
      </c>
      <c r="D158" s="814"/>
      <c r="E158" s="813">
        <v>1575.53</v>
      </c>
    </row>
    <row r="159" spans="1:5">
      <c r="A159" s="812" t="s">
        <v>220</v>
      </c>
      <c r="B159" s="812" t="s">
        <v>172</v>
      </c>
      <c r="C159" s="812" t="s">
        <v>173</v>
      </c>
      <c r="D159" s="814"/>
      <c r="E159" s="813">
        <v>12651.41</v>
      </c>
    </row>
    <row r="160" spans="1:5">
      <c r="A160" s="812" t="s">
        <v>220</v>
      </c>
      <c r="B160" s="812" t="s">
        <v>174</v>
      </c>
      <c r="C160" s="812" t="s">
        <v>175</v>
      </c>
      <c r="D160" s="814"/>
      <c r="E160" s="813">
        <v>12343.41</v>
      </c>
    </row>
    <row r="161" spans="1:5">
      <c r="A161" s="812" t="s">
        <v>220</v>
      </c>
      <c r="B161" s="812" t="s">
        <v>176</v>
      </c>
      <c r="C161" s="812" t="s">
        <v>177</v>
      </c>
      <c r="D161" s="812"/>
      <c r="E161" s="813">
        <v>6610.7</v>
      </c>
    </row>
    <row r="162" spans="1:5">
      <c r="A162" s="812" t="s">
        <v>220</v>
      </c>
      <c r="B162" s="812" t="s">
        <v>223</v>
      </c>
      <c r="C162" s="812" t="s">
        <v>510</v>
      </c>
      <c r="D162" s="812" t="s">
        <v>470</v>
      </c>
      <c r="E162" s="813">
        <v>259.14999999999998</v>
      </c>
    </row>
    <row r="163" spans="1:5">
      <c r="A163" s="812" t="s">
        <v>220</v>
      </c>
      <c r="B163" s="812"/>
      <c r="C163" s="812" t="s">
        <v>468</v>
      </c>
      <c r="D163" s="812"/>
      <c r="E163" s="813">
        <v>450</v>
      </c>
    </row>
    <row r="164" spans="1:5">
      <c r="A164" s="810" t="s">
        <v>232</v>
      </c>
      <c r="B164" s="810" t="s">
        <v>233</v>
      </c>
      <c r="C164" s="810" t="s">
        <v>234</v>
      </c>
      <c r="D164" s="810"/>
      <c r="E164" s="811">
        <v>1651.63</v>
      </c>
    </row>
    <row r="165" spans="1:5">
      <c r="A165" s="810" t="s">
        <v>232</v>
      </c>
      <c r="B165" s="810" t="s">
        <v>235</v>
      </c>
      <c r="C165" s="810" t="s">
        <v>236</v>
      </c>
      <c r="D165" s="810"/>
      <c r="E165" s="811">
        <v>1629.45</v>
      </c>
    </row>
    <row r="166" spans="1:5">
      <c r="A166" s="810" t="s">
        <v>232</v>
      </c>
      <c r="B166" s="810" t="s">
        <v>237</v>
      </c>
      <c r="C166" s="810" t="s">
        <v>238</v>
      </c>
      <c r="D166" s="810"/>
      <c r="E166" s="811">
        <v>1698.7</v>
      </c>
    </row>
    <row r="167" spans="1:5">
      <c r="A167" s="810" t="s">
        <v>232</v>
      </c>
      <c r="B167" s="810" t="s">
        <v>73</v>
      </c>
      <c r="C167" s="810" t="s">
        <v>74</v>
      </c>
      <c r="D167" s="810"/>
      <c r="E167" s="811">
        <v>2209.77</v>
      </c>
    </row>
    <row r="168" spans="1:5">
      <c r="A168" s="810" t="s">
        <v>232</v>
      </c>
      <c r="B168" s="810" t="s">
        <v>75</v>
      </c>
      <c r="C168" s="810" t="s">
        <v>76</v>
      </c>
      <c r="D168" s="810"/>
      <c r="E168" s="811">
        <v>2256.8000000000002</v>
      </c>
    </row>
    <row r="169" spans="1:5">
      <c r="A169" s="810" t="s">
        <v>232</v>
      </c>
      <c r="B169" s="810" t="s">
        <v>77</v>
      </c>
      <c r="C169" s="810" t="s">
        <v>78</v>
      </c>
      <c r="D169" s="810"/>
      <c r="E169" s="811">
        <v>2183.4899999999998</v>
      </c>
    </row>
    <row r="170" spans="1:5">
      <c r="A170" s="810" t="s">
        <v>232</v>
      </c>
      <c r="B170" s="810" t="s">
        <v>79</v>
      </c>
      <c r="C170" s="810" t="s">
        <v>80</v>
      </c>
      <c r="D170" s="810"/>
      <c r="E170" s="811">
        <v>402.75</v>
      </c>
    </row>
    <row r="171" spans="1:5">
      <c r="A171" s="810" t="s">
        <v>232</v>
      </c>
      <c r="B171" s="810" t="s">
        <v>130</v>
      </c>
      <c r="C171" s="810" t="s">
        <v>483</v>
      </c>
      <c r="D171" s="810" t="s">
        <v>515</v>
      </c>
      <c r="E171" s="811">
        <v>180.32</v>
      </c>
    </row>
    <row r="172" spans="1:5">
      <c r="A172" s="810" t="s">
        <v>232</v>
      </c>
      <c r="B172" s="810" t="s">
        <v>81</v>
      </c>
      <c r="C172" s="810" t="s">
        <v>82</v>
      </c>
      <c r="D172" s="810"/>
      <c r="E172" s="811">
        <v>106.29</v>
      </c>
    </row>
    <row r="173" spans="1:5">
      <c r="A173" s="810" t="s">
        <v>232</v>
      </c>
      <c r="B173" s="810" t="s">
        <v>124</v>
      </c>
      <c r="C173" s="810" t="s">
        <v>139</v>
      </c>
      <c r="D173" s="810"/>
      <c r="E173" s="811">
        <v>270.02999999999997</v>
      </c>
    </row>
    <row r="174" spans="1:5">
      <c r="A174" s="810" t="s">
        <v>232</v>
      </c>
      <c r="B174" s="810" t="s">
        <v>140</v>
      </c>
      <c r="C174" s="810" t="s">
        <v>141</v>
      </c>
      <c r="D174" s="810"/>
      <c r="E174" s="811">
        <v>281.5</v>
      </c>
    </row>
    <row r="175" spans="1:5">
      <c r="A175" s="810" t="s">
        <v>232</v>
      </c>
      <c r="B175" s="810" t="s">
        <v>95</v>
      </c>
      <c r="C175" s="810" t="s">
        <v>96</v>
      </c>
      <c r="D175" s="810"/>
      <c r="E175" s="811">
        <v>1516.7</v>
      </c>
    </row>
    <row r="176" spans="1:5">
      <c r="A176" s="810" t="s">
        <v>232</v>
      </c>
      <c r="B176" s="810" t="s">
        <v>97</v>
      </c>
      <c r="C176" s="810" t="s">
        <v>98</v>
      </c>
      <c r="D176" s="810"/>
      <c r="E176" s="811">
        <v>-348.37</v>
      </c>
    </row>
    <row r="177" spans="1:5">
      <c r="A177" s="810" t="s">
        <v>232</v>
      </c>
      <c r="B177" s="810" t="s">
        <v>99</v>
      </c>
      <c r="C177" s="810" t="s">
        <v>241</v>
      </c>
      <c r="D177" s="810" t="s">
        <v>454</v>
      </c>
      <c r="E177" s="811">
        <v>628.04</v>
      </c>
    </row>
    <row r="178" spans="1:5">
      <c r="A178" s="810" t="s">
        <v>232</v>
      </c>
      <c r="B178" s="810" t="s">
        <v>200</v>
      </c>
      <c r="C178" s="810" t="s">
        <v>242</v>
      </c>
      <c r="D178" s="810" t="s">
        <v>454</v>
      </c>
      <c r="E178" s="811">
        <v>628.04</v>
      </c>
    </row>
    <row r="179" spans="1:5">
      <c r="A179" s="810" t="s">
        <v>232</v>
      </c>
      <c r="B179" s="810" t="s">
        <v>244</v>
      </c>
      <c r="C179" s="810" t="s">
        <v>245</v>
      </c>
      <c r="D179" s="810" t="s">
        <v>458</v>
      </c>
      <c r="E179" s="811">
        <v>71.150000000000006</v>
      </c>
    </row>
    <row r="180" spans="1:5">
      <c r="A180" s="810" t="s">
        <v>232</v>
      </c>
      <c r="B180" s="810" t="s">
        <v>246</v>
      </c>
      <c r="C180" s="810" t="s">
        <v>247</v>
      </c>
      <c r="D180" s="810" t="s">
        <v>249</v>
      </c>
      <c r="E180" s="811">
        <v>82.58</v>
      </c>
    </row>
    <row r="181" spans="1:5">
      <c r="A181" s="810" t="s">
        <v>232</v>
      </c>
      <c r="B181" s="810" t="s">
        <v>107</v>
      </c>
      <c r="C181" s="810" t="s">
        <v>459</v>
      </c>
      <c r="D181" s="810" t="s">
        <v>248</v>
      </c>
      <c r="E181" s="811">
        <v>86.82</v>
      </c>
    </row>
    <row r="182" spans="1:5">
      <c r="A182" s="810" t="s">
        <v>232</v>
      </c>
      <c r="B182" s="810" t="s">
        <v>161</v>
      </c>
      <c r="C182" s="810" t="s">
        <v>499</v>
      </c>
      <c r="D182" s="810" t="s">
        <v>249</v>
      </c>
      <c r="E182" s="811">
        <v>82.58</v>
      </c>
    </row>
    <row r="183" spans="1:5">
      <c r="A183" s="810" t="s">
        <v>232</v>
      </c>
      <c r="B183" s="810" t="s">
        <v>113</v>
      </c>
      <c r="C183" s="810" t="s">
        <v>511</v>
      </c>
      <c r="D183" s="810" t="s">
        <v>465</v>
      </c>
      <c r="E183" s="811">
        <v>5946.06</v>
      </c>
    </row>
    <row r="184" spans="1:5">
      <c r="A184" s="810" t="s">
        <v>232</v>
      </c>
      <c r="B184" s="810" t="s">
        <v>115</v>
      </c>
      <c r="C184" s="810" t="s">
        <v>513</v>
      </c>
      <c r="D184" s="810" t="s">
        <v>465</v>
      </c>
      <c r="E184" s="811">
        <v>6103.71</v>
      </c>
    </row>
    <row r="185" spans="1:5">
      <c r="A185" s="810" t="s">
        <v>232</v>
      </c>
      <c r="B185" s="810"/>
      <c r="C185" s="810" t="s">
        <v>468</v>
      </c>
      <c r="D185" s="810"/>
      <c r="E185" s="811">
        <v>450</v>
      </c>
    </row>
    <row r="186" spans="1:5">
      <c r="A186" s="812" t="s">
        <v>519</v>
      </c>
      <c r="B186" s="812" t="s">
        <v>79</v>
      </c>
      <c r="C186" s="812" t="s">
        <v>80</v>
      </c>
      <c r="D186" s="812"/>
      <c r="E186" s="813">
        <v>391.56</v>
      </c>
    </row>
    <row r="187" spans="1:5">
      <c r="A187" s="812" t="s">
        <v>519</v>
      </c>
      <c r="B187" s="812" t="s">
        <v>284</v>
      </c>
      <c r="C187" s="812" t="s">
        <v>340</v>
      </c>
      <c r="D187" s="812" t="s">
        <v>515</v>
      </c>
      <c r="E187" s="813">
        <v>145.79</v>
      </c>
    </row>
    <row r="188" spans="1:5">
      <c r="A188" s="812" t="s">
        <v>519</v>
      </c>
      <c r="B188" s="812" t="s">
        <v>191</v>
      </c>
      <c r="C188" s="812" t="s">
        <v>520</v>
      </c>
      <c r="D188" s="812" t="s">
        <v>470</v>
      </c>
      <c r="E188" s="813">
        <v>134.68</v>
      </c>
    </row>
    <row r="189" spans="1:5">
      <c r="A189" s="812" t="s">
        <v>519</v>
      </c>
      <c r="B189" s="812" t="s">
        <v>81</v>
      </c>
      <c r="C189" s="812" t="s">
        <v>82</v>
      </c>
      <c r="D189" s="812"/>
      <c r="E189" s="813">
        <v>104.1</v>
      </c>
    </row>
    <row r="190" spans="1:5">
      <c r="A190" s="812" t="s">
        <v>519</v>
      </c>
      <c r="B190" s="812" t="s">
        <v>124</v>
      </c>
      <c r="C190" s="812" t="s">
        <v>139</v>
      </c>
      <c r="D190" s="812"/>
      <c r="E190" s="813">
        <v>254.7</v>
      </c>
    </row>
    <row r="191" spans="1:5">
      <c r="A191" s="812" t="s">
        <v>519</v>
      </c>
      <c r="B191" s="812" t="s">
        <v>140</v>
      </c>
      <c r="C191" s="812" t="s">
        <v>141</v>
      </c>
      <c r="D191" s="812"/>
      <c r="E191" s="813">
        <v>305.52999999999997</v>
      </c>
    </row>
    <row r="192" spans="1:5">
      <c r="A192" s="812" t="s">
        <v>519</v>
      </c>
      <c r="B192" s="812" t="s">
        <v>95</v>
      </c>
      <c r="C192" s="812" t="s">
        <v>96</v>
      </c>
      <c r="D192" s="812"/>
      <c r="E192" s="813">
        <v>2901.41</v>
      </c>
    </row>
    <row r="193" spans="1:5">
      <c r="A193" s="812" t="s">
        <v>519</v>
      </c>
      <c r="B193" s="812" t="s">
        <v>97</v>
      </c>
      <c r="C193" s="812" t="s">
        <v>98</v>
      </c>
      <c r="D193" s="812"/>
      <c r="E193" s="813">
        <v>-2701.03</v>
      </c>
    </row>
    <row r="194" spans="1:5">
      <c r="A194" s="812" t="s">
        <v>519</v>
      </c>
      <c r="B194" s="812" t="s">
        <v>521</v>
      </c>
      <c r="C194" s="812" t="s">
        <v>522</v>
      </c>
      <c r="D194" s="812" t="s">
        <v>485</v>
      </c>
      <c r="E194" s="813">
        <v>18.05</v>
      </c>
    </row>
    <row r="195" spans="1:5">
      <c r="A195" s="812" t="s">
        <v>519</v>
      </c>
      <c r="B195" s="812" t="s">
        <v>99</v>
      </c>
      <c r="C195" s="812" t="s">
        <v>242</v>
      </c>
      <c r="D195" s="812" t="s">
        <v>504</v>
      </c>
      <c r="E195" s="813">
        <v>278.14</v>
      </c>
    </row>
    <row r="196" spans="1:5">
      <c r="A196" s="812" t="s">
        <v>519</v>
      </c>
      <c r="B196" s="812" t="s">
        <v>244</v>
      </c>
      <c r="C196" s="812" t="s">
        <v>245</v>
      </c>
      <c r="D196" s="812" t="s">
        <v>523</v>
      </c>
      <c r="E196" s="813">
        <v>125.07</v>
      </c>
    </row>
    <row r="197" spans="1:5">
      <c r="A197" s="812" t="s">
        <v>519</v>
      </c>
      <c r="B197" s="812" t="s">
        <v>107</v>
      </c>
      <c r="C197" s="812" t="s">
        <v>459</v>
      </c>
      <c r="D197" s="812" t="s">
        <v>248</v>
      </c>
      <c r="E197" s="813">
        <v>106.21</v>
      </c>
    </row>
    <row r="198" spans="1:5">
      <c r="A198" s="812" t="s">
        <v>519</v>
      </c>
      <c r="B198" s="812" t="s">
        <v>161</v>
      </c>
      <c r="C198" s="812" t="s">
        <v>499</v>
      </c>
      <c r="D198" s="812" t="s">
        <v>523</v>
      </c>
      <c r="E198" s="813">
        <v>71.709999999999994</v>
      </c>
    </row>
    <row r="199" spans="1:5">
      <c r="A199" s="812" t="s">
        <v>519</v>
      </c>
      <c r="B199" s="812"/>
      <c r="C199" s="812" t="s">
        <v>468</v>
      </c>
      <c r="D199" s="812"/>
      <c r="E199" s="813">
        <v>450</v>
      </c>
    </row>
    <row r="200" spans="1:5">
      <c r="A200" s="810" t="s">
        <v>251</v>
      </c>
      <c r="B200" s="810" t="s">
        <v>73</v>
      </c>
      <c r="C200" s="810" t="s">
        <v>74</v>
      </c>
      <c r="D200" s="810"/>
      <c r="E200" s="811">
        <v>2081.91</v>
      </c>
    </row>
    <row r="201" spans="1:5">
      <c r="A201" s="810" t="s">
        <v>251</v>
      </c>
      <c r="B201" s="810" t="s">
        <v>75</v>
      </c>
      <c r="C201" s="810" t="s">
        <v>76</v>
      </c>
      <c r="D201" s="810"/>
      <c r="E201" s="811">
        <v>2232.13</v>
      </c>
    </row>
    <row r="202" spans="1:5">
      <c r="A202" s="810" t="s">
        <v>251</v>
      </c>
      <c r="B202" s="810" t="s">
        <v>77</v>
      </c>
      <c r="C202" s="810" t="s">
        <v>78</v>
      </c>
      <c r="D202" s="810"/>
      <c r="E202" s="811">
        <v>1936.49</v>
      </c>
    </row>
    <row r="203" spans="1:5">
      <c r="A203" s="810" t="s">
        <v>251</v>
      </c>
      <c r="B203" s="810" t="s">
        <v>79</v>
      </c>
      <c r="C203" s="810" t="s">
        <v>80</v>
      </c>
      <c r="D203" s="810"/>
      <c r="E203" s="811">
        <v>436.53</v>
      </c>
    </row>
    <row r="204" spans="1:5">
      <c r="A204" s="810" t="s">
        <v>251</v>
      </c>
      <c r="B204" s="810" t="s">
        <v>130</v>
      </c>
      <c r="C204" s="810" t="s">
        <v>483</v>
      </c>
      <c r="D204" s="810" t="s">
        <v>508</v>
      </c>
      <c r="E204" s="811">
        <v>806.99</v>
      </c>
    </row>
    <row r="205" spans="1:5">
      <c r="A205" s="810" t="s">
        <v>251</v>
      </c>
      <c r="B205" s="810" t="s">
        <v>524</v>
      </c>
      <c r="C205" s="810" t="s">
        <v>525</v>
      </c>
      <c r="D205" s="810" t="s">
        <v>526</v>
      </c>
      <c r="E205" s="811">
        <v>137.36000000000001</v>
      </c>
    </row>
    <row r="206" spans="1:5">
      <c r="A206" s="810" t="s">
        <v>251</v>
      </c>
      <c r="B206" s="810" t="s">
        <v>134</v>
      </c>
      <c r="C206" s="810" t="s">
        <v>135</v>
      </c>
      <c r="D206" s="810"/>
      <c r="E206" s="811">
        <v>81.22</v>
      </c>
    </row>
    <row r="207" spans="1:5">
      <c r="A207" s="810" t="s">
        <v>251</v>
      </c>
      <c r="B207" s="810" t="s">
        <v>87</v>
      </c>
      <c r="C207" s="810" t="s">
        <v>527</v>
      </c>
      <c r="D207" s="810" t="s">
        <v>528</v>
      </c>
      <c r="E207" s="811">
        <v>5027.96</v>
      </c>
    </row>
    <row r="208" spans="1:5">
      <c r="A208" s="810" t="s">
        <v>251</v>
      </c>
      <c r="B208" s="810" t="s">
        <v>257</v>
      </c>
      <c r="C208" s="810" t="s">
        <v>529</v>
      </c>
      <c r="D208" s="810" t="s">
        <v>528</v>
      </c>
      <c r="E208" s="811">
        <v>9946.33</v>
      </c>
    </row>
    <row r="209" spans="1:5">
      <c r="A209" s="810" t="s">
        <v>251</v>
      </c>
      <c r="B209" s="810" t="s">
        <v>91</v>
      </c>
      <c r="C209" s="810" t="s">
        <v>530</v>
      </c>
      <c r="D209" s="810" t="s">
        <v>531</v>
      </c>
      <c r="E209" s="811">
        <v>2236.64</v>
      </c>
    </row>
    <row r="210" spans="1:5">
      <c r="A210" s="810" t="s">
        <v>251</v>
      </c>
      <c r="B210" s="810" t="s">
        <v>260</v>
      </c>
      <c r="C210" s="810" t="s">
        <v>532</v>
      </c>
      <c r="D210" s="810" t="s">
        <v>531</v>
      </c>
      <c r="E210" s="811">
        <v>3320.82</v>
      </c>
    </row>
    <row r="211" spans="1:5">
      <c r="A211" s="810" t="s">
        <v>251</v>
      </c>
      <c r="B211" s="810" t="s">
        <v>124</v>
      </c>
      <c r="C211" s="810" t="s">
        <v>139</v>
      </c>
      <c r="D211" s="810"/>
      <c r="E211" s="811">
        <v>204.66</v>
      </c>
    </row>
    <row r="212" spans="1:5">
      <c r="A212" s="810" t="s">
        <v>251</v>
      </c>
      <c r="B212" s="810" t="s">
        <v>140</v>
      </c>
      <c r="C212" s="810" t="s">
        <v>141</v>
      </c>
      <c r="D212" s="810"/>
      <c r="E212" s="811">
        <v>244.79</v>
      </c>
    </row>
    <row r="213" spans="1:5">
      <c r="A213" s="810" t="s">
        <v>251</v>
      </c>
      <c r="B213" s="810" t="s">
        <v>95</v>
      </c>
      <c r="C213" s="810" t="s">
        <v>96</v>
      </c>
      <c r="D213" s="810"/>
      <c r="E213" s="811">
        <v>-942.56</v>
      </c>
    </row>
    <row r="214" spans="1:5">
      <c r="A214" s="810" t="s">
        <v>251</v>
      </c>
      <c r="B214" s="810" t="s">
        <v>97</v>
      </c>
      <c r="C214" s="810" t="s">
        <v>98</v>
      </c>
      <c r="D214" s="810"/>
      <c r="E214" s="811">
        <v>-194.67</v>
      </c>
    </row>
    <row r="215" spans="1:5">
      <c r="A215" s="810" t="s">
        <v>251</v>
      </c>
      <c r="B215" s="810" t="s">
        <v>262</v>
      </c>
      <c r="C215" s="810" t="s">
        <v>509</v>
      </c>
      <c r="D215" s="810" t="s">
        <v>508</v>
      </c>
      <c r="E215" s="811">
        <v>332.66</v>
      </c>
    </row>
    <row r="216" spans="1:5">
      <c r="A216" s="810" t="s">
        <v>251</v>
      </c>
      <c r="B216" s="810" t="s">
        <v>99</v>
      </c>
      <c r="C216" s="810" t="s">
        <v>241</v>
      </c>
      <c r="D216" s="810" t="s">
        <v>531</v>
      </c>
      <c r="E216" s="811">
        <v>479.97</v>
      </c>
    </row>
    <row r="217" spans="1:5">
      <c r="A217" s="810" t="s">
        <v>251</v>
      </c>
      <c r="B217" s="810" t="s">
        <v>221</v>
      </c>
      <c r="C217" s="810" t="s">
        <v>222</v>
      </c>
      <c r="D217" s="810" t="s">
        <v>508</v>
      </c>
      <c r="E217" s="811">
        <v>594.24</v>
      </c>
    </row>
    <row r="218" spans="1:5">
      <c r="A218" s="810" t="s">
        <v>251</v>
      </c>
      <c r="B218" s="810" t="s">
        <v>223</v>
      </c>
      <c r="C218" s="810" t="s">
        <v>510</v>
      </c>
      <c r="D218" s="810" t="s">
        <v>533</v>
      </c>
      <c r="E218" s="811">
        <v>105.3</v>
      </c>
    </row>
    <row r="219" spans="1:5">
      <c r="A219" s="810" t="s">
        <v>251</v>
      </c>
      <c r="B219" s="810" t="s">
        <v>352</v>
      </c>
      <c r="C219" s="810" t="s">
        <v>534</v>
      </c>
      <c r="D219" s="810" t="s">
        <v>458</v>
      </c>
      <c r="E219" s="811">
        <v>83.13</v>
      </c>
    </row>
    <row r="220" spans="1:5">
      <c r="A220" s="810" t="s">
        <v>251</v>
      </c>
      <c r="B220" s="810" t="s">
        <v>107</v>
      </c>
      <c r="C220" s="810" t="s">
        <v>459</v>
      </c>
      <c r="D220" s="810" t="s">
        <v>495</v>
      </c>
      <c r="E220" s="811">
        <v>106.21</v>
      </c>
    </row>
    <row r="221" spans="1:5">
      <c r="A221" s="810" t="s">
        <v>251</v>
      </c>
      <c r="B221" s="810" t="s">
        <v>111</v>
      </c>
      <c r="C221" s="810" t="s">
        <v>462</v>
      </c>
      <c r="D221" s="810" t="s">
        <v>535</v>
      </c>
      <c r="E221" s="811">
        <v>144.38999999999999</v>
      </c>
    </row>
    <row r="222" spans="1:5">
      <c r="A222" s="810" t="s">
        <v>251</v>
      </c>
      <c r="B222" s="810" t="s">
        <v>113</v>
      </c>
      <c r="C222" s="810" t="s">
        <v>511</v>
      </c>
      <c r="D222" s="810" t="s">
        <v>512</v>
      </c>
      <c r="E222" s="811">
        <v>8768.8700000000008</v>
      </c>
    </row>
    <row r="223" spans="1:5">
      <c r="A223" s="810" t="s">
        <v>251</v>
      </c>
      <c r="B223" s="810" t="s">
        <v>115</v>
      </c>
      <c r="C223" s="810" t="s">
        <v>513</v>
      </c>
      <c r="D223" s="810" t="s">
        <v>512</v>
      </c>
      <c r="E223" s="811">
        <v>8978.69</v>
      </c>
    </row>
    <row r="224" spans="1:5">
      <c r="A224" s="810" t="s">
        <v>251</v>
      </c>
      <c r="B224" s="810"/>
      <c r="C224" s="810" t="s">
        <v>468</v>
      </c>
      <c r="D224" s="810"/>
      <c r="E224" s="811">
        <v>450</v>
      </c>
    </row>
    <row r="225" spans="1:5">
      <c r="A225" s="812" t="s">
        <v>269</v>
      </c>
      <c r="B225" s="812" t="s">
        <v>120</v>
      </c>
      <c r="C225" s="812" t="s">
        <v>469</v>
      </c>
      <c r="D225" s="812" t="s">
        <v>470</v>
      </c>
      <c r="E225" s="813">
        <v>165.85</v>
      </c>
    </row>
    <row r="226" spans="1:5">
      <c r="A226" s="812" t="s">
        <v>269</v>
      </c>
      <c r="B226" s="812" t="s">
        <v>81</v>
      </c>
      <c r="C226" s="812" t="s">
        <v>82</v>
      </c>
      <c r="D226" s="812"/>
      <c r="E226" s="813">
        <v>94.48</v>
      </c>
    </row>
    <row r="227" spans="1:5">
      <c r="A227" s="812" t="s">
        <v>269</v>
      </c>
      <c r="B227" s="812" t="s">
        <v>270</v>
      </c>
      <c r="C227" s="812" t="s">
        <v>271</v>
      </c>
      <c r="D227" s="812"/>
      <c r="E227" s="813">
        <v>2080.42</v>
      </c>
    </row>
    <row r="228" spans="1:5">
      <c r="A228" s="812" t="s">
        <v>269</v>
      </c>
      <c r="B228" s="812" t="s">
        <v>124</v>
      </c>
      <c r="C228" s="812" t="s">
        <v>139</v>
      </c>
      <c r="D228" s="812"/>
      <c r="E228" s="813">
        <v>90.26</v>
      </c>
    </row>
    <row r="229" spans="1:5">
      <c r="A229" s="812" t="s">
        <v>269</v>
      </c>
      <c r="B229" s="812" t="s">
        <v>140</v>
      </c>
      <c r="C229" s="812" t="s">
        <v>141</v>
      </c>
      <c r="D229" s="812" t="s">
        <v>536</v>
      </c>
      <c r="E229" s="813">
        <v>177.66</v>
      </c>
    </row>
    <row r="230" spans="1:5">
      <c r="A230" s="812" t="s">
        <v>269</v>
      </c>
      <c r="B230" s="812" t="s">
        <v>95</v>
      </c>
      <c r="C230" s="812" t="s">
        <v>96</v>
      </c>
      <c r="D230" s="812"/>
      <c r="E230" s="813">
        <v>-626</v>
      </c>
    </row>
    <row r="231" spans="1:5">
      <c r="A231" s="812" t="s">
        <v>269</v>
      </c>
      <c r="B231" s="812" t="s">
        <v>97</v>
      </c>
      <c r="C231" s="812" t="s">
        <v>98</v>
      </c>
      <c r="D231" s="812"/>
      <c r="E231" s="813">
        <v>-3000.18</v>
      </c>
    </row>
    <row r="232" spans="1:5">
      <c r="A232" s="812" t="s">
        <v>269</v>
      </c>
      <c r="B232" s="812" t="s">
        <v>152</v>
      </c>
      <c r="C232" s="812" t="s">
        <v>492</v>
      </c>
      <c r="D232" s="812" t="s">
        <v>495</v>
      </c>
      <c r="E232" s="813">
        <v>116.39</v>
      </c>
    </row>
    <row r="233" spans="1:5">
      <c r="A233" s="812" t="s">
        <v>269</v>
      </c>
      <c r="B233" s="812" t="s">
        <v>107</v>
      </c>
      <c r="C233" s="812" t="s">
        <v>459</v>
      </c>
      <c r="D233" s="812" t="s">
        <v>495</v>
      </c>
      <c r="E233" s="813">
        <v>125.24</v>
      </c>
    </row>
    <row r="234" spans="1:5">
      <c r="A234" s="812" t="s">
        <v>269</v>
      </c>
      <c r="B234" s="812" t="s">
        <v>159</v>
      </c>
      <c r="C234" s="812" t="s">
        <v>497</v>
      </c>
      <c r="D234" s="812" t="s">
        <v>498</v>
      </c>
      <c r="E234" s="813">
        <v>151.75</v>
      </c>
    </row>
    <row r="235" spans="1:5">
      <c r="A235" s="812" t="s">
        <v>269</v>
      </c>
      <c r="B235" s="812" t="s">
        <v>111</v>
      </c>
      <c r="C235" s="812" t="s">
        <v>462</v>
      </c>
      <c r="D235" s="812" t="s">
        <v>523</v>
      </c>
      <c r="E235" s="813">
        <v>88.8</v>
      </c>
    </row>
    <row r="236" spans="1:5">
      <c r="A236" s="812" t="s">
        <v>269</v>
      </c>
      <c r="B236" s="812" t="s">
        <v>274</v>
      </c>
      <c r="C236" s="812" t="s">
        <v>537</v>
      </c>
      <c r="D236" s="812" t="s">
        <v>538</v>
      </c>
      <c r="E236" s="813">
        <v>153.11000000000001</v>
      </c>
    </row>
    <row r="237" spans="1:5">
      <c r="A237" s="812" t="s">
        <v>269</v>
      </c>
      <c r="B237" s="812"/>
      <c r="C237" s="812" t="s">
        <v>468</v>
      </c>
      <c r="D237" s="812"/>
      <c r="E237" s="813">
        <v>450</v>
      </c>
    </row>
    <row r="238" spans="1:5">
      <c r="A238" s="810" t="s">
        <v>276</v>
      </c>
      <c r="B238" s="810" t="s">
        <v>120</v>
      </c>
      <c r="C238" s="810" t="s">
        <v>469</v>
      </c>
      <c r="D238" s="810" t="s">
        <v>470</v>
      </c>
      <c r="E238" s="811">
        <v>118.25</v>
      </c>
    </row>
    <row r="239" spans="1:5">
      <c r="A239" s="810" t="s">
        <v>276</v>
      </c>
      <c r="B239" s="810" t="s">
        <v>130</v>
      </c>
      <c r="C239" s="810" t="s">
        <v>483</v>
      </c>
      <c r="D239" s="810" t="s">
        <v>515</v>
      </c>
      <c r="E239" s="811">
        <v>318.61</v>
      </c>
    </row>
    <row r="240" spans="1:5">
      <c r="A240" s="810" t="s">
        <v>276</v>
      </c>
      <c r="B240" s="810" t="s">
        <v>134</v>
      </c>
      <c r="C240" s="810" t="s">
        <v>135</v>
      </c>
      <c r="D240" s="810"/>
      <c r="E240" s="811">
        <v>81.22</v>
      </c>
    </row>
    <row r="241" spans="1:5">
      <c r="A241" s="810" t="s">
        <v>276</v>
      </c>
      <c r="B241" s="810" t="s">
        <v>89</v>
      </c>
      <c r="C241" s="810" t="s">
        <v>138</v>
      </c>
      <c r="D241" s="810"/>
      <c r="E241" s="811">
        <v>1044.6199999999999</v>
      </c>
    </row>
    <row r="242" spans="1:5">
      <c r="A242" s="810" t="s">
        <v>276</v>
      </c>
      <c r="B242" s="810" t="s">
        <v>270</v>
      </c>
      <c r="C242" s="810" t="s">
        <v>271</v>
      </c>
      <c r="D242" s="810"/>
      <c r="E242" s="811">
        <v>1176.1600000000001</v>
      </c>
    </row>
    <row r="243" spans="1:5">
      <c r="A243" s="810" t="s">
        <v>276</v>
      </c>
      <c r="B243" s="810" t="s">
        <v>124</v>
      </c>
      <c r="C243" s="810" t="s">
        <v>139</v>
      </c>
      <c r="D243" s="810"/>
      <c r="E243" s="811">
        <v>230.3</v>
      </c>
    </row>
    <row r="244" spans="1:5">
      <c r="A244" s="810" t="s">
        <v>276</v>
      </c>
      <c r="B244" s="810" t="s">
        <v>140</v>
      </c>
      <c r="C244" s="810" t="s">
        <v>141</v>
      </c>
      <c r="D244" s="810"/>
      <c r="E244" s="811">
        <v>122.49</v>
      </c>
    </row>
    <row r="245" spans="1:5">
      <c r="A245" s="810" t="s">
        <v>276</v>
      </c>
      <c r="B245" s="810" t="s">
        <v>95</v>
      </c>
      <c r="C245" s="810" t="s">
        <v>96</v>
      </c>
      <c r="D245" s="810"/>
      <c r="E245" s="811">
        <v>2293.58</v>
      </c>
    </row>
    <row r="246" spans="1:5">
      <c r="A246" s="810" t="s">
        <v>276</v>
      </c>
      <c r="B246" s="810" t="s">
        <v>97</v>
      </c>
      <c r="C246" s="810" t="s">
        <v>98</v>
      </c>
      <c r="D246" s="810"/>
      <c r="E246" s="811">
        <v>1687.88</v>
      </c>
    </row>
    <row r="247" spans="1:5">
      <c r="A247" s="810" t="s">
        <v>276</v>
      </c>
      <c r="B247" s="810" t="s">
        <v>152</v>
      </c>
      <c r="C247" s="810" t="s">
        <v>492</v>
      </c>
      <c r="D247" s="810" t="s">
        <v>495</v>
      </c>
      <c r="E247" s="811">
        <v>83.71</v>
      </c>
    </row>
    <row r="248" spans="1:5">
      <c r="A248" s="810" t="s">
        <v>276</v>
      </c>
      <c r="B248" s="810" t="s">
        <v>539</v>
      </c>
      <c r="C248" s="810" t="s">
        <v>540</v>
      </c>
      <c r="D248" s="810" t="s">
        <v>541</v>
      </c>
      <c r="E248" s="811">
        <v>101.93</v>
      </c>
    </row>
    <row r="249" spans="1:5">
      <c r="A249" s="810" t="s">
        <v>276</v>
      </c>
      <c r="B249" s="810" t="s">
        <v>159</v>
      </c>
      <c r="C249" s="810" t="s">
        <v>497</v>
      </c>
      <c r="D249" s="810" t="s">
        <v>498</v>
      </c>
      <c r="E249" s="811">
        <v>97.75</v>
      </c>
    </row>
    <row r="250" spans="1:5">
      <c r="A250" s="810" t="s">
        <v>276</v>
      </c>
      <c r="B250" s="810" t="s">
        <v>111</v>
      </c>
      <c r="C250" s="810" t="s">
        <v>462</v>
      </c>
      <c r="D250" s="810" t="s">
        <v>542</v>
      </c>
      <c r="E250" s="811">
        <v>106.67</v>
      </c>
    </row>
    <row r="251" spans="1:5">
      <c r="A251" s="810" t="s">
        <v>276</v>
      </c>
      <c r="B251" s="810" t="s">
        <v>274</v>
      </c>
      <c r="C251" s="810" t="s">
        <v>537</v>
      </c>
      <c r="D251" s="810" t="s">
        <v>543</v>
      </c>
      <c r="E251" s="811">
        <v>101.93</v>
      </c>
    </row>
    <row r="252" spans="1:5">
      <c r="A252" s="810" t="s">
        <v>276</v>
      </c>
      <c r="B252" s="810"/>
      <c r="C252" s="810" t="s">
        <v>468</v>
      </c>
      <c r="D252" s="810"/>
      <c r="E252" s="811">
        <v>450</v>
      </c>
    </row>
    <row r="253" spans="1:5">
      <c r="A253" s="812" t="s">
        <v>283</v>
      </c>
      <c r="B253" s="812" t="s">
        <v>284</v>
      </c>
      <c r="C253" s="812" t="s">
        <v>340</v>
      </c>
      <c r="D253" s="812" t="s">
        <v>515</v>
      </c>
      <c r="E253" s="813">
        <v>131.91999999999999</v>
      </c>
    </row>
    <row r="254" spans="1:5">
      <c r="A254" s="812" t="s">
        <v>283</v>
      </c>
      <c r="B254" s="812" t="s">
        <v>191</v>
      </c>
      <c r="C254" s="812" t="s">
        <v>544</v>
      </c>
      <c r="D254" s="812" t="s">
        <v>470</v>
      </c>
      <c r="E254" s="813">
        <v>142.47</v>
      </c>
    </row>
    <row r="255" spans="1:5">
      <c r="A255" s="812" t="s">
        <v>283</v>
      </c>
      <c r="B255" s="812" t="s">
        <v>186</v>
      </c>
      <c r="C255" s="812" t="s">
        <v>484</v>
      </c>
      <c r="D255" s="812" t="s">
        <v>485</v>
      </c>
      <c r="E255" s="813">
        <v>128.52000000000001</v>
      </c>
    </row>
    <row r="256" spans="1:5">
      <c r="A256" s="812" t="s">
        <v>283</v>
      </c>
      <c r="B256" s="812" t="s">
        <v>81</v>
      </c>
      <c r="C256" s="812" t="s">
        <v>82</v>
      </c>
      <c r="D256" s="812"/>
      <c r="E256" s="813">
        <v>131.06</v>
      </c>
    </row>
    <row r="257" spans="1:5">
      <c r="A257" s="812" t="s">
        <v>283</v>
      </c>
      <c r="B257" s="812" t="s">
        <v>134</v>
      </c>
      <c r="C257" s="812" t="s">
        <v>135</v>
      </c>
      <c r="D257" s="812"/>
      <c r="E257" s="813">
        <v>101.53</v>
      </c>
    </row>
    <row r="258" spans="1:5">
      <c r="A258" s="812" t="s">
        <v>283</v>
      </c>
      <c r="B258" s="812" t="s">
        <v>124</v>
      </c>
      <c r="C258" s="812" t="s">
        <v>139</v>
      </c>
      <c r="D258" s="812"/>
      <c r="E258" s="813">
        <v>11.44</v>
      </c>
    </row>
    <row r="259" spans="1:5">
      <c r="A259" s="812" t="s">
        <v>283</v>
      </c>
      <c r="B259" s="812" t="s">
        <v>140</v>
      </c>
      <c r="C259" s="812" t="s">
        <v>141</v>
      </c>
      <c r="D259" s="812" t="s">
        <v>536</v>
      </c>
      <c r="E259" s="813">
        <v>62.16</v>
      </c>
    </row>
    <row r="260" spans="1:5">
      <c r="A260" s="812" t="s">
        <v>283</v>
      </c>
      <c r="B260" s="812" t="s">
        <v>95</v>
      </c>
      <c r="C260" s="812" t="s">
        <v>96</v>
      </c>
      <c r="D260" s="812"/>
      <c r="E260" s="813">
        <v>-69.22</v>
      </c>
    </row>
    <row r="261" spans="1:5">
      <c r="A261" s="812" t="s">
        <v>283</v>
      </c>
      <c r="B261" s="812" t="s">
        <v>97</v>
      </c>
      <c r="C261" s="812" t="s">
        <v>98</v>
      </c>
      <c r="D261" s="812"/>
      <c r="E261" s="813">
        <v>-47.62</v>
      </c>
    </row>
    <row r="262" spans="1:5">
      <c r="A262" s="812" t="s">
        <v>283</v>
      </c>
      <c r="B262" s="812" t="s">
        <v>111</v>
      </c>
      <c r="C262" s="812" t="s">
        <v>462</v>
      </c>
      <c r="D262" s="812" t="s">
        <v>545</v>
      </c>
      <c r="E262" s="813">
        <v>119.3</v>
      </c>
    </row>
    <row r="263" spans="1:5">
      <c r="A263" s="812" t="s">
        <v>283</v>
      </c>
      <c r="B263" s="812"/>
      <c r="C263" s="812" t="s">
        <v>468</v>
      </c>
      <c r="D263" s="812"/>
      <c r="E263" s="813">
        <v>450</v>
      </c>
    </row>
    <row r="264" spans="1:5">
      <c r="A264" s="810" t="s">
        <v>286</v>
      </c>
      <c r="B264" s="810" t="s">
        <v>287</v>
      </c>
      <c r="C264" s="810" t="s">
        <v>288</v>
      </c>
      <c r="D264" s="810"/>
      <c r="E264" s="811">
        <v>883.48</v>
      </c>
    </row>
    <row r="265" spans="1:5">
      <c r="A265" s="810" t="s">
        <v>286</v>
      </c>
      <c r="B265" s="810" t="s">
        <v>73</v>
      </c>
      <c r="C265" s="810" t="s">
        <v>74</v>
      </c>
      <c r="D265" s="810"/>
      <c r="E265" s="811">
        <v>2026.44</v>
      </c>
    </row>
    <row r="266" spans="1:5">
      <c r="A266" s="810" t="s">
        <v>286</v>
      </c>
      <c r="B266" s="810" t="s">
        <v>75</v>
      </c>
      <c r="C266" s="810" t="s">
        <v>76</v>
      </c>
      <c r="D266" s="810"/>
      <c r="E266" s="811">
        <v>1904.56</v>
      </c>
    </row>
    <row r="267" spans="1:5">
      <c r="A267" s="810" t="s">
        <v>286</v>
      </c>
      <c r="B267" s="810" t="s">
        <v>77</v>
      </c>
      <c r="C267" s="810" t="s">
        <v>78</v>
      </c>
      <c r="D267" s="810"/>
      <c r="E267" s="811">
        <v>1504.25</v>
      </c>
    </row>
    <row r="268" spans="1:5">
      <c r="A268" s="810" t="s">
        <v>286</v>
      </c>
      <c r="B268" s="810" t="s">
        <v>120</v>
      </c>
      <c r="C268" s="810" t="s">
        <v>469</v>
      </c>
      <c r="D268" s="810" t="s">
        <v>546</v>
      </c>
      <c r="E268" s="811">
        <v>55.25</v>
      </c>
    </row>
    <row r="269" spans="1:5">
      <c r="A269" s="810" t="s">
        <v>286</v>
      </c>
      <c r="B269" s="810" t="s">
        <v>81</v>
      </c>
      <c r="C269" s="810" t="s">
        <v>82</v>
      </c>
      <c r="D269" s="810"/>
      <c r="E269" s="811">
        <v>131.06</v>
      </c>
    </row>
    <row r="270" spans="1:5">
      <c r="A270" s="810" t="s">
        <v>286</v>
      </c>
      <c r="B270" s="810" t="s">
        <v>83</v>
      </c>
      <c r="C270" s="810" t="s">
        <v>331</v>
      </c>
      <c r="D270" s="810" t="s">
        <v>486</v>
      </c>
      <c r="E270" s="811">
        <v>5641.74</v>
      </c>
    </row>
    <row r="271" spans="1:5">
      <c r="A271" s="810" t="s">
        <v>286</v>
      </c>
      <c r="B271" s="810" t="s">
        <v>87</v>
      </c>
      <c r="C271" s="810" t="s">
        <v>527</v>
      </c>
      <c r="D271" s="810" t="s">
        <v>528</v>
      </c>
      <c r="E271" s="811">
        <v>8975.49</v>
      </c>
    </row>
    <row r="272" spans="1:5">
      <c r="A272" s="810" t="s">
        <v>286</v>
      </c>
      <c r="B272" s="810" t="s">
        <v>257</v>
      </c>
      <c r="C272" s="810" t="s">
        <v>529</v>
      </c>
      <c r="D272" s="810" t="s">
        <v>528</v>
      </c>
      <c r="E272" s="811">
        <v>11118.06</v>
      </c>
    </row>
    <row r="273" spans="1:5">
      <c r="A273" s="810" t="s">
        <v>286</v>
      </c>
      <c r="B273" s="810" t="s">
        <v>89</v>
      </c>
      <c r="C273" s="810" t="s">
        <v>138</v>
      </c>
      <c r="D273" s="810" t="s">
        <v>531</v>
      </c>
      <c r="E273" s="811">
        <v>1285.95</v>
      </c>
    </row>
    <row r="274" spans="1:5">
      <c r="A274" s="810" t="s">
        <v>286</v>
      </c>
      <c r="B274" s="810" t="s">
        <v>91</v>
      </c>
      <c r="C274" s="810" t="s">
        <v>363</v>
      </c>
      <c r="D274" s="810" t="s">
        <v>531</v>
      </c>
      <c r="E274" s="811">
        <v>2254.9699999999998</v>
      </c>
    </row>
    <row r="275" spans="1:5">
      <c r="A275" s="810" t="s">
        <v>286</v>
      </c>
      <c r="B275" s="810" t="s">
        <v>260</v>
      </c>
      <c r="C275" s="810" t="s">
        <v>364</v>
      </c>
      <c r="D275" s="810" t="s">
        <v>531</v>
      </c>
      <c r="E275" s="811">
        <v>2646.9</v>
      </c>
    </row>
    <row r="276" spans="1:5">
      <c r="A276" s="810" t="s">
        <v>286</v>
      </c>
      <c r="B276" s="810" t="s">
        <v>124</v>
      </c>
      <c r="C276" s="810" t="s">
        <v>139</v>
      </c>
      <c r="D276" s="810"/>
      <c r="E276" s="811">
        <v>58.29</v>
      </c>
    </row>
    <row r="277" spans="1:5">
      <c r="A277" s="810" t="s">
        <v>286</v>
      </c>
      <c r="B277" s="810" t="s">
        <v>140</v>
      </c>
      <c r="C277" s="810" t="s">
        <v>141</v>
      </c>
      <c r="D277" s="810"/>
      <c r="E277" s="811">
        <v>58.29</v>
      </c>
    </row>
    <row r="278" spans="1:5">
      <c r="A278" s="810" t="s">
        <v>286</v>
      </c>
      <c r="B278" s="810" t="s">
        <v>142</v>
      </c>
      <c r="C278" s="810" t="s">
        <v>143</v>
      </c>
      <c r="D278" s="810"/>
      <c r="E278" s="811">
        <v>58.29</v>
      </c>
    </row>
    <row r="279" spans="1:5">
      <c r="A279" s="810" t="s">
        <v>286</v>
      </c>
      <c r="B279" s="810" t="s">
        <v>294</v>
      </c>
      <c r="C279" s="810" t="s">
        <v>547</v>
      </c>
      <c r="D279" s="810" t="s">
        <v>528</v>
      </c>
      <c r="E279" s="811">
        <v>6283.02</v>
      </c>
    </row>
    <row r="280" spans="1:5">
      <c r="A280" s="810" t="s">
        <v>286</v>
      </c>
      <c r="B280" s="810" t="s">
        <v>296</v>
      </c>
      <c r="C280" s="810" t="s">
        <v>548</v>
      </c>
      <c r="D280" s="810" t="s">
        <v>528</v>
      </c>
      <c r="E280" s="811">
        <v>8321.44</v>
      </c>
    </row>
    <row r="281" spans="1:5">
      <c r="A281" s="810" t="s">
        <v>286</v>
      </c>
      <c r="B281" s="810" t="s">
        <v>95</v>
      </c>
      <c r="C281" s="810" t="s">
        <v>96</v>
      </c>
      <c r="D281" s="810"/>
      <c r="E281" s="811">
        <v>1101.75</v>
      </c>
    </row>
    <row r="282" spans="1:5">
      <c r="A282" s="810" t="s">
        <v>286</v>
      </c>
      <c r="B282" s="810" t="s">
        <v>97</v>
      </c>
      <c r="C282" s="810" t="s">
        <v>98</v>
      </c>
      <c r="D282" s="810"/>
      <c r="E282" s="811">
        <v>360.01</v>
      </c>
    </row>
    <row r="283" spans="1:5">
      <c r="A283" s="810" t="s">
        <v>286</v>
      </c>
      <c r="B283" s="810" t="s">
        <v>99</v>
      </c>
      <c r="C283" s="810" t="s">
        <v>241</v>
      </c>
      <c r="D283" s="810" t="s">
        <v>504</v>
      </c>
      <c r="E283" s="811">
        <v>308.93</v>
      </c>
    </row>
    <row r="284" spans="1:5">
      <c r="A284" s="810" t="s">
        <v>286</v>
      </c>
      <c r="B284" s="810" t="s">
        <v>200</v>
      </c>
      <c r="C284" s="810" t="s">
        <v>242</v>
      </c>
      <c r="D284" s="810" t="s">
        <v>504</v>
      </c>
      <c r="E284" s="811">
        <v>308.93</v>
      </c>
    </row>
    <row r="285" spans="1:5">
      <c r="A285" s="810" t="s">
        <v>286</v>
      </c>
      <c r="B285" s="810" t="s">
        <v>107</v>
      </c>
      <c r="C285" s="810" t="s">
        <v>459</v>
      </c>
      <c r="D285" s="810" t="s">
        <v>505</v>
      </c>
      <c r="E285" s="811">
        <v>90.47</v>
      </c>
    </row>
    <row r="286" spans="1:5">
      <c r="A286" s="810" t="s">
        <v>286</v>
      </c>
      <c r="B286" s="810" t="s">
        <v>298</v>
      </c>
      <c r="C286" s="810" t="s">
        <v>549</v>
      </c>
      <c r="D286" s="810" t="s">
        <v>523</v>
      </c>
      <c r="E286" s="811">
        <v>90.61</v>
      </c>
    </row>
    <row r="287" spans="1:5">
      <c r="A287" s="810" t="s">
        <v>286</v>
      </c>
      <c r="B287" s="810" t="s">
        <v>111</v>
      </c>
      <c r="C287" s="810" t="s">
        <v>462</v>
      </c>
      <c r="D287" s="810" t="s">
        <v>498</v>
      </c>
      <c r="E287" s="811">
        <v>107.57</v>
      </c>
    </row>
    <row r="288" spans="1:5">
      <c r="A288" s="810" t="s">
        <v>286</v>
      </c>
      <c r="B288" s="810" t="s">
        <v>113</v>
      </c>
      <c r="C288" s="810" t="s">
        <v>501</v>
      </c>
      <c r="D288" s="810" t="s">
        <v>465</v>
      </c>
      <c r="E288" s="811">
        <v>9216.23</v>
      </c>
    </row>
    <row r="289" spans="1:5">
      <c r="A289" s="810" t="s">
        <v>286</v>
      </c>
      <c r="B289" s="810" t="s">
        <v>166</v>
      </c>
      <c r="C289" s="810" t="s">
        <v>167</v>
      </c>
      <c r="D289" s="810"/>
      <c r="E289" s="811">
        <v>5221.8900000000003</v>
      </c>
    </row>
    <row r="290" spans="1:5">
      <c r="A290" s="810" t="s">
        <v>286</v>
      </c>
      <c r="B290" s="810" t="s">
        <v>168</v>
      </c>
      <c r="C290" s="810" t="s">
        <v>169</v>
      </c>
      <c r="D290" s="810"/>
      <c r="E290" s="811">
        <v>6164.67</v>
      </c>
    </row>
    <row r="291" spans="1:5">
      <c r="A291" s="810" t="s">
        <v>286</v>
      </c>
      <c r="B291" s="810"/>
      <c r="C291" s="810" t="s">
        <v>468</v>
      </c>
      <c r="D291" s="810"/>
      <c r="E291" s="811">
        <v>450</v>
      </c>
    </row>
    <row r="292" spans="1:5">
      <c r="A292" s="812" t="s">
        <v>301</v>
      </c>
      <c r="B292" s="812" t="s">
        <v>73</v>
      </c>
      <c r="C292" s="812" t="s">
        <v>74</v>
      </c>
      <c r="D292" s="812"/>
      <c r="E292" s="813">
        <v>2917.03</v>
      </c>
    </row>
    <row r="293" spans="1:5">
      <c r="A293" s="812" t="s">
        <v>301</v>
      </c>
      <c r="B293" s="812" t="s">
        <v>75</v>
      </c>
      <c r="C293" s="812" t="s">
        <v>76</v>
      </c>
      <c r="D293" s="812"/>
      <c r="E293" s="813">
        <v>3551.15</v>
      </c>
    </row>
    <row r="294" spans="1:5">
      <c r="A294" s="812" t="s">
        <v>301</v>
      </c>
      <c r="B294" s="812" t="s">
        <v>77</v>
      </c>
      <c r="C294" s="812" t="s">
        <v>78</v>
      </c>
      <c r="D294" s="812"/>
      <c r="E294" s="813">
        <v>2885.78</v>
      </c>
    </row>
    <row r="295" spans="1:5">
      <c r="A295" s="812" t="s">
        <v>301</v>
      </c>
      <c r="B295" s="812" t="s">
        <v>128</v>
      </c>
      <c r="C295" s="812" t="s">
        <v>481</v>
      </c>
      <c r="D295" s="812" t="s">
        <v>550</v>
      </c>
      <c r="E295" s="813">
        <v>389.67</v>
      </c>
    </row>
    <row r="296" spans="1:5">
      <c r="A296" s="812" t="s">
        <v>301</v>
      </c>
      <c r="B296" s="812" t="s">
        <v>120</v>
      </c>
      <c r="C296" s="812" t="s">
        <v>469</v>
      </c>
      <c r="D296" s="812" t="s">
        <v>470</v>
      </c>
      <c r="E296" s="813">
        <v>52.46</v>
      </c>
    </row>
    <row r="297" spans="1:5">
      <c r="A297" s="812" t="s">
        <v>301</v>
      </c>
      <c r="B297" s="812" t="s">
        <v>130</v>
      </c>
      <c r="C297" s="812" t="s">
        <v>483</v>
      </c>
      <c r="D297" s="812" t="s">
        <v>515</v>
      </c>
      <c r="E297" s="813">
        <v>70.39</v>
      </c>
    </row>
    <row r="298" spans="1:5">
      <c r="A298" s="812" t="s">
        <v>301</v>
      </c>
      <c r="B298" s="812" t="s">
        <v>81</v>
      </c>
      <c r="C298" s="812" t="s">
        <v>82</v>
      </c>
      <c r="D298" s="812"/>
      <c r="E298" s="813">
        <v>101.53</v>
      </c>
    </row>
    <row r="299" spans="1:5">
      <c r="A299" s="812" t="s">
        <v>301</v>
      </c>
      <c r="B299" s="812" t="s">
        <v>83</v>
      </c>
      <c r="C299" s="812" t="s">
        <v>331</v>
      </c>
      <c r="D299" s="812" t="s">
        <v>486</v>
      </c>
      <c r="E299" s="813">
        <v>6000.46</v>
      </c>
    </row>
    <row r="300" spans="1:5">
      <c r="A300" s="812" t="s">
        <v>301</v>
      </c>
      <c r="B300" s="812" t="s">
        <v>85</v>
      </c>
      <c r="C300" s="812" t="s">
        <v>331</v>
      </c>
      <c r="D300" s="812" t="s">
        <v>487</v>
      </c>
      <c r="E300" s="813">
        <v>8050.85</v>
      </c>
    </row>
    <row r="301" spans="1:5">
      <c r="A301" s="812" t="s">
        <v>301</v>
      </c>
      <c r="B301" s="812" t="s">
        <v>278</v>
      </c>
      <c r="C301" s="812" t="s">
        <v>551</v>
      </c>
      <c r="D301" s="812" t="s">
        <v>486</v>
      </c>
      <c r="E301" s="813">
        <v>12313.37</v>
      </c>
    </row>
    <row r="302" spans="1:5">
      <c r="A302" s="812" t="s">
        <v>301</v>
      </c>
      <c r="B302" s="812" t="s">
        <v>89</v>
      </c>
      <c r="C302" s="812" t="s">
        <v>138</v>
      </c>
      <c r="D302" s="812"/>
      <c r="E302" s="813">
        <v>1761.81</v>
      </c>
    </row>
    <row r="303" spans="1:5">
      <c r="A303" s="812" t="s">
        <v>301</v>
      </c>
      <c r="B303" s="812" t="s">
        <v>93</v>
      </c>
      <c r="C303" s="812" t="s">
        <v>138</v>
      </c>
      <c r="D303" s="812" t="s">
        <v>456</v>
      </c>
      <c r="E303" s="813">
        <v>3817.21</v>
      </c>
    </row>
    <row r="304" spans="1:5">
      <c r="A304" s="812" t="s">
        <v>301</v>
      </c>
      <c r="B304" s="812" t="s">
        <v>270</v>
      </c>
      <c r="C304" s="812" t="s">
        <v>271</v>
      </c>
      <c r="D304" s="812"/>
      <c r="E304" s="813">
        <v>3144.25</v>
      </c>
    </row>
    <row r="305" spans="1:5">
      <c r="A305" s="812" t="s">
        <v>301</v>
      </c>
      <c r="B305" s="812" t="s">
        <v>124</v>
      </c>
      <c r="C305" s="812" t="s">
        <v>139</v>
      </c>
      <c r="D305" s="812"/>
      <c r="E305" s="813">
        <v>18.260000000000002</v>
      </c>
    </row>
    <row r="306" spans="1:5">
      <c r="A306" s="812" t="s">
        <v>301</v>
      </c>
      <c r="B306" s="812" t="s">
        <v>140</v>
      </c>
      <c r="C306" s="812" t="s">
        <v>141</v>
      </c>
      <c r="D306" s="812"/>
      <c r="E306" s="813">
        <v>60.8</v>
      </c>
    </row>
    <row r="307" spans="1:5">
      <c r="A307" s="812" t="s">
        <v>301</v>
      </c>
      <c r="B307" s="812" t="s">
        <v>142</v>
      </c>
      <c r="C307" s="812" t="s">
        <v>143</v>
      </c>
      <c r="D307" s="812"/>
      <c r="E307" s="813">
        <v>18.260000000000002</v>
      </c>
    </row>
    <row r="308" spans="1:5">
      <c r="A308" s="812" t="s">
        <v>301</v>
      </c>
      <c r="B308" s="812" t="s">
        <v>303</v>
      </c>
      <c r="C308" s="812" t="s">
        <v>304</v>
      </c>
      <c r="D308" s="812"/>
      <c r="E308" s="813">
        <v>8424.4</v>
      </c>
    </row>
    <row r="309" spans="1:5">
      <c r="A309" s="812" t="s">
        <v>301</v>
      </c>
      <c r="B309" s="812" t="s">
        <v>95</v>
      </c>
      <c r="C309" s="812" t="s">
        <v>96</v>
      </c>
      <c r="D309" s="812"/>
      <c r="E309" s="813">
        <v>1087.74</v>
      </c>
    </row>
    <row r="310" spans="1:5">
      <c r="A310" s="812" t="s">
        <v>301</v>
      </c>
      <c r="B310" s="812" t="s">
        <v>97</v>
      </c>
      <c r="C310" s="812" t="s">
        <v>98</v>
      </c>
      <c r="D310" s="812"/>
      <c r="E310" s="813">
        <v>-2217.13</v>
      </c>
    </row>
    <row r="311" spans="1:5">
      <c r="A311" s="812" t="s">
        <v>301</v>
      </c>
      <c r="B311" s="812" t="s">
        <v>99</v>
      </c>
      <c r="C311" s="812" t="s">
        <v>552</v>
      </c>
      <c r="D311" s="812" t="s">
        <v>531</v>
      </c>
      <c r="E311" s="813">
        <v>876.59</v>
      </c>
    </row>
    <row r="312" spans="1:5">
      <c r="A312" s="812" t="s">
        <v>301</v>
      </c>
      <c r="B312" s="812" t="s">
        <v>200</v>
      </c>
      <c r="C312" s="812" t="s">
        <v>553</v>
      </c>
      <c r="D312" s="812" t="s">
        <v>531</v>
      </c>
      <c r="E312" s="813">
        <v>855.67</v>
      </c>
    </row>
    <row r="313" spans="1:5">
      <c r="A313" s="812" t="s">
        <v>301</v>
      </c>
      <c r="B313" s="812" t="s">
        <v>309</v>
      </c>
      <c r="C313" s="812" t="s">
        <v>554</v>
      </c>
      <c r="D313" s="812" t="s">
        <v>555</v>
      </c>
      <c r="E313" s="813">
        <v>160.71</v>
      </c>
    </row>
    <row r="314" spans="1:5">
      <c r="A314" s="812" t="s">
        <v>301</v>
      </c>
      <c r="B314" s="812" t="s">
        <v>101</v>
      </c>
      <c r="C314" s="812" t="s">
        <v>148</v>
      </c>
      <c r="D314" s="812" t="s">
        <v>556</v>
      </c>
      <c r="E314" s="813">
        <v>2916.95</v>
      </c>
    </row>
    <row r="315" spans="1:5">
      <c r="A315" s="812" t="s">
        <v>301</v>
      </c>
      <c r="B315" s="812" t="s">
        <v>312</v>
      </c>
      <c r="C315" s="812" t="s">
        <v>557</v>
      </c>
      <c r="D315" s="812" t="s">
        <v>558</v>
      </c>
      <c r="E315" s="813">
        <v>3066.34</v>
      </c>
    </row>
    <row r="316" spans="1:5">
      <c r="A316" s="812" t="s">
        <v>301</v>
      </c>
      <c r="B316" s="812" t="s">
        <v>314</v>
      </c>
      <c r="C316" s="812" t="s">
        <v>559</v>
      </c>
      <c r="D316" s="812" t="s">
        <v>558</v>
      </c>
      <c r="E316" s="813">
        <v>11086.7</v>
      </c>
    </row>
    <row r="317" spans="1:5">
      <c r="A317" s="812" t="s">
        <v>301</v>
      </c>
      <c r="B317" s="812" t="s">
        <v>103</v>
      </c>
      <c r="C317" s="812" t="s">
        <v>149</v>
      </c>
      <c r="D317" s="812" t="s">
        <v>556</v>
      </c>
      <c r="E317" s="813">
        <v>11189.88</v>
      </c>
    </row>
    <row r="318" spans="1:5">
      <c r="A318" s="812" t="s">
        <v>301</v>
      </c>
      <c r="B318" s="812" t="s">
        <v>107</v>
      </c>
      <c r="C318" s="812" t="s">
        <v>459</v>
      </c>
      <c r="D318" s="812" t="s">
        <v>495</v>
      </c>
      <c r="E318" s="813">
        <v>85.3</v>
      </c>
    </row>
    <row r="319" spans="1:5">
      <c r="A319" s="812" t="s">
        <v>301</v>
      </c>
      <c r="B319" s="812" t="s">
        <v>298</v>
      </c>
      <c r="C319" s="812" t="s">
        <v>549</v>
      </c>
      <c r="D319" s="812" t="s">
        <v>458</v>
      </c>
      <c r="E319" s="813">
        <v>65.05</v>
      </c>
    </row>
    <row r="320" spans="1:5">
      <c r="A320" s="812" t="s">
        <v>301</v>
      </c>
      <c r="B320" s="812" t="s">
        <v>111</v>
      </c>
      <c r="C320" s="812" t="s">
        <v>462</v>
      </c>
      <c r="D320" s="812" t="s">
        <v>498</v>
      </c>
      <c r="E320" s="813">
        <v>100.76</v>
      </c>
    </row>
    <row r="321" spans="1:5">
      <c r="A321" s="812" t="s">
        <v>301</v>
      </c>
      <c r="B321" s="812" t="s">
        <v>319</v>
      </c>
      <c r="C321" s="812" t="s">
        <v>560</v>
      </c>
      <c r="D321" s="812" t="s">
        <v>458</v>
      </c>
      <c r="E321" s="813">
        <v>72.67</v>
      </c>
    </row>
    <row r="322" spans="1:5">
      <c r="A322" s="812" t="s">
        <v>301</v>
      </c>
      <c r="B322" s="812" t="s">
        <v>113</v>
      </c>
      <c r="C322" s="812" t="s">
        <v>501</v>
      </c>
      <c r="D322" s="812" t="s">
        <v>465</v>
      </c>
      <c r="E322" s="813">
        <v>11700.14</v>
      </c>
    </row>
    <row r="323" spans="1:5">
      <c r="A323" s="812" t="s">
        <v>301</v>
      </c>
      <c r="B323" s="812" t="s">
        <v>115</v>
      </c>
      <c r="C323" s="812" t="s">
        <v>502</v>
      </c>
      <c r="D323" s="812" t="s">
        <v>465</v>
      </c>
      <c r="E323" s="813">
        <v>12058.69</v>
      </c>
    </row>
    <row r="324" spans="1:5">
      <c r="A324" s="812" t="s">
        <v>301</v>
      </c>
      <c r="B324" s="812" t="s">
        <v>166</v>
      </c>
      <c r="C324" s="812" t="s">
        <v>167</v>
      </c>
      <c r="D324" s="812"/>
      <c r="E324" s="813">
        <v>8549.39</v>
      </c>
    </row>
    <row r="325" spans="1:5">
      <c r="A325" s="812" t="s">
        <v>301</v>
      </c>
      <c r="B325" s="812" t="s">
        <v>168</v>
      </c>
      <c r="C325" s="812" t="s">
        <v>169</v>
      </c>
      <c r="D325" s="812"/>
      <c r="E325" s="813">
        <v>8549.39</v>
      </c>
    </row>
    <row r="326" spans="1:5">
      <c r="A326" s="812" t="s">
        <v>301</v>
      </c>
      <c r="B326" s="812"/>
      <c r="C326" s="812" t="s">
        <v>468</v>
      </c>
      <c r="D326" s="812"/>
      <c r="E326" s="813">
        <v>450</v>
      </c>
    </row>
    <row r="327" spans="1:5">
      <c r="A327" s="810" t="s">
        <v>322</v>
      </c>
      <c r="B327" s="810" t="s">
        <v>73</v>
      </c>
      <c r="C327" s="810" t="s">
        <v>74</v>
      </c>
      <c r="D327" s="810"/>
      <c r="E327" s="811">
        <v>2477.7199999999998</v>
      </c>
    </row>
    <row r="328" spans="1:5">
      <c r="A328" s="810" t="s">
        <v>322</v>
      </c>
      <c r="B328" s="810" t="s">
        <v>75</v>
      </c>
      <c r="C328" s="810" t="s">
        <v>76</v>
      </c>
      <c r="D328" s="810"/>
      <c r="E328" s="811">
        <v>2906.28</v>
      </c>
    </row>
    <row r="329" spans="1:5">
      <c r="A329" s="810" t="s">
        <v>322</v>
      </c>
      <c r="B329" s="810" t="s">
        <v>77</v>
      </c>
      <c r="C329" s="810" t="s">
        <v>78</v>
      </c>
      <c r="D329" s="810"/>
      <c r="E329" s="811">
        <v>2711.21</v>
      </c>
    </row>
    <row r="330" spans="1:5">
      <c r="A330" s="810" t="s">
        <v>322</v>
      </c>
      <c r="B330" s="810" t="s">
        <v>79</v>
      </c>
      <c r="C330" s="810" t="s">
        <v>80</v>
      </c>
      <c r="D330" s="810"/>
      <c r="E330" s="811">
        <v>485.1</v>
      </c>
    </row>
    <row r="331" spans="1:5">
      <c r="A331" s="810" t="s">
        <v>322</v>
      </c>
      <c r="B331" s="810" t="s">
        <v>120</v>
      </c>
      <c r="C331" s="810" t="s">
        <v>469</v>
      </c>
      <c r="D331" s="810" t="s">
        <v>470</v>
      </c>
      <c r="E331" s="811">
        <v>193.27</v>
      </c>
    </row>
    <row r="332" spans="1:5">
      <c r="A332" s="810" t="s">
        <v>322</v>
      </c>
      <c r="B332" s="810" t="s">
        <v>130</v>
      </c>
      <c r="C332" s="810" t="s">
        <v>483</v>
      </c>
      <c r="D332" s="810" t="s">
        <v>561</v>
      </c>
      <c r="E332" s="811">
        <v>96.62</v>
      </c>
    </row>
    <row r="333" spans="1:5">
      <c r="A333" s="810" t="s">
        <v>322</v>
      </c>
      <c r="B333" s="810" t="s">
        <v>81</v>
      </c>
      <c r="C333" s="810" t="s">
        <v>82</v>
      </c>
      <c r="D333" s="810"/>
      <c r="E333" s="811">
        <v>151.35</v>
      </c>
    </row>
    <row r="334" spans="1:5">
      <c r="A334" s="810" t="s">
        <v>322</v>
      </c>
      <c r="B334" s="810" t="s">
        <v>134</v>
      </c>
      <c r="C334" s="810" t="s">
        <v>135</v>
      </c>
      <c r="D334" s="810"/>
      <c r="E334" s="811">
        <v>101.53</v>
      </c>
    </row>
    <row r="335" spans="1:5">
      <c r="A335" s="810" t="s">
        <v>322</v>
      </c>
      <c r="B335" s="810" t="s">
        <v>83</v>
      </c>
      <c r="C335" s="810" t="s">
        <v>331</v>
      </c>
      <c r="D335" s="810" t="s">
        <v>486</v>
      </c>
      <c r="E335" s="811">
        <v>1797.19</v>
      </c>
    </row>
    <row r="336" spans="1:5">
      <c r="A336" s="810" t="s">
        <v>322</v>
      </c>
      <c r="B336" s="810" t="s">
        <v>124</v>
      </c>
      <c r="C336" s="810" t="s">
        <v>139</v>
      </c>
      <c r="D336" s="810"/>
      <c r="E336" s="811">
        <v>97.93</v>
      </c>
    </row>
    <row r="337" spans="1:5">
      <c r="A337" s="810" t="s">
        <v>322</v>
      </c>
      <c r="B337" s="810" t="s">
        <v>140</v>
      </c>
      <c r="C337" s="810" t="s">
        <v>141</v>
      </c>
      <c r="D337" s="810"/>
      <c r="E337" s="811">
        <v>172.6</v>
      </c>
    </row>
    <row r="338" spans="1:5">
      <c r="A338" s="810" t="s">
        <v>322</v>
      </c>
      <c r="B338" s="810" t="s">
        <v>95</v>
      </c>
      <c r="C338" s="810" t="s">
        <v>96</v>
      </c>
      <c r="D338" s="810"/>
      <c r="E338" s="811">
        <v>287.35000000000002</v>
      </c>
    </row>
    <row r="339" spans="1:5">
      <c r="A339" s="810" t="s">
        <v>322</v>
      </c>
      <c r="B339" s="810" t="s">
        <v>97</v>
      </c>
      <c r="C339" s="810" t="s">
        <v>98</v>
      </c>
      <c r="D339" s="810"/>
      <c r="E339" s="811">
        <v>-1343.97</v>
      </c>
    </row>
    <row r="340" spans="1:5">
      <c r="A340" s="810" t="s">
        <v>322</v>
      </c>
      <c r="B340" s="810" t="s">
        <v>223</v>
      </c>
      <c r="C340" s="810" t="s">
        <v>510</v>
      </c>
      <c r="D340" s="810" t="s">
        <v>533</v>
      </c>
      <c r="E340" s="811">
        <v>103.6</v>
      </c>
    </row>
    <row r="341" spans="1:5">
      <c r="A341" s="810" t="s">
        <v>322</v>
      </c>
      <c r="B341" s="810" t="s">
        <v>107</v>
      </c>
      <c r="C341" s="810" t="s">
        <v>459</v>
      </c>
      <c r="D341" s="810" t="s">
        <v>505</v>
      </c>
      <c r="E341" s="811">
        <v>64.150000000000006</v>
      </c>
    </row>
    <row r="342" spans="1:5">
      <c r="A342" s="810" t="s">
        <v>322</v>
      </c>
      <c r="B342" s="810" t="s">
        <v>159</v>
      </c>
      <c r="C342" s="810" t="s">
        <v>497</v>
      </c>
      <c r="D342" s="810" t="s">
        <v>506</v>
      </c>
      <c r="E342" s="811">
        <v>111.14</v>
      </c>
    </row>
    <row r="343" spans="1:5">
      <c r="A343" s="810" t="s">
        <v>322</v>
      </c>
      <c r="B343" s="810" t="s">
        <v>111</v>
      </c>
      <c r="C343" s="810" t="s">
        <v>462</v>
      </c>
      <c r="D343" s="810" t="s">
        <v>498</v>
      </c>
      <c r="E343" s="811">
        <v>87.38</v>
      </c>
    </row>
    <row r="344" spans="1:5">
      <c r="A344" s="810" t="s">
        <v>322</v>
      </c>
      <c r="B344" s="810" t="s">
        <v>113</v>
      </c>
      <c r="C344" s="810" t="s">
        <v>511</v>
      </c>
      <c r="D344" s="810" t="s">
        <v>465</v>
      </c>
      <c r="E344" s="811">
        <v>9786.4599999999991</v>
      </c>
    </row>
    <row r="345" spans="1:5">
      <c r="A345" s="810" t="s">
        <v>322</v>
      </c>
      <c r="B345" s="810"/>
      <c r="C345" s="810" t="s">
        <v>468</v>
      </c>
      <c r="D345" s="810"/>
      <c r="E345" s="811">
        <v>450</v>
      </c>
    </row>
    <row r="346" spans="1:5">
      <c r="A346" s="812" t="s">
        <v>324</v>
      </c>
      <c r="B346" s="812" t="s">
        <v>73</v>
      </c>
      <c r="C346" s="812" t="s">
        <v>74</v>
      </c>
      <c r="D346" s="812"/>
      <c r="E346" s="813">
        <v>3084.76</v>
      </c>
    </row>
    <row r="347" spans="1:5">
      <c r="A347" s="812" t="s">
        <v>324</v>
      </c>
      <c r="B347" s="812" t="s">
        <v>75</v>
      </c>
      <c r="C347" s="812" t="s">
        <v>76</v>
      </c>
      <c r="D347" s="812"/>
      <c r="E347" s="813">
        <v>3084.76</v>
      </c>
    </row>
    <row r="348" spans="1:5">
      <c r="A348" s="812" t="s">
        <v>324</v>
      </c>
      <c r="B348" s="812" t="s">
        <v>77</v>
      </c>
      <c r="C348" s="812" t="s">
        <v>78</v>
      </c>
      <c r="D348" s="812"/>
      <c r="E348" s="813">
        <v>3155.75</v>
      </c>
    </row>
    <row r="349" spans="1:5">
      <c r="A349" s="812" t="s">
        <v>324</v>
      </c>
      <c r="B349" s="812" t="s">
        <v>79</v>
      </c>
      <c r="C349" s="812" t="s">
        <v>80</v>
      </c>
      <c r="D349" s="812"/>
      <c r="E349" s="813">
        <v>488.62</v>
      </c>
    </row>
    <row r="350" spans="1:5">
      <c r="A350" s="812" t="s">
        <v>324</v>
      </c>
      <c r="B350" s="812" t="s">
        <v>120</v>
      </c>
      <c r="C350" s="812" t="s">
        <v>469</v>
      </c>
      <c r="D350" s="812" t="s">
        <v>470</v>
      </c>
      <c r="E350" s="813">
        <v>198.62</v>
      </c>
    </row>
    <row r="351" spans="1:5">
      <c r="A351" s="812" t="s">
        <v>324</v>
      </c>
      <c r="B351" s="812" t="s">
        <v>81</v>
      </c>
      <c r="C351" s="812" t="s">
        <v>82</v>
      </c>
      <c r="D351" s="812"/>
      <c r="E351" s="813">
        <v>64.95</v>
      </c>
    </row>
    <row r="352" spans="1:5">
      <c r="A352" s="812" t="s">
        <v>324</v>
      </c>
      <c r="B352" s="812" t="s">
        <v>278</v>
      </c>
      <c r="C352" s="812" t="s">
        <v>551</v>
      </c>
      <c r="D352" s="812" t="s">
        <v>486</v>
      </c>
      <c r="E352" s="813">
        <v>5763.05</v>
      </c>
    </row>
    <row r="353" spans="1:5">
      <c r="A353" s="812" t="s">
        <v>324</v>
      </c>
      <c r="B353" s="812" t="s">
        <v>270</v>
      </c>
      <c r="C353" s="812" t="s">
        <v>271</v>
      </c>
      <c r="D353" s="812" t="s">
        <v>531</v>
      </c>
      <c r="E353" s="813">
        <v>932.8</v>
      </c>
    </row>
    <row r="354" spans="1:5">
      <c r="A354" s="812" t="s">
        <v>324</v>
      </c>
      <c r="B354" s="812" t="s">
        <v>124</v>
      </c>
      <c r="C354" s="812" t="s">
        <v>139</v>
      </c>
      <c r="D354" s="812"/>
      <c r="E354" s="813">
        <v>375.59</v>
      </c>
    </row>
    <row r="355" spans="1:5">
      <c r="A355" s="812" t="s">
        <v>324</v>
      </c>
      <c r="B355" s="812" t="s">
        <v>140</v>
      </c>
      <c r="C355" s="812" t="s">
        <v>141</v>
      </c>
      <c r="D355" s="812"/>
      <c r="E355" s="813">
        <v>482.93</v>
      </c>
    </row>
    <row r="356" spans="1:5">
      <c r="A356" s="812" t="s">
        <v>324</v>
      </c>
      <c r="B356" s="812" t="s">
        <v>95</v>
      </c>
      <c r="C356" s="812" t="s">
        <v>96</v>
      </c>
      <c r="D356" s="812"/>
      <c r="E356" s="813">
        <v>755.11</v>
      </c>
    </row>
    <row r="357" spans="1:5">
      <c r="A357" s="812" t="s">
        <v>324</v>
      </c>
      <c r="B357" s="812" t="s">
        <v>97</v>
      </c>
      <c r="C357" s="812" t="s">
        <v>98</v>
      </c>
      <c r="D357" s="812"/>
      <c r="E357" s="813">
        <v>-2816.65</v>
      </c>
    </row>
    <row r="358" spans="1:5">
      <c r="A358" s="812" t="s">
        <v>324</v>
      </c>
      <c r="B358" s="812" t="s">
        <v>152</v>
      </c>
      <c r="C358" s="812" t="s">
        <v>492</v>
      </c>
      <c r="D358" s="812" t="s">
        <v>495</v>
      </c>
      <c r="E358" s="813">
        <v>84.34</v>
      </c>
    </row>
    <row r="359" spans="1:5">
      <c r="A359" s="812" t="s">
        <v>324</v>
      </c>
      <c r="B359" s="812" t="s">
        <v>107</v>
      </c>
      <c r="C359" s="812" t="s">
        <v>459</v>
      </c>
      <c r="D359" s="812" t="s">
        <v>505</v>
      </c>
      <c r="E359" s="813">
        <v>85.48</v>
      </c>
    </row>
    <row r="360" spans="1:5">
      <c r="A360" s="812" t="s">
        <v>324</v>
      </c>
      <c r="B360" s="812" t="s">
        <v>159</v>
      </c>
      <c r="C360" s="812" t="s">
        <v>497</v>
      </c>
      <c r="D360" s="812" t="s">
        <v>461</v>
      </c>
      <c r="E360" s="813">
        <v>123.63</v>
      </c>
    </row>
    <row r="361" spans="1:5">
      <c r="A361" s="812" t="s">
        <v>324</v>
      </c>
      <c r="B361" s="812" t="s">
        <v>111</v>
      </c>
      <c r="C361" s="812" t="s">
        <v>462</v>
      </c>
      <c r="D361" s="812" t="s">
        <v>523</v>
      </c>
      <c r="E361" s="813">
        <v>98.86</v>
      </c>
    </row>
    <row r="362" spans="1:5">
      <c r="A362" s="812" t="s">
        <v>324</v>
      </c>
      <c r="B362" s="812" t="s">
        <v>274</v>
      </c>
      <c r="C362" s="812" t="s">
        <v>537</v>
      </c>
      <c r="D362" s="812" t="s">
        <v>562</v>
      </c>
      <c r="E362" s="813">
        <v>141.22</v>
      </c>
    </row>
    <row r="363" spans="1:5">
      <c r="A363" s="812" t="s">
        <v>324</v>
      </c>
      <c r="B363" s="812" t="s">
        <v>113</v>
      </c>
      <c r="C363" s="812" t="s">
        <v>511</v>
      </c>
      <c r="D363" s="812" t="s">
        <v>512</v>
      </c>
      <c r="E363" s="813">
        <v>9405.2900000000009</v>
      </c>
    </row>
    <row r="364" spans="1:5">
      <c r="A364" s="812" t="s">
        <v>324</v>
      </c>
      <c r="B364" s="812"/>
      <c r="C364" s="812" t="s">
        <v>468</v>
      </c>
      <c r="D364" s="812"/>
      <c r="E364" s="813">
        <v>450</v>
      </c>
    </row>
    <row r="365" spans="1:5">
      <c r="A365" s="810" t="s">
        <v>337</v>
      </c>
      <c r="B365" s="810" t="s">
        <v>338</v>
      </c>
      <c r="C365" s="810" t="s">
        <v>339</v>
      </c>
      <c r="D365" s="810" t="s">
        <v>563</v>
      </c>
      <c r="E365" s="811">
        <v>57.85</v>
      </c>
    </row>
    <row r="366" spans="1:5">
      <c r="A366" s="810" t="s">
        <v>337</v>
      </c>
      <c r="B366" s="810" t="s">
        <v>284</v>
      </c>
      <c r="C366" s="810" t="s">
        <v>340</v>
      </c>
      <c r="D366" s="810" t="s">
        <v>564</v>
      </c>
      <c r="E366" s="811">
        <v>131.91999999999999</v>
      </c>
    </row>
    <row r="367" spans="1:5">
      <c r="A367" s="810" t="s">
        <v>337</v>
      </c>
      <c r="B367" s="810" t="s">
        <v>95</v>
      </c>
      <c r="C367" s="810" t="s">
        <v>96</v>
      </c>
      <c r="D367" s="810"/>
      <c r="E367" s="811">
        <v>-49.91</v>
      </c>
    </row>
    <row r="368" spans="1:5">
      <c r="A368" s="810" t="s">
        <v>337</v>
      </c>
      <c r="B368" s="810" t="s">
        <v>97</v>
      </c>
      <c r="C368" s="810" t="s">
        <v>98</v>
      </c>
      <c r="D368" s="810"/>
      <c r="E368" s="811">
        <v>1809.03</v>
      </c>
    </row>
    <row r="369" spans="1:5">
      <c r="A369" s="810" t="s">
        <v>337</v>
      </c>
      <c r="B369" s="810" t="s">
        <v>172</v>
      </c>
      <c r="C369" s="810" t="s">
        <v>173</v>
      </c>
      <c r="D369" s="810"/>
      <c r="E369" s="811">
        <v>2426.29</v>
      </c>
    </row>
    <row r="370" spans="1:5">
      <c r="A370" s="810" t="s">
        <v>337</v>
      </c>
      <c r="B370" s="810" t="s">
        <v>367</v>
      </c>
      <c r="C370" s="810" t="s">
        <v>368</v>
      </c>
      <c r="D370" s="810" t="s">
        <v>565</v>
      </c>
      <c r="E370" s="811">
        <v>2244.62</v>
      </c>
    </row>
    <row r="371" spans="1:5">
      <c r="A371" s="810" t="s">
        <v>337</v>
      </c>
      <c r="B371" s="810" t="s">
        <v>566</v>
      </c>
      <c r="C371" s="810" t="s">
        <v>567</v>
      </c>
      <c r="D371" s="810" t="s">
        <v>565</v>
      </c>
      <c r="E371" s="811">
        <v>2550.6999999999998</v>
      </c>
    </row>
    <row r="372" spans="1:5">
      <c r="A372" s="810" t="s">
        <v>337</v>
      </c>
      <c r="B372" s="810" t="s">
        <v>178</v>
      </c>
      <c r="C372" s="810" t="s">
        <v>179</v>
      </c>
      <c r="D372" s="810" t="s">
        <v>565</v>
      </c>
      <c r="E372" s="811">
        <v>2550.6999999999998</v>
      </c>
    </row>
    <row r="373" spans="1:5">
      <c r="A373" s="810" t="s">
        <v>337</v>
      </c>
      <c r="B373" s="810"/>
      <c r="C373" s="810" t="s">
        <v>468</v>
      </c>
      <c r="D373" s="810"/>
      <c r="E373" s="811">
        <v>450</v>
      </c>
    </row>
    <row r="374" spans="1:5">
      <c r="A374" s="812" t="s">
        <v>343</v>
      </c>
      <c r="B374" s="812" t="s">
        <v>338</v>
      </c>
      <c r="C374" s="812" t="s">
        <v>339</v>
      </c>
      <c r="D374" s="812" t="s">
        <v>563</v>
      </c>
      <c r="E374" s="813">
        <v>57.85</v>
      </c>
    </row>
    <row r="375" spans="1:5">
      <c r="A375" s="812" t="s">
        <v>343</v>
      </c>
      <c r="B375" s="812" t="s">
        <v>284</v>
      </c>
      <c r="C375" s="812" t="s">
        <v>340</v>
      </c>
      <c r="D375" s="812" t="s">
        <v>564</v>
      </c>
      <c r="E375" s="813">
        <v>131.91999999999999</v>
      </c>
    </row>
    <row r="376" spans="1:5">
      <c r="A376" s="812" t="s">
        <v>343</v>
      </c>
      <c r="B376" s="812" t="s">
        <v>95</v>
      </c>
      <c r="C376" s="812" t="s">
        <v>96</v>
      </c>
      <c r="D376" s="812"/>
      <c r="E376" s="813">
        <v>71.55</v>
      </c>
    </row>
    <row r="377" spans="1:5">
      <c r="A377" s="812" t="s">
        <v>343</v>
      </c>
      <c r="B377" s="812" t="s">
        <v>97</v>
      </c>
      <c r="C377" s="812" t="s">
        <v>98</v>
      </c>
      <c r="D377" s="812"/>
      <c r="E377" s="813">
        <v>2209.63</v>
      </c>
    </row>
    <row r="378" spans="1:5">
      <c r="A378" s="812" t="s">
        <v>343</v>
      </c>
      <c r="B378" s="812" t="s">
        <v>172</v>
      </c>
      <c r="C378" s="812" t="s">
        <v>173</v>
      </c>
      <c r="D378" s="812"/>
      <c r="E378" s="813">
        <v>2459.63</v>
      </c>
    </row>
    <row r="379" spans="1:5">
      <c r="A379" s="812" t="s">
        <v>343</v>
      </c>
      <c r="B379" s="812" t="s">
        <v>367</v>
      </c>
      <c r="C379" s="812" t="s">
        <v>368</v>
      </c>
      <c r="D379" s="812" t="s">
        <v>565</v>
      </c>
      <c r="E379" s="813">
        <v>2244.62</v>
      </c>
    </row>
    <row r="380" spans="1:5">
      <c r="A380" s="812" t="s">
        <v>343</v>
      </c>
      <c r="B380" s="812" t="s">
        <v>566</v>
      </c>
      <c r="C380" s="812" t="s">
        <v>567</v>
      </c>
      <c r="D380" s="812" t="s">
        <v>565</v>
      </c>
      <c r="E380" s="813">
        <v>2550.6999999999998</v>
      </c>
    </row>
    <row r="381" spans="1:5">
      <c r="A381" s="812" t="s">
        <v>343</v>
      </c>
      <c r="B381" s="812" t="s">
        <v>178</v>
      </c>
      <c r="C381" s="812" t="s">
        <v>179</v>
      </c>
      <c r="D381" s="812" t="s">
        <v>565</v>
      </c>
      <c r="E381" s="813">
        <v>2550.6999999999998</v>
      </c>
    </row>
    <row r="382" spans="1:5">
      <c r="A382" s="812" t="s">
        <v>343</v>
      </c>
      <c r="B382" s="812"/>
      <c r="C382" s="812" t="s">
        <v>468</v>
      </c>
      <c r="D382" s="812"/>
      <c r="E382" s="813">
        <v>450</v>
      </c>
    </row>
    <row r="383" spans="1:5">
      <c r="A383" s="810" t="s">
        <v>344</v>
      </c>
      <c r="B383" s="810" t="s">
        <v>345</v>
      </c>
      <c r="C383" s="810" t="s">
        <v>346</v>
      </c>
      <c r="D383" s="810"/>
      <c r="E383" s="811">
        <v>3193.91</v>
      </c>
    </row>
    <row r="384" spans="1:5">
      <c r="A384" s="810" t="s">
        <v>344</v>
      </c>
      <c r="B384" s="810" t="s">
        <v>347</v>
      </c>
      <c r="C384" s="810" t="s">
        <v>348</v>
      </c>
      <c r="D384" s="810"/>
      <c r="E384" s="811">
        <v>-721.85</v>
      </c>
    </row>
    <row r="385" spans="1:5">
      <c r="A385" s="810" t="s">
        <v>344</v>
      </c>
      <c r="B385" s="810" t="s">
        <v>349</v>
      </c>
      <c r="C385" s="810" t="s">
        <v>350</v>
      </c>
      <c r="D385" s="810"/>
      <c r="E385" s="811">
        <v>2397.42</v>
      </c>
    </row>
    <row r="386" spans="1:5">
      <c r="A386" s="810" t="s">
        <v>344</v>
      </c>
      <c r="B386" s="810" t="s">
        <v>107</v>
      </c>
      <c r="C386" s="810" t="s">
        <v>459</v>
      </c>
      <c r="D386" s="810" t="s">
        <v>248</v>
      </c>
      <c r="E386" s="811">
        <v>89.46</v>
      </c>
    </row>
    <row r="387" spans="1:5">
      <c r="A387" s="810" t="s">
        <v>344</v>
      </c>
      <c r="B387" s="810" t="s">
        <v>111</v>
      </c>
      <c r="C387" s="810" t="s">
        <v>462</v>
      </c>
      <c r="D387" s="810" t="s">
        <v>461</v>
      </c>
      <c r="E387" s="811">
        <v>151.47999999999999</v>
      </c>
    </row>
    <row r="388" spans="1:5">
      <c r="A388" s="810" t="s">
        <v>344</v>
      </c>
      <c r="B388" s="810"/>
      <c r="C388" s="810" t="s">
        <v>468</v>
      </c>
      <c r="D388" s="810"/>
      <c r="E388" s="811">
        <v>450</v>
      </c>
    </row>
    <row r="389" spans="1:5">
      <c r="A389" s="812" t="s">
        <v>351</v>
      </c>
      <c r="B389" s="812" t="s">
        <v>345</v>
      </c>
      <c r="C389" s="812" t="s">
        <v>346</v>
      </c>
      <c r="D389" s="812"/>
      <c r="E389" s="813">
        <v>2764.83</v>
      </c>
    </row>
    <row r="390" spans="1:5">
      <c r="A390" s="812" t="s">
        <v>351</v>
      </c>
      <c r="B390" s="812" t="s">
        <v>347</v>
      </c>
      <c r="C390" s="812" t="s">
        <v>348</v>
      </c>
      <c r="D390" s="812"/>
      <c r="E390" s="813">
        <v>628.49</v>
      </c>
    </row>
    <row r="391" spans="1:5">
      <c r="A391" s="812" t="s">
        <v>351</v>
      </c>
      <c r="B391" s="812" t="s">
        <v>349</v>
      </c>
      <c r="C391" s="812" t="s">
        <v>350</v>
      </c>
      <c r="D391" s="812"/>
      <c r="E391" s="813">
        <v>2029.51</v>
      </c>
    </row>
    <row r="392" spans="1:5">
      <c r="A392" s="812" t="s">
        <v>351</v>
      </c>
      <c r="B392" s="812" t="s">
        <v>352</v>
      </c>
      <c r="C392" s="812" t="s">
        <v>534</v>
      </c>
      <c r="D392" s="812" t="s">
        <v>458</v>
      </c>
      <c r="E392" s="813">
        <v>61.41</v>
      </c>
    </row>
    <row r="393" spans="1:5">
      <c r="A393" s="812" t="s">
        <v>351</v>
      </c>
      <c r="B393" s="812" t="s">
        <v>107</v>
      </c>
      <c r="C393" s="812" t="s">
        <v>459</v>
      </c>
      <c r="D393" s="812" t="s">
        <v>568</v>
      </c>
      <c r="E393" s="813">
        <v>151.58000000000001</v>
      </c>
    </row>
    <row r="394" spans="1:5">
      <c r="A394" s="812" t="s">
        <v>351</v>
      </c>
      <c r="B394" s="812" t="s">
        <v>111</v>
      </c>
      <c r="C394" s="812" t="s">
        <v>462</v>
      </c>
      <c r="D394" s="812" t="s">
        <v>569</v>
      </c>
      <c r="E394" s="813">
        <v>125.87</v>
      </c>
    </row>
    <row r="395" spans="1:5">
      <c r="A395" s="812" t="s">
        <v>351</v>
      </c>
      <c r="B395" s="812"/>
      <c r="C395" s="812" t="s">
        <v>468</v>
      </c>
      <c r="D395" s="812"/>
      <c r="E395" s="813">
        <v>450</v>
      </c>
    </row>
    <row r="396" spans="1:5">
      <c r="A396" s="810" t="s">
        <v>355</v>
      </c>
      <c r="B396" s="810" t="s">
        <v>287</v>
      </c>
      <c r="C396" s="810" t="s">
        <v>288</v>
      </c>
      <c r="D396" s="810"/>
      <c r="E396" s="811">
        <v>378.76</v>
      </c>
    </row>
    <row r="397" spans="1:5">
      <c r="A397" s="810" t="s">
        <v>355</v>
      </c>
      <c r="B397" s="810" t="s">
        <v>124</v>
      </c>
      <c r="C397" s="810" t="s">
        <v>139</v>
      </c>
      <c r="D397" s="810"/>
      <c r="E397" s="811">
        <v>206.29</v>
      </c>
    </row>
    <row r="398" spans="1:5">
      <c r="A398" s="810" t="s">
        <v>355</v>
      </c>
      <c r="B398" s="810" t="s">
        <v>140</v>
      </c>
      <c r="C398" s="810" t="s">
        <v>141</v>
      </c>
      <c r="D398" s="810"/>
      <c r="E398" s="811">
        <v>244.53</v>
      </c>
    </row>
    <row r="399" spans="1:5">
      <c r="A399" s="810" t="s">
        <v>355</v>
      </c>
      <c r="B399" s="810" t="s">
        <v>142</v>
      </c>
      <c r="C399" s="810" t="s">
        <v>143</v>
      </c>
      <c r="D399" s="810"/>
      <c r="E399" s="811">
        <v>211.65</v>
      </c>
    </row>
    <row r="400" spans="1:5">
      <c r="A400" s="810" t="s">
        <v>355</v>
      </c>
      <c r="B400" s="810" t="s">
        <v>144</v>
      </c>
      <c r="C400" s="810" t="s">
        <v>488</v>
      </c>
      <c r="D400" s="810" t="s">
        <v>570</v>
      </c>
      <c r="E400" s="811">
        <v>169.51</v>
      </c>
    </row>
    <row r="401" spans="1:5">
      <c r="A401" s="810" t="s">
        <v>355</v>
      </c>
      <c r="B401" s="810" t="s">
        <v>95</v>
      </c>
      <c r="C401" s="810" t="s">
        <v>96</v>
      </c>
      <c r="D401" s="810"/>
      <c r="E401" s="811">
        <v>1304.51</v>
      </c>
    </row>
    <row r="402" spans="1:5">
      <c r="A402" s="810" t="s">
        <v>355</v>
      </c>
      <c r="B402" s="810" t="s">
        <v>97</v>
      </c>
      <c r="C402" s="810" t="s">
        <v>98</v>
      </c>
      <c r="D402" s="810"/>
      <c r="E402" s="811">
        <v>-2940.23</v>
      </c>
    </row>
    <row r="403" spans="1:5">
      <c r="A403" s="810" t="s">
        <v>355</v>
      </c>
      <c r="B403" s="810" t="s">
        <v>99</v>
      </c>
      <c r="C403" s="810" t="s">
        <v>241</v>
      </c>
      <c r="D403" s="810" t="s">
        <v>504</v>
      </c>
      <c r="E403" s="811">
        <v>876.59</v>
      </c>
    </row>
    <row r="404" spans="1:5">
      <c r="A404" s="810" t="s">
        <v>355</v>
      </c>
      <c r="B404" s="810" t="s">
        <v>200</v>
      </c>
      <c r="C404" s="810" t="s">
        <v>571</v>
      </c>
      <c r="D404" s="810" t="s">
        <v>504</v>
      </c>
      <c r="E404" s="811">
        <v>820.34</v>
      </c>
    </row>
    <row r="405" spans="1:5">
      <c r="A405" s="810" t="s">
        <v>355</v>
      </c>
      <c r="B405" s="810" t="s">
        <v>107</v>
      </c>
      <c r="C405" s="810" t="s">
        <v>459</v>
      </c>
      <c r="D405" s="810" t="s">
        <v>505</v>
      </c>
      <c r="E405" s="811">
        <v>60.67</v>
      </c>
    </row>
    <row r="406" spans="1:5">
      <c r="A406" s="810" t="s">
        <v>355</v>
      </c>
      <c r="B406" s="810" t="s">
        <v>159</v>
      </c>
      <c r="C406" s="810" t="s">
        <v>497</v>
      </c>
      <c r="D406" s="810" t="s">
        <v>461</v>
      </c>
      <c r="E406" s="811">
        <v>108.19</v>
      </c>
    </row>
    <row r="407" spans="1:5">
      <c r="A407" s="810" t="s">
        <v>355</v>
      </c>
      <c r="B407" s="810" t="s">
        <v>111</v>
      </c>
      <c r="C407" s="810" t="s">
        <v>462</v>
      </c>
      <c r="D407" s="810" t="s">
        <v>461</v>
      </c>
      <c r="E407" s="811">
        <v>91.07</v>
      </c>
    </row>
    <row r="408" spans="1:5">
      <c r="A408" s="810" t="s">
        <v>355</v>
      </c>
      <c r="B408" s="810"/>
      <c r="C408" s="810" t="s">
        <v>468</v>
      </c>
      <c r="D408" s="810"/>
      <c r="E408" s="811">
        <v>450</v>
      </c>
    </row>
    <row r="409" spans="1:5">
      <c r="A409" s="812" t="s">
        <v>572</v>
      </c>
      <c r="B409" s="812" t="s">
        <v>73</v>
      </c>
      <c r="C409" s="812" t="s">
        <v>74</v>
      </c>
      <c r="D409" s="812"/>
      <c r="E409" s="813">
        <v>3258.13</v>
      </c>
    </row>
    <row r="410" spans="1:5">
      <c r="A410" s="812" t="s">
        <v>572</v>
      </c>
      <c r="B410" s="812" t="s">
        <v>75</v>
      </c>
      <c r="C410" s="812" t="s">
        <v>76</v>
      </c>
      <c r="D410" s="812"/>
      <c r="E410" s="813">
        <v>3240.03</v>
      </c>
    </row>
    <row r="411" spans="1:5">
      <c r="A411" s="812" t="s">
        <v>572</v>
      </c>
      <c r="B411" s="812" t="s">
        <v>77</v>
      </c>
      <c r="C411" s="812" t="s">
        <v>78</v>
      </c>
      <c r="D411" s="812"/>
      <c r="E411" s="813">
        <v>3095.23</v>
      </c>
    </row>
    <row r="412" spans="1:5">
      <c r="A412" s="812" t="s">
        <v>572</v>
      </c>
      <c r="B412" s="812" t="s">
        <v>79</v>
      </c>
      <c r="C412" s="812" t="s">
        <v>80</v>
      </c>
      <c r="D412" s="812"/>
      <c r="E412" s="813">
        <v>420.24</v>
      </c>
    </row>
    <row r="413" spans="1:5">
      <c r="A413" s="812" t="s">
        <v>572</v>
      </c>
      <c r="B413" s="812" t="s">
        <v>120</v>
      </c>
      <c r="C413" s="812" t="s">
        <v>469</v>
      </c>
      <c r="D413" s="812" t="s">
        <v>470</v>
      </c>
      <c r="E413" s="813">
        <v>134.02000000000001</v>
      </c>
    </row>
    <row r="414" spans="1:5">
      <c r="A414" s="812" t="s">
        <v>572</v>
      </c>
      <c r="B414" s="812" t="s">
        <v>89</v>
      </c>
      <c r="C414" s="812" t="s">
        <v>138</v>
      </c>
      <c r="D414" s="812" t="s">
        <v>531</v>
      </c>
      <c r="E414" s="813">
        <v>1458.73</v>
      </c>
    </row>
    <row r="415" spans="1:5">
      <c r="A415" s="812" t="s">
        <v>572</v>
      </c>
      <c r="B415" s="812" t="s">
        <v>91</v>
      </c>
      <c r="C415" s="812" t="s">
        <v>363</v>
      </c>
      <c r="D415" s="812" t="s">
        <v>531</v>
      </c>
      <c r="E415" s="813">
        <v>2874.21</v>
      </c>
    </row>
    <row r="416" spans="1:5">
      <c r="A416" s="812" t="s">
        <v>572</v>
      </c>
      <c r="B416" s="812" t="s">
        <v>124</v>
      </c>
      <c r="C416" s="812" t="s">
        <v>139</v>
      </c>
      <c r="D416" s="812"/>
      <c r="E416" s="813">
        <v>151.22</v>
      </c>
    </row>
    <row r="417" spans="1:5">
      <c r="A417" s="812" t="s">
        <v>572</v>
      </c>
      <c r="B417" s="812" t="s">
        <v>140</v>
      </c>
      <c r="C417" s="812" t="s">
        <v>141</v>
      </c>
      <c r="D417" s="812"/>
      <c r="E417" s="813">
        <v>228.04</v>
      </c>
    </row>
    <row r="418" spans="1:5">
      <c r="A418" s="812" t="s">
        <v>572</v>
      </c>
      <c r="B418" s="812" t="s">
        <v>294</v>
      </c>
      <c r="C418" s="812" t="s">
        <v>547</v>
      </c>
      <c r="D418" s="812" t="s">
        <v>528</v>
      </c>
      <c r="E418" s="813">
        <v>3907.48</v>
      </c>
    </row>
    <row r="419" spans="1:5">
      <c r="A419" s="812" t="s">
        <v>572</v>
      </c>
      <c r="B419" s="812" t="s">
        <v>95</v>
      </c>
      <c r="C419" s="812" t="s">
        <v>96</v>
      </c>
      <c r="D419" s="812"/>
      <c r="E419" s="813">
        <v>1972.72</v>
      </c>
    </row>
    <row r="420" spans="1:5">
      <c r="A420" s="812" t="s">
        <v>572</v>
      </c>
      <c r="B420" s="812" t="s">
        <v>97</v>
      </c>
      <c r="C420" s="812" t="s">
        <v>98</v>
      </c>
      <c r="D420" s="812"/>
      <c r="E420" s="813">
        <v>-1067.45</v>
      </c>
    </row>
    <row r="421" spans="1:5">
      <c r="A421" s="812" t="s">
        <v>572</v>
      </c>
      <c r="B421" s="812" t="s">
        <v>99</v>
      </c>
      <c r="C421" s="812" t="s">
        <v>552</v>
      </c>
      <c r="D421" s="812" t="s">
        <v>531</v>
      </c>
      <c r="E421" s="813">
        <v>387.19</v>
      </c>
    </row>
    <row r="422" spans="1:5">
      <c r="A422" s="812" t="s">
        <v>572</v>
      </c>
      <c r="B422" s="812" t="s">
        <v>152</v>
      </c>
      <c r="C422" s="812" t="s">
        <v>492</v>
      </c>
      <c r="D422" s="812" t="s">
        <v>461</v>
      </c>
      <c r="E422" s="813">
        <v>114.09</v>
      </c>
    </row>
    <row r="423" spans="1:5">
      <c r="A423" s="812" t="s">
        <v>572</v>
      </c>
      <c r="B423" s="812" t="s">
        <v>107</v>
      </c>
      <c r="C423" s="812" t="s">
        <v>459</v>
      </c>
      <c r="D423" s="812" t="s">
        <v>248</v>
      </c>
      <c r="E423" s="813">
        <v>98.2</v>
      </c>
    </row>
    <row r="424" spans="1:5">
      <c r="A424" s="812" t="s">
        <v>572</v>
      </c>
      <c r="B424" s="812" t="s">
        <v>159</v>
      </c>
      <c r="C424" s="812" t="s">
        <v>497</v>
      </c>
      <c r="D424" s="812" t="s">
        <v>498</v>
      </c>
      <c r="E424" s="813">
        <v>114.09</v>
      </c>
    </row>
    <row r="425" spans="1:5">
      <c r="A425" s="812" t="s">
        <v>572</v>
      </c>
      <c r="B425" s="812" t="s">
        <v>111</v>
      </c>
      <c r="C425" s="812" t="s">
        <v>462</v>
      </c>
      <c r="D425" s="812" t="s">
        <v>461</v>
      </c>
      <c r="E425" s="813">
        <v>114.09</v>
      </c>
    </row>
    <row r="426" spans="1:5">
      <c r="A426" s="812" t="s">
        <v>572</v>
      </c>
      <c r="B426" s="812"/>
      <c r="C426" s="812" t="s">
        <v>468</v>
      </c>
      <c r="D426" s="812"/>
      <c r="E426" s="813">
        <v>450</v>
      </c>
    </row>
    <row r="427" spans="1:5">
      <c r="A427" s="810" t="s">
        <v>361</v>
      </c>
      <c r="B427" s="810" t="s">
        <v>79</v>
      </c>
      <c r="C427" s="810" t="s">
        <v>80</v>
      </c>
      <c r="D427" s="810"/>
      <c r="E427" s="811">
        <v>351.63</v>
      </c>
    </row>
    <row r="428" spans="1:5">
      <c r="A428" s="810" t="s">
        <v>361</v>
      </c>
      <c r="B428" s="810" t="s">
        <v>83</v>
      </c>
      <c r="C428" s="810" t="s">
        <v>573</v>
      </c>
      <c r="D428" s="810" t="s">
        <v>504</v>
      </c>
      <c r="E428" s="811">
        <v>3262.32</v>
      </c>
    </row>
    <row r="429" spans="1:5">
      <c r="A429" s="810" t="s">
        <v>361</v>
      </c>
      <c r="B429" s="810" t="s">
        <v>89</v>
      </c>
      <c r="C429" s="810" t="s">
        <v>574</v>
      </c>
      <c r="D429" s="810" t="s">
        <v>504</v>
      </c>
      <c r="E429" s="811">
        <v>1080.95</v>
      </c>
    </row>
    <row r="430" spans="1:5">
      <c r="A430" s="810" t="s">
        <v>361</v>
      </c>
      <c r="B430" s="810" t="s">
        <v>91</v>
      </c>
      <c r="C430" s="810" t="s">
        <v>575</v>
      </c>
      <c r="D430" s="810" t="s">
        <v>504</v>
      </c>
      <c r="E430" s="811">
        <v>1149.8499999999999</v>
      </c>
    </row>
    <row r="431" spans="1:5">
      <c r="A431" s="810" t="s">
        <v>361</v>
      </c>
      <c r="B431" s="810" t="s">
        <v>365</v>
      </c>
      <c r="C431" s="810" t="s">
        <v>576</v>
      </c>
      <c r="D431" s="810" t="s">
        <v>504</v>
      </c>
      <c r="E431" s="811">
        <v>2189.56</v>
      </c>
    </row>
    <row r="432" spans="1:5">
      <c r="A432" s="810" t="s">
        <v>361</v>
      </c>
      <c r="B432" s="810" t="s">
        <v>95</v>
      </c>
      <c r="C432" s="810" t="s">
        <v>96</v>
      </c>
      <c r="D432" s="810"/>
      <c r="E432" s="811">
        <v>69.19</v>
      </c>
    </row>
    <row r="433" spans="1:5">
      <c r="A433" s="810" t="s">
        <v>361</v>
      </c>
      <c r="B433" s="810" t="s">
        <v>176</v>
      </c>
      <c r="C433" s="810" t="s">
        <v>177</v>
      </c>
      <c r="D433" s="810"/>
      <c r="E433" s="811">
        <v>822.58</v>
      </c>
    </row>
    <row r="434" spans="1:5">
      <c r="A434" s="810" t="s">
        <v>361</v>
      </c>
      <c r="B434" s="810" t="s">
        <v>305</v>
      </c>
      <c r="C434" s="810" t="s">
        <v>306</v>
      </c>
      <c r="D434" s="810"/>
      <c r="E434" s="811">
        <v>-250.13</v>
      </c>
    </row>
    <row r="435" spans="1:5">
      <c r="A435" s="810" t="s">
        <v>361</v>
      </c>
      <c r="B435" s="810" t="s">
        <v>577</v>
      </c>
      <c r="C435" s="810" t="s">
        <v>578</v>
      </c>
      <c r="D435" s="810" t="s">
        <v>579</v>
      </c>
      <c r="E435" s="811">
        <v>3005.29</v>
      </c>
    </row>
    <row r="436" spans="1:5">
      <c r="A436" s="810" t="s">
        <v>361</v>
      </c>
      <c r="B436" s="810" t="s">
        <v>105</v>
      </c>
      <c r="C436" s="810" t="s">
        <v>243</v>
      </c>
      <c r="D436" s="810" t="s">
        <v>580</v>
      </c>
      <c r="E436" s="811">
        <v>115.02</v>
      </c>
    </row>
    <row r="437" spans="1:5">
      <c r="A437" s="810" t="s">
        <v>361</v>
      </c>
      <c r="B437" s="810" t="s">
        <v>107</v>
      </c>
      <c r="C437" s="810" t="s">
        <v>459</v>
      </c>
      <c r="D437" s="810" t="s">
        <v>505</v>
      </c>
      <c r="E437" s="811">
        <v>128.61000000000001</v>
      </c>
    </row>
    <row r="438" spans="1:5">
      <c r="A438" s="810" t="s">
        <v>361</v>
      </c>
      <c r="B438" s="810" t="s">
        <v>159</v>
      </c>
      <c r="C438" s="810" t="s">
        <v>497</v>
      </c>
      <c r="D438" s="810" t="s">
        <v>498</v>
      </c>
      <c r="E438" s="811">
        <v>176.23</v>
      </c>
    </row>
    <row r="439" spans="1:5">
      <c r="A439" s="810" t="s">
        <v>361</v>
      </c>
      <c r="B439" s="810" t="s">
        <v>111</v>
      </c>
      <c r="C439" s="810" t="s">
        <v>462</v>
      </c>
      <c r="D439" s="810" t="s">
        <v>498</v>
      </c>
      <c r="E439" s="811">
        <v>176.23</v>
      </c>
    </row>
    <row r="440" spans="1:5">
      <c r="A440" s="810" t="s">
        <v>361</v>
      </c>
      <c r="B440" s="810"/>
      <c r="C440" s="810" t="s">
        <v>468</v>
      </c>
      <c r="D440" s="810"/>
      <c r="E440" s="811">
        <v>450</v>
      </c>
    </row>
    <row r="441" spans="1:5">
      <c r="A441" s="812" t="s">
        <v>373</v>
      </c>
      <c r="B441" s="812" t="s">
        <v>79</v>
      </c>
      <c r="C441" s="812" t="s">
        <v>80</v>
      </c>
      <c r="D441" s="812"/>
      <c r="E441" s="813">
        <v>347.77</v>
      </c>
    </row>
    <row r="442" spans="1:5">
      <c r="A442" s="812" t="s">
        <v>373</v>
      </c>
      <c r="B442" s="812" t="s">
        <v>89</v>
      </c>
      <c r="C442" s="812" t="s">
        <v>574</v>
      </c>
      <c r="D442" s="812" t="s">
        <v>504</v>
      </c>
      <c r="E442" s="813">
        <v>1080.95</v>
      </c>
    </row>
    <row r="443" spans="1:5">
      <c r="A443" s="812" t="s">
        <v>373</v>
      </c>
      <c r="B443" s="812" t="s">
        <v>91</v>
      </c>
      <c r="C443" s="812" t="s">
        <v>575</v>
      </c>
      <c r="D443" s="812" t="s">
        <v>504</v>
      </c>
      <c r="E443" s="813">
        <v>1161.03</v>
      </c>
    </row>
    <row r="444" spans="1:5">
      <c r="A444" s="812" t="s">
        <v>373</v>
      </c>
      <c r="B444" s="812" t="s">
        <v>365</v>
      </c>
      <c r="C444" s="812" t="s">
        <v>581</v>
      </c>
      <c r="D444" s="812" t="s">
        <v>504</v>
      </c>
      <c r="E444" s="813">
        <v>1954.52</v>
      </c>
    </row>
    <row r="445" spans="1:5">
      <c r="A445" s="812" t="s">
        <v>373</v>
      </c>
      <c r="B445" s="812" t="s">
        <v>95</v>
      </c>
      <c r="C445" s="812" t="s">
        <v>96</v>
      </c>
      <c r="D445" s="812"/>
      <c r="E445" s="813">
        <v>39.72</v>
      </c>
    </row>
    <row r="446" spans="1:5">
      <c r="A446" s="812" t="s">
        <v>373</v>
      </c>
      <c r="B446" s="812" t="s">
        <v>176</v>
      </c>
      <c r="C446" s="812" t="s">
        <v>177</v>
      </c>
      <c r="D446" s="812"/>
      <c r="E446" s="813">
        <v>752.63</v>
      </c>
    </row>
    <row r="447" spans="1:5">
      <c r="A447" s="812" t="s">
        <v>373</v>
      </c>
      <c r="B447" s="812" t="s">
        <v>305</v>
      </c>
      <c r="C447" s="812" t="s">
        <v>306</v>
      </c>
      <c r="D447" s="812"/>
      <c r="E447" s="813">
        <v>-285.98</v>
      </c>
    </row>
    <row r="448" spans="1:5">
      <c r="A448" s="812" t="s">
        <v>373</v>
      </c>
      <c r="B448" s="812" t="s">
        <v>577</v>
      </c>
      <c r="C448" s="812" t="s">
        <v>578</v>
      </c>
      <c r="D448" s="812" t="s">
        <v>579</v>
      </c>
      <c r="E448" s="813">
        <v>3395.06</v>
      </c>
    </row>
    <row r="449" spans="1:5">
      <c r="A449" s="812" t="s">
        <v>373</v>
      </c>
      <c r="B449" s="812" t="s">
        <v>105</v>
      </c>
      <c r="C449" s="812" t="s">
        <v>243</v>
      </c>
      <c r="D449" s="812" t="s">
        <v>580</v>
      </c>
      <c r="E449" s="813">
        <v>115.02</v>
      </c>
    </row>
    <row r="450" spans="1:5">
      <c r="A450" s="812" t="s">
        <v>373</v>
      </c>
      <c r="B450" s="812" t="s">
        <v>107</v>
      </c>
      <c r="C450" s="812" t="s">
        <v>459</v>
      </c>
      <c r="D450" s="812" t="s">
        <v>505</v>
      </c>
      <c r="E450" s="813">
        <v>128.61000000000001</v>
      </c>
    </row>
    <row r="451" spans="1:5">
      <c r="A451" s="812" t="s">
        <v>373</v>
      </c>
      <c r="B451" s="812" t="s">
        <v>159</v>
      </c>
      <c r="C451" s="812" t="s">
        <v>497</v>
      </c>
      <c r="D451" s="812" t="s">
        <v>498</v>
      </c>
      <c r="E451" s="813">
        <v>143.11000000000001</v>
      </c>
    </row>
    <row r="452" spans="1:5">
      <c r="A452" s="812" t="s">
        <v>373</v>
      </c>
      <c r="B452" s="812" t="s">
        <v>111</v>
      </c>
      <c r="C452" s="812" t="s">
        <v>462</v>
      </c>
      <c r="D452" s="812" t="s">
        <v>498</v>
      </c>
      <c r="E452" s="813">
        <v>176.23</v>
      </c>
    </row>
    <row r="453" spans="1:5">
      <c r="A453" s="812" t="s">
        <v>373</v>
      </c>
      <c r="B453" s="812"/>
      <c r="C453" s="812" t="s">
        <v>468</v>
      </c>
      <c r="D453" s="812"/>
      <c r="E453" s="813">
        <v>450</v>
      </c>
    </row>
    <row r="454" spans="1:5">
      <c r="A454" s="810" t="s">
        <v>375</v>
      </c>
      <c r="B454" s="810" t="s">
        <v>79</v>
      </c>
      <c r="C454" s="810" t="s">
        <v>80</v>
      </c>
      <c r="D454" s="810"/>
      <c r="E454" s="811">
        <v>116.48</v>
      </c>
    </row>
    <row r="455" spans="1:5">
      <c r="A455" s="810" t="s">
        <v>375</v>
      </c>
      <c r="B455" s="810" t="s">
        <v>365</v>
      </c>
      <c r="C455" s="810" t="s">
        <v>581</v>
      </c>
      <c r="D455" s="810" t="s">
        <v>504</v>
      </c>
      <c r="E455" s="811">
        <v>2109.9299999999998</v>
      </c>
    </row>
    <row r="456" spans="1:5">
      <c r="A456" s="810" t="s">
        <v>375</v>
      </c>
      <c r="B456" s="810" t="s">
        <v>97</v>
      </c>
      <c r="C456" s="810" t="s">
        <v>98</v>
      </c>
      <c r="D456" s="810"/>
      <c r="E456" s="811">
        <v>-826.78</v>
      </c>
    </row>
    <row r="457" spans="1:5">
      <c r="A457" s="810" t="s">
        <v>375</v>
      </c>
      <c r="B457" s="810" t="s">
        <v>172</v>
      </c>
      <c r="C457" s="810" t="s">
        <v>173</v>
      </c>
      <c r="D457" s="810"/>
      <c r="E457" s="811">
        <v>227.97</v>
      </c>
    </row>
    <row r="458" spans="1:5">
      <c r="A458" s="810" t="s">
        <v>375</v>
      </c>
      <c r="B458" s="810" t="s">
        <v>369</v>
      </c>
      <c r="C458" s="810" t="s">
        <v>582</v>
      </c>
      <c r="D458" s="810" t="s">
        <v>580</v>
      </c>
      <c r="E458" s="811">
        <v>90.5</v>
      </c>
    </row>
    <row r="459" spans="1:5">
      <c r="A459" s="810" t="s">
        <v>375</v>
      </c>
      <c r="B459" s="810" t="s">
        <v>105</v>
      </c>
      <c r="C459" s="810" t="s">
        <v>243</v>
      </c>
      <c r="D459" s="810" t="s">
        <v>580</v>
      </c>
      <c r="E459" s="811">
        <v>97.01</v>
      </c>
    </row>
    <row r="460" spans="1:5">
      <c r="A460" s="810" t="s">
        <v>375</v>
      </c>
      <c r="B460" s="810" t="s">
        <v>107</v>
      </c>
      <c r="C460" s="810" t="s">
        <v>459</v>
      </c>
      <c r="D460" s="810" t="s">
        <v>505</v>
      </c>
      <c r="E460" s="811">
        <v>116.98</v>
      </c>
    </row>
    <row r="461" spans="1:5">
      <c r="A461" s="810" t="s">
        <v>375</v>
      </c>
      <c r="B461" s="810" t="s">
        <v>159</v>
      </c>
      <c r="C461" s="810" t="s">
        <v>497</v>
      </c>
      <c r="D461" s="810" t="s">
        <v>583</v>
      </c>
      <c r="E461" s="811">
        <v>269.26</v>
      </c>
    </row>
    <row r="462" spans="1:5">
      <c r="A462" s="810" t="s">
        <v>375</v>
      </c>
      <c r="B462" s="810" t="s">
        <v>298</v>
      </c>
      <c r="C462" s="810" t="s">
        <v>549</v>
      </c>
      <c r="D462" s="810" t="s">
        <v>523</v>
      </c>
      <c r="E462" s="811">
        <v>98.48</v>
      </c>
    </row>
    <row r="463" spans="1:5">
      <c r="A463" s="810" t="s">
        <v>375</v>
      </c>
      <c r="B463" s="810" t="s">
        <v>111</v>
      </c>
      <c r="C463" s="810" t="s">
        <v>462</v>
      </c>
      <c r="D463" s="810" t="s">
        <v>498</v>
      </c>
      <c r="E463" s="811">
        <v>137.69999999999999</v>
      </c>
    </row>
    <row r="464" spans="1:5">
      <c r="A464" s="810" t="s">
        <v>375</v>
      </c>
      <c r="B464" s="810"/>
      <c r="C464" s="810" t="s">
        <v>468</v>
      </c>
      <c r="D464" s="810"/>
      <c r="E464" s="811">
        <v>450</v>
      </c>
    </row>
    <row r="465" spans="1:5">
      <c r="A465" s="812" t="s">
        <v>382</v>
      </c>
      <c r="B465" s="812" t="s">
        <v>73</v>
      </c>
      <c r="C465" s="812" t="s">
        <v>74</v>
      </c>
      <c r="D465" s="812"/>
      <c r="E465" s="813">
        <v>2023.45</v>
      </c>
    </row>
    <row r="466" spans="1:5">
      <c r="A466" s="812" t="s">
        <v>382</v>
      </c>
      <c r="B466" s="812" t="s">
        <v>75</v>
      </c>
      <c r="C466" s="812" t="s">
        <v>76</v>
      </c>
      <c r="D466" s="812"/>
      <c r="E466" s="813">
        <v>2070.88</v>
      </c>
    </row>
    <row r="467" spans="1:5">
      <c r="A467" s="812" t="s">
        <v>382</v>
      </c>
      <c r="B467" s="812" t="s">
        <v>77</v>
      </c>
      <c r="C467" s="812" t="s">
        <v>78</v>
      </c>
      <c r="D467" s="812"/>
      <c r="E467" s="813">
        <v>1995.14</v>
      </c>
    </row>
    <row r="468" spans="1:5">
      <c r="A468" s="812" t="s">
        <v>382</v>
      </c>
      <c r="B468" s="812" t="s">
        <v>284</v>
      </c>
      <c r="C468" s="812" t="s">
        <v>340</v>
      </c>
      <c r="D468" s="812" t="s">
        <v>515</v>
      </c>
      <c r="E468" s="813">
        <v>55.25</v>
      </c>
    </row>
    <row r="469" spans="1:5">
      <c r="A469" s="812" t="s">
        <v>382</v>
      </c>
      <c r="B469" s="812" t="s">
        <v>191</v>
      </c>
      <c r="C469" s="812" t="s">
        <v>544</v>
      </c>
      <c r="D469" s="812" t="s">
        <v>470</v>
      </c>
      <c r="E469" s="813">
        <v>120.28</v>
      </c>
    </row>
    <row r="470" spans="1:5">
      <c r="A470" s="812" t="s">
        <v>382</v>
      </c>
      <c r="B470" s="812" t="s">
        <v>89</v>
      </c>
      <c r="C470" s="812" t="s">
        <v>138</v>
      </c>
      <c r="D470" s="812"/>
      <c r="E470" s="813">
        <v>1678.35</v>
      </c>
    </row>
    <row r="471" spans="1:5">
      <c r="A471" s="812" t="s">
        <v>382</v>
      </c>
      <c r="B471" s="812" t="s">
        <v>91</v>
      </c>
      <c r="C471" s="812" t="s">
        <v>363</v>
      </c>
      <c r="D471" s="812"/>
      <c r="E471" s="813">
        <v>3135.48</v>
      </c>
    </row>
    <row r="472" spans="1:5">
      <c r="A472" s="812" t="s">
        <v>382</v>
      </c>
      <c r="B472" s="812" t="s">
        <v>95</v>
      </c>
      <c r="C472" s="812" t="s">
        <v>96</v>
      </c>
      <c r="D472" s="812"/>
      <c r="E472" s="813">
        <v>3.31</v>
      </c>
    </row>
    <row r="473" spans="1:5">
      <c r="A473" s="812" t="s">
        <v>382</v>
      </c>
      <c r="B473" s="812" t="s">
        <v>97</v>
      </c>
      <c r="C473" s="812" t="s">
        <v>98</v>
      </c>
      <c r="D473" s="812"/>
      <c r="E473" s="813">
        <v>-1308.53</v>
      </c>
    </row>
    <row r="474" spans="1:5">
      <c r="A474" s="812" t="s">
        <v>382</v>
      </c>
      <c r="B474" s="812" t="s">
        <v>387</v>
      </c>
      <c r="C474" s="812" t="s">
        <v>388</v>
      </c>
      <c r="D474" s="812"/>
      <c r="E474" s="813">
        <v>-184.59</v>
      </c>
    </row>
    <row r="475" spans="1:5">
      <c r="A475" s="812" t="s">
        <v>382</v>
      </c>
      <c r="B475" s="812" t="s">
        <v>107</v>
      </c>
      <c r="C475" s="812" t="s">
        <v>459</v>
      </c>
      <c r="D475" s="812" t="s">
        <v>505</v>
      </c>
      <c r="E475" s="813">
        <v>101.26</v>
      </c>
    </row>
    <row r="476" spans="1:5">
      <c r="A476" s="812" t="s">
        <v>382</v>
      </c>
      <c r="B476" s="812" t="s">
        <v>159</v>
      </c>
      <c r="C476" s="812" t="s">
        <v>497</v>
      </c>
      <c r="D476" s="812" t="s">
        <v>498</v>
      </c>
      <c r="E476" s="813">
        <v>148.79</v>
      </c>
    </row>
    <row r="477" spans="1:5">
      <c r="A477" s="812" t="s">
        <v>382</v>
      </c>
      <c r="B477" s="812" t="s">
        <v>298</v>
      </c>
      <c r="C477" s="812" t="s">
        <v>549</v>
      </c>
      <c r="D477" s="812" t="s">
        <v>584</v>
      </c>
      <c r="E477" s="813">
        <v>87.28</v>
      </c>
    </row>
    <row r="478" spans="1:5">
      <c r="A478" s="812" t="s">
        <v>382</v>
      </c>
      <c r="B478" s="812" t="s">
        <v>111</v>
      </c>
      <c r="C478" s="812" t="s">
        <v>462</v>
      </c>
      <c r="D478" s="812" t="s">
        <v>498</v>
      </c>
      <c r="E478" s="813">
        <v>144.34</v>
      </c>
    </row>
    <row r="479" spans="1:5">
      <c r="A479" s="812" t="s">
        <v>382</v>
      </c>
      <c r="B479" s="812"/>
      <c r="C479" s="812" t="s">
        <v>468</v>
      </c>
      <c r="D479" s="812"/>
      <c r="E479" s="813">
        <v>450</v>
      </c>
    </row>
    <row r="480" spans="1:5">
      <c r="A480" s="810" t="s">
        <v>389</v>
      </c>
      <c r="B480" s="810" t="s">
        <v>73</v>
      </c>
      <c r="C480" s="810" t="s">
        <v>74</v>
      </c>
      <c r="D480" s="810"/>
      <c r="E480" s="811">
        <v>3696.53</v>
      </c>
    </row>
    <row r="481" spans="1:5">
      <c r="A481" s="810" t="s">
        <v>389</v>
      </c>
      <c r="B481" s="810" t="s">
        <v>75</v>
      </c>
      <c r="C481" s="810" t="s">
        <v>76</v>
      </c>
      <c r="D481" s="810"/>
      <c r="E481" s="811">
        <v>3829.06</v>
      </c>
    </row>
    <row r="482" spans="1:5">
      <c r="A482" s="810" t="s">
        <v>389</v>
      </c>
      <c r="B482" s="810" t="s">
        <v>77</v>
      </c>
      <c r="C482" s="810" t="s">
        <v>78</v>
      </c>
      <c r="D482" s="810"/>
      <c r="E482" s="811">
        <v>3879.5</v>
      </c>
    </row>
    <row r="483" spans="1:5">
      <c r="A483" s="810" t="s">
        <v>389</v>
      </c>
      <c r="B483" s="810" t="s">
        <v>79</v>
      </c>
      <c r="C483" s="810" t="s">
        <v>80</v>
      </c>
      <c r="D483" s="810"/>
      <c r="E483" s="811">
        <v>454.74</v>
      </c>
    </row>
    <row r="484" spans="1:5">
      <c r="A484" s="810" t="s">
        <v>389</v>
      </c>
      <c r="B484" s="810" t="s">
        <v>130</v>
      </c>
      <c r="C484" s="810" t="s">
        <v>483</v>
      </c>
      <c r="D484" s="810" t="s">
        <v>561</v>
      </c>
      <c r="E484" s="811">
        <v>132.66</v>
      </c>
    </row>
    <row r="485" spans="1:5">
      <c r="A485" s="810" t="s">
        <v>389</v>
      </c>
      <c r="B485" s="810" t="s">
        <v>226</v>
      </c>
      <c r="C485" s="810" t="s">
        <v>516</v>
      </c>
      <c r="D485" s="810" t="s">
        <v>470</v>
      </c>
      <c r="E485" s="811">
        <v>96.62</v>
      </c>
    </row>
    <row r="486" spans="1:5">
      <c r="A486" s="810" t="s">
        <v>389</v>
      </c>
      <c r="B486" s="810" t="s">
        <v>89</v>
      </c>
      <c r="C486" s="810" t="s">
        <v>138</v>
      </c>
      <c r="D486" s="810" t="s">
        <v>531</v>
      </c>
      <c r="E486" s="811">
        <v>769.6</v>
      </c>
    </row>
    <row r="487" spans="1:5">
      <c r="A487" s="810" t="s">
        <v>389</v>
      </c>
      <c r="B487" s="810" t="s">
        <v>91</v>
      </c>
      <c r="C487" s="810" t="s">
        <v>363</v>
      </c>
      <c r="D487" s="810" t="s">
        <v>531</v>
      </c>
      <c r="E487" s="811">
        <v>1446.74</v>
      </c>
    </row>
    <row r="488" spans="1:5">
      <c r="A488" s="810" t="s">
        <v>389</v>
      </c>
      <c r="B488" s="810" t="s">
        <v>95</v>
      </c>
      <c r="C488" s="810" t="s">
        <v>96</v>
      </c>
      <c r="D488" s="810"/>
      <c r="E488" s="811">
        <v>281.43</v>
      </c>
    </row>
    <row r="489" spans="1:5">
      <c r="A489" s="810" t="s">
        <v>389</v>
      </c>
      <c r="B489" s="810" t="s">
        <v>97</v>
      </c>
      <c r="C489" s="810" t="s">
        <v>98</v>
      </c>
      <c r="D489" s="810"/>
      <c r="E489" s="811">
        <v>-1206.8</v>
      </c>
    </row>
    <row r="490" spans="1:5">
      <c r="A490" s="810" t="s">
        <v>389</v>
      </c>
      <c r="B490" s="810" t="s">
        <v>107</v>
      </c>
      <c r="C490" s="810" t="s">
        <v>459</v>
      </c>
      <c r="D490" s="810" t="s">
        <v>248</v>
      </c>
      <c r="E490" s="811">
        <v>98.27</v>
      </c>
    </row>
    <row r="491" spans="1:5">
      <c r="A491" s="810" t="s">
        <v>389</v>
      </c>
      <c r="B491" s="810" t="s">
        <v>159</v>
      </c>
      <c r="C491" s="810" t="s">
        <v>497</v>
      </c>
      <c r="D491" s="810" t="s">
        <v>461</v>
      </c>
      <c r="E491" s="811">
        <v>127.42</v>
      </c>
    </row>
    <row r="492" spans="1:5">
      <c r="A492" s="810" t="s">
        <v>389</v>
      </c>
      <c r="B492" s="810" t="s">
        <v>111</v>
      </c>
      <c r="C492" s="810" t="s">
        <v>462</v>
      </c>
      <c r="D492" s="810" t="s">
        <v>498</v>
      </c>
      <c r="E492" s="811">
        <v>102.17</v>
      </c>
    </row>
    <row r="493" spans="1:5">
      <c r="A493" s="810" t="s">
        <v>389</v>
      </c>
      <c r="B493" s="810"/>
      <c r="C493" s="810" t="s">
        <v>468</v>
      </c>
      <c r="D493" s="810"/>
      <c r="E493" s="811">
        <v>450</v>
      </c>
    </row>
    <row r="494" spans="1:5">
      <c r="A494" s="812" t="s">
        <v>390</v>
      </c>
      <c r="B494" s="812" t="s">
        <v>73</v>
      </c>
      <c r="C494" s="812" t="s">
        <v>74</v>
      </c>
      <c r="D494" s="812"/>
      <c r="E494" s="813">
        <v>2180.36</v>
      </c>
    </row>
    <row r="495" spans="1:5">
      <c r="A495" s="812" t="s">
        <v>390</v>
      </c>
      <c r="B495" s="812" t="s">
        <v>75</v>
      </c>
      <c r="C495" s="812" t="s">
        <v>76</v>
      </c>
      <c r="D495" s="812"/>
      <c r="E495" s="813">
        <v>2195.71</v>
      </c>
    </row>
    <row r="496" spans="1:5">
      <c r="A496" s="812" t="s">
        <v>390</v>
      </c>
      <c r="B496" s="812" t="s">
        <v>77</v>
      </c>
      <c r="C496" s="812" t="s">
        <v>78</v>
      </c>
      <c r="D496" s="812"/>
      <c r="E496" s="813">
        <v>1908.66</v>
      </c>
    </row>
    <row r="497" spans="1:5">
      <c r="A497" s="812" t="s">
        <v>390</v>
      </c>
      <c r="B497" s="812" t="s">
        <v>120</v>
      </c>
      <c r="C497" s="812" t="s">
        <v>469</v>
      </c>
      <c r="D497" s="812" t="s">
        <v>470</v>
      </c>
      <c r="E497" s="813">
        <v>113.14</v>
      </c>
    </row>
    <row r="498" spans="1:5">
      <c r="A498" s="812" t="s">
        <v>390</v>
      </c>
      <c r="B498" s="812" t="s">
        <v>89</v>
      </c>
      <c r="C498" s="812" t="s">
        <v>138</v>
      </c>
      <c r="D498" s="812"/>
      <c r="E498" s="813">
        <v>1773.36</v>
      </c>
    </row>
    <row r="499" spans="1:5">
      <c r="A499" s="812" t="s">
        <v>390</v>
      </c>
      <c r="B499" s="812" t="s">
        <v>91</v>
      </c>
      <c r="C499" s="812" t="s">
        <v>363</v>
      </c>
      <c r="D499" s="812"/>
      <c r="E499" s="813">
        <v>2806.66</v>
      </c>
    </row>
    <row r="500" spans="1:5">
      <c r="A500" s="812" t="s">
        <v>390</v>
      </c>
      <c r="B500" s="812" t="s">
        <v>95</v>
      </c>
      <c r="C500" s="812" t="s">
        <v>96</v>
      </c>
      <c r="D500" s="812"/>
      <c r="E500" s="813">
        <v>-175.85</v>
      </c>
    </row>
    <row r="501" spans="1:5">
      <c r="A501" s="812" t="s">
        <v>390</v>
      </c>
      <c r="B501" s="812" t="s">
        <v>97</v>
      </c>
      <c r="C501" s="812" t="s">
        <v>98</v>
      </c>
      <c r="D501" s="812"/>
      <c r="E501" s="813">
        <v>-1504.04</v>
      </c>
    </row>
    <row r="502" spans="1:5">
      <c r="A502" s="812" t="s">
        <v>390</v>
      </c>
      <c r="B502" s="812" t="s">
        <v>146</v>
      </c>
      <c r="C502" s="812" t="s">
        <v>490</v>
      </c>
      <c r="D502" s="812" t="s">
        <v>489</v>
      </c>
      <c r="E502" s="813">
        <v>200.6</v>
      </c>
    </row>
    <row r="503" spans="1:5">
      <c r="A503" s="812" t="s">
        <v>390</v>
      </c>
      <c r="B503" s="812" t="s">
        <v>154</v>
      </c>
      <c r="C503" s="812" t="s">
        <v>494</v>
      </c>
      <c r="D503" s="812" t="s">
        <v>495</v>
      </c>
      <c r="E503" s="813">
        <v>123.19</v>
      </c>
    </row>
    <row r="504" spans="1:5">
      <c r="A504" s="812" t="s">
        <v>390</v>
      </c>
      <c r="B504" s="812" t="s">
        <v>107</v>
      </c>
      <c r="C504" s="812" t="s">
        <v>459</v>
      </c>
      <c r="D504" s="812" t="s">
        <v>505</v>
      </c>
      <c r="E504" s="813">
        <v>115.33</v>
      </c>
    </row>
    <row r="505" spans="1:5">
      <c r="A505" s="812" t="s">
        <v>390</v>
      </c>
      <c r="B505" s="812" t="s">
        <v>298</v>
      </c>
      <c r="C505" s="812" t="s">
        <v>549</v>
      </c>
      <c r="D505" s="812" t="s">
        <v>585</v>
      </c>
      <c r="E505" s="813">
        <v>87.28</v>
      </c>
    </row>
    <row r="506" spans="1:5">
      <c r="A506" s="812" t="s">
        <v>390</v>
      </c>
      <c r="B506" s="812" t="s">
        <v>161</v>
      </c>
      <c r="C506" s="812" t="s">
        <v>499</v>
      </c>
      <c r="D506" s="812" t="s">
        <v>495</v>
      </c>
      <c r="E506" s="813">
        <v>123.19</v>
      </c>
    </row>
    <row r="507" spans="1:5">
      <c r="A507" s="812" t="s">
        <v>390</v>
      </c>
      <c r="B507" s="812"/>
      <c r="C507" s="812" t="s">
        <v>468</v>
      </c>
      <c r="D507" s="812"/>
      <c r="E507" s="813">
        <v>450</v>
      </c>
    </row>
    <row r="508" spans="1:5">
      <c r="A508" s="810" t="s">
        <v>393</v>
      </c>
      <c r="B508" s="810" t="s">
        <v>73</v>
      </c>
      <c r="C508" s="810" t="s">
        <v>74</v>
      </c>
      <c r="D508" s="810"/>
      <c r="E508" s="811">
        <v>1374.15</v>
      </c>
    </row>
    <row r="509" spans="1:5">
      <c r="A509" s="810" t="s">
        <v>393</v>
      </c>
      <c r="B509" s="810" t="s">
        <v>75</v>
      </c>
      <c r="C509" s="810" t="s">
        <v>76</v>
      </c>
      <c r="D509" s="810"/>
      <c r="E509" s="811">
        <v>1404.39</v>
      </c>
    </row>
    <row r="510" spans="1:5">
      <c r="A510" s="810" t="s">
        <v>393</v>
      </c>
      <c r="B510" s="810" t="s">
        <v>77</v>
      </c>
      <c r="C510" s="810" t="s">
        <v>78</v>
      </c>
      <c r="D510" s="810"/>
      <c r="E510" s="811">
        <v>1276.72</v>
      </c>
    </row>
    <row r="511" spans="1:5">
      <c r="A511" s="810" t="s">
        <v>393</v>
      </c>
      <c r="B511" s="810" t="s">
        <v>120</v>
      </c>
      <c r="C511" s="810" t="s">
        <v>469</v>
      </c>
      <c r="D511" s="810" t="s">
        <v>570</v>
      </c>
      <c r="E511" s="811">
        <v>78.88</v>
      </c>
    </row>
    <row r="512" spans="1:5">
      <c r="A512" s="810" t="s">
        <v>393</v>
      </c>
      <c r="B512" s="810" t="s">
        <v>270</v>
      </c>
      <c r="C512" s="810" t="s">
        <v>271</v>
      </c>
      <c r="D512" s="810"/>
      <c r="E512" s="811">
        <v>767.87</v>
      </c>
    </row>
    <row r="513" spans="1:5">
      <c r="A513" s="810" t="s">
        <v>393</v>
      </c>
      <c r="B513" s="810" t="s">
        <v>95</v>
      </c>
      <c r="C513" s="810" t="s">
        <v>96</v>
      </c>
      <c r="D513" s="810"/>
      <c r="E513" s="811">
        <v>73.31</v>
      </c>
    </row>
    <row r="514" spans="1:5">
      <c r="A514" s="810" t="s">
        <v>393</v>
      </c>
      <c r="B514" s="810" t="s">
        <v>97</v>
      </c>
      <c r="C514" s="810" t="s">
        <v>98</v>
      </c>
      <c r="D514" s="810"/>
      <c r="E514" s="811">
        <v>-2015.03</v>
      </c>
    </row>
    <row r="515" spans="1:5">
      <c r="A515" s="810" t="s">
        <v>393</v>
      </c>
      <c r="B515" s="810" t="s">
        <v>107</v>
      </c>
      <c r="C515" s="810" t="s">
        <v>459</v>
      </c>
      <c r="D515" s="810" t="s">
        <v>505</v>
      </c>
      <c r="E515" s="811">
        <v>99.95</v>
      </c>
    </row>
    <row r="516" spans="1:5">
      <c r="A516" s="810" t="s">
        <v>393</v>
      </c>
      <c r="B516" s="810" t="s">
        <v>159</v>
      </c>
      <c r="C516" s="810" t="s">
        <v>497</v>
      </c>
      <c r="D516" s="810" t="s">
        <v>461</v>
      </c>
      <c r="E516" s="811">
        <v>191.58</v>
      </c>
    </row>
    <row r="517" spans="1:5">
      <c r="A517" s="810" t="s">
        <v>393</v>
      </c>
      <c r="B517" s="810"/>
      <c r="C517" s="810" t="s">
        <v>468</v>
      </c>
      <c r="D517" s="810"/>
      <c r="E517" s="811">
        <v>450</v>
      </c>
    </row>
    <row r="518" spans="1:5">
      <c r="A518" s="812" t="s">
        <v>395</v>
      </c>
      <c r="B518" s="812" t="s">
        <v>79</v>
      </c>
      <c r="C518" s="812" t="s">
        <v>80</v>
      </c>
      <c r="D518" s="812"/>
      <c r="E518" s="813">
        <v>329.56</v>
      </c>
    </row>
    <row r="519" spans="1:5">
      <c r="A519" s="812" t="s">
        <v>395</v>
      </c>
      <c r="B519" s="812" t="s">
        <v>120</v>
      </c>
      <c r="C519" s="812" t="s">
        <v>469</v>
      </c>
      <c r="D519" s="812" t="s">
        <v>470</v>
      </c>
      <c r="E519" s="813">
        <v>104.28</v>
      </c>
    </row>
    <row r="520" spans="1:5">
      <c r="A520" s="812" t="s">
        <v>395</v>
      </c>
      <c r="B520" s="812" t="s">
        <v>83</v>
      </c>
      <c r="C520" s="812" t="s">
        <v>586</v>
      </c>
      <c r="D520" s="812" t="s">
        <v>531</v>
      </c>
      <c r="E520" s="813">
        <v>4528.43</v>
      </c>
    </row>
    <row r="521" spans="1:5">
      <c r="A521" s="812" t="s">
        <v>395</v>
      </c>
      <c r="B521" s="812" t="s">
        <v>89</v>
      </c>
      <c r="C521" s="812" t="s">
        <v>575</v>
      </c>
      <c r="D521" s="812" t="s">
        <v>531</v>
      </c>
      <c r="E521" s="813">
        <v>1143.73</v>
      </c>
    </row>
    <row r="522" spans="1:5">
      <c r="A522" s="812" t="s">
        <v>395</v>
      </c>
      <c r="B522" s="812" t="s">
        <v>91</v>
      </c>
      <c r="C522" s="812" t="s">
        <v>587</v>
      </c>
      <c r="D522" s="812" t="s">
        <v>531</v>
      </c>
      <c r="E522" s="813">
        <v>2045.1</v>
      </c>
    </row>
    <row r="523" spans="1:5">
      <c r="A523" s="812" t="s">
        <v>395</v>
      </c>
      <c r="B523" s="812" t="s">
        <v>365</v>
      </c>
      <c r="C523" s="812" t="s">
        <v>588</v>
      </c>
      <c r="D523" s="812" t="s">
        <v>531</v>
      </c>
      <c r="E523" s="813">
        <v>1566.71</v>
      </c>
    </row>
    <row r="524" spans="1:5">
      <c r="A524" s="812" t="s">
        <v>395</v>
      </c>
      <c r="B524" s="812" t="s">
        <v>294</v>
      </c>
      <c r="C524" s="812" t="s">
        <v>581</v>
      </c>
      <c r="D524" s="812" t="s">
        <v>531</v>
      </c>
      <c r="E524" s="813">
        <v>2474.06</v>
      </c>
    </row>
    <row r="525" spans="1:5">
      <c r="A525" s="812" t="s">
        <v>395</v>
      </c>
      <c r="B525" s="812" t="s">
        <v>97</v>
      </c>
      <c r="C525" s="812" t="s">
        <v>98</v>
      </c>
      <c r="D525" s="812"/>
      <c r="E525" s="813">
        <v>-853.7</v>
      </c>
    </row>
    <row r="526" spans="1:5">
      <c r="A526" s="812" t="s">
        <v>395</v>
      </c>
      <c r="B526" s="812" t="s">
        <v>172</v>
      </c>
      <c r="C526" s="812" t="s">
        <v>173</v>
      </c>
      <c r="D526" s="812"/>
      <c r="E526" s="813">
        <v>560.30999999999995</v>
      </c>
    </row>
    <row r="527" spans="1:5">
      <c r="A527" s="812" t="s">
        <v>395</v>
      </c>
      <c r="B527" s="812" t="s">
        <v>352</v>
      </c>
      <c r="C527" s="812" t="s">
        <v>534</v>
      </c>
      <c r="D527" s="812" t="s">
        <v>458</v>
      </c>
      <c r="E527" s="813">
        <v>80.33</v>
      </c>
    </row>
    <row r="528" spans="1:5">
      <c r="A528" s="812" t="s">
        <v>395</v>
      </c>
      <c r="B528" s="812" t="s">
        <v>369</v>
      </c>
      <c r="C528" s="812" t="s">
        <v>582</v>
      </c>
      <c r="D528" s="812" t="s">
        <v>523</v>
      </c>
      <c r="E528" s="813">
        <v>80.33</v>
      </c>
    </row>
    <row r="529" spans="1:5">
      <c r="A529" s="812" t="s">
        <v>395</v>
      </c>
      <c r="B529" s="812" t="s">
        <v>105</v>
      </c>
      <c r="C529" s="812" t="s">
        <v>243</v>
      </c>
      <c r="D529" s="812" t="s">
        <v>523</v>
      </c>
      <c r="E529" s="813">
        <v>80.33</v>
      </c>
    </row>
    <row r="530" spans="1:5">
      <c r="A530" s="812" t="s">
        <v>395</v>
      </c>
      <c r="B530" s="812" t="s">
        <v>152</v>
      </c>
      <c r="C530" s="812" t="s">
        <v>492</v>
      </c>
      <c r="D530" s="812" t="s">
        <v>463</v>
      </c>
      <c r="E530" s="813">
        <v>108.77</v>
      </c>
    </row>
    <row r="531" spans="1:5">
      <c r="A531" s="812" t="s">
        <v>395</v>
      </c>
      <c r="B531" s="812" t="s">
        <v>107</v>
      </c>
      <c r="C531" s="812" t="s">
        <v>459</v>
      </c>
      <c r="D531" s="812" t="s">
        <v>248</v>
      </c>
      <c r="E531" s="813">
        <v>86.82</v>
      </c>
    </row>
    <row r="532" spans="1:5">
      <c r="A532" s="812" t="s">
        <v>395</v>
      </c>
      <c r="B532" s="812" t="s">
        <v>159</v>
      </c>
      <c r="C532" s="812" t="s">
        <v>497</v>
      </c>
      <c r="D532" s="812" t="s">
        <v>498</v>
      </c>
      <c r="E532" s="813">
        <v>112.25</v>
      </c>
    </row>
    <row r="533" spans="1:5">
      <c r="A533" s="812" t="s">
        <v>395</v>
      </c>
      <c r="B533" s="812" t="s">
        <v>111</v>
      </c>
      <c r="C533" s="812" t="s">
        <v>462</v>
      </c>
      <c r="D533" s="812" t="s">
        <v>498</v>
      </c>
      <c r="E533" s="813">
        <v>112.55</v>
      </c>
    </row>
    <row r="534" spans="1:5">
      <c r="A534" s="812" t="s">
        <v>395</v>
      </c>
      <c r="B534" s="812"/>
      <c r="C534" s="812" t="s">
        <v>468</v>
      </c>
      <c r="D534" s="812"/>
      <c r="E534" s="813">
        <v>450</v>
      </c>
    </row>
    <row r="535" spans="1:5">
      <c r="A535" s="810" t="s">
        <v>589</v>
      </c>
      <c r="B535" s="810" t="s">
        <v>79</v>
      </c>
      <c r="C535" s="810" t="s">
        <v>80</v>
      </c>
      <c r="D535" s="810"/>
      <c r="E535" s="811">
        <v>350.15</v>
      </c>
    </row>
    <row r="536" spans="1:5">
      <c r="A536" s="810" t="s">
        <v>589</v>
      </c>
      <c r="B536" s="810" t="s">
        <v>95</v>
      </c>
      <c r="C536" s="810" t="s">
        <v>96</v>
      </c>
      <c r="D536" s="810"/>
      <c r="E536" s="811">
        <v>671.39</v>
      </c>
    </row>
    <row r="537" spans="1:5">
      <c r="A537" s="810" t="s">
        <v>589</v>
      </c>
      <c r="B537" s="810" t="s">
        <v>97</v>
      </c>
      <c r="C537" s="810" t="s">
        <v>98</v>
      </c>
      <c r="D537" s="810"/>
      <c r="E537" s="811">
        <v>193.4</v>
      </c>
    </row>
    <row r="538" spans="1:5">
      <c r="A538" s="810" t="s">
        <v>589</v>
      </c>
      <c r="B538" s="810" t="s">
        <v>172</v>
      </c>
      <c r="C538" s="810" t="s">
        <v>173</v>
      </c>
      <c r="D538" s="810"/>
      <c r="E538" s="811">
        <v>-494.04</v>
      </c>
    </row>
    <row r="539" spans="1:5">
      <c r="A539" s="810" t="s">
        <v>589</v>
      </c>
      <c r="B539" s="810" t="s">
        <v>105</v>
      </c>
      <c r="C539" s="810" t="s">
        <v>243</v>
      </c>
      <c r="D539" s="810" t="s">
        <v>580</v>
      </c>
      <c r="E539" s="811">
        <v>115.02</v>
      </c>
    </row>
    <row r="540" spans="1:5">
      <c r="A540" s="810" t="s">
        <v>589</v>
      </c>
      <c r="B540" s="810" t="s">
        <v>107</v>
      </c>
      <c r="C540" s="810" t="s">
        <v>459</v>
      </c>
      <c r="D540" s="810" t="s">
        <v>590</v>
      </c>
      <c r="E540" s="811">
        <v>128.61000000000001</v>
      </c>
    </row>
    <row r="541" spans="1:5">
      <c r="A541" s="810" t="s">
        <v>589</v>
      </c>
      <c r="B541" s="810" t="s">
        <v>159</v>
      </c>
      <c r="C541" s="810" t="s">
        <v>497</v>
      </c>
      <c r="D541" s="810" t="s">
        <v>498</v>
      </c>
      <c r="E541" s="811">
        <v>176.23</v>
      </c>
    </row>
    <row r="542" spans="1:5">
      <c r="A542" s="810" t="s">
        <v>589</v>
      </c>
      <c r="B542" s="810" t="s">
        <v>111</v>
      </c>
      <c r="C542" s="810" t="s">
        <v>462</v>
      </c>
      <c r="D542" s="810" t="s">
        <v>498</v>
      </c>
      <c r="E542" s="811">
        <v>176.23</v>
      </c>
    </row>
    <row r="543" spans="1:5">
      <c r="A543" s="810" t="s">
        <v>589</v>
      </c>
      <c r="B543" s="810"/>
      <c r="C543" s="810" t="s">
        <v>468</v>
      </c>
      <c r="D543" s="810"/>
      <c r="E543" s="811">
        <v>450</v>
      </c>
    </row>
    <row r="544" spans="1:5">
      <c r="A544" s="812" t="s">
        <v>591</v>
      </c>
      <c r="B544" s="812" t="s">
        <v>79</v>
      </c>
      <c r="C544" s="812" t="s">
        <v>80</v>
      </c>
      <c r="D544" s="812"/>
      <c r="E544" s="813">
        <v>297.87</v>
      </c>
    </row>
    <row r="545" spans="1:5">
      <c r="A545" s="812" t="s">
        <v>591</v>
      </c>
      <c r="B545" s="812" t="s">
        <v>95</v>
      </c>
      <c r="C545" s="812" t="s">
        <v>96</v>
      </c>
      <c r="D545" s="812"/>
      <c r="E545" s="813">
        <v>685.56</v>
      </c>
    </row>
    <row r="546" spans="1:5">
      <c r="A546" s="812" t="s">
        <v>591</v>
      </c>
      <c r="B546" s="812" t="s">
        <v>97</v>
      </c>
      <c r="C546" s="812" t="s">
        <v>98</v>
      </c>
      <c r="D546" s="812"/>
      <c r="E546" s="813">
        <v>693.2</v>
      </c>
    </row>
    <row r="547" spans="1:5">
      <c r="A547" s="812" t="s">
        <v>591</v>
      </c>
      <c r="B547" s="812" t="s">
        <v>172</v>
      </c>
      <c r="C547" s="812" t="s">
        <v>173</v>
      </c>
      <c r="D547" s="812"/>
      <c r="E547" s="813">
        <v>-545.59</v>
      </c>
    </row>
    <row r="548" spans="1:5">
      <c r="A548" s="812" t="s">
        <v>591</v>
      </c>
      <c r="B548" s="812" t="s">
        <v>105</v>
      </c>
      <c r="C548" s="812" t="s">
        <v>243</v>
      </c>
      <c r="D548" s="812" t="s">
        <v>580</v>
      </c>
      <c r="E548" s="813">
        <v>115.02</v>
      </c>
    </row>
    <row r="549" spans="1:5">
      <c r="A549" s="812" t="s">
        <v>591</v>
      </c>
      <c r="B549" s="812" t="s">
        <v>107</v>
      </c>
      <c r="C549" s="812" t="s">
        <v>459</v>
      </c>
      <c r="D549" s="812" t="s">
        <v>590</v>
      </c>
      <c r="E549" s="813">
        <v>128.61000000000001</v>
      </c>
    </row>
    <row r="550" spans="1:5">
      <c r="A550" s="812" t="s">
        <v>591</v>
      </c>
      <c r="B550" s="812" t="s">
        <v>159</v>
      </c>
      <c r="C550" s="812" t="s">
        <v>497</v>
      </c>
      <c r="D550" s="812" t="s">
        <v>498</v>
      </c>
      <c r="E550" s="813">
        <v>176.23</v>
      </c>
    </row>
    <row r="551" spans="1:5">
      <c r="A551" s="812" t="s">
        <v>591</v>
      </c>
      <c r="B551" s="812" t="s">
        <v>111</v>
      </c>
      <c r="C551" s="812" t="s">
        <v>462</v>
      </c>
      <c r="D551" s="812" t="s">
        <v>498</v>
      </c>
      <c r="E551" s="813">
        <v>176.23</v>
      </c>
    </row>
    <row r="552" spans="1:5">
      <c r="A552" s="812" t="s">
        <v>591</v>
      </c>
      <c r="B552" s="812"/>
      <c r="C552" s="812" t="s">
        <v>468</v>
      </c>
      <c r="D552" s="812"/>
      <c r="E552" s="813">
        <v>450</v>
      </c>
    </row>
    <row r="553" spans="1:5">
      <c r="A553" s="810" t="s">
        <v>592</v>
      </c>
      <c r="B553" s="810" t="s">
        <v>95</v>
      </c>
      <c r="C553" s="810" t="s">
        <v>96</v>
      </c>
      <c r="D553" s="810"/>
      <c r="E553" s="811">
        <v>2391.7600000000002</v>
      </c>
    </row>
    <row r="554" spans="1:5">
      <c r="A554" s="810" t="s">
        <v>592</v>
      </c>
      <c r="B554" s="810" t="s">
        <v>97</v>
      </c>
      <c r="C554" s="810" t="s">
        <v>98</v>
      </c>
      <c r="D554" s="810"/>
      <c r="E554" s="811">
        <v>821.9</v>
      </c>
    </row>
    <row r="555" spans="1:5">
      <c r="A555" s="810" t="s">
        <v>592</v>
      </c>
      <c r="B555" s="810" t="s">
        <v>172</v>
      </c>
      <c r="C555" s="810" t="s">
        <v>173</v>
      </c>
      <c r="D555" s="810"/>
      <c r="E555" s="811">
        <v>87.17</v>
      </c>
    </row>
    <row r="556" spans="1:5">
      <c r="A556" s="810" t="s">
        <v>592</v>
      </c>
      <c r="B556" s="810" t="s">
        <v>111</v>
      </c>
      <c r="C556" s="810" t="s">
        <v>462</v>
      </c>
      <c r="D556" s="810" t="s">
        <v>498</v>
      </c>
      <c r="E556" s="811">
        <v>108.9</v>
      </c>
    </row>
    <row r="557" spans="1:5">
      <c r="A557" s="810" t="s">
        <v>592</v>
      </c>
      <c r="B557" s="810"/>
      <c r="C557" s="810" t="s">
        <v>468</v>
      </c>
      <c r="D557" s="810"/>
      <c r="E557" s="811">
        <v>450</v>
      </c>
    </row>
    <row r="558" spans="1:5">
      <c r="A558" s="812" t="s">
        <v>593</v>
      </c>
      <c r="B558" s="812" t="s">
        <v>95</v>
      </c>
      <c r="C558" s="812" t="s">
        <v>96</v>
      </c>
      <c r="D558" s="812"/>
      <c r="E558" s="813">
        <v>2252.12</v>
      </c>
    </row>
    <row r="559" spans="1:5">
      <c r="A559" s="812" t="s">
        <v>593</v>
      </c>
      <c r="B559" s="812" t="s">
        <v>97</v>
      </c>
      <c r="C559" s="812" t="s">
        <v>98</v>
      </c>
      <c r="D559" s="812"/>
      <c r="E559" s="813">
        <v>573.57000000000005</v>
      </c>
    </row>
    <row r="560" spans="1:5">
      <c r="A560" s="812" t="s">
        <v>593</v>
      </c>
      <c r="B560" s="812" t="s">
        <v>172</v>
      </c>
      <c r="C560" s="812" t="s">
        <v>173</v>
      </c>
      <c r="D560" s="812"/>
      <c r="E560" s="813">
        <v>2825.57</v>
      </c>
    </row>
    <row r="561" spans="1:5">
      <c r="A561" s="812" t="s">
        <v>593</v>
      </c>
      <c r="B561" s="812" t="s">
        <v>111</v>
      </c>
      <c r="C561" s="812" t="s">
        <v>462</v>
      </c>
      <c r="D561" s="812" t="s">
        <v>506</v>
      </c>
      <c r="E561" s="813">
        <v>108.93</v>
      </c>
    </row>
    <row r="562" spans="1:5">
      <c r="A562" s="812" t="s">
        <v>593</v>
      </c>
      <c r="B562" s="812"/>
      <c r="C562" s="812" t="s">
        <v>468</v>
      </c>
      <c r="D562" s="812"/>
      <c r="E562" s="813">
        <v>450</v>
      </c>
    </row>
    <row r="563" spans="1:5">
      <c r="A563" s="810" t="s">
        <v>594</v>
      </c>
      <c r="B563" s="810" t="s">
        <v>95</v>
      </c>
      <c r="C563" s="810" t="s">
        <v>96</v>
      </c>
      <c r="D563" s="810"/>
      <c r="E563" s="811">
        <v>1753.89</v>
      </c>
    </row>
    <row r="564" spans="1:5">
      <c r="A564" s="810" t="s">
        <v>594</v>
      </c>
      <c r="B564" s="810" t="s">
        <v>97</v>
      </c>
      <c r="C564" s="810" t="s">
        <v>98</v>
      </c>
      <c r="D564" s="810"/>
      <c r="E564" s="811">
        <v>147.19999999999999</v>
      </c>
    </row>
    <row r="565" spans="1:5">
      <c r="A565" s="810" t="s">
        <v>594</v>
      </c>
      <c r="B565" s="810" t="s">
        <v>172</v>
      </c>
      <c r="C565" s="810" t="s">
        <v>173</v>
      </c>
      <c r="D565" s="810"/>
      <c r="E565" s="811">
        <v>1047.06</v>
      </c>
    </row>
    <row r="566" spans="1:5">
      <c r="A566" s="810" t="s">
        <v>594</v>
      </c>
      <c r="B566" s="810" t="s">
        <v>111</v>
      </c>
      <c r="C566" s="810" t="s">
        <v>462</v>
      </c>
      <c r="D566" s="810" t="s">
        <v>580</v>
      </c>
      <c r="E566" s="811">
        <v>108.93</v>
      </c>
    </row>
    <row r="567" spans="1:5">
      <c r="A567" s="810" t="s">
        <v>594</v>
      </c>
      <c r="B567" s="810"/>
      <c r="C567" s="810" t="s">
        <v>468</v>
      </c>
      <c r="D567" s="810"/>
      <c r="E567" s="811">
        <v>450</v>
      </c>
    </row>
    <row r="568" spans="1:5">
      <c r="A568" s="812" t="s">
        <v>595</v>
      </c>
      <c r="B568" s="812" t="s">
        <v>95</v>
      </c>
      <c r="C568" s="812" t="s">
        <v>96</v>
      </c>
      <c r="D568" s="812"/>
      <c r="E568" s="813">
        <v>3679.42</v>
      </c>
    </row>
    <row r="569" spans="1:5">
      <c r="A569" s="812" t="s">
        <v>595</v>
      </c>
      <c r="B569" s="812" t="s">
        <v>97</v>
      </c>
      <c r="C569" s="812" t="s">
        <v>98</v>
      </c>
      <c r="D569" s="812"/>
      <c r="E569" s="813">
        <v>4486.51</v>
      </c>
    </row>
    <row r="570" spans="1:5">
      <c r="A570" s="812" t="s">
        <v>595</v>
      </c>
      <c r="B570" s="812" t="s">
        <v>369</v>
      </c>
      <c r="C570" s="812" t="s">
        <v>582</v>
      </c>
      <c r="D570" s="812" t="s">
        <v>458</v>
      </c>
      <c r="E570" s="813">
        <v>90.5</v>
      </c>
    </row>
    <row r="571" spans="1:5">
      <c r="A571" s="812" t="s">
        <v>595</v>
      </c>
      <c r="B571" s="812" t="s">
        <v>111</v>
      </c>
      <c r="C571" s="812" t="s">
        <v>462</v>
      </c>
      <c r="D571" s="812" t="s">
        <v>596</v>
      </c>
      <c r="E571" s="813">
        <v>108.93</v>
      </c>
    </row>
    <row r="572" spans="1:5">
      <c r="A572" s="994" t="s">
        <v>595</v>
      </c>
      <c r="B572" s="994"/>
      <c r="C572" s="994" t="s">
        <v>468</v>
      </c>
      <c r="D572" s="994"/>
      <c r="E572" s="995">
        <v>450</v>
      </c>
    </row>
    <row r="573" spans="1:5">
      <c r="A573" s="993" t="s">
        <v>597</v>
      </c>
      <c r="B573" s="993" t="s">
        <v>287</v>
      </c>
      <c r="C573" s="993" t="s">
        <v>288</v>
      </c>
      <c r="D573" s="993"/>
      <c r="E573" s="810"/>
    </row>
    <row r="574" spans="1:5">
      <c r="A574" s="993" t="s">
        <v>597</v>
      </c>
      <c r="B574" s="993" t="s">
        <v>233</v>
      </c>
      <c r="C574" s="993" t="s">
        <v>234</v>
      </c>
      <c r="D574" s="993"/>
      <c r="E574" s="810"/>
    </row>
    <row r="575" spans="1:5">
      <c r="A575" s="993" t="s">
        <v>597</v>
      </c>
      <c r="B575" s="993" t="s">
        <v>235</v>
      </c>
      <c r="C575" s="993" t="s">
        <v>236</v>
      </c>
      <c r="D575" s="993"/>
      <c r="E575" s="810"/>
    </row>
    <row r="576" spans="1:5">
      <c r="A576" s="993" t="s">
        <v>597</v>
      </c>
      <c r="B576" s="993" t="s">
        <v>237</v>
      </c>
      <c r="C576" s="993" t="s">
        <v>238</v>
      </c>
      <c r="D576" s="993"/>
      <c r="E576" s="810"/>
    </row>
    <row r="577" spans="1:5">
      <c r="A577" s="993" t="s">
        <v>597</v>
      </c>
      <c r="B577" s="993" t="s">
        <v>73</v>
      </c>
      <c r="C577" s="993" t="s">
        <v>74</v>
      </c>
      <c r="D577" s="993"/>
      <c r="E577" s="810"/>
    </row>
    <row r="578" spans="1:5">
      <c r="A578" s="993" t="s">
        <v>597</v>
      </c>
      <c r="B578" s="993" t="s">
        <v>75</v>
      </c>
      <c r="C578" s="993" t="s">
        <v>76</v>
      </c>
      <c r="D578" s="993"/>
      <c r="E578" s="810"/>
    </row>
    <row r="579" spans="1:5">
      <c r="A579" s="993" t="s">
        <v>597</v>
      </c>
      <c r="B579" s="993" t="s">
        <v>77</v>
      </c>
      <c r="C579" s="993" t="s">
        <v>78</v>
      </c>
      <c r="D579" s="993"/>
      <c r="E579" s="810"/>
    </row>
    <row r="580" spans="1:5">
      <c r="A580" s="993" t="s">
        <v>597</v>
      </c>
      <c r="B580" s="993" t="s">
        <v>338</v>
      </c>
      <c r="C580" s="993" t="s">
        <v>598</v>
      </c>
      <c r="D580" s="993"/>
      <c r="E580" s="810"/>
    </row>
    <row r="581" spans="1:5">
      <c r="A581" s="993" t="s">
        <v>597</v>
      </c>
      <c r="B581" s="993" t="s">
        <v>120</v>
      </c>
      <c r="C581" s="993" t="s">
        <v>394</v>
      </c>
      <c r="D581" s="993"/>
      <c r="E581" s="810"/>
    </row>
    <row r="582" spans="1:5">
      <c r="A582" s="993" t="s">
        <v>597</v>
      </c>
      <c r="B582" s="993" t="s">
        <v>186</v>
      </c>
      <c r="C582" s="993" t="s">
        <v>187</v>
      </c>
      <c r="D582" s="993"/>
      <c r="E582" s="810"/>
    </row>
    <row r="583" spans="1:5">
      <c r="A583" s="993" t="s">
        <v>597</v>
      </c>
      <c r="B583" s="993" t="s">
        <v>81</v>
      </c>
      <c r="C583" s="993" t="s">
        <v>82</v>
      </c>
      <c r="D583" s="993"/>
      <c r="E583" s="810"/>
    </row>
    <row r="584" spans="1:5">
      <c r="A584" s="993" t="s">
        <v>597</v>
      </c>
      <c r="B584" s="993" t="s">
        <v>89</v>
      </c>
      <c r="C584" s="993" t="s">
        <v>293</v>
      </c>
      <c r="D584" s="993"/>
      <c r="E584" s="810"/>
    </row>
    <row r="585" spans="1:5">
      <c r="A585" s="993" t="s">
        <v>597</v>
      </c>
      <c r="B585" s="993" t="s">
        <v>91</v>
      </c>
      <c r="C585" s="993" t="s">
        <v>259</v>
      </c>
      <c r="D585" s="993"/>
      <c r="E585" s="810"/>
    </row>
    <row r="586" spans="1:5">
      <c r="A586" s="993" t="s">
        <v>597</v>
      </c>
      <c r="B586" s="993" t="s">
        <v>124</v>
      </c>
      <c r="C586" s="993" t="s">
        <v>139</v>
      </c>
      <c r="D586" s="993"/>
      <c r="E586" s="993"/>
    </row>
    <row r="587" spans="1:5">
      <c r="A587" s="993" t="s">
        <v>597</v>
      </c>
      <c r="B587" s="993" t="s">
        <v>140</v>
      </c>
      <c r="C587" s="993" t="s">
        <v>141</v>
      </c>
      <c r="D587" s="993"/>
      <c r="E587" s="993"/>
    </row>
    <row r="588" spans="1:5">
      <c r="A588" s="993" t="s">
        <v>597</v>
      </c>
      <c r="B588" s="993" t="s">
        <v>142</v>
      </c>
      <c r="C588" s="993" t="s">
        <v>143</v>
      </c>
      <c r="D588" s="993"/>
      <c r="E588" s="993"/>
    </row>
    <row r="589" spans="1:5">
      <c r="A589" s="993" t="s">
        <v>597</v>
      </c>
      <c r="B589" s="993" t="s">
        <v>95</v>
      </c>
      <c r="C589" s="993" t="s">
        <v>96</v>
      </c>
      <c r="D589" s="993"/>
      <c r="E589" s="993"/>
    </row>
    <row r="590" spans="1:5">
      <c r="A590" s="993" t="s">
        <v>597</v>
      </c>
      <c r="B590" s="993" t="s">
        <v>97</v>
      </c>
      <c r="C590" s="993" t="s">
        <v>98</v>
      </c>
      <c r="D590" s="993"/>
      <c r="E590" s="993"/>
    </row>
    <row r="591" spans="1:5">
      <c r="A591" s="993" t="s">
        <v>597</v>
      </c>
      <c r="B591" s="993" t="s">
        <v>521</v>
      </c>
      <c r="C591" s="993" t="s">
        <v>522</v>
      </c>
      <c r="D591" s="993"/>
      <c r="E591" s="993"/>
    </row>
    <row r="592" spans="1:5">
      <c r="A592" s="993" t="s">
        <v>597</v>
      </c>
      <c r="B592" s="993" t="s">
        <v>200</v>
      </c>
      <c r="C592" s="993" t="s">
        <v>599</v>
      </c>
      <c r="D592" s="993"/>
      <c r="E592" s="993"/>
    </row>
    <row r="593" spans="1:5">
      <c r="A593" s="993" t="s">
        <v>597</v>
      </c>
      <c r="B593" s="993" t="s">
        <v>105</v>
      </c>
      <c r="C593" s="993" t="s">
        <v>371</v>
      </c>
      <c r="D593" s="993"/>
      <c r="E593" s="993"/>
    </row>
    <row r="594" spans="1:5">
      <c r="A594" s="993" t="s">
        <v>597</v>
      </c>
      <c r="B594" s="993" t="s">
        <v>107</v>
      </c>
      <c r="C594" s="993" t="s">
        <v>156</v>
      </c>
      <c r="D594" s="993"/>
      <c r="E594" s="993"/>
    </row>
    <row r="595" spans="1:5">
      <c r="A595" s="993" t="s">
        <v>597</v>
      </c>
      <c r="B595" s="993" t="s">
        <v>111</v>
      </c>
      <c r="C595" s="993" t="s">
        <v>126</v>
      </c>
      <c r="D595" s="993"/>
      <c r="E595" s="993"/>
    </row>
    <row r="596" spans="1:5">
      <c r="A596" s="996" t="s">
        <v>600</v>
      </c>
      <c r="B596" s="996" t="s">
        <v>287</v>
      </c>
      <c r="C596" s="996" t="s">
        <v>288</v>
      </c>
      <c r="D596" s="996"/>
      <c r="E596" s="996"/>
    </row>
    <row r="597" spans="1:5">
      <c r="A597" s="996" t="s">
        <v>600</v>
      </c>
      <c r="B597" s="996" t="s">
        <v>73</v>
      </c>
      <c r="C597" s="996" t="s">
        <v>74</v>
      </c>
      <c r="D597" s="996"/>
      <c r="E597" s="996"/>
    </row>
    <row r="598" spans="1:5">
      <c r="A598" s="996" t="s">
        <v>600</v>
      </c>
      <c r="B598" s="996" t="s">
        <v>75</v>
      </c>
      <c r="C598" s="996" t="s">
        <v>76</v>
      </c>
      <c r="D598" s="996"/>
      <c r="E598" s="996"/>
    </row>
    <row r="599" spans="1:5">
      <c r="A599" s="996" t="s">
        <v>600</v>
      </c>
      <c r="B599" s="996" t="s">
        <v>77</v>
      </c>
      <c r="C599" s="996" t="s">
        <v>78</v>
      </c>
      <c r="D599" s="996"/>
      <c r="E599" s="996"/>
    </row>
    <row r="600" spans="1:5">
      <c r="A600" s="996" t="s">
        <v>600</v>
      </c>
      <c r="B600" s="996" t="s">
        <v>338</v>
      </c>
      <c r="C600" s="996" t="s">
        <v>601</v>
      </c>
      <c r="D600" s="996"/>
      <c r="E600" s="996"/>
    </row>
    <row r="601" spans="1:5">
      <c r="A601" s="996" t="s">
        <v>600</v>
      </c>
      <c r="B601" s="996" t="s">
        <v>81</v>
      </c>
      <c r="C601" s="996" t="s">
        <v>82</v>
      </c>
      <c r="D601" s="996"/>
      <c r="E601" s="996"/>
    </row>
    <row r="602" spans="1:5">
      <c r="A602" s="996" t="s">
        <v>600</v>
      </c>
      <c r="B602" s="996" t="s">
        <v>134</v>
      </c>
      <c r="C602" s="996" t="s">
        <v>135</v>
      </c>
      <c r="D602" s="996"/>
      <c r="E602" s="996"/>
    </row>
    <row r="603" spans="1:5">
      <c r="A603" s="996" t="s">
        <v>600</v>
      </c>
      <c r="B603" s="996" t="s">
        <v>83</v>
      </c>
      <c r="C603" s="996" t="s">
        <v>602</v>
      </c>
      <c r="D603" s="996"/>
      <c r="E603" s="996"/>
    </row>
    <row r="604" spans="1:5">
      <c r="A604" s="996" t="s">
        <v>600</v>
      </c>
      <c r="B604" s="996" t="s">
        <v>89</v>
      </c>
      <c r="C604" s="996" t="s">
        <v>293</v>
      </c>
      <c r="D604" s="996"/>
      <c r="E604" s="996"/>
    </row>
    <row r="605" spans="1:5">
      <c r="A605" s="996" t="s">
        <v>600</v>
      </c>
      <c r="B605" s="996" t="s">
        <v>124</v>
      </c>
      <c r="C605" s="996" t="s">
        <v>139</v>
      </c>
      <c r="D605" s="996"/>
      <c r="E605" s="996"/>
    </row>
    <row r="606" spans="1:5">
      <c r="A606" s="996" t="s">
        <v>600</v>
      </c>
      <c r="B606" s="996" t="s">
        <v>140</v>
      </c>
      <c r="C606" s="996" t="s">
        <v>141</v>
      </c>
      <c r="D606" s="996"/>
      <c r="E606" s="996"/>
    </row>
    <row r="607" spans="1:5">
      <c r="A607" s="996" t="s">
        <v>600</v>
      </c>
      <c r="B607" s="996" t="s">
        <v>142</v>
      </c>
      <c r="C607" s="996" t="s">
        <v>143</v>
      </c>
      <c r="D607" s="996"/>
      <c r="E607" s="996"/>
    </row>
    <row r="608" spans="1:5">
      <c r="A608" s="996" t="s">
        <v>600</v>
      </c>
      <c r="B608" s="996" t="s">
        <v>95</v>
      </c>
      <c r="C608" s="996" t="s">
        <v>96</v>
      </c>
      <c r="D608" s="996"/>
      <c r="E608" s="996"/>
    </row>
    <row r="609" spans="1:5">
      <c r="A609" s="996" t="s">
        <v>600</v>
      </c>
      <c r="B609" s="996" t="s">
        <v>97</v>
      </c>
      <c r="C609" s="996" t="s">
        <v>98</v>
      </c>
      <c r="D609" s="996"/>
      <c r="E609" s="996"/>
    </row>
    <row r="610" spans="1:5">
      <c r="A610" s="996" t="s">
        <v>600</v>
      </c>
      <c r="B610" s="996" t="s">
        <v>521</v>
      </c>
      <c r="C610" s="996" t="s">
        <v>522</v>
      </c>
      <c r="D610" s="996"/>
      <c r="E610" s="996"/>
    </row>
    <row r="611" spans="1:5">
      <c r="A611" s="996" t="s">
        <v>600</v>
      </c>
      <c r="B611" s="996" t="s">
        <v>99</v>
      </c>
      <c r="C611" s="996" t="s">
        <v>603</v>
      </c>
      <c r="D611" s="996"/>
      <c r="E611" s="996"/>
    </row>
    <row r="612" spans="1:5">
      <c r="A612" s="996" t="s">
        <v>600</v>
      </c>
      <c r="B612" s="996" t="s">
        <v>200</v>
      </c>
      <c r="C612" s="996" t="s">
        <v>201</v>
      </c>
      <c r="D612" s="996"/>
      <c r="E612" s="996"/>
    </row>
    <row r="613" spans="1:5">
      <c r="A613" s="996" t="s">
        <v>600</v>
      </c>
      <c r="B613" s="996" t="s">
        <v>146</v>
      </c>
      <c r="C613" s="996" t="s">
        <v>604</v>
      </c>
      <c r="D613" s="996"/>
      <c r="E613" s="996"/>
    </row>
    <row r="614" spans="1:5">
      <c r="A614" s="996" t="s">
        <v>600</v>
      </c>
      <c r="B614" s="996" t="s">
        <v>105</v>
      </c>
      <c r="C614" s="996" t="s">
        <v>605</v>
      </c>
      <c r="D614" s="996"/>
      <c r="E614" s="996"/>
    </row>
    <row r="615" spans="1:5">
      <c r="A615" s="996" t="s">
        <v>600</v>
      </c>
      <c r="B615" s="996" t="s">
        <v>152</v>
      </c>
      <c r="C615" s="996" t="s">
        <v>372</v>
      </c>
      <c r="D615" s="996"/>
      <c r="E615" s="996"/>
    </row>
    <row r="616" spans="1:5">
      <c r="A616" s="996" t="s">
        <v>600</v>
      </c>
      <c r="B616" s="996" t="s">
        <v>107</v>
      </c>
      <c r="C616" s="996" t="s">
        <v>184</v>
      </c>
      <c r="D616" s="996"/>
      <c r="E616" s="996"/>
    </row>
    <row r="617" spans="1:5">
      <c r="A617" s="996" t="s">
        <v>600</v>
      </c>
      <c r="B617" s="996" t="s">
        <v>111</v>
      </c>
      <c r="C617" s="996" t="s">
        <v>126</v>
      </c>
      <c r="D617" s="996"/>
      <c r="E617" s="996"/>
    </row>
    <row r="618" spans="1:5">
      <c r="A618" s="993" t="s">
        <v>606</v>
      </c>
      <c r="B618" s="993" t="s">
        <v>287</v>
      </c>
      <c r="C618" s="993" t="s">
        <v>288</v>
      </c>
      <c r="D618" s="993"/>
      <c r="E618" s="993"/>
    </row>
    <row r="619" spans="1:5">
      <c r="A619" s="993" t="s">
        <v>606</v>
      </c>
      <c r="B619" s="993" t="s">
        <v>191</v>
      </c>
      <c r="C619" s="993" t="s">
        <v>358</v>
      </c>
      <c r="D619" s="993"/>
      <c r="E619" s="993"/>
    </row>
    <row r="620" spans="1:5">
      <c r="A620" s="993" t="s">
        <v>606</v>
      </c>
      <c r="B620" s="993" t="s">
        <v>186</v>
      </c>
      <c r="C620" s="993" t="s">
        <v>187</v>
      </c>
      <c r="D620" s="993"/>
      <c r="E620" s="993"/>
    </row>
    <row r="621" spans="1:5">
      <c r="A621" s="993" t="s">
        <v>606</v>
      </c>
      <c r="B621" s="993" t="s">
        <v>132</v>
      </c>
      <c r="C621" s="993" t="s">
        <v>133</v>
      </c>
      <c r="D621" s="993"/>
      <c r="E621" s="993"/>
    </row>
    <row r="622" spans="1:5">
      <c r="A622" s="993" t="s">
        <v>606</v>
      </c>
      <c r="B622" s="993" t="s">
        <v>81</v>
      </c>
      <c r="C622" s="993" t="s">
        <v>82</v>
      </c>
      <c r="D622" s="993"/>
      <c r="E622" s="993"/>
    </row>
    <row r="623" spans="1:5">
      <c r="A623" s="993" t="s">
        <v>606</v>
      </c>
      <c r="B623" s="993" t="s">
        <v>83</v>
      </c>
      <c r="C623" s="993" t="s">
        <v>607</v>
      </c>
      <c r="D623" s="993"/>
      <c r="E623" s="993"/>
    </row>
    <row r="624" spans="1:5">
      <c r="A624" s="993" t="s">
        <v>606</v>
      </c>
      <c r="B624" s="993" t="s">
        <v>87</v>
      </c>
      <c r="C624" s="993" t="s">
        <v>608</v>
      </c>
      <c r="D624" s="993"/>
      <c r="E624" s="993"/>
    </row>
    <row r="625" spans="1:5">
      <c r="A625" s="993" t="s">
        <v>606</v>
      </c>
      <c r="B625" s="993" t="s">
        <v>89</v>
      </c>
      <c r="C625" s="993" t="s">
        <v>123</v>
      </c>
      <c r="D625" s="993"/>
      <c r="E625" s="993"/>
    </row>
    <row r="626" spans="1:5">
      <c r="A626" s="993" t="s">
        <v>606</v>
      </c>
      <c r="B626" s="993" t="s">
        <v>91</v>
      </c>
      <c r="C626" s="993" t="s">
        <v>194</v>
      </c>
      <c r="D626" s="993"/>
      <c r="E626" s="993"/>
    </row>
    <row r="627" spans="1:5">
      <c r="A627" s="993" t="s">
        <v>606</v>
      </c>
      <c r="B627" s="993" t="s">
        <v>124</v>
      </c>
      <c r="C627" s="993" t="s">
        <v>139</v>
      </c>
      <c r="D627" s="993"/>
      <c r="E627" s="993"/>
    </row>
    <row r="628" spans="1:5">
      <c r="A628" s="993" t="s">
        <v>606</v>
      </c>
      <c r="B628" s="993" t="s">
        <v>140</v>
      </c>
      <c r="C628" s="993" t="s">
        <v>141</v>
      </c>
      <c r="D628" s="993"/>
      <c r="E628" s="993"/>
    </row>
    <row r="629" spans="1:5">
      <c r="A629" s="993" t="s">
        <v>606</v>
      </c>
      <c r="B629" s="993" t="s">
        <v>95</v>
      </c>
      <c r="C629" s="993" t="s">
        <v>96</v>
      </c>
      <c r="D629" s="993"/>
      <c r="E629" s="993"/>
    </row>
    <row r="630" spans="1:5">
      <c r="A630" s="993" t="s">
        <v>606</v>
      </c>
      <c r="B630" s="993" t="s">
        <v>97</v>
      </c>
      <c r="C630" s="993" t="s">
        <v>98</v>
      </c>
      <c r="D630" s="993"/>
      <c r="E630" s="993"/>
    </row>
    <row r="631" spans="1:5">
      <c r="A631" s="993" t="s">
        <v>606</v>
      </c>
      <c r="B631" s="993" t="s">
        <v>521</v>
      </c>
      <c r="C631" s="993" t="s">
        <v>522</v>
      </c>
      <c r="D631" s="993"/>
      <c r="E631" s="993"/>
    </row>
    <row r="632" spans="1:5">
      <c r="A632" s="993" t="s">
        <v>606</v>
      </c>
      <c r="B632" s="993" t="s">
        <v>99</v>
      </c>
      <c r="C632" s="993" t="s">
        <v>218</v>
      </c>
      <c r="D632" s="993"/>
      <c r="E632" s="993"/>
    </row>
    <row r="633" spans="1:5">
      <c r="A633" s="993" t="s">
        <v>606</v>
      </c>
      <c r="B633" s="993" t="s">
        <v>200</v>
      </c>
      <c r="C633" s="993" t="s">
        <v>219</v>
      </c>
      <c r="D633" s="993"/>
      <c r="E633" s="993"/>
    </row>
    <row r="634" spans="1:5">
      <c r="A634" s="993" t="s">
        <v>606</v>
      </c>
      <c r="B634" s="993" t="s">
        <v>146</v>
      </c>
      <c r="C634" s="993" t="s">
        <v>609</v>
      </c>
      <c r="D634" s="993"/>
      <c r="E634" s="993"/>
    </row>
    <row r="635" spans="1:5">
      <c r="A635" s="993" t="s">
        <v>606</v>
      </c>
      <c r="B635" s="993" t="s">
        <v>105</v>
      </c>
      <c r="C635" s="993" t="s">
        <v>106</v>
      </c>
      <c r="D635" s="993"/>
      <c r="E635" s="993"/>
    </row>
    <row r="636" spans="1:5">
      <c r="A636" s="993" t="s">
        <v>606</v>
      </c>
      <c r="B636" s="993" t="s">
        <v>111</v>
      </c>
      <c r="C636" s="993" t="s">
        <v>126</v>
      </c>
      <c r="D636" s="993"/>
      <c r="E636" s="993"/>
    </row>
  </sheetData>
  <autoFilter ref="A3:E3" xr:uid="{973E8D08-FDA2-4AEA-B02E-8B80791C65B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B000-44DD-40D6-9F5A-94669C3227B9}">
  <dimension ref="A1:BP62"/>
  <sheetViews>
    <sheetView zoomScale="80" zoomScaleNormal="80" workbookViewId="0">
      <pane ySplit="2" topLeftCell="A15" activePane="bottomLeft" state="frozen"/>
      <selection pane="bottomLeft" activeCell="BA36" sqref="BA36"/>
    </sheetView>
  </sheetViews>
  <sheetFormatPr defaultColWidth="8.85546875" defaultRowHeight="14.45"/>
  <cols>
    <col min="1" max="1" width="7.28515625" style="5" customWidth="1"/>
    <col min="2" max="3" width="4.7109375" style="5" bestFit="1" customWidth="1"/>
    <col min="4" max="4" width="10.140625" style="5" bestFit="1" customWidth="1"/>
    <col min="5" max="17" width="4.7109375" style="5" bestFit="1" customWidth="1"/>
    <col min="18" max="19" width="4.7109375" style="5" customWidth="1"/>
    <col min="20" max="26" width="4.7109375" style="5" bestFit="1" customWidth="1"/>
    <col min="27" max="27" width="4.7109375" style="5" customWidth="1"/>
    <col min="28" max="28" width="4.7109375" style="5" bestFit="1" customWidth="1"/>
    <col min="29" max="29" width="20.5703125" style="5" bestFit="1" customWidth="1"/>
    <col min="30" max="31" width="4.7109375" style="5" hidden="1" customWidth="1"/>
    <col min="32" max="32" width="10" style="5" hidden="1" customWidth="1"/>
    <col min="33" max="34" width="9.28515625" style="5" hidden="1" customWidth="1"/>
    <col min="35" max="38" width="4.7109375" style="5" hidden="1" customWidth="1"/>
    <col min="39" max="39" width="9.5703125" style="5" hidden="1" customWidth="1"/>
    <col min="40" max="40" width="19" style="180" bestFit="1" customWidth="1"/>
    <col min="41" max="41" width="23.42578125" style="549" bestFit="1" customWidth="1"/>
    <col min="42" max="42" width="21.42578125" style="192" bestFit="1" customWidth="1"/>
    <col min="43" max="43" width="19" style="193" bestFit="1" customWidth="1"/>
    <col min="44" max="44" width="21.42578125" style="192" bestFit="1" customWidth="1"/>
    <col min="45" max="45" width="19" style="268" bestFit="1" customWidth="1"/>
    <col min="46" max="46" width="21.42578125" style="271" customWidth="1"/>
    <col min="47" max="47" width="19" style="544" customWidth="1"/>
    <col min="48" max="48" width="21.42578125" style="361" customWidth="1"/>
    <col min="49" max="49" width="19" style="362" customWidth="1"/>
    <col min="50" max="50" width="21.28515625" style="226" bestFit="1" customWidth="1"/>
    <col min="51" max="51" width="15.42578125" style="248" customWidth="1"/>
    <col min="52" max="52" width="23.42578125" style="355" customWidth="1"/>
    <col min="53" max="53" width="19" style="355" bestFit="1" customWidth="1"/>
    <col min="54" max="55" width="9.140625" style="5"/>
    <col min="56" max="56" width="21.28515625" style="226" hidden="1" customWidth="1"/>
    <col min="57" max="57" width="15.42578125" style="248" hidden="1" customWidth="1"/>
    <col min="58" max="58" width="21.42578125" style="192" hidden="1" customWidth="1"/>
    <col min="59" max="59" width="19" style="268" hidden="1" customWidth="1"/>
    <col min="60" max="60" width="21.42578125" style="192" hidden="1" customWidth="1"/>
    <col min="61" max="61" width="19" style="268" hidden="1" customWidth="1"/>
    <col min="62" max="62" width="21.42578125" style="271" hidden="1" customWidth="1"/>
    <col min="63" max="63" width="19" style="272" hidden="1" customWidth="1"/>
    <col min="64" max="64" width="21.42578125" style="361" hidden="1" customWidth="1"/>
    <col min="65" max="65" width="19" style="362" hidden="1" customWidth="1"/>
    <col min="66" max="66" width="23.42578125" style="355" hidden="1" customWidth="1"/>
    <col min="67" max="67" width="19" style="355" hidden="1" customWidth="1"/>
    <col min="68" max="68" width="10.85546875" style="5" bestFit="1" customWidth="1"/>
    <col min="69" max="16384" width="8.85546875" style="5"/>
  </cols>
  <sheetData>
    <row r="1" spans="1:68" ht="18.600000000000001">
      <c r="A1" s="1034" t="s">
        <v>610</v>
      </c>
      <c r="B1" s="1034"/>
      <c r="C1" s="1034"/>
      <c r="E1" s="5" t="s">
        <v>611</v>
      </c>
      <c r="G1" s="5">
        <v>260</v>
      </c>
      <c r="H1" s="5">
        <v>914</v>
      </c>
      <c r="I1" s="5">
        <v>846</v>
      </c>
      <c r="AB1" s="11"/>
      <c r="AN1" s="294"/>
      <c r="AO1" s="297"/>
      <c r="AP1" s="294"/>
      <c r="AQ1" s="297"/>
      <c r="AR1" s="294"/>
      <c r="AS1" s="294"/>
      <c r="AT1" s="294"/>
      <c r="AU1" s="297"/>
      <c r="AV1" s="294"/>
      <c r="AW1" s="294"/>
      <c r="AX1" s="294"/>
      <c r="AY1" s="294"/>
      <c r="AZ1" s="295"/>
      <c r="BA1" s="295"/>
      <c r="BB1" s="294"/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5"/>
      <c r="BO1" s="295"/>
    </row>
    <row r="2" spans="1:68" s="81" customFormat="1" ht="59.25" customHeight="1">
      <c r="A2" s="102" t="s">
        <v>612</v>
      </c>
      <c r="B2" s="102" t="s">
        <v>613</v>
      </c>
      <c r="C2" s="102" t="s">
        <v>614</v>
      </c>
      <c r="D2" s="82" t="s">
        <v>615</v>
      </c>
      <c r="E2" s="976" t="s">
        <v>79</v>
      </c>
      <c r="F2" s="977" t="s">
        <v>120</v>
      </c>
      <c r="G2" s="977" t="s">
        <v>130</v>
      </c>
      <c r="H2" s="977" t="s">
        <v>226</v>
      </c>
      <c r="I2" s="977" t="s">
        <v>132</v>
      </c>
      <c r="J2" s="977" t="s">
        <v>81</v>
      </c>
      <c r="K2" s="977" t="s">
        <v>89</v>
      </c>
      <c r="L2" s="977" t="s">
        <v>91</v>
      </c>
      <c r="M2" s="977" t="s">
        <v>124</v>
      </c>
      <c r="N2" s="977" t="s">
        <v>140</v>
      </c>
      <c r="O2" s="977" t="s">
        <v>142</v>
      </c>
      <c r="P2" s="977" t="s">
        <v>365</v>
      </c>
      <c r="Q2" s="977" t="s">
        <v>294</v>
      </c>
      <c r="R2" s="977" t="s">
        <v>616</v>
      </c>
      <c r="S2" s="977" t="s">
        <v>617</v>
      </c>
      <c r="T2" s="977" t="s">
        <v>99</v>
      </c>
      <c r="U2" s="977" t="s">
        <v>202</v>
      </c>
      <c r="V2" s="977" t="s">
        <v>618</v>
      </c>
      <c r="W2" s="977" t="s">
        <v>152</v>
      </c>
      <c r="X2" s="977" t="s">
        <v>107</v>
      </c>
      <c r="Y2" s="977" t="s">
        <v>159</v>
      </c>
      <c r="Z2" s="977" t="s">
        <v>111</v>
      </c>
      <c r="AA2" s="1001" t="s">
        <v>619</v>
      </c>
      <c r="AB2" s="85" t="s">
        <v>289</v>
      </c>
      <c r="AC2" s="88" t="s">
        <v>620</v>
      </c>
      <c r="AD2" s="82" t="s">
        <v>621</v>
      </c>
      <c r="AE2" s="82" t="s">
        <v>622</v>
      </c>
      <c r="AF2" s="95" t="s">
        <v>623</v>
      </c>
      <c r="AG2" s="95" t="s">
        <v>624</v>
      </c>
      <c r="AH2" s="93" t="s">
        <v>625</v>
      </c>
      <c r="AI2" s="89" t="s">
        <v>626</v>
      </c>
      <c r="AJ2" s="89" t="s">
        <v>627</v>
      </c>
      <c r="AK2" s="89" t="s">
        <v>628</v>
      </c>
      <c r="AL2" s="89" t="s">
        <v>629</v>
      </c>
      <c r="AM2" s="140" t="s">
        <v>630</v>
      </c>
      <c r="AN2" s="300" t="s">
        <v>631</v>
      </c>
      <c r="AO2" s="546" t="s">
        <v>632</v>
      </c>
      <c r="AP2" s="364" t="s">
        <v>633</v>
      </c>
      <c r="AQ2" s="553" t="s">
        <v>634</v>
      </c>
      <c r="AR2" s="364" t="s">
        <v>635</v>
      </c>
      <c r="AS2" s="365" t="s">
        <v>636</v>
      </c>
      <c r="AT2" s="366" t="s">
        <v>637</v>
      </c>
      <c r="AU2" s="550" t="s">
        <v>638</v>
      </c>
      <c r="AV2" s="368" t="s">
        <v>639</v>
      </c>
      <c r="AW2" s="369" t="s">
        <v>640</v>
      </c>
      <c r="AX2" s="333" t="s">
        <v>641</v>
      </c>
      <c r="AY2" s="334" t="s">
        <v>642</v>
      </c>
      <c r="AZ2" s="370" t="s">
        <v>643</v>
      </c>
      <c r="BA2" s="371" t="s">
        <v>644</v>
      </c>
      <c r="BD2" s="333" t="s">
        <v>641</v>
      </c>
      <c r="BE2" s="334" t="s">
        <v>642</v>
      </c>
      <c r="BF2" s="364" t="s">
        <v>633</v>
      </c>
      <c r="BG2" s="365" t="s">
        <v>634</v>
      </c>
      <c r="BH2" s="364" t="s">
        <v>635</v>
      </c>
      <c r="BI2" s="365" t="s">
        <v>636</v>
      </c>
      <c r="BJ2" s="366" t="s">
        <v>637</v>
      </c>
      <c r="BK2" s="367" t="s">
        <v>638</v>
      </c>
      <c r="BL2" s="368" t="s">
        <v>639</v>
      </c>
      <c r="BM2" s="369" t="s">
        <v>640</v>
      </c>
      <c r="BN2" s="370" t="s">
        <v>645</v>
      </c>
      <c r="BO2" s="371" t="s">
        <v>646</v>
      </c>
    </row>
    <row r="3" spans="1:68">
      <c r="A3" s="9">
        <v>1</v>
      </c>
      <c r="B3" s="9">
        <v>260</v>
      </c>
      <c r="C3" s="9" t="s">
        <v>647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3"/>
      <c r="AC3" s="9"/>
      <c r="AD3" s="9"/>
      <c r="AE3" s="9"/>
      <c r="AF3" s="9"/>
      <c r="AG3" s="9"/>
      <c r="AH3" s="9"/>
      <c r="AI3" s="9"/>
      <c r="AJ3" s="9"/>
      <c r="AK3" s="9"/>
      <c r="AL3" s="9"/>
      <c r="AM3" s="141"/>
      <c r="AN3" s="234"/>
      <c r="AO3" s="174"/>
      <c r="AP3" s="187"/>
      <c r="AQ3" s="188"/>
      <c r="AR3" s="187"/>
      <c r="AS3" s="265"/>
      <c r="AT3" s="269"/>
      <c r="AU3" s="301"/>
      <c r="AV3" s="358"/>
      <c r="AW3" s="360"/>
      <c r="AX3" s="219"/>
      <c r="AY3" s="225"/>
      <c r="AZ3" s="363"/>
      <c r="BA3" s="444">
        <f t="shared" ref="BA3:BA34" si="0">AY3+AS3+AQ3+AO3</f>
        <v>0</v>
      </c>
      <c r="BD3" s="219"/>
      <c r="BE3" s="225"/>
      <c r="BF3" s="187"/>
      <c r="BG3" s="188"/>
      <c r="BH3" s="187"/>
      <c r="BI3" s="188"/>
      <c r="BJ3" s="269"/>
      <c r="BK3" s="301"/>
      <c r="BL3" s="358"/>
      <c r="BM3" s="360"/>
      <c r="BN3" s="363"/>
      <c r="BO3" s="356"/>
    </row>
    <row r="4" spans="1:68">
      <c r="A4" s="7">
        <v>2</v>
      </c>
      <c r="B4" s="7">
        <v>846</v>
      </c>
      <c r="C4" s="7" t="s">
        <v>648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13"/>
      <c r="AC4" s="7"/>
      <c r="AD4" s="7"/>
      <c r="AE4" s="7"/>
      <c r="AF4" s="7"/>
      <c r="AG4" s="7"/>
      <c r="AH4" s="7"/>
      <c r="AI4" s="7"/>
      <c r="AJ4" s="7"/>
      <c r="AK4" s="7"/>
      <c r="AL4" s="7"/>
      <c r="AM4" s="103"/>
      <c r="AN4" s="234"/>
      <c r="AO4" s="174"/>
      <c r="AP4" s="187"/>
      <c r="AQ4" s="188"/>
      <c r="AR4" s="187"/>
      <c r="AS4" s="265"/>
      <c r="AT4" s="269"/>
      <c r="AU4" s="301"/>
      <c r="AV4" s="358"/>
      <c r="AW4" s="360"/>
      <c r="AX4" s="219"/>
      <c r="AY4" s="225"/>
      <c r="AZ4" s="363"/>
      <c r="BA4" s="444">
        <f t="shared" si="0"/>
        <v>0</v>
      </c>
      <c r="BD4" s="219"/>
      <c r="BE4" s="225"/>
      <c r="BF4" s="187"/>
      <c r="BG4" s="188"/>
      <c r="BH4" s="187"/>
      <c r="BI4" s="188"/>
      <c r="BJ4" s="269"/>
      <c r="BK4" s="301"/>
      <c r="BL4" s="358"/>
      <c r="BM4" s="360"/>
      <c r="BN4" s="363"/>
      <c r="BO4" s="356"/>
    </row>
    <row r="5" spans="1:68" ht="14.25" customHeight="1">
      <c r="A5" s="9">
        <v>3</v>
      </c>
      <c r="B5" s="9">
        <v>260</v>
      </c>
      <c r="C5" s="9" t="s">
        <v>649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3"/>
      <c r="AC5" s="9"/>
      <c r="AD5" s="9"/>
      <c r="AE5" s="50"/>
      <c r="AF5" s="50"/>
      <c r="AG5" s="50"/>
      <c r="AH5" s="50"/>
      <c r="AI5" s="50"/>
      <c r="AJ5" s="9"/>
      <c r="AK5" s="9"/>
      <c r="AL5" s="9"/>
      <c r="AM5" s="141"/>
      <c r="AN5" s="234"/>
      <c r="AO5" s="174"/>
      <c r="AP5" s="187"/>
      <c r="AQ5" s="188"/>
      <c r="AR5" s="187"/>
      <c r="AS5" s="188"/>
      <c r="AT5" s="269"/>
      <c r="AU5" s="301"/>
      <c r="AV5" s="358"/>
      <c r="AW5" s="360"/>
      <c r="AX5" s="219"/>
      <c r="AY5" s="225"/>
      <c r="AZ5" s="363"/>
      <c r="BA5" s="444">
        <f t="shared" si="0"/>
        <v>0</v>
      </c>
      <c r="BD5" s="219"/>
      <c r="BE5" s="225"/>
      <c r="BF5" s="187"/>
      <c r="BG5" s="188"/>
      <c r="BH5" s="187"/>
      <c r="BI5" s="188"/>
      <c r="BJ5" s="269"/>
      <c r="BK5" s="301"/>
      <c r="BL5" s="358"/>
      <c r="BM5" s="360"/>
      <c r="BN5" s="363"/>
      <c r="BO5" s="356"/>
    </row>
    <row r="6" spans="1:68">
      <c r="A6" s="7">
        <v>4</v>
      </c>
      <c r="B6" s="7">
        <v>260</v>
      </c>
      <c r="C6" s="7" t="s">
        <v>647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3"/>
      <c r="AC6" s="7"/>
      <c r="AD6" s="7"/>
      <c r="AE6" s="7"/>
      <c r="AF6" s="7"/>
      <c r="AG6" s="7"/>
      <c r="AH6" s="7"/>
      <c r="AI6" s="7"/>
      <c r="AJ6" s="7"/>
      <c r="AK6" s="7"/>
      <c r="AL6" s="7"/>
      <c r="AM6" s="103"/>
      <c r="AN6" s="234"/>
      <c r="AO6" s="174"/>
      <c r="AP6" s="187"/>
      <c r="AQ6" s="188"/>
      <c r="AR6" s="187"/>
      <c r="AS6" s="267"/>
      <c r="AT6" s="269"/>
      <c r="AU6" s="301"/>
      <c r="AV6" s="358"/>
      <c r="AW6" s="360"/>
      <c r="AX6" s="219"/>
      <c r="AY6" s="247"/>
      <c r="AZ6" s="363"/>
      <c r="BA6" s="444">
        <f t="shared" si="0"/>
        <v>0</v>
      </c>
      <c r="BD6" s="219"/>
      <c r="BE6" s="302"/>
      <c r="BF6" s="187"/>
      <c r="BG6" s="267"/>
      <c r="BH6" s="187"/>
      <c r="BI6" s="267"/>
      <c r="BJ6" s="269"/>
      <c r="BK6" s="526"/>
      <c r="BL6" s="358"/>
      <c r="BM6" s="360"/>
      <c r="BN6" s="363"/>
      <c r="BO6" s="356"/>
    </row>
    <row r="7" spans="1:68">
      <c r="A7" s="9">
        <v>5</v>
      </c>
      <c r="B7" s="9">
        <v>260</v>
      </c>
      <c r="C7" s="9" t="s">
        <v>648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3"/>
      <c r="AC7" s="9"/>
      <c r="AD7" s="9"/>
      <c r="AE7" s="9"/>
      <c r="AF7" s="9"/>
      <c r="AG7" s="9"/>
      <c r="AH7" s="9"/>
      <c r="AI7" s="9"/>
      <c r="AJ7" s="9"/>
      <c r="AK7" s="9"/>
      <c r="AL7" s="9"/>
      <c r="AM7" s="141"/>
      <c r="AN7" s="234"/>
      <c r="AO7" s="547"/>
      <c r="AP7" s="187"/>
      <c r="AQ7" s="188"/>
      <c r="AR7" s="187"/>
      <c r="AS7" s="265"/>
      <c r="AT7" s="269"/>
      <c r="AU7" s="301"/>
      <c r="AV7" s="358"/>
      <c r="AW7" s="535"/>
      <c r="AX7" s="219"/>
      <c r="AY7" s="247"/>
      <c r="AZ7" s="363"/>
      <c r="BA7" s="444">
        <f t="shared" si="0"/>
        <v>0</v>
      </c>
      <c r="BD7" s="219"/>
      <c r="BE7" s="223"/>
      <c r="BF7" s="187"/>
      <c r="BG7" s="267"/>
      <c r="BH7" s="187"/>
      <c r="BI7" s="267"/>
      <c r="BJ7" s="269"/>
      <c r="BK7" s="526"/>
      <c r="BL7" s="358"/>
      <c r="BM7" s="535"/>
      <c r="BN7" s="363"/>
      <c r="BO7" s="356"/>
    </row>
    <row r="8" spans="1:68">
      <c r="A8" s="7">
        <v>6</v>
      </c>
      <c r="B8" s="7">
        <v>846</v>
      </c>
      <c r="C8" s="7" t="s">
        <v>649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13"/>
      <c r="AC8" s="7"/>
      <c r="AD8" s="7"/>
      <c r="AE8" s="7"/>
      <c r="AF8" s="7"/>
      <c r="AG8" s="7"/>
      <c r="AH8" s="7"/>
      <c r="AI8" s="7"/>
      <c r="AJ8" s="7"/>
      <c r="AK8" s="7"/>
      <c r="AL8" s="7"/>
      <c r="AM8" s="103"/>
      <c r="AN8" s="234"/>
      <c r="AO8" s="548"/>
      <c r="AP8" s="187"/>
      <c r="AQ8" s="188"/>
      <c r="AR8" s="187"/>
      <c r="AS8" s="265"/>
      <c r="AT8" s="269"/>
      <c r="AU8" s="301"/>
      <c r="AV8" s="358"/>
      <c r="AW8" s="535"/>
      <c r="AX8" s="219"/>
      <c r="AY8" s="247"/>
      <c r="AZ8" s="363"/>
      <c r="BA8" s="444">
        <f t="shared" si="0"/>
        <v>0</v>
      </c>
      <c r="BD8" s="219"/>
      <c r="BE8" s="302"/>
      <c r="BF8" s="187"/>
      <c r="BG8" s="265"/>
      <c r="BH8" s="187"/>
      <c r="BI8" s="265"/>
      <c r="BJ8" s="269"/>
      <c r="BK8" s="526"/>
      <c r="BL8" s="358"/>
      <c r="BM8" s="535"/>
      <c r="BN8" s="363"/>
      <c r="BO8" s="356"/>
    </row>
    <row r="9" spans="1:68">
      <c r="A9" s="9">
        <v>7</v>
      </c>
      <c r="B9" s="9">
        <v>846</v>
      </c>
      <c r="C9" s="9" t="s">
        <v>647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3"/>
      <c r="AC9" s="9"/>
      <c r="AD9" s="9"/>
      <c r="AE9" s="9"/>
      <c r="AF9" s="9"/>
      <c r="AG9" s="9"/>
      <c r="AH9" s="9"/>
      <c r="AI9" s="9"/>
      <c r="AJ9" s="9"/>
      <c r="AK9" s="9"/>
      <c r="AL9" s="9"/>
      <c r="AM9" s="141"/>
      <c r="AN9" s="234"/>
      <c r="AO9" s="174"/>
      <c r="AP9" s="187"/>
      <c r="AQ9" s="188"/>
      <c r="AR9" s="187"/>
      <c r="AS9" s="188"/>
      <c r="AT9" s="269"/>
      <c r="AU9" s="301"/>
      <c r="AV9" s="358"/>
      <c r="AW9" s="360"/>
      <c r="AX9" s="219"/>
      <c r="AY9" s="225"/>
      <c r="AZ9" s="363"/>
      <c r="BA9" s="444">
        <f t="shared" si="0"/>
        <v>0</v>
      </c>
      <c r="BD9" s="219"/>
      <c r="BE9" s="225"/>
      <c r="BF9" s="187"/>
      <c r="BG9" s="265"/>
      <c r="BH9" s="187"/>
      <c r="BI9" s="265"/>
      <c r="BJ9" s="269"/>
      <c r="BK9" s="301"/>
      <c r="BL9" s="358"/>
      <c r="BM9" s="360"/>
      <c r="BN9" s="363"/>
      <c r="BO9" s="356"/>
    </row>
    <row r="10" spans="1:68" ht="15" customHeight="1">
      <c r="A10" s="7">
        <v>8</v>
      </c>
      <c r="B10" s="7">
        <v>260</v>
      </c>
      <c r="C10" s="7" t="s">
        <v>647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3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03"/>
      <c r="AN10" s="234"/>
      <c r="AO10" s="174"/>
      <c r="AP10" s="187"/>
      <c r="AQ10" s="188"/>
      <c r="AR10" s="187"/>
      <c r="AS10" s="188"/>
      <c r="AT10" s="269"/>
      <c r="AU10" s="301"/>
      <c r="AV10" s="358"/>
      <c r="AW10" s="360"/>
      <c r="AX10" s="219"/>
      <c r="AY10" s="225"/>
      <c r="AZ10" s="363"/>
      <c r="BA10" s="444">
        <f t="shared" si="0"/>
        <v>0</v>
      </c>
      <c r="BD10" s="219"/>
      <c r="BE10" s="225"/>
      <c r="BF10" s="187"/>
      <c r="BG10" s="188"/>
      <c r="BH10" s="187"/>
      <c r="BI10" s="188"/>
      <c r="BJ10" s="269"/>
      <c r="BK10" s="301"/>
      <c r="BL10" s="358"/>
      <c r="BM10" s="360"/>
      <c r="BN10" s="363"/>
      <c r="BO10" s="356"/>
      <c r="BP10" s="504"/>
    </row>
    <row r="11" spans="1:68">
      <c r="A11" s="9">
        <v>9</v>
      </c>
      <c r="B11" s="9">
        <v>260</v>
      </c>
      <c r="C11" s="9" t="s">
        <v>648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3"/>
      <c r="AC11" s="9"/>
      <c r="AD11" s="410"/>
      <c r="AE11" s="410"/>
      <c r="AF11" s="410"/>
      <c r="AG11" s="410"/>
      <c r="AH11" s="410"/>
      <c r="AI11" s="410"/>
      <c r="AJ11" s="410"/>
      <c r="AK11" s="410"/>
      <c r="AL11" s="410"/>
      <c r="AM11" s="656"/>
      <c r="AN11" s="854"/>
      <c r="AO11" s="945"/>
      <c r="AP11" s="857"/>
      <c r="AQ11" s="860"/>
      <c r="AR11" s="187"/>
      <c r="AS11" s="265"/>
      <c r="AT11" s="269"/>
      <c r="AU11" s="301"/>
      <c r="AV11" s="358"/>
      <c r="AW11" s="359"/>
      <c r="AX11" s="219"/>
      <c r="AY11" s="302"/>
      <c r="AZ11" s="363"/>
      <c r="BA11" s="444">
        <f t="shared" si="0"/>
        <v>0</v>
      </c>
      <c r="BD11" s="219"/>
      <c r="BE11" s="225"/>
      <c r="BF11" s="187"/>
      <c r="BG11" s="265"/>
      <c r="BH11" s="187"/>
      <c r="BI11" s="265"/>
      <c r="BJ11" s="269"/>
      <c r="BK11" s="270"/>
      <c r="BL11" s="358"/>
      <c r="BM11" s="359"/>
      <c r="BN11" s="363"/>
      <c r="BO11" s="356"/>
    </row>
    <row r="12" spans="1:68">
      <c r="A12" s="7">
        <v>10</v>
      </c>
      <c r="B12" s="7">
        <v>846</v>
      </c>
      <c r="C12" s="7" t="s">
        <v>648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3"/>
      <c r="AC12" s="7"/>
      <c r="AD12" s="409"/>
      <c r="AE12" s="409"/>
      <c r="AF12" s="409"/>
      <c r="AG12" s="409"/>
      <c r="AH12" s="409"/>
      <c r="AI12" s="409"/>
      <c r="AJ12" s="409"/>
      <c r="AK12" s="409"/>
      <c r="AL12" s="409"/>
      <c r="AM12" s="557"/>
      <c r="AN12" s="234"/>
      <c r="AO12" s="174"/>
      <c r="AP12" s="857"/>
      <c r="AQ12" s="860"/>
      <c r="AR12" s="187"/>
      <c r="AS12" s="265"/>
      <c r="AT12" s="269"/>
      <c r="AU12" s="301"/>
      <c r="AV12" s="358"/>
      <c r="AW12" s="359"/>
      <c r="AX12" s="853"/>
      <c r="AY12" s="946"/>
      <c r="AZ12" s="363"/>
      <c r="BA12" s="444">
        <f t="shared" si="0"/>
        <v>0</v>
      </c>
      <c r="BD12" s="219"/>
      <c r="BE12" s="225"/>
      <c r="BF12" s="187"/>
      <c r="BG12" s="265"/>
      <c r="BH12" s="187"/>
      <c r="BI12" s="265"/>
      <c r="BJ12" s="269"/>
      <c r="BK12" s="270"/>
      <c r="BL12" s="358"/>
      <c r="BM12" s="359"/>
      <c r="BN12" s="363"/>
      <c r="BO12" s="356"/>
    </row>
    <row r="13" spans="1:68">
      <c r="A13" s="9">
        <v>11</v>
      </c>
      <c r="B13" s="9">
        <v>914</v>
      </c>
      <c r="C13" s="9" t="s">
        <v>648</v>
      </c>
      <c r="D13" s="9">
        <v>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3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41"/>
      <c r="AN13" s="234"/>
      <c r="AO13" s="174"/>
      <c r="AP13" s="857"/>
      <c r="AQ13" s="860"/>
      <c r="AR13" s="187"/>
      <c r="AS13" s="265"/>
      <c r="AT13" s="269"/>
      <c r="AU13" s="301"/>
      <c r="AV13" s="358"/>
      <c r="AW13" s="359"/>
      <c r="AX13" s="853"/>
      <c r="AY13" s="946"/>
      <c r="AZ13" s="363"/>
      <c r="BA13" s="444">
        <f t="shared" si="0"/>
        <v>0</v>
      </c>
      <c r="BD13" s="219"/>
      <c r="BE13" s="225"/>
      <c r="BF13" s="187"/>
      <c r="BG13" s="265"/>
      <c r="BH13" s="187"/>
      <c r="BI13" s="265"/>
      <c r="BJ13" s="269"/>
      <c r="BK13" s="270"/>
      <c r="BL13" s="358"/>
      <c r="BM13" s="359"/>
      <c r="BN13" s="363"/>
      <c r="BO13" s="356"/>
    </row>
    <row r="14" spans="1:68">
      <c r="A14" s="7">
        <v>12</v>
      </c>
      <c r="B14" s="7">
        <v>914</v>
      </c>
      <c r="C14" s="7" t="s">
        <v>649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13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103"/>
      <c r="AN14" s="234"/>
      <c r="AO14" s="174"/>
      <c r="AP14" s="857"/>
      <c r="AQ14" s="860"/>
      <c r="AR14" s="187"/>
      <c r="AS14" s="265"/>
      <c r="AT14" s="269"/>
      <c r="AU14" s="301"/>
      <c r="AV14" s="358"/>
      <c r="AW14" s="359"/>
      <c r="AX14" s="853"/>
      <c r="AY14" s="946"/>
      <c r="AZ14" s="363"/>
      <c r="BA14" s="444">
        <f t="shared" si="0"/>
        <v>0</v>
      </c>
      <c r="BD14" s="219"/>
      <c r="BE14" s="225"/>
      <c r="BF14" s="187"/>
      <c r="BG14" s="265"/>
      <c r="BH14" s="187"/>
      <c r="BI14" s="265"/>
      <c r="BJ14" s="269"/>
      <c r="BK14" s="270"/>
      <c r="BL14" s="358"/>
      <c r="BM14" s="359"/>
      <c r="BN14" s="363"/>
      <c r="BO14" s="356"/>
    </row>
    <row r="15" spans="1:68">
      <c r="A15" s="9">
        <v>13</v>
      </c>
      <c r="B15" s="9">
        <v>914</v>
      </c>
      <c r="C15" s="9" t="s">
        <v>648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3"/>
      <c r="AC15" s="9"/>
      <c r="AD15" s="410"/>
      <c r="AE15" s="410"/>
      <c r="AF15" s="410"/>
      <c r="AG15" s="410"/>
      <c r="AH15" s="410"/>
      <c r="AI15" s="410"/>
      <c r="AJ15" s="410"/>
      <c r="AK15" s="410"/>
      <c r="AL15" s="410"/>
      <c r="AM15" s="656"/>
      <c r="AN15" s="233"/>
      <c r="AO15" s="178"/>
      <c r="AP15" s="857"/>
      <c r="AQ15" s="860"/>
      <c r="AR15" s="187"/>
      <c r="AS15" s="265"/>
      <c r="AT15" s="269"/>
      <c r="AU15" s="301"/>
      <c r="AV15" s="358"/>
      <c r="AW15" s="359"/>
      <c r="AX15" s="853"/>
      <c r="AY15" s="946"/>
      <c r="AZ15" s="363"/>
      <c r="BA15" s="444">
        <f t="shared" si="0"/>
        <v>0</v>
      </c>
      <c r="BD15" s="219"/>
      <c r="BE15" s="247"/>
      <c r="BF15" s="187"/>
      <c r="BG15" s="265"/>
      <c r="BH15" s="187"/>
      <c r="BI15" s="265"/>
      <c r="BJ15" s="269"/>
      <c r="BK15" s="270"/>
      <c r="BL15" s="358"/>
      <c r="BM15" s="359"/>
      <c r="BN15" s="363"/>
      <c r="BO15" s="356"/>
    </row>
    <row r="16" spans="1:68">
      <c r="A16" s="7">
        <v>14</v>
      </c>
      <c r="B16" s="7">
        <v>846</v>
      </c>
      <c r="C16" s="7" t="s">
        <v>647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13"/>
      <c r="AC16" s="7"/>
      <c r="AD16" s="409"/>
      <c r="AE16" s="409"/>
      <c r="AF16" s="409"/>
      <c r="AG16" s="409"/>
      <c r="AH16" s="409"/>
      <c r="AI16" s="409"/>
      <c r="AJ16" s="409"/>
      <c r="AK16" s="409"/>
      <c r="AL16" s="409"/>
      <c r="AM16" s="557"/>
      <c r="AN16" s="854"/>
      <c r="AO16" s="945"/>
      <c r="AP16" s="857"/>
      <c r="AQ16" s="860"/>
      <c r="AR16" s="187"/>
      <c r="AS16" s="265"/>
      <c r="AT16" s="269"/>
      <c r="AU16" s="301"/>
      <c r="AV16" s="358"/>
      <c r="AW16" s="359"/>
      <c r="AX16" s="322"/>
      <c r="AY16" s="947"/>
      <c r="AZ16" s="363"/>
      <c r="BA16" s="444">
        <f t="shared" si="0"/>
        <v>0</v>
      </c>
      <c r="BD16" s="948"/>
      <c r="BE16" s="949"/>
      <c r="BF16" s="614"/>
      <c r="BG16" s="950"/>
      <c r="BH16" s="614"/>
      <c r="BI16" s="950"/>
      <c r="BJ16" s="951"/>
      <c r="BK16" s="952"/>
      <c r="BL16" s="358"/>
      <c r="BM16" s="359"/>
      <c r="BN16" s="363"/>
      <c r="BO16" s="356"/>
    </row>
    <row r="17" spans="1:67">
      <c r="A17" s="50">
        <v>15</v>
      </c>
      <c r="B17" s="9">
        <v>914</v>
      </c>
      <c r="C17" s="9" t="s">
        <v>647</v>
      </c>
      <c r="D17" s="5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3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41"/>
      <c r="AN17" s="234"/>
      <c r="AO17" s="174"/>
      <c r="AP17" s="187"/>
      <c r="AQ17" s="188"/>
      <c r="AR17" s="187"/>
      <c r="AS17" s="265"/>
      <c r="AT17" s="269"/>
      <c r="AU17" s="301"/>
      <c r="AV17" s="358"/>
      <c r="AW17" s="360"/>
      <c r="AX17" s="219"/>
      <c r="AY17" s="225"/>
      <c r="AZ17" s="363"/>
      <c r="BA17" s="444">
        <f t="shared" si="0"/>
        <v>0</v>
      </c>
      <c r="BD17" s="608"/>
      <c r="BE17" s="608"/>
      <c r="BF17" s="609"/>
      <c r="BG17" s="609"/>
      <c r="BH17" s="609"/>
      <c r="BI17" s="609"/>
      <c r="BJ17" s="953"/>
      <c r="BK17" s="954"/>
      <c r="BL17" s="613"/>
      <c r="BM17" s="360"/>
    </row>
    <row r="18" spans="1:67">
      <c r="A18" s="7">
        <v>16</v>
      </c>
      <c r="B18" s="7">
        <v>914</v>
      </c>
      <c r="C18" s="7" t="s">
        <v>649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13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103"/>
      <c r="AN18" s="234"/>
      <c r="AO18" s="174"/>
      <c r="AP18" s="187"/>
      <c r="AQ18" s="188"/>
      <c r="AR18" s="187"/>
      <c r="AS18" s="188"/>
      <c r="AT18" s="269"/>
      <c r="AU18" s="301"/>
      <c r="AV18" s="358"/>
      <c r="AW18" s="360"/>
      <c r="AX18" s="219"/>
      <c r="AY18" s="225"/>
      <c r="AZ18" s="363">
        <f t="shared" ref="AZ18:AZ62" si="1">AN18</f>
        <v>0</v>
      </c>
      <c r="BA18" s="444">
        <f t="shared" si="0"/>
        <v>0</v>
      </c>
      <c r="BD18" s="696"/>
      <c r="BE18" s="696"/>
      <c r="BF18" s="697"/>
      <c r="BG18" s="697"/>
      <c r="BH18" s="697"/>
      <c r="BI18" s="697"/>
      <c r="BJ18" s="955"/>
      <c r="BK18" s="956"/>
      <c r="BL18" s="957"/>
      <c r="BM18" s="958"/>
    </row>
    <row r="19" spans="1:67">
      <c r="A19" s="50">
        <v>17</v>
      </c>
      <c r="B19" s="50">
        <v>914</v>
      </c>
      <c r="C19" s="50" t="s">
        <v>647</v>
      </c>
      <c r="D19" s="5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3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41"/>
      <c r="AN19" s="234"/>
      <c r="AO19" s="174"/>
      <c r="AP19" s="187"/>
      <c r="AQ19" s="598"/>
      <c r="AR19" s="187"/>
      <c r="AS19" s="265"/>
      <c r="AT19" s="710"/>
      <c r="AU19" s="713"/>
      <c r="AV19" s="358"/>
      <c r="AW19" s="535"/>
      <c r="AX19" s="219"/>
      <c r="AY19" s="247"/>
      <c r="AZ19" s="363">
        <f t="shared" si="1"/>
        <v>0</v>
      </c>
      <c r="BA19" s="444">
        <f t="shared" si="0"/>
        <v>0</v>
      </c>
      <c r="BD19" s="718"/>
      <c r="BE19" s="760"/>
      <c r="BF19" s="724"/>
      <c r="BG19" s="735"/>
      <c r="BH19" s="724"/>
      <c r="BI19" s="735"/>
      <c r="BJ19" s="741"/>
      <c r="BK19" s="754"/>
      <c r="BL19" s="745"/>
      <c r="BM19" s="746"/>
      <c r="BN19" s="694"/>
      <c r="BO19" s="690"/>
    </row>
    <row r="20" spans="1:67">
      <c r="A20" s="7">
        <v>18</v>
      </c>
      <c r="B20" s="7">
        <v>846</v>
      </c>
      <c r="C20" s="7" t="s">
        <v>647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3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103"/>
      <c r="AN20" s="234"/>
      <c r="AO20" s="174"/>
      <c r="AP20" s="187"/>
      <c r="AQ20" s="188"/>
      <c r="AR20" s="187"/>
      <c r="AS20" s="265"/>
      <c r="AT20" s="710"/>
      <c r="AU20" s="713"/>
      <c r="AV20" s="358"/>
      <c r="AW20" s="359"/>
      <c r="AX20" s="219"/>
      <c r="AY20" s="247"/>
      <c r="AZ20" s="363">
        <f t="shared" si="1"/>
        <v>0</v>
      </c>
      <c r="BA20" s="444">
        <f t="shared" si="0"/>
        <v>0</v>
      </c>
      <c r="BD20" s="719"/>
      <c r="BE20" s="729"/>
      <c r="BF20" s="725"/>
      <c r="BG20" s="736"/>
      <c r="BH20" s="725"/>
      <c r="BI20" s="736"/>
      <c r="BJ20" s="742"/>
      <c r="BK20" s="755"/>
      <c r="BL20" s="747"/>
      <c r="BM20" s="748"/>
      <c r="BN20" s="694"/>
      <c r="BO20" s="690"/>
    </row>
    <row r="21" spans="1:67">
      <c r="A21" s="50">
        <v>19</v>
      </c>
      <c r="B21" s="9">
        <v>260</v>
      </c>
      <c r="C21" s="9" t="s">
        <v>648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3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41"/>
      <c r="AN21" s="234"/>
      <c r="AO21" s="174"/>
      <c r="AP21" s="187"/>
      <c r="AQ21" s="188"/>
      <c r="AR21" s="187"/>
      <c r="AS21" s="265"/>
      <c r="AT21" s="710"/>
      <c r="AU21" s="713"/>
      <c r="AV21" s="358"/>
      <c r="AW21" s="535"/>
      <c r="AX21" s="219"/>
      <c r="AY21" s="247"/>
      <c r="AZ21" s="363">
        <f t="shared" si="1"/>
        <v>0</v>
      </c>
      <c r="BA21" s="444">
        <f t="shared" si="0"/>
        <v>0</v>
      </c>
      <c r="BD21" s="719"/>
      <c r="BE21" s="729"/>
      <c r="BF21" s="725"/>
      <c r="BG21" s="736"/>
      <c r="BH21" s="725"/>
      <c r="BI21" s="736"/>
      <c r="BJ21" s="742"/>
      <c r="BK21" s="755"/>
      <c r="BL21" s="747"/>
      <c r="BM21" s="748"/>
      <c r="BN21" s="694"/>
      <c r="BO21" s="690"/>
    </row>
    <row r="22" spans="1:67">
      <c r="A22" s="7">
        <v>20</v>
      </c>
      <c r="B22" s="7">
        <v>914</v>
      </c>
      <c r="C22" s="7" t="s">
        <v>648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3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03"/>
      <c r="AN22" s="234"/>
      <c r="AO22" s="174"/>
      <c r="AP22" s="187"/>
      <c r="AQ22" s="598"/>
      <c r="AR22" s="187"/>
      <c r="AS22" s="265"/>
      <c r="AT22" s="710"/>
      <c r="AU22" s="713"/>
      <c r="AV22" s="358"/>
      <c r="AW22" s="359"/>
      <c r="AX22" s="219"/>
      <c r="AY22" s="247"/>
      <c r="AZ22" s="363">
        <f t="shared" si="1"/>
        <v>0</v>
      </c>
      <c r="BA22" s="444">
        <f t="shared" si="0"/>
        <v>0</v>
      </c>
      <c r="BD22" s="719"/>
      <c r="BE22" s="729"/>
      <c r="BF22" s="725"/>
      <c r="BG22" s="736"/>
      <c r="BH22" s="725"/>
      <c r="BI22" s="736"/>
      <c r="BJ22" s="742"/>
      <c r="BK22" s="755"/>
      <c r="BL22" s="747"/>
      <c r="BM22" s="748"/>
      <c r="BN22" s="694"/>
      <c r="BO22" s="690"/>
    </row>
    <row r="23" spans="1:67">
      <c r="A23" s="9">
        <v>21</v>
      </c>
      <c r="B23" s="9">
        <v>914</v>
      </c>
      <c r="C23" s="9" t="s">
        <v>647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3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41"/>
      <c r="AN23" s="234"/>
      <c r="AO23" s="174"/>
      <c r="AP23" s="725"/>
      <c r="AQ23" s="736"/>
      <c r="AR23" s="187"/>
      <c r="AS23" s="265"/>
      <c r="AT23" s="710"/>
      <c r="AU23" s="713"/>
      <c r="AV23" s="358"/>
      <c r="AW23" s="359"/>
      <c r="AX23" s="219"/>
      <c r="AY23" s="247"/>
      <c r="AZ23" s="363">
        <f t="shared" si="1"/>
        <v>0</v>
      </c>
      <c r="BA23" s="444">
        <f t="shared" si="0"/>
        <v>0</v>
      </c>
      <c r="BD23" s="719"/>
      <c r="BE23" s="729"/>
      <c r="BF23" s="725"/>
      <c r="BG23" s="736"/>
      <c r="BH23" s="725"/>
      <c r="BI23" s="736"/>
      <c r="BJ23" s="742"/>
      <c r="BK23" s="755"/>
      <c r="BL23" s="747"/>
      <c r="BM23" s="748"/>
      <c r="BN23" s="694"/>
      <c r="BO23" s="690"/>
    </row>
    <row r="24" spans="1:67">
      <c r="A24" s="7">
        <v>22</v>
      </c>
      <c r="B24" s="7">
        <v>846</v>
      </c>
      <c r="C24" s="7" t="s">
        <v>647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3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03"/>
      <c r="AN24" s="234"/>
      <c r="AO24" s="174"/>
      <c r="AP24" s="187"/>
      <c r="AQ24" s="188"/>
      <c r="AR24" s="187"/>
      <c r="AS24" s="265"/>
      <c r="AT24" s="710"/>
      <c r="AU24" s="713"/>
      <c r="AV24" s="358"/>
      <c r="AW24" s="359"/>
      <c r="AX24" s="219"/>
      <c r="AY24" s="247"/>
      <c r="AZ24" s="363">
        <f t="shared" si="1"/>
        <v>0</v>
      </c>
      <c r="BA24" s="444">
        <f t="shared" si="0"/>
        <v>0</v>
      </c>
      <c r="BD24" s="719"/>
      <c r="BE24" s="729"/>
      <c r="BF24" s="725"/>
      <c r="BG24" s="736"/>
      <c r="BH24" s="725"/>
      <c r="BI24" s="736"/>
      <c r="BJ24" s="742"/>
      <c r="BK24" s="755"/>
      <c r="BL24" s="747"/>
      <c r="BM24" s="748"/>
      <c r="BN24" s="694"/>
      <c r="BO24" s="690"/>
    </row>
    <row r="25" spans="1:67">
      <c r="A25" s="944">
        <v>23</v>
      </c>
      <c r="B25" s="9">
        <v>846</v>
      </c>
      <c r="C25" s="9" t="s">
        <v>649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3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41"/>
      <c r="AN25" s="234"/>
      <c r="AO25" s="174"/>
      <c r="AP25" s="187"/>
      <c r="AQ25" s="188"/>
      <c r="AR25" s="715"/>
      <c r="AT25" s="710"/>
      <c r="AU25" s="713"/>
      <c r="AV25" s="358"/>
      <c r="AW25" s="359"/>
      <c r="AX25" s="219"/>
      <c r="AY25" s="247"/>
      <c r="AZ25" s="363">
        <f t="shared" si="1"/>
        <v>0</v>
      </c>
      <c r="BA25" s="444">
        <f t="shared" si="0"/>
        <v>0</v>
      </c>
      <c r="BD25" s="719"/>
      <c r="BE25" s="728"/>
      <c r="BF25" s="725"/>
      <c r="BG25" s="736"/>
      <c r="BH25" s="725"/>
      <c r="BI25" s="736"/>
      <c r="BJ25" s="742"/>
      <c r="BK25" s="755"/>
      <c r="BL25" s="747"/>
      <c r="BM25" s="748"/>
      <c r="BN25" s="694"/>
      <c r="BO25" s="690"/>
    </row>
    <row r="26" spans="1:67">
      <c r="A26" s="7">
        <v>24</v>
      </c>
      <c r="B26" s="7">
        <v>260</v>
      </c>
      <c r="C26" s="7" t="s">
        <v>647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3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103"/>
      <c r="AN26" s="716"/>
      <c r="AO26" s="717"/>
      <c r="AP26" s="187"/>
      <c r="AQ26" s="188"/>
      <c r="AR26" s="187"/>
      <c r="AS26" s="679"/>
      <c r="AT26" s="711"/>
      <c r="AU26" s="713"/>
      <c r="AV26" s="358"/>
      <c r="AW26" s="359"/>
      <c r="AX26" s="219"/>
      <c r="AY26" s="247"/>
      <c r="AZ26" s="363">
        <f t="shared" si="1"/>
        <v>0</v>
      </c>
      <c r="BA26" s="444">
        <f t="shared" si="0"/>
        <v>0</v>
      </c>
      <c r="BD26" s="719"/>
      <c r="BE26" s="721"/>
      <c r="BF26" s="725"/>
      <c r="BG26" s="736"/>
      <c r="BH26" s="725"/>
      <c r="BI26" s="736"/>
      <c r="BJ26" s="742"/>
      <c r="BK26" s="755"/>
      <c r="BL26" s="747"/>
      <c r="BM26" s="748"/>
      <c r="BN26" s="694"/>
      <c r="BO26" s="689"/>
    </row>
    <row r="27" spans="1:67">
      <c r="A27" s="9">
        <v>25</v>
      </c>
      <c r="B27" s="9">
        <v>260</v>
      </c>
      <c r="C27" s="9" t="s">
        <v>649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3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41"/>
      <c r="AN27" s="234"/>
      <c r="AO27" s="174"/>
      <c r="AP27" s="187"/>
      <c r="AQ27" s="188"/>
      <c r="AR27" s="187"/>
      <c r="AS27" s="265"/>
      <c r="AT27" s="710"/>
      <c r="AU27" s="713"/>
      <c r="AV27" s="358"/>
      <c r="AW27" s="359"/>
      <c r="AX27" s="219"/>
      <c r="AY27" s="247"/>
      <c r="AZ27" s="363">
        <f t="shared" si="1"/>
        <v>0</v>
      </c>
      <c r="BA27" s="444">
        <f t="shared" si="0"/>
        <v>0</v>
      </c>
      <c r="BD27" s="719"/>
      <c r="BE27" s="729"/>
      <c r="BF27" s="725"/>
      <c r="BG27" s="736"/>
      <c r="BH27" s="725"/>
      <c r="BI27" s="736"/>
      <c r="BJ27" s="742"/>
      <c r="BK27" s="755"/>
      <c r="BL27" s="747"/>
      <c r="BM27" s="748"/>
      <c r="BN27" s="694"/>
      <c r="BO27" s="691"/>
    </row>
    <row r="28" spans="1:67">
      <c r="A28" s="7">
        <v>26</v>
      </c>
      <c r="B28" s="7">
        <v>846</v>
      </c>
      <c r="C28" s="7" t="s">
        <v>647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3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103"/>
      <c r="AN28" s="234"/>
      <c r="AO28" s="174"/>
      <c r="AP28" s="187"/>
      <c r="AQ28" s="188"/>
      <c r="AR28" s="187"/>
      <c r="AS28" s="265"/>
      <c r="AT28" s="710"/>
      <c r="AU28" s="713"/>
      <c r="AV28" s="358"/>
      <c r="AW28" s="359"/>
      <c r="AX28" s="219"/>
      <c r="AY28" s="247"/>
      <c r="AZ28" s="363">
        <f t="shared" si="1"/>
        <v>0</v>
      </c>
      <c r="BA28" s="444">
        <f t="shared" si="0"/>
        <v>0</v>
      </c>
      <c r="BD28" s="720"/>
      <c r="BE28" s="730"/>
      <c r="BF28" s="726"/>
      <c r="BG28" s="737"/>
      <c r="BH28" s="726"/>
      <c r="BI28" s="737"/>
      <c r="BJ28" s="743"/>
      <c r="BK28" s="756"/>
      <c r="BL28" s="749"/>
      <c r="BM28" s="750"/>
      <c r="BN28" s="694"/>
      <c r="BO28" s="691"/>
    </row>
    <row r="29" spans="1:67">
      <c r="A29" s="9">
        <v>27</v>
      </c>
      <c r="B29" s="9">
        <v>260</v>
      </c>
      <c r="C29" s="9" t="s">
        <v>648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3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141"/>
      <c r="AN29" s="234"/>
      <c r="AO29" s="174"/>
      <c r="AP29" s="187"/>
      <c r="AQ29" s="188"/>
      <c r="AR29" s="187"/>
      <c r="AS29" s="265"/>
      <c r="AT29" s="269"/>
      <c r="AU29" s="301"/>
      <c r="AV29" s="358"/>
      <c r="AW29" s="360"/>
      <c r="AX29" s="219"/>
      <c r="AY29" s="225"/>
      <c r="AZ29" s="363">
        <f t="shared" si="1"/>
        <v>0</v>
      </c>
      <c r="BA29" s="444">
        <f t="shared" si="0"/>
        <v>0</v>
      </c>
      <c r="BD29" s="702"/>
      <c r="BE29" s="702"/>
      <c r="BF29" s="703"/>
      <c r="BG29" s="703"/>
      <c r="BH29" s="703"/>
      <c r="BI29" s="703"/>
      <c r="BJ29" s="959"/>
      <c r="BK29" s="960"/>
      <c r="BL29" s="961"/>
      <c r="BM29" s="962"/>
    </row>
    <row r="30" spans="1:67">
      <c r="A30" s="7">
        <v>28</v>
      </c>
      <c r="B30" s="7">
        <v>260</v>
      </c>
      <c r="C30" s="7" t="s">
        <v>649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13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103"/>
      <c r="AN30" s="234"/>
      <c r="AO30" s="174"/>
      <c r="AP30" s="187"/>
      <c r="AQ30" s="188"/>
      <c r="AR30" s="187"/>
      <c r="AS30" s="265"/>
      <c r="AT30" s="269"/>
      <c r="AU30" s="301"/>
      <c r="AV30" s="358"/>
      <c r="AW30" s="360"/>
      <c r="AX30" s="219"/>
      <c r="AY30" s="225"/>
      <c r="AZ30" s="363">
        <f t="shared" si="1"/>
        <v>0</v>
      </c>
      <c r="BA30" s="444">
        <f t="shared" si="0"/>
        <v>0</v>
      </c>
      <c r="BD30" s="608"/>
      <c r="BE30" s="608"/>
      <c r="BF30" s="609"/>
      <c r="BG30" s="609"/>
      <c r="BH30" s="609"/>
      <c r="BI30" s="609"/>
      <c r="BJ30" s="953"/>
      <c r="BK30" s="954"/>
      <c r="BL30" s="613"/>
      <c r="BM30" s="360"/>
    </row>
    <row r="31" spans="1:67" ht="16.5" customHeight="1">
      <c r="A31" s="9">
        <v>29</v>
      </c>
      <c r="B31" s="9">
        <v>846</v>
      </c>
      <c r="C31" s="9" t="s">
        <v>648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3"/>
      <c r="AC31" s="9"/>
      <c r="AD31" s="410"/>
      <c r="AE31" s="410"/>
      <c r="AF31" s="410"/>
      <c r="AG31" s="410"/>
      <c r="AH31" s="410"/>
      <c r="AI31" s="410"/>
      <c r="AJ31" s="410"/>
      <c r="AK31" s="410"/>
      <c r="AL31" s="410"/>
      <c r="AM31" s="656"/>
      <c r="AN31" s="234"/>
      <c r="AO31" s="174"/>
      <c r="AP31" s="187"/>
      <c r="AQ31" s="188"/>
      <c r="AR31" s="187"/>
      <c r="AS31" s="188"/>
      <c r="AT31" s="269"/>
      <c r="AU31" s="301"/>
      <c r="AV31" s="358"/>
      <c r="AW31" s="359"/>
      <c r="AX31" s="219"/>
      <c r="AY31" s="225"/>
      <c r="AZ31" s="363">
        <f t="shared" si="1"/>
        <v>0</v>
      </c>
      <c r="BA31" s="444">
        <f t="shared" si="0"/>
        <v>0</v>
      </c>
      <c r="BD31" s="608"/>
      <c r="BE31" s="608"/>
      <c r="BF31" s="609"/>
      <c r="BG31" s="609"/>
      <c r="BH31" s="609"/>
      <c r="BI31" s="609"/>
      <c r="BJ31" s="953"/>
      <c r="BK31" s="954"/>
      <c r="BL31" s="613"/>
      <c r="BM31" s="359"/>
    </row>
    <row r="32" spans="1:67">
      <c r="A32" s="7">
        <v>30</v>
      </c>
      <c r="B32" s="7">
        <v>846</v>
      </c>
      <c r="C32" s="7" t="s">
        <v>647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3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103"/>
      <c r="AN32" s="234"/>
      <c r="AO32" s="174"/>
      <c r="AP32" s="187"/>
      <c r="AQ32" s="188"/>
      <c r="AR32" s="187"/>
      <c r="AS32" s="265"/>
      <c r="AT32" s="269"/>
      <c r="AU32" s="301"/>
      <c r="AV32" s="358"/>
      <c r="AW32" s="359"/>
      <c r="AX32" s="219"/>
      <c r="AY32" s="225"/>
      <c r="AZ32" s="363">
        <f t="shared" si="1"/>
        <v>0</v>
      </c>
      <c r="BA32" s="444">
        <f t="shared" si="0"/>
        <v>0</v>
      </c>
      <c r="BD32" s="608"/>
      <c r="BE32" s="608"/>
      <c r="BF32" s="609"/>
      <c r="BG32" s="609"/>
      <c r="BH32" s="609"/>
      <c r="BI32" s="609"/>
      <c r="BJ32" s="953"/>
      <c r="BK32" s="954"/>
      <c r="BL32" s="613"/>
      <c r="BM32" s="359"/>
    </row>
    <row r="33" spans="1:67">
      <c r="A33" s="9">
        <v>31</v>
      </c>
      <c r="B33" s="9">
        <v>260</v>
      </c>
      <c r="C33" s="9" t="s">
        <v>647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3"/>
      <c r="AC33" s="9"/>
      <c r="AD33" s="410"/>
      <c r="AE33" s="410"/>
      <c r="AF33" s="410"/>
      <c r="AG33" s="410"/>
      <c r="AH33" s="410"/>
      <c r="AI33" s="410"/>
      <c r="AJ33" s="410"/>
      <c r="AK33" s="410"/>
      <c r="AL33" s="410"/>
      <c r="AM33" s="656"/>
      <c r="AN33" s="854"/>
      <c r="AO33" s="945"/>
      <c r="AP33" s="187"/>
      <c r="AQ33" s="188"/>
      <c r="AR33" s="187"/>
      <c r="AS33" s="265"/>
      <c r="AT33" s="269"/>
      <c r="AU33" s="301"/>
      <c r="AV33" s="358"/>
      <c r="AW33" s="359"/>
      <c r="AX33" s="219"/>
      <c r="AY33" s="247"/>
      <c r="AZ33" s="363">
        <f t="shared" si="1"/>
        <v>0</v>
      </c>
      <c r="BA33" s="444">
        <f t="shared" si="0"/>
        <v>0</v>
      </c>
      <c r="BD33" s="608"/>
      <c r="BE33" s="963"/>
      <c r="BF33" s="609"/>
      <c r="BG33" s="609"/>
      <c r="BH33" s="609"/>
      <c r="BI33" s="609"/>
      <c r="BJ33" s="953"/>
      <c r="BK33" s="953"/>
      <c r="BL33" s="613"/>
      <c r="BM33" s="359"/>
      <c r="BO33" s="420"/>
    </row>
    <row r="34" spans="1:67">
      <c r="A34" s="7">
        <v>32</v>
      </c>
      <c r="B34" s="7">
        <v>914</v>
      </c>
      <c r="C34" s="7" t="s">
        <v>647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13"/>
      <c r="AC34" s="7"/>
      <c r="AD34" s="409"/>
      <c r="AE34" s="409"/>
      <c r="AF34" s="409"/>
      <c r="AG34" s="409"/>
      <c r="AH34" s="409"/>
      <c r="AI34" s="409"/>
      <c r="AJ34" s="409"/>
      <c r="AK34" s="409"/>
      <c r="AL34" s="409"/>
      <c r="AM34" s="557"/>
      <c r="AN34" s="854"/>
      <c r="AO34" s="945"/>
      <c r="AP34" s="187"/>
      <c r="AQ34" s="188"/>
      <c r="AR34" s="187"/>
      <c r="AS34" s="265"/>
      <c r="AT34" s="269"/>
      <c r="AU34" s="301"/>
      <c r="AV34" s="358"/>
      <c r="AW34" s="359"/>
      <c r="AX34" s="219"/>
      <c r="AY34" s="247"/>
      <c r="AZ34" s="363">
        <f t="shared" si="1"/>
        <v>0</v>
      </c>
      <c r="BA34" s="444">
        <f t="shared" si="0"/>
        <v>0</v>
      </c>
      <c r="BD34" s="696"/>
      <c r="BE34" s="964"/>
      <c r="BF34" s="697"/>
      <c r="BG34" s="697"/>
      <c r="BH34" s="697"/>
      <c r="BI34" s="697"/>
      <c r="BJ34" s="955"/>
      <c r="BK34" s="955"/>
      <c r="BL34" s="957"/>
      <c r="BM34" s="965"/>
      <c r="BO34" s="966"/>
    </row>
    <row r="35" spans="1:67" s="158" customFormat="1" ht="15">
      <c r="A35" s="410">
        <v>33</v>
      </c>
      <c r="B35" s="410">
        <v>914</v>
      </c>
      <c r="C35" s="410" t="s">
        <v>649</v>
      </c>
      <c r="D35" s="410">
        <v>3</v>
      </c>
      <c r="E35" s="410"/>
      <c r="F35" s="410"/>
      <c r="G35" s="410" t="s">
        <v>650</v>
      </c>
      <c r="H35" s="410"/>
      <c r="I35" s="410"/>
      <c r="J35" s="410"/>
      <c r="K35" s="410" t="s">
        <v>650</v>
      </c>
      <c r="L35" s="410"/>
      <c r="M35" s="410"/>
      <c r="N35" s="410"/>
      <c r="O35" s="410"/>
      <c r="P35" s="410"/>
      <c r="Q35" s="410"/>
      <c r="R35" s="410"/>
      <c r="S35" s="410" t="s">
        <v>650</v>
      </c>
      <c r="T35" s="410"/>
      <c r="U35" s="410"/>
      <c r="V35" s="410"/>
      <c r="W35" s="410"/>
      <c r="X35" s="410"/>
      <c r="Y35" s="410" t="s">
        <v>650</v>
      </c>
      <c r="Z35" s="410" t="s">
        <v>650</v>
      </c>
      <c r="AA35" s="410" t="s">
        <v>650</v>
      </c>
      <c r="AB35" s="632"/>
      <c r="AC35" s="410" t="s">
        <v>651</v>
      </c>
      <c r="AD35" s="410"/>
      <c r="AE35" s="410"/>
      <c r="AF35" s="410"/>
      <c r="AG35" s="410"/>
      <c r="AH35" s="410"/>
      <c r="AI35" s="410"/>
      <c r="AJ35" s="410"/>
      <c r="AK35" s="410"/>
      <c r="AL35" s="410"/>
      <c r="AM35" s="656"/>
      <c r="AN35" s="840">
        <v>1973376</v>
      </c>
      <c r="AO35" s="841">
        <v>21072.400000000001</v>
      </c>
      <c r="AP35" s="842">
        <v>1973173</v>
      </c>
      <c r="AQ35" s="843">
        <v>6257.11</v>
      </c>
      <c r="AR35" s="842">
        <v>2130762</v>
      </c>
      <c r="AS35" s="1026">
        <v>-1720.85</v>
      </c>
      <c r="AT35" s="1028" t="s">
        <v>652</v>
      </c>
      <c r="AU35" s="1029">
        <v>5029.6499999999996</v>
      </c>
      <c r="AV35" s="441"/>
      <c r="AW35" s="442"/>
      <c r="AX35" s="439">
        <v>1973376</v>
      </c>
      <c r="AY35" s="440">
        <v>12229.92</v>
      </c>
      <c r="AZ35" s="443">
        <f t="shared" si="1"/>
        <v>1973376</v>
      </c>
      <c r="BA35" s="444">
        <f>AY35+AS35+AQ35+AO35+AU35+AW35</f>
        <v>42868.23</v>
      </c>
      <c r="BD35" s="1024"/>
      <c r="BE35" s="1025"/>
      <c r="BF35" s="727"/>
      <c r="BG35" s="738"/>
      <c r="BH35" s="727"/>
      <c r="BI35" s="738"/>
      <c r="BJ35" s="744"/>
      <c r="BK35" s="757"/>
      <c r="BL35" s="751"/>
      <c r="BM35" s="752"/>
      <c r="BN35" s="695"/>
      <c r="BO35" s="803"/>
    </row>
    <row r="36" spans="1:67">
      <c r="A36" s="7">
        <v>34</v>
      </c>
      <c r="B36" s="7">
        <v>914</v>
      </c>
      <c r="C36" s="7" t="s">
        <v>648</v>
      </c>
      <c r="D36" s="7">
        <v>3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13"/>
      <c r="AC36" s="7"/>
      <c r="AD36" s="409"/>
      <c r="AE36" s="409"/>
      <c r="AF36" s="409"/>
      <c r="AG36" s="409"/>
      <c r="AH36" s="409"/>
      <c r="AI36" s="409"/>
      <c r="AJ36" s="409"/>
      <c r="AK36" s="409"/>
      <c r="AL36" s="409"/>
      <c r="AM36" s="557"/>
      <c r="AN36" s="234"/>
      <c r="AO36" s="174"/>
      <c r="AP36" s="187"/>
      <c r="AQ36" s="188"/>
      <c r="AR36" s="187"/>
      <c r="AS36" s="265"/>
      <c r="AT36" s="710"/>
      <c r="AU36" s="713"/>
      <c r="AV36" s="358"/>
      <c r="AW36" s="359"/>
      <c r="AX36" s="219"/>
      <c r="AY36" s="247"/>
      <c r="AZ36" s="363">
        <f t="shared" si="1"/>
        <v>0</v>
      </c>
      <c r="BA36" s="444">
        <f t="shared" ref="BA35:BA62" si="2">AY36+AS36+AQ36+AO36</f>
        <v>0</v>
      </c>
      <c r="BD36" s="719"/>
      <c r="BE36" s="729"/>
      <c r="BF36" s="725"/>
      <c r="BG36" s="739"/>
      <c r="BH36" s="725"/>
      <c r="BI36" s="736"/>
      <c r="BJ36" s="742"/>
      <c r="BK36" s="755"/>
      <c r="BL36" s="747"/>
      <c r="BM36" s="748"/>
      <c r="BN36" s="694"/>
      <c r="BO36" s="691"/>
    </row>
    <row r="37" spans="1:67">
      <c r="A37" s="9">
        <v>35</v>
      </c>
      <c r="B37" s="9">
        <v>914</v>
      </c>
      <c r="C37" s="9" t="s">
        <v>649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3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41"/>
      <c r="AN37" s="234"/>
      <c r="AO37" s="174"/>
      <c r="AP37" s="187"/>
      <c r="AQ37" s="188"/>
      <c r="AR37" s="187"/>
      <c r="AS37" s="265"/>
      <c r="AT37" s="710"/>
      <c r="AU37" s="713"/>
      <c r="AV37" s="358"/>
      <c r="AW37" s="359"/>
      <c r="AX37" s="219"/>
      <c r="AY37" s="247"/>
      <c r="AZ37" s="363">
        <f t="shared" si="1"/>
        <v>0</v>
      </c>
      <c r="BA37" s="444">
        <f t="shared" si="2"/>
        <v>0</v>
      </c>
      <c r="BD37" s="719"/>
      <c r="BE37" s="729"/>
      <c r="BF37" s="725"/>
      <c r="BG37" s="736"/>
      <c r="BH37" s="725"/>
      <c r="BI37" s="736"/>
      <c r="BJ37" s="742"/>
      <c r="BK37" s="755"/>
      <c r="BL37" s="747"/>
      <c r="BM37" s="748"/>
      <c r="BN37" s="694"/>
      <c r="BO37" s="691"/>
    </row>
    <row r="38" spans="1:67">
      <c r="A38" s="7">
        <v>36</v>
      </c>
      <c r="B38" s="7">
        <v>914</v>
      </c>
      <c r="C38" s="7" t="s">
        <v>647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13"/>
      <c r="AC38" s="7"/>
      <c r="AD38" s="409"/>
      <c r="AE38" s="409"/>
      <c r="AF38" s="409"/>
      <c r="AG38" s="409"/>
      <c r="AH38" s="409"/>
      <c r="AI38" s="409"/>
      <c r="AJ38" s="409"/>
      <c r="AK38" s="409"/>
      <c r="AL38" s="409"/>
      <c r="AM38" s="557"/>
      <c r="AN38" s="234"/>
      <c r="AO38" s="174"/>
      <c r="AP38" s="187"/>
      <c r="AQ38" s="188"/>
      <c r="AR38" s="187"/>
      <c r="AS38" s="188"/>
      <c r="AT38" s="710"/>
      <c r="AU38" s="713"/>
      <c r="AV38" s="358"/>
      <c r="AW38" s="360"/>
      <c r="AX38" s="219"/>
      <c r="AY38" s="247"/>
      <c r="AZ38" s="363">
        <f t="shared" si="1"/>
        <v>0</v>
      </c>
      <c r="BA38" s="444">
        <f t="shared" si="2"/>
        <v>0</v>
      </c>
      <c r="BD38" s="720"/>
      <c r="BE38" s="730"/>
      <c r="BF38" s="726"/>
      <c r="BG38" s="737"/>
      <c r="BH38" s="726"/>
      <c r="BI38" s="737"/>
      <c r="BJ38" s="743"/>
      <c r="BK38" s="756"/>
      <c r="BL38" s="749"/>
      <c r="BM38" s="967"/>
      <c r="BN38" s="694"/>
      <c r="BO38" s="691"/>
    </row>
    <row r="39" spans="1:67">
      <c r="A39" s="9">
        <v>37</v>
      </c>
      <c r="B39" s="9">
        <v>846</v>
      </c>
      <c r="C39" s="9" t="s">
        <v>648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3"/>
      <c r="AC39" s="9"/>
      <c r="AD39" s="410"/>
      <c r="AE39" s="410"/>
      <c r="AF39" s="410"/>
      <c r="AG39" s="410"/>
      <c r="AH39" s="410"/>
      <c r="AI39" s="410"/>
      <c r="AJ39" s="410"/>
      <c r="AK39" s="410"/>
      <c r="AL39" s="410"/>
      <c r="AM39" s="656"/>
      <c r="AN39" s="234"/>
      <c r="AO39" s="174"/>
      <c r="AP39" s="187"/>
      <c r="AQ39" s="188"/>
      <c r="AR39" s="187"/>
      <c r="AS39" s="188"/>
      <c r="AT39" s="269"/>
      <c r="AU39" s="301"/>
      <c r="AV39" s="358"/>
      <c r="AW39" s="359"/>
      <c r="AX39" s="219"/>
      <c r="AY39" s="225"/>
      <c r="AZ39" s="363">
        <f t="shared" si="1"/>
        <v>0</v>
      </c>
      <c r="BA39" s="444">
        <f t="shared" si="2"/>
        <v>0</v>
      </c>
      <c r="BD39" s="968"/>
      <c r="BE39" s="968"/>
      <c r="BF39" s="969"/>
      <c r="BG39" s="969"/>
      <c r="BH39" s="969"/>
      <c r="BI39" s="969"/>
      <c r="BJ39" s="970"/>
      <c r="BK39" s="971"/>
      <c r="BL39" s="972"/>
      <c r="BM39" s="973"/>
    </row>
    <row r="40" spans="1:67">
      <c r="A40" s="7">
        <v>38</v>
      </c>
      <c r="B40" s="7">
        <v>260</v>
      </c>
      <c r="C40" s="7" t="s">
        <v>648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13"/>
      <c r="AC40" s="7"/>
      <c r="AD40" s="409"/>
      <c r="AE40" s="409"/>
      <c r="AF40" s="409"/>
      <c r="AG40" s="409"/>
      <c r="AH40" s="409"/>
      <c r="AI40" s="409"/>
      <c r="AJ40" s="409"/>
      <c r="AK40" s="409"/>
      <c r="AL40" s="409"/>
      <c r="AM40" s="557"/>
      <c r="AN40" s="234"/>
      <c r="AO40" s="174"/>
      <c r="AP40" s="187"/>
      <c r="AQ40" s="188"/>
      <c r="AR40" s="187"/>
      <c r="AS40" s="265"/>
      <c r="AT40" s="710"/>
      <c r="AU40" s="713"/>
      <c r="AV40" s="358"/>
      <c r="AW40" s="359"/>
      <c r="AX40" s="219"/>
      <c r="AY40" s="247"/>
      <c r="AZ40" s="363">
        <f t="shared" si="1"/>
        <v>0</v>
      </c>
      <c r="BA40" s="444">
        <f t="shared" si="2"/>
        <v>0</v>
      </c>
      <c r="BD40" s="718"/>
      <c r="BE40" s="974"/>
      <c r="BF40" s="724"/>
      <c r="BG40" s="735"/>
      <c r="BH40" s="975"/>
      <c r="BI40" s="735"/>
      <c r="BJ40" s="741"/>
      <c r="BK40" s="754"/>
      <c r="BL40" s="745"/>
      <c r="BM40" s="746"/>
      <c r="BN40" s="694"/>
      <c r="BO40" s="690"/>
    </row>
    <row r="41" spans="1:67">
      <c r="A41" s="9">
        <v>39</v>
      </c>
      <c r="B41" s="9">
        <v>846</v>
      </c>
      <c r="C41" s="9" t="s">
        <v>647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3"/>
      <c r="AC41" s="9"/>
      <c r="AD41" s="9"/>
      <c r="AE41" s="9"/>
      <c r="AF41" s="9"/>
      <c r="AG41" s="32"/>
      <c r="AH41" s="9"/>
      <c r="AI41" s="9"/>
      <c r="AJ41" s="9"/>
      <c r="AK41" s="9"/>
      <c r="AL41" s="9"/>
      <c r="AM41" s="141"/>
      <c r="AN41" s="234"/>
      <c r="AO41" s="174"/>
      <c r="AP41" s="266"/>
      <c r="AQ41" s="188"/>
      <c r="AR41" s="266"/>
      <c r="AS41" s="188"/>
      <c r="AT41" s="710"/>
      <c r="AU41" s="713"/>
      <c r="AV41" s="358"/>
      <c r="AW41" s="360"/>
      <c r="AX41" s="219"/>
      <c r="AY41" s="247"/>
      <c r="AZ41" s="363">
        <f t="shared" si="1"/>
        <v>0</v>
      </c>
      <c r="BA41" s="444">
        <f t="shared" si="2"/>
        <v>0</v>
      </c>
      <c r="BD41" s="719"/>
      <c r="BE41" s="728"/>
      <c r="BF41" s="725"/>
      <c r="BG41" s="739"/>
      <c r="BH41" s="725"/>
      <c r="BI41" s="736"/>
      <c r="BJ41" s="742"/>
      <c r="BK41" s="758"/>
      <c r="BL41" s="747"/>
      <c r="BM41" s="753"/>
      <c r="BN41" s="694"/>
      <c r="BO41" s="690"/>
    </row>
    <row r="42" spans="1:67">
      <c r="A42" s="7">
        <v>40</v>
      </c>
      <c r="B42" s="7">
        <v>260</v>
      </c>
      <c r="C42" s="7" t="s">
        <v>648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13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103"/>
      <c r="AN42" s="234"/>
      <c r="AO42" s="174"/>
      <c r="AP42" s="187"/>
      <c r="AQ42" s="188"/>
      <c r="AR42" s="187"/>
      <c r="AS42" s="265"/>
      <c r="AT42" s="710"/>
      <c r="AU42" s="713"/>
      <c r="AV42" s="358"/>
      <c r="AW42" s="359"/>
      <c r="AX42" s="219"/>
      <c r="AY42" s="247"/>
      <c r="AZ42" s="363">
        <f t="shared" si="1"/>
        <v>0</v>
      </c>
      <c r="BA42" s="444">
        <f t="shared" si="2"/>
        <v>0</v>
      </c>
      <c r="BD42" s="719"/>
      <c r="BE42" s="728"/>
      <c r="BF42" s="725"/>
      <c r="BG42" s="736"/>
      <c r="BH42" s="725"/>
      <c r="BI42" s="736"/>
      <c r="BJ42" s="742"/>
      <c r="BK42" s="755"/>
      <c r="BL42" s="747"/>
      <c r="BM42" s="748"/>
      <c r="BN42" s="694"/>
      <c r="BO42" s="690"/>
    </row>
    <row r="43" spans="1:67">
      <c r="A43" s="9">
        <v>41</v>
      </c>
      <c r="B43" s="9">
        <v>260</v>
      </c>
      <c r="C43" s="9" t="s">
        <v>649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3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141"/>
      <c r="AN43" s="234"/>
      <c r="AO43" s="174"/>
      <c r="AP43" s="187"/>
      <c r="AQ43" s="188"/>
      <c r="AR43" s="187"/>
      <c r="AS43" s="265"/>
      <c r="AT43" s="710"/>
      <c r="AU43" s="713"/>
      <c r="AV43" s="358"/>
      <c r="AW43" s="359"/>
      <c r="AX43" s="219"/>
      <c r="AY43" s="247"/>
      <c r="AZ43" s="363">
        <f t="shared" si="1"/>
        <v>0</v>
      </c>
      <c r="BA43" s="444">
        <f t="shared" si="2"/>
        <v>0</v>
      </c>
      <c r="BD43" s="719"/>
      <c r="BE43" s="729"/>
      <c r="BF43" s="725"/>
      <c r="BG43" s="736"/>
      <c r="BH43" s="725"/>
      <c r="BI43" s="736"/>
      <c r="BJ43" s="742"/>
      <c r="BK43" s="755"/>
      <c r="BL43" s="747"/>
      <c r="BM43" s="748"/>
      <c r="BN43" s="694"/>
      <c r="BO43" s="690"/>
    </row>
    <row r="44" spans="1:67">
      <c r="A44" s="7">
        <v>42</v>
      </c>
      <c r="B44" s="7">
        <v>846</v>
      </c>
      <c r="C44" s="7" t="s">
        <v>649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13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103"/>
      <c r="AN44" s="234"/>
      <c r="AO44" s="174"/>
      <c r="AP44" s="187"/>
      <c r="AQ44" s="598"/>
      <c r="AR44" s="187"/>
      <c r="AS44" s="265"/>
      <c r="AT44" s="710"/>
      <c r="AU44" s="713"/>
      <c r="AV44" s="358"/>
      <c r="AW44" s="359"/>
      <c r="AX44" s="219"/>
      <c r="AY44" s="247"/>
      <c r="AZ44" s="363">
        <f t="shared" si="1"/>
        <v>0</v>
      </c>
      <c r="BA44" s="444">
        <f t="shared" si="2"/>
        <v>0</v>
      </c>
      <c r="BD44" s="719"/>
      <c r="BE44" s="729"/>
      <c r="BF44" s="725"/>
      <c r="BG44" s="740"/>
      <c r="BH44" s="725"/>
      <c r="BI44" s="736"/>
      <c r="BJ44" s="742"/>
      <c r="BK44" s="755"/>
      <c r="BL44" s="747"/>
      <c r="BM44" s="748"/>
      <c r="BN44" s="694"/>
      <c r="BO44" s="691"/>
    </row>
    <row r="45" spans="1:67">
      <c r="A45" s="50">
        <v>43</v>
      </c>
      <c r="B45" s="9">
        <v>846</v>
      </c>
      <c r="C45" s="9" t="s">
        <v>647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13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141"/>
      <c r="AN45" s="234"/>
      <c r="AO45" s="174"/>
      <c r="AP45" s="187"/>
      <c r="AQ45" s="188"/>
      <c r="AR45" s="187"/>
      <c r="AS45" s="265"/>
      <c r="AT45" s="710"/>
      <c r="AU45" s="713"/>
      <c r="AV45" s="358"/>
      <c r="AW45" s="359"/>
      <c r="AX45" s="219"/>
      <c r="AY45" s="247"/>
      <c r="AZ45" s="363">
        <f t="shared" si="1"/>
        <v>0</v>
      </c>
      <c r="BA45" s="444">
        <f t="shared" si="2"/>
        <v>0</v>
      </c>
      <c r="BD45" s="719"/>
      <c r="BE45" s="733"/>
      <c r="BF45" s="725"/>
      <c r="BG45" s="736"/>
      <c r="BH45" s="725"/>
      <c r="BI45" s="736"/>
      <c r="BJ45" s="742"/>
      <c r="BK45" s="755"/>
      <c r="BL45" s="747"/>
      <c r="BM45" s="748"/>
      <c r="BN45" s="694"/>
      <c r="BO45" s="693"/>
    </row>
    <row r="46" spans="1:67">
      <c r="A46" s="7">
        <v>44</v>
      </c>
      <c r="B46" s="7">
        <v>260</v>
      </c>
      <c r="C46" s="7" t="s">
        <v>648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13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103"/>
      <c r="AN46" s="234"/>
      <c r="AO46" s="174"/>
      <c r="AP46" s="187"/>
      <c r="AQ46" s="188"/>
      <c r="AR46" s="187"/>
      <c r="AS46" s="265"/>
      <c r="AT46" s="710"/>
      <c r="AU46" s="713"/>
      <c r="AV46" s="358"/>
      <c r="AW46" s="359"/>
      <c r="AX46" s="219"/>
      <c r="AY46" s="247"/>
      <c r="AZ46" s="363">
        <f t="shared" si="1"/>
        <v>0</v>
      </c>
      <c r="BA46" s="444">
        <f t="shared" si="2"/>
        <v>0</v>
      </c>
      <c r="BD46" s="719"/>
      <c r="BE46" s="729"/>
      <c r="BF46" s="725"/>
      <c r="BG46" s="736"/>
      <c r="BH46" s="725"/>
      <c r="BI46" s="736"/>
      <c r="BJ46" s="742"/>
      <c r="BK46" s="755"/>
      <c r="BL46" s="747"/>
      <c r="BM46" s="748"/>
      <c r="BN46" s="694"/>
      <c r="BO46" s="689"/>
    </row>
    <row r="47" spans="1:67">
      <c r="A47" s="9">
        <v>45</v>
      </c>
      <c r="B47" s="9">
        <v>846</v>
      </c>
      <c r="C47" s="9" t="s">
        <v>648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3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141"/>
      <c r="AN47" s="234"/>
      <c r="AO47" s="174"/>
      <c r="AP47" s="187"/>
      <c r="AQ47" s="188"/>
      <c r="AR47" s="187"/>
      <c r="AS47" s="265"/>
      <c r="AT47" s="710"/>
      <c r="AU47" s="713"/>
      <c r="AV47" s="358"/>
      <c r="AW47" s="359"/>
      <c r="AX47" s="219"/>
      <c r="AY47" s="247"/>
      <c r="AZ47" s="363">
        <f t="shared" si="1"/>
        <v>0</v>
      </c>
      <c r="BA47" s="444">
        <f t="shared" si="2"/>
        <v>0</v>
      </c>
      <c r="BD47" s="719"/>
      <c r="BE47" s="729"/>
      <c r="BF47" s="725"/>
      <c r="BG47" s="739"/>
      <c r="BH47" s="725"/>
      <c r="BI47" s="736"/>
      <c r="BJ47" s="742"/>
      <c r="BK47" s="758"/>
      <c r="BL47" s="747"/>
      <c r="BM47" s="748"/>
      <c r="BN47" s="694"/>
      <c r="BO47" s="690"/>
    </row>
    <row r="48" spans="1:67">
      <c r="A48" s="7">
        <v>46</v>
      </c>
      <c r="B48" s="7">
        <v>914</v>
      </c>
      <c r="C48" s="7" t="s">
        <v>648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13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103"/>
      <c r="AN48" s="234"/>
      <c r="AO48" s="174"/>
      <c r="AP48" s="187"/>
      <c r="AQ48" s="188"/>
      <c r="AR48" s="187"/>
      <c r="AS48" s="267"/>
      <c r="AT48" s="710"/>
      <c r="AU48" s="713"/>
      <c r="AV48" s="358"/>
      <c r="AW48" s="359"/>
      <c r="AX48" s="219"/>
      <c r="AY48" s="247"/>
      <c r="AZ48" s="363">
        <f t="shared" si="1"/>
        <v>0</v>
      </c>
      <c r="BA48" s="444">
        <f t="shared" si="2"/>
        <v>0</v>
      </c>
      <c r="BD48" s="719"/>
      <c r="BE48" s="729"/>
      <c r="BF48" s="725"/>
      <c r="BG48" s="736"/>
      <c r="BH48" s="725"/>
      <c r="BI48" s="736"/>
      <c r="BJ48" s="742"/>
      <c r="BK48" s="755"/>
      <c r="BL48" s="747"/>
      <c r="BM48" s="748"/>
      <c r="BN48" s="694"/>
      <c r="BO48" s="691"/>
    </row>
    <row r="49" spans="1:67">
      <c r="A49" s="9">
        <v>47</v>
      </c>
      <c r="B49" s="9">
        <v>260</v>
      </c>
      <c r="C49" s="9" t="s">
        <v>647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3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141"/>
      <c r="AN49" s="234"/>
      <c r="AO49" s="174"/>
      <c r="AP49" s="187"/>
      <c r="AQ49" s="598"/>
      <c r="AR49" s="187"/>
      <c r="AS49" s="265"/>
      <c r="AT49" s="710"/>
      <c r="AU49" s="713"/>
      <c r="AV49" s="358"/>
      <c r="AW49" s="535"/>
      <c r="AX49" s="219"/>
      <c r="AY49" s="247"/>
      <c r="AZ49" s="363">
        <f t="shared" si="1"/>
        <v>0</v>
      </c>
      <c r="BA49" s="444">
        <f t="shared" si="2"/>
        <v>0</v>
      </c>
      <c r="BD49" s="720"/>
      <c r="BE49" s="730"/>
      <c r="BF49" s="726"/>
      <c r="BG49" s="737"/>
      <c r="BH49" s="726"/>
      <c r="BI49" s="737"/>
      <c r="BJ49" s="743"/>
      <c r="BK49" s="759"/>
      <c r="BL49" s="749"/>
      <c r="BM49" s="750"/>
      <c r="BN49" s="694"/>
      <c r="BO49" s="689"/>
    </row>
    <row r="50" spans="1:67">
      <c r="A50" s="7">
        <v>48</v>
      </c>
      <c r="B50" s="7">
        <v>914</v>
      </c>
      <c r="C50" s="7" t="s">
        <v>649</v>
      </c>
      <c r="D50" s="7">
        <v>3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13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103"/>
      <c r="AN50" s="716"/>
      <c r="AO50" s="717"/>
      <c r="AP50" s="187"/>
      <c r="AQ50" s="188"/>
      <c r="AR50" s="187"/>
      <c r="AS50" s="679"/>
      <c r="AT50" s="711"/>
      <c r="AU50" s="713"/>
      <c r="AV50" s="358"/>
      <c r="AW50" s="359"/>
      <c r="AX50" s="219"/>
      <c r="AY50" s="247"/>
      <c r="AZ50" s="363">
        <f t="shared" si="1"/>
        <v>0</v>
      </c>
      <c r="BA50" s="444">
        <f t="shared" si="2"/>
        <v>0</v>
      </c>
      <c r="BD50" s="719"/>
      <c r="BE50" s="721"/>
      <c r="BF50" s="725"/>
      <c r="BG50" s="736"/>
      <c r="BH50" s="725"/>
      <c r="BI50" s="736"/>
      <c r="BJ50" s="742"/>
      <c r="BK50" s="755"/>
      <c r="BL50" s="747"/>
      <c r="BM50" s="748"/>
      <c r="BN50" s="694"/>
      <c r="BO50" s="689"/>
    </row>
    <row r="51" spans="1:67">
      <c r="A51" s="9">
        <v>49</v>
      </c>
      <c r="B51" s="9">
        <v>846</v>
      </c>
      <c r="C51" s="9" t="s">
        <v>649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3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141"/>
      <c r="AN51" s="234"/>
      <c r="AO51" s="174"/>
      <c r="AP51" s="187"/>
      <c r="AQ51" s="188"/>
      <c r="AR51" s="187"/>
      <c r="AS51" s="265"/>
      <c r="AT51" s="710"/>
      <c r="AU51" s="713"/>
      <c r="AV51" s="358"/>
      <c r="AW51" s="359"/>
      <c r="AX51" s="219"/>
      <c r="AY51" s="247"/>
      <c r="AZ51" s="363">
        <f t="shared" si="1"/>
        <v>0</v>
      </c>
      <c r="BA51" s="444">
        <f t="shared" si="2"/>
        <v>0</v>
      </c>
      <c r="BD51" s="719"/>
      <c r="BE51" s="729"/>
      <c r="BF51" s="725"/>
      <c r="BG51" s="736"/>
      <c r="BH51" s="725"/>
      <c r="BI51" s="736"/>
      <c r="BJ51" s="742"/>
      <c r="BK51" s="755"/>
      <c r="BL51" s="747"/>
      <c r="BM51" s="748"/>
      <c r="BN51" s="694"/>
      <c r="BO51" s="691"/>
    </row>
    <row r="52" spans="1:67">
      <c r="A52" s="7">
        <v>50</v>
      </c>
      <c r="B52" s="7">
        <v>260</v>
      </c>
      <c r="C52" s="7" t="s">
        <v>649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13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103"/>
      <c r="AN52" s="234"/>
      <c r="AO52" s="174"/>
      <c r="AP52" s="187"/>
      <c r="AQ52" s="188"/>
      <c r="AR52" s="187"/>
      <c r="AS52" s="265"/>
      <c r="AT52" s="710"/>
      <c r="AU52" s="713"/>
      <c r="AV52" s="358"/>
      <c r="AW52" s="359"/>
      <c r="AX52" s="219"/>
      <c r="AY52" s="247"/>
      <c r="AZ52" s="363">
        <f t="shared" si="1"/>
        <v>0</v>
      </c>
      <c r="BA52" s="444">
        <f t="shared" si="2"/>
        <v>0</v>
      </c>
      <c r="BD52" s="720"/>
      <c r="BE52" s="730"/>
      <c r="BF52" s="726"/>
      <c r="BG52" s="737"/>
      <c r="BH52" s="726"/>
      <c r="BI52" s="737"/>
      <c r="BJ52" s="743"/>
      <c r="BK52" s="756"/>
      <c r="BL52" s="749"/>
      <c r="BM52" s="750"/>
      <c r="BN52" s="694"/>
      <c r="BO52" s="691"/>
    </row>
    <row r="53" spans="1:67">
      <c r="A53" s="9">
        <v>51</v>
      </c>
      <c r="B53" s="9">
        <v>260</v>
      </c>
      <c r="C53" s="9" t="s">
        <v>648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3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141"/>
      <c r="AN53" s="234"/>
      <c r="AO53" s="174"/>
      <c r="AP53" s="187"/>
      <c r="AQ53" s="188"/>
      <c r="AR53" s="187"/>
      <c r="AS53" s="265"/>
      <c r="AT53" s="269"/>
      <c r="AU53" s="301"/>
      <c r="AV53" s="358"/>
      <c r="AW53" s="360"/>
      <c r="AX53" s="219"/>
      <c r="AY53" s="225"/>
      <c r="AZ53" s="363">
        <f t="shared" si="1"/>
        <v>0</v>
      </c>
      <c r="BA53" s="444">
        <f t="shared" si="2"/>
        <v>0</v>
      </c>
      <c r="BD53" s="702"/>
      <c r="BE53" s="702"/>
      <c r="BF53" s="703"/>
      <c r="BG53" s="703"/>
      <c r="BH53" s="703"/>
      <c r="BI53" s="703"/>
      <c r="BJ53" s="959"/>
      <c r="BK53" s="960"/>
      <c r="BL53" s="961"/>
      <c r="BM53" s="962"/>
    </row>
    <row r="54" spans="1:67">
      <c r="A54" s="7">
        <v>52</v>
      </c>
      <c r="B54" s="7">
        <v>846</v>
      </c>
      <c r="C54" s="7" t="s">
        <v>648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13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103"/>
      <c r="AN54" s="234"/>
      <c r="AO54" s="174"/>
      <c r="AP54" s="187"/>
      <c r="AQ54" s="188"/>
      <c r="AR54" s="187"/>
      <c r="AS54" s="265"/>
      <c r="AT54" s="269"/>
      <c r="AU54" s="301"/>
      <c r="AV54" s="358"/>
      <c r="AW54" s="360"/>
      <c r="AX54" s="219"/>
      <c r="AY54" s="225"/>
      <c r="AZ54" s="363">
        <f t="shared" si="1"/>
        <v>0</v>
      </c>
      <c r="BA54" s="444">
        <f t="shared" si="2"/>
        <v>0</v>
      </c>
      <c r="BD54" s="608"/>
      <c r="BE54" s="608"/>
      <c r="BF54" s="609"/>
      <c r="BG54" s="609"/>
      <c r="BH54" s="609"/>
      <c r="BI54" s="609"/>
      <c r="BJ54" s="953"/>
      <c r="BK54" s="954"/>
      <c r="BL54" s="613"/>
      <c r="BM54" s="360"/>
    </row>
    <row r="55" spans="1:67" s="158" customFormat="1">
      <c r="A55" s="410">
        <v>53</v>
      </c>
      <c r="B55" s="410">
        <v>260</v>
      </c>
      <c r="C55" s="410" t="s">
        <v>647</v>
      </c>
      <c r="D55" s="410">
        <v>2</v>
      </c>
      <c r="E55" s="410"/>
      <c r="F55" s="410"/>
      <c r="G55" s="410"/>
      <c r="H55" s="410"/>
      <c r="I55" s="410"/>
      <c r="J55" s="410"/>
      <c r="K55" s="410" t="s">
        <v>650</v>
      </c>
      <c r="L55" s="410"/>
      <c r="M55" s="410"/>
      <c r="N55" s="410"/>
      <c r="O55" s="410"/>
      <c r="P55" s="410"/>
      <c r="Q55" s="410"/>
      <c r="R55" s="410"/>
      <c r="S55" s="850" t="s">
        <v>650</v>
      </c>
      <c r="T55" s="410"/>
      <c r="U55" s="410"/>
      <c r="V55" s="410"/>
      <c r="W55" s="410"/>
      <c r="X55" s="410"/>
      <c r="Y55" s="410"/>
      <c r="Z55" s="410" t="s">
        <v>650</v>
      </c>
      <c r="AA55" s="410" t="s">
        <v>650</v>
      </c>
      <c r="AB55" s="632"/>
      <c r="AC55" s="410" t="s">
        <v>653</v>
      </c>
      <c r="AD55" s="410"/>
      <c r="AE55" s="410"/>
      <c r="AF55" s="410"/>
      <c r="AG55" s="410"/>
      <c r="AH55" s="410"/>
      <c r="AI55" s="410"/>
      <c r="AJ55" s="410"/>
      <c r="AK55" s="410"/>
      <c r="AL55" s="410"/>
      <c r="AM55" s="656"/>
      <c r="AN55" s="840">
        <v>1509734</v>
      </c>
      <c r="AO55" s="841">
        <v>19279.41</v>
      </c>
      <c r="AP55" s="842">
        <v>1509266</v>
      </c>
      <c r="AQ55" s="843">
        <v>598.29999999999995</v>
      </c>
      <c r="AR55" s="842">
        <v>1683273</v>
      </c>
      <c r="AS55" s="843">
        <v>121.72</v>
      </c>
      <c r="AT55" s="435"/>
      <c r="AU55" s="436"/>
      <c r="AV55" s="441"/>
      <c r="AW55" s="634"/>
      <c r="AX55" s="439">
        <v>1509734</v>
      </c>
      <c r="AY55" s="440">
        <v>11285.49</v>
      </c>
      <c r="AZ55" s="363">
        <f t="shared" si="1"/>
        <v>1509734</v>
      </c>
      <c r="BA55" s="444">
        <f t="shared" si="2"/>
        <v>31284.92</v>
      </c>
      <c r="BD55" s="790"/>
      <c r="BE55" s="790"/>
      <c r="BF55" s="791"/>
      <c r="BG55" s="791"/>
      <c r="BH55" s="791"/>
      <c r="BI55" s="791"/>
      <c r="BJ55" s="610"/>
      <c r="BK55" s="611"/>
      <c r="BL55" s="612"/>
      <c r="BM55" s="634"/>
      <c r="BN55" s="792"/>
      <c r="BO55" s="792"/>
    </row>
    <row r="56" spans="1:67">
      <c r="A56" s="7">
        <v>54</v>
      </c>
      <c r="B56" s="7">
        <v>846</v>
      </c>
      <c r="C56" s="7" t="s">
        <v>649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13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103"/>
      <c r="AN56" s="234"/>
      <c r="AO56" s="174"/>
      <c r="AP56" s="187"/>
      <c r="AQ56" s="188"/>
      <c r="AR56" s="187"/>
      <c r="AS56" s="265"/>
      <c r="AT56" s="269"/>
      <c r="AU56" s="301"/>
      <c r="AV56" s="358"/>
      <c r="AW56" s="359"/>
      <c r="AX56" s="219"/>
      <c r="AY56" s="225"/>
      <c r="AZ56" s="363">
        <f t="shared" si="1"/>
        <v>0</v>
      </c>
      <c r="BA56" s="444">
        <f t="shared" si="2"/>
        <v>0</v>
      </c>
      <c r="BD56" s="608"/>
      <c r="BE56" s="608"/>
      <c r="BF56" s="609"/>
      <c r="BG56" s="609"/>
      <c r="BH56" s="609"/>
      <c r="BI56" s="609"/>
      <c r="BJ56" s="953"/>
      <c r="BK56" s="954"/>
      <c r="BL56" s="613"/>
      <c r="BM56" s="359"/>
    </row>
    <row r="57" spans="1:67">
      <c r="A57" s="9">
        <v>55</v>
      </c>
      <c r="B57" s="9">
        <v>914</v>
      </c>
      <c r="C57" s="9" t="s">
        <v>649</v>
      </c>
      <c r="D57" s="9">
        <v>3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3"/>
      <c r="AC57" s="9"/>
      <c r="AD57" s="410"/>
      <c r="AE57" s="410"/>
      <c r="AF57" s="410"/>
      <c r="AG57" s="410"/>
      <c r="AH57" s="410"/>
      <c r="AI57" s="410"/>
      <c r="AJ57" s="410"/>
      <c r="AK57" s="410"/>
      <c r="AL57" s="410"/>
      <c r="AM57" s="656"/>
      <c r="AN57" s="854"/>
      <c r="AO57" s="945"/>
      <c r="AP57" s="187"/>
      <c r="AQ57" s="188"/>
      <c r="AR57" s="187"/>
      <c r="AS57" s="265"/>
      <c r="AT57" s="269"/>
      <c r="AU57" s="301"/>
      <c r="AV57" s="358"/>
      <c r="AW57" s="359"/>
      <c r="AX57" s="219"/>
      <c r="AY57" s="247"/>
      <c r="AZ57" s="363">
        <f t="shared" si="1"/>
        <v>0</v>
      </c>
      <c r="BA57" s="444">
        <f t="shared" si="2"/>
        <v>0</v>
      </c>
      <c r="BD57" s="608"/>
      <c r="BE57" s="963"/>
      <c r="BF57" s="609"/>
      <c r="BG57" s="609"/>
      <c r="BH57" s="609"/>
      <c r="BI57" s="609"/>
      <c r="BJ57" s="953"/>
      <c r="BK57" s="953"/>
      <c r="BL57" s="613"/>
      <c r="BM57" s="359"/>
      <c r="BO57" s="420"/>
    </row>
    <row r="58" spans="1:67">
      <c r="A58" s="7">
        <v>56</v>
      </c>
      <c r="B58" s="7">
        <v>914</v>
      </c>
      <c r="C58" s="7" t="s">
        <v>647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13"/>
      <c r="AC58" s="7"/>
      <c r="AD58" s="409"/>
      <c r="AE58" s="409"/>
      <c r="AF58" s="409"/>
      <c r="AG58" s="409"/>
      <c r="AH58" s="409"/>
      <c r="AI58" s="409"/>
      <c r="AJ58" s="409"/>
      <c r="AK58" s="409"/>
      <c r="AL58" s="409"/>
      <c r="AM58" s="557"/>
      <c r="AN58" s="854"/>
      <c r="AO58" s="945"/>
      <c r="AP58" s="187"/>
      <c r="AQ58" s="188"/>
      <c r="AR58" s="187"/>
      <c r="AS58" s="265"/>
      <c r="AT58" s="269"/>
      <c r="AU58" s="301"/>
      <c r="AV58" s="358"/>
      <c r="AW58" s="359"/>
      <c r="AX58" s="219"/>
      <c r="AY58" s="247"/>
      <c r="AZ58" s="363">
        <f t="shared" si="1"/>
        <v>0</v>
      </c>
      <c r="BA58" s="444">
        <f t="shared" si="2"/>
        <v>0</v>
      </c>
      <c r="BD58" s="696"/>
      <c r="BE58" s="964"/>
      <c r="BF58" s="697"/>
      <c r="BG58" s="697"/>
      <c r="BH58" s="697"/>
      <c r="BI58" s="697"/>
      <c r="BJ58" s="955"/>
      <c r="BK58" s="955"/>
      <c r="BL58" s="957"/>
      <c r="BM58" s="965"/>
      <c r="BO58" s="966"/>
    </row>
    <row r="59" spans="1:67">
      <c r="A59" s="9">
        <v>57</v>
      </c>
      <c r="B59" s="9">
        <v>914</v>
      </c>
      <c r="C59" s="9" t="s">
        <v>649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3"/>
      <c r="AC59" s="9"/>
      <c r="AD59" s="410"/>
      <c r="AE59" s="410"/>
      <c r="AF59" s="410"/>
      <c r="AG59" s="410"/>
      <c r="AH59" s="410"/>
      <c r="AI59" s="410"/>
      <c r="AJ59" s="410"/>
      <c r="AK59" s="410"/>
      <c r="AL59" s="410"/>
      <c r="AM59" s="656"/>
      <c r="AN59" s="234"/>
      <c r="AO59" s="174"/>
      <c r="AP59" s="187"/>
      <c r="AQ59" s="188"/>
      <c r="AR59" s="187"/>
      <c r="AS59" s="265"/>
      <c r="AT59" s="710"/>
      <c r="AU59" s="713"/>
      <c r="AV59" s="358"/>
      <c r="AW59" s="359"/>
      <c r="AX59" s="219"/>
      <c r="AY59" s="247"/>
      <c r="AZ59" s="363">
        <f t="shared" si="1"/>
        <v>0</v>
      </c>
      <c r="BA59" s="444">
        <f t="shared" si="2"/>
        <v>0</v>
      </c>
      <c r="BD59" s="808"/>
      <c r="BE59" s="809"/>
      <c r="BF59" s="724"/>
      <c r="BG59" s="735"/>
      <c r="BH59" s="724"/>
      <c r="BI59" s="735"/>
      <c r="BJ59" s="741"/>
      <c r="BK59" s="754"/>
      <c r="BL59" s="745"/>
      <c r="BM59" s="746"/>
      <c r="BN59" s="694"/>
      <c r="BO59" s="691"/>
    </row>
    <row r="60" spans="1:67">
      <c r="A60" s="7">
        <v>58</v>
      </c>
      <c r="B60" s="7">
        <v>914</v>
      </c>
      <c r="C60" s="7" t="s">
        <v>648</v>
      </c>
      <c r="D60" s="7">
        <v>3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13"/>
      <c r="AC60" s="7"/>
      <c r="AD60" s="409"/>
      <c r="AE60" s="409"/>
      <c r="AF60" s="409"/>
      <c r="AG60" s="409"/>
      <c r="AH60" s="409"/>
      <c r="AI60" s="409"/>
      <c r="AJ60" s="409"/>
      <c r="AK60" s="409"/>
      <c r="AL60" s="409"/>
      <c r="AM60" s="557"/>
      <c r="AN60" s="234"/>
      <c r="AO60" s="174"/>
      <c r="AP60" s="187"/>
      <c r="AQ60" s="188"/>
      <c r="AR60" s="187"/>
      <c r="AS60" s="265"/>
      <c r="AT60" s="710"/>
      <c r="AU60" s="713"/>
      <c r="AV60" s="358"/>
      <c r="AW60" s="359"/>
      <c r="AX60" s="219"/>
      <c r="AY60" s="247"/>
      <c r="AZ60" s="363">
        <f t="shared" si="1"/>
        <v>0</v>
      </c>
      <c r="BA60" s="444">
        <f t="shared" si="2"/>
        <v>0</v>
      </c>
      <c r="BD60" s="719"/>
      <c r="BE60" s="729"/>
      <c r="BF60" s="725"/>
      <c r="BG60" s="739"/>
      <c r="BH60" s="725"/>
      <c r="BI60" s="736"/>
      <c r="BJ60" s="742"/>
      <c r="BK60" s="755"/>
      <c r="BL60" s="747"/>
      <c r="BM60" s="748"/>
      <c r="BN60" s="694"/>
      <c r="BO60" s="691"/>
    </row>
    <row r="61" spans="1:67">
      <c r="A61" s="9">
        <v>59</v>
      </c>
      <c r="B61" s="9">
        <v>914</v>
      </c>
      <c r="C61" s="9" t="s">
        <v>649</v>
      </c>
      <c r="D61" s="9">
        <v>3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3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41"/>
      <c r="AN61" s="234"/>
      <c r="AO61" s="174"/>
      <c r="AP61" s="187"/>
      <c r="AQ61" s="188"/>
      <c r="AR61" s="187"/>
      <c r="AS61" s="265"/>
      <c r="AT61" s="710"/>
      <c r="AU61" s="713"/>
      <c r="AV61" s="358"/>
      <c r="AW61" s="359"/>
      <c r="AX61" s="219"/>
      <c r="AY61" s="247"/>
      <c r="AZ61" s="363">
        <f t="shared" si="1"/>
        <v>0</v>
      </c>
      <c r="BA61" s="444">
        <f t="shared" si="2"/>
        <v>0</v>
      </c>
      <c r="BD61" s="719"/>
      <c r="BE61" s="729"/>
      <c r="BF61" s="725"/>
      <c r="BG61" s="736"/>
      <c r="BH61" s="725"/>
      <c r="BI61" s="736"/>
      <c r="BJ61" s="742"/>
      <c r="BK61" s="755"/>
      <c r="BL61" s="747"/>
      <c r="BM61" s="748"/>
      <c r="BN61" s="694"/>
      <c r="BO61" s="691"/>
    </row>
    <row r="62" spans="1:67">
      <c r="A62" s="7">
        <v>60</v>
      </c>
      <c r="B62" s="7">
        <v>914</v>
      </c>
      <c r="C62" s="7" t="s">
        <v>647</v>
      </c>
      <c r="D62" s="7">
        <v>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13"/>
      <c r="AC62" s="7"/>
      <c r="AD62" s="409"/>
      <c r="AE62" s="409"/>
      <c r="AF62" s="409"/>
      <c r="AG62" s="409"/>
      <c r="AH62" s="409"/>
      <c r="AI62" s="409"/>
      <c r="AJ62" s="409"/>
      <c r="AK62" s="409"/>
      <c r="AL62" s="409"/>
      <c r="AM62" s="557"/>
      <c r="AN62" s="234"/>
      <c r="AO62" s="174"/>
      <c r="AP62" s="187"/>
      <c r="AQ62" s="188"/>
      <c r="AR62" s="187"/>
      <c r="AS62" s="188"/>
      <c r="AT62" s="710"/>
      <c r="AU62" s="713"/>
      <c r="AV62" s="358"/>
      <c r="AW62" s="360"/>
      <c r="AX62" s="219"/>
      <c r="AY62" s="247"/>
      <c r="AZ62" s="363">
        <f t="shared" si="1"/>
        <v>0</v>
      </c>
      <c r="BA62" s="444">
        <f t="shared" si="2"/>
        <v>0</v>
      </c>
      <c r="BD62" s="720"/>
      <c r="BE62" s="730"/>
      <c r="BF62" s="726"/>
      <c r="BG62" s="737"/>
      <c r="BH62" s="726"/>
      <c r="BI62" s="737"/>
      <c r="BJ62" s="743"/>
      <c r="BK62" s="756"/>
      <c r="BL62" s="749"/>
      <c r="BM62" s="967"/>
      <c r="BN62" s="694"/>
      <c r="BO62" s="691"/>
    </row>
  </sheetData>
  <mergeCells count="1">
    <mergeCell ref="A1:C1"/>
  </mergeCells>
  <conditionalFormatting sqref="F3:F100">
    <cfRule type="expression" dxfId="1391" priority="10">
      <formula>B3=914</formula>
    </cfRule>
    <cfRule type="expression" dxfId="1390" priority="21">
      <formula>B3=260</formula>
    </cfRule>
  </conditionalFormatting>
  <conditionalFormatting sqref="G3:G100">
    <cfRule type="expression" dxfId="1389" priority="14">
      <formula>B3=846</formula>
    </cfRule>
  </conditionalFormatting>
  <conditionalFormatting sqref="H3:H100">
    <cfRule type="expression" dxfId="1388" priority="20">
      <formula>B3=260</formula>
    </cfRule>
  </conditionalFormatting>
  <conditionalFormatting sqref="I3:I100">
    <cfRule type="expression" dxfId="1387" priority="9">
      <formula>B3=914</formula>
    </cfRule>
    <cfRule type="expression" dxfId="1386" priority="13">
      <formula>B3=846</formula>
    </cfRule>
  </conditionalFormatting>
  <conditionalFormatting sqref="J3:J100">
    <cfRule type="expression" dxfId="1385" priority="8">
      <formula>B3=914</formula>
    </cfRule>
    <cfRule type="expression" dxfId="1384" priority="12">
      <formula>B3=846</formula>
    </cfRule>
  </conditionalFormatting>
  <conditionalFormatting sqref="L3:L100">
    <cfRule type="expression" dxfId="1383" priority="19">
      <formula>B3=260</formula>
    </cfRule>
  </conditionalFormatting>
  <conditionalFormatting sqref="M3:M100">
    <cfRule type="expression" dxfId="1382" priority="7">
      <formula>B3=914</formula>
    </cfRule>
  </conditionalFormatting>
  <conditionalFormatting sqref="N3:N100">
    <cfRule type="expression" dxfId="1381" priority="6">
      <formula>B3=914</formula>
    </cfRule>
  </conditionalFormatting>
  <conditionalFormatting sqref="O3:O100">
    <cfRule type="expression" dxfId="1380" priority="4">
      <formula>B3=846</formula>
    </cfRule>
    <cfRule type="expression" dxfId="1379" priority="5">
      <formula>B3=914</formula>
    </cfRule>
    <cfRule type="expression" dxfId="1378" priority="18">
      <formula>B3=260</formula>
    </cfRule>
  </conditionalFormatting>
  <conditionalFormatting sqref="T3:T100">
    <cfRule type="expression" dxfId="1377" priority="3">
      <formula>B3=914</formula>
    </cfRule>
    <cfRule type="expression" dxfId="1376" priority="17">
      <formula>B3=260</formula>
    </cfRule>
  </conditionalFormatting>
  <conditionalFormatting sqref="U3:U100">
    <cfRule type="expression" dxfId="1375" priority="2">
      <formula>B3=914</formula>
    </cfRule>
    <cfRule type="expression" dxfId="1374" priority="11">
      <formula>B3=846</formula>
    </cfRule>
  </conditionalFormatting>
  <conditionalFormatting sqref="W3:W100">
    <cfRule type="expression" dxfId="1373" priority="1">
      <formula>B3=914</formula>
    </cfRule>
    <cfRule type="expression" dxfId="1372" priority="16">
      <formula>B3=260</formula>
    </cfRule>
  </conditionalFormatting>
  <conditionalFormatting sqref="Y3:Y100">
    <cfRule type="expression" dxfId="1371" priority="15">
      <formula>B3=260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445F-76C6-4A62-A047-88A11C1D6408}">
  <sheetPr codeName="Sheet4" filterMode="1"/>
  <dimension ref="A1:CY71"/>
  <sheetViews>
    <sheetView zoomScale="85" zoomScaleNormal="85" workbookViewId="0">
      <selection activeCell="B4" sqref="B4"/>
    </sheetView>
  </sheetViews>
  <sheetFormatPr defaultColWidth="8.85546875" defaultRowHeight="14.45"/>
  <cols>
    <col min="1" max="1" width="6.42578125" style="5" customWidth="1"/>
    <col min="2" max="2" width="5.42578125" style="5" bestFit="1" customWidth="1"/>
    <col min="3" max="3" width="4.7109375" style="5" bestFit="1" customWidth="1"/>
    <col min="4" max="4" width="10.140625" style="5" bestFit="1" customWidth="1"/>
    <col min="5" max="5" width="6.140625" style="5" customWidth="1"/>
    <col min="6" max="27" width="4.7109375" style="5" bestFit="1" customWidth="1"/>
    <col min="28" max="28" width="4.7109375" style="5" customWidth="1"/>
    <col min="29" max="30" width="4.7109375" style="5" bestFit="1" customWidth="1"/>
    <col min="31" max="31" width="5" style="5" customWidth="1"/>
    <col min="32" max="36" width="4.7109375" style="5" bestFit="1" customWidth="1"/>
    <col min="37" max="37" width="4.7109375" style="5" customWidth="1"/>
    <col min="38" max="53" width="4.7109375" style="5" bestFit="1" customWidth="1"/>
    <col min="54" max="54" width="4.7109375" style="5" customWidth="1"/>
    <col min="55" max="64" width="4.7109375" style="5" bestFit="1" customWidth="1"/>
    <col min="65" max="65" width="19.5703125" style="5" bestFit="1" customWidth="1"/>
    <col min="66" max="67" width="4.7109375" style="5" hidden="1" customWidth="1"/>
    <col min="68" max="68" width="16.28515625" style="5" hidden="1" customWidth="1"/>
    <col min="69" max="69" width="13.5703125" style="5" hidden="1" customWidth="1"/>
    <col min="70" max="70" width="10.85546875" style="5" hidden="1" customWidth="1"/>
    <col min="71" max="74" width="4.7109375" style="5" hidden="1" customWidth="1"/>
    <col min="75" max="75" width="9.5703125" style="5" hidden="1" customWidth="1"/>
    <col min="76" max="76" width="19" style="234" bestFit="1" customWidth="1"/>
    <col min="77" max="77" width="23.42578125" style="174" bestFit="1" customWidth="1"/>
    <col min="78" max="78" width="21.42578125" style="192" bestFit="1" customWidth="1"/>
    <col min="79" max="79" width="19" style="193" bestFit="1" customWidth="1"/>
    <col min="80" max="80" width="21.42578125" style="192" customWidth="1"/>
    <col min="81" max="81" width="19" style="193" customWidth="1"/>
    <col min="82" max="82" width="21.42578125" style="192" customWidth="1"/>
    <col min="83" max="83" width="19" style="268" customWidth="1"/>
    <col min="84" max="84" width="20.42578125" style="271" hidden="1" customWidth="1"/>
    <col min="85" max="85" width="21.7109375" style="544" hidden="1" customWidth="1"/>
    <col min="86" max="86" width="21.42578125" style="287" hidden="1" customWidth="1"/>
    <col min="87" max="87" width="19" style="292" hidden="1" customWidth="1"/>
    <col min="88" max="88" width="18.28515625" style="226" customWidth="1"/>
    <col min="89" max="89" width="19.7109375" style="248" customWidth="1"/>
    <col min="90" max="90" width="23.42578125" style="424" customWidth="1"/>
    <col min="91" max="91" width="19" style="425" bestFit="1" customWidth="1"/>
    <col min="92" max="93" width="12.5703125" style="470" customWidth="1"/>
    <col min="94" max="94" width="8.85546875" style="5"/>
    <col min="95" max="95" width="21.42578125" style="192" bestFit="1" customWidth="1"/>
    <col min="96" max="96" width="19" style="268" bestFit="1" customWidth="1"/>
    <col min="97" max="97" width="21.42578125" style="192" bestFit="1" customWidth="1"/>
    <col min="98" max="98" width="19" style="268" bestFit="1" customWidth="1"/>
    <col min="99" max="99" width="18.28515625" style="226" customWidth="1"/>
    <col min="100" max="100" width="19.7109375" style="248" customWidth="1"/>
    <col min="101" max="101" width="23.42578125" style="424" customWidth="1"/>
    <col min="102" max="102" width="19" style="425" bestFit="1" customWidth="1"/>
    <col min="103" max="16384" width="8.85546875" style="5"/>
  </cols>
  <sheetData>
    <row r="1" spans="1:103" ht="18.600000000000001">
      <c r="A1" s="10" t="s">
        <v>21</v>
      </c>
      <c r="E1" s="158">
        <v>250</v>
      </c>
      <c r="F1" s="158">
        <v>593</v>
      </c>
      <c r="G1" s="158">
        <v>654</v>
      </c>
      <c r="H1" s="158">
        <v>720</v>
      </c>
      <c r="I1" s="158">
        <v>721</v>
      </c>
      <c r="J1" s="158">
        <v>723</v>
      </c>
      <c r="K1" s="158">
        <v>913</v>
      </c>
      <c r="L1" s="158">
        <v>915</v>
      </c>
      <c r="N1" s="158"/>
      <c r="O1" s="158"/>
      <c r="P1" s="158"/>
      <c r="Q1" s="158"/>
      <c r="R1" s="158"/>
      <c r="BL1" s="11"/>
      <c r="BX1" s="293"/>
      <c r="BY1" s="297"/>
      <c r="BZ1" s="294"/>
      <c r="CA1" s="297"/>
      <c r="CB1" s="294"/>
      <c r="CC1" s="297"/>
      <c r="CD1" s="294"/>
      <c r="CE1" s="294"/>
      <c r="CF1" s="294"/>
      <c r="CG1" s="297"/>
      <c r="CH1" s="294"/>
      <c r="CI1" s="294"/>
      <c r="CJ1" s="294"/>
      <c r="CK1" s="294"/>
      <c r="CL1" s="411"/>
      <c r="CM1" s="411"/>
      <c r="CN1" s="468"/>
      <c r="CO1" s="468"/>
      <c r="CQ1" s="294"/>
      <c r="CR1" s="294"/>
      <c r="CS1" s="294"/>
      <c r="CT1" s="294"/>
      <c r="CU1" s="294"/>
      <c r="CV1" s="294"/>
      <c r="CW1" s="411"/>
      <c r="CX1" s="411"/>
    </row>
    <row r="2" spans="1:103" s="81" customFormat="1" ht="129" customHeight="1">
      <c r="A2" s="102" t="s">
        <v>612</v>
      </c>
      <c r="B2" s="102" t="s">
        <v>613</v>
      </c>
      <c r="C2" s="102" t="s">
        <v>614</v>
      </c>
      <c r="D2" s="82" t="s">
        <v>615</v>
      </c>
      <c r="E2" s="82" t="s">
        <v>654</v>
      </c>
      <c r="F2" s="82" t="s">
        <v>89</v>
      </c>
      <c r="G2" s="82" t="s">
        <v>270</v>
      </c>
      <c r="H2" s="82" t="s">
        <v>93</v>
      </c>
      <c r="I2" s="83" t="s">
        <v>83</v>
      </c>
      <c r="J2" s="83" t="s">
        <v>87</v>
      </c>
      <c r="K2" s="83" t="s">
        <v>257</v>
      </c>
      <c r="L2" s="83" t="s">
        <v>278</v>
      </c>
      <c r="M2" s="83" t="s">
        <v>85</v>
      </c>
      <c r="N2" s="83" t="s">
        <v>303</v>
      </c>
      <c r="O2" s="646" t="s">
        <v>655</v>
      </c>
      <c r="P2" s="83" t="s">
        <v>294</v>
      </c>
      <c r="Q2" s="83" t="s">
        <v>296</v>
      </c>
      <c r="R2" s="83" t="s">
        <v>150</v>
      </c>
      <c r="S2" s="83" t="s">
        <v>617</v>
      </c>
      <c r="T2" s="83" t="s">
        <v>79</v>
      </c>
      <c r="U2" s="83" t="s">
        <v>287</v>
      </c>
      <c r="V2" s="83" t="s">
        <v>656</v>
      </c>
      <c r="W2" s="82" t="s">
        <v>128</v>
      </c>
      <c r="X2" s="83" t="s">
        <v>120</v>
      </c>
      <c r="Y2" s="83" t="s">
        <v>191</v>
      </c>
      <c r="Z2" s="82" t="s">
        <v>284</v>
      </c>
      <c r="AA2" s="82" t="s">
        <v>130</v>
      </c>
      <c r="AB2" s="82" t="s">
        <v>524</v>
      </c>
      <c r="AC2" s="82" t="s">
        <v>239</v>
      </c>
      <c r="AD2" s="82" t="s">
        <v>132</v>
      </c>
      <c r="AE2" s="82" t="s">
        <v>81</v>
      </c>
      <c r="AF2" s="82" t="s">
        <v>134</v>
      </c>
      <c r="AG2" s="82" t="s">
        <v>124</v>
      </c>
      <c r="AH2" s="82" t="s">
        <v>140</v>
      </c>
      <c r="AI2" s="82" t="s">
        <v>142</v>
      </c>
      <c r="AJ2" s="82" t="s">
        <v>144</v>
      </c>
      <c r="AK2" s="82" t="s">
        <v>262</v>
      </c>
      <c r="AL2" s="82" t="s">
        <v>221</v>
      </c>
      <c r="AM2" s="82" t="s">
        <v>223</v>
      </c>
      <c r="AN2" s="82" t="s">
        <v>146</v>
      </c>
      <c r="AO2" s="82" t="s">
        <v>101</v>
      </c>
      <c r="AP2" s="82" t="s">
        <v>312</v>
      </c>
      <c r="AQ2" s="82" t="s">
        <v>103</v>
      </c>
      <c r="AR2" s="82" t="s">
        <v>314</v>
      </c>
      <c r="AS2" s="82" t="s">
        <v>113</v>
      </c>
      <c r="AT2" s="82" t="s">
        <v>115</v>
      </c>
      <c r="AU2" s="82" t="s">
        <v>166</v>
      </c>
      <c r="AV2" s="82" t="s">
        <v>168</v>
      </c>
      <c r="AW2" s="82" t="s">
        <v>99</v>
      </c>
      <c r="AX2" s="82" t="s">
        <v>200</v>
      </c>
      <c r="AY2" s="84" t="s">
        <v>309</v>
      </c>
      <c r="AZ2" s="83" t="s">
        <v>152</v>
      </c>
      <c r="BA2" s="83" t="s">
        <v>154</v>
      </c>
      <c r="BB2" s="83" t="s">
        <v>352</v>
      </c>
      <c r="BC2" s="82" t="s">
        <v>105</v>
      </c>
      <c r="BD2" s="82" t="s">
        <v>107</v>
      </c>
      <c r="BE2" s="82" t="s">
        <v>157</v>
      </c>
      <c r="BF2" s="82" t="s">
        <v>159</v>
      </c>
      <c r="BG2" s="82" t="s">
        <v>298</v>
      </c>
      <c r="BH2" s="82" t="s">
        <v>111</v>
      </c>
      <c r="BI2" s="82" t="s">
        <v>319</v>
      </c>
      <c r="BJ2" s="82" t="s">
        <v>161</v>
      </c>
      <c r="BK2" s="82" t="s">
        <v>657</v>
      </c>
      <c r="BL2" s="85" t="s">
        <v>289</v>
      </c>
      <c r="BM2" s="88" t="s">
        <v>612</v>
      </c>
      <c r="BN2" s="82" t="s">
        <v>621</v>
      </c>
      <c r="BO2" s="82" t="s">
        <v>622</v>
      </c>
      <c r="BP2" s="95" t="s">
        <v>623</v>
      </c>
      <c r="BQ2" s="95" t="s">
        <v>624</v>
      </c>
      <c r="BR2" s="93" t="s">
        <v>625</v>
      </c>
      <c r="BS2" s="89" t="s">
        <v>626</v>
      </c>
      <c r="BT2" s="89" t="s">
        <v>627</v>
      </c>
      <c r="BU2" s="89" t="s">
        <v>628</v>
      </c>
      <c r="BV2" s="89" t="s">
        <v>629</v>
      </c>
      <c r="BW2" s="165" t="s">
        <v>630</v>
      </c>
      <c r="BX2" s="277" t="s">
        <v>658</v>
      </c>
      <c r="BY2" s="228" t="s">
        <v>632</v>
      </c>
      <c r="BZ2" s="181" t="s">
        <v>659</v>
      </c>
      <c r="CA2" s="182" t="s">
        <v>660</v>
      </c>
      <c r="CB2" s="181" t="s">
        <v>661</v>
      </c>
      <c r="CC2" s="182" t="s">
        <v>662</v>
      </c>
      <c r="CD2" s="181" t="s">
        <v>663</v>
      </c>
      <c r="CE2" s="274" t="s">
        <v>664</v>
      </c>
      <c r="CF2" s="275" t="s">
        <v>665</v>
      </c>
      <c r="CG2" s="543" t="s">
        <v>666</v>
      </c>
      <c r="CH2" s="278" t="s">
        <v>667</v>
      </c>
      <c r="CI2" s="289" t="s">
        <v>640</v>
      </c>
      <c r="CJ2" s="217" t="s">
        <v>668</v>
      </c>
      <c r="CK2" s="276" t="s">
        <v>669</v>
      </c>
      <c r="CL2" s="421" t="s">
        <v>670</v>
      </c>
      <c r="CM2" s="422" t="s">
        <v>671</v>
      </c>
      <c r="CN2" s="469" t="s">
        <v>672</v>
      </c>
      <c r="CO2" s="469" t="s">
        <v>673</v>
      </c>
      <c r="CQ2" s="181" t="s">
        <v>659</v>
      </c>
      <c r="CR2" s="274" t="s">
        <v>660</v>
      </c>
      <c r="CS2" s="181" t="s">
        <v>661</v>
      </c>
      <c r="CT2" s="274" t="s">
        <v>662</v>
      </c>
      <c r="CU2" s="217" t="s">
        <v>668</v>
      </c>
      <c r="CV2" s="276" t="s">
        <v>669</v>
      </c>
      <c r="CW2" s="421" t="s">
        <v>674</v>
      </c>
      <c r="CX2" s="422" t="s">
        <v>675</v>
      </c>
    </row>
    <row r="3" spans="1:103" s="158" customFormat="1">
      <c r="A3" s="409">
        <v>206</v>
      </c>
      <c r="B3" s="409">
        <v>915</v>
      </c>
      <c r="C3" s="409" t="s">
        <v>648</v>
      </c>
      <c r="D3" s="409">
        <v>2</v>
      </c>
      <c r="E3" s="409"/>
      <c r="F3" s="409" t="s">
        <v>650</v>
      </c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409"/>
      <c r="W3" s="409"/>
      <c r="X3" s="409"/>
      <c r="Y3" s="409"/>
      <c r="Z3" s="409"/>
      <c r="AA3" s="409"/>
      <c r="AB3" s="409"/>
      <c r="AC3" s="409"/>
      <c r="AD3" s="409"/>
      <c r="AE3" s="409"/>
      <c r="AF3" s="409"/>
      <c r="AG3" s="409"/>
      <c r="AH3" s="409"/>
      <c r="AI3" s="409"/>
      <c r="AJ3" s="409"/>
      <c r="AK3" s="409"/>
      <c r="AL3" s="409"/>
      <c r="AM3" s="409"/>
      <c r="AN3" s="409" t="s">
        <v>650</v>
      </c>
      <c r="AO3" s="409"/>
      <c r="AP3" s="409"/>
      <c r="AQ3" s="409"/>
      <c r="AR3" s="409"/>
      <c r="AS3" s="409"/>
      <c r="AT3" s="409"/>
      <c r="AU3" s="409"/>
      <c r="AV3" s="409"/>
      <c r="AW3" s="409"/>
      <c r="AX3" s="409"/>
      <c r="AY3" s="409"/>
      <c r="AZ3" s="409"/>
      <c r="BA3" s="409"/>
      <c r="BB3" s="409"/>
      <c r="BC3" s="409"/>
      <c r="BD3" s="409"/>
      <c r="BE3" s="409"/>
      <c r="BF3" s="409"/>
      <c r="BG3" s="807" t="s">
        <v>650</v>
      </c>
      <c r="BH3" s="409"/>
      <c r="BI3" s="409"/>
      <c r="BJ3" s="409" t="s">
        <v>650</v>
      </c>
      <c r="BK3" s="409"/>
      <c r="BL3" s="632"/>
      <c r="BM3" s="409" t="s">
        <v>676</v>
      </c>
      <c r="BN3" s="827"/>
      <c r="BO3" s="827"/>
      <c r="BP3" s="409"/>
      <c r="BQ3" s="409"/>
      <c r="BR3" s="409"/>
      <c r="BS3" s="827"/>
      <c r="BT3" s="409"/>
      <c r="BU3" s="409"/>
      <c r="BV3" s="409"/>
      <c r="BW3" s="828"/>
      <c r="BX3" s="829">
        <v>99864882</v>
      </c>
      <c r="BY3" s="830">
        <v>15617.95</v>
      </c>
      <c r="BZ3" s="500">
        <v>99864838</v>
      </c>
      <c r="CA3" s="501">
        <v>2510.21</v>
      </c>
      <c r="CB3" s="500"/>
      <c r="CC3" s="501"/>
      <c r="CD3" s="500"/>
      <c r="CE3" s="831"/>
      <c r="CF3" s="832" t="s">
        <v>677</v>
      </c>
      <c r="CG3" s="833"/>
      <c r="CH3" s="834"/>
      <c r="CI3" s="835"/>
      <c r="CJ3" s="502"/>
      <c r="CK3" s="780"/>
      <c r="CL3" s="836">
        <f>BX3</f>
        <v>99864882</v>
      </c>
      <c r="CM3" s="837">
        <f>BY3+CE3+CI3+CK3+CA3</f>
        <v>18128.16</v>
      </c>
      <c r="CN3" s="658"/>
      <c r="CO3" s="658"/>
      <c r="CQ3" s="500"/>
      <c r="CR3" s="831"/>
      <c r="CS3" s="500"/>
      <c r="CT3" s="831"/>
      <c r="CU3" s="502">
        <v>99864882</v>
      </c>
      <c r="CV3" s="780">
        <v>8820.52</v>
      </c>
      <c r="CW3" s="836" t="s">
        <v>678</v>
      </c>
      <c r="CX3" s="837">
        <f>CR3+CT3+CV3</f>
        <v>8820.52</v>
      </c>
    </row>
    <row r="4" spans="1:103">
      <c r="A4" s="9">
        <v>207</v>
      </c>
      <c r="B4" s="9">
        <v>720</v>
      </c>
      <c r="C4" s="9" t="s">
        <v>648</v>
      </c>
      <c r="D4" s="9">
        <v>2</v>
      </c>
      <c r="E4" s="13"/>
      <c r="F4" s="9" t="s">
        <v>650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 t="s">
        <v>650</v>
      </c>
      <c r="T4" s="9"/>
      <c r="U4" s="9"/>
      <c r="V4" s="9"/>
      <c r="W4" s="9"/>
      <c r="X4" s="9"/>
      <c r="Y4" s="9"/>
      <c r="Z4" s="9" t="s">
        <v>650</v>
      </c>
      <c r="AA4" s="9"/>
      <c r="AB4" s="9"/>
      <c r="AC4" s="13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 t="s">
        <v>650</v>
      </c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 t="s">
        <v>650</v>
      </c>
      <c r="BI4" s="9"/>
      <c r="BJ4" s="9"/>
      <c r="BK4" s="9"/>
      <c r="BL4" s="13"/>
      <c r="BM4" s="9" t="s">
        <v>679</v>
      </c>
      <c r="BN4" s="9"/>
      <c r="BO4" s="50"/>
      <c r="BP4" s="50"/>
      <c r="BQ4" s="50"/>
      <c r="BR4" s="50"/>
      <c r="BS4" s="50"/>
      <c r="BT4" s="9"/>
      <c r="BU4" s="9"/>
      <c r="BV4" s="9"/>
      <c r="BW4" s="141"/>
      <c r="BX4" s="234">
        <v>96812665</v>
      </c>
      <c r="BY4" s="174">
        <v>19594.330000000002</v>
      </c>
      <c r="BZ4" s="187">
        <v>96811764</v>
      </c>
      <c r="CA4" s="188">
        <v>261.85000000000002</v>
      </c>
      <c r="CB4" s="187">
        <v>96811764</v>
      </c>
      <c r="CC4" s="188">
        <v>261.85000000000002</v>
      </c>
      <c r="CD4" s="187"/>
      <c r="CE4" s="188"/>
      <c r="CF4" s="269">
        <v>97035165</v>
      </c>
      <c r="CG4" s="301">
        <v>450</v>
      </c>
      <c r="CH4" s="629">
        <v>96811768</v>
      </c>
      <c r="CI4" s="160">
        <v>118.45</v>
      </c>
      <c r="CJ4" s="219">
        <v>97119199</v>
      </c>
      <c r="CK4" s="225">
        <v>13885.62</v>
      </c>
      <c r="CL4" s="397">
        <v>96673530</v>
      </c>
      <c r="CM4" s="398">
        <f>BY4+CE4+CG4+CI4+CK4+CA4</f>
        <v>34310.25</v>
      </c>
      <c r="CQ4" s="187"/>
      <c r="CR4" s="188"/>
      <c r="CS4" s="187"/>
      <c r="CT4" s="188"/>
      <c r="CU4" s="219"/>
      <c r="CV4" s="225"/>
      <c r="CW4" s="397"/>
      <c r="CX4" s="398"/>
    </row>
    <row r="5" spans="1:103">
      <c r="A5" s="7">
        <v>208</v>
      </c>
      <c r="B5" s="7">
        <v>593</v>
      </c>
      <c r="C5" s="7" t="s">
        <v>647</v>
      </c>
      <c r="D5" s="7">
        <v>2</v>
      </c>
      <c r="E5" s="13"/>
      <c r="F5" s="7" t="s">
        <v>650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7"/>
      <c r="T5" s="13"/>
      <c r="U5" s="13"/>
      <c r="V5" s="13"/>
      <c r="W5" s="13"/>
      <c r="X5" s="7"/>
      <c r="Y5" s="13"/>
      <c r="Z5" s="13"/>
      <c r="AA5" s="13"/>
      <c r="AB5" s="13"/>
      <c r="AC5" s="13"/>
      <c r="AD5" s="13"/>
      <c r="AE5" s="7"/>
      <c r="AF5" s="13"/>
      <c r="AG5" s="7"/>
      <c r="AH5" s="7"/>
      <c r="AI5" s="13"/>
      <c r="AJ5" s="13"/>
      <c r="AK5" s="13"/>
      <c r="AL5" s="7"/>
      <c r="AM5" s="7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7" t="s">
        <v>680</v>
      </c>
      <c r="BN5" s="7"/>
      <c r="BO5" s="7"/>
      <c r="BP5" s="7"/>
      <c r="BQ5" s="7"/>
      <c r="BR5" s="7"/>
      <c r="BS5" s="7"/>
      <c r="BT5" s="7"/>
      <c r="BU5" s="7"/>
      <c r="BV5" s="7"/>
      <c r="BW5" s="103"/>
      <c r="BX5" s="233">
        <v>96812347</v>
      </c>
      <c r="BY5" s="262">
        <v>16650.560000000001</v>
      </c>
      <c r="BZ5" s="264">
        <v>96811818</v>
      </c>
      <c r="CA5" s="188">
        <v>3012.77</v>
      </c>
      <c r="CB5" s="264">
        <v>96811818</v>
      </c>
      <c r="CC5" s="188">
        <v>3012.77</v>
      </c>
      <c r="CD5" s="264"/>
      <c r="CE5" s="188"/>
      <c r="CF5" s="269" t="s">
        <v>681</v>
      </c>
      <c r="CG5" s="301">
        <v>450</v>
      </c>
      <c r="CH5" s="630">
        <v>96811828</v>
      </c>
      <c r="CI5" s="160">
        <v>118.45</v>
      </c>
      <c r="CJ5" s="219">
        <v>96921133</v>
      </c>
      <c r="CK5" s="225">
        <v>11719.53</v>
      </c>
      <c r="CL5" s="397">
        <v>96812347</v>
      </c>
      <c r="CM5" s="398">
        <f>BY5+CE5+CI5+CK5+CA5</f>
        <v>31501.31</v>
      </c>
      <c r="CQ5" s="264"/>
      <c r="CR5" s="188"/>
      <c r="CS5" s="264"/>
      <c r="CT5" s="188"/>
      <c r="CU5" s="219"/>
      <c r="CV5" s="225"/>
      <c r="CW5" s="397"/>
      <c r="CX5" s="398"/>
    </row>
    <row r="6" spans="1:103" s="158" customFormat="1">
      <c r="A6" s="410">
        <v>209</v>
      </c>
      <c r="B6" s="410">
        <v>720</v>
      </c>
      <c r="C6" s="410" t="s">
        <v>649</v>
      </c>
      <c r="D6" s="410">
        <v>2</v>
      </c>
      <c r="E6" s="632"/>
      <c r="F6" s="410" t="s">
        <v>650</v>
      </c>
      <c r="G6" s="410"/>
      <c r="H6" s="410"/>
      <c r="I6" s="410"/>
      <c r="J6" s="410"/>
      <c r="K6" s="410"/>
      <c r="L6" s="410"/>
      <c r="M6" s="410"/>
      <c r="N6" s="410"/>
      <c r="O6" s="410"/>
      <c r="P6" s="410"/>
      <c r="Q6" s="410"/>
      <c r="R6" s="410"/>
      <c r="S6" s="410"/>
      <c r="T6" s="410"/>
      <c r="U6" s="410"/>
      <c r="V6" s="410"/>
      <c r="W6" s="410"/>
      <c r="X6" s="410"/>
      <c r="Y6" s="410"/>
      <c r="Z6" s="410" t="s">
        <v>650</v>
      </c>
      <c r="AA6" s="410"/>
      <c r="AB6" s="410"/>
      <c r="AC6" s="632"/>
      <c r="AD6" s="410"/>
      <c r="AE6" s="410"/>
      <c r="AF6" s="410"/>
      <c r="AG6" s="410" t="s">
        <v>650</v>
      </c>
      <c r="AH6" s="410"/>
      <c r="AI6" s="410"/>
      <c r="AJ6" s="410"/>
      <c r="AK6" s="410"/>
      <c r="AL6" s="410"/>
      <c r="AM6" s="410"/>
      <c r="AN6" s="410"/>
      <c r="AO6" s="410"/>
      <c r="AP6" s="410"/>
      <c r="AQ6" s="410"/>
      <c r="AR6" s="410"/>
      <c r="AS6" s="410"/>
      <c r="AT6" s="410"/>
      <c r="AU6" s="410"/>
      <c r="AV6" s="410"/>
      <c r="AW6" s="410"/>
      <c r="AX6" s="410"/>
      <c r="AY6" s="410"/>
      <c r="AZ6" s="410"/>
      <c r="BA6" s="410"/>
      <c r="BB6" s="410"/>
      <c r="BC6" s="410"/>
      <c r="BD6" s="410"/>
      <c r="BE6" s="410"/>
      <c r="BF6" s="410"/>
      <c r="BG6" s="410"/>
      <c r="BH6" s="410" t="s">
        <v>650</v>
      </c>
      <c r="BI6" s="410"/>
      <c r="BJ6" s="410"/>
      <c r="BK6" s="410"/>
      <c r="BL6" s="632"/>
      <c r="BM6" s="410" t="s">
        <v>682</v>
      </c>
      <c r="BN6" s="410"/>
      <c r="BO6" s="410"/>
      <c r="BP6" s="410"/>
      <c r="BQ6" s="410"/>
      <c r="BR6" s="410"/>
      <c r="BS6" s="410"/>
      <c r="BT6" s="410"/>
      <c r="BU6" s="410"/>
      <c r="BV6" s="410"/>
      <c r="BW6" s="656"/>
      <c r="BX6" s="437">
        <v>98273303</v>
      </c>
      <c r="BY6" s="438">
        <v>20501.97</v>
      </c>
      <c r="BZ6" s="433">
        <v>98267975</v>
      </c>
      <c r="CA6" s="434">
        <v>212.8</v>
      </c>
      <c r="CB6" s="433"/>
      <c r="CC6" s="434"/>
      <c r="CD6" s="433"/>
      <c r="CE6" s="633"/>
      <c r="CF6" s="435">
        <v>98267919</v>
      </c>
      <c r="CG6" s="436">
        <v>450</v>
      </c>
      <c r="CH6" s="454"/>
      <c r="CI6" s="657"/>
      <c r="CJ6" s="439"/>
      <c r="CK6" s="440"/>
      <c r="CL6" s="457">
        <v>98273303</v>
      </c>
      <c r="CM6" s="450">
        <f>CG6+CA6+BY6</f>
        <v>21164.77</v>
      </c>
      <c r="CN6" s="658"/>
      <c r="CO6" s="658"/>
      <c r="CQ6" s="433"/>
      <c r="CR6" s="633"/>
      <c r="CS6" s="433"/>
      <c r="CT6" s="633"/>
      <c r="CU6" s="439">
        <v>98273303</v>
      </c>
      <c r="CV6" s="534">
        <v>13011.22</v>
      </c>
      <c r="CW6" s="457" t="s">
        <v>683</v>
      </c>
      <c r="CX6" s="450">
        <f>CR6+CT6+CV6</f>
        <v>13011.22</v>
      </c>
    </row>
    <row r="7" spans="1:103" s="158" customFormat="1">
      <c r="A7" s="409">
        <v>210</v>
      </c>
      <c r="B7" s="409">
        <v>593</v>
      </c>
      <c r="C7" s="409" t="s">
        <v>648</v>
      </c>
      <c r="D7" s="409">
        <v>2</v>
      </c>
      <c r="E7" s="632"/>
      <c r="F7" s="409" t="s">
        <v>650</v>
      </c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2"/>
      <c r="R7" s="632"/>
      <c r="S7" s="409"/>
      <c r="T7" s="632"/>
      <c r="U7" s="632"/>
      <c r="V7" s="632"/>
      <c r="W7" s="632"/>
      <c r="X7" s="409" t="s">
        <v>650</v>
      </c>
      <c r="Y7" s="632"/>
      <c r="Z7" s="632"/>
      <c r="AA7" s="632"/>
      <c r="AB7" s="632"/>
      <c r="AC7" s="632"/>
      <c r="AD7" s="632"/>
      <c r="AE7" s="409" t="s">
        <v>650</v>
      </c>
      <c r="AF7" s="632"/>
      <c r="AG7" s="409" t="s">
        <v>650</v>
      </c>
      <c r="AH7" s="409"/>
      <c r="AI7" s="632"/>
      <c r="AJ7" s="632"/>
      <c r="AK7" s="632"/>
      <c r="AL7" s="409"/>
      <c r="AM7" s="409"/>
      <c r="AN7" s="632"/>
      <c r="AO7" s="632"/>
      <c r="AP7" s="632"/>
      <c r="AQ7" s="632"/>
      <c r="AR7" s="632"/>
      <c r="AS7" s="632"/>
      <c r="AT7" s="632"/>
      <c r="AU7" s="632"/>
      <c r="AV7" s="632"/>
      <c r="AW7" s="632"/>
      <c r="AX7" s="632"/>
      <c r="AY7" s="632"/>
      <c r="AZ7" s="632"/>
      <c r="BA7" s="632"/>
      <c r="BB7" s="632"/>
      <c r="BC7" s="632"/>
      <c r="BD7" s="632"/>
      <c r="BE7" s="632"/>
      <c r="BF7" s="632"/>
      <c r="BG7" s="632"/>
      <c r="BH7" s="632"/>
      <c r="BI7" s="632"/>
      <c r="BJ7" s="632"/>
      <c r="BK7" s="632"/>
      <c r="BL7" s="632"/>
      <c r="BM7" s="409" t="s">
        <v>684</v>
      </c>
      <c r="BN7" s="409"/>
      <c r="BO7" s="409"/>
      <c r="BP7" s="409"/>
      <c r="BQ7" s="409"/>
      <c r="BR7" s="409"/>
      <c r="BS7" s="409"/>
      <c r="BT7" s="409"/>
      <c r="BU7" s="409"/>
      <c r="BV7" s="409"/>
      <c r="BW7" s="557"/>
      <c r="BX7" s="437">
        <v>98273360</v>
      </c>
      <c r="BY7" s="438">
        <v>15695.94</v>
      </c>
      <c r="BZ7" s="433">
        <v>98268068</v>
      </c>
      <c r="CA7" s="434">
        <v>2609.34</v>
      </c>
      <c r="CB7" s="433"/>
      <c r="CC7" s="434"/>
      <c r="CD7" s="433"/>
      <c r="CE7" s="633"/>
      <c r="CF7" s="435">
        <v>98268018</v>
      </c>
      <c r="CG7" s="436">
        <v>450</v>
      </c>
      <c r="CH7" s="454"/>
      <c r="CI7" s="657"/>
      <c r="CJ7" s="439"/>
      <c r="CK7" s="492"/>
      <c r="CL7" s="457">
        <v>98273360</v>
      </c>
      <c r="CM7" s="450">
        <f>BY7+CA7+CC7+CE7+CG7+CI7+CK7</f>
        <v>18755.28</v>
      </c>
      <c r="CN7" s="658"/>
      <c r="CO7" s="658"/>
      <c r="CQ7" s="433">
        <v>99054263</v>
      </c>
      <c r="CR7" s="633">
        <v>-306.69</v>
      </c>
      <c r="CS7" s="433">
        <v>99054321</v>
      </c>
      <c r="CT7" s="633">
        <v>-6.75</v>
      </c>
      <c r="CU7" s="439">
        <v>98273360</v>
      </c>
      <c r="CV7" s="492">
        <v>11141.54</v>
      </c>
      <c r="CW7" s="457" t="s">
        <v>685</v>
      </c>
      <c r="CX7" s="450">
        <f>CR7+CT7+CV7</f>
        <v>10828.1</v>
      </c>
    </row>
    <row r="8" spans="1:103" s="158" customFormat="1">
      <c r="A8" s="410">
        <v>211</v>
      </c>
      <c r="B8" s="410">
        <v>720</v>
      </c>
      <c r="C8" s="410" t="s">
        <v>648</v>
      </c>
      <c r="D8" s="410">
        <v>2</v>
      </c>
      <c r="E8" s="410"/>
      <c r="F8" s="410"/>
      <c r="G8" s="410"/>
      <c r="H8" s="410"/>
      <c r="I8" s="410"/>
      <c r="J8" s="410"/>
      <c r="K8" s="410"/>
      <c r="L8" s="410"/>
      <c r="M8" s="410"/>
      <c r="N8" s="410"/>
      <c r="O8" s="410"/>
      <c r="P8" s="410"/>
      <c r="Q8" s="410"/>
      <c r="R8" s="410"/>
      <c r="S8" s="410" t="s">
        <v>650</v>
      </c>
      <c r="T8" s="410"/>
      <c r="U8" s="410"/>
      <c r="V8" s="410"/>
      <c r="W8" s="410"/>
      <c r="X8" s="410"/>
      <c r="Y8" s="410"/>
      <c r="Z8" s="410" t="s">
        <v>650</v>
      </c>
      <c r="AA8" s="410"/>
      <c r="AB8" s="410"/>
      <c r="AC8" s="410"/>
      <c r="AD8" s="410"/>
      <c r="AE8" s="410"/>
      <c r="AF8" s="410"/>
      <c r="AG8" s="410"/>
      <c r="AH8" s="410"/>
      <c r="AI8" s="410"/>
      <c r="AJ8" s="410"/>
      <c r="AK8" s="410"/>
      <c r="AL8" s="410"/>
      <c r="AM8" s="410"/>
      <c r="AN8" s="410"/>
      <c r="AO8" s="410"/>
      <c r="AP8" s="410"/>
      <c r="AQ8" s="410"/>
      <c r="AR8" s="410"/>
      <c r="AS8" s="410"/>
      <c r="AT8" s="410"/>
      <c r="AU8" s="410"/>
      <c r="AV8" s="410"/>
      <c r="AW8" s="410"/>
      <c r="AX8" s="410"/>
      <c r="AY8" s="410"/>
      <c r="AZ8" s="410"/>
      <c r="BA8" s="410"/>
      <c r="BB8" s="410"/>
      <c r="BC8" s="410"/>
      <c r="BD8" s="410"/>
      <c r="BE8" s="410"/>
      <c r="BF8" s="410"/>
      <c r="BG8" s="410"/>
      <c r="BH8" s="410" t="s">
        <v>650</v>
      </c>
      <c r="BI8" s="410"/>
      <c r="BJ8" s="410"/>
      <c r="BK8" s="410"/>
      <c r="BL8" s="632"/>
      <c r="BM8" s="410" t="s">
        <v>686</v>
      </c>
      <c r="BN8" s="410"/>
      <c r="BO8" s="527"/>
      <c r="BP8" s="527"/>
      <c r="BQ8" s="527"/>
      <c r="BR8" s="527"/>
      <c r="BS8" s="527"/>
      <c r="BT8" s="410"/>
      <c r="BU8" s="410"/>
      <c r="BV8" s="410"/>
      <c r="BW8" s="656"/>
      <c r="BX8" s="437">
        <v>99712300</v>
      </c>
      <c r="BY8" s="438">
        <v>21477.59</v>
      </c>
      <c r="BZ8" s="433">
        <v>99711680</v>
      </c>
      <c r="CA8" s="434">
        <v>830.3</v>
      </c>
      <c r="CB8" s="433"/>
      <c r="CC8" s="434"/>
      <c r="CD8" s="433"/>
      <c r="CE8" s="633"/>
      <c r="CF8" s="435" t="s">
        <v>687</v>
      </c>
      <c r="CG8" s="436"/>
      <c r="CH8" s="454"/>
      <c r="CI8" s="657"/>
      <c r="CJ8" s="439"/>
      <c r="CK8" s="534"/>
      <c r="CL8" s="457">
        <f>BX8</f>
        <v>99712300</v>
      </c>
      <c r="CM8" s="450">
        <f>BY8+CE8+CI8+CK8+CA8</f>
        <v>22307.89</v>
      </c>
      <c r="CN8" s="658"/>
      <c r="CO8" s="658"/>
      <c r="CQ8" s="433"/>
      <c r="CR8" s="633"/>
      <c r="CS8" s="433"/>
      <c r="CT8" s="633"/>
      <c r="CU8" s="439">
        <v>99712300</v>
      </c>
      <c r="CV8" s="492">
        <v>13298.94</v>
      </c>
      <c r="CW8" s="457" t="str">
        <f>CU8&amp;"-"&amp;"SID"</f>
        <v>99712300-SID</v>
      </c>
      <c r="CX8" s="450">
        <f>CR8+CT8+CV8</f>
        <v>13298.94</v>
      </c>
    </row>
    <row r="9" spans="1:103" s="158" customFormat="1">
      <c r="A9" s="409">
        <v>212</v>
      </c>
      <c r="B9" s="409">
        <v>593</v>
      </c>
      <c r="C9" s="409" t="s">
        <v>688</v>
      </c>
      <c r="D9" s="409">
        <v>2</v>
      </c>
      <c r="E9" s="409"/>
      <c r="F9" s="409"/>
      <c r="G9" s="409"/>
      <c r="H9" s="409"/>
      <c r="I9" s="409"/>
      <c r="J9" s="409"/>
      <c r="K9" s="409"/>
      <c r="L9" s="409"/>
      <c r="M9" s="409"/>
      <c r="N9" s="409"/>
      <c r="O9" s="409"/>
      <c r="P9" s="409"/>
      <c r="Q9" s="409"/>
      <c r="R9" s="409"/>
      <c r="S9" s="409" t="s">
        <v>650</v>
      </c>
      <c r="T9" s="409"/>
      <c r="U9" s="409"/>
      <c r="V9" s="409"/>
      <c r="W9" s="409"/>
      <c r="X9" s="409" t="s">
        <v>650</v>
      </c>
      <c r="Y9" s="409"/>
      <c r="Z9" s="409"/>
      <c r="AA9" s="409"/>
      <c r="AB9" s="409"/>
      <c r="AC9" s="409"/>
      <c r="AD9" s="409"/>
      <c r="AE9" s="409"/>
      <c r="AF9" s="409"/>
      <c r="AG9" s="409" t="s">
        <v>650</v>
      </c>
      <c r="AH9" s="409"/>
      <c r="AI9" s="409"/>
      <c r="AJ9" s="409"/>
      <c r="AK9" s="409"/>
      <c r="AL9" s="409"/>
      <c r="AM9" s="409"/>
      <c r="AN9" s="409"/>
      <c r="AO9" s="409"/>
      <c r="AP9" s="409"/>
      <c r="AQ9" s="409"/>
      <c r="AR9" s="409"/>
      <c r="AS9" s="409"/>
      <c r="AT9" s="409"/>
      <c r="AU9" s="409"/>
      <c r="AV9" s="409"/>
      <c r="AW9" s="409"/>
      <c r="AX9" s="409"/>
      <c r="AY9" s="409"/>
      <c r="AZ9" s="409"/>
      <c r="BA9" s="409"/>
      <c r="BB9" s="409"/>
      <c r="BC9" s="409"/>
      <c r="BD9" s="409"/>
      <c r="BE9" s="409"/>
      <c r="BF9" s="409"/>
      <c r="BG9" s="409"/>
      <c r="BH9" s="409"/>
      <c r="BI9" s="409"/>
      <c r="BJ9" s="409"/>
      <c r="BK9" s="409"/>
      <c r="BL9" s="632"/>
      <c r="BM9" s="409" t="s">
        <v>689</v>
      </c>
      <c r="BN9" s="409"/>
      <c r="BO9" s="409"/>
      <c r="BP9" s="409"/>
      <c r="BQ9" s="409"/>
      <c r="BR9" s="409"/>
      <c r="BS9" s="409"/>
      <c r="BT9" s="409"/>
      <c r="BU9" s="409"/>
      <c r="BV9" s="409"/>
      <c r="BW9" s="557"/>
      <c r="BX9" s="840">
        <v>99712368</v>
      </c>
      <c r="BY9" s="841">
        <v>16692.650000000001</v>
      </c>
      <c r="BZ9" s="842">
        <v>99711771</v>
      </c>
      <c r="CA9" s="843">
        <v>13664.56</v>
      </c>
      <c r="CB9" s="433"/>
      <c r="CC9" s="434"/>
      <c r="CD9" s="433"/>
      <c r="CE9" s="633"/>
      <c r="CF9" s="435"/>
      <c r="CG9" s="436"/>
      <c r="CH9" s="454"/>
      <c r="CI9" s="657"/>
      <c r="CJ9" s="439">
        <v>99712368</v>
      </c>
      <c r="CK9" s="534">
        <v>11422.37</v>
      </c>
      <c r="CL9" s="457">
        <f>BX9</f>
        <v>99712368</v>
      </c>
      <c r="CM9" s="450">
        <f>BY9+CE9+CA9+CC9+CI9+CK9</f>
        <v>41779.58</v>
      </c>
      <c r="CN9" s="658"/>
      <c r="CO9" s="658"/>
      <c r="CQ9" s="433"/>
      <c r="CR9" s="633"/>
      <c r="CS9" s="433"/>
      <c r="CT9" s="633"/>
      <c r="CU9" s="439"/>
      <c r="CV9" s="492"/>
      <c r="CW9" s="457" t="str">
        <f>CU9&amp;"-SID"</f>
        <v>-SID</v>
      </c>
      <c r="CX9" s="450">
        <f>CR9+CT9+CV9</f>
        <v>0</v>
      </c>
      <c r="CY9" s="453" t="s">
        <v>690</v>
      </c>
    </row>
    <row r="10" spans="1:103" s="158" customFormat="1">
      <c r="A10" s="410">
        <v>213</v>
      </c>
      <c r="B10" s="410">
        <v>593</v>
      </c>
      <c r="C10" s="410" t="s">
        <v>647</v>
      </c>
      <c r="D10" s="410">
        <v>2</v>
      </c>
      <c r="E10" s="410"/>
      <c r="F10" s="410"/>
      <c r="G10" s="410"/>
      <c r="H10" s="410"/>
      <c r="I10" s="410"/>
      <c r="J10" s="410"/>
      <c r="K10" s="410"/>
      <c r="L10" s="410"/>
      <c r="M10" s="410"/>
      <c r="N10" s="410"/>
      <c r="O10" s="410"/>
      <c r="P10" s="410"/>
      <c r="Q10" s="410"/>
      <c r="R10" s="410"/>
      <c r="S10" s="410" t="s">
        <v>650</v>
      </c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  <c r="AG10" s="410"/>
      <c r="AH10" s="410"/>
      <c r="AI10" s="410"/>
      <c r="AJ10" s="410"/>
      <c r="AK10" s="410"/>
      <c r="AL10" s="410"/>
      <c r="AM10" s="410"/>
      <c r="AN10" s="410"/>
      <c r="AO10" s="410"/>
      <c r="AP10" s="410"/>
      <c r="AQ10" s="410"/>
      <c r="AR10" s="410"/>
      <c r="AS10" s="410"/>
      <c r="AT10" s="410"/>
      <c r="AU10" s="410"/>
      <c r="AV10" s="410"/>
      <c r="AW10" s="410"/>
      <c r="AX10" s="410"/>
      <c r="AY10" s="410"/>
      <c r="AZ10" s="410"/>
      <c r="BA10" s="410"/>
      <c r="BB10" s="410"/>
      <c r="BC10" s="410"/>
      <c r="BD10" s="410"/>
      <c r="BE10" s="410"/>
      <c r="BF10" s="410"/>
      <c r="BG10" s="410"/>
      <c r="BH10" s="410"/>
      <c r="BI10" s="410"/>
      <c r="BJ10" s="410"/>
      <c r="BK10" s="410"/>
      <c r="BL10" s="632"/>
      <c r="BM10" s="410" t="s">
        <v>691</v>
      </c>
      <c r="BN10" s="410"/>
      <c r="BO10" s="410"/>
      <c r="BP10" s="410"/>
      <c r="BQ10" s="410"/>
      <c r="BR10" s="410"/>
      <c r="BS10" s="410"/>
      <c r="BT10" s="410"/>
      <c r="BU10" s="410"/>
      <c r="BV10" s="410"/>
      <c r="BW10" s="656"/>
      <c r="BX10" s="437">
        <v>274167</v>
      </c>
      <c r="BY10" s="438">
        <v>15399.57</v>
      </c>
      <c r="BZ10" s="842">
        <v>274046</v>
      </c>
      <c r="CA10" s="843">
        <v>2135.08</v>
      </c>
      <c r="CB10" s="433"/>
      <c r="CC10" s="434"/>
      <c r="CD10" s="433"/>
      <c r="CE10" s="633"/>
      <c r="CF10" s="435"/>
      <c r="CG10" s="436"/>
      <c r="CH10" s="454"/>
      <c r="CI10" s="657"/>
      <c r="CJ10" s="846">
        <v>274167</v>
      </c>
      <c r="CK10" s="851">
        <v>11429.77</v>
      </c>
      <c r="CL10" s="457">
        <f>BX10</f>
        <v>274167</v>
      </c>
      <c r="CM10" s="450">
        <f>BY10+CE10+CI10+CK10+CA10</f>
        <v>28964.42</v>
      </c>
      <c r="CN10" s="658"/>
      <c r="CO10" s="658"/>
      <c r="CQ10" s="433"/>
      <c r="CR10" s="633"/>
      <c r="CS10" s="433"/>
      <c r="CT10" s="633"/>
      <c r="CU10" s="439"/>
      <c r="CV10" s="492"/>
      <c r="CW10" s="457"/>
      <c r="CX10" s="450"/>
    </row>
    <row r="11" spans="1:103" s="158" customFormat="1">
      <c r="A11" s="409">
        <v>214</v>
      </c>
      <c r="B11" s="409">
        <v>593</v>
      </c>
      <c r="C11" s="409" t="s">
        <v>649</v>
      </c>
      <c r="D11" s="409">
        <v>2</v>
      </c>
      <c r="E11" s="409"/>
      <c r="F11" s="409" t="s">
        <v>650</v>
      </c>
      <c r="G11" s="409"/>
      <c r="H11" s="409"/>
      <c r="I11" s="409"/>
      <c r="J11" s="409"/>
      <c r="K11" s="409"/>
      <c r="L11" s="409"/>
      <c r="M11" s="409"/>
      <c r="N11" s="409"/>
      <c r="O11" s="409"/>
      <c r="P11" s="409"/>
      <c r="Q11" s="409"/>
      <c r="R11" s="409"/>
      <c r="S11" s="409" t="s">
        <v>650</v>
      </c>
      <c r="T11" s="409"/>
      <c r="U11" s="409"/>
      <c r="V11" s="409"/>
      <c r="W11" s="409"/>
      <c r="X11" s="409"/>
      <c r="Y11" s="409"/>
      <c r="Z11" s="409"/>
      <c r="AA11" s="409"/>
      <c r="AB11" s="409"/>
      <c r="AC11" s="409"/>
      <c r="AD11" s="409"/>
      <c r="AE11" s="409"/>
      <c r="AF11" s="409"/>
      <c r="AG11" s="409"/>
      <c r="AH11" s="409"/>
      <c r="AI11" s="409"/>
      <c r="AJ11" s="409"/>
      <c r="AK11" s="409"/>
      <c r="AL11" s="409"/>
      <c r="AM11" s="409"/>
      <c r="AN11" s="409"/>
      <c r="AO11" s="409"/>
      <c r="AP11" s="409"/>
      <c r="AQ11" s="409"/>
      <c r="AR11" s="409"/>
      <c r="AS11" s="409"/>
      <c r="AT11" s="409"/>
      <c r="AU11" s="409"/>
      <c r="AV11" s="409"/>
      <c r="AW11" s="409"/>
      <c r="AX11" s="409"/>
      <c r="AY11" s="409"/>
      <c r="AZ11" s="409"/>
      <c r="BA11" s="409"/>
      <c r="BB11" s="409"/>
      <c r="BC11" s="409"/>
      <c r="BD11" s="409"/>
      <c r="BE11" s="409"/>
      <c r="BF11" s="409"/>
      <c r="BG11" s="409"/>
      <c r="BH11" s="409"/>
      <c r="BI11" s="409"/>
      <c r="BJ11" s="409"/>
      <c r="BK11" s="409"/>
      <c r="BL11" s="632"/>
      <c r="BM11" s="409" t="s">
        <v>692</v>
      </c>
      <c r="BN11" s="409"/>
      <c r="BO11" s="409"/>
      <c r="BP11" s="409"/>
      <c r="BQ11" s="409"/>
      <c r="BR11" s="409"/>
      <c r="BS11" s="409"/>
      <c r="BT11" s="409"/>
      <c r="BU11" s="409"/>
      <c r="BV11" s="409"/>
      <c r="BW11" s="557"/>
      <c r="BX11" s="437">
        <v>274182</v>
      </c>
      <c r="BY11" s="438">
        <v>15399.57</v>
      </c>
      <c r="BZ11" s="857">
        <v>274089</v>
      </c>
      <c r="CA11" s="860">
        <v>3616.18</v>
      </c>
      <c r="CB11" s="433"/>
      <c r="CC11" s="434"/>
      <c r="CD11" s="433"/>
      <c r="CE11" s="633"/>
      <c r="CF11" s="435"/>
      <c r="CG11" s="436"/>
      <c r="CH11" s="454"/>
      <c r="CI11" s="657"/>
      <c r="CJ11" s="846">
        <v>274182</v>
      </c>
      <c r="CK11" s="861">
        <v>11429.77</v>
      </c>
      <c r="CL11" s="457">
        <f>BX11</f>
        <v>274182</v>
      </c>
      <c r="CM11" s="450">
        <f>BY11+CE11+CI11+CK11+CA11</f>
        <v>30445.52</v>
      </c>
      <c r="CN11" s="658"/>
      <c r="CO11" s="658"/>
      <c r="CQ11" s="433"/>
      <c r="CR11" s="633"/>
      <c r="CS11" s="433"/>
      <c r="CT11" s="633"/>
      <c r="CU11" s="439"/>
      <c r="CV11" s="534"/>
      <c r="CW11" s="457"/>
      <c r="CX11" s="450"/>
    </row>
    <row r="12" spans="1:103" s="158" customFormat="1">
      <c r="A12" s="410">
        <v>215</v>
      </c>
      <c r="B12" s="410">
        <v>593</v>
      </c>
      <c r="C12" s="410" t="s">
        <v>647</v>
      </c>
      <c r="D12" s="410">
        <v>2</v>
      </c>
      <c r="E12" s="410"/>
      <c r="F12" s="410" t="s">
        <v>650</v>
      </c>
      <c r="G12" s="410"/>
      <c r="H12" s="410"/>
      <c r="I12" s="410"/>
      <c r="J12" s="410"/>
      <c r="K12" s="410"/>
      <c r="L12" s="410"/>
      <c r="M12" s="410"/>
      <c r="N12" s="410"/>
      <c r="O12" s="410"/>
      <c r="P12" s="410"/>
      <c r="Q12" s="410"/>
      <c r="R12" s="410"/>
      <c r="S12" s="410" t="s">
        <v>650</v>
      </c>
      <c r="T12" s="410"/>
      <c r="U12" s="410"/>
      <c r="V12" s="410"/>
      <c r="W12" s="410"/>
      <c r="X12" s="410"/>
      <c r="Y12" s="410"/>
      <c r="Z12" s="410"/>
      <c r="AA12" s="410"/>
      <c r="AB12" s="410"/>
      <c r="AC12" s="410"/>
      <c r="AD12" s="410"/>
      <c r="AE12" s="410"/>
      <c r="AF12" s="410"/>
      <c r="AG12" s="410" t="s">
        <v>650</v>
      </c>
      <c r="AH12" s="410"/>
      <c r="AI12" s="410"/>
      <c r="AJ12" s="410"/>
      <c r="AK12" s="410"/>
      <c r="AL12" s="410"/>
      <c r="AM12" s="410"/>
      <c r="AN12" s="410"/>
      <c r="AO12" s="410"/>
      <c r="AP12" s="410"/>
      <c r="AQ12" s="410"/>
      <c r="AR12" s="410"/>
      <c r="AS12" s="410"/>
      <c r="AT12" s="410"/>
      <c r="AU12" s="410"/>
      <c r="AV12" s="410"/>
      <c r="AW12" s="410"/>
      <c r="AX12" s="410"/>
      <c r="AY12" s="410"/>
      <c r="AZ12" s="410"/>
      <c r="BA12" s="410"/>
      <c r="BB12" s="410"/>
      <c r="BC12" s="410"/>
      <c r="BD12" s="410"/>
      <c r="BE12" s="410"/>
      <c r="BF12" s="410"/>
      <c r="BG12" s="410"/>
      <c r="BH12" s="410"/>
      <c r="BI12" s="410"/>
      <c r="BJ12" s="410"/>
      <c r="BK12" s="410"/>
      <c r="BL12" s="632"/>
      <c r="BM12" s="410" t="s">
        <v>693</v>
      </c>
      <c r="BN12" s="410"/>
      <c r="BO12" s="410"/>
      <c r="BP12" s="410"/>
      <c r="BQ12" s="410"/>
      <c r="BR12" s="410"/>
      <c r="BS12" s="410"/>
      <c r="BT12" s="410"/>
      <c r="BU12" s="410"/>
      <c r="BV12" s="410"/>
      <c r="BW12" s="656"/>
      <c r="BX12" s="437">
        <v>453150</v>
      </c>
      <c r="BY12" s="438">
        <v>15399.57</v>
      </c>
      <c r="BZ12" s="842">
        <v>453989</v>
      </c>
      <c r="CA12" s="843">
        <v>4139.2</v>
      </c>
      <c r="CB12" s="433"/>
      <c r="CC12" s="434"/>
      <c r="CD12" s="433"/>
      <c r="CE12" s="633"/>
      <c r="CF12" s="435"/>
      <c r="CG12" s="436"/>
      <c r="CH12" s="454"/>
      <c r="CI12" s="657"/>
      <c r="CJ12" s="846">
        <v>453150</v>
      </c>
      <c r="CK12" s="861">
        <v>11429.77</v>
      </c>
      <c r="CL12" s="457">
        <v>453150</v>
      </c>
      <c r="CM12" s="450">
        <f>BY12+CE12+CI12+CK12+CG12+CA12+CC12</f>
        <v>30968.54</v>
      </c>
      <c r="CN12" s="658"/>
      <c r="CO12" s="658"/>
      <c r="CQ12" s="433"/>
      <c r="CR12" s="633"/>
      <c r="CS12" s="433"/>
      <c r="CT12" s="633"/>
      <c r="CU12" s="439"/>
      <c r="CV12" s="534"/>
      <c r="CW12" s="457"/>
      <c r="CX12" s="450"/>
    </row>
    <row r="13" spans="1:103" s="158" customFormat="1">
      <c r="A13" s="409">
        <v>216</v>
      </c>
      <c r="B13" s="409">
        <v>720</v>
      </c>
      <c r="C13" s="409" t="s">
        <v>648</v>
      </c>
      <c r="D13" s="409">
        <v>2</v>
      </c>
      <c r="E13" s="409"/>
      <c r="F13" s="409"/>
      <c r="G13" s="409"/>
      <c r="H13" s="409"/>
      <c r="I13" s="409"/>
      <c r="J13" s="409"/>
      <c r="K13" s="409"/>
      <c r="L13" s="409"/>
      <c r="M13" s="409"/>
      <c r="N13" s="409"/>
      <c r="O13" s="409"/>
      <c r="P13" s="409"/>
      <c r="Q13" s="409"/>
      <c r="R13" s="409" t="s">
        <v>650</v>
      </c>
      <c r="S13" s="409" t="s">
        <v>650</v>
      </c>
      <c r="T13" s="409"/>
      <c r="U13" s="409"/>
      <c r="V13" s="409"/>
      <c r="W13" s="409"/>
      <c r="X13" s="409"/>
      <c r="Y13" s="409"/>
      <c r="Z13" s="409" t="s">
        <v>650</v>
      </c>
      <c r="AA13" s="409"/>
      <c r="AB13" s="409"/>
      <c r="AC13" s="409"/>
      <c r="AD13" s="409"/>
      <c r="AE13" s="409"/>
      <c r="AF13" s="409"/>
      <c r="AG13" s="409"/>
      <c r="AH13" s="409"/>
      <c r="AI13" s="409"/>
      <c r="AJ13" s="409"/>
      <c r="AK13" s="409"/>
      <c r="AL13" s="409"/>
      <c r="AM13" s="409"/>
      <c r="AN13" s="409"/>
      <c r="AO13" s="409"/>
      <c r="AP13" s="409"/>
      <c r="AQ13" s="409"/>
      <c r="AR13" s="409"/>
      <c r="AS13" s="409"/>
      <c r="AT13" s="409"/>
      <c r="AU13" s="409"/>
      <c r="AV13" s="409"/>
      <c r="AW13" s="409"/>
      <c r="AX13" s="409"/>
      <c r="AY13" s="409"/>
      <c r="AZ13" s="409"/>
      <c r="BA13" s="409"/>
      <c r="BB13" s="409"/>
      <c r="BC13" s="409"/>
      <c r="BD13" s="409"/>
      <c r="BE13" s="409"/>
      <c r="BF13" s="409"/>
      <c r="BG13" s="409"/>
      <c r="BH13" s="409"/>
      <c r="BI13" s="409"/>
      <c r="BJ13" s="409"/>
      <c r="BK13" s="409"/>
      <c r="BL13" s="632"/>
      <c r="BM13" s="409" t="s">
        <v>694</v>
      </c>
      <c r="BN13" s="409"/>
      <c r="BO13" s="409"/>
      <c r="BP13" s="409"/>
      <c r="BQ13" s="409"/>
      <c r="BR13" s="409"/>
      <c r="BS13" s="409"/>
      <c r="BT13" s="409"/>
      <c r="BU13" s="409"/>
      <c r="BV13" s="409"/>
      <c r="BW13" s="557"/>
      <c r="BX13" s="437">
        <v>458425</v>
      </c>
      <c r="BY13" s="438">
        <v>20066.88</v>
      </c>
      <c r="BZ13" s="842">
        <v>458379</v>
      </c>
      <c r="CA13" s="843">
        <v>691.47</v>
      </c>
      <c r="CB13" s="433"/>
      <c r="CC13" s="434"/>
      <c r="CD13" s="433"/>
      <c r="CE13" s="633"/>
      <c r="CF13" s="435"/>
      <c r="CG13" s="436"/>
      <c r="CH13" s="454"/>
      <c r="CI13" s="657"/>
      <c r="CJ13" s="846">
        <v>458425</v>
      </c>
      <c r="CK13" s="861">
        <v>13299.54</v>
      </c>
      <c r="CL13" s="457">
        <v>458425</v>
      </c>
      <c r="CM13" s="450">
        <f>BY13+CE13+CI13+CK13+CG13+CA13+CC13</f>
        <v>34057.89</v>
      </c>
      <c r="CN13" s="658"/>
      <c r="CO13" s="658"/>
      <c r="CQ13" s="433"/>
      <c r="CR13" s="633"/>
      <c r="CS13" s="433"/>
      <c r="CT13" s="633"/>
      <c r="CU13" s="439"/>
      <c r="CV13" s="534"/>
      <c r="CW13" s="457"/>
      <c r="CX13" s="450"/>
    </row>
    <row r="14" spans="1:103" s="158" customFormat="1">
      <c r="A14" s="410">
        <v>217</v>
      </c>
      <c r="B14" s="410">
        <v>593</v>
      </c>
      <c r="C14" s="410" t="s">
        <v>648</v>
      </c>
      <c r="D14" s="410">
        <v>2</v>
      </c>
      <c r="E14" s="410"/>
      <c r="F14" s="410" t="s">
        <v>650</v>
      </c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 t="s">
        <v>650</v>
      </c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  <c r="AE14" s="410"/>
      <c r="AF14" s="410"/>
      <c r="AG14" s="410" t="s">
        <v>650</v>
      </c>
      <c r="AH14" s="410"/>
      <c r="AI14" s="410"/>
      <c r="AJ14" s="410"/>
      <c r="AK14" s="410"/>
      <c r="AL14" s="410"/>
      <c r="AM14" s="410"/>
      <c r="AN14" s="410"/>
      <c r="AO14" s="410"/>
      <c r="AP14" s="410"/>
      <c r="AQ14" s="410"/>
      <c r="AR14" s="410"/>
      <c r="AS14" s="410"/>
      <c r="AT14" s="410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0"/>
      <c r="BF14" s="410"/>
      <c r="BG14" s="410"/>
      <c r="BH14" s="410"/>
      <c r="BI14" s="410"/>
      <c r="BJ14" s="410"/>
      <c r="BK14" s="410"/>
      <c r="BL14" s="632"/>
      <c r="BM14" s="410" t="s">
        <v>695</v>
      </c>
      <c r="BN14" s="410"/>
      <c r="BO14" s="410"/>
      <c r="BP14" s="410"/>
      <c r="BQ14" s="410"/>
      <c r="BR14" s="410"/>
      <c r="BS14" s="410"/>
      <c r="BT14" s="410"/>
      <c r="BU14" s="410"/>
      <c r="BV14" s="410"/>
      <c r="BW14" s="656"/>
      <c r="BX14" s="840">
        <v>683608</v>
      </c>
      <c r="BY14" s="841">
        <v>15837.76</v>
      </c>
      <c r="BZ14" s="842">
        <v>683421</v>
      </c>
      <c r="CA14" s="843">
        <v>2563.67</v>
      </c>
      <c r="CB14" s="433"/>
      <c r="CC14" s="434"/>
      <c r="CD14" s="433"/>
      <c r="CE14" s="633"/>
      <c r="CF14" s="435"/>
      <c r="CG14" s="436"/>
      <c r="CH14" s="454"/>
      <c r="CI14" s="657"/>
      <c r="CJ14" s="439">
        <v>683608</v>
      </c>
      <c r="CK14" s="440">
        <v>11422.37</v>
      </c>
      <c r="CL14" s="457">
        <v>683608</v>
      </c>
      <c r="CM14" s="450">
        <f>BY14+CE14+CI14+CK14+CG14+CA14+CC14</f>
        <v>29823.800000000003</v>
      </c>
      <c r="CN14" s="658"/>
      <c r="CO14" s="658"/>
      <c r="CQ14" s="433"/>
      <c r="CR14" s="633"/>
      <c r="CS14" s="433"/>
      <c r="CT14" s="633"/>
      <c r="CU14" s="439"/>
      <c r="CV14" s="534"/>
      <c r="CW14" s="457"/>
      <c r="CX14" s="450"/>
    </row>
    <row r="15" spans="1:103" s="158" customFormat="1">
      <c r="A15" s="409">
        <v>218</v>
      </c>
      <c r="B15" s="409">
        <v>593</v>
      </c>
      <c r="C15" s="409" t="s">
        <v>649</v>
      </c>
      <c r="D15" s="409">
        <v>2</v>
      </c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 t="s">
        <v>650</v>
      </c>
      <c r="T15" s="409"/>
      <c r="U15" s="409"/>
      <c r="V15" s="409"/>
      <c r="W15" s="409"/>
      <c r="X15" s="409"/>
      <c r="Y15" s="409"/>
      <c r="Z15" s="409"/>
      <c r="AA15" s="409"/>
      <c r="AB15" s="409"/>
      <c r="AC15" s="409"/>
      <c r="AD15" s="409"/>
      <c r="AE15" s="409"/>
      <c r="AF15" s="409"/>
      <c r="AG15" s="409" t="s">
        <v>650</v>
      </c>
      <c r="AH15" s="409"/>
      <c r="AI15" s="409"/>
      <c r="AJ15" s="409"/>
      <c r="AK15" s="409"/>
      <c r="AL15" s="409"/>
      <c r="AM15" s="409"/>
      <c r="AN15" s="409"/>
      <c r="AO15" s="409"/>
      <c r="AP15" s="409"/>
      <c r="AQ15" s="409"/>
      <c r="AR15" s="409"/>
      <c r="AS15" s="409"/>
      <c r="AT15" s="409"/>
      <c r="AU15" s="409"/>
      <c r="AV15" s="409"/>
      <c r="AW15" s="409"/>
      <c r="AX15" s="409"/>
      <c r="AY15" s="409"/>
      <c r="AZ15" s="409"/>
      <c r="BA15" s="409"/>
      <c r="BB15" s="409"/>
      <c r="BC15" s="409"/>
      <c r="BD15" s="409"/>
      <c r="BE15" s="409"/>
      <c r="BF15" s="409"/>
      <c r="BG15" s="409"/>
      <c r="BH15" s="409"/>
      <c r="BI15" s="409"/>
      <c r="BJ15" s="409"/>
      <c r="BK15" s="409"/>
      <c r="BL15" s="632"/>
      <c r="BM15" s="409" t="s">
        <v>696</v>
      </c>
      <c r="BN15" s="409"/>
      <c r="BO15" s="409"/>
      <c r="BP15" s="409"/>
      <c r="BQ15" s="409"/>
      <c r="BR15" s="409"/>
      <c r="BS15" s="409"/>
      <c r="BT15" s="409"/>
      <c r="BU15" s="409"/>
      <c r="BV15" s="409"/>
      <c r="BW15" s="557"/>
      <c r="BX15" s="437">
        <v>683626</v>
      </c>
      <c r="BY15" s="438">
        <v>15837.76</v>
      </c>
      <c r="BZ15" s="842">
        <v>683468</v>
      </c>
      <c r="CA15" s="843">
        <v>1747.82</v>
      </c>
      <c r="CB15" s="433"/>
      <c r="CC15" s="434"/>
      <c r="CD15" s="433"/>
      <c r="CE15" s="633"/>
      <c r="CF15" s="435"/>
      <c r="CG15" s="436"/>
      <c r="CH15" s="454"/>
      <c r="CI15" s="657"/>
      <c r="CJ15" s="439">
        <v>683625</v>
      </c>
      <c r="CK15" s="440">
        <v>11422.37</v>
      </c>
      <c r="CL15" s="457">
        <f>BX15</f>
        <v>683626</v>
      </c>
      <c r="CM15" s="450">
        <f>BY15+CE15+CI15+CK15+CG15+CA15+CC15</f>
        <v>29007.95</v>
      </c>
      <c r="CN15" s="658"/>
      <c r="CO15" s="658"/>
      <c r="CQ15" s="433"/>
      <c r="CR15" s="633"/>
      <c r="CS15" s="433"/>
      <c r="CT15" s="633"/>
      <c r="CU15" s="439"/>
      <c r="CV15" s="534"/>
      <c r="CW15" s="457"/>
      <c r="CX15" s="450"/>
    </row>
    <row r="16" spans="1:103" s="158" customFormat="1">
      <c r="A16" s="410">
        <v>219</v>
      </c>
      <c r="B16" s="410">
        <v>720</v>
      </c>
      <c r="C16" s="410" t="s">
        <v>647</v>
      </c>
      <c r="D16" s="410">
        <v>2</v>
      </c>
      <c r="E16" s="410"/>
      <c r="F16" s="410"/>
      <c r="G16" s="410"/>
      <c r="H16" s="410"/>
      <c r="I16" s="410"/>
      <c r="J16" s="410"/>
      <c r="K16" s="410"/>
      <c r="L16" s="410"/>
      <c r="M16" s="410"/>
      <c r="N16" s="410"/>
      <c r="O16" s="410"/>
      <c r="P16" s="410"/>
      <c r="Q16" s="410"/>
      <c r="R16" s="410"/>
      <c r="S16" s="410" t="s">
        <v>650</v>
      </c>
      <c r="T16" s="410"/>
      <c r="U16" s="410"/>
      <c r="V16" s="410"/>
      <c r="W16" s="410"/>
      <c r="X16" s="410"/>
      <c r="Y16" s="410"/>
      <c r="Z16" s="410" t="s">
        <v>650</v>
      </c>
      <c r="AA16" s="410"/>
      <c r="AB16" s="410"/>
      <c r="AC16" s="410"/>
      <c r="AD16" s="410"/>
      <c r="AE16" s="410"/>
      <c r="AF16" s="410"/>
      <c r="AG16" s="410" t="s">
        <v>650</v>
      </c>
      <c r="AH16" s="410"/>
      <c r="AI16" s="410"/>
      <c r="AJ16" s="410"/>
      <c r="AK16" s="410"/>
      <c r="AL16" s="410"/>
      <c r="AM16" s="410"/>
      <c r="AN16" s="410"/>
      <c r="AO16" s="410"/>
      <c r="AP16" s="410"/>
      <c r="AQ16" s="410"/>
      <c r="AR16" s="410"/>
      <c r="AS16" s="410"/>
      <c r="AT16" s="410"/>
      <c r="AU16" s="410"/>
      <c r="AV16" s="410"/>
      <c r="AW16" s="410"/>
      <c r="AX16" s="410"/>
      <c r="AY16" s="410"/>
      <c r="AZ16" s="410"/>
      <c r="BA16" s="410"/>
      <c r="BB16" s="410"/>
      <c r="BC16" s="410"/>
      <c r="BD16" s="410"/>
      <c r="BE16" s="410"/>
      <c r="BF16" s="410"/>
      <c r="BG16" s="410"/>
      <c r="BH16" s="410" t="s">
        <v>650</v>
      </c>
      <c r="BI16" s="410"/>
      <c r="BJ16" s="410"/>
      <c r="BK16" s="410"/>
      <c r="BL16" s="632"/>
      <c r="BM16" s="410" t="s">
        <v>697</v>
      </c>
      <c r="BN16" s="410"/>
      <c r="BO16" s="410"/>
      <c r="BP16" s="410"/>
      <c r="BQ16" s="410"/>
      <c r="BR16" s="410"/>
      <c r="BS16" s="410"/>
      <c r="BT16" s="410"/>
      <c r="BU16" s="410"/>
      <c r="BV16" s="410"/>
      <c r="BW16" s="656"/>
      <c r="BX16" s="437">
        <v>753942</v>
      </c>
      <c r="BY16" s="438">
        <v>20604.3</v>
      </c>
      <c r="BZ16" s="842">
        <v>753791</v>
      </c>
      <c r="CA16" s="843">
        <v>774.59</v>
      </c>
      <c r="CB16" s="433"/>
      <c r="CC16" s="434"/>
      <c r="CD16" s="433"/>
      <c r="CE16" s="633"/>
      <c r="CF16" s="435"/>
      <c r="CG16" s="436"/>
      <c r="CH16" s="454"/>
      <c r="CI16" s="657"/>
      <c r="CJ16" s="846">
        <v>753942</v>
      </c>
      <c r="CK16" s="861">
        <v>13298.94</v>
      </c>
      <c r="CL16" s="457">
        <f>BX16</f>
        <v>753942</v>
      </c>
      <c r="CM16" s="450">
        <f t="shared" ref="CM16:CM21" si="0">BY16+CE16+CI16+CK16+CG16+CA16+CC16</f>
        <v>34677.829999999994</v>
      </c>
      <c r="CN16" s="658"/>
      <c r="CO16" s="658"/>
      <c r="CQ16" s="433"/>
      <c r="CR16" s="633"/>
      <c r="CS16" s="433"/>
      <c r="CT16" s="633"/>
      <c r="CU16" s="439"/>
      <c r="CV16" s="534"/>
      <c r="CW16" s="457"/>
      <c r="CX16" s="450"/>
    </row>
    <row r="17" spans="1:102" s="158" customFormat="1">
      <c r="A17" s="409">
        <v>220</v>
      </c>
      <c r="B17" s="409">
        <v>720</v>
      </c>
      <c r="C17" s="409" t="s">
        <v>648</v>
      </c>
      <c r="D17" s="409">
        <v>2</v>
      </c>
      <c r="E17" s="409"/>
      <c r="F17" s="409"/>
      <c r="G17" s="409"/>
      <c r="H17" s="409"/>
      <c r="I17" s="409"/>
      <c r="J17" s="409"/>
      <c r="K17" s="409"/>
      <c r="L17" s="409"/>
      <c r="M17" s="409"/>
      <c r="N17" s="409"/>
      <c r="O17" s="409"/>
      <c r="P17" s="409"/>
      <c r="Q17" s="409"/>
      <c r="R17" s="409"/>
      <c r="S17" s="409" t="s">
        <v>650</v>
      </c>
      <c r="T17" s="409"/>
      <c r="U17" s="409"/>
      <c r="V17" s="409"/>
      <c r="W17" s="409"/>
      <c r="X17" s="409"/>
      <c r="Y17" s="409"/>
      <c r="Z17" s="409" t="s">
        <v>650</v>
      </c>
      <c r="AA17" s="409"/>
      <c r="AB17" s="409"/>
      <c r="AC17" s="409"/>
      <c r="AD17" s="409"/>
      <c r="AE17" s="409"/>
      <c r="AF17" s="409"/>
      <c r="AG17" s="409"/>
      <c r="AH17" s="409"/>
      <c r="AI17" s="409"/>
      <c r="AJ17" s="409"/>
      <c r="AK17" s="409"/>
      <c r="AL17" s="409"/>
      <c r="AM17" s="409"/>
      <c r="AN17" s="409"/>
      <c r="AO17" s="409"/>
      <c r="AP17" s="409"/>
      <c r="AQ17" s="409"/>
      <c r="AR17" s="409"/>
      <c r="AS17" s="409"/>
      <c r="AT17" s="409"/>
      <c r="AU17" s="409"/>
      <c r="AV17" s="409"/>
      <c r="AW17" s="409"/>
      <c r="AX17" s="409"/>
      <c r="AY17" s="409"/>
      <c r="AZ17" s="409"/>
      <c r="BA17" s="409"/>
      <c r="BB17" s="409"/>
      <c r="BC17" s="409"/>
      <c r="BD17" s="409"/>
      <c r="BE17" s="409"/>
      <c r="BF17" s="409"/>
      <c r="BG17" s="409"/>
      <c r="BH17" s="409" t="s">
        <v>650</v>
      </c>
      <c r="BI17" s="409"/>
      <c r="BJ17" s="409"/>
      <c r="BK17" s="409"/>
      <c r="BL17" s="632"/>
      <c r="BM17" s="409" t="s">
        <v>698</v>
      </c>
      <c r="BN17" s="409"/>
      <c r="BO17" s="409"/>
      <c r="BP17" s="409"/>
      <c r="BQ17" s="409"/>
      <c r="BR17" s="409"/>
      <c r="BS17" s="409"/>
      <c r="BT17" s="409"/>
      <c r="BU17" s="409"/>
      <c r="BV17" s="409"/>
      <c r="BW17" s="557"/>
      <c r="BX17" s="437">
        <v>849455</v>
      </c>
      <c r="BY17" s="438">
        <v>20604.3</v>
      </c>
      <c r="BZ17" s="842">
        <v>848722</v>
      </c>
      <c r="CA17" s="843">
        <v>810.77</v>
      </c>
      <c r="CB17" s="433"/>
      <c r="CC17" s="434"/>
      <c r="CD17" s="433"/>
      <c r="CE17" s="633"/>
      <c r="CF17" s="435"/>
      <c r="CG17" s="436"/>
      <c r="CH17" s="454"/>
      <c r="CI17" s="657"/>
      <c r="CJ17" s="846">
        <v>849455</v>
      </c>
      <c r="CK17" s="861">
        <v>13298.94</v>
      </c>
      <c r="CL17" s="457"/>
      <c r="CM17" s="450">
        <f t="shared" si="0"/>
        <v>34714.009999999995</v>
      </c>
      <c r="CN17" s="658"/>
      <c r="CO17" s="658"/>
      <c r="CQ17" s="433"/>
      <c r="CR17" s="633"/>
      <c r="CS17" s="433"/>
      <c r="CT17" s="633"/>
      <c r="CU17" s="439"/>
      <c r="CV17" s="534"/>
      <c r="CW17" s="457"/>
      <c r="CX17" s="450"/>
    </row>
    <row r="18" spans="1:102" s="158" customFormat="1">
      <c r="A18" s="410">
        <v>221</v>
      </c>
      <c r="B18" s="410">
        <v>720</v>
      </c>
      <c r="C18" s="410" t="s">
        <v>649</v>
      </c>
      <c r="D18" s="410">
        <v>2</v>
      </c>
      <c r="E18" s="410"/>
      <c r="F18" s="410"/>
      <c r="G18" s="410"/>
      <c r="H18" s="410"/>
      <c r="I18" s="410"/>
      <c r="J18" s="410"/>
      <c r="K18" s="410"/>
      <c r="L18" s="410"/>
      <c r="M18" s="410"/>
      <c r="N18" s="410"/>
      <c r="O18" s="410"/>
      <c r="P18" s="410"/>
      <c r="Q18" s="410"/>
      <c r="R18" s="410"/>
      <c r="S18" s="410" t="s">
        <v>650</v>
      </c>
      <c r="T18" s="410"/>
      <c r="U18" s="410"/>
      <c r="V18" s="410"/>
      <c r="W18" s="410"/>
      <c r="X18" s="410"/>
      <c r="Y18" s="410"/>
      <c r="Z18" s="410" t="s">
        <v>650</v>
      </c>
      <c r="AA18" s="410"/>
      <c r="AB18" s="410"/>
      <c r="AC18" s="410"/>
      <c r="AD18" s="410"/>
      <c r="AE18" s="410"/>
      <c r="AF18" s="410"/>
      <c r="AG18" s="410" t="s">
        <v>650</v>
      </c>
      <c r="AH18" s="410"/>
      <c r="AI18" s="410"/>
      <c r="AJ18" s="410"/>
      <c r="AK18" s="410"/>
      <c r="AL18" s="410"/>
      <c r="AM18" s="410"/>
      <c r="AN18" s="410"/>
      <c r="AO18" s="410"/>
      <c r="AP18" s="410"/>
      <c r="AQ18" s="410"/>
      <c r="AR18" s="410"/>
      <c r="AS18" s="410"/>
      <c r="AT18" s="410"/>
      <c r="AU18" s="410"/>
      <c r="AV18" s="410"/>
      <c r="AW18" s="410"/>
      <c r="AX18" s="410"/>
      <c r="AY18" s="410"/>
      <c r="AZ18" s="410"/>
      <c r="BA18" s="410"/>
      <c r="BB18" s="410"/>
      <c r="BC18" s="410"/>
      <c r="BD18" s="410"/>
      <c r="BE18" s="410"/>
      <c r="BF18" s="410"/>
      <c r="BG18" s="410"/>
      <c r="BH18" s="410" t="s">
        <v>650</v>
      </c>
      <c r="BI18" s="410"/>
      <c r="BJ18" s="410"/>
      <c r="BK18" s="410"/>
      <c r="BL18" s="632"/>
      <c r="BM18" s="410" t="s">
        <v>699</v>
      </c>
      <c r="BN18" s="410"/>
      <c r="BO18" s="410"/>
      <c r="BP18" s="410"/>
      <c r="BQ18" s="410"/>
      <c r="BR18" s="410"/>
      <c r="BS18" s="410"/>
      <c r="BT18" s="410"/>
      <c r="BU18" s="410"/>
      <c r="BV18" s="410"/>
      <c r="BW18" s="656"/>
      <c r="BX18" s="437">
        <v>849471</v>
      </c>
      <c r="BY18" s="438">
        <v>20604.3</v>
      </c>
      <c r="BZ18" s="842">
        <v>848810</v>
      </c>
      <c r="CA18" s="843">
        <v>752.99</v>
      </c>
      <c r="CB18" s="433"/>
      <c r="CC18" s="434"/>
      <c r="CD18" s="433"/>
      <c r="CE18" s="633"/>
      <c r="CF18" s="435"/>
      <c r="CG18" s="436"/>
      <c r="CH18" s="454"/>
      <c r="CI18" s="657"/>
      <c r="CJ18" s="846">
        <v>849471</v>
      </c>
      <c r="CK18" s="861">
        <v>13298.94</v>
      </c>
      <c r="CL18" s="457">
        <f>BX18</f>
        <v>849471</v>
      </c>
      <c r="CM18" s="450">
        <f t="shared" si="0"/>
        <v>34656.229999999996</v>
      </c>
      <c r="CN18" s="658"/>
      <c r="CO18" s="658"/>
      <c r="CQ18" s="433"/>
      <c r="CR18" s="633"/>
      <c r="CS18" s="433"/>
      <c r="CT18" s="633"/>
      <c r="CU18" s="439"/>
      <c r="CV18" s="534"/>
      <c r="CW18" s="457"/>
      <c r="CX18" s="450"/>
    </row>
    <row r="19" spans="1:102" s="158" customFormat="1">
      <c r="A19" s="409">
        <v>222</v>
      </c>
      <c r="B19" s="409">
        <v>250</v>
      </c>
      <c r="C19" s="409" t="s">
        <v>647</v>
      </c>
      <c r="D19" s="409">
        <v>3</v>
      </c>
      <c r="E19" s="409"/>
      <c r="F19" s="409"/>
      <c r="G19" s="409"/>
      <c r="H19" s="409" t="s">
        <v>650</v>
      </c>
      <c r="I19" s="409"/>
      <c r="J19" s="409"/>
      <c r="K19" s="409"/>
      <c r="L19" s="409"/>
      <c r="M19" s="409" t="s">
        <v>650</v>
      </c>
      <c r="N19" s="409"/>
      <c r="O19" s="409"/>
      <c r="P19" s="409"/>
      <c r="Q19" s="409"/>
      <c r="R19" s="409" t="s">
        <v>650</v>
      </c>
      <c r="S19" s="409" t="s">
        <v>650</v>
      </c>
      <c r="T19" s="409"/>
      <c r="U19" s="409"/>
      <c r="V19" s="409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 t="s">
        <v>650</v>
      </c>
      <c r="AH19" s="409"/>
      <c r="AI19" s="409"/>
      <c r="AJ19" s="409"/>
      <c r="AK19" s="409"/>
      <c r="AL19" s="409"/>
      <c r="AM19" s="409"/>
      <c r="AN19" s="409" t="s">
        <v>650</v>
      </c>
      <c r="AO19" s="409" t="s">
        <v>650</v>
      </c>
      <c r="AP19" s="409"/>
      <c r="AQ19" s="409"/>
      <c r="AR19" s="409"/>
      <c r="AS19" s="409"/>
      <c r="AT19" s="409"/>
      <c r="AU19" s="409"/>
      <c r="AV19" s="409"/>
      <c r="AW19" s="409"/>
      <c r="AX19" s="409"/>
      <c r="AY19" s="409"/>
      <c r="AZ19" s="409"/>
      <c r="BA19" s="409"/>
      <c r="BB19" s="409"/>
      <c r="BC19" s="409"/>
      <c r="BD19" s="409"/>
      <c r="BE19" s="409"/>
      <c r="BF19" s="409" t="s">
        <v>650</v>
      </c>
      <c r="BG19" s="409"/>
      <c r="BH19" s="409"/>
      <c r="BI19" s="409"/>
      <c r="BJ19" s="409" t="s">
        <v>650</v>
      </c>
      <c r="BK19" s="409"/>
      <c r="BL19" s="632"/>
      <c r="BM19" s="409" t="s">
        <v>700</v>
      </c>
      <c r="BN19" s="409"/>
      <c r="BO19" s="409"/>
      <c r="BP19" s="409"/>
      <c r="BQ19" s="409"/>
      <c r="BR19" s="409"/>
      <c r="BS19" s="409"/>
      <c r="BT19" s="409"/>
      <c r="BU19" s="409"/>
      <c r="BV19" s="409"/>
      <c r="BW19" s="557"/>
      <c r="BX19" s="437">
        <v>683835</v>
      </c>
      <c r="BY19" s="438">
        <v>16317.04</v>
      </c>
      <c r="BZ19" s="842">
        <v>683511</v>
      </c>
      <c r="CA19" s="843">
        <v>8104.07</v>
      </c>
      <c r="CB19" s="842">
        <v>683547</v>
      </c>
      <c r="CC19" s="843">
        <v>7100.83</v>
      </c>
      <c r="CD19" s="433"/>
      <c r="CE19" s="633"/>
      <c r="CF19" s="435"/>
      <c r="CG19" s="436"/>
      <c r="CH19" s="454"/>
      <c r="CI19" s="657"/>
      <c r="CJ19" s="846">
        <v>683835</v>
      </c>
      <c r="CK19" s="861">
        <v>10172.629999999999</v>
      </c>
      <c r="CL19" s="457">
        <f>BX19</f>
        <v>683835</v>
      </c>
      <c r="CM19" s="450">
        <f t="shared" si="0"/>
        <v>41694.57</v>
      </c>
      <c r="CN19" s="658"/>
      <c r="CO19" s="658"/>
      <c r="CQ19" s="433"/>
      <c r="CR19" s="633"/>
      <c r="CS19" s="433"/>
      <c r="CT19" s="633"/>
      <c r="CU19" s="439"/>
      <c r="CV19" s="534"/>
      <c r="CW19" s="457"/>
      <c r="CX19" s="450"/>
    </row>
    <row r="20" spans="1:102" s="158" customFormat="1">
      <c r="A20" s="410">
        <v>223</v>
      </c>
      <c r="B20" s="410">
        <v>591</v>
      </c>
      <c r="C20" s="410" t="s">
        <v>649</v>
      </c>
      <c r="D20" s="410">
        <v>2</v>
      </c>
      <c r="E20" s="410"/>
      <c r="F20" s="410"/>
      <c r="G20" s="410"/>
      <c r="H20" s="410"/>
      <c r="I20" s="410"/>
      <c r="J20" s="410"/>
      <c r="K20" s="410"/>
      <c r="L20" s="410"/>
      <c r="M20" s="410"/>
      <c r="N20" s="410"/>
      <c r="O20" s="410"/>
      <c r="P20" s="410"/>
      <c r="Q20" s="410"/>
      <c r="R20" s="943" t="s">
        <v>650</v>
      </c>
      <c r="S20" s="410"/>
      <c r="T20" s="410"/>
      <c r="U20" s="410"/>
      <c r="V20" s="410"/>
      <c r="W20" s="410"/>
      <c r="X20" s="410"/>
      <c r="Y20" s="410"/>
      <c r="Z20" s="410"/>
      <c r="AA20" s="410"/>
      <c r="AB20" s="410"/>
      <c r="AC20" s="410"/>
      <c r="AD20" s="410"/>
      <c r="AE20" s="410"/>
      <c r="AF20" s="410"/>
      <c r="AG20" s="410"/>
      <c r="AH20" s="410"/>
      <c r="AI20" s="410"/>
      <c r="AJ20" s="410"/>
      <c r="AK20" s="410" t="s">
        <v>650</v>
      </c>
      <c r="AL20" s="410"/>
      <c r="AM20" s="410"/>
      <c r="AN20" s="410"/>
      <c r="AO20" s="410"/>
      <c r="AP20" s="410"/>
      <c r="AQ20" s="410"/>
      <c r="AR20" s="410"/>
      <c r="AS20" s="410"/>
      <c r="AT20" s="410"/>
      <c r="AU20" s="410"/>
      <c r="AV20" s="410"/>
      <c r="AW20" s="410"/>
      <c r="AX20" s="410"/>
      <c r="AY20" s="410"/>
      <c r="AZ20" s="410"/>
      <c r="BA20" s="410"/>
      <c r="BB20" s="410"/>
      <c r="BC20" s="410"/>
      <c r="BD20" s="410"/>
      <c r="BE20" s="410"/>
      <c r="BF20" s="410"/>
      <c r="BG20" s="410"/>
      <c r="BH20" s="410" t="s">
        <v>650</v>
      </c>
      <c r="BI20" s="410"/>
      <c r="BJ20" s="410"/>
      <c r="BK20" s="410"/>
      <c r="BL20" s="632"/>
      <c r="BM20" s="410" t="s">
        <v>701</v>
      </c>
      <c r="BN20" s="410"/>
      <c r="BO20" s="410"/>
      <c r="BP20" s="410"/>
      <c r="BQ20" s="410"/>
      <c r="BR20" s="410"/>
      <c r="BS20" s="410"/>
      <c r="BT20" s="410"/>
      <c r="BU20" s="410"/>
      <c r="BV20" s="410"/>
      <c r="BW20" s="656"/>
      <c r="BX20" s="840">
        <v>1266208</v>
      </c>
      <c r="BY20" s="841">
        <v>11080.37</v>
      </c>
      <c r="BZ20" s="842">
        <v>1156159</v>
      </c>
      <c r="CA20" s="843">
        <v>12506.82</v>
      </c>
      <c r="CB20" s="433"/>
      <c r="CC20" s="434"/>
      <c r="CD20" s="842">
        <v>1156236</v>
      </c>
      <c r="CE20" s="843">
        <v>13446.18</v>
      </c>
      <c r="CF20" s="435"/>
      <c r="CG20" s="436"/>
      <c r="CH20" s="454"/>
      <c r="CI20" s="657"/>
      <c r="CJ20" s="439">
        <v>1266208</v>
      </c>
      <c r="CK20" s="440">
        <v>11262.86</v>
      </c>
      <c r="CL20" s="457"/>
      <c r="CM20" s="450">
        <f t="shared" si="0"/>
        <v>48296.23</v>
      </c>
      <c r="CN20" s="658"/>
      <c r="CO20" s="658"/>
      <c r="CQ20" s="433"/>
      <c r="CR20" s="633"/>
      <c r="CS20" s="433"/>
      <c r="CT20" s="633"/>
      <c r="CU20" s="439"/>
      <c r="CV20" s="534"/>
      <c r="CW20" s="457"/>
      <c r="CX20" s="450"/>
    </row>
    <row r="21" spans="1:102" s="158" customFormat="1">
      <c r="A21" s="409">
        <v>224</v>
      </c>
      <c r="B21" s="409">
        <v>250</v>
      </c>
      <c r="C21" s="409" t="s">
        <v>649</v>
      </c>
      <c r="D21" s="409">
        <v>3</v>
      </c>
      <c r="E21" s="409"/>
      <c r="F21" s="409" t="s">
        <v>650</v>
      </c>
      <c r="G21" s="409"/>
      <c r="H21" s="409"/>
      <c r="I21" s="409"/>
      <c r="J21" s="409"/>
      <c r="K21" s="409"/>
      <c r="L21" s="409"/>
      <c r="M21" s="409"/>
      <c r="N21" s="409"/>
      <c r="O21" s="409"/>
      <c r="P21" s="409"/>
      <c r="Q21" s="409"/>
      <c r="R21" s="409" t="s">
        <v>650</v>
      </c>
      <c r="S21" s="409"/>
      <c r="T21" s="409"/>
      <c r="U21" s="409"/>
      <c r="V21" s="409"/>
      <c r="W21" s="409"/>
      <c r="X21" s="409"/>
      <c r="Y21" s="409"/>
      <c r="Z21" s="409"/>
      <c r="AA21" s="409"/>
      <c r="AB21" s="409"/>
      <c r="AC21" s="409"/>
      <c r="AD21" s="409"/>
      <c r="AE21" s="409"/>
      <c r="AF21" s="409"/>
      <c r="AG21" s="409"/>
      <c r="AH21" s="409"/>
      <c r="AI21" s="409"/>
      <c r="AJ21" s="409"/>
      <c r="AK21" s="409"/>
      <c r="AL21" s="409"/>
      <c r="AM21" s="409"/>
      <c r="AN21" s="409" t="s">
        <v>650</v>
      </c>
      <c r="AO21" s="409"/>
      <c r="AP21" s="409"/>
      <c r="AQ21" s="409"/>
      <c r="AR21" s="409"/>
      <c r="AS21" s="409"/>
      <c r="AT21" s="409"/>
      <c r="AU21" s="409"/>
      <c r="AV21" s="409"/>
      <c r="AW21" s="409"/>
      <c r="AX21" s="409"/>
      <c r="AY21" s="409"/>
      <c r="AZ21" s="409"/>
      <c r="BA21" s="409"/>
      <c r="BB21" s="409"/>
      <c r="BC21" s="409"/>
      <c r="BD21" s="409"/>
      <c r="BE21" s="409"/>
      <c r="BF21" s="409" t="s">
        <v>650</v>
      </c>
      <c r="BG21" s="409"/>
      <c r="BH21" s="409"/>
      <c r="BI21" s="409"/>
      <c r="BJ21" s="409" t="s">
        <v>650</v>
      </c>
      <c r="BK21" s="409"/>
      <c r="BL21" s="632"/>
      <c r="BM21" s="409" t="s">
        <v>702</v>
      </c>
      <c r="BN21" s="409"/>
      <c r="BO21" s="409"/>
      <c r="BP21" s="409"/>
      <c r="BQ21" s="409"/>
      <c r="BR21" s="409"/>
      <c r="BS21" s="409"/>
      <c r="BT21" s="409"/>
      <c r="BU21" s="409"/>
      <c r="BV21" s="409"/>
      <c r="BW21" s="557"/>
      <c r="BX21" s="437">
        <v>474234</v>
      </c>
      <c r="BY21" s="438">
        <v>16317.04</v>
      </c>
      <c r="BZ21" s="842">
        <v>473968</v>
      </c>
      <c r="CA21" s="843">
        <v>5667.5</v>
      </c>
      <c r="CB21" s="842">
        <v>474045</v>
      </c>
      <c r="CC21" s="843">
        <v>7100.83</v>
      </c>
      <c r="CD21" s="433"/>
      <c r="CE21" s="633"/>
      <c r="CF21" s="435"/>
      <c r="CG21" s="436"/>
      <c r="CH21" s="454"/>
      <c r="CI21" s="657"/>
      <c r="CJ21" s="846">
        <v>474234</v>
      </c>
      <c r="CK21" s="861">
        <v>10172.629999999999</v>
      </c>
      <c r="CL21" s="457">
        <v>474234</v>
      </c>
      <c r="CM21" s="450">
        <f t="shared" si="0"/>
        <v>39258</v>
      </c>
      <c r="CN21" s="658"/>
      <c r="CO21" s="658"/>
      <c r="CQ21" s="433"/>
      <c r="CR21" s="633"/>
      <c r="CS21" s="433"/>
      <c r="CT21" s="633"/>
      <c r="CU21" s="439"/>
      <c r="CV21" s="534"/>
      <c r="CW21" s="457"/>
      <c r="CX21" s="450"/>
    </row>
    <row r="22" spans="1:102" s="158" customFormat="1">
      <c r="A22" s="410">
        <v>225</v>
      </c>
      <c r="B22" s="410">
        <v>698</v>
      </c>
      <c r="C22" s="410" t="s">
        <v>647</v>
      </c>
      <c r="D22" s="410">
        <v>3</v>
      </c>
      <c r="E22" s="410"/>
      <c r="F22" s="410"/>
      <c r="G22" s="410"/>
      <c r="H22" s="410"/>
      <c r="I22" s="410" t="s">
        <v>115</v>
      </c>
      <c r="J22" s="410"/>
      <c r="K22" s="410"/>
      <c r="L22" s="410"/>
      <c r="M22" s="410"/>
      <c r="N22" s="410"/>
      <c r="O22" s="410"/>
      <c r="P22" s="410"/>
      <c r="Q22" s="410"/>
      <c r="R22" s="410"/>
      <c r="S22" s="410"/>
      <c r="T22" s="410"/>
      <c r="U22" s="410"/>
      <c r="V22" s="410"/>
      <c r="W22" s="410"/>
      <c r="X22" s="410"/>
      <c r="Y22" s="410"/>
      <c r="Z22" s="410"/>
      <c r="AA22" s="410"/>
      <c r="AB22" s="410"/>
      <c r="AC22" s="410"/>
      <c r="AD22" s="410"/>
      <c r="AE22" s="410"/>
      <c r="AF22" s="410"/>
      <c r="AG22" s="410"/>
      <c r="AH22" s="410"/>
      <c r="AI22" s="410"/>
      <c r="AJ22" s="410"/>
      <c r="AK22" s="410" t="s">
        <v>650</v>
      </c>
      <c r="AL22" s="410"/>
      <c r="AM22" s="410"/>
      <c r="AN22" s="410"/>
      <c r="AO22" s="410"/>
      <c r="AP22" s="410"/>
      <c r="AQ22" s="410"/>
      <c r="AR22" s="410"/>
      <c r="AS22" s="410"/>
      <c r="AT22" s="410" t="s">
        <v>650</v>
      </c>
      <c r="AU22" s="410"/>
      <c r="AV22" s="410"/>
      <c r="AW22" s="410"/>
      <c r="AX22" s="410"/>
      <c r="AY22" s="410"/>
      <c r="AZ22" s="410"/>
      <c r="BA22" s="410"/>
      <c r="BB22" s="410"/>
      <c r="BC22" s="410"/>
      <c r="BD22" s="410"/>
      <c r="BE22" s="410"/>
      <c r="BF22" s="410"/>
      <c r="BG22" s="410"/>
      <c r="BH22" s="410" t="s">
        <v>650</v>
      </c>
      <c r="BI22" s="410"/>
      <c r="BJ22" s="410"/>
      <c r="BK22" s="410"/>
      <c r="BL22" s="632"/>
      <c r="BM22" s="410" t="s">
        <v>703</v>
      </c>
      <c r="BN22" s="410"/>
      <c r="BO22" s="410"/>
      <c r="BP22" s="410"/>
      <c r="BQ22" s="410"/>
      <c r="BR22" s="410"/>
      <c r="BS22" s="410"/>
      <c r="BT22" s="410"/>
      <c r="BU22" s="410"/>
      <c r="BV22" s="410"/>
      <c r="BW22" s="656"/>
      <c r="BX22" s="437">
        <v>474250</v>
      </c>
      <c r="BY22" s="438">
        <v>19419.82</v>
      </c>
      <c r="BZ22" s="842">
        <v>474069</v>
      </c>
      <c r="CA22" s="843">
        <v>11647.56</v>
      </c>
      <c r="CB22" s="433"/>
      <c r="CC22" s="434"/>
      <c r="CD22" s="433"/>
      <c r="CE22" s="633"/>
      <c r="CF22" s="435"/>
      <c r="CG22" s="436"/>
      <c r="CH22" s="454"/>
      <c r="CI22" s="657"/>
      <c r="CJ22" s="846">
        <v>474250</v>
      </c>
      <c r="CK22" s="861">
        <v>11097.76</v>
      </c>
      <c r="CL22" s="457">
        <v>474250</v>
      </c>
      <c r="CM22" s="450">
        <f>BY22+CE22+CI22+CK22+CG22+CA22+CC22</f>
        <v>42165.14</v>
      </c>
      <c r="CN22" s="658"/>
      <c r="CO22" s="658"/>
      <c r="CQ22" s="433"/>
      <c r="CR22" s="633"/>
      <c r="CS22" s="433"/>
      <c r="CT22" s="633"/>
      <c r="CU22" s="439"/>
      <c r="CV22" s="534"/>
      <c r="CW22" s="457"/>
      <c r="CX22" s="450"/>
    </row>
    <row r="23" spans="1:102" s="158" customFormat="1">
      <c r="A23" s="409">
        <v>226</v>
      </c>
      <c r="B23" s="409">
        <v>250</v>
      </c>
      <c r="C23" s="409" t="s">
        <v>648</v>
      </c>
      <c r="D23" s="409">
        <v>3</v>
      </c>
      <c r="E23" s="409"/>
      <c r="F23" s="409"/>
      <c r="G23" s="409"/>
      <c r="H23" s="409" t="s">
        <v>650</v>
      </c>
      <c r="I23" s="409"/>
      <c r="J23" s="409"/>
      <c r="K23" s="409"/>
      <c r="L23" s="409"/>
      <c r="M23" s="409"/>
      <c r="N23" s="409"/>
      <c r="O23" s="409"/>
      <c r="P23" s="409"/>
      <c r="Q23" s="409"/>
      <c r="R23" s="409" t="s">
        <v>650</v>
      </c>
      <c r="S23" s="409"/>
      <c r="T23" s="409"/>
      <c r="U23" s="409"/>
      <c r="V23" s="409"/>
      <c r="W23" s="409" t="s">
        <v>650</v>
      </c>
      <c r="X23" s="409"/>
      <c r="Y23" s="409"/>
      <c r="Z23" s="409"/>
      <c r="AA23" s="409"/>
      <c r="AB23" s="409"/>
      <c r="AC23" s="409"/>
      <c r="AD23" s="409"/>
      <c r="AE23" s="409"/>
      <c r="AF23" s="409"/>
      <c r="AG23" s="409"/>
      <c r="AH23" s="409"/>
      <c r="AI23" s="409" t="s">
        <v>650</v>
      </c>
      <c r="AJ23" s="409"/>
      <c r="AK23" s="409"/>
      <c r="AL23" s="409"/>
      <c r="AM23" s="409"/>
      <c r="AN23" s="409" t="s">
        <v>650</v>
      </c>
      <c r="AO23" s="409" t="s">
        <v>650</v>
      </c>
      <c r="AP23" s="409"/>
      <c r="AQ23" s="409"/>
      <c r="AR23" s="409"/>
      <c r="AS23" s="409"/>
      <c r="AT23" s="409"/>
      <c r="AU23" s="409"/>
      <c r="AV23" s="409"/>
      <c r="AW23" s="409"/>
      <c r="AX23" s="409"/>
      <c r="AY23" s="409"/>
      <c r="AZ23" s="409"/>
      <c r="BA23" s="409"/>
      <c r="BB23" s="409"/>
      <c r="BC23" s="409"/>
      <c r="BD23" s="409"/>
      <c r="BE23" s="409"/>
      <c r="BF23" s="409" t="s">
        <v>650</v>
      </c>
      <c r="BG23" s="409"/>
      <c r="BH23" s="409"/>
      <c r="BI23" s="409"/>
      <c r="BJ23" s="409" t="s">
        <v>650</v>
      </c>
      <c r="BK23" s="409"/>
      <c r="BL23" s="632"/>
      <c r="BM23" s="409" t="s">
        <v>704</v>
      </c>
      <c r="BN23" s="409"/>
      <c r="BO23" s="409"/>
      <c r="BP23" s="409"/>
      <c r="BQ23" s="7"/>
      <c r="BR23" s="7"/>
      <c r="BS23" s="409"/>
      <c r="BT23" s="409"/>
      <c r="BU23" s="409"/>
      <c r="BV23" s="409"/>
      <c r="BW23" s="557"/>
      <c r="BX23" s="437">
        <v>419690</v>
      </c>
      <c r="BY23" s="438">
        <v>15951.68</v>
      </c>
      <c r="BZ23" s="842">
        <v>419586</v>
      </c>
      <c r="CA23" s="843">
        <v>8255.58</v>
      </c>
      <c r="CB23" s="842">
        <v>419624</v>
      </c>
      <c r="CC23" s="843">
        <v>7100.83</v>
      </c>
      <c r="CD23" s="187"/>
      <c r="CE23" s="265"/>
      <c r="CF23" s="269"/>
      <c r="CG23" s="301"/>
      <c r="CH23" s="282"/>
      <c r="CI23" s="290"/>
      <c r="CJ23" s="846">
        <v>419690</v>
      </c>
      <c r="CK23" s="861">
        <v>10176.629999999999</v>
      </c>
      <c r="CL23" s="457"/>
      <c r="CM23" s="450">
        <f>BY23+CE23+CI23+CK23+CG23+CA23+CC23+CO23</f>
        <v>41484.720000000001</v>
      </c>
      <c r="CN23" s="658"/>
      <c r="CO23" s="658"/>
      <c r="CQ23" s="433"/>
      <c r="CR23" s="633"/>
      <c r="CS23" s="433"/>
      <c r="CT23" s="633"/>
      <c r="CU23" s="439"/>
      <c r="CV23" s="534"/>
      <c r="CW23" s="457"/>
      <c r="CX23" s="450"/>
    </row>
    <row r="24" spans="1:102" s="158" customFormat="1">
      <c r="A24" s="410">
        <v>227</v>
      </c>
      <c r="B24" s="410">
        <v>591</v>
      </c>
      <c r="C24" s="410" t="s">
        <v>647</v>
      </c>
      <c r="D24" s="410">
        <v>2</v>
      </c>
      <c r="E24" s="410"/>
      <c r="F24" s="410"/>
      <c r="G24" s="410"/>
      <c r="H24" s="410"/>
      <c r="I24" s="410" t="s">
        <v>115</v>
      </c>
      <c r="J24" s="410"/>
      <c r="K24" s="410"/>
      <c r="L24" s="410"/>
      <c r="M24" s="410"/>
      <c r="N24" s="410"/>
      <c r="O24" s="410"/>
      <c r="P24" s="410"/>
      <c r="Q24" s="410"/>
      <c r="R24" s="410"/>
      <c r="S24" s="410"/>
      <c r="T24" s="410"/>
      <c r="U24" s="410"/>
      <c r="V24" s="410"/>
      <c r="W24" s="410"/>
      <c r="X24" s="410"/>
      <c r="Y24" s="410"/>
      <c r="Z24" s="410"/>
      <c r="AA24" s="410"/>
      <c r="AB24" s="410"/>
      <c r="AC24" s="410"/>
      <c r="AD24" s="410"/>
      <c r="AE24" s="410"/>
      <c r="AF24" s="410"/>
      <c r="AG24" s="410"/>
      <c r="AH24" s="410" t="s">
        <v>650</v>
      </c>
      <c r="AI24" s="410"/>
      <c r="AJ24" s="410"/>
      <c r="AK24" s="410" t="s">
        <v>650</v>
      </c>
      <c r="AL24" s="410"/>
      <c r="AM24" s="410"/>
      <c r="AN24" s="410"/>
      <c r="AO24" s="410"/>
      <c r="AP24" s="410"/>
      <c r="AQ24" s="410"/>
      <c r="AR24" s="410"/>
      <c r="AS24" s="410"/>
      <c r="AT24" s="410" t="s">
        <v>650</v>
      </c>
      <c r="AU24" s="410"/>
      <c r="AV24" s="410"/>
      <c r="AW24" s="410"/>
      <c r="AX24" s="410"/>
      <c r="AY24" s="410"/>
      <c r="AZ24" s="410"/>
      <c r="BA24" s="410"/>
      <c r="BB24" s="410"/>
      <c r="BC24" s="410"/>
      <c r="BD24" s="410"/>
      <c r="BE24" s="410"/>
      <c r="BF24" s="410"/>
      <c r="BG24" s="410"/>
      <c r="BH24" s="410" t="s">
        <v>650</v>
      </c>
      <c r="BI24" s="410"/>
      <c r="BJ24" s="410"/>
      <c r="BK24" s="410"/>
      <c r="BL24" s="632"/>
      <c r="BM24" s="410" t="s">
        <v>705</v>
      </c>
      <c r="BN24" s="410"/>
      <c r="BO24" s="410"/>
      <c r="BP24" s="410"/>
      <c r="BQ24" s="410"/>
      <c r="BR24" s="410"/>
      <c r="BS24" s="410"/>
      <c r="BT24" s="410"/>
      <c r="BU24" s="410"/>
      <c r="BV24" s="410"/>
      <c r="BW24" s="656"/>
      <c r="BX24" s="437">
        <v>138867</v>
      </c>
      <c r="BY24" s="438">
        <v>20684.669999999998</v>
      </c>
      <c r="BZ24" s="842">
        <v>138641</v>
      </c>
      <c r="CA24" s="843">
        <v>12604.32</v>
      </c>
      <c r="CB24" s="433"/>
      <c r="CC24" s="434"/>
      <c r="CD24" s="433"/>
      <c r="CE24" s="633"/>
      <c r="CF24" s="435"/>
      <c r="CG24" s="436"/>
      <c r="CH24" s="454"/>
      <c r="CI24" s="657"/>
      <c r="CJ24" s="846">
        <v>138867</v>
      </c>
      <c r="CK24" s="861">
        <v>11284.73</v>
      </c>
      <c r="CL24" s="457"/>
      <c r="CM24" s="450">
        <f>BY24+CE24+CI24+CK24+CA24</f>
        <v>44573.72</v>
      </c>
      <c r="CN24" s="658"/>
      <c r="CO24" s="658"/>
      <c r="CQ24" s="433"/>
      <c r="CR24" s="633"/>
      <c r="CS24" s="433"/>
      <c r="CT24" s="633"/>
      <c r="CU24" s="439"/>
      <c r="CV24" s="599"/>
      <c r="CW24" s="457"/>
      <c r="CX24" s="450"/>
    </row>
    <row r="25" spans="1:102" s="158" customFormat="1">
      <c r="A25" s="409">
        <v>228</v>
      </c>
      <c r="B25" s="409">
        <v>698</v>
      </c>
      <c r="C25" s="409" t="s">
        <v>649</v>
      </c>
      <c r="D25" s="409">
        <v>3</v>
      </c>
      <c r="E25" s="409"/>
      <c r="F25" s="409"/>
      <c r="G25" s="409"/>
      <c r="H25" s="409"/>
      <c r="I25" s="409" t="s">
        <v>115</v>
      </c>
      <c r="J25" s="409"/>
      <c r="K25" s="409"/>
      <c r="L25" s="409"/>
      <c r="M25" s="409"/>
      <c r="N25" s="409"/>
      <c r="O25" s="409"/>
      <c r="P25" s="409"/>
      <c r="Q25" s="409"/>
      <c r="R25" s="409"/>
      <c r="S25" s="409"/>
      <c r="T25" s="409"/>
      <c r="U25" s="409"/>
      <c r="V25" s="409"/>
      <c r="W25" s="409"/>
      <c r="X25" s="409"/>
      <c r="Y25" s="409"/>
      <c r="Z25" s="409"/>
      <c r="AA25" s="409"/>
      <c r="AB25" s="409" t="s">
        <v>650</v>
      </c>
      <c r="AC25" s="409"/>
      <c r="AD25" s="409"/>
      <c r="AE25" s="409"/>
      <c r="AF25" s="409"/>
      <c r="AG25" s="409"/>
      <c r="AH25" s="409" t="s">
        <v>650</v>
      </c>
      <c r="AI25" s="409"/>
      <c r="AJ25" s="409"/>
      <c r="AK25" s="409" t="s">
        <v>650</v>
      </c>
      <c r="AL25" s="409"/>
      <c r="AM25" s="409" t="s">
        <v>650</v>
      </c>
      <c r="AN25" s="409"/>
      <c r="AO25" s="409"/>
      <c r="AP25" s="409"/>
      <c r="AQ25" s="409"/>
      <c r="AR25" s="409"/>
      <c r="AS25" s="409"/>
      <c r="AT25" s="409" t="s">
        <v>650</v>
      </c>
      <c r="AU25" s="409"/>
      <c r="AV25" s="409"/>
      <c r="AW25" s="409"/>
      <c r="AX25" s="409"/>
      <c r="AY25" s="409"/>
      <c r="AZ25" s="409"/>
      <c r="BA25" s="409"/>
      <c r="BB25" s="409"/>
      <c r="BC25" s="409"/>
      <c r="BD25" s="409"/>
      <c r="BE25" s="409"/>
      <c r="BF25" s="409"/>
      <c r="BG25" s="409"/>
      <c r="BH25" s="409" t="s">
        <v>650</v>
      </c>
      <c r="BI25" s="409"/>
      <c r="BJ25" s="409"/>
      <c r="BK25" s="409"/>
      <c r="BL25" s="632"/>
      <c r="BM25" s="409" t="s">
        <v>706</v>
      </c>
      <c r="BN25" s="409"/>
      <c r="BO25" s="409"/>
      <c r="BP25" s="409"/>
      <c r="BQ25" s="409"/>
      <c r="BR25" s="409"/>
      <c r="BS25" s="409"/>
      <c r="BT25" s="409"/>
      <c r="BU25" s="409"/>
      <c r="BV25" s="409"/>
      <c r="BW25" s="557"/>
      <c r="BX25" s="437">
        <v>138882</v>
      </c>
      <c r="BY25" s="438">
        <v>18748.93</v>
      </c>
      <c r="BZ25" s="842">
        <v>138729</v>
      </c>
      <c r="CA25" s="843">
        <v>11682.76</v>
      </c>
      <c r="CB25" s="433">
        <v>900121</v>
      </c>
      <c r="CC25" s="434">
        <v>-105.3</v>
      </c>
      <c r="CD25" s="433"/>
      <c r="CE25" s="633"/>
      <c r="CF25" s="435"/>
      <c r="CG25" s="436"/>
      <c r="CH25" s="454"/>
      <c r="CI25" s="657"/>
      <c r="CJ25" s="853">
        <v>138882</v>
      </c>
      <c r="CK25" s="851">
        <v>11103.66</v>
      </c>
      <c r="CL25" s="457"/>
      <c r="CM25" s="450">
        <f>BY25+CE25+CI25+CK25+CA25+CC25</f>
        <v>41430.049999999996</v>
      </c>
      <c r="CN25" s="658"/>
      <c r="CO25" s="658"/>
      <c r="CQ25" s="433"/>
      <c r="CR25" s="633"/>
      <c r="CS25" s="433"/>
      <c r="CT25" s="633"/>
      <c r="CU25" s="439"/>
      <c r="CV25" s="599"/>
      <c r="CW25" s="457"/>
      <c r="CX25" s="450"/>
    </row>
    <row r="26" spans="1:102" s="158" customFormat="1">
      <c r="A26" s="410">
        <v>229</v>
      </c>
      <c r="B26" s="410">
        <v>591</v>
      </c>
      <c r="C26" s="410" t="s">
        <v>648</v>
      </c>
      <c r="D26" s="410">
        <v>2</v>
      </c>
      <c r="E26" s="410"/>
      <c r="F26" s="410"/>
      <c r="G26" s="410"/>
      <c r="H26" s="410"/>
      <c r="I26" s="410" t="s">
        <v>115</v>
      </c>
      <c r="J26" s="410"/>
      <c r="K26" s="410"/>
      <c r="L26" s="410"/>
      <c r="M26" s="410"/>
      <c r="N26" s="410"/>
      <c r="O26" s="410"/>
      <c r="P26" s="410"/>
      <c r="Q26" s="410"/>
      <c r="R26" s="410"/>
      <c r="S26" s="410"/>
      <c r="T26" s="410"/>
      <c r="U26" s="410"/>
      <c r="V26" s="410"/>
      <c r="W26" s="410"/>
      <c r="X26" s="410"/>
      <c r="Y26" s="410"/>
      <c r="Z26" s="410"/>
      <c r="AA26" s="410"/>
      <c r="AB26" s="410"/>
      <c r="AC26" s="410"/>
      <c r="AD26" s="410"/>
      <c r="AE26" s="410"/>
      <c r="AF26" s="410"/>
      <c r="AG26" s="410" t="s">
        <v>650</v>
      </c>
      <c r="AH26" s="410"/>
      <c r="AI26" s="410"/>
      <c r="AJ26" s="410"/>
      <c r="AK26" s="410" t="s">
        <v>650</v>
      </c>
      <c r="AL26" s="410"/>
      <c r="AM26" s="410"/>
      <c r="AN26" s="410"/>
      <c r="AO26" s="410"/>
      <c r="AP26" s="410"/>
      <c r="AQ26" s="410"/>
      <c r="AR26" s="410"/>
      <c r="AS26" s="410"/>
      <c r="AT26" s="410" t="s">
        <v>650</v>
      </c>
      <c r="AU26" s="410"/>
      <c r="AV26" s="410"/>
      <c r="AW26" s="410"/>
      <c r="AX26" s="410"/>
      <c r="AY26" s="410"/>
      <c r="AZ26" s="410"/>
      <c r="BA26" s="410"/>
      <c r="BB26" s="410"/>
      <c r="BC26" s="410"/>
      <c r="BD26" s="410"/>
      <c r="BE26" s="410"/>
      <c r="BF26" s="410"/>
      <c r="BG26" s="410"/>
      <c r="BH26" s="410" t="s">
        <v>650</v>
      </c>
      <c r="BI26" s="410"/>
      <c r="BJ26" s="410"/>
      <c r="BK26" s="410"/>
      <c r="BL26" s="632"/>
      <c r="BM26" s="410" t="s">
        <v>707</v>
      </c>
      <c r="BN26" s="410"/>
      <c r="BO26" s="410"/>
      <c r="BP26" s="410"/>
      <c r="BQ26" s="410"/>
      <c r="BR26" s="410"/>
      <c r="BS26" s="410"/>
      <c r="BT26" s="410"/>
      <c r="BU26" s="410"/>
      <c r="BV26" s="410"/>
      <c r="BW26" s="656"/>
      <c r="BX26" s="437">
        <v>138897</v>
      </c>
      <c r="BY26" s="438">
        <v>20684.669999999998</v>
      </c>
      <c r="BZ26" s="842">
        <v>138823</v>
      </c>
      <c r="CA26" s="843">
        <v>13349.91</v>
      </c>
      <c r="CB26" s="433"/>
      <c r="CC26" s="434"/>
      <c r="CD26" s="433"/>
      <c r="CE26" s="633"/>
      <c r="CF26" s="435"/>
      <c r="CG26" s="436"/>
      <c r="CH26" s="454"/>
      <c r="CI26" s="657"/>
      <c r="CJ26" s="853">
        <v>138897</v>
      </c>
      <c r="CK26" s="859">
        <v>11284.73</v>
      </c>
      <c r="CL26" s="457"/>
      <c r="CM26" s="450">
        <f>BY26+CE26+CI26+CK26+CA26</f>
        <v>45319.31</v>
      </c>
      <c r="CN26" s="658"/>
      <c r="CO26" s="658"/>
      <c r="CQ26" s="433"/>
      <c r="CR26" s="633"/>
      <c r="CS26" s="433"/>
      <c r="CT26" s="633"/>
      <c r="CU26" s="439"/>
      <c r="CV26" s="599"/>
      <c r="CW26" s="457"/>
      <c r="CX26" s="450"/>
    </row>
    <row r="27" spans="1:102" s="158" customFormat="1">
      <c r="A27" s="409">
        <v>230</v>
      </c>
      <c r="B27" s="409">
        <v>250</v>
      </c>
      <c r="C27" s="409" t="s">
        <v>648</v>
      </c>
      <c r="D27" s="409">
        <v>2</v>
      </c>
      <c r="E27" s="632"/>
      <c r="F27" s="409"/>
      <c r="G27" s="409"/>
      <c r="H27" s="409"/>
      <c r="I27" s="409" t="s">
        <v>115</v>
      </c>
      <c r="J27" s="632"/>
      <c r="K27" s="632"/>
      <c r="L27" s="632"/>
      <c r="M27" s="409" t="s">
        <v>650</v>
      </c>
      <c r="N27" s="632"/>
      <c r="O27" s="632"/>
      <c r="P27" s="632"/>
      <c r="Q27" s="632"/>
      <c r="R27" s="409"/>
      <c r="S27" s="409" t="s">
        <v>650</v>
      </c>
      <c r="T27" s="632"/>
      <c r="U27" s="632"/>
      <c r="V27" s="632"/>
      <c r="W27" s="409"/>
      <c r="X27" s="632"/>
      <c r="Y27" s="632"/>
      <c r="Z27" s="632"/>
      <c r="AA27" s="409"/>
      <c r="AB27" s="409"/>
      <c r="AC27" s="632"/>
      <c r="AD27" s="409"/>
      <c r="AE27" s="409" t="s">
        <v>650</v>
      </c>
      <c r="AF27" s="409" t="s">
        <v>650</v>
      </c>
      <c r="AG27" s="409"/>
      <c r="AH27" s="409" t="s">
        <v>650</v>
      </c>
      <c r="AI27" s="409"/>
      <c r="AJ27" s="409"/>
      <c r="AK27" s="409"/>
      <c r="AL27" s="409"/>
      <c r="AM27" s="632"/>
      <c r="AN27" s="409" t="s">
        <v>650</v>
      </c>
      <c r="AO27" s="409"/>
      <c r="AP27" s="632"/>
      <c r="AQ27" s="409" t="s">
        <v>650</v>
      </c>
      <c r="AR27" s="632"/>
      <c r="AS27" s="409"/>
      <c r="AT27" s="409" t="s">
        <v>650</v>
      </c>
      <c r="AU27" s="409"/>
      <c r="AV27" s="409"/>
      <c r="AW27" s="632"/>
      <c r="AX27" s="632"/>
      <c r="AY27" s="632"/>
      <c r="AZ27" s="409"/>
      <c r="BA27" s="409"/>
      <c r="BB27" s="409"/>
      <c r="BC27" s="632"/>
      <c r="BD27" s="409"/>
      <c r="BE27" s="409"/>
      <c r="BF27" s="409" t="s">
        <v>650</v>
      </c>
      <c r="BG27" s="632"/>
      <c r="BH27" s="632"/>
      <c r="BI27" s="632"/>
      <c r="BJ27" s="409" t="s">
        <v>650</v>
      </c>
      <c r="BK27" s="632"/>
      <c r="BL27" s="632"/>
      <c r="BM27" s="409" t="s">
        <v>708</v>
      </c>
      <c r="BN27" s="409"/>
      <c r="BO27" s="409"/>
      <c r="BP27" s="409"/>
      <c r="BQ27" s="409"/>
      <c r="BR27" s="409"/>
      <c r="BS27" s="409"/>
      <c r="BT27" s="409"/>
      <c r="BU27" s="409"/>
      <c r="BV27" s="409"/>
      <c r="BW27" s="557"/>
      <c r="BX27" s="437">
        <v>98213168</v>
      </c>
      <c r="BY27" s="659">
        <v>16355.47</v>
      </c>
      <c r="BZ27" s="433">
        <v>96457657</v>
      </c>
      <c r="CA27" s="434">
        <v>2573</v>
      </c>
      <c r="CB27" s="433"/>
      <c r="CC27" s="434"/>
      <c r="CD27" s="433"/>
      <c r="CE27" s="633"/>
      <c r="CF27" s="435">
        <v>98212640</v>
      </c>
      <c r="CG27" s="436">
        <v>450</v>
      </c>
      <c r="CH27" s="454">
        <v>98212680</v>
      </c>
      <c r="CI27" s="660">
        <v>118.45</v>
      </c>
      <c r="CJ27" s="439">
        <v>98213168</v>
      </c>
      <c r="CK27" s="534">
        <v>9958.5300000000007</v>
      </c>
      <c r="CL27" s="457">
        <v>98213168</v>
      </c>
      <c r="CM27" s="450">
        <f>CI27+CG27+CA27+BY27+CK27+CE27</f>
        <v>29455.449999999997</v>
      </c>
      <c r="CN27" s="658"/>
      <c r="CO27" s="658"/>
      <c r="CQ27" s="433">
        <v>98212671</v>
      </c>
      <c r="CR27" s="434">
        <v>18089.650000000001</v>
      </c>
      <c r="CS27" s="433">
        <v>99053591</v>
      </c>
      <c r="CT27" s="633">
        <v>-6.75</v>
      </c>
      <c r="CU27" s="439"/>
      <c r="CV27" s="492"/>
      <c r="CW27" s="457" t="s">
        <v>709</v>
      </c>
      <c r="CX27" s="450">
        <f>CV27+CT27+CR27</f>
        <v>18082.900000000001</v>
      </c>
    </row>
    <row r="28" spans="1:102" s="158" customFormat="1">
      <c r="A28" s="410">
        <v>231</v>
      </c>
      <c r="B28" s="410">
        <v>913</v>
      </c>
      <c r="C28" s="410" t="s">
        <v>647</v>
      </c>
      <c r="D28" s="410">
        <v>3</v>
      </c>
      <c r="E28" s="632"/>
      <c r="F28" s="410">
        <v>1</v>
      </c>
      <c r="G28" s="632"/>
      <c r="H28" s="632"/>
      <c r="I28" s="410"/>
      <c r="J28" s="410"/>
      <c r="K28" s="632"/>
      <c r="L28" s="632"/>
      <c r="M28" s="632"/>
      <c r="N28" s="410"/>
      <c r="O28" s="410"/>
      <c r="P28" s="410"/>
      <c r="Q28" s="632"/>
      <c r="R28" s="410"/>
      <c r="S28" s="410" t="s">
        <v>650</v>
      </c>
      <c r="T28" s="632"/>
      <c r="U28" s="632"/>
      <c r="V28" s="632"/>
      <c r="W28" s="632"/>
      <c r="X28" s="632"/>
      <c r="Y28" s="632"/>
      <c r="Z28" s="528" t="s">
        <v>650</v>
      </c>
      <c r="AA28" s="632"/>
      <c r="AB28" s="632"/>
      <c r="AC28" s="632"/>
      <c r="AD28" s="632"/>
      <c r="AE28" s="632"/>
      <c r="AF28" s="632"/>
      <c r="AG28" s="632"/>
      <c r="AH28" s="632"/>
      <c r="AI28" s="632"/>
      <c r="AJ28" s="632"/>
      <c r="AK28" s="632"/>
      <c r="AL28" s="632"/>
      <c r="AM28" s="632"/>
      <c r="AN28" s="632"/>
      <c r="AO28" s="632"/>
      <c r="AP28" s="632"/>
      <c r="AQ28" s="632"/>
      <c r="AR28" s="632"/>
      <c r="AS28" s="632"/>
      <c r="AT28" s="632"/>
      <c r="AU28" s="632"/>
      <c r="AV28" s="632"/>
      <c r="AW28" s="632"/>
      <c r="AX28" s="632"/>
      <c r="AY28" s="632"/>
      <c r="AZ28" s="632"/>
      <c r="BA28" s="632"/>
      <c r="BB28" s="632"/>
      <c r="BC28" s="632"/>
      <c r="BD28" s="410"/>
      <c r="BE28" s="632"/>
      <c r="BF28" s="528" t="s">
        <v>650</v>
      </c>
      <c r="BG28" s="528" t="s">
        <v>650</v>
      </c>
      <c r="BH28" s="528" t="s">
        <v>650</v>
      </c>
      <c r="BI28" s="632"/>
      <c r="BJ28" s="632"/>
      <c r="BK28" s="632"/>
      <c r="BL28" s="632"/>
      <c r="BM28" s="410" t="s">
        <v>710</v>
      </c>
      <c r="BN28" s="410"/>
      <c r="BO28" s="410"/>
      <c r="BP28" s="410"/>
      <c r="BQ28" s="410"/>
      <c r="BR28" s="410"/>
      <c r="BS28" s="410"/>
      <c r="BT28" s="410"/>
      <c r="BU28" s="410"/>
      <c r="BV28" s="410"/>
      <c r="BW28" s="656" t="s">
        <v>711</v>
      </c>
      <c r="BX28" s="437">
        <v>97126568</v>
      </c>
      <c r="BY28" s="438">
        <v>16349.32</v>
      </c>
      <c r="BZ28" s="433">
        <v>97126485</v>
      </c>
      <c r="CA28" s="434">
        <v>2945.12</v>
      </c>
      <c r="CB28" s="433">
        <v>97126485</v>
      </c>
      <c r="CC28" s="434">
        <v>2945.12</v>
      </c>
      <c r="CD28" s="433"/>
      <c r="CE28" s="434"/>
      <c r="CF28" s="435">
        <v>97126458</v>
      </c>
      <c r="CG28" s="436">
        <v>450</v>
      </c>
      <c r="CH28" s="454">
        <v>97126498</v>
      </c>
      <c r="CI28" s="455">
        <v>118.45</v>
      </c>
      <c r="CJ28" s="439">
        <v>97126568</v>
      </c>
      <c r="CK28" s="440">
        <v>9718.49</v>
      </c>
      <c r="CL28" s="457">
        <v>971265681</v>
      </c>
      <c r="CM28" s="450">
        <f>BY28+CE28+CI28+CK28+CG28+CA28+CC28</f>
        <v>32526.5</v>
      </c>
      <c r="CN28" s="658"/>
      <c r="CO28" s="658"/>
      <c r="CQ28" s="433"/>
      <c r="CR28" s="434"/>
      <c r="CS28" s="433"/>
      <c r="CT28" s="434"/>
      <c r="CU28" s="439"/>
      <c r="CV28" s="440"/>
      <c r="CW28" s="457"/>
      <c r="CX28" s="450"/>
    </row>
    <row r="29" spans="1:102">
      <c r="A29" s="7">
        <v>232</v>
      </c>
      <c r="B29" s="7">
        <v>921</v>
      </c>
      <c r="C29" s="7" t="s">
        <v>649</v>
      </c>
      <c r="D29" s="7">
        <v>3</v>
      </c>
      <c r="E29" s="7"/>
      <c r="F29" s="13"/>
      <c r="G29" s="7" t="s">
        <v>650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7"/>
      <c r="T29" s="13"/>
      <c r="U29" s="13"/>
      <c r="V29" s="13"/>
      <c r="W29" s="13"/>
      <c r="X29" s="7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7"/>
      <c r="BE29" s="13"/>
      <c r="BF29" s="7" t="s">
        <v>650</v>
      </c>
      <c r="BG29" s="13"/>
      <c r="BH29" s="13"/>
      <c r="BI29" s="13"/>
      <c r="BJ29" s="13"/>
      <c r="BK29" s="13"/>
      <c r="BL29" s="13"/>
      <c r="BM29" s="7" t="s">
        <v>712</v>
      </c>
      <c r="BN29" s="7"/>
      <c r="BO29" s="7"/>
      <c r="BP29" s="7"/>
      <c r="BQ29" s="7"/>
      <c r="BR29" s="7"/>
      <c r="BS29" s="7"/>
      <c r="BT29" s="7"/>
      <c r="BU29" s="7"/>
      <c r="BV29" s="7"/>
      <c r="BW29" s="103"/>
      <c r="BX29" s="437">
        <v>97788377</v>
      </c>
      <c r="BY29" s="438">
        <v>15972.7</v>
      </c>
      <c r="BZ29" s="433">
        <v>97788350</v>
      </c>
      <c r="CA29" s="434">
        <v>2377.06</v>
      </c>
      <c r="CB29" s="187"/>
      <c r="CC29" s="188"/>
      <c r="CD29" s="187"/>
      <c r="CE29" s="188"/>
      <c r="CF29" s="435">
        <v>97788317</v>
      </c>
      <c r="CG29" s="436">
        <v>450</v>
      </c>
      <c r="CH29" s="454">
        <v>97788361</v>
      </c>
      <c r="CI29" s="455">
        <v>118.45</v>
      </c>
      <c r="CJ29" s="439"/>
      <c r="CK29" s="440"/>
      <c r="CL29" s="457">
        <v>97788377</v>
      </c>
      <c r="CM29" s="450">
        <f>BY29+CE29+CI29+CG29+CA29+CC29+CK29</f>
        <v>18918.210000000003</v>
      </c>
      <c r="CQ29" s="187"/>
      <c r="CR29" s="188"/>
      <c r="CS29" s="187"/>
      <c r="CT29" s="188"/>
      <c r="CU29" s="439">
        <v>97788377</v>
      </c>
      <c r="CV29" s="440">
        <v>7331.84</v>
      </c>
      <c r="CW29" s="457" t="s">
        <v>713</v>
      </c>
      <c r="CX29" s="450">
        <v>7331.84</v>
      </c>
    </row>
    <row r="30" spans="1:102" s="158" customFormat="1">
      <c r="A30" s="410">
        <v>233</v>
      </c>
      <c r="B30" s="410">
        <v>913</v>
      </c>
      <c r="C30" s="410" t="s">
        <v>647</v>
      </c>
      <c r="D30" s="410">
        <v>2</v>
      </c>
      <c r="E30" s="632"/>
      <c r="F30" s="410">
        <v>2</v>
      </c>
      <c r="G30" s="632"/>
      <c r="H30" s="632"/>
      <c r="I30" s="410"/>
      <c r="J30" s="410"/>
      <c r="K30" s="632"/>
      <c r="L30" s="632"/>
      <c r="M30" s="632"/>
      <c r="N30" s="410"/>
      <c r="O30" s="410"/>
      <c r="P30" s="410"/>
      <c r="Q30" s="632"/>
      <c r="R30" s="410"/>
      <c r="S30" s="410"/>
      <c r="T30" s="632"/>
      <c r="U30" s="632"/>
      <c r="V30" s="632"/>
      <c r="W30" s="632"/>
      <c r="X30" s="632"/>
      <c r="Y30" s="632"/>
      <c r="Z30" s="410" t="s">
        <v>650</v>
      </c>
      <c r="AA30" s="632"/>
      <c r="AB30" s="632"/>
      <c r="AC30" s="632"/>
      <c r="AD30" s="632"/>
      <c r="AE30" s="632"/>
      <c r="AF30" s="632"/>
      <c r="AG30" s="632"/>
      <c r="AH30" s="632"/>
      <c r="AI30" s="632"/>
      <c r="AJ30" s="632"/>
      <c r="AK30" s="632"/>
      <c r="AL30" s="632"/>
      <c r="AM30" s="632"/>
      <c r="AN30" s="632"/>
      <c r="AO30" s="632"/>
      <c r="AP30" s="632"/>
      <c r="AQ30" s="632"/>
      <c r="AR30" s="632"/>
      <c r="AS30" s="632"/>
      <c r="AT30" s="632"/>
      <c r="AU30" s="632"/>
      <c r="AV30" s="632"/>
      <c r="AW30" s="632"/>
      <c r="AX30" s="632"/>
      <c r="AY30" s="632"/>
      <c r="AZ30" s="632"/>
      <c r="BA30" s="632"/>
      <c r="BB30" s="632"/>
      <c r="BC30" s="632"/>
      <c r="BD30" s="410"/>
      <c r="BE30" s="632"/>
      <c r="BF30" s="410" t="s">
        <v>650</v>
      </c>
      <c r="BG30" s="410" t="s">
        <v>650</v>
      </c>
      <c r="BH30" s="410" t="s">
        <v>650</v>
      </c>
      <c r="BI30" s="632"/>
      <c r="BJ30" s="632"/>
      <c r="BK30" s="632"/>
      <c r="BL30" s="632"/>
      <c r="BM30" s="410" t="s">
        <v>714</v>
      </c>
      <c r="BN30" s="410"/>
      <c r="BO30" s="410"/>
      <c r="BP30" s="410"/>
      <c r="BQ30" s="410"/>
      <c r="BR30" s="410"/>
      <c r="BS30" s="410"/>
      <c r="BT30" s="410"/>
      <c r="BU30" s="410"/>
      <c r="BV30" s="410"/>
      <c r="BW30" s="656"/>
      <c r="BX30" s="437">
        <v>99025816</v>
      </c>
      <c r="BY30" s="438">
        <v>16660.900000000001</v>
      </c>
      <c r="BZ30" s="433">
        <v>99024718</v>
      </c>
      <c r="CA30" s="434">
        <v>2268.75</v>
      </c>
      <c r="CB30" s="433"/>
      <c r="CC30" s="434"/>
      <c r="CD30" s="433"/>
      <c r="CE30" s="633"/>
      <c r="CF30" s="435">
        <v>99024659</v>
      </c>
      <c r="CG30" s="436">
        <v>450</v>
      </c>
      <c r="CH30" s="454"/>
      <c r="CI30" s="657"/>
      <c r="CJ30" s="439"/>
      <c r="CK30" s="440"/>
      <c r="CL30" s="457">
        <v>99025816</v>
      </c>
      <c r="CM30" s="450">
        <f>BY30+CA30+CC30+CE30+CI30+CK30+CG30</f>
        <v>19379.650000000001</v>
      </c>
      <c r="CN30" s="658"/>
      <c r="CO30" s="658"/>
      <c r="CQ30" s="433"/>
      <c r="CR30" s="633"/>
      <c r="CS30" s="433"/>
      <c r="CT30" s="633"/>
      <c r="CU30" s="439">
        <v>99025816</v>
      </c>
      <c r="CV30" s="534">
        <v>9300.75</v>
      </c>
      <c r="CW30" s="457">
        <v>99025816</v>
      </c>
      <c r="CX30" s="450">
        <f>CV30+CR30</f>
        <v>9300.75</v>
      </c>
    </row>
    <row r="31" spans="1:102">
      <c r="A31" s="409">
        <v>234</v>
      </c>
      <c r="B31" s="7">
        <v>654</v>
      </c>
      <c r="C31" s="7" t="s">
        <v>649</v>
      </c>
      <c r="D31" s="7">
        <v>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409" t="s">
        <v>650</v>
      </c>
      <c r="T31" s="7"/>
      <c r="U31" s="7"/>
      <c r="V31" s="7"/>
      <c r="W31" s="7"/>
      <c r="X31" s="7"/>
      <c r="Y31" s="7"/>
      <c r="Z31" s="38" t="s">
        <v>650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641" t="s">
        <v>650</v>
      </c>
      <c r="BK31" s="7"/>
      <c r="BL31" s="13"/>
      <c r="BM31" s="7" t="s">
        <v>715</v>
      </c>
      <c r="BN31" s="7"/>
      <c r="BO31" s="7"/>
      <c r="BP31" s="7"/>
      <c r="BQ31" s="7"/>
      <c r="BR31" s="7"/>
      <c r="BS31" s="7"/>
      <c r="BT31" s="7"/>
      <c r="BU31" s="7"/>
      <c r="BV31" s="7"/>
      <c r="BW31" s="103"/>
      <c r="BX31" s="234">
        <v>99327982</v>
      </c>
      <c r="BY31" s="174">
        <v>21615.65</v>
      </c>
      <c r="BZ31" s="187"/>
      <c r="CA31" s="188"/>
      <c r="CB31" s="187"/>
      <c r="CC31" s="188"/>
      <c r="CD31" s="187"/>
      <c r="CE31" s="265"/>
      <c r="CF31" s="269">
        <v>99327784</v>
      </c>
      <c r="CG31" s="301">
        <v>450</v>
      </c>
      <c r="CH31" s="282">
        <v>99327806</v>
      </c>
      <c r="CI31" s="290">
        <v>118.45</v>
      </c>
      <c r="CJ31" s="219"/>
      <c r="CK31" s="440"/>
      <c r="CL31" s="397"/>
      <c r="CM31" s="398">
        <f>BY31+CE31+CI31+CK31+CG31</f>
        <v>22184.100000000002</v>
      </c>
      <c r="CQ31" s="187"/>
      <c r="CR31" s="265"/>
      <c r="CS31" s="187"/>
      <c r="CT31" s="265"/>
      <c r="CU31" s="219">
        <v>99327982</v>
      </c>
      <c r="CV31" s="302">
        <v>12593.2</v>
      </c>
      <c r="CW31" s="397"/>
      <c r="CX31" s="398">
        <f>CR31+CT31+CV31</f>
        <v>12593.2</v>
      </c>
    </row>
    <row r="32" spans="1:102">
      <c r="A32" s="410">
        <v>235</v>
      </c>
      <c r="B32" s="9">
        <v>654</v>
      </c>
      <c r="C32" s="9" t="s">
        <v>648</v>
      </c>
      <c r="D32" s="9">
        <v>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410" t="s">
        <v>650</v>
      </c>
      <c r="T32" s="9"/>
      <c r="U32" s="9"/>
      <c r="V32" s="9"/>
      <c r="W32" s="9"/>
      <c r="X32" s="9"/>
      <c r="Y32" s="9"/>
      <c r="Z32" s="38" t="s">
        <v>650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13"/>
      <c r="BM32" s="9" t="s">
        <v>716</v>
      </c>
      <c r="BN32" s="9"/>
      <c r="BO32" s="9"/>
      <c r="BP32" s="9"/>
      <c r="BQ32" s="9"/>
      <c r="BR32" s="9"/>
      <c r="BS32" s="9"/>
      <c r="BT32" s="9"/>
      <c r="BU32" s="9"/>
      <c r="BV32" s="9"/>
      <c r="BW32" s="141"/>
      <c r="BX32" s="234">
        <v>99327990</v>
      </c>
      <c r="BY32" s="174">
        <v>21615.65</v>
      </c>
      <c r="BZ32" s="187"/>
      <c r="CA32" s="188"/>
      <c r="CB32" s="187"/>
      <c r="CC32" s="188"/>
      <c r="CD32" s="187"/>
      <c r="CE32" s="265"/>
      <c r="CF32" s="269">
        <v>99327819</v>
      </c>
      <c r="CG32" s="301">
        <v>450</v>
      </c>
      <c r="CH32" s="282">
        <v>99327840</v>
      </c>
      <c r="CI32" s="290">
        <v>118.45</v>
      </c>
      <c r="CJ32" s="219"/>
      <c r="CK32" s="440"/>
      <c r="CL32" s="397"/>
      <c r="CM32" s="398">
        <f>BY32+CE32+CI32+CK32+CG32</f>
        <v>22184.100000000002</v>
      </c>
      <c r="CQ32" s="187"/>
      <c r="CR32" s="265"/>
      <c r="CS32" s="187"/>
      <c r="CT32" s="265"/>
      <c r="CU32" s="219">
        <v>99327990</v>
      </c>
      <c r="CV32" s="223">
        <v>12593.2</v>
      </c>
      <c r="CW32" s="397">
        <f>CU32</f>
        <v>99327990</v>
      </c>
      <c r="CX32" s="398">
        <f>CV32+CT32+CR32</f>
        <v>12593.2</v>
      </c>
    </row>
    <row r="33" spans="1:102">
      <c r="A33" s="409">
        <v>236</v>
      </c>
      <c r="B33" s="409">
        <v>913</v>
      </c>
      <c r="C33" s="409" t="s">
        <v>647</v>
      </c>
      <c r="D33" s="409">
        <v>3</v>
      </c>
      <c r="E33" s="13"/>
      <c r="F33" s="7"/>
      <c r="G33" s="13"/>
      <c r="H33" s="13"/>
      <c r="I33" s="7"/>
      <c r="J33" s="7"/>
      <c r="K33" s="13"/>
      <c r="L33" s="13"/>
      <c r="M33" s="13"/>
      <c r="N33" s="7"/>
      <c r="O33" s="98" t="s">
        <v>289</v>
      </c>
      <c r="P33" s="7"/>
      <c r="Q33" s="13"/>
      <c r="R33" s="7"/>
      <c r="S33" s="7"/>
      <c r="T33" s="13"/>
      <c r="U33" s="13"/>
      <c r="V33" s="13"/>
      <c r="W33" s="13"/>
      <c r="X33" s="13"/>
      <c r="Y33" s="13"/>
      <c r="Z33" s="409" t="s">
        <v>650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7"/>
      <c r="BE33" s="13"/>
      <c r="BF33" s="409" t="s">
        <v>650</v>
      </c>
      <c r="BG33" s="409" t="s">
        <v>650</v>
      </c>
      <c r="BH33" s="409" t="s">
        <v>650</v>
      </c>
      <c r="BI33" s="13"/>
      <c r="BJ33" s="13"/>
      <c r="BK33" s="13"/>
      <c r="BL33" s="13"/>
      <c r="BM33" s="7" t="s">
        <v>717</v>
      </c>
      <c r="BN33" s="7"/>
      <c r="BO33" s="7"/>
      <c r="BP33" s="7"/>
      <c r="BQ33" s="7"/>
      <c r="BR33" s="7"/>
      <c r="BS33" s="7"/>
      <c r="BT33" s="7"/>
      <c r="BU33" s="7"/>
      <c r="BV33" s="7"/>
      <c r="BW33" s="103"/>
      <c r="BX33" s="234">
        <v>99025870</v>
      </c>
      <c r="BY33" s="174">
        <v>16660.900000000001</v>
      </c>
      <c r="BZ33" s="187">
        <v>99024851</v>
      </c>
      <c r="CA33" s="188">
        <v>1154.76</v>
      </c>
      <c r="CB33" s="187"/>
      <c r="CC33" s="188"/>
      <c r="CD33" s="187"/>
      <c r="CE33" s="265"/>
      <c r="CF33" s="269">
        <v>99024787</v>
      </c>
      <c r="CG33" s="301">
        <v>450</v>
      </c>
      <c r="CH33" s="282"/>
      <c r="CI33" s="290"/>
      <c r="CJ33" s="219"/>
      <c r="CK33" s="440"/>
      <c r="CL33" s="397"/>
      <c r="CM33" s="398">
        <f>BY33+CE33+CI33+CK33+CA33+CG33</f>
        <v>18265.66</v>
      </c>
      <c r="CQ33" s="187"/>
      <c r="CR33" s="265"/>
      <c r="CS33" s="187"/>
      <c r="CT33" s="265"/>
      <c r="CU33" s="219">
        <v>99025870</v>
      </c>
      <c r="CV33" s="302">
        <v>9300.75</v>
      </c>
      <c r="CW33" s="397"/>
      <c r="CX33" s="398"/>
    </row>
    <row r="34" spans="1:102">
      <c r="A34" s="410">
        <v>237</v>
      </c>
      <c r="B34" s="410">
        <v>913</v>
      </c>
      <c r="C34" s="410" t="s">
        <v>648</v>
      </c>
      <c r="D34" s="410">
        <v>3</v>
      </c>
      <c r="E34" s="9"/>
      <c r="F34" s="410" t="s">
        <v>650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410" t="s">
        <v>650</v>
      </c>
      <c r="T34" s="9"/>
      <c r="U34" s="9"/>
      <c r="V34" s="9"/>
      <c r="W34" s="9"/>
      <c r="X34" s="9"/>
      <c r="Y34" s="9"/>
      <c r="Z34" s="528" t="s">
        <v>650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410" t="s">
        <v>650</v>
      </c>
      <c r="BG34" s="410" t="s">
        <v>650</v>
      </c>
      <c r="BH34" s="410" t="s">
        <v>650</v>
      </c>
      <c r="BI34" s="9"/>
      <c r="BJ34" s="9"/>
      <c r="BK34" s="9"/>
      <c r="BL34" s="13"/>
      <c r="BM34" s="9" t="s">
        <v>718</v>
      </c>
      <c r="BN34" s="9"/>
      <c r="BO34" s="9"/>
      <c r="BP34" s="9"/>
      <c r="BQ34" s="9"/>
      <c r="BR34" s="9"/>
      <c r="BS34" s="9"/>
      <c r="BT34" s="9"/>
      <c r="BU34" s="9"/>
      <c r="BV34" s="9"/>
      <c r="BW34" s="141"/>
      <c r="BX34" s="234">
        <v>99722265</v>
      </c>
      <c r="BY34" s="174">
        <v>16954.060000000001</v>
      </c>
      <c r="BZ34" s="187">
        <v>997222017</v>
      </c>
      <c r="CA34" s="188">
        <v>4457.46</v>
      </c>
      <c r="CB34" s="187"/>
      <c r="CC34" s="188"/>
      <c r="CD34" s="187"/>
      <c r="CE34" s="265"/>
      <c r="CF34" s="269" t="s">
        <v>719</v>
      </c>
      <c r="CG34" s="301"/>
      <c r="CH34" s="282"/>
      <c r="CI34" s="290"/>
      <c r="CJ34" s="219"/>
      <c r="CK34" s="440"/>
      <c r="CL34" s="397">
        <f>BX34</f>
        <v>99722265</v>
      </c>
      <c r="CM34" s="398">
        <f>BY34+CA34+CC34+CE34+CG34+CI34+CK34</f>
        <v>21411.52</v>
      </c>
      <c r="CQ34" s="187"/>
      <c r="CR34" s="265"/>
      <c r="CS34" s="187"/>
      <c r="CT34" s="265"/>
      <c r="CU34" s="219">
        <v>99722265</v>
      </c>
      <c r="CV34" s="302">
        <v>9328.4500000000007</v>
      </c>
      <c r="CW34" s="397" t="s">
        <v>720</v>
      </c>
      <c r="CX34" s="398">
        <f>CR34+CT34+CV34</f>
        <v>9328.4500000000007</v>
      </c>
    </row>
    <row r="35" spans="1:102">
      <c r="A35" s="409">
        <v>238</v>
      </c>
      <c r="B35" s="409">
        <v>913</v>
      </c>
      <c r="C35" s="409" t="s">
        <v>649</v>
      </c>
      <c r="D35" s="409">
        <v>3</v>
      </c>
      <c r="E35" s="7"/>
      <c r="F35" s="409" t="s">
        <v>650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409" t="s">
        <v>650</v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409" t="s">
        <v>650</v>
      </c>
      <c r="BG35" s="409" t="s">
        <v>650</v>
      </c>
      <c r="BH35" s="409" t="s">
        <v>650</v>
      </c>
      <c r="BI35" s="7"/>
      <c r="BJ35" s="7"/>
      <c r="BK35" s="7"/>
      <c r="BL35" s="13"/>
      <c r="BM35" s="7" t="s">
        <v>721</v>
      </c>
      <c r="BN35" s="7"/>
      <c r="BO35" s="7"/>
      <c r="BP35" s="7"/>
      <c r="BQ35" s="7"/>
      <c r="BR35" s="7"/>
      <c r="BS35" s="7"/>
      <c r="BT35" s="7"/>
      <c r="BU35" s="7"/>
      <c r="BV35" s="7"/>
      <c r="BW35" s="103"/>
      <c r="BX35" s="234">
        <v>99645151</v>
      </c>
      <c r="BY35" s="174">
        <v>16954.060000000001</v>
      </c>
      <c r="BZ35" s="187">
        <v>99645017</v>
      </c>
      <c r="CA35" s="188">
        <v>4970.08</v>
      </c>
      <c r="CB35" s="187"/>
      <c r="CC35" s="188"/>
      <c r="CD35" s="187"/>
      <c r="CE35" s="265"/>
      <c r="CF35" s="269" t="s">
        <v>722</v>
      </c>
      <c r="CG35" s="301"/>
      <c r="CH35" s="282"/>
      <c r="CI35" s="290"/>
      <c r="CJ35" s="219"/>
      <c r="CK35" s="440"/>
      <c r="CL35" s="397"/>
      <c r="CM35" s="398">
        <f>BY35+CE35+CI35+CK35+CA35</f>
        <v>21924.14</v>
      </c>
      <c r="CQ35" s="187"/>
      <c r="CR35" s="265"/>
      <c r="CS35" s="187"/>
      <c r="CT35" s="265"/>
      <c r="CU35" s="219">
        <v>99645151</v>
      </c>
      <c r="CV35" s="302">
        <v>9328.4500000000007</v>
      </c>
      <c r="CW35" s="397" t="s">
        <v>723</v>
      </c>
      <c r="CX35" s="398">
        <v>9328.4500000000007</v>
      </c>
    </row>
    <row r="36" spans="1:102">
      <c r="A36" s="410">
        <v>239</v>
      </c>
      <c r="B36" s="410">
        <v>913</v>
      </c>
      <c r="C36" s="410" t="s">
        <v>647</v>
      </c>
      <c r="D36" s="410">
        <v>3</v>
      </c>
      <c r="E36" s="9"/>
      <c r="F36" s="410" t="s">
        <v>650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410" t="s">
        <v>650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410" t="s">
        <v>650</v>
      </c>
      <c r="BG36" s="410" t="s">
        <v>650</v>
      </c>
      <c r="BH36" s="410" t="s">
        <v>650</v>
      </c>
      <c r="BI36" s="9"/>
      <c r="BJ36" s="9"/>
      <c r="BK36" s="9"/>
      <c r="BL36" s="13"/>
      <c r="BM36" s="9" t="s">
        <v>724</v>
      </c>
      <c r="BN36" s="9"/>
      <c r="BO36" s="9"/>
      <c r="BP36" s="9"/>
      <c r="BQ36" s="9"/>
      <c r="BR36" s="9"/>
      <c r="BS36" s="9"/>
      <c r="BT36" s="9"/>
      <c r="BU36" s="9"/>
      <c r="BV36" s="9"/>
      <c r="BW36" s="141"/>
      <c r="BX36" s="234">
        <v>99891208</v>
      </c>
      <c r="BY36" s="174">
        <v>16192.53</v>
      </c>
      <c r="BZ36" s="187">
        <v>99891153</v>
      </c>
      <c r="CA36" s="188">
        <v>3395.12</v>
      </c>
      <c r="CB36" s="187"/>
      <c r="CC36" s="188"/>
      <c r="CD36" s="187"/>
      <c r="CE36" s="265"/>
      <c r="CF36" s="269" t="s">
        <v>677</v>
      </c>
      <c r="CG36" s="301"/>
      <c r="CH36" s="282"/>
      <c r="CI36" s="290"/>
      <c r="CJ36" s="219"/>
      <c r="CK36" s="440"/>
      <c r="CL36" s="397">
        <f>BX36</f>
        <v>99891208</v>
      </c>
      <c r="CM36" s="398">
        <f>CK36+CI36+CG36+CE36+CC36+CA36+BY36</f>
        <v>19587.650000000001</v>
      </c>
      <c r="CQ36" s="187"/>
      <c r="CR36" s="265"/>
      <c r="CS36" s="187"/>
      <c r="CT36" s="265"/>
      <c r="CU36" s="219">
        <v>99891208</v>
      </c>
      <c r="CV36" s="247">
        <v>9329.25</v>
      </c>
      <c r="CW36" s="397" t="s">
        <v>725</v>
      </c>
      <c r="CX36" s="398">
        <f>CV36</f>
        <v>9329.25</v>
      </c>
    </row>
    <row r="37" spans="1:102" s="158" customFormat="1">
      <c r="A37" s="409">
        <v>240</v>
      </c>
      <c r="B37" s="409">
        <v>250</v>
      </c>
      <c r="C37" s="409" t="s">
        <v>649</v>
      </c>
      <c r="D37" s="409">
        <v>2</v>
      </c>
      <c r="E37" s="409"/>
      <c r="F37" s="409"/>
      <c r="G37" s="409"/>
      <c r="H37" s="409" t="s">
        <v>650</v>
      </c>
      <c r="I37" s="409"/>
      <c r="J37" s="409"/>
      <c r="K37" s="409"/>
      <c r="L37" s="409"/>
      <c r="M37" s="409"/>
      <c r="N37" s="409"/>
      <c r="O37" s="409"/>
      <c r="P37" s="409"/>
      <c r="Q37" s="409"/>
      <c r="R37" s="409" t="s">
        <v>650</v>
      </c>
      <c r="S37" s="409"/>
      <c r="T37" s="409"/>
      <c r="U37" s="409"/>
      <c r="V37" s="409"/>
      <c r="W37" s="409"/>
      <c r="X37" s="409"/>
      <c r="Y37" s="409"/>
      <c r="Z37" s="409"/>
      <c r="AA37" s="409"/>
      <c r="AB37" s="409"/>
      <c r="AC37" s="409"/>
      <c r="AD37" s="409"/>
      <c r="AE37" s="409"/>
      <c r="AF37" s="409"/>
      <c r="AG37" s="409"/>
      <c r="AH37" s="409"/>
      <c r="AI37" s="409"/>
      <c r="AJ37" s="409"/>
      <c r="AK37" s="409"/>
      <c r="AL37" s="409"/>
      <c r="AM37" s="409"/>
      <c r="AN37" s="409" t="s">
        <v>650</v>
      </c>
      <c r="AO37" s="409" t="s">
        <v>650</v>
      </c>
      <c r="AP37" s="409"/>
      <c r="AQ37" s="409"/>
      <c r="AR37" s="409"/>
      <c r="AS37" s="409"/>
      <c r="AT37" s="409"/>
      <c r="AU37" s="409"/>
      <c r="AV37" s="409"/>
      <c r="AW37" s="409"/>
      <c r="AX37" s="409"/>
      <c r="AY37" s="409"/>
      <c r="AZ37" s="409"/>
      <c r="BA37" s="409"/>
      <c r="BB37" s="409"/>
      <c r="BC37" s="409"/>
      <c r="BD37" s="409"/>
      <c r="BE37" s="409"/>
      <c r="BF37" s="409" t="s">
        <v>650</v>
      </c>
      <c r="BG37" s="409"/>
      <c r="BH37" s="409"/>
      <c r="BI37" s="409"/>
      <c r="BJ37" s="409" t="s">
        <v>650</v>
      </c>
      <c r="BK37" s="409"/>
      <c r="BL37" s="632"/>
      <c r="BM37" s="409" t="s">
        <v>726</v>
      </c>
      <c r="BN37" s="409"/>
      <c r="BO37" s="409"/>
      <c r="BP37" s="409"/>
      <c r="BQ37" s="409"/>
      <c r="BR37" s="409"/>
      <c r="BS37" s="409"/>
      <c r="BT37" s="409"/>
      <c r="BU37" s="409"/>
      <c r="BV37" s="409"/>
      <c r="BW37" s="557"/>
      <c r="BX37" s="840">
        <v>1208367</v>
      </c>
      <c r="BY37" s="841">
        <v>7411.08</v>
      </c>
      <c r="BZ37" s="842">
        <v>1169074</v>
      </c>
      <c r="CA37" s="843">
        <v>8725.31</v>
      </c>
      <c r="CB37" s="842">
        <v>1169106</v>
      </c>
      <c r="CC37" s="843">
        <v>7100.83</v>
      </c>
      <c r="CD37" s="842">
        <v>1169224</v>
      </c>
      <c r="CE37" s="843">
        <v>11157.67</v>
      </c>
      <c r="CF37" s="435"/>
      <c r="CG37" s="436"/>
      <c r="CH37" s="454"/>
      <c r="CI37" s="657"/>
      <c r="CJ37" s="439">
        <v>1208367</v>
      </c>
      <c r="CK37" s="440">
        <v>10115.540000000001</v>
      </c>
      <c r="CL37" s="457"/>
      <c r="CM37" s="450">
        <f>BY37+CE37+CI37+CK37+CC37+CA37+CR37</f>
        <v>42236.62</v>
      </c>
      <c r="CN37" s="658"/>
      <c r="CO37" s="658"/>
      <c r="CQ37" s="433">
        <v>1834777</v>
      </c>
      <c r="CR37" s="633">
        <v>-2273.81</v>
      </c>
      <c r="CS37" s="433"/>
      <c r="CT37" s="633"/>
      <c r="CU37" s="439"/>
      <c r="CV37" s="534"/>
      <c r="CW37" s="457"/>
      <c r="CX37" s="450"/>
    </row>
    <row r="38" spans="1:102" s="158" customFormat="1">
      <c r="A38" s="410">
        <v>241</v>
      </c>
      <c r="B38" s="410">
        <v>250</v>
      </c>
      <c r="C38" s="410" t="s">
        <v>648</v>
      </c>
      <c r="D38" s="410">
        <v>2</v>
      </c>
      <c r="E38" s="410"/>
      <c r="F38" s="410" t="s">
        <v>650</v>
      </c>
      <c r="G38" s="410"/>
      <c r="H38" s="410"/>
      <c r="I38" s="410"/>
      <c r="J38" s="410"/>
      <c r="K38" s="410"/>
      <c r="L38" s="410"/>
      <c r="M38" s="410"/>
      <c r="N38" s="410"/>
      <c r="O38" s="410"/>
      <c r="P38" s="410"/>
      <c r="Q38" s="410"/>
      <c r="R38" s="410" t="s">
        <v>650</v>
      </c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410"/>
      <c r="AD38" s="410"/>
      <c r="AE38" s="410"/>
      <c r="AF38" s="410"/>
      <c r="AG38" s="410"/>
      <c r="AH38" s="410"/>
      <c r="AI38" s="410"/>
      <c r="AJ38" s="410"/>
      <c r="AK38" s="410"/>
      <c r="AL38" s="410"/>
      <c r="AM38" s="410"/>
      <c r="AN38" s="410" t="s">
        <v>650</v>
      </c>
      <c r="AO38" s="410"/>
      <c r="AP38" s="410"/>
      <c r="AQ38" s="410"/>
      <c r="AR38" s="410"/>
      <c r="AS38" s="410"/>
      <c r="AT38" s="410"/>
      <c r="AU38" s="410"/>
      <c r="AV38" s="410"/>
      <c r="AW38" s="410"/>
      <c r="AX38" s="410"/>
      <c r="AY38" s="410"/>
      <c r="AZ38" s="410"/>
      <c r="BA38" s="410"/>
      <c r="BB38" s="410"/>
      <c r="BC38" s="410"/>
      <c r="BD38" s="410"/>
      <c r="BE38" s="410"/>
      <c r="BF38" s="410" t="s">
        <v>650</v>
      </c>
      <c r="BG38" s="410"/>
      <c r="BH38" s="410"/>
      <c r="BI38" s="410"/>
      <c r="BJ38" s="410" t="s">
        <v>650</v>
      </c>
      <c r="BK38" s="410"/>
      <c r="BL38" s="632"/>
      <c r="BM38" s="410" t="s">
        <v>727</v>
      </c>
      <c r="BN38" s="410"/>
      <c r="BO38" s="410"/>
      <c r="BP38" s="410"/>
      <c r="BQ38" s="410"/>
      <c r="BR38" s="410"/>
      <c r="BS38" s="410"/>
      <c r="BT38" s="410"/>
      <c r="BU38" s="410"/>
      <c r="BV38" s="410"/>
      <c r="BW38" s="656"/>
      <c r="BX38" s="840">
        <v>1266213</v>
      </c>
      <c r="BY38" s="841">
        <v>7411.08</v>
      </c>
      <c r="BZ38" s="842">
        <v>1133321</v>
      </c>
      <c r="CA38" s="843">
        <v>3136.6</v>
      </c>
      <c r="CB38" s="842">
        <v>1133366</v>
      </c>
      <c r="CC38" s="843">
        <v>7100.83</v>
      </c>
      <c r="CD38" s="842">
        <v>1133582</v>
      </c>
      <c r="CE38" s="843">
        <v>11157.67</v>
      </c>
      <c r="CF38" s="435"/>
      <c r="CG38" s="436"/>
      <c r="CH38" s="454"/>
      <c r="CI38" s="657"/>
      <c r="CJ38" s="439">
        <v>1266213</v>
      </c>
      <c r="CK38" s="492">
        <v>10115.540000000001</v>
      </c>
      <c r="CL38" s="457">
        <f>BX38</f>
        <v>1266213</v>
      </c>
      <c r="CM38" s="450">
        <f>BY38+CA38+CC38+CE38+CI38+CK38</f>
        <v>38921.72</v>
      </c>
      <c r="CN38" s="658"/>
      <c r="CO38" s="658"/>
      <c r="CQ38" s="433"/>
      <c r="CR38" s="633"/>
      <c r="CS38" s="433"/>
      <c r="CT38" s="633"/>
      <c r="CU38" s="439">
        <v>1266213</v>
      </c>
      <c r="CV38" s="534"/>
      <c r="CW38" s="457"/>
      <c r="CX38" s="450">
        <v>10115.540000000001</v>
      </c>
    </row>
    <row r="39" spans="1:102" s="158" customFormat="1">
      <c r="A39" s="409">
        <v>242</v>
      </c>
      <c r="B39" s="409">
        <v>723</v>
      </c>
      <c r="C39" s="409" t="s">
        <v>649</v>
      </c>
      <c r="D39" s="409">
        <v>2</v>
      </c>
      <c r="E39" s="409"/>
      <c r="F39" s="409" t="s">
        <v>650</v>
      </c>
      <c r="G39" s="409"/>
      <c r="H39" s="409"/>
      <c r="I39" s="409"/>
      <c r="J39" s="409"/>
      <c r="K39" s="409"/>
      <c r="L39" s="409"/>
      <c r="M39" s="409"/>
      <c r="N39" s="409"/>
      <c r="O39" s="409"/>
      <c r="P39" s="409"/>
      <c r="Q39" s="409"/>
      <c r="R39" s="409" t="s">
        <v>650</v>
      </c>
      <c r="S39" s="409"/>
      <c r="T39" s="409"/>
      <c r="U39" s="409"/>
      <c r="V39" s="409"/>
      <c r="W39" s="409"/>
      <c r="X39" s="409" t="s">
        <v>650</v>
      </c>
      <c r="Y39" s="409"/>
      <c r="Z39" s="409"/>
      <c r="AA39" s="409"/>
      <c r="AB39" s="409"/>
      <c r="AC39" s="409"/>
      <c r="AD39" s="409"/>
      <c r="AE39" s="409"/>
      <c r="AF39" s="409"/>
      <c r="AG39" s="409"/>
      <c r="AH39" s="409"/>
      <c r="AI39" s="409"/>
      <c r="AJ39" s="409"/>
      <c r="AK39" s="409"/>
      <c r="AL39" s="409"/>
      <c r="AM39" s="409"/>
      <c r="AN39" s="409"/>
      <c r="AO39" s="409"/>
      <c r="AP39" s="409"/>
      <c r="AQ39" s="409"/>
      <c r="AR39" s="409"/>
      <c r="AS39" s="409"/>
      <c r="AT39" s="409"/>
      <c r="AU39" s="409"/>
      <c r="AV39" s="409"/>
      <c r="AW39" s="409"/>
      <c r="AX39" s="409"/>
      <c r="AY39" s="409"/>
      <c r="AZ39" s="409"/>
      <c r="BA39" s="409"/>
      <c r="BB39" s="409"/>
      <c r="BC39" s="409"/>
      <c r="BD39" s="409"/>
      <c r="BE39" s="409"/>
      <c r="BF39" s="409"/>
      <c r="BG39" s="409"/>
      <c r="BH39" s="409" t="s">
        <v>650</v>
      </c>
      <c r="BI39" s="409"/>
      <c r="BJ39" s="409"/>
      <c r="BK39" s="409"/>
      <c r="BL39" s="632"/>
      <c r="BM39" s="409" t="s">
        <v>728</v>
      </c>
      <c r="BN39" s="409"/>
      <c r="BO39" s="409"/>
      <c r="BP39" s="409"/>
      <c r="BQ39" s="409"/>
      <c r="BR39" s="409"/>
      <c r="BS39" s="409"/>
      <c r="BT39" s="409"/>
      <c r="BU39" s="409"/>
      <c r="BV39" s="409"/>
      <c r="BW39" s="557"/>
      <c r="BX39" s="840">
        <v>849487</v>
      </c>
      <c r="BY39" s="841">
        <v>18279.75</v>
      </c>
      <c r="BZ39" s="842">
        <v>848918</v>
      </c>
      <c r="CA39" s="843">
        <v>3452.77</v>
      </c>
      <c r="CB39" s="842">
        <v>849022</v>
      </c>
      <c r="CC39" s="843">
        <v>7599.79</v>
      </c>
      <c r="CD39" s="433"/>
      <c r="CE39" s="633"/>
      <c r="CF39" s="435"/>
      <c r="CG39" s="436"/>
      <c r="CH39" s="454"/>
      <c r="CI39" s="657"/>
      <c r="CJ39" s="439">
        <v>849487</v>
      </c>
      <c r="CK39" s="534">
        <v>10492.41</v>
      </c>
      <c r="CL39" s="457">
        <f>BX39</f>
        <v>849487</v>
      </c>
      <c r="CM39" s="450">
        <f>BY39+CE39+CI39+CK39+CC39+CA39</f>
        <v>39824.719999999994</v>
      </c>
      <c r="CN39" s="658"/>
      <c r="CO39" s="658"/>
      <c r="CQ39" s="433"/>
      <c r="CR39" s="633"/>
      <c r="CS39" s="433"/>
      <c r="CT39" s="633"/>
      <c r="CU39" s="439"/>
      <c r="CV39" s="534"/>
      <c r="CW39" s="457"/>
      <c r="CX39" s="450"/>
    </row>
    <row r="40" spans="1:102" s="158" customFormat="1">
      <c r="A40" s="410">
        <v>243</v>
      </c>
      <c r="B40" s="410">
        <v>250</v>
      </c>
      <c r="C40" s="410" t="s">
        <v>647</v>
      </c>
      <c r="D40" s="410">
        <v>2</v>
      </c>
      <c r="E40" s="410"/>
      <c r="F40" s="410" t="s">
        <v>650</v>
      </c>
      <c r="G40" s="410"/>
      <c r="H40" s="410"/>
      <c r="I40" s="410"/>
      <c r="J40" s="410"/>
      <c r="K40" s="410"/>
      <c r="L40" s="410"/>
      <c r="M40" s="410"/>
      <c r="N40" s="410"/>
      <c r="O40" s="410"/>
      <c r="P40" s="410"/>
      <c r="Q40" s="410"/>
      <c r="R40" s="410" t="s">
        <v>650</v>
      </c>
      <c r="S40" s="410"/>
      <c r="T40" s="410"/>
      <c r="U40" s="410"/>
      <c r="V40" s="410"/>
      <c r="W40" s="410"/>
      <c r="X40" s="410"/>
      <c r="Y40" s="410"/>
      <c r="Z40" s="410"/>
      <c r="AA40" s="410"/>
      <c r="AB40" s="410"/>
      <c r="AC40" s="410"/>
      <c r="AD40" s="410"/>
      <c r="AE40" s="410"/>
      <c r="AF40" s="410"/>
      <c r="AG40" s="410"/>
      <c r="AH40" s="410"/>
      <c r="AI40" s="410"/>
      <c r="AJ40" s="410"/>
      <c r="AK40" s="410"/>
      <c r="AL40" s="410"/>
      <c r="AM40" s="410"/>
      <c r="AN40" s="410" t="s">
        <v>650</v>
      </c>
      <c r="AO40" s="410"/>
      <c r="AP40" s="410"/>
      <c r="AQ40" s="410"/>
      <c r="AR40" s="410"/>
      <c r="AS40" s="410"/>
      <c r="AT40" s="410"/>
      <c r="AU40" s="410"/>
      <c r="AV40" s="410"/>
      <c r="AW40" s="410"/>
      <c r="AX40" s="410"/>
      <c r="AY40" s="410"/>
      <c r="AZ40" s="410"/>
      <c r="BA40" s="410"/>
      <c r="BB40" s="410"/>
      <c r="BC40" s="410"/>
      <c r="BD40" s="410"/>
      <c r="BE40" s="410"/>
      <c r="BF40" s="410" t="s">
        <v>650</v>
      </c>
      <c r="BG40" s="410"/>
      <c r="BH40" s="410"/>
      <c r="BI40" s="410"/>
      <c r="BJ40" s="410"/>
      <c r="BK40" s="410"/>
      <c r="BL40" s="632"/>
      <c r="BM40" s="410" t="s">
        <v>729</v>
      </c>
      <c r="BN40" s="410"/>
      <c r="BO40" s="410"/>
      <c r="BP40" s="410"/>
      <c r="BQ40" s="410"/>
      <c r="BR40" s="410"/>
      <c r="BS40" s="410"/>
      <c r="BT40" s="410"/>
      <c r="BU40" s="410"/>
      <c r="BV40" s="410"/>
      <c r="BW40" s="656"/>
      <c r="BX40" s="840">
        <v>849503</v>
      </c>
      <c r="BY40" s="841">
        <v>16498.59</v>
      </c>
      <c r="BZ40" s="842">
        <v>849038</v>
      </c>
      <c r="CA40" s="843">
        <v>3332.87</v>
      </c>
      <c r="CB40" s="842">
        <v>849107</v>
      </c>
      <c r="CC40" s="843">
        <v>7100.83</v>
      </c>
      <c r="CD40" s="433"/>
      <c r="CE40" s="633"/>
      <c r="CF40" s="435"/>
      <c r="CG40" s="436"/>
      <c r="CH40" s="454"/>
      <c r="CI40" s="657"/>
      <c r="CJ40" s="439">
        <v>849503</v>
      </c>
      <c r="CK40" s="440">
        <v>10172.629999999999</v>
      </c>
      <c r="CL40" s="457">
        <v>849503</v>
      </c>
      <c r="CM40" s="450">
        <f>BY40+CE40+CI40+CK40+CC40+CA40</f>
        <v>37104.920000000006</v>
      </c>
      <c r="CN40" s="658"/>
      <c r="CO40" s="658"/>
      <c r="CQ40" s="433"/>
      <c r="CR40" s="633"/>
      <c r="CS40" s="433"/>
      <c r="CT40" s="633"/>
      <c r="CU40" s="439"/>
      <c r="CV40" s="534"/>
      <c r="CW40" s="457"/>
      <c r="CX40" s="450"/>
    </row>
    <row r="41" spans="1:102" s="158" customFormat="1">
      <c r="A41" s="409">
        <v>244</v>
      </c>
      <c r="B41" s="409">
        <v>723</v>
      </c>
      <c r="C41" s="409" t="s">
        <v>649</v>
      </c>
      <c r="D41" s="409">
        <v>2</v>
      </c>
      <c r="E41" s="409"/>
      <c r="F41" s="409" t="s">
        <v>650</v>
      </c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09"/>
      <c r="R41" s="409" t="s">
        <v>650</v>
      </c>
      <c r="S41" s="409" t="s">
        <v>650</v>
      </c>
      <c r="T41" s="409"/>
      <c r="U41" s="409"/>
      <c r="V41" s="409"/>
      <c r="W41" s="409"/>
      <c r="X41" s="409" t="s">
        <v>650</v>
      </c>
      <c r="Y41" s="409"/>
      <c r="Z41" s="409"/>
      <c r="AA41" s="409"/>
      <c r="AB41" s="409"/>
      <c r="AC41" s="409"/>
      <c r="AD41" s="409"/>
      <c r="AE41" s="409"/>
      <c r="AF41" s="409"/>
      <c r="AG41" s="409"/>
      <c r="AH41" s="409"/>
      <c r="AI41" s="409"/>
      <c r="AJ41" s="409"/>
      <c r="AK41" s="409"/>
      <c r="AL41" s="409"/>
      <c r="AM41" s="409"/>
      <c r="AN41" s="409"/>
      <c r="AO41" s="409"/>
      <c r="AP41" s="409"/>
      <c r="AQ41" s="409"/>
      <c r="AR41" s="409"/>
      <c r="AS41" s="409"/>
      <c r="AT41" s="409"/>
      <c r="AU41" s="409"/>
      <c r="AV41" s="409"/>
      <c r="AW41" s="409"/>
      <c r="AX41" s="409"/>
      <c r="AY41" s="409"/>
      <c r="AZ41" s="409"/>
      <c r="BA41" s="409"/>
      <c r="BB41" s="409"/>
      <c r="BC41" s="409"/>
      <c r="BD41" s="409"/>
      <c r="BE41" s="409"/>
      <c r="BF41" s="409"/>
      <c r="BG41" s="409"/>
      <c r="BH41" s="409" t="s">
        <v>650</v>
      </c>
      <c r="BI41" s="409"/>
      <c r="BJ41" s="409"/>
      <c r="BK41" s="409"/>
      <c r="BL41" s="632"/>
      <c r="BM41" s="409" t="s">
        <v>730</v>
      </c>
      <c r="BN41" s="409"/>
      <c r="BO41" s="409"/>
      <c r="BP41" s="409"/>
      <c r="BQ41" s="7"/>
      <c r="BR41" s="7"/>
      <c r="BS41" s="409"/>
      <c r="BT41" s="409"/>
      <c r="BU41" s="409"/>
      <c r="BV41" s="409"/>
      <c r="BW41" s="557"/>
      <c r="BX41" s="840">
        <v>849520</v>
      </c>
      <c r="BY41" s="841">
        <v>18279.75</v>
      </c>
      <c r="BZ41" s="842">
        <v>849143</v>
      </c>
      <c r="CA41" s="843">
        <v>3562.32</v>
      </c>
      <c r="CB41" s="842">
        <v>849242</v>
      </c>
      <c r="CC41" s="843">
        <v>7599.79</v>
      </c>
      <c r="CD41" s="187"/>
      <c r="CE41" s="265"/>
      <c r="CF41" s="269"/>
      <c r="CG41" s="301"/>
      <c r="CH41" s="282"/>
      <c r="CI41" s="290"/>
      <c r="CJ41" s="439">
        <v>849520</v>
      </c>
      <c r="CK41" s="440">
        <v>10492.41</v>
      </c>
      <c r="CL41" s="457">
        <f>BX41</f>
        <v>849520</v>
      </c>
      <c r="CM41" s="450">
        <f>BY41+CE41+CI41+CK41+CC41+CA41</f>
        <v>39934.269999999997</v>
      </c>
      <c r="CN41" s="658"/>
      <c r="CO41" s="658"/>
      <c r="CQ41" s="433"/>
      <c r="CR41" s="633"/>
      <c r="CS41" s="433"/>
      <c r="CT41" s="633"/>
      <c r="CU41" s="439"/>
      <c r="CV41" s="534"/>
      <c r="CW41" s="457"/>
      <c r="CX41" s="450"/>
    </row>
    <row r="42" spans="1:102">
      <c r="A42" s="410">
        <v>245</v>
      </c>
      <c r="B42" s="410">
        <v>250</v>
      </c>
      <c r="C42" s="410" t="s">
        <v>648</v>
      </c>
      <c r="D42" s="410">
        <v>3</v>
      </c>
      <c r="E42" s="13"/>
      <c r="F42" s="9"/>
      <c r="G42" s="13"/>
      <c r="H42" s="410" t="s">
        <v>650</v>
      </c>
      <c r="I42" s="9"/>
      <c r="J42" s="13"/>
      <c r="K42" s="13"/>
      <c r="L42" s="13"/>
      <c r="M42" s="410" t="s">
        <v>650</v>
      </c>
      <c r="N42" s="13"/>
      <c r="O42" s="13"/>
      <c r="P42" s="13"/>
      <c r="Q42" s="13"/>
      <c r="R42" s="9"/>
      <c r="S42" s="9"/>
      <c r="T42" s="13"/>
      <c r="U42" s="13"/>
      <c r="V42" s="13"/>
      <c r="W42" s="9"/>
      <c r="X42" s="13"/>
      <c r="Y42" s="13"/>
      <c r="Z42" s="13"/>
      <c r="AA42" s="9"/>
      <c r="AB42" s="9"/>
      <c r="AC42" s="13"/>
      <c r="AD42" s="9"/>
      <c r="AE42" s="9"/>
      <c r="AF42" s="9"/>
      <c r="AG42" s="410" t="s">
        <v>650</v>
      </c>
      <c r="AH42" s="9"/>
      <c r="AI42" s="9"/>
      <c r="AJ42" s="9"/>
      <c r="AK42" s="9"/>
      <c r="AL42" s="13"/>
      <c r="AM42" s="13"/>
      <c r="AN42" s="410" t="s">
        <v>650</v>
      </c>
      <c r="AO42" s="410" t="s">
        <v>650</v>
      </c>
      <c r="AP42" s="13"/>
      <c r="AQ42" s="410" t="s">
        <v>650</v>
      </c>
      <c r="AR42" s="13"/>
      <c r="AS42" s="9"/>
      <c r="AT42" s="410" t="s">
        <v>650</v>
      </c>
      <c r="AU42" s="9"/>
      <c r="AV42" s="9"/>
      <c r="AW42" s="13"/>
      <c r="AX42" s="13"/>
      <c r="AY42" s="13"/>
      <c r="AZ42" s="410" t="s">
        <v>650</v>
      </c>
      <c r="BA42" s="9"/>
      <c r="BB42" s="9"/>
      <c r="BC42" s="13"/>
      <c r="BD42" s="9"/>
      <c r="BE42" s="9"/>
      <c r="BF42" s="410" t="s">
        <v>650</v>
      </c>
      <c r="BG42" s="13"/>
      <c r="BH42" s="13"/>
      <c r="BI42" s="13"/>
      <c r="BJ42" s="410" t="s">
        <v>650</v>
      </c>
      <c r="BK42" s="13"/>
      <c r="BL42" s="13"/>
      <c r="BM42" s="410" t="s">
        <v>731</v>
      </c>
      <c r="BN42" s="9"/>
      <c r="BO42" s="9"/>
      <c r="BP42" s="9"/>
      <c r="BQ42" s="9"/>
      <c r="BR42" s="9"/>
      <c r="BS42" s="9"/>
      <c r="BT42" s="9"/>
      <c r="BU42" s="9"/>
      <c r="BV42" s="9"/>
      <c r="BW42" s="141"/>
      <c r="BX42" s="437">
        <v>98162696</v>
      </c>
      <c r="BY42" s="438">
        <v>15789.34</v>
      </c>
      <c r="BZ42" s="187"/>
      <c r="CA42" s="188"/>
      <c r="CB42" s="433">
        <v>96457657</v>
      </c>
      <c r="CC42" s="434">
        <v>2573</v>
      </c>
      <c r="CD42" s="187"/>
      <c r="CE42" s="265"/>
      <c r="CF42" s="435">
        <v>98161848</v>
      </c>
      <c r="CG42" s="436">
        <v>450</v>
      </c>
      <c r="CH42" s="282"/>
      <c r="CI42" s="290"/>
      <c r="CJ42" s="439">
        <v>98162696</v>
      </c>
      <c r="CK42" s="492">
        <v>9958.5300000000007</v>
      </c>
      <c r="CL42" s="457">
        <v>98162696</v>
      </c>
      <c r="CM42" s="450">
        <f>CG42+CC42+CA42+BY42+CK42</f>
        <v>28770.870000000003</v>
      </c>
      <c r="CQ42" s="187">
        <v>98161877</v>
      </c>
      <c r="CR42" s="267">
        <v>25495</v>
      </c>
      <c r="CS42" s="187"/>
      <c r="CT42" s="265"/>
      <c r="CU42" s="219"/>
      <c r="CV42" s="302"/>
      <c r="CW42" s="397">
        <v>98162696</v>
      </c>
      <c r="CX42" s="398">
        <f>CR42</f>
        <v>25495</v>
      </c>
    </row>
    <row r="43" spans="1:102">
      <c r="A43" s="409">
        <v>246</v>
      </c>
      <c r="B43" s="409">
        <v>721</v>
      </c>
      <c r="C43" s="409" t="s">
        <v>647</v>
      </c>
      <c r="D43" s="409">
        <v>2</v>
      </c>
      <c r="E43" s="13"/>
      <c r="F43" s="409" t="s">
        <v>650</v>
      </c>
      <c r="G43" s="13"/>
      <c r="H43" s="13"/>
      <c r="I43" s="7"/>
      <c r="J43" s="409" t="s">
        <v>650</v>
      </c>
      <c r="K43" s="7"/>
      <c r="L43" s="13"/>
      <c r="M43" s="7"/>
      <c r="N43" s="13"/>
      <c r="O43" s="7"/>
      <c r="P43" s="7"/>
      <c r="Q43" s="7"/>
      <c r="R43" s="7"/>
      <c r="S43" s="7"/>
      <c r="T43" s="13"/>
      <c r="U43" s="7"/>
      <c r="V43" s="13"/>
      <c r="W43" s="13"/>
      <c r="X43" s="7"/>
      <c r="Y43" s="13"/>
      <c r="Z43" s="13"/>
      <c r="AA43" s="13"/>
      <c r="AB43" s="13"/>
      <c r="AC43" s="13"/>
      <c r="AD43" s="13"/>
      <c r="AE43" s="7"/>
      <c r="AF43" s="13"/>
      <c r="AG43" s="409" t="s">
        <v>650</v>
      </c>
      <c r="AH43" s="7"/>
      <c r="AI43" s="7"/>
      <c r="AJ43" s="13"/>
      <c r="AK43" s="13"/>
      <c r="AL43" s="13"/>
      <c r="AM43" s="13"/>
      <c r="AN43" s="13"/>
      <c r="AO43" s="13"/>
      <c r="AP43" s="13"/>
      <c r="AQ43" s="13"/>
      <c r="AR43" s="13"/>
      <c r="AS43" s="409" t="s">
        <v>650</v>
      </c>
      <c r="AT43" s="7"/>
      <c r="AU43" s="7"/>
      <c r="AV43" s="7"/>
      <c r="AW43" s="7"/>
      <c r="AX43" s="409" t="s">
        <v>650</v>
      </c>
      <c r="AY43" s="13"/>
      <c r="AZ43" s="13"/>
      <c r="BA43" s="13"/>
      <c r="BB43" s="13"/>
      <c r="BC43" s="13"/>
      <c r="BD43" s="7"/>
      <c r="BE43" s="13"/>
      <c r="BF43" s="13"/>
      <c r="BG43" s="409" t="s">
        <v>650</v>
      </c>
      <c r="BH43" s="409" t="s">
        <v>650</v>
      </c>
      <c r="BI43" s="13"/>
      <c r="BJ43" s="13"/>
      <c r="BK43" s="13"/>
      <c r="BL43" s="13"/>
      <c r="BM43" s="7" t="s">
        <v>732</v>
      </c>
      <c r="BN43" s="7"/>
      <c r="BO43" s="7"/>
      <c r="BP43" s="7"/>
      <c r="BQ43" s="7"/>
      <c r="BR43" s="7"/>
      <c r="BS43" s="7"/>
      <c r="BT43" s="7"/>
      <c r="BU43" s="7"/>
      <c r="BV43" s="7"/>
      <c r="BW43" s="103"/>
      <c r="BX43" s="437">
        <v>98162790</v>
      </c>
      <c r="BY43" s="438">
        <v>14866.91</v>
      </c>
      <c r="BZ43" s="187"/>
      <c r="CA43" s="188"/>
      <c r="CB43" s="433">
        <v>96457657</v>
      </c>
      <c r="CC43" s="434">
        <v>3720</v>
      </c>
      <c r="CD43" s="187"/>
      <c r="CE43" s="265"/>
      <c r="CF43" s="435">
        <v>98161908</v>
      </c>
      <c r="CG43" s="436">
        <v>450</v>
      </c>
      <c r="CH43" s="282"/>
      <c r="CI43" s="290"/>
      <c r="CJ43" s="219"/>
      <c r="CK43" s="247"/>
      <c r="CL43" s="457">
        <v>98162790</v>
      </c>
      <c r="CM43" s="450">
        <f>CG43+CC43+CA43+BY43</f>
        <v>19036.91</v>
      </c>
      <c r="CQ43" s="433">
        <v>98161958</v>
      </c>
      <c r="CR43" s="489">
        <v>8645.2800000000007</v>
      </c>
      <c r="CS43" s="187"/>
      <c r="CT43" s="265"/>
      <c r="CU43" s="439">
        <v>98162790</v>
      </c>
      <c r="CV43" s="492">
        <v>6768.9</v>
      </c>
      <c r="CW43" s="457">
        <v>98162790</v>
      </c>
      <c r="CX43" s="450">
        <f>CV43+CR43</f>
        <v>15414.18</v>
      </c>
    </row>
    <row r="44" spans="1:102">
      <c r="A44" s="9">
        <v>247</v>
      </c>
      <c r="B44" s="9">
        <v>915</v>
      </c>
      <c r="C44" s="9" t="s">
        <v>649</v>
      </c>
      <c r="D44" s="9">
        <v>3</v>
      </c>
      <c r="E44" s="13"/>
      <c r="F44" s="9">
        <v>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 t="s">
        <v>650</v>
      </c>
      <c r="T44" s="9"/>
      <c r="U44" s="9"/>
      <c r="V44" s="9"/>
      <c r="W44" s="9"/>
      <c r="X44" s="9"/>
      <c r="Y44" s="9"/>
      <c r="Z44" s="9"/>
      <c r="AA44" s="9"/>
      <c r="AB44" s="9"/>
      <c r="AC44" s="13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 t="s">
        <v>650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38" t="s">
        <v>650</v>
      </c>
      <c r="BH44" s="9"/>
      <c r="BI44" s="9"/>
      <c r="BJ44" s="9" t="s">
        <v>650</v>
      </c>
      <c r="BK44" s="9"/>
      <c r="BL44" s="13"/>
      <c r="BM44" s="9" t="s">
        <v>733</v>
      </c>
      <c r="BN44" s="9"/>
      <c r="BO44" s="9"/>
      <c r="BP44" s="9"/>
      <c r="BQ44" s="9"/>
      <c r="BR44" s="9"/>
      <c r="BS44" s="9" t="s">
        <v>650</v>
      </c>
      <c r="BT44" s="9"/>
      <c r="BU44" s="9" t="s">
        <v>650</v>
      </c>
      <c r="BV44" s="9"/>
      <c r="BW44" s="141"/>
      <c r="BX44" s="234">
        <v>97045120</v>
      </c>
      <c r="BY44" s="174">
        <v>16212.74</v>
      </c>
      <c r="BZ44" s="187">
        <v>97044974</v>
      </c>
      <c r="CA44" s="188">
        <v>6689.17</v>
      </c>
      <c r="CB44" s="187"/>
      <c r="CC44" s="188"/>
      <c r="CD44" s="187"/>
      <c r="CE44" s="267"/>
      <c r="CF44" s="269">
        <v>97044948</v>
      </c>
      <c r="CG44" s="301">
        <v>450</v>
      </c>
      <c r="CH44" s="282">
        <v>97044986</v>
      </c>
      <c r="CI44" s="160">
        <v>118.45</v>
      </c>
      <c r="CJ44" s="219"/>
      <c r="CK44" s="225"/>
      <c r="CL44" s="397">
        <v>97045120</v>
      </c>
      <c r="CM44" s="398">
        <f>BY44+CE44+CI44+CK44+CC44+CA44+CG44</f>
        <v>23470.36</v>
      </c>
      <c r="CQ44" s="187"/>
      <c r="CR44" s="267"/>
      <c r="CS44" s="187"/>
      <c r="CT44" s="267"/>
      <c r="CU44" s="219"/>
      <c r="CV44" s="225"/>
      <c r="CW44" s="397"/>
      <c r="CX44" s="398"/>
    </row>
    <row r="45" spans="1:102">
      <c r="A45" s="7">
        <v>248</v>
      </c>
      <c r="B45" s="7">
        <v>913</v>
      </c>
      <c r="C45" s="7" t="s">
        <v>648</v>
      </c>
      <c r="D45" s="7">
        <v>3</v>
      </c>
      <c r="E45" s="13"/>
      <c r="F45" s="7">
        <v>1</v>
      </c>
      <c r="G45" s="13"/>
      <c r="H45" s="13"/>
      <c r="I45" s="7"/>
      <c r="J45" s="7"/>
      <c r="K45" s="13"/>
      <c r="L45" s="13"/>
      <c r="M45" s="13"/>
      <c r="N45" s="7"/>
      <c r="O45" s="7"/>
      <c r="P45" s="7"/>
      <c r="Q45" s="13"/>
      <c r="R45" s="7"/>
      <c r="S45" s="7"/>
      <c r="T45" s="13"/>
      <c r="U45" s="13"/>
      <c r="V45" s="13"/>
      <c r="W45" s="13"/>
      <c r="X45" s="13"/>
      <c r="Y45" s="13"/>
      <c r="Z45" s="7" t="s">
        <v>650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7"/>
      <c r="BE45" s="13"/>
      <c r="BF45" s="7" t="s">
        <v>650</v>
      </c>
      <c r="BG45" s="7" t="s">
        <v>650</v>
      </c>
      <c r="BH45" s="7" t="s">
        <v>650</v>
      </c>
      <c r="BI45" s="13"/>
      <c r="BJ45" s="13"/>
      <c r="BK45" s="13"/>
      <c r="BL45" s="13"/>
      <c r="BM45" s="7" t="s">
        <v>734</v>
      </c>
      <c r="BN45" s="7"/>
      <c r="BO45" s="7"/>
      <c r="BP45" s="7"/>
      <c r="BQ45" s="7"/>
      <c r="BR45" s="7"/>
      <c r="BS45" s="7"/>
      <c r="BT45" s="7"/>
      <c r="BU45" s="7"/>
      <c r="BV45" s="7"/>
      <c r="BW45" s="103"/>
      <c r="BX45" s="437">
        <v>97812048</v>
      </c>
      <c r="BY45" s="438">
        <v>19387.78</v>
      </c>
      <c r="BZ45" s="187"/>
      <c r="CA45" s="188"/>
      <c r="CB45" s="187"/>
      <c r="CC45" s="188"/>
      <c r="CD45" s="187"/>
      <c r="CE45" s="188"/>
      <c r="CF45" s="435">
        <v>97805886</v>
      </c>
      <c r="CG45" s="436">
        <v>450</v>
      </c>
      <c r="CH45" s="282"/>
      <c r="CI45" s="160"/>
      <c r="CJ45" s="219"/>
      <c r="CK45" s="494"/>
      <c r="CL45" s="457">
        <v>97812048</v>
      </c>
      <c r="CM45" s="450">
        <f>BY45+CE45+CI45+CK45+CC45+CA45+CG45</f>
        <v>19837.78</v>
      </c>
      <c r="CQ45" s="433">
        <v>97805936</v>
      </c>
      <c r="CR45" s="434">
        <v>3889.01</v>
      </c>
      <c r="CS45" s="187"/>
      <c r="CT45" s="188"/>
      <c r="CU45" s="439">
        <v>97812048</v>
      </c>
      <c r="CV45" s="530">
        <v>9088.33</v>
      </c>
      <c r="CW45" s="457" t="s">
        <v>735</v>
      </c>
      <c r="CX45" s="450">
        <f>CR45+CV45</f>
        <v>12977.34</v>
      </c>
    </row>
    <row r="46" spans="1:102">
      <c r="A46" s="9">
        <v>249</v>
      </c>
      <c r="B46" s="9">
        <v>915</v>
      </c>
      <c r="C46" s="9" t="s">
        <v>647</v>
      </c>
      <c r="D46" s="9">
        <v>2</v>
      </c>
      <c r="E46" s="13"/>
      <c r="F46" s="9">
        <v>1</v>
      </c>
      <c r="G46" s="13"/>
      <c r="H46" s="13"/>
      <c r="I46" s="9"/>
      <c r="J46" s="9"/>
      <c r="K46" s="9"/>
      <c r="L46" s="13"/>
      <c r="M46" s="13"/>
      <c r="N46" s="9"/>
      <c r="O46" s="9"/>
      <c r="P46" s="9"/>
      <c r="Q46" s="9"/>
      <c r="R46" s="9"/>
      <c r="S46" s="9"/>
      <c r="T46" s="13"/>
      <c r="U46" s="13"/>
      <c r="V46" s="13"/>
      <c r="W46" s="13"/>
      <c r="X46" s="9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9" t="s">
        <v>650</v>
      </c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9" t="s">
        <v>650</v>
      </c>
      <c r="BB46" s="9"/>
      <c r="BC46" s="13"/>
      <c r="BD46" s="9"/>
      <c r="BE46" s="13"/>
      <c r="BF46" s="13"/>
      <c r="BG46" s="9" t="s">
        <v>650</v>
      </c>
      <c r="BH46" s="13"/>
      <c r="BI46" s="9"/>
      <c r="BJ46" s="9" t="s">
        <v>650</v>
      </c>
      <c r="BK46" s="13"/>
      <c r="BL46" s="13"/>
      <c r="BM46" s="410" t="s">
        <v>736</v>
      </c>
      <c r="BN46" s="9"/>
      <c r="BO46" s="9"/>
      <c r="BP46" s="9"/>
      <c r="BQ46" s="9"/>
      <c r="BR46" s="9"/>
      <c r="BS46" s="9"/>
      <c r="BT46" s="9"/>
      <c r="BU46" s="9"/>
      <c r="BV46" s="9"/>
      <c r="BW46" s="141"/>
      <c r="BX46" s="437">
        <v>97812117</v>
      </c>
      <c r="BY46" s="438">
        <v>18622.48</v>
      </c>
      <c r="BZ46" s="433">
        <v>97806124</v>
      </c>
      <c r="CA46" s="434">
        <v>83.54</v>
      </c>
      <c r="CB46" s="433">
        <v>97806083</v>
      </c>
      <c r="CC46" s="434">
        <v>462.09</v>
      </c>
      <c r="CD46" s="187"/>
      <c r="CE46" s="265"/>
      <c r="CF46" s="435">
        <v>97806014</v>
      </c>
      <c r="CG46" s="436">
        <v>450</v>
      </c>
      <c r="CH46" s="282"/>
      <c r="CI46" s="290"/>
      <c r="CJ46" s="219"/>
      <c r="CK46" s="247"/>
      <c r="CL46" s="457">
        <v>97812117</v>
      </c>
      <c r="CM46" s="450">
        <f>BY46+CE46+CI46+CK46+CC46+CA46+CG46</f>
        <v>19618.11</v>
      </c>
      <c r="CQ46" s="187"/>
      <c r="CR46" s="265"/>
      <c r="CS46" s="187"/>
      <c r="CT46" s="265"/>
      <c r="CU46" s="439">
        <v>97812117</v>
      </c>
      <c r="CV46" s="534">
        <v>8499.9699999999993</v>
      </c>
      <c r="CW46" s="457" t="s">
        <v>737</v>
      </c>
      <c r="CX46" s="450">
        <f>CR46+CT46+CV46</f>
        <v>8499.9699999999993</v>
      </c>
    </row>
    <row r="47" spans="1:102">
      <c r="A47" s="7">
        <v>250</v>
      </c>
      <c r="B47" s="7">
        <v>921</v>
      </c>
      <c r="C47" s="7" t="s">
        <v>648</v>
      </c>
      <c r="D47" s="7">
        <v>2</v>
      </c>
      <c r="E47" s="13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 t="s">
        <v>650</v>
      </c>
      <c r="T47" s="7"/>
      <c r="U47" s="7"/>
      <c r="V47" s="7"/>
      <c r="W47" s="7"/>
      <c r="X47" s="7"/>
      <c r="Y47" s="7"/>
      <c r="Z47" s="7" t="s">
        <v>650</v>
      </c>
      <c r="AA47" s="7"/>
      <c r="AB47" s="7"/>
      <c r="AC47" s="13"/>
      <c r="AD47" s="7"/>
      <c r="AE47" s="7"/>
      <c r="AF47" s="7"/>
      <c r="AG47" s="7"/>
      <c r="AH47" s="7"/>
      <c r="AI47" s="7"/>
      <c r="AJ47" s="7"/>
      <c r="AK47" s="7"/>
      <c r="AL47" s="7"/>
      <c r="AM47" s="13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 t="s">
        <v>650</v>
      </c>
      <c r="BG47" s="7"/>
      <c r="BH47" s="7"/>
      <c r="BI47" s="7"/>
      <c r="BJ47" s="7"/>
      <c r="BK47" s="7"/>
      <c r="BL47" s="13"/>
      <c r="BM47" s="7" t="s">
        <v>738</v>
      </c>
      <c r="BN47" s="7"/>
      <c r="BO47" s="7"/>
      <c r="BP47" s="7"/>
      <c r="BQ47" s="7"/>
      <c r="BR47" s="7"/>
      <c r="BS47" s="7"/>
      <c r="BT47" s="7"/>
      <c r="BU47" s="7"/>
      <c r="BV47" s="7"/>
      <c r="BW47" s="103"/>
      <c r="BX47" s="234">
        <v>96812678</v>
      </c>
      <c r="BY47" s="174">
        <v>13726.41</v>
      </c>
      <c r="BZ47" s="187">
        <v>96812223</v>
      </c>
      <c r="CA47" s="188">
        <v>327.43</v>
      </c>
      <c r="CB47" s="187">
        <v>96812223</v>
      </c>
      <c r="CC47" s="188">
        <v>327.43</v>
      </c>
      <c r="CD47" s="187"/>
      <c r="CE47" s="188"/>
      <c r="CF47" s="269">
        <v>97035612</v>
      </c>
      <c r="CG47" s="301">
        <v>450</v>
      </c>
      <c r="CH47" s="282" t="s">
        <v>739</v>
      </c>
      <c r="CI47" s="160">
        <v>118.45</v>
      </c>
      <c r="CJ47" s="219">
        <v>96921134</v>
      </c>
      <c r="CK47" s="225">
        <v>7818.6</v>
      </c>
      <c r="CL47" s="397" t="s">
        <v>740</v>
      </c>
      <c r="CM47" s="398">
        <f>CI47+CE47+BY47+CK47+CG47+CA47</f>
        <v>22440.89</v>
      </c>
      <c r="CQ47" s="187"/>
      <c r="CR47" s="188"/>
      <c r="CS47" s="187"/>
      <c r="CT47" s="188"/>
      <c r="CU47" s="219"/>
      <c r="CV47" s="225"/>
      <c r="CW47" s="397"/>
      <c r="CX47" s="398"/>
    </row>
    <row r="48" spans="1:102">
      <c r="A48" s="9">
        <v>251</v>
      </c>
      <c r="B48" s="9">
        <v>915</v>
      </c>
      <c r="C48" s="9" t="s">
        <v>648</v>
      </c>
      <c r="D48" s="9">
        <v>2</v>
      </c>
      <c r="E48" s="13"/>
      <c r="F48" s="9">
        <v>2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650</v>
      </c>
      <c r="T48" s="9"/>
      <c r="U48" s="9"/>
      <c r="V48" s="9"/>
      <c r="W48" s="9"/>
      <c r="X48" s="9"/>
      <c r="Y48" s="9"/>
      <c r="Z48" s="9"/>
      <c r="AA48" s="9"/>
      <c r="AB48" s="9"/>
      <c r="AC48" s="13"/>
      <c r="AD48" s="9"/>
      <c r="AE48" s="9"/>
      <c r="AF48" s="9"/>
      <c r="AG48" s="9"/>
      <c r="AH48" s="9"/>
      <c r="AI48" s="9"/>
      <c r="AJ48" s="9"/>
      <c r="AK48" s="9"/>
      <c r="AL48" s="9"/>
      <c r="AM48" s="13"/>
      <c r="AN48" s="9" t="s">
        <v>650</v>
      </c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643" t="s">
        <v>650</v>
      </c>
      <c r="BH48" s="9"/>
      <c r="BI48" s="9"/>
      <c r="BJ48" s="9" t="s">
        <v>650</v>
      </c>
      <c r="BK48" s="9"/>
      <c r="BL48" s="13"/>
      <c r="BM48" s="9" t="s">
        <v>741</v>
      </c>
      <c r="BN48" s="9"/>
      <c r="BO48" s="9"/>
      <c r="BP48" s="9"/>
      <c r="BQ48" s="9"/>
      <c r="BR48" s="9"/>
      <c r="BS48" s="9"/>
      <c r="BT48" s="9"/>
      <c r="BU48" s="9"/>
      <c r="BV48" s="9"/>
      <c r="BW48" s="141"/>
      <c r="BX48" s="234">
        <v>96933707</v>
      </c>
      <c r="BY48" s="174">
        <v>16841.54</v>
      </c>
      <c r="BZ48" s="187">
        <v>96933300</v>
      </c>
      <c r="CA48" s="188">
        <v>3415.06</v>
      </c>
      <c r="CB48" s="187">
        <v>96933300</v>
      </c>
      <c r="CC48" s="188">
        <v>3415.06</v>
      </c>
      <c r="CD48" s="187">
        <v>97381729</v>
      </c>
      <c r="CE48" s="188">
        <v>83.54</v>
      </c>
      <c r="CF48" s="269">
        <v>97035637</v>
      </c>
      <c r="CG48" s="301">
        <v>450</v>
      </c>
      <c r="CH48" s="282">
        <v>96933306</v>
      </c>
      <c r="CI48" s="160">
        <v>118.45</v>
      </c>
      <c r="CJ48" s="219">
        <v>97119201</v>
      </c>
      <c r="CK48" s="225">
        <v>9153.0300000000007</v>
      </c>
      <c r="CL48" s="397">
        <f>BX48</f>
        <v>96933707</v>
      </c>
      <c r="CM48" s="398">
        <f>BY48+CE48+CI48+CK48+CG48+CA48</f>
        <v>30061.620000000006</v>
      </c>
      <c r="CQ48" s="187"/>
      <c r="CR48" s="188"/>
      <c r="CS48" s="187"/>
      <c r="CT48" s="188"/>
      <c r="CU48" s="219"/>
      <c r="CV48" s="225"/>
      <c r="CW48" s="397"/>
      <c r="CX48" s="398"/>
    </row>
    <row r="49" spans="1:102" s="158" customFormat="1">
      <c r="A49" s="409">
        <v>252</v>
      </c>
      <c r="B49" s="409">
        <v>913</v>
      </c>
      <c r="C49" s="409" t="s">
        <v>649</v>
      </c>
      <c r="D49" s="409">
        <v>2</v>
      </c>
      <c r="E49" s="632"/>
      <c r="F49" s="409">
        <v>2</v>
      </c>
      <c r="G49" s="632"/>
      <c r="H49" s="632"/>
      <c r="I49" s="409"/>
      <c r="J49" s="409"/>
      <c r="K49" s="632"/>
      <c r="L49" s="632"/>
      <c r="M49" s="632"/>
      <c r="N49" s="409"/>
      <c r="O49" s="409"/>
      <c r="P49" s="409"/>
      <c r="Q49" s="632"/>
      <c r="R49" s="409"/>
      <c r="S49" s="409" t="s">
        <v>650</v>
      </c>
      <c r="T49" s="632"/>
      <c r="U49" s="632"/>
      <c r="V49" s="632"/>
      <c r="W49" s="632"/>
      <c r="X49" s="632"/>
      <c r="Y49" s="632"/>
      <c r="Z49" s="409" t="s">
        <v>650</v>
      </c>
      <c r="AA49" s="632"/>
      <c r="AB49" s="632"/>
      <c r="AC49" s="632"/>
      <c r="AD49" s="632"/>
      <c r="AE49" s="632"/>
      <c r="AF49" s="632"/>
      <c r="AG49" s="632"/>
      <c r="AH49" s="632"/>
      <c r="AI49" s="632"/>
      <c r="AJ49" s="632"/>
      <c r="AK49" s="632"/>
      <c r="AL49" s="632"/>
      <c r="AM49" s="632"/>
      <c r="AN49" s="632"/>
      <c r="AO49" s="632"/>
      <c r="AP49" s="632"/>
      <c r="AQ49" s="632"/>
      <c r="AR49" s="632"/>
      <c r="AS49" s="632"/>
      <c r="AT49" s="632"/>
      <c r="AU49" s="632"/>
      <c r="AV49" s="632"/>
      <c r="AW49" s="632"/>
      <c r="AX49" s="632"/>
      <c r="AY49" s="632"/>
      <c r="AZ49" s="632"/>
      <c r="BA49" s="632"/>
      <c r="BB49" s="632"/>
      <c r="BC49" s="632"/>
      <c r="BD49" s="409"/>
      <c r="BE49" s="632"/>
      <c r="BF49" s="409" t="s">
        <v>650</v>
      </c>
      <c r="BG49" s="409" t="s">
        <v>650</v>
      </c>
      <c r="BH49" s="409" t="s">
        <v>650</v>
      </c>
      <c r="BI49" s="632"/>
      <c r="BJ49" s="632"/>
      <c r="BK49" s="632"/>
      <c r="BL49" s="632"/>
      <c r="BM49" s="409" t="s">
        <v>742</v>
      </c>
      <c r="BN49" s="409"/>
      <c r="BO49" s="409"/>
      <c r="BP49" s="409"/>
      <c r="BQ49" s="409"/>
      <c r="BR49" s="409"/>
      <c r="BS49" s="409"/>
      <c r="BT49" s="409"/>
      <c r="BU49" s="409"/>
      <c r="BV49" s="409"/>
      <c r="BW49" s="557"/>
      <c r="BX49" s="437">
        <v>97045133</v>
      </c>
      <c r="BY49" s="438">
        <v>16927.310000000001</v>
      </c>
      <c r="BZ49" s="433">
        <v>97045034</v>
      </c>
      <c r="CA49" s="434">
        <v>3277</v>
      </c>
      <c r="CB49" s="433">
        <v>97045034</v>
      </c>
      <c r="CC49" s="434">
        <v>3277</v>
      </c>
      <c r="CD49" s="433">
        <v>97381730</v>
      </c>
      <c r="CE49" s="434">
        <v>431.75</v>
      </c>
      <c r="CF49" s="435">
        <v>97045003</v>
      </c>
      <c r="CG49" s="436">
        <v>450</v>
      </c>
      <c r="CH49" s="454">
        <v>97045042</v>
      </c>
      <c r="CI49" s="455">
        <v>118.45</v>
      </c>
      <c r="CJ49" s="439">
        <v>97045133</v>
      </c>
      <c r="CK49" s="440">
        <v>9718.49</v>
      </c>
      <c r="CL49" s="457">
        <v>97045133</v>
      </c>
      <c r="CM49" s="450">
        <f>CK49+CI49+CG49+CE49+BY49+CA49</f>
        <v>30923</v>
      </c>
      <c r="CN49" s="658"/>
      <c r="CO49" s="658"/>
      <c r="CQ49" s="433"/>
      <c r="CR49" s="434"/>
      <c r="CS49" s="433"/>
      <c r="CT49" s="434"/>
      <c r="CU49" s="439"/>
      <c r="CV49" s="440"/>
      <c r="CW49" s="457"/>
      <c r="CX49" s="450"/>
    </row>
    <row r="50" spans="1:102" s="158" customFormat="1">
      <c r="A50" s="410">
        <v>253</v>
      </c>
      <c r="B50" s="410">
        <v>921</v>
      </c>
      <c r="C50" s="410" t="s">
        <v>647</v>
      </c>
      <c r="D50" s="410">
        <v>2</v>
      </c>
      <c r="E50" s="632"/>
      <c r="F50" s="410"/>
      <c r="G50" s="410"/>
      <c r="H50" s="410"/>
      <c r="I50" s="410"/>
      <c r="J50" s="410"/>
      <c r="K50" s="410"/>
      <c r="L50" s="410"/>
      <c r="M50" s="410"/>
      <c r="N50" s="410"/>
      <c r="O50" s="410"/>
      <c r="P50" s="410"/>
      <c r="Q50" s="410"/>
      <c r="R50" s="410"/>
      <c r="S50" s="410" t="s">
        <v>650</v>
      </c>
      <c r="T50" s="410"/>
      <c r="U50" s="410"/>
      <c r="V50" s="410"/>
      <c r="W50" s="410"/>
      <c r="X50" s="528" t="s">
        <v>650</v>
      </c>
      <c r="Y50" s="410"/>
      <c r="Z50" s="410"/>
      <c r="AA50" s="410"/>
      <c r="AB50" s="410"/>
      <c r="AC50" s="632"/>
      <c r="AD50" s="410"/>
      <c r="AE50" s="410"/>
      <c r="AF50" s="410"/>
      <c r="AG50" s="410"/>
      <c r="AH50" s="410"/>
      <c r="AI50" s="410"/>
      <c r="AJ50" s="410"/>
      <c r="AK50" s="410"/>
      <c r="AL50" s="410"/>
      <c r="AM50" s="632"/>
      <c r="AN50" s="410"/>
      <c r="AO50" s="410"/>
      <c r="AP50" s="410"/>
      <c r="AQ50" s="410"/>
      <c r="AR50" s="410"/>
      <c r="AS50" s="410"/>
      <c r="AT50" s="410"/>
      <c r="AU50" s="410"/>
      <c r="AV50" s="410"/>
      <c r="AW50" s="410"/>
      <c r="AX50" s="410"/>
      <c r="AY50" s="410"/>
      <c r="AZ50" s="410"/>
      <c r="BA50" s="410"/>
      <c r="BB50" s="410"/>
      <c r="BC50" s="410"/>
      <c r="BD50" s="410"/>
      <c r="BE50" s="410"/>
      <c r="BF50" s="410" t="s">
        <v>650</v>
      </c>
      <c r="BG50" s="410"/>
      <c r="BH50" s="410"/>
      <c r="BI50" s="410"/>
      <c r="BJ50" s="410"/>
      <c r="BK50" s="410"/>
      <c r="BL50" s="632"/>
      <c r="BM50" s="410" t="s">
        <v>743</v>
      </c>
      <c r="BN50" s="410"/>
      <c r="BO50" s="632"/>
      <c r="BP50" s="410">
        <v>66310530</v>
      </c>
      <c r="BQ50" s="669">
        <v>758.09999999999991</v>
      </c>
      <c r="BR50" s="410"/>
      <c r="BS50" s="410"/>
      <c r="BT50" s="410"/>
      <c r="BU50" s="410"/>
      <c r="BV50" s="410"/>
      <c r="BW50" s="656"/>
      <c r="BX50" s="437">
        <v>96688975</v>
      </c>
      <c r="BY50" s="438">
        <v>22217.8</v>
      </c>
      <c r="BZ50" s="456">
        <v>96688858</v>
      </c>
      <c r="CA50" s="434">
        <v>-608.08000000000004</v>
      </c>
      <c r="CB50" s="456"/>
      <c r="CC50" s="434"/>
      <c r="CD50" s="456"/>
      <c r="CE50" s="434"/>
      <c r="CF50" s="435"/>
      <c r="CG50" s="436"/>
      <c r="CH50" s="454">
        <v>96688865</v>
      </c>
      <c r="CI50" s="455">
        <v>118.45</v>
      </c>
      <c r="CJ50" s="439"/>
      <c r="CK50" s="534"/>
      <c r="CL50" s="457">
        <v>96688975</v>
      </c>
      <c r="CM50" s="450">
        <f>CI50+CE50+CK50+BY50</f>
        <v>22336.25</v>
      </c>
      <c r="CN50" s="658"/>
      <c r="CO50" s="658"/>
      <c r="CQ50" s="456"/>
      <c r="CR50" s="434"/>
      <c r="CS50" s="433"/>
      <c r="CT50" s="434"/>
      <c r="CU50" s="439"/>
      <c r="CV50" s="440"/>
      <c r="CW50" s="457"/>
      <c r="CX50" s="450"/>
    </row>
    <row r="51" spans="1:102">
      <c r="A51" s="7">
        <v>254</v>
      </c>
      <c r="B51" s="7">
        <v>721</v>
      </c>
      <c r="C51" s="7" t="s">
        <v>649</v>
      </c>
      <c r="D51" s="7">
        <v>3</v>
      </c>
      <c r="E51" s="13"/>
      <c r="F51" s="7">
        <v>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 t="s">
        <v>650</v>
      </c>
      <c r="S51" s="7" t="s">
        <v>650</v>
      </c>
      <c r="T51" s="7"/>
      <c r="U51" s="7"/>
      <c r="V51" s="7"/>
      <c r="W51" s="7"/>
      <c r="X51" s="7" t="s">
        <v>650</v>
      </c>
      <c r="Y51" s="7"/>
      <c r="Z51" s="7" t="s">
        <v>289</v>
      </c>
      <c r="AA51" s="7"/>
      <c r="AB51" s="7"/>
      <c r="AC51" s="13"/>
      <c r="AD51" s="7"/>
      <c r="AE51" s="7"/>
      <c r="AF51" s="7"/>
      <c r="AG51" s="7"/>
      <c r="AH51" s="7"/>
      <c r="AI51" s="7"/>
      <c r="AJ51" s="7"/>
      <c r="AK51" s="7"/>
      <c r="AL51" s="7"/>
      <c r="AM51" s="13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 t="s">
        <v>650</v>
      </c>
      <c r="BH51" s="7" t="s">
        <v>650</v>
      </c>
      <c r="BI51" s="7"/>
      <c r="BJ51" s="7"/>
      <c r="BK51" s="7"/>
      <c r="BL51" s="13"/>
      <c r="BM51" s="7" t="s">
        <v>744</v>
      </c>
      <c r="BN51" s="7"/>
      <c r="BO51" s="13"/>
      <c r="BP51" s="7"/>
      <c r="BQ51" s="31"/>
      <c r="BR51" s="7" t="s">
        <v>9</v>
      </c>
      <c r="BS51" s="7" t="s">
        <v>9</v>
      </c>
      <c r="BT51" s="7" t="s">
        <v>9</v>
      </c>
      <c r="BU51" s="7" t="s">
        <v>9</v>
      </c>
      <c r="BV51" s="7" t="s">
        <v>9</v>
      </c>
      <c r="BW51" s="103"/>
      <c r="BX51" s="234">
        <v>96709478</v>
      </c>
      <c r="BY51" s="174">
        <v>18246.07</v>
      </c>
      <c r="BZ51" s="187">
        <v>96708898</v>
      </c>
      <c r="CA51" s="188">
        <v>3077.76</v>
      </c>
      <c r="CB51" s="187"/>
      <c r="CC51" s="188"/>
      <c r="CD51" s="187"/>
      <c r="CE51" s="267"/>
      <c r="CF51" s="269">
        <v>97044929</v>
      </c>
      <c r="CG51" s="301">
        <v>450</v>
      </c>
      <c r="CH51" s="282">
        <v>96708906</v>
      </c>
      <c r="CI51" s="160">
        <v>118.45</v>
      </c>
      <c r="CJ51" s="219">
        <v>96921135</v>
      </c>
      <c r="CK51" s="302">
        <v>6954.29</v>
      </c>
      <c r="CL51" s="397">
        <v>96709478</v>
      </c>
      <c r="CM51" s="423">
        <f>CI51+CE51+BY51+CG51+CK51+CA51</f>
        <v>28846.57</v>
      </c>
      <c r="CQ51" s="187"/>
      <c r="CR51" s="267"/>
      <c r="CS51" s="187"/>
      <c r="CT51" s="188"/>
      <c r="CU51" s="219"/>
      <c r="CV51" s="225"/>
      <c r="CW51" s="397"/>
      <c r="CX51" s="398"/>
    </row>
    <row r="52" spans="1:102" s="158" customFormat="1">
      <c r="A52" s="410">
        <v>255</v>
      </c>
      <c r="B52" s="410">
        <v>723</v>
      </c>
      <c r="C52" s="410" t="s">
        <v>647</v>
      </c>
      <c r="D52" s="410">
        <v>3</v>
      </c>
      <c r="E52" s="410"/>
      <c r="F52" s="410"/>
      <c r="G52" s="528" t="s">
        <v>650</v>
      </c>
      <c r="H52" s="410"/>
      <c r="I52" s="410"/>
      <c r="J52" s="410"/>
      <c r="K52" s="410"/>
      <c r="L52" s="410"/>
      <c r="M52" s="410"/>
      <c r="N52" s="410"/>
      <c r="O52" s="410"/>
      <c r="P52" s="410"/>
      <c r="Q52" s="410"/>
      <c r="R52" s="410"/>
      <c r="S52" s="410" t="s">
        <v>650</v>
      </c>
      <c r="T52" s="410"/>
      <c r="U52" s="410"/>
      <c r="V52" s="410"/>
      <c r="W52" s="410"/>
      <c r="X52" s="410"/>
      <c r="Y52" s="410"/>
      <c r="Z52" s="410"/>
      <c r="AA52" s="410" t="s">
        <v>650</v>
      </c>
      <c r="AB52" s="410"/>
      <c r="AC52" s="632"/>
      <c r="AD52" s="410"/>
      <c r="AE52" s="410"/>
      <c r="AF52" s="410"/>
      <c r="AG52" s="410" t="s">
        <v>650</v>
      </c>
      <c r="AH52" s="410"/>
      <c r="AI52" s="410"/>
      <c r="AJ52" s="410"/>
      <c r="AK52" s="410"/>
      <c r="AL52" s="410"/>
      <c r="AM52" s="632"/>
      <c r="AN52" s="410"/>
      <c r="AO52" s="410"/>
      <c r="AP52" s="410"/>
      <c r="AQ52" s="410"/>
      <c r="AR52" s="410"/>
      <c r="AS52" s="410"/>
      <c r="AT52" s="410"/>
      <c r="AU52" s="410"/>
      <c r="AV52" s="410"/>
      <c r="AW52" s="410"/>
      <c r="AX52" s="410"/>
      <c r="AY52" s="410"/>
      <c r="AZ52" s="410"/>
      <c r="BA52" s="410"/>
      <c r="BB52" s="410"/>
      <c r="BC52" s="410"/>
      <c r="BD52" s="410"/>
      <c r="BE52" s="410"/>
      <c r="BF52" s="410"/>
      <c r="BG52" s="410" t="s">
        <v>650</v>
      </c>
      <c r="BH52" s="410" t="s">
        <v>650</v>
      </c>
      <c r="BI52" s="410" t="s">
        <v>650</v>
      </c>
      <c r="BJ52" s="410"/>
      <c r="BK52" s="410"/>
      <c r="BL52" s="632"/>
      <c r="BM52" s="410" t="s">
        <v>745</v>
      </c>
      <c r="BN52" s="410"/>
      <c r="BO52" s="410"/>
      <c r="BP52" s="410"/>
      <c r="BQ52" s="410"/>
      <c r="BR52" s="410"/>
      <c r="BS52" s="410"/>
      <c r="BT52" s="410"/>
      <c r="BU52" s="410"/>
      <c r="BV52" s="410"/>
      <c r="BW52" s="656"/>
      <c r="BX52" s="437">
        <v>97169965</v>
      </c>
      <c r="BY52" s="438">
        <v>18247.68</v>
      </c>
      <c r="BZ52" s="456">
        <v>97168667</v>
      </c>
      <c r="CA52" s="434">
        <v>1305.48</v>
      </c>
      <c r="CB52" s="456">
        <v>97659903</v>
      </c>
      <c r="CC52" s="434">
        <v>5045</v>
      </c>
      <c r="CD52" s="456">
        <v>97168677</v>
      </c>
      <c r="CE52" s="434">
        <v>-579.13</v>
      </c>
      <c r="CF52" s="435">
        <v>97168605</v>
      </c>
      <c r="CG52" s="436">
        <v>450</v>
      </c>
      <c r="CH52" s="454">
        <v>97168700</v>
      </c>
      <c r="CI52" s="455">
        <v>118.45</v>
      </c>
      <c r="CJ52" s="439">
        <v>97169965</v>
      </c>
      <c r="CK52" s="440">
        <v>10810.1</v>
      </c>
      <c r="CL52" s="457">
        <v>97169965</v>
      </c>
      <c r="CM52" s="450">
        <f>BY52+CE52+CI52+CK52+CG52+CA52+CC52+CO52</f>
        <v>38963.840000000004</v>
      </c>
      <c r="CN52" s="658">
        <v>97659900</v>
      </c>
      <c r="CO52" s="788">
        <v>3566.26</v>
      </c>
      <c r="CQ52" s="456"/>
      <c r="CR52" s="434"/>
      <c r="CS52" s="433"/>
      <c r="CT52" s="434"/>
      <c r="CU52" s="439"/>
      <c r="CV52" s="440"/>
      <c r="CW52" s="457"/>
      <c r="CX52" s="450"/>
    </row>
    <row r="53" spans="1:102" s="158" customFormat="1">
      <c r="A53" s="409">
        <v>256</v>
      </c>
      <c r="B53" s="409">
        <v>250</v>
      </c>
      <c r="C53" s="409" t="s">
        <v>648</v>
      </c>
      <c r="D53" s="409"/>
      <c r="E53" s="632"/>
      <c r="F53" s="409">
        <v>1</v>
      </c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 t="s">
        <v>650</v>
      </c>
      <c r="T53" s="409"/>
      <c r="U53" s="409"/>
      <c r="V53" s="409"/>
      <c r="W53" s="409"/>
      <c r="X53" s="409"/>
      <c r="Y53" s="409"/>
      <c r="Z53" s="409"/>
      <c r="AA53" s="409"/>
      <c r="AB53" s="409"/>
      <c r="AC53" s="632"/>
      <c r="AD53" s="409"/>
      <c r="AE53" s="409"/>
      <c r="AF53" s="409"/>
      <c r="AG53" s="409" t="s">
        <v>650</v>
      </c>
      <c r="AH53" s="409"/>
      <c r="AI53" s="409"/>
      <c r="AJ53" s="409"/>
      <c r="AK53" s="409"/>
      <c r="AL53" s="409"/>
      <c r="AM53" s="632"/>
      <c r="AN53" s="409" t="s">
        <v>650</v>
      </c>
      <c r="AO53" s="409"/>
      <c r="AP53" s="409"/>
      <c r="AQ53" s="409"/>
      <c r="AR53" s="409"/>
      <c r="AS53" s="409"/>
      <c r="AT53" s="409"/>
      <c r="AU53" s="409"/>
      <c r="AV53" s="409"/>
      <c r="AW53" s="409"/>
      <c r="AX53" s="409"/>
      <c r="AY53" s="409"/>
      <c r="AZ53" s="409"/>
      <c r="BA53" s="409"/>
      <c r="BB53" s="409"/>
      <c r="BC53" s="409"/>
      <c r="BD53" s="409"/>
      <c r="BE53" s="409"/>
      <c r="BF53" s="409"/>
      <c r="BG53" s="409"/>
      <c r="BH53" s="409"/>
      <c r="BI53" s="409"/>
      <c r="BJ53" s="409" t="s">
        <v>650</v>
      </c>
      <c r="BK53" s="409"/>
      <c r="BL53" s="632"/>
      <c r="BM53" s="409" t="s">
        <v>746</v>
      </c>
      <c r="BN53" s="409"/>
      <c r="BO53" s="409"/>
      <c r="BP53" s="409"/>
      <c r="BQ53" s="409"/>
      <c r="BR53" s="409"/>
      <c r="BS53" s="409"/>
      <c r="BT53" s="409"/>
      <c r="BU53" s="409"/>
      <c r="BV53" s="409"/>
      <c r="BW53" s="557"/>
      <c r="BX53" s="437">
        <v>97169986</v>
      </c>
      <c r="BY53" s="438">
        <v>16401.12</v>
      </c>
      <c r="BZ53" s="433">
        <v>97168765</v>
      </c>
      <c r="CA53" s="434">
        <v>2881.62</v>
      </c>
      <c r="CB53" s="433"/>
      <c r="CC53" s="434"/>
      <c r="CD53" s="433">
        <v>97659937</v>
      </c>
      <c r="CE53" s="489">
        <v>5015</v>
      </c>
      <c r="CF53" s="435">
        <v>97168725</v>
      </c>
      <c r="CG53" s="436">
        <v>450</v>
      </c>
      <c r="CH53" s="454">
        <v>97168772</v>
      </c>
      <c r="CI53" s="455">
        <v>118.45</v>
      </c>
      <c r="CJ53" s="439">
        <v>97169986</v>
      </c>
      <c r="CK53" s="440">
        <v>10631.63</v>
      </c>
      <c r="CL53" s="457">
        <v>97169986</v>
      </c>
      <c r="CM53" s="450">
        <f>BY53+CE53+CI53+CK53+CG53+CA53</f>
        <v>35497.82</v>
      </c>
      <c r="CN53" s="658">
        <v>97659937</v>
      </c>
      <c r="CO53" s="789">
        <v>5015</v>
      </c>
      <c r="CQ53" s="433"/>
      <c r="CR53" s="489"/>
      <c r="CS53" s="433"/>
      <c r="CT53" s="434"/>
      <c r="CU53" s="439"/>
      <c r="CV53" s="440"/>
      <c r="CW53" s="457"/>
      <c r="CX53" s="450"/>
    </row>
    <row r="54" spans="1:102">
      <c r="A54" s="410">
        <v>257</v>
      </c>
      <c r="B54" s="410">
        <v>723</v>
      </c>
      <c r="C54" s="410" t="s">
        <v>649</v>
      </c>
      <c r="D54" s="410">
        <v>2</v>
      </c>
      <c r="E54" s="9"/>
      <c r="F54" s="9"/>
      <c r="G54" s="9"/>
      <c r="H54" s="9"/>
      <c r="I54" s="9"/>
      <c r="J54" s="13"/>
      <c r="K54" s="13"/>
      <c r="L54" s="9"/>
      <c r="M54" s="410" t="s">
        <v>650</v>
      </c>
      <c r="N54" s="9"/>
      <c r="O54" s="13"/>
      <c r="P54" s="13"/>
      <c r="Q54" s="13"/>
      <c r="R54" s="9"/>
      <c r="S54" s="528" t="s">
        <v>650</v>
      </c>
      <c r="T54" s="13"/>
      <c r="U54" s="13"/>
      <c r="V54" s="13"/>
      <c r="W54" s="9"/>
      <c r="X54" s="9"/>
      <c r="Y54" s="13"/>
      <c r="Z54" s="13"/>
      <c r="AA54" s="410" t="s">
        <v>650</v>
      </c>
      <c r="AB54" s="410"/>
      <c r="AC54" s="677" t="s">
        <v>650</v>
      </c>
      <c r="AD54" s="13"/>
      <c r="AE54" s="410" t="s">
        <v>650</v>
      </c>
      <c r="AF54" s="13"/>
      <c r="AG54" s="9"/>
      <c r="AH54" s="410" t="s">
        <v>650</v>
      </c>
      <c r="AI54" s="9"/>
      <c r="AJ54" s="13"/>
      <c r="AK54" s="13"/>
      <c r="AL54" s="13"/>
      <c r="AM54" s="13"/>
      <c r="AN54" s="13"/>
      <c r="AO54" s="9"/>
      <c r="AP54" s="9"/>
      <c r="AQ54" s="410" t="s">
        <v>650</v>
      </c>
      <c r="AR54" s="9"/>
      <c r="AS54" s="9"/>
      <c r="AT54" s="410" t="s">
        <v>650</v>
      </c>
      <c r="AU54" s="9"/>
      <c r="AV54" s="9"/>
      <c r="AW54" s="9"/>
      <c r="AX54" s="9"/>
      <c r="AY54" s="9"/>
      <c r="AZ54" s="13"/>
      <c r="BA54" s="13"/>
      <c r="BB54" s="13"/>
      <c r="BC54" s="13"/>
      <c r="BD54" s="9"/>
      <c r="BE54" s="13"/>
      <c r="BF54" s="13"/>
      <c r="BG54" s="410" t="s">
        <v>650</v>
      </c>
      <c r="BH54" s="38" t="s">
        <v>650</v>
      </c>
      <c r="BI54" s="410" t="s">
        <v>650</v>
      </c>
      <c r="BJ54" s="13"/>
      <c r="BK54" s="13"/>
      <c r="BL54" s="13"/>
      <c r="BM54" s="9" t="s">
        <v>747</v>
      </c>
      <c r="BN54" s="9"/>
      <c r="BO54" s="9"/>
      <c r="BP54" s="9"/>
      <c r="BQ54" s="9"/>
      <c r="BR54" s="9"/>
      <c r="BS54" s="9"/>
      <c r="BT54" s="9"/>
      <c r="BU54" s="9"/>
      <c r="BV54" s="9"/>
      <c r="BW54" s="141"/>
      <c r="BX54" s="437">
        <v>98213311</v>
      </c>
      <c r="BY54" s="438">
        <v>18000.68</v>
      </c>
      <c r="BZ54" s="456">
        <v>96457657</v>
      </c>
      <c r="CA54" s="434">
        <v>3451</v>
      </c>
      <c r="CB54" s="456">
        <v>98212739</v>
      </c>
      <c r="CC54" s="434">
        <v>24.12</v>
      </c>
      <c r="CD54" s="456">
        <v>98212753</v>
      </c>
      <c r="CE54" s="434">
        <v>140.72</v>
      </c>
      <c r="CF54" s="435">
        <v>98212713</v>
      </c>
      <c r="CG54" s="436">
        <v>450</v>
      </c>
      <c r="CH54" s="282"/>
      <c r="CI54" s="160"/>
      <c r="CJ54" s="219"/>
      <c r="CK54" s="223"/>
      <c r="CL54" s="457">
        <v>98213311</v>
      </c>
      <c r="CM54" s="450">
        <f>BY54+CA54+CC54+CE54+CG54+CI54+CK54</f>
        <v>22066.52</v>
      </c>
      <c r="CQ54" s="266">
        <v>98212742</v>
      </c>
      <c r="CR54" s="188">
        <v>11710.35</v>
      </c>
      <c r="CS54" s="187">
        <v>99355875</v>
      </c>
      <c r="CT54" s="188">
        <v>118.45</v>
      </c>
      <c r="CU54" s="219">
        <v>98213311</v>
      </c>
      <c r="CV54" s="225">
        <v>10178.93</v>
      </c>
      <c r="CW54" s="397">
        <v>98213311</v>
      </c>
      <c r="CX54" s="398">
        <f>CV54+CR54+CT54</f>
        <v>22007.73</v>
      </c>
    </row>
    <row r="55" spans="1:102">
      <c r="A55" s="409">
        <v>258</v>
      </c>
      <c r="B55" s="409">
        <v>721</v>
      </c>
      <c r="C55" s="409" t="s">
        <v>647</v>
      </c>
      <c r="D55" s="409">
        <v>3</v>
      </c>
      <c r="E55" s="7"/>
      <c r="F55" s="7"/>
      <c r="G55" s="7"/>
      <c r="H55" s="7"/>
      <c r="I55" s="409" t="s">
        <v>650</v>
      </c>
      <c r="J55" s="7"/>
      <c r="K55" s="7"/>
      <c r="L55" s="7"/>
      <c r="M55" s="7"/>
      <c r="N55" s="7"/>
      <c r="O55" s="7"/>
      <c r="P55" s="7"/>
      <c r="Q55" s="409" t="s">
        <v>650</v>
      </c>
      <c r="R55" s="7"/>
      <c r="S55" s="7"/>
      <c r="T55" s="7" t="s">
        <v>650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409" t="s">
        <v>650</v>
      </c>
      <c r="AF55" s="7"/>
      <c r="AG55" s="7"/>
      <c r="AH55" s="7"/>
      <c r="AI55" s="409" t="s">
        <v>650</v>
      </c>
      <c r="AJ55" s="7"/>
      <c r="AK55" s="7"/>
      <c r="AL55" s="7"/>
      <c r="AM55" s="13"/>
      <c r="AN55" s="7"/>
      <c r="AO55" s="7"/>
      <c r="AP55" s="7"/>
      <c r="AQ55" s="7"/>
      <c r="AR55" s="7"/>
      <c r="AS55" s="409" t="s">
        <v>650</v>
      </c>
      <c r="AT55" s="7"/>
      <c r="AU55" s="7"/>
      <c r="AV55" s="7"/>
      <c r="AW55" s="409" t="s">
        <v>650</v>
      </c>
      <c r="AX55" s="7"/>
      <c r="AY55" s="7"/>
      <c r="AZ55" s="7"/>
      <c r="BA55" s="7"/>
      <c r="BB55" s="7"/>
      <c r="BC55" s="7"/>
      <c r="BD55" s="7"/>
      <c r="BE55" s="7"/>
      <c r="BF55" s="7"/>
      <c r="BG55" s="409" t="s">
        <v>650</v>
      </c>
      <c r="BH55" s="409" t="s">
        <v>650</v>
      </c>
      <c r="BI55" s="7"/>
      <c r="BJ55" s="7"/>
      <c r="BK55" s="7"/>
      <c r="BL55" s="13"/>
      <c r="BM55" s="409" t="s">
        <v>748</v>
      </c>
      <c r="BN55" s="7"/>
      <c r="BO55" s="7"/>
      <c r="BP55" s="7"/>
      <c r="BQ55" s="7"/>
      <c r="BR55" s="7"/>
      <c r="BS55" s="7"/>
      <c r="BT55" s="7"/>
      <c r="BU55" s="7"/>
      <c r="BV55" s="7"/>
      <c r="BW55" s="103"/>
      <c r="BX55" s="234">
        <v>98486010</v>
      </c>
      <c r="BY55" s="174">
        <v>16012.81</v>
      </c>
      <c r="BZ55" s="187">
        <v>98972295</v>
      </c>
      <c r="CA55" s="188">
        <v>-6.75</v>
      </c>
      <c r="CB55" s="187"/>
      <c r="CC55" s="188"/>
      <c r="CD55" s="187"/>
      <c r="CE55" s="267"/>
      <c r="CF55" s="269">
        <v>98485860</v>
      </c>
      <c r="CG55" s="301">
        <v>450</v>
      </c>
      <c r="CH55" s="282"/>
      <c r="CI55" s="160"/>
      <c r="CJ55" s="219">
        <v>98486010</v>
      </c>
      <c r="CK55" s="247">
        <v>6695.53</v>
      </c>
      <c r="CL55" s="397">
        <v>98486010</v>
      </c>
      <c r="CM55" s="398">
        <f>CK55+CG55+BY55+CA55</f>
        <v>23151.59</v>
      </c>
      <c r="CQ55" s="187">
        <v>98485899</v>
      </c>
      <c r="CR55" s="267">
        <v>8697.15</v>
      </c>
      <c r="CS55" s="187">
        <v>96457657</v>
      </c>
      <c r="CT55" s="188">
        <v>13856.48</v>
      </c>
      <c r="CU55" s="219"/>
      <c r="CV55" s="225"/>
      <c r="CW55" s="397" t="s">
        <v>749</v>
      </c>
      <c r="CX55" s="398">
        <f>CR55+CT55</f>
        <v>22553.629999999997</v>
      </c>
    </row>
    <row r="56" spans="1:102">
      <c r="A56" s="410">
        <v>259</v>
      </c>
      <c r="B56" s="410">
        <v>250</v>
      </c>
      <c r="C56" s="410" t="s">
        <v>647</v>
      </c>
      <c r="D56" s="410">
        <v>3</v>
      </c>
      <c r="E56" s="13"/>
      <c r="F56" s="9"/>
      <c r="G56" s="13"/>
      <c r="H56" s="9"/>
      <c r="I56" s="410" t="s">
        <v>115</v>
      </c>
      <c r="J56" s="13"/>
      <c r="K56" s="13"/>
      <c r="L56" s="13"/>
      <c r="M56" s="410" t="s">
        <v>650</v>
      </c>
      <c r="N56" s="13"/>
      <c r="O56" s="13"/>
      <c r="P56" s="13"/>
      <c r="Q56" s="13"/>
      <c r="R56" s="9"/>
      <c r="S56" s="410" t="s">
        <v>650</v>
      </c>
      <c r="T56" s="13"/>
      <c r="U56" s="13"/>
      <c r="V56" s="13"/>
      <c r="W56" s="9"/>
      <c r="X56" s="13"/>
      <c r="Y56" s="13"/>
      <c r="Z56" s="13"/>
      <c r="AA56" s="410" t="s">
        <v>650</v>
      </c>
      <c r="AB56" s="410"/>
      <c r="AC56" s="13"/>
      <c r="AD56" s="9"/>
      <c r="AE56" s="410" t="s">
        <v>650</v>
      </c>
      <c r="AF56" s="410" t="s">
        <v>650</v>
      </c>
      <c r="AG56" s="9"/>
      <c r="AH56" s="9"/>
      <c r="AI56" s="410" t="s">
        <v>650</v>
      </c>
      <c r="AJ56" s="9"/>
      <c r="AK56" s="9"/>
      <c r="AL56" s="13"/>
      <c r="AM56" s="13"/>
      <c r="AN56" s="410" t="s">
        <v>650</v>
      </c>
      <c r="AO56" s="9"/>
      <c r="AP56" s="13"/>
      <c r="AQ56" s="410" t="s">
        <v>650</v>
      </c>
      <c r="AR56" s="13"/>
      <c r="AS56" s="9"/>
      <c r="AT56" s="410" t="s">
        <v>650</v>
      </c>
      <c r="AU56" s="9"/>
      <c r="AV56" s="9"/>
      <c r="AW56" s="13"/>
      <c r="AX56" s="13"/>
      <c r="AY56" s="13"/>
      <c r="AZ56" s="9"/>
      <c r="BA56" s="9"/>
      <c r="BB56" s="9"/>
      <c r="BC56" s="13"/>
      <c r="BD56" s="9"/>
      <c r="BE56" s="9"/>
      <c r="BF56" s="410" t="s">
        <v>650</v>
      </c>
      <c r="BG56" s="13"/>
      <c r="BH56" s="13"/>
      <c r="BI56" s="13"/>
      <c r="BJ56" s="9"/>
      <c r="BK56" s="13"/>
      <c r="BL56" s="13"/>
      <c r="BM56" s="9" t="s">
        <v>750</v>
      </c>
      <c r="BN56" s="9"/>
      <c r="BO56" s="9"/>
      <c r="BP56" s="9"/>
      <c r="BQ56" s="9"/>
      <c r="BR56" s="9"/>
      <c r="BS56" s="9"/>
      <c r="BT56" s="9"/>
      <c r="BU56" s="9"/>
      <c r="BV56" s="9"/>
      <c r="BW56" s="141"/>
      <c r="BX56" s="234">
        <v>99445674</v>
      </c>
      <c r="BY56" s="174">
        <v>19407.61</v>
      </c>
      <c r="BZ56" s="266">
        <v>96457657</v>
      </c>
      <c r="CA56" s="188">
        <v>4157.04</v>
      </c>
      <c r="CB56" s="266"/>
      <c r="CC56" s="188"/>
      <c r="CD56" s="266"/>
      <c r="CE56" s="188"/>
      <c r="CF56" s="269">
        <v>99445583</v>
      </c>
      <c r="CG56" s="301">
        <v>450</v>
      </c>
      <c r="CH56" s="282">
        <v>99445630</v>
      </c>
      <c r="CI56" s="160">
        <v>118.45</v>
      </c>
      <c r="CJ56" s="219"/>
      <c r="CK56" s="223"/>
      <c r="CL56" s="397">
        <f>BX56</f>
        <v>99445674</v>
      </c>
      <c r="CM56" s="398">
        <f>BY56+CA56+CC56+CE56+CI56+CK56+CG56</f>
        <v>24133.100000000002</v>
      </c>
      <c r="CQ56" s="266">
        <v>99445612</v>
      </c>
      <c r="CR56" s="188">
        <v>19310</v>
      </c>
      <c r="CS56" s="187"/>
      <c r="CT56" s="188"/>
      <c r="CU56" s="219">
        <v>99445674</v>
      </c>
      <c r="CV56" s="225">
        <v>10176.629999999999</v>
      </c>
      <c r="CW56" s="397" t="s">
        <v>751</v>
      </c>
      <c r="CX56" s="398">
        <f>CR56+CT56+CV56</f>
        <v>29486.629999999997</v>
      </c>
    </row>
    <row r="57" spans="1:102" s="158" customFormat="1">
      <c r="A57" s="409">
        <v>260</v>
      </c>
      <c r="B57" s="409">
        <v>723</v>
      </c>
      <c r="C57" s="409" t="s">
        <v>649</v>
      </c>
      <c r="D57" s="409">
        <v>2</v>
      </c>
      <c r="E57" s="409"/>
      <c r="F57" s="409"/>
      <c r="G57" s="409"/>
      <c r="H57" s="409"/>
      <c r="I57" s="409" t="s">
        <v>115</v>
      </c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409"/>
      <c r="Z57" s="409"/>
      <c r="AA57" s="409" t="s">
        <v>650</v>
      </c>
      <c r="AB57" s="409"/>
      <c r="AC57" s="409"/>
      <c r="AD57" s="409"/>
      <c r="AE57" s="409"/>
      <c r="AF57" s="409"/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409"/>
      <c r="AS57" s="409"/>
      <c r="AT57" s="409" t="s">
        <v>650</v>
      </c>
      <c r="AU57" s="409"/>
      <c r="AV57" s="409"/>
      <c r="AW57" s="409"/>
      <c r="AX57" s="409"/>
      <c r="AY57" s="409"/>
      <c r="AZ57" s="409"/>
      <c r="BA57" s="409"/>
      <c r="BB57" s="409"/>
      <c r="BC57" s="409"/>
      <c r="BD57" s="409"/>
      <c r="BE57" s="409"/>
      <c r="BF57" s="409"/>
      <c r="BG57" s="409"/>
      <c r="BH57" s="409" t="s">
        <v>650</v>
      </c>
      <c r="BI57" s="409"/>
      <c r="BJ57" s="409"/>
      <c r="BK57" s="409"/>
      <c r="BL57" s="632"/>
      <c r="BM57" s="409" t="s">
        <v>752</v>
      </c>
      <c r="BN57" s="7"/>
      <c r="BO57" s="7"/>
      <c r="BP57" s="7"/>
      <c r="BQ57" s="7"/>
      <c r="BR57" s="7"/>
      <c r="BS57" s="7"/>
      <c r="BT57" s="7"/>
      <c r="BU57" s="7"/>
      <c r="BV57" s="7"/>
      <c r="BW57" s="103"/>
      <c r="BX57" s="840">
        <v>1416372</v>
      </c>
      <c r="BY57" s="841">
        <v>20329.580000000002</v>
      </c>
      <c r="BZ57" s="842">
        <v>1416193</v>
      </c>
      <c r="CA57" s="843">
        <v>20033.34</v>
      </c>
      <c r="CB57" s="433"/>
      <c r="CC57" s="434"/>
      <c r="CD57" s="433"/>
      <c r="CE57" s="489"/>
      <c r="CF57" s="269"/>
      <c r="CG57" s="301"/>
      <c r="CH57" s="282"/>
      <c r="CI57" s="160"/>
      <c r="CJ57" s="439">
        <v>1416372</v>
      </c>
      <c r="CK57" s="534">
        <v>10492.41</v>
      </c>
      <c r="CL57" s="457">
        <f>BX57</f>
        <v>1416372</v>
      </c>
      <c r="CM57" s="450">
        <f>BY57+CA57+CC57+CE57+CI57+CK57</f>
        <v>50855.33</v>
      </c>
      <c r="CN57" s="658"/>
      <c r="CO57" s="658"/>
      <c r="CQ57" s="433"/>
      <c r="CR57" s="489"/>
      <c r="CS57" s="433"/>
      <c r="CT57" s="434"/>
      <c r="CU57" s="439"/>
      <c r="CV57" s="440"/>
      <c r="CW57" s="457"/>
      <c r="CX57" s="450"/>
    </row>
    <row r="58" spans="1:102" s="158" customFormat="1" ht="15">
      <c r="A58" s="410">
        <v>261</v>
      </c>
      <c r="B58" s="410">
        <v>250</v>
      </c>
      <c r="C58" s="410" t="s">
        <v>648</v>
      </c>
      <c r="D58" s="410">
        <v>2</v>
      </c>
      <c r="E58" s="410"/>
      <c r="F58" s="410" t="s">
        <v>650</v>
      </c>
      <c r="G58" s="410"/>
      <c r="H58" s="410"/>
      <c r="I58" s="410"/>
      <c r="J58" s="410"/>
      <c r="K58" s="410"/>
      <c r="L58" s="410"/>
      <c r="M58" s="410"/>
      <c r="N58" s="410"/>
      <c r="O58" s="410"/>
      <c r="P58" s="410"/>
      <c r="Q58" s="410"/>
      <c r="R58" s="410" t="s">
        <v>650</v>
      </c>
      <c r="S58" s="410" t="s">
        <v>650</v>
      </c>
      <c r="T58" s="410"/>
      <c r="U58" s="410"/>
      <c r="V58" s="410"/>
      <c r="W58" s="410"/>
      <c r="X58" s="410"/>
      <c r="Y58" s="410"/>
      <c r="Z58" s="410"/>
      <c r="AA58" s="410"/>
      <c r="AB58" s="410"/>
      <c r="AC58" s="410"/>
      <c r="AD58" s="410"/>
      <c r="AE58" s="410"/>
      <c r="AF58" s="410"/>
      <c r="AG58" s="410"/>
      <c r="AH58" s="410"/>
      <c r="AI58" s="410"/>
      <c r="AJ58" s="410"/>
      <c r="AK58" s="410"/>
      <c r="AL58" s="410"/>
      <c r="AM58" s="410"/>
      <c r="AN58" s="410"/>
      <c r="AO58" s="410"/>
      <c r="AP58" s="410"/>
      <c r="AQ58" s="410"/>
      <c r="AR58" s="410"/>
      <c r="AS58" s="410"/>
      <c r="AT58" s="410"/>
      <c r="AU58" s="410"/>
      <c r="AV58" s="410"/>
      <c r="AW58" s="410"/>
      <c r="AX58" s="410"/>
      <c r="AY58" s="410"/>
      <c r="AZ58" s="410"/>
      <c r="BA58" s="410"/>
      <c r="BB58" s="410"/>
      <c r="BC58" s="410"/>
      <c r="BD58" s="410"/>
      <c r="BE58" s="410"/>
      <c r="BF58" s="410" t="s">
        <v>650</v>
      </c>
      <c r="BG58" s="410"/>
      <c r="BH58" s="410"/>
      <c r="BI58" s="410"/>
      <c r="BJ58" s="410"/>
      <c r="BK58" s="410"/>
      <c r="BL58" s="632"/>
      <c r="BM58" s="410" t="s">
        <v>753</v>
      </c>
      <c r="BN58" s="9"/>
      <c r="BO58" s="9"/>
      <c r="BP58" s="9"/>
      <c r="BQ58" s="9"/>
      <c r="BR58" s="9"/>
      <c r="BS58" s="9"/>
      <c r="BT58" s="9"/>
      <c r="BU58" s="9"/>
      <c r="BV58" s="9"/>
      <c r="BW58" s="141"/>
      <c r="BX58" s="840">
        <v>1556224</v>
      </c>
      <c r="BY58" s="841">
        <v>18682.990000000002</v>
      </c>
      <c r="BZ58" s="1004">
        <v>1555961</v>
      </c>
      <c r="CA58" s="843">
        <v>3044.29</v>
      </c>
      <c r="CB58" s="1004">
        <v>1556027</v>
      </c>
      <c r="CC58" s="843">
        <v>7100.83</v>
      </c>
      <c r="CD58" s="456"/>
      <c r="CE58" s="434"/>
      <c r="CF58" s="269"/>
      <c r="CG58" s="301"/>
      <c r="CH58" s="282"/>
      <c r="CI58" s="160"/>
      <c r="CJ58" s="439">
        <v>1556224</v>
      </c>
      <c r="CK58" s="440">
        <v>10642.96</v>
      </c>
      <c r="CL58" s="457"/>
      <c r="CM58" s="450">
        <f>BY58+CE58+CI58+CK58+CC58+CA58</f>
        <v>39471.07</v>
      </c>
      <c r="CN58" s="658"/>
      <c r="CO58" s="658"/>
      <c r="CQ58" s="456"/>
      <c r="CR58" s="434"/>
      <c r="CS58" s="433"/>
      <c r="CT58" s="434"/>
      <c r="CU58" s="439"/>
      <c r="CV58" s="440"/>
      <c r="CW58" s="457"/>
      <c r="CX58" s="450"/>
    </row>
    <row r="59" spans="1:102" s="158" customFormat="1">
      <c r="A59" s="409">
        <v>262</v>
      </c>
      <c r="B59" s="409">
        <v>250</v>
      </c>
      <c r="C59" s="409" t="s">
        <v>649</v>
      </c>
      <c r="D59" s="409">
        <v>2</v>
      </c>
      <c r="E59" s="409"/>
      <c r="F59" s="409" t="s">
        <v>650</v>
      </c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 t="s">
        <v>650</v>
      </c>
      <c r="S59" s="409" t="s">
        <v>650</v>
      </c>
      <c r="T59" s="409"/>
      <c r="U59" s="409"/>
      <c r="V59" s="409"/>
      <c r="W59" s="409"/>
      <c r="X59" s="409"/>
      <c r="Y59" s="409"/>
      <c r="Z59" s="409"/>
      <c r="AA59" s="409"/>
      <c r="AB59" s="409"/>
      <c r="AC59" s="409"/>
      <c r="AD59" s="409"/>
      <c r="AE59" s="409"/>
      <c r="AF59" s="409"/>
      <c r="AG59" s="409"/>
      <c r="AH59" s="409"/>
      <c r="AI59" s="409"/>
      <c r="AJ59" s="409"/>
      <c r="AK59" s="409"/>
      <c r="AL59" s="409"/>
      <c r="AM59" s="409"/>
      <c r="AN59" s="409" t="s">
        <v>650</v>
      </c>
      <c r="AO59" s="409"/>
      <c r="AP59" s="409"/>
      <c r="AQ59" s="409"/>
      <c r="AR59" s="409"/>
      <c r="AS59" s="409"/>
      <c r="AT59" s="409"/>
      <c r="AU59" s="409"/>
      <c r="AV59" s="409"/>
      <c r="AW59" s="409"/>
      <c r="AX59" s="409"/>
      <c r="AY59" s="409"/>
      <c r="AZ59" s="409"/>
      <c r="BA59" s="409"/>
      <c r="BB59" s="409"/>
      <c r="BC59" s="409"/>
      <c r="BD59" s="409"/>
      <c r="BE59" s="409"/>
      <c r="BF59" s="409" t="s">
        <v>650</v>
      </c>
      <c r="BG59" s="409"/>
      <c r="BH59" s="409"/>
      <c r="BI59" s="409"/>
      <c r="BJ59" s="409"/>
      <c r="BK59" s="409"/>
      <c r="BL59" s="632"/>
      <c r="BM59" s="409" t="s">
        <v>754</v>
      </c>
      <c r="BN59" s="409"/>
      <c r="BO59" s="409"/>
      <c r="BP59" s="409"/>
      <c r="BQ59" s="409"/>
      <c r="BR59" s="409"/>
      <c r="BS59" s="409"/>
      <c r="BT59" s="409"/>
      <c r="BU59" s="409"/>
      <c r="BV59" s="409"/>
      <c r="BW59" s="557"/>
      <c r="BX59" s="437">
        <v>1304846</v>
      </c>
      <c r="BY59" s="438">
        <v>18322.849999999999</v>
      </c>
      <c r="BZ59" s="842">
        <v>1304753</v>
      </c>
      <c r="CA59" s="843">
        <v>3676.31</v>
      </c>
      <c r="CB59" s="842">
        <v>1304783</v>
      </c>
      <c r="CC59" s="843">
        <v>7100.83</v>
      </c>
      <c r="CD59" s="433" t="s">
        <v>755</v>
      </c>
      <c r="CE59" s="489">
        <v>2880.19</v>
      </c>
      <c r="CF59" s="435"/>
      <c r="CG59" s="436"/>
      <c r="CH59" s="454"/>
      <c r="CI59" s="455"/>
      <c r="CJ59" s="439">
        <v>1504709</v>
      </c>
      <c r="CK59" s="440">
        <v>7762.77</v>
      </c>
      <c r="CL59" s="457"/>
      <c r="CM59" s="450">
        <f>BY59+CA59+CC59+CE59+CI59+CK59</f>
        <v>39742.949999999997</v>
      </c>
      <c r="CN59" s="658"/>
      <c r="CO59" s="658"/>
      <c r="CQ59" s="433"/>
      <c r="CR59" s="489"/>
      <c r="CS59" s="433"/>
      <c r="CT59" s="434"/>
      <c r="CU59" s="439"/>
      <c r="CV59" s="440"/>
      <c r="CW59" s="457"/>
      <c r="CX59" s="450"/>
    </row>
    <row r="60" spans="1:102" s="158" customFormat="1">
      <c r="A60" s="410">
        <v>263</v>
      </c>
      <c r="B60" s="410">
        <v>723</v>
      </c>
      <c r="C60" s="410" t="s">
        <v>648</v>
      </c>
      <c r="D60" s="410">
        <v>2</v>
      </c>
      <c r="E60" s="410"/>
      <c r="F60" s="410" t="s">
        <v>650</v>
      </c>
      <c r="G60" s="410"/>
      <c r="H60" s="410"/>
      <c r="I60" s="410"/>
      <c r="J60" s="410"/>
      <c r="K60" s="410"/>
      <c r="L60" s="410"/>
      <c r="M60" s="410"/>
      <c r="N60" s="410"/>
      <c r="O60" s="410"/>
      <c r="P60" s="410"/>
      <c r="Q60" s="410"/>
      <c r="R60" s="410" t="s">
        <v>650</v>
      </c>
      <c r="S60" s="410" t="s">
        <v>650</v>
      </c>
      <c r="T60" s="410"/>
      <c r="U60" s="410"/>
      <c r="V60" s="410"/>
      <c r="W60" s="410"/>
      <c r="X60" s="410"/>
      <c r="Y60" s="410"/>
      <c r="Z60" s="410"/>
      <c r="AA60" s="410" t="s">
        <v>650</v>
      </c>
      <c r="AB60" s="410"/>
      <c r="AC60" s="410"/>
      <c r="AD60" s="410"/>
      <c r="AE60" s="410"/>
      <c r="AF60" s="410"/>
      <c r="AG60" s="410"/>
      <c r="AH60" s="410"/>
      <c r="AI60" s="410"/>
      <c r="AJ60" s="410"/>
      <c r="AK60" s="410"/>
      <c r="AL60" s="410"/>
      <c r="AM60" s="410"/>
      <c r="AN60" s="410"/>
      <c r="AO60" s="410"/>
      <c r="AP60" s="410"/>
      <c r="AQ60" s="410"/>
      <c r="AR60" s="410"/>
      <c r="AS60" s="410"/>
      <c r="AT60" s="410"/>
      <c r="AU60" s="410"/>
      <c r="AV60" s="410"/>
      <c r="AW60" s="410"/>
      <c r="AX60" s="410"/>
      <c r="AY60" s="410"/>
      <c r="AZ60" s="410"/>
      <c r="BA60" s="410"/>
      <c r="BB60" s="410"/>
      <c r="BC60" s="410"/>
      <c r="BD60" s="410"/>
      <c r="BE60" s="410"/>
      <c r="BF60" s="410"/>
      <c r="BG60" s="410"/>
      <c r="BH60" s="410"/>
      <c r="BI60" s="410"/>
      <c r="BJ60" s="410"/>
      <c r="BK60" s="410"/>
      <c r="BL60" s="632"/>
      <c r="BM60" s="410" t="s">
        <v>756</v>
      </c>
      <c r="BN60" s="410"/>
      <c r="BO60" s="410"/>
      <c r="BP60" s="410"/>
      <c r="BQ60" s="410"/>
      <c r="BR60" s="410"/>
      <c r="BS60" s="410"/>
      <c r="BT60" s="410"/>
      <c r="BU60" s="410"/>
      <c r="BV60" s="410"/>
      <c r="BW60" s="656"/>
      <c r="BX60" s="840">
        <v>1354903</v>
      </c>
      <c r="BY60" s="841">
        <v>20290.05</v>
      </c>
      <c r="BZ60" s="1004">
        <v>1365949</v>
      </c>
      <c r="CA60" s="843">
        <v>10029.56</v>
      </c>
      <c r="CB60" s="456" t="s">
        <v>757</v>
      </c>
      <c r="CC60" s="434">
        <v>41.72</v>
      </c>
      <c r="CD60" s="456" t="s">
        <v>757</v>
      </c>
      <c r="CE60" s="434">
        <v>8484.6200000000008</v>
      </c>
      <c r="CF60" s="435"/>
      <c r="CG60" s="436"/>
      <c r="CH60" s="454"/>
      <c r="CI60" s="455"/>
      <c r="CJ60" s="439">
        <v>1354903</v>
      </c>
      <c r="CK60" s="440">
        <v>2519.3200000000002</v>
      </c>
      <c r="CL60" s="457">
        <f>BX60</f>
        <v>1354903</v>
      </c>
      <c r="CM60" s="450">
        <f>BY60+CA60+CC60+CE60+CI60+CK60</f>
        <v>41365.270000000004</v>
      </c>
      <c r="CN60" s="658"/>
      <c r="CO60" s="658"/>
      <c r="CQ60" s="456"/>
      <c r="CR60" s="434"/>
      <c r="CS60" s="433"/>
      <c r="CT60" s="434"/>
      <c r="CU60" s="439"/>
      <c r="CV60" s="440"/>
      <c r="CW60" s="457"/>
      <c r="CX60" s="450"/>
    </row>
    <row r="61" spans="1:102">
      <c r="A61" s="409">
        <v>264</v>
      </c>
      <c r="B61" s="409">
        <v>250</v>
      </c>
      <c r="C61" s="409" t="s">
        <v>648</v>
      </c>
      <c r="D61" s="410">
        <v>3</v>
      </c>
      <c r="E61" s="13"/>
      <c r="F61" s="9"/>
      <c r="G61" s="13"/>
      <c r="H61" s="410" t="s">
        <v>650</v>
      </c>
      <c r="I61" s="9" t="s">
        <v>115</v>
      </c>
      <c r="J61" s="13"/>
      <c r="K61" s="13"/>
      <c r="L61" s="13"/>
      <c r="M61" s="9"/>
      <c r="N61" s="13"/>
      <c r="O61" s="13"/>
      <c r="P61" s="13"/>
      <c r="Q61" s="13"/>
      <c r="R61" s="9"/>
      <c r="S61" s="410" t="s">
        <v>650</v>
      </c>
      <c r="T61" s="13"/>
      <c r="U61" s="13"/>
      <c r="V61" s="13"/>
      <c r="W61" s="9"/>
      <c r="X61" s="13"/>
      <c r="Y61" s="13"/>
      <c r="Z61" s="13"/>
      <c r="AA61" s="9"/>
      <c r="AB61" s="9"/>
      <c r="AC61" s="13"/>
      <c r="AD61" s="9"/>
      <c r="AE61" s="9"/>
      <c r="AF61" s="9"/>
      <c r="AG61" s="9"/>
      <c r="AH61" s="9"/>
      <c r="AI61" s="9"/>
      <c r="AJ61" s="9"/>
      <c r="AK61" s="9"/>
      <c r="AL61" s="13"/>
      <c r="AM61" s="13"/>
      <c r="AN61" s="410" t="s">
        <v>650</v>
      </c>
      <c r="AO61" s="9"/>
      <c r="AP61" s="13"/>
      <c r="AQ61" s="410" t="s">
        <v>650</v>
      </c>
      <c r="AR61" s="13"/>
      <c r="AS61" s="9"/>
      <c r="AT61" s="410" t="s">
        <v>650</v>
      </c>
      <c r="AU61" s="9"/>
      <c r="AV61" s="9"/>
      <c r="AW61" s="13"/>
      <c r="AX61" s="13"/>
      <c r="AY61" s="13"/>
      <c r="AZ61" s="9"/>
      <c r="BA61" s="9"/>
      <c r="BB61" s="9"/>
      <c r="BC61" s="13"/>
      <c r="BD61" s="9"/>
      <c r="BE61" s="9"/>
      <c r="BF61" s="410" t="s">
        <v>650</v>
      </c>
      <c r="BG61" s="13"/>
      <c r="BH61" s="13"/>
      <c r="BI61" s="13"/>
      <c r="BJ61" s="9"/>
      <c r="BK61" s="13"/>
      <c r="BL61" s="13"/>
      <c r="BM61" s="7" t="s">
        <v>758</v>
      </c>
      <c r="BN61" s="7"/>
      <c r="BO61" s="7"/>
      <c r="BP61" s="7"/>
      <c r="BQ61" s="7"/>
      <c r="BR61" s="7"/>
      <c r="BS61" s="7"/>
      <c r="BT61" s="7"/>
      <c r="BU61" s="7"/>
      <c r="BV61" s="7"/>
      <c r="BW61" s="103"/>
      <c r="BX61" s="234">
        <v>99482146</v>
      </c>
      <c r="BY61" s="174">
        <v>19407.61</v>
      </c>
      <c r="BZ61" s="187"/>
      <c r="CA61" s="188"/>
      <c r="CB61" s="187"/>
      <c r="CC61" s="188"/>
      <c r="CD61" s="187"/>
      <c r="CE61" s="267"/>
      <c r="CF61" s="269" t="s">
        <v>759</v>
      </c>
      <c r="CG61" s="301"/>
      <c r="CH61" s="282" t="s">
        <v>759</v>
      </c>
      <c r="CI61" s="160"/>
      <c r="CJ61" s="219"/>
      <c r="CK61" s="247"/>
      <c r="CL61" s="397">
        <f>BX61</f>
        <v>99482146</v>
      </c>
      <c r="CM61" s="398">
        <f>BY61+CE61+CI61+CK61+CA61+CC61</f>
        <v>19407.61</v>
      </c>
      <c r="CQ61" s="187">
        <v>99482076</v>
      </c>
      <c r="CR61" s="267">
        <v>16657.22</v>
      </c>
      <c r="CS61" s="187"/>
      <c r="CT61" s="188"/>
      <c r="CU61" s="219">
        <v>99482146</v>
      </c>
      <c r="CV61" s="225">
        <v>10176.629999999999</v>
      </c>
      <c r="CW61" s="397" t="s">
        <v>760</v>
      </c>
      <c r="CX61" s="398">
        <f>CR61+CT61+CV61</f>
        <v>26833.85</v>
      </c>
    </row>
    <row r="62" spans="1:102">
      <c r="A62" s="9">
        <v>265</v>
      </c>
      <c r="B62" s="9">
        <v>723</v>
      </c>
      <c r="C62" s="9" t="s">
        <v>649</v>
      </c>
      <c r="D62" s="9">
        <v>3</v>
      </c>
      <c r="E62" s="9"/>
      <c r="F62" s="9">
        <v>1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 t="s">
        <v>650</v>
      </c>
      <c r="T62" s="9"/>
      <c r="U62" s="9"/>
      <c r="V62" s="9"/>
      <c r="W62" s="9"/>
      <c r="X62" s="9"/>
      <c r="Y62" s="9"/>
      <c r="Z62" s="9"/>
      <c r="AA62" s="9" t="s">
        <v>650</v>
      </c>
      <c r="AB62" s="9"/>
      <c r="AC62" s="9"/>
      <c r="AD62" s="9"/>
      <c r="AE62" s="9"/>
      <c r="AF62" s="9"/>
      <c r="AG62" s="9" t="s">
        <v>650</v>
      </c>
      <c r="AH62" s="9"/>
      <c r="AI62" s="9"/>
      <c r="AJ62" s="9"/>
      <c r="AK62" s="9"/>
      <c r="AL62" s="9"/>
      <c r="AM62" s="13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37" t="s">
        <v>650</v>
      </c>
      <c r="BH62" s="37" t="s">
        <v>650</v>
      </c>
      <c r="BI62" s="37" t="s">
        <v>650</v>
      </c>
      <c r="BJ62" s="9"/>
      <c r="BK62" s="9"/>
      <c r="BL62" s="13"/>
      <c r="BM62" s="9" t="s">
        <v>761</v>
      </c>
      <c r="BN62" s="9"/>
      <c r="BO62" s="9"/>
      <c r="BP62" s="9"/>
      <c r="BQ62" s="9"/>
      <c r="BR62" s="9"/>
      <c r="BS62" s="9"/>
      <c r="BT62" s="9"/>
      <c r="BU62" s="9"/>
      <c r="BV62" s="9"/>
      <c r="BW62" s="141"/>
      <c r="BX62" s="437">
        <v>97170006</v>
      </c>
      <c r="BY62" s="438">
        <v>18247.68</v>
      </c>
      <c r="BZ62" s="456">
        <v>97168816</v>
      </c>
      <c r="CA62" s="434">
        <v>3184.93</v>
      </c>
      <c r="CB62" s="456"/>
      <c r="CC62" s="434"/>
      <c r="CD62" s="456">
        <v>97168839</v>
      </c>
      <c r="CE62" s="434">
        <v>341.78</v>
      </c>
      <c r="CF62" s="435">
        <v>97168788</v>
      </c>
      <c r="CG62" s="436">
        <v>450</v>
      </c>
      <c r="CH62" s="454">
        <v>97168832</v>
      </c>
      <c r="CI62" s="455">
        <v>118.45</v>
      </c>
      <c r="CJ62" s="439">
        <v>97170006</v>
      </c>
      <c r="CK62" s="440">
        <v>10810.1</v>
      </c>
      <c r="CL62" s="457">
        <v>97170006</v>
      </c>
      <c r="CM62" s="450">
        <f>BY62+CE62+CI62+CK62+CG62+CA62</f>
        <v>33152.94</v>
      </c>
      <c r="CN62" s="471" t="s">
        <v>762</v>
      </c>
      <c r="CO62" s="471" t="s">
        <v>762</v>
      </c>
      <c r="CQ62" s="456">
        <v>97168816</v>
      </c>
      <c r="CR62" s="434">
        <v>3184.93</v>
      </c>
      <c r="CS62" s="187"/>
      <c r="CT62" s="188"/>
      <c r="CU62" s="219"/>
      <c r="CV62" s="225"/>
      <c r="CW62" s="397"/>
      <c r="CX62" s="398"/>
    </row>
    <row r="63" spans="1:102">
      <c r="A63" s="7">
        <v>266</v>
      </c>
      <c r="B63" s="7">
        <v>721</v>
      </c>
      <c r="C63" s="7" t="s">
        <v>648</v>
      </c>
      <c r="D63" s="7">
        <v>2</v>
      </c>
      <c r="E63" s="13"/>
      <c r="F63" s="7">
        <v>2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 t="s">
        <v>650</v>
      </c>
      <c r="T63" s="7"/>
      <c r="U63" s="7" t="s">
        <v>650</v>
      </c>
      <c r="V63" s="38" t="s">
        <v>650</v>
      </c>
      <c r="W63" s="7"/>
      <c r="X63" s="7" t="s">
        <v>650</v>
      </c>
      <c r="Y63" s="7"/>
      <c r="Z63" s="7"/>
      <c r="AA63" s="7"/>
      <c r="AB63" s="7"/>
      <c r="AC63" s="13"/>
      <c r="AD63" s="7"/>
      <c r="AE63" s="7"/>
      <c r="AF63" s="7"/>
      <c r="AG63" s="7"/>
      <c r="AH63" s="7"/>
      <c r="AI63" s="7"/>
      <c r="AJ63" s="7"/>
      <c r="AK63" s="7"/>
      <c r="AL63" s="7"/>
      <c r="AM63" s="13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 t="s">
        <v>650</v>
      </c>
      <c r="BH63" s="7" t="s">
        <v>650</v>
      </c>
      <c r="BI63" s="7"/>
      <c r="BJ63" s="7"/>
      <c r="BK63" s="7"/>
      <c r="BL63" s="13"/>
      <c r="BM63" s="7" t="s">
        <v>763</v>
      </c>
      <c r="BN63" s="7"/>
      <c r="BO63" s="7"/>
      <c r="BP63" s="7"/>
      <c r="BQ63" s="7"/>
      <c r="BR63" s="7"/>
      <c r="BS63" s="7" t="s">
        <v>9</v>
      </c>
      <c r="BT63" s="7"/>
      <c r="BU63" s="7" t="s">
        <v>9</v>
      </c>
      <c r="BV63" s="7"/>
      <c r="BW63" s="103" t="s">
        <v>711</v>
      </c>
      <c r="BX63" s="233">
        <v>96813102</v>
      </c>
      <c r="BY63" s="545">
        <v>16978.009999999998</v>
      </c>
      <c r="BZ63" s="264">
        <v>96812724</v>
      </c>
      <c r="CA63" s="188">
        <v>2755.53</v>
      </c>
      <c r="CB63" s="264"/>
      <c r="CC63" s="188"/>
      <c r="CD63" s="264">
        <v>97085972</v>
      </c>
      <c r="CE63" s="188">
        <v>790.09</v>
      </c>
      <c r="CF63" s="269">
        <v>97035652</v>
      </c>
      <c r="CG63" s="301">
        <v>450</v>
      </c>
      <c r="CH63" s="282">
        <v>96812731</v>
      </c>
      <c r="CI63" s="160">
        <v>118.45</v>
      </c>
      <c r="CJ63" s="219">
        <v>96921136</v>
      </c>
      <c r="CK63" s="225">
        <v>7095.35</v>
      </c>
      <c r="CL63" s="397">
        <v>96813102</v>
      </c>
      <c r="CM63" s="398">
        <f>CI63+CE63+BY63+CK63+CG63+CA63</f>
        <v>28187.43</v>
      </c>
      <c r="CQ63" s="264">
        <v>96812724</v>
      </c>
      <c r="CR63" s="188">
        <v>2755.53</v>
      </c>
      <c r="CS63" s="187"/>
      <c r="CT63" s="188"/>
      <c r="CU63" s="219"/>
      <c r="CV63" s="225"/>
      <c r="CW63" s="397"/>
      <c r="CX63" s="398"/>
    </row>
    <row r="64" spans="1:102">
      <c r="A64" s="9">
        <v>267</v>
      </c>
      <c r="B64" s="9">
        <v>250</v>
      </c>
      <c r="C64" s="9" t="s">
        <v>649</v>
      </c>
      <c r="D64" s="9">
        <v>3</v>
      </c>
      <c r="E64" s="13"/>
      <c r="F64" s="9" t="s">
        <v>650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 t="s">
        <v>650</v>
      </c>
      <c r="T64" s="9"/>
      <c r="U64" s="9"/>
      <c r="V64" s="9"/>
      <c r="W64" s="9"/>
      <c r="X64" s="9"/>
      <c r="Y64" s="9"/>
      <c r="Z64" s="9"/>
      <c r="AA64" s="9"/>
      <c r="AB64" s="9"/>
      <c r="AC64" s="13"/>
      <c r="AD64" s="9"/>
      <c r="AE64" s="9"/>
      <c r="AF64" s="9"/>
      <c r="AG64" s="9"/>
      <c r="AH64" s="9"/>
      <c r="AI64" s="9"/>
      <c r="AJ64" s="9"/>
      <c r="AK64" s="9"/>
      <c r="AL64" s="9"/>
      <c r="AM64" s="13"/>
      <c r="AN64" s="9" t="s">
        <v>650</v>
      </c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 t="s">
        <v>650</v>
      </c>
      <c r="BB64" s="9"/>
      <c r="BC64" s="9"/>
      <c r="BD64" s="9"/>
      <c r="BE64" s="9"/>
      <c r="BF64" s="9" t="s">
        <v>650</v>
      </c>
      <c r="BG64" s="9"/>
      <c r="BH64" s="9"/>
      <c r="BI64" s="9"/>
      <c r="BJ64" s="9" t="s">
        <v>650</v>
      </c>
      <c r="BK64" s="9"/>
      <c r="BL64" s="13"/>
      <c r="BM64" s="9" t="s">
        <v>764</v>
      </c>
      <c r="BN64" s="9"/>
      <c r="BO64" s="9"/>
      <c r="BP64" s="9"/>
      <c r="BQ64" s="9"/>
      <c r="BR64" s="9"/>
      <c r="BS64" s="9"/>
      <c r="BT64" s="9"/>
      <c r="BU64" s="9"/>
      <c r="BV64" s="9"/>
      <c r="BW64" s="141"/>
      <c r="BX64" s="234">
        <v>96813115</v>
      </c>
      <c r="BY64" s="174">
        <v>17244.560000000001</v>
      </c>
      <c r="BZ64" s="187">
        <v>96812774</v>
      </c>
      <c r="CA64" s="188">
        <v>5528.27</v>
      </c>
      <c r="CB64" s="187"/>
      <c r="CC64" s="188"/>
      <c r="CD64" s="187"/>
      <c r="CE64" s="188"/>
      <c r="CF64" s="269">
        <v>97035657</v>
      </c>
      <c r="CG64" s="301">
        <v>450</v>
      </c>
      <c r="CH64" s="282">
        <v>96812784</v>
      </c>
      <c r="CI64" s="160">
        <v>118.45</v>
      </c>
      <c r="CJ64" s="219">
        <v>97119203</v>
      </c>
      <c r="CK64" s="225">
        <v>10631.63</v>
      </c>
      <c r="CL64" s="397">
        <v>96813115</v>
      </c>
      <c r="CM64" s="398">
        <f>CI64+CE64+BY64+CK64+CG64+CA64</f>
        <v>33972.910000000003</v>
      </c>
      <c r="CQ64" s="187">
        <v>96812774</v>
      </c>
      <c r="CR64" s="188">
        <v>5528.27</v>
      </c>
      <c r="CS64" s="187"/>
      <c r="CT64" s="188"/>
      <c r="CU64" s="219"/>
      <c r="CV64" s="225"/>
      <c r="CW64" s="397"/>
      <c r="CX64" s="398"/>
    </row>
    <row r="65" spans="1:102" s="158" customFormat="1">
      <c r="A65" s="409">
        <v>268</v>
      </c>
      <c r="B65" s="409">
        <v>723</v>
      </c>
      <c r="C65" s="409" t="s">
        <v>647</v>
      </c>
      <c r="D65" s="409">
        <v>3</v>
      </c>
      <c r="E65" s="409"/>
      <c r="F65" s="409" t="s">
        <v>650</v>
      </c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647" t="s">
        <v>650</v>
      </c>
      <c r="S65" s="409" t="s">
        <v>650</v>
      </c>
      <c r="T65" s="409"/>
      <c r="U65" s="409"/>
      <c r="V65" s="409"/>
      <c r="W65" s="409"/>
      <c r="X65" s="409"/>
      <c r="Y65" s="409" t="s">
        <v>650</v>
      </c>
      <c r="Z65" s="409"/>
      <c r="AA65" s="409" t="s">
        <v>650</v>
      </c>
      <c r="AB65" s="409"/>
      <c r="AC65" s="409"/>
      <c r="AD65" s="409"/>
      <c r="AE65" s="409"/>
      <c r="AF65" s="409"/>
      <c r="AG65" s="409"/>
      <c r="AH65" s="409"/>
      <c r="AI65" s="409"/>
      <c r="AJ65" s="409"/>
      <c r="AK65" s="409"/>
      <c r="AL65" s="409"/>
      <c r="AM65" s="632"/>
      <c r="AN65" s="409"/>
      <c r="AO65" s="409"/>
      <c r="AP65" s="409"/>
      <c r="AQ65" s="409"/>
      <c r="AR65" s="409"/>
      <c r="AS65" s="409"/>
      <c r="AT65" s="409"/>
      <c r="AU65" s="409"/>
      <c r="AV65" s="409"/>
      <c r="AW65" s="409"/>
      <c r="AX65" s="409"/>
      <c r="AY65" s="409"/>
      <c r="AZ65" s="409"/>
      <c r="BA65" s="409"/>
      <c r="BB65" s="409"/>
      <c r="BC65" s="409"/>
      <c r="BD65" s="409"/>
      <c r="BE65" s="409"/>
      <c r="BF65" s="409"/>
      <c r="BG65" s="409" t="s">
        <v>650</v>
      </c>
      <c r="BH65" s="409" t="s">
        <v>650</v>
      </c>
      <c r="BI65" s="409" t="s">
        <v>650</v>
      </c>
      <c r="BJ65" s="409"/>
      <c r="BK65" s="409"/>
      <c r="BL65" s="632"/>
      <c r="BM65" s="409" t="s">
        <v>765</v>
      </c>
      <c r="BN65" s="409"/>
      <c r="BO65" s="409"/>
      <c r="BP65" s="409"/>
      <c r="BQ65" s="409"/>
      <c r="BR65" s="409"/>
      <c r="BS65" s="647" t="s">
        <v>650</v>
      </c>
      <c r="BT65" s="647"/>
      <c r="BU65" s="647" t="s">
        <v>650</v>
      </c>
      <c r="BV65" s="647"/>
      <c r="BW65" s="557"/>
      <c r="BX65" s="437">
        <v>96969265</v>
      </c>
      <c r="BY65" s="438">
        <v>19349.32</v>
      </c>
      <c r="BZ65" s="433">
        <v>96969241</v>
      </c>
      <c r="CA65" s="434">
        <v>1347.74</v>
      </c>
      <c r="CB65" s="433"/>
      <c r="CC65" s="434"/>
      <c r="CD65" s="433">
        <v>96969235</v>
      </c>
      <c r="CE65" s="434">
        <v>1305.48</v>
      </c>
      <c r="CF65" s="435">
        <v>97035664</v>
      </c>
      <c r="CG65" s="436">
        <v>450</v>
      </c>
      <c r="CH65" s="454">
        <v>96969249</v>
      </c>
      <c r="CI65" s="455">
        <v>118.45</v>
      </c>
      <c r="CJ65" s="439">
        <v>96969265</v>
      </c>
      <c r="CK65" s="440">
        <v>10810.1</v>
      </c>
      <c r="CL65" s="457">
        <v>96969265</v>
      </c>
      <c r="CM65" s="450">
        <f>CK65+CI65+BY65+CA65+CG65</f>
        <v>32075.610000000004</v>
      </c>
      <c r="CN65" s="658"/>
      <c r="CO65" s="658"/>
      <c r="CQ65" s="433">
        <v>96969241</v>
      </c>
      <c r="CR65" s="434">
        <v>1347.74</v>
      </c>
      <c r="CS65" s="433"/>
      <c r="CT65" s="434"/>
      <c r="CU65" s="439"/>
      <c r="CV65" s="440"/>
      <c r="CW65" s="457"/>
      <c r="CX65" s="450"/>
    </row>
    <row r="66" spans="1:102">
      <c r="A66" s="86">
        <v>269</v>
      </c>
      <c r="B66" s="86">
        <v>250</v>
      </c>
      <c r="C66" s="86" t="s">
        <v>647</v>
      </c>
      <c r="D66" s="86">
        <v>3</v>
      </c>
      <c r="E66" s="87"/>
      <c r="F66" s="86"/>
      <c r="G66" s="86"/>
      <c r="H66" s="86"/>
      <c r="I66" s="86" t="s">
        <v>650</v>
      </c>
      <c r="J66" s="86" t="s">
        <v>650</v>
      </c>
      <c r="K66" s="86" t="s">
        <v>650</v>
      </c>
      <c r="L66" s="86"/>
      <c r="M66" s="86"/>
      <c r="N66" s="86"/>
      <c r="O66" s="86"/>
      <c r="P66" s="86"/>
      <c r="Q66" s="86"/>
      <c r="R66" s="86"/>
      <c r="S66" s="86" t="s">
        <v>650</v>
      </c>
      <c r="T66" s="86"/>
      <c r="U66" s="86"/>
      <c r="V66" s="86"/>
      <c r="W66" s="86"/>
      <c r="X66" s="86"/>
      <c r="Y66" s="86"/>
      <c r="Z66" s="86"/>
      <c r="AA66" s="86"/>
      <c r="AB66" s="86"/>
      <c r="AC66" s="87"/>
      <c r="AD66" s="86"/>
      <c r="AE66" s="86" t="s">
        <v>650</v>
      </c>
      <c r="AF66" s="86" t="s">
        <v>650</v>
      </c>
      <c r="AG66" s="86" t="s">
        <v>650</v>
      </c>
      <c r="AH66" s="86"/>
      <c r="AI66" s="86"/>
      <c r="AJ66" s="86"/>
      <c r="AK66" s="86"/>
      <c r="AL66" s="86"/>
      <c r="AM66" s="87"/>
      <c r="AN66" s="86" t="s">
        <v>650</v>
      </c>
      <c r="AO66" s="86"/>
      <c r="AP66" s="86"/>
      <c r="AQ66" s="86" t="s">
        <v>650</v>
      </c>
      <c r="AR66" s="86"/>
      <c r="AS66" s="86"/>
      <c r="AT66" s="99" t="s">
        <v>650</v>
      </c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 t="s">
        <v>650</v>
      </c>
      <c r="BG66" s="86"/>
      <c r="BH66" s="86"/>
      <c r="BI66" s="86"/>
      <c r="BJ66" s="86"/>
      <c r="BK66" s="86"/>
      <c r="BL66" s="87"/>
      <c r="BM66" s="86" t="s">
        <v>766</v>
      </c>
      <c r="BN66" s="86"/>
      <c r="BO66" s="86"/>
      <c r="BP66" s="86"/>
      <c r="BQ66" s="86"/>
      <c r="BR66" s="86" t="s">
        <v>767</v>
      </c>
      <c r="BS66" s="100"/>
      <c r="BT66" s="100"/>
      <c r="BU66" s="86"/>
      <c r="BV66" s="86"/>
      <c r="BW66" s="260"/>
      <c r="BX66" s="978">
        <v>96580945</v>
      </c>
      <c r="BY66" s="979">
        <v>18879.38</v>
      </c>
      <c r="BZ66" s="614">
        <v>96580960</v>
      </c>
      <c r="CA66" s="980">
        <v>20367.34</v>
      </c>
      <c r="CB66" s="614"/>
      <c r="CC66" s="980"/>
      <c r="CD66" s="614"/>
      <c r="CE66" s="981"/>
      <c r="CF66" s="303"/>
      <c r="CG66" s="301"/>
      <c r="CH66" s="282">
        <v>96580986</v>
      </c>
      <c r="CI66" s="291">
        <v>118.45</v>
      </c>
      <c r="CJ66" s="948">
        <v>96580960</v>
      </c>
      <c r="CK66" s="982">
        <v>10304.48</v>
      </c>
      <c r="CL66" s="983" t="s">
        <v>768</v>
      </c>
      <c r="CM66" s="984">
        <f>BY66+CE66+CK66+CI66+CA66</f>
        <v>49669.65</v>
      </c>
      <c r="CQ66" s="614">
        <v>96580960</v>
      </c>
      <c r="CR66" s="981">
        <v>20367.34</v>
      </c>
      <c r="CS66" s="614"/>
      <c r="CT66" s="980"/>
      <c r="CU66" s="948"/>
      <c r="CV66" s="985"/>
      <c r="CW66" s="983"/>
      <c r="CX66" s="986"/>
    </row>
    <row r="67" spans="1:102" s="158" customFormat="1">
      <c r="A67" s="988">
        <v>270</v>
      </c>
      <c r="B67" s="988">
        <v>250</v>
      </c>
      <c r="C67" s="988" t="s">
        <v>649</v>
      </c>
      <c r="D67" s="988">
        <v>3</v>
      </c>
      <c r="E67" s="988"/>
      <c r="F67" s="988"/>
      <c r="G67" s="988"/>
      <c r="H67" s="988" t="s">
        <v>650</v>
      </c>
      <c r="I67" s="988"/>
      <c r="J67" s="988"/>
      <c r="K67" s="988"/>
      <c r="L67" s="988"/>
      <c r="M67" s="988"/>
      <c r="N67" s="988"/>
      <c r="O67" s="988"/>
      <c r="P67" s="988"/>
      <c r="Q67" s="988"/>
      <c r="R67" s="988" t="s">
        <v>650</v>
      </c>
      <c r="S67" s="988" t="s">
        <v>650</v>
      </c>
      <c r="T67" s="988"/>
      <c r="U67" s="988"/>
      <c r="V67" s="988"/>
      <c r="W67" s="988"/>
      <c r="X67" s="988"/>
      <c r="Y67" s="988"/>
      <c r="Z67" s="988"/>
      <c r="AA67" s="988"/>
      <c r="AB67" s="988"/>
      <c r="AC67" s="988"/>
      <c r="AD67" s="988"/>
      <c r="AE67" s="988"/>
      <c r="AF67" s="988"/>
      <c r="AG67" s="988"/>
      <c r="AH67" s="988"/>
      <c r="AI67" s="988"/>
      <c r="AJ67" s="988"/>
      <c r="AK67" s="988"/>
      <c r="AL67" s="988"/>
      <c r="AM67" s="988"/>
      <c r="AN67" s="988" t="s">
        <v>650</v>
      </c>
      <c r="AO67" s="988" t="s">
        <v>650</v>
      </c>
      <c r="AP67" s="988"/>
      <c r="AQ67" s="988"/>
      <c r="AR67" s="988"/>
      <c r="AS67" s="988"/>
      <c r="AT67" s="988"/>
      <c r="AU67" s="988"/>
      <c r="AV67" s="988"/>
      <c r="AW67" s="988"/>
      <c r="AX67" s="988"/>
      <c r="AY67" s="988"/>
      <c r="AZ67" s="988"/>
      <c r="BA67" s="988"/>
      <c r="BB67" s="988"/>
      <c r="BC67" s="988"/>
      <c r="BD67" s="988"/>
      <c r="BE67" s="988"/>
      <c r="BF67" s="988" t="s">
        <v>650</v>
      </c>
      <c r="BG67" s="988"/>
      <c r="BH67" s="988"/>
      <c r="BI67" s="988"/>
      <c r="BJ67" s="988" t="s">
        <v>650</v>
      </c>
      <c r="BK67" s="988"/>
      <c r="BL67" s="988"/>
      <c r="BM67" s="988" t="s">
        <v>769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1022">
        <v>1556241</v>
      </c>
      <c r="BY67" s="1023">
        <v>18682.990000000002</v>
      </c>
      <c r="BZ67" s="1019">
        <v>1556058</v>
      </c>
      <c r="CA67" s="1020">
        <v>8847.0300000000007</v>
      </c>
      <c r="CB67" s="1019">
        <v>1556135</v>
      </c>
      <c r="CC67" s="1020">
        <v>7100.83</v>
      </c>
      <c r="CD67" s="791"/>
      <c r="CE67" s="791"/>
      <c r="CF67" s="317"/>
      <c r="CG67" s="544"/>
      <c r="CH67" s="287"/>
      <c r="CI67" s="107"/>
      <c r="CJ67" s="790">
        <v>1556241</v>
      </c>
      <c r="CK67" s="992">
        <v>10642.96</v>
      </c>
      <c r="CL67" s="990"/>
      <c r="CM67" s="692">
        <f>CK67+CE67+CC67+CA67+BY67</f>
        <v>45273.81</v>
      </c>
      <c r="CN67" s="991"/>
      <c r="CO67" s="991"/>
      <c r="CP67" s="988"/>
      <c r="CQ67" s="791"/>
      <c r="CR67" s="791"/>
      <c r="CS67" s="791"/>
      <c r="CT67" s="989"/>
      <c r="CU67" s="790"/>
      <c r="CV67" s="992"/>
      <c r="CW67" s="990"/>
      <c r="CX67" s="692"/>
    </row>
    <row r="68" spans="1:102">
      <c r="BX68" s="273"/>
      <c r="BY68" s="172"/>
    </row>
    <row r="71" spans="1:102">
      <c r="BF71" s="676"/>
    </row>
  </sheetData>
  <autoFilter ref="A2:CY67" xr:uid="{BBEA445F-76C6-4A62-A047-88A11C1D6408}">
    <filterColumn colId="1">
      <filters>
        <filter val="250"/>
      </filters>
    </filterColumn>
    <filterColumn colId="2">
      <filters>
        <filter val="A"/>
      </filters>
    </filterColumn>
  </autoFilter>
  <phoneticPr fontId="7" type="noConversion"/>
  <conditionalFormatting sqref="E3:E100">
    <cfRule type="expression" dxfId="1370" priority="44">
      <formula>B3=698</formula>
    </cfRule>
    <cfRule type="expression" dxfId="1369" priority="91">
      <formula>B3=591</formula>
    </cfRule>
    <cfRule type="expression" dxfId="1368" priority="137">
      <formula>B3=654</formula>
    </cfRule>
    <cfRule type="expression" dxfId="1367" priority="185">
      <formula>B3=720</formula>
    </cfRule>
    <cfRule type="expression" dxfId="1366" priority="454">
      <formula>B3=913</formula>
    </cfRule>
    <cfRule type="expression" dxfId="1365" priority="455">
      <formula>B3=250</formula>
    </cfRule>
    <cfRule type="expression" dxfId="1364" priority="456">
      <formula>B3=721</formula>
    </cfRule>
  </conditionalFormatting>
  <conditionalFormatting sqref="F3:F1000">
    <cfRule type="expression" dxfId="1363" priority="90">
      <formula>B3=591</formula>
    </cfRule>
    <cfRule type="expression" dxfId="1362" priority="136">
      <formula>B3=654</formula>
    </cfRule>
    <cfRule type="expression" dxfId="1361" priority="184">
      <formula>B3=720</formula>
    </cfRule>
    <cfRule type="expression" dxfId="1360" priority="453">
      <formula>B3=921</formula>
    </cfRule>
  </conditionalFormatting>
  <conditionalFormatting sqref="G3:G100">
    <cfRule type="expression" dxfId="1359" priority="42">
      <formula>B3=698</formula>
    </cfRule>
    <cfRule type="expression" dxfId="1358" priority="89">
      <formula>B3=591</formula>
    </cfRule>
    <cfRule type="expression" dxfId="1357" priority="135">
      <formula>B3=654</formula>
    </cfRule>
    <cfRule type="expression" dxfId="1356" priority="183">
      <formula>B3=720</formula>
    </cfRule>
    <cfRule type="expression" dxfId="1355" priority="232">
      <formula>B3=593</formula>
    </cfRule>
  </conditionalFormatting>
  <conditionalFormatting sqref="G3:G1000">
    <cfRule type="expression" dxfId="1354" priority="450">
      <formula>B3=250</formula>
    </cfRule>
    <cfRule type="expression" dxfId="1353" priority="451">
      <formula>B3=913</formula>
    </cfRule>
    <cfRule type="expression" dxfId="1352" priority="452">
      <formula>B3=721</formula>
    </cfRule>
  </conditionalFormatting>
  <conditionalFormatting sqref="H3:H100">
    <cfRule type="expression" dxfId="1351" priority="43">
      <formula>B3=698</formula>
    </cfRule>
    <cfRule type="expression" dxfId="1350" priority="88">
      <formula>B3=591</formula>
    </cfRule>
    <cfRule type="expression" dxfId="1349" priority="134">
      <formula>B3=654</formula>
    </cfRule>
    <cfRule type="expression" dxfId="1348" priority="182">
      <formula>B3=720</formula>
    </cfRule>
    <cfRule type="expression" dxfId="1347" priority="231">
      <formula>B3=593</formula>
    </cfRule>
    <cfRule type="expression" dxfId="1346" priority="279">
      <formula>B3=915</formula>
    </cfRule>
  </conditionalFormatting>
  <conditionalFormatting sqref="H3:H1000">
    <cfRule type="expression" dxfId="1345" priority="447">
      <formula>B3=913</formula>
    </cfRule>
    <cfRule type="expression" dxfId="1344" priority="448">
      <formula>B3=921</formula>
    </cfRule>
    <cfRule type="expression" dxfId="1343" priority="449">
      <formula>B3=721</formula>
    </cfRule>
  </conditionalFormatting>
  <conditionalFormatting sqref="I3:I100">
    <cfRule type="expression" dxfId="1342" priority="133">
      <formula>B3=654</formula>
    </cfRule>
    <cfRule type="expression" dxfId="1341" priority="181">
      <formula>B3=720</formula>
    </cfRule>
    <cfRule type="expression" dxfId="1340" priority="230">
      <formula>B3=593</formula>
    </cfRule>
    <cfRule type="expression" dxfId="1339" priority="278">
      <formula>B3=915</formula>
    </cfRule>
  </conditionalFormatting>
  <conditionalFormatting sqref="I3:I1000">
    <cfRule type="expression" dxfId="1338" priority="446">
      <formula>B3=921</formula>
    </cfRule>
  </conditionalFormatting>
  <conditionalFormatting sqref="J3:J100">
    <cfRule type="expression" dxfId="1337" priority="86">
      <formula>B3=591</formula>
    </cfRule>
    <cfRule type="expression" dxfId="1336" priority="132">
      <formula>B3=654</formula>
    </cfRule>
    <cfRule type="expression" dxfId="1335" priority="180">
      <formula>B3=720</formula>
    </cfRule>
    <cfRule type="expression" dxfId="1334" priority="229">
      <formula>B3=593</formula>
    </cfRule>
    <cfRule type="expression" dxfId="1333" priority="277">
      <formula>B3=915</formula>
    </cfRule>
  </conditionalFormatting>
  <conditionalFormatting sqref="J3:J1000">
    <cfRule type="expression" dxfId="1332" priority="443">
      <formula>B3=921</formula>
    </cfRule>
    <cfRule type="expression" dxfId="1331" priority="444">
      <formula>B3=250</formula>
    </cfRule>
    <cfRule type="expression" dxfId="1330" priority="445">
      <formula>B3=723</formula>
    </cfRule>
  </conditionalFormatting>
  <conditionalFormatting sqref="K3:K100">
    <cfRule type="expression" dxfId="1329" priority="85">
      <formula>B3=591</formula>
    </cfRule>
    <cfRule type="expression" dxfId="1328" priority="131">
      <formula>B3=654</formula>
    </cfRule>
    <cfRule type="expression" dxfId="1327" priority="179">
      <formula>B3=720</formula>
    </cfRule>
    <cfRule type="expression" dxfId="1326" priority="228">
      <formula>B3=593</formula>
    </cfRule>
    <cfRule type="expression" dxfId="1325" priority="276">
      <formula>B3=915</formula>
    </cfRule>
  </conditionalFormatting>
  <conditionalFormatting sqref="K3:K1000">
    <cfRule type="expression" dxfId="1324" priority="439">
      <formula>B3=913</formula>
    </cfRule>
    <cfRule type="expression" dxfId="1323" priority="440">
      <formula>B3=921</formula>
    </cfRule>
    <cfRule type="expression" dxfId="1322" priority="441">
      <formula>B3=250</formula>
    </cfRule>
    <cfRule type="expression" dxfId="1321" priority="442">
      <formula>B3=723</formula>
    </cfRule>
  </conditionalFormatting>
  <conditionalFormatting sqref="L3:L100">
    <cfRule type="expression" dxfId="1320" priority="41">
      <formula>B3=698</formula>
    </cfRule>
    <cfRule type="expression" dxfId="1319" priority="84">
      <formula>B3=591</formula>
    </cfRule>
    <cfRule type="expression" dxfId="1318" priority="130">
      <formula>B3=654</formula>
    </cfRule>
    <cfRule type="expression" dxfId="1317" priority="178">
      <formula>B3=720</formula>
    </cfRule>
    <cfRule type="expression" dxfId="1316" priority="227">
      <formula>B3=593</formula>
    </cfRule>
    <cfRule type="expression" dxfId="1315" priority="275">
      <formula>B3=915</formula>
    </cfRule>
  </conditionalFormatting>
  <conditionalFormatting sqref="L3:L1000">
    <cfRule type="expression" dxfId="1314" priority="435">
      <formula>B3=913</formula>
    </cfRule>
    <cfRule type="expression" dxfId="1313" priority="436">
      <formula>B3=921</formula>
    </cfRule>
    <cfRule type="expression" dxfId="1312" priority="437">
      <formula>B3=250</formula>
    </cfRule>
    <cfRule type="expression" dxfId="1311" priority="438">
      <formula>B3=721</formula>
    </cfRule>
  </conditionalFormatting>
  <conditionalFormatting sqref="M3:M100">
    <cfRule type="expression" dxfId="1310" priority="40">
      <formula>B3=698</formula>
    </cfRule>
    <cfRule type="expression" dxfId="1309" priority="83">
      <formula>B3=591</formula>
    </cfRule>
    <cfRule type="expression" dxfId="1308" priority="129">
      <formula>B3=654</formula>
    </cfRule>
    <cfRule type="expression" dxfId="1307" priority="177">
      <formula>B3=720</formula>
    </cfRule>
    <cfRule type="expression" dxfId="1306" priority="226">
      <formula>B3=593</formula>
    </cfRule>
    <cfRule type="expression" dxfId="1305" priority="274">
      <formula>B3=915</formula>
    </cfRule>
  </conditionalFormatting>
  <conditionalFormatting sqref="M3:M1000">
    <cfRule type="expression" dxfId="1304" priority="430">
      <formula>B3=913</formula>
    </cfRule>
    <cfRule type="expression" dxfId="1303" priority="431">
      <formula>B3=921</formula>
    </cfRule>
  </conditionalFormatting>
  <conditionalFormatting sqref="N3:N100">
    <cfRule type="expression" dxfId="1302" priority="39">
      <formula>B3=698</formula>
    </cfRule>
    <cfRule type="expression" dxfId="1301" priority="82">
      <formula>B3=591</formula>
    </cfRule>
    <cfRule type="expression" dxfId="1300" priority="128">
      <formula>B3=654</formula>
    </cfRule>
    <cfRule type="expression" dxfId="1299" priority="176">
      <formula>B3=720</formula>
    </cfRule>
    <cfRule type="expression" dxfId="1298" priority="225">
      <formula>B3=593</formula>
    </cfRule>
    <cfRule type="expression" dxfId="1297" priority="273">
      <formula>B3=915</formula>
    </cfRule>
    <cfRule type="expression" dxfId="1296" priority="325">
      <formula>B3=721</formula>
    </cfRule>
    <cfRule type="expression" dxfId="1295" priority="414">
      <formula>B3=250</formula>
    </cfRule>
  </conditionalFormatting>
  <conditionalFormatting sqref="N3:R100">
    <cfRule type="expression" dxfId="1294" priority="428">
      <formula>B3=921</formula>
    </cfRule>
  </conditionalFormatting>
  <conditionalFormatting sqref="O3:O100">
    <cfRule type="expression" dxfId="1293" priority="38">
      <formula>B3=698</formula>
    </cfRule>
    <cfRule type="expression" dxfId="1292" priority="81">
      <formula>B3=591</formula>
    </cfRule>
    <cfRule type="expression" dxfId="1291" priority="127">
      <formula>B3=654</formula>
    </cfRule>
    <cfRule type="expression" dxfId="1290" priority="175">
      <formula>B3=720</formula>
    </cfRule>
    <cfRule type="expression" dxfId="1289" priority="224">
      <formula>B3=593</formula>
    </cfRule>
    <cfRule type="expression" dxfId="1288" priority="272">
      <formula>B3=915</formula>
    </cfRule>
    <cfRule type="expression" dxfId="1287" priority="400">
      <formula>B3=921</formula>
    </cfRule>
    <cfRule type="expression" dxfId="1286" priority="413">
      <formula>B3=250</formula>
    </cfRule>
  </conditionalFormatting>
  <conditionalFormatting sqref="P3:P100">
    <cfRule type="expression" dxfId="1285" priority="36">
      <formula>B3=698</formula>
    </cfRule>
    <cfRule type="expression" dxfId="1284" priority="80">
      <formula>B3=591</formula>
    </cfRule>
    <cfRule type="expression" dxfId="1283" priority="126">
      <formula>B3=654</formula>
    </cfRule>
    <cfRule type="expression" dxfId="1282" priority="174">
      <formula>B3=720</formula>
    </cfRule>
    <cfRule type="expression" dxfId="1281" priority="223">
      <formula>B3=593</formula>
    </cfRule>
    <cfRule type="expression" dxfId="1280" priority="271">
      <formula>B3=915</formula>
    </cfRule>
    <cfRule type="expression" dxfId="1279" priority="399">
      <formula>B3=921</formula>
    </cfRule>
    <cfRule type="expression" dxfId="1278" priority="411">
      <formula>B3=250</formula>
    </cfRule>
  </conditionalFormatting>
  <conditionalFormatting sqref="Q3:Q100">
    <cfRule type="expression" dxfId="1277" priority="35">
      <formula>B3=698</formula>
    </cfRule>
    <cfRule type="expression" dxfId="1276" priority="79">
      <formula>B3=591</formula>
    </cfRule>
    <cfRule type="expression" dxfId="1275" priority="125">
      <formula>B3=654</formula>
    </cfRule>
    <cfRule type="expression" dxfId="1274" priority="173">
      <formula>B3=720</formula>
    </cfRule>
    <cfRule type="expression" dxfId="1273" priority="222">
      <formula>B3=593</formula>
    </cfRule>
    <cfRule type="expression" dxfId="1272" priority="270">
      <formula>B3=915</formula>
    </cfRule>
    <cfRule type="expression" dxfId="1271" priority="362">
      <formula>B3=913</formula>
    </cfRule>
    <cfRule type="expression" dxfId="1270" priority="398">
      <formula>B3=921</formula>
    </cfRule>
    <cfRule type="expression" dxfId="1269" priority="410">
      <formula>B3=250</formula>
    </cfRule>
  </conditionalFormatting>
  <conditionalFormatting sqref="R3:R100">
    <cfRule type="expression" dxfId="1268" priority="34">
      <formula>B3=698</formula>
    </cfRule>
    <cfRule type="expression" dxfId="1267" priority="78">
      <formula>B3=591</formula>
    </cfRule>
    <cfRule type="expression" dxfId="1266" priority="124">
      <formula>B3=654</formula>
    </cfRule>
    <cfRule type="expression" dxfId="1265" priority="172">
      <formula>B3=720</formula>
    </cfRule>
    <cfRule type="expression" dxfId="1264" priority="221">
      <formula>B3=593</formula>
    </cfRule>
    <cfRule type="expression" dxfId="1263" priority="269">
      <formula>B3=915</formula>
    </cfRule>
    <cfRule type="expression" dxfId="1262" priority="397">
      <formula>B3=921</formula>
    </cfRule>
  </conditionalFormatting>
  <conditionalFormatting sqref="T3:T100">
    <cfRule type="expression" dxfId="1261" priority="77">
      <formula>B3=591</formula>
    </cfRule>
    <cfRule type="expression" dxfId="1260" priority="171">
      <formula>B3=720</formula>
    </cfRule>
    <cfRule type="expression" dxfId="1259" priority="220">
      <formula>B3=593</formula>
    </cfRule>
    <cfRule type="expression" dxfId="1258" priority="268">
      <formula>B3=915</formula>
    </cfRule>
    <cfRule type="expression" dxfId="1257" priority="298">
      <formula>B3=723</formula>
    </cfRule>
    <cfRule type="expression" dxfId="1256" priority="324">
      <formula>B3=721</formula>
    </cfRule>
    <cfRule type="expression" dxfId="1255" priority="361">
      <formula>B3=913</formula>
    </cfRule>
    <cfRule type="expression" dxfId="1254" priority="423">
      <formula>B3=250</formula>
    </cfRule>
    <cfRule type="expression" dxfId="1253" priority="427">
      <formula>B3=921</formula>
    </cfRule>
  </conditionalFormatting>
  <conditionalFormatting sqref="U3:U100">
    <cfRule type="expression" dxfId="1252" priority="33">
      <formula>B3=698</formula>
    </cfRule>
    <cfRule type="expression" dxfId="1251" priority="76">
      <formula>B3=591</formula>
    </cfRule>
    <cfRule type="expression" dxfId="1250" priority="123">
      <formula>B3=654</formula>
    </cfRule>
    <cfRule type="expression" dxfId="1249" priority="170">
      <formula>B3=720</formula>
    </cfRule>
    <cfRule type="expression" dxfId="1248" priority="219">
      <formula>B3=593</formula>
    </cfRule>
    <cfRule type="expression" dxfId="1247" priority="267">
      <formula>B3=915</formula>
    </cfRule>
    <cfRule type="expression" dxfId="1246" priority="297">
      <formula>B3=723</formula>
    </cfRule>
    <cfRule type="expression" dxfId="1245" priority="360">
      <formula>B3=913</formula>
    </cfRule>
    <cfRule type="expression" dxfId="1244" priority="396">
      <formula>B3=921</formula>
    </cfRule>
    <cfRule type="expression" dxfId="1243" priority="409">
      <formula>B3=250</formula>
    </cfRule>
  </conditionalFormatting>
  <conditionalFormatting sqref="V3:V100">
    <cfRule type="expression" dxfId="1242" priority="32">
      <formula>B3=698</formula>
    </cfRule>
    <cfRule type="expression" dxfId="1241" priority="75">
      <formula>B3=591</formula>
    </cfRule>
    <cfRule type="expression" dxfId="1240" priority="122">
      <formula>B3=654</formula>
    </cfRule>
    <cfRule type="expression" dxfId="1239" priority="169">
      <formula>B3=720</formula>
    </cfRule>
    <cfRule type="expression" dxfId="1238" priority="218">
      <formula>B3=593</formula>
    </cfRule>
    <cfRule type="expression" dxfId="1237" priority="266">
      <formula>B3=915</formula>
    </cfRule>
    <cfRule type="expression" dxfId="1236" priority="296">
      <formula>B3=723</formula>
    </cfRule>
    <cfRule type="expression" dxfId="1235" priority="323">
      <formula>B3=721</formula>
    </cfRule>
    <cfRule type="expression" dxfId="1234" priority="359">
      <formula>B3=913</formula>
    </cfRule>
    <cfRule type="expression" dxfId="1233" priority="395">
      <formula>B3=921</formula>
    </cfRule>
    <cfRule type="expression" dxfId="1232" priority="408">
      <formula>B3=250</formula>
    </cfRule>
  </conditionalFormatting>
  <conditionalFormatting sqref="W3:W100">
    <cfRule type="expression" dxfId="1231" priority="31">
      <formula>B3=698</formula>
    </cfRule>
    <cfRule type="expression" dxfId="1230" priority="74">
      <formula>B3=591</formula>
    </cfRule>
    <cfRule type="expression" dxfId="1229" priority="121">
      <formula>B3=654</formula>
    </cfRule>
    <cfRule type="expression" dxfId="1228" priority="168">
      <formula>B3=720</formula>
    </cfRule>
    <cfRule type="expression" dxfId="1227" priority="217">
      <formula>B3=593</formula>
    </cfRule>
    <cfRule type="expression" dxfId="1226" priority="265">
      <formula>B3=915</formula>
    </cfRule>
    <cfRule type="expression" dxfId="1225" priority="322">
      <formula>B3=721</formula>
    </cfRule>
    <cfRule type="expression" dxfId="1224" priority="358">
      <formula>B3=913</formula>
    </cfRule>
    <cfRule type="expression" dxfId="1223" priority="394">
      <formula>B3=921</formula>
    </cfRule>
  </conditionalFormatting>
  <conditionalFormatting sqref="X3:X100">
    <cfRule type="expression" dxfId="1222" priority="30">
      <formula>B3=698</formula>
    </cfRule>
    <cfRule type="expression" dxfId="1221" priority="120">
      <formula>B3=654</formula>
    </cfRule>
    <cfRule type="expression" dxfId="1220" priority="167">
      <formula>B3=720</formula>
    </cfRule>
    <cfRule type="expression" dxfId="1219" priority="357">
      <formula>B3=913</formula>
    </cfRule>
    <cfRule type="expression" dxfId="1218" priority="422">
      <formula>B3=250</formula>
    </cfRule>
  </conditionalFormatting>
  <conditionalFormatting sqref="Y3:Y100">
    <cfRule type="expression" dxfId="1217" priority="29">
      <formula>B3=698</formula>
    </cfRule>
    <cfRule type="expression" dxfId="1216" priority="73">
      <formula>B3=591</formula>
    </cfRule>
    <cfRule type="expression" dxfId="1215" priority="216">
      <formula>B3=593</formula>
    </cfRule>
    <cfRule type="expression" dxfId="1214" priority="264">
      <formula>B3=915</formula>
    </cfRule>
    <cfRule type="expression" dxfId="1213" priority="295">
      <formula>B3=723</formula>
    </cfRule>
    <cfRule type="expression" dxfId="1212" priority="321">
      <formula>B3=721</formula>
    </cfRule>
    <cfRule type="expression" dxfId="1211" priority="356">
      <formula>B3=913</formula>
    </cfRule>
    <cfRule type="expression" dxfId="1210" priority="407">
      <formula>B3=250</formula>
    </cfRule>
    <cfRule type="expression" dxfId="1209" priority="426">
      <formula>B3=921</formula>
    </cfRule>
  </conditionalFormatting>
  <conditionalFormatting sqref="Z3:Z100">
    <cfRule type="expression" dxfId="1208" priority="28">
      <formula>B3=698</formula>
    </cfRule>
    <cfRule type="expression" dxfId="1207" priority="72">
      <formula>B3=591</formula>
    </cfRule>
    <cfRule type="expression" dxfId="1206" priority="215">
      <formula>B3=593</formula>
    </cfRule>
    <cfRule type="expression" dxfId="1205" priority="263">
      <formula>B3=915</formula>
    </cfRule>
    <cfRule type="expression" dxfId="1204" priority="294">
      <formula>B3=723</formula>
    </cfRule>
    <cfRule type="expression" dxfId="1203" priority="320">
      <formula>B3=721</formula>
    </cfRule>
    <cfRule type="expression" dxfId="1202" priority="393">
      <formula>B3=921</formula>
    </cfRule>
    <cfRule type="expression" dxfId="1201" priority="406">
      <formula>B3=250</formula>
    </cfRule>
  </conditionalFormatting>
  <conditionalFormatting sqref="AA3:AB100">
    <cfRule type="expression" dxfId="1200" priority="71">
      <formula>B3=591</formula>
    </cfRule>
    <cfRule type="expression" dxfId="1199" priority="119">
      <formula>B3=654</formula>
    </cfRule>
    <cfRule type="expression" dxfId="1198" priority="166">
      <formula>B3=720</formula>
    </cfRule>
    <cfRule type="expression" dxfId="1197" priority="214">
      <formula>B3=593</formula>
    </cfRule>
    <cfRule type="expression" dxfId="1196" priority="262">
      <formula>B3=915</formula>
    </cfRule>
    <cfRule type="expression" dxfId="1195" priority="319">
      <formula>B3=721</formula>
    </cfRule>
    <cfRule type="expression" dxfId="1194" priority="355">
      <formula>B3=913</formula>
    </cfRule>
    <cfRule type="expression" dxfId="1193" priority="392">
      <formula>B3=921</formula>
    </cfRule>
  </conditionalFormatting>
  <conditionalFormatting sqref="AC3:AC100">
    <cfRule type="expression" dxfId="1192" priority="27">
      <formula>B3=698</formula>
    </cfRule>
    <cfRule type="expression" dxfId="1191" priority="70">
      <formula>B3=591</formula>
    </cfRule>
    <cfRule type="expression" dxfId="1190" priority="118">
      <formula>B3=654</formula>
    </cfRule>
    <cfRule type="expression" dxfId="1189" priority="165">
      <formula>B3=720</formula>
    </cfRule>
    <cfRule type="expression" dxfId="1188" priority="213">
      <formula>B3=593</formula>
    </cfRule>
    <cfRule type="expression" dxfId="1187" priority="261">
      <formula>B3=915</formula>
    </cfRule>
    <cfRule type="expression" dxfId="1186" priority="293">
      <formula>B3=723</formula>
    </cfRule>
    <cfRule type="expression" dxfId="1185" priority="318">
      <formula>B3=721</formula>
    </cfRule>
    <cfRule type="expression" dxfId="1184" priority="354">
      <formula>B3=913</formula>
    </cfRule>
    <cfRule type="expression" dxfId="1183" priority="391">
      <formula>B3=921</formula>
    </cfRule>
    <cfRule type="expression" dxfId="1182" priority="421">
      <formula>B3=250</formula>
    </cfRule>
  </conditionalFormatting>
  <conditionalFormatting sqref="AD3:AD100">
    <cfRule type="expression" dxfId="1181" priority="26">
      <formula>B3=698</formula>
    </cfRule>
    <cfRule type="expression" dxfId="1180" priority="69">
      <formula>B3=591</formula>
    </cfRule>
    <cfRule type="expression" dxfId="1179" priority="117">
      <formula>B3=654</formula>
    </cfRule>
    <cfRule type="expression" dxfId="1178" priority="164">
      <formula>B3=720</formula>
    </cfRule>
    <cfRule type="expression" dxfId="1177" priority="212">
      <formula>B3=593</formula>
    </cfRule>
    <cfRule type="expression" dxfId="1176" priority="260">
      <formula>B3=915</formula>
    </cfRule>
    <cfRule type="expression" dxfId="1175" priority="292">
      <formula>B3=723</formula>
    </cfRule>
    <cfRule type="expression" dxfId="1174" priority="317">
      <formula>B3=721</formula>
    </cfRule>
    <cfRule type="expression" dxfId="1173" priority="353">
      <formula>B3=913</formula>
    </cfRule>
    <cfRule type="expression" dxfId="1172" priority="390">
      <formula>B3=921</formula>
    </cfRule>
  </conditionalFormatting>
  <conditionalFormatting sqref="AE3:AE100">
    <cfRule type="expression" dxfId="1171" priority="25">
      <formula>B3=698</formula>
    </cfRule>
    <cfRule type="expression" dxfId="1170" priority="259">
      <formula>B3=915</formula>
    </cfRule>
    <cfRule type="expression" dxfId="1169" priority="352">
      <formula>B3=913</formula>
    </cfRule>
    <cfRule type="expression" dxfId="1168" priority="389">
      <formula>B3=921</formula>
    </cfRule>
  </conditionalFormatting>
  <conditionalFormatting sqref="AF3:AF100">
    <cfRule type="expression" dxfId="1167" priority="68">
      <formula>B3=591</formula>
    </cfRule>
    <cfRule type="expression" dxfId="1166" priority="116">
      <formula>B3=654</formula>
    </cfRule>
    <cfRule type="expression" dxfId="1165" priority="211">
      <formula>B3=593</formula>
    </cfRule>
    <cfRule type="expression" dxfId="1164" priority="258">
      <formula>B3=915</formula>
    </cfRule>
    <cfRule type="expression" dxfId="1163" priority="291">
      <formula>B3=723</formula>
    </cfRule>
    <cfRule type="expression" dxfId="1162" priority="316">
      <formula>B3=721</formula>
    </cfRule>
    <cfRule type="expression" dxfId="1161" priority="351">
      <formula>B3=913</formula>
    </cfRule>
    <cfRule type="expression" dxfId="1160" priority="388">
      <formula>B3=921</formula>
    </cfRule>
  </conditionalFormatting>
  <conditionalFormatting sqref="AG3:AG100">
    <cfRule type="expression" dxfId="1159" priority="257">
      <formula>B3=915</formula>
    </cfRule>
    <cfRule type="expression" dxfId="1158" priority="350">
      <formula>B3=913</formula>
    </cfRule>
    <cfRule type="expression" dxfId="1157" priority="387">
      <formula>B3=921</formula>
    </cfRule>
  </conditionalFormatting>
  <conditionalFormatting sqref="AH3:AH100">
    <cfRule type="expression" dxfId="1156" priority="256">
      <formula>B3=915</formula>
    </cfRule>
    <cfRule type="expression" dxfId="1155" priority="349">
      <formula>B3=913</formula>
    </cfRule>
    <cfRule type="expression" dxfId="1154" priority="386">
      <formula>B3=921</formula>
    </cfRule>
  </conditionalFormatting>
  <conditionalFormatting sqref="AI3:AI100">
    <cfRule type="expression" dxfId="1153" priority="24">
      <formula>B3=698</formula>
    </cfRule>
    <cfRule type="expression" dxfId="1152" priority="67">
      <formula>B3=591</formula>
    </cfRule>
    <cfRule type="expression" dxfId="1151" priority="115">
      <formula>B3=654</formula>
    </cfRule>
    <cfRule type="expression" dxfId="1150" priority="163">
      <formula>B3=720</formula>
    </cfRule>
    <cfRule type="expression" dxfId="1149" priority="210">
      <formula>B3=593</formula>
    </cfRule>
    <cfRule type="expression" dxfId="1148" priority="255">
      <formula>B3=915</formula>
    </cfRule>
    <cfRule type="expression" dxfId="1147" priority="348">
      <formula>B3=913</formula>
    </cfRule>
    <cfRule type="expression" dxfId="1146" priority="385">
      <formula>B3=921</formula>
    </cfRule>
  </conditionalFormatting>
  <conditionalFormatting sqref="AJ3:AK100">
    <cfRule type="expression" dxfId="1145" priority="20">
      <formula>B3=698</formula>
    </cfRule>
    <cfRule type="expression" dxfId="1144" priority="66">
      <formula>B3=591</formula>
    </cfRule>
    <cfRule type="expression" dxfId="1143" priority="114">
      <formula>B3=654</formula>
    </cfRule>
    <cfRule type="expression" dxfId="1142" priority="162">
      <formula>B3=720</formula>
    </cfRule>
    <cfRule type="expression" dxfId="1141" priority="209">
      <formula>B3=593</formula>
    </cfRule>
    <cfRule type="expression" dxfId="1140" priority="254">
      <formula>B3=915</formula>
    </cfRule>
    <cfRule type="expression" dxfId="1139" priority="290">
      <formula>B3=723</formula>
    </cfRule>
    <cfRule type="expression" dxfId="1138" priority="315">
      <formula>B3=721</formula>
    </cfRule>
    <cfRule type="expression" dxfId="1137" priority="347">
      <formula>B3=913</formula>
    </cfRule>
    <cfRule type="expression" dxfId="1136" priority="384">
      <formula>B3=921</formula>
    </cfRule>
  </conditionalFormatting>
  <conditionalFormatting sqref="AL3:AL100">
    <cfRule type="expression" dxfId="1135" priority="21">
      <formula>B3=698</formula>
    </cfRule>
    <cfRule type="expression" dxfId="1134" priority="65">
      <formula>B3=591</formula>
    </cfRule>
    <cfRule type="expression" dxfId="1133" priority="113">
      <formula>B3=654</formula>
    </cfRule>
    <cfRule type="expression" dxfId="1132" priority="161">
      <formula>B3=720</formula>
    </cfRule>
    <cfRule type="expression" dxfId="1131" priority="253">
      <formula>B3=915</formula>
    </cfRule>
    <cfRule type="expression" dxfId="1130" priority="289">
      <formula>B3=723</formula>
    </cfRule>
    <cfRule type="expression" dxfId="1129" priority="314">
      <formula>B3=721</formula>
    </cfRule>
    <cfRule type="expression" dxfId="1128" priority="346">
      <formula>B3=913</formula>
    </cfRule>
    <cfRule type="expression" dxfId="1127" priority="383">
      <formula>B3=921</formula>
    </cfRule>
  </conditionalFormatting>
  <conditionalFormatting sqref="AM3:AM100">
    <cfRule type="expression" dxfId="1126" priority="112">
      <formula>B3=654</formula>
    </cfRule>
    <cfRule type="expression" dxfId="1125" priority="160">
      <formula>B3=720</formula>
    </cfRule>
    <cfRule type="expression" dxfId="1124" priority="252">
      <formula>B3=915</formula>
    </cfRule>
    <cfRule type="expression" dxfId="1123" priority="288">
      <formula>B3=723</formula>
    </cfRule>
    <cfRule type="expression" dxfId="1122" priority="313">
      <formula>B3=721</formula>
    </cfRule>
    <cfRule type="expression" dxfId="1121" priority="345">
      <formula>B3=913</formula>
    </cfRule>
    <cfRule type="expression" dxfId="1120" priority="382">
      <formula>B3=921</formula>
    </cfRule>
    <cfRule type="expression" dxfId="1119" priority="420">
      <formula>B3=250</formula>
    </cfRule>
  </conditionalFormatting>
  <conditionalFormatting sqref="AN3:AN100">
    <cfRule type="expression" dxfId="1118" priority="19">
      <formula>B3=698</formula>
    </cfRule>
    <cfRule type="expression" dxfId="1117" priority="64">
      <formula>B3=591</formula>
    </cfRule>
    <cfRule type="expression" dxfId="1116" priority="111">
      <formula>B3=654</formula>
    </cfRule>
    <cfRule type="expression" dxfId="1115" priority="159">
      <formula>B3=720</formula>
    </cfRule>
    <cfRule type="expression" dxfId="1114" priority="208">
      <formula>B3=593</formula>
    </cfRule>
    <cfRule type="expression" dxfId="1113" priority="287">
      <formula>B3=723</formula>
    </cfRule>
    <cfRule type="expression" dxfId="1112" priority="312">
      <formula>B3=721</formula>
    </cfRule>
    <cfRule type="expression" dxfId="1111" priority="344">
      <formula>B3=913</formula>
    </cfRule>
    <cfRule type="expression" dxfId="1110" priority="381">
      <formula>B3=921</formula>
    </cfRule>
  </conditionalFormatting>
  <conditionalFormatting sqref="AO3:AO100">
    <cfRule type="expression" dxfId="1109" priority="18">
      <formula>B3=698</formula>
    </cfRule>
    <cfRule type="expression" dxfId="1108" priority="63">
      <formula>B3=591</formula>
    </cfRule>
    <cfRule type="expression" dxfId="1107" priority="110">
      <formula>B3=654</formula>
    </cfRule>
    <cfRule type="expression" dxfId="1106" priority="158">
      <formula>B3=720</formula>
    </cfRule>
    <cfRule type="expression" dxfId="1105" priority="207">
      <formula>B3=593</formula>
    </cfRule>
    <cfRule type="expression" dxfId="1104" priority="251">
      <formula>B3=915</formula>
    </cfRule>
    <cfRule type="expression" dxfId="1103" priority="311">
      <formula>B3=721</formula>
    </cfRule>
    <cfRule type="expression" dxfId="1102" priority="343">
      <formula>B3=913</formula>
    </cfRule>
    <cfRule type="expression" dxfId="1101" priority="380">
      <formula>B3=921</formula>
    </cfRule>
  </conditionalFormatting>
  <conditionalFormatting sqref="AP3:AP100">
    <cfRule type="expression" dxfId="1100" priority="17">
      <formula>B3=698</formula>
    </cfRule>
    <cfRule type="expression" dxfId="1099" priority="62">
      <formula>B3=591</formula>
    </cfRule>
    <cfRule type="expression" dxfId="1098" priority="109">
      <formula>B3=654</formula>
    </cfRule>
    <cfRule type="expression" dxfId="1097" priority="157">
      <formula>B3=720</formula>
    </cfRule>
    <cfRule type="expression" dxfId="1096" priority="206">
      <formula>B3=593</formula>
    </cfRule>
    <cfRule type="expression" dxfId="1095" priority="250">
      <formula>B3=915</formula>
    </cfRule>
    <cfRule type="expression" dxfId="1094" priority="310">
      <formula>B3=721</formula>
    </cfRule>
    <cfRule type="expression" dxfId="1093" priority="342">
      <formula>B3=913</formula>
    </cfRule>
    <cfRule type="expression" dxfId="1092" priority="379">
      <formula>B3=921</formula>
    </cfRule>
    <cfRule type="expression" dxfId="1091" priority="419">
      <formula>B3=250</formula>
    </cfRule>
  </conditionalFormatting>
  <conditionalFormatting sqref="AQ3:AQ100">
    <cfRule type="expression" dxfId="1090" priority="16">
      <formula>B3=698</formula>
    </cfRule>
    <cfRule type="expression" dxfId="1089" priority="61">
      <formula>B3=591</formula>
    </cfRule>
    <cfRule type="expression" dxfId="1088" priority="108">
      <formula>B3=654</formula>
    </cfRule>
    <cfRule type="expression" dxfId="1087" priority="156">
      <formula>B3=720</formula>
    </cfRule>
    <cfRule type="expression" dxfId="1086" priority="205">
      <formula>B3=593</formula>
    </cfRule>
    <cfRule type="expression" dxfId="1085" priority="249">
      <formula>B3=915</formula>
    </cfRule>
    <cfRule type="expression" dxfId="1084" priority="309">
      <formula>B3=721</formula>
    </cfRule>
    <cfRule type="expression" dxfId="1083" priority="341">
      <formula>B3=913</formula>
    </cfRule>
    <cfRule type="expression" dxfId="1082" priority="378">
      <formula>B3=921</formula>
    </cfRule>
  </conditionalFormatting>
  <conditionalFormatting sqref="AR3:AR100">
    <cfRule type="expression" dxfId="1081" priority="15">
      <formula>B3=698</formula>
    </cfRule>
    <cfRule type="expression" dxfId="1080" priority="60">
      <formula>B3=591</formula>
    </cfRule>
    <cfRule type="expression" dxfId="1079" priority="107">
      <formula>B3=654</formula>
    </cfRule>
    <cfRule type="expression" dxfId="1078" priority="155">
      <formula>B3=720</formula>
    </cfRule>
    <cfRule type="expression" dxfId="1077" priority="204">
      <formula>B3=593</formula>
    </cfRule>
    <cfRule type="expression" dxfId="1076" priority="248">
      <formula>B3=915</formula>
    </cfRule>
    <cfRule type="expression" dxfId="1075" priority="308">
      <formula>B3=721</formula>
    </cfRule>
    <cfRule type="expression" dxfId="1074" priority="340">
      <formula>B3=913</formula>
    </cfRule>
    <cfRule type="expression" dxfId="1073" priority="377">
      <formula>B3=921</formula>
    </cfRule>
    <cfRule type="expression" dxfId="1072" priority="405">
      <formula>B3=250</formula>
    </cfRule>
  </conditionalFormatting>
  <conditionalFormatting sqref="AS3:AS100">
    <cfRule type="expression" dxfId="1071" priority="106">
      <formula>B3=654</formula>
    </cfRule>
    <cfRule type="expression" dxfId="1070" priority="154">
      <formula>B3=720</formula>
    </cfRule>
    <cfRule type="expression" dxfId="1069" priority="203">
      <formula>B3=593</formula>
    </cfRule>
    <cfRule type="expression" dxfId="1068" priority="247">
      <formula>B3=915</formula>
    </cfRule>
    <cfRule type="expression" dxfId="1067" priority="339">
      <formula>B3=913</formula>
    </cfRule>
    <cfRule type="expression" dxfId="1066" priority="376">
      <formula>B3=921</formula>
    </cfRule>
  </conditionalFormatting>
  <conditionalFormatting sqref="AT3:AT100">
    <cfRule type="expression" dxfId="1065" priority="105">
      <formula>B3=654</formula>
    </cfRule>
    <cfRule type="expression" dxfId="1064" priority="153">
      <formula>B3=720</formula>
    </cfRule>
    <cfRule type="expression" dxfId="1063" priority="202">
      <formula>B3=593</formula>
    </cfRule>
    <cfRule type="expression" dxfId="1062" priority="246">
      <formula>B3=915</formula>
    </cfRule>
    <cfRule type="expression" dxfId="1061" priority="338">
      <formula>B3=913</formula>
    </cfRule>
    <cfRule type="expression" dxfId="1060" priority="375">
      <formula>B3=921</formula>
    </cfRule>
  </conditionalFormatting>
  <conditionalFormatting sqref="AU3:AU100">
    <cfRule type="expression" dxfId="1059" priority="14">
      <formula>B3=698</formula>
    </cfRule>
    <cfRule type="expression" dxfId="1058" priority="59">
      <formula>B3=591</formula>
    </cfRule>
    <cfRule type="expression" dxfId="1057" priority="104">
      <formula>B3=654</formula>
    </cfRule>
    <cfRule type="expression" dxfId="1056" priority="152">
      <formula>B3=720</formula>
    </cfRule>
    <cfRule type="expression" dxfId="1055" priority="201">
      <formula>B3=593</formula>
    </cfRule>
    <cfRule type="expression" dxfId="1054" priority="245">
      <formula>B3=915</formula>
    </cfRule>
    <cfRule type="expression" dxfId="1053" priority="337">
      <formula>B3=913</formula>
    </cfRule>
    <cfRule type="expression" dxfId="1052" priority="374">
      <formula>B3=921</formula>
    </cfRule>
  </conditionalFormatting>
  <conditionalFormatting sqref="AV3:AV100">
    <cfRule type="expression" dxfId="1051" priority="13">
      <formula>B3=698</formula>
    </cfRule>
    <cfRule type="expression" dxfId="1050" priority="58">
      <formula>B3=591</formula>
    </cfRule>
    <cfRule type="expression" dxfId="1049" priority="103">
      <formula>B3=654</formula>
    </cfRule>
    <cfRule type="expression" dxfId="1048" priority="151">
      <formula>B3=720</formula>
    </cfRule>
    <cfRule type="expression" dxfId="1047" priority="200">
      <formula>B3=593</formula>
    </cfRule>
    <cfRule type="expression" dxfId="1046" priority="244">
      <formula>B3=915</formula>
    </cfRule>
    <cfRule type="expression" dxfId="1045" priority="336">
      <formula>B3=913</formula>
    </cfRule>
    <cfRule type="expression" dxfId="1044" priority="373">
      <formula>B3=921</formula>
    </cfRule>
  </conditionalFormatting>
  <conditionalFormatting sqref="AW3:AW100">
    <cfRule type="expression" dxfId="1043" priority="57">
      <formula>B3=591</formula>
    </cfRule>
    <cfRule type="expression" dxfId="1042" priority="150">
      <formula>B3=720</formula>
    </cfRule>
    <cfRule type="expression" dxfId="1041" priority="199">
      <formula>B3=915</formula>
    </cfRule>
    <cfRule type="expression" dxfId="1040" priority="243">
      <formula>B3=593</formula>
    </cfRule>
    <cfRule type="expression" dxfId="1039" priority="335">
      <formula>B3=913</formula>
    </cfRule>
    <cfRule type="expression" dxfId="1038" priority="372">
      <formula>B3=921</formula>
    </cfRule>
    <cfRule type="expression" dxfId="1037" priority="418">
      <formula>B3=250</formula>
    </cfRule>
  </conditionalFormatting>
  <conditionalFormatting sqref="AX3:AX100">
    <cfRule type="expression" dxfId="1036" priority="12">
      <formula>B3=698</formula>
    </cfRule>
    <cfRule type="expression" dxfId="1035" priority="56">
      <formula>B3=591</formula>
    </cfRule>
    <cfRule type="expression" dxfId="1034" priority="102">
      <formula>B3=654</formula>
    </cfRule>
    <cfRule type="expression" dxfId="1033" priority="149">
      <formula>B3=720</formula>
    </cfRule>
    <cfRule type="expression" dxfId="1032" priority="198">
      <formula>B3=593</formula>
    </cfRule>
    <cfRule type="expression" dxfId="1031" priority="242">
      <formula>B3=915</formula>
    </cfRule>
    <cfRule type="expression" dxfId="1030" priority="334">
      <formula>B3=913</formula>
    </cfRule>
    <cfRule type="expression" dxfId="1029" priority="371">
      <formula>B3=921</formula>
    </cfRule>
    <cfRule type="expression" dxfId="1028" priority="404">
      <formula>B3=250</formula>
    </cfRule>
  </conditionalFormatting>
  <conditionalFormatting sqref="AY3:AY100">
    <cfRule type="expression" dxfId="1027" priority="11">
      <formula>B3=698</formula>
    </cfRule>
    <cfRule type="expression" dxfId="1026" priority="55">
      <formula>B3=591</formula>
    </cfRule>
    <cfRule type="expression" dxfId="1025" priority="101">
      <formula>B3=654</formula>
    </cfRule>
    <cfRule type="expression" dxfId="1024" priority="148">
      <formula>B3=720</formula>
    </cfRule>
    <cfRule type="expression" dxfId="1023" priority="197">
      <formula>B3=593</formula>
    </cfRule>
    <cfRule type="expression" dxfId="1022" priority="241">
      <formula>B3=915</formula>
    </cfRule>
    <cfRule type="expression" dxfId="1021" priority="307">
      <formula>B3=721</formula>
    </cfRule>
    <cfRule type="expression" dxfId="1020" priority="333">
      <formula>B3=913</formula>
    </cfRule>
    <cfRule type="expression" dxfId="1019" priority="370">
      <formula>B3=921</formula>
    </cfRule>
    <cfRule type="expression" dxfId="1018" priority="403">
      <formula>B3=250</formula>
    </cfRule>
  </conditionalFormatting>
  <conditionalFormatting sqref="AZ3:AZ100">
    <cfRule type="expression" dxfId="1017" priority="10">
      <formula>B3=698</formula>
    </cfRule>
    <cfRule type="expression" dxfId="1016" priority="54">
      <formula>B3=591</formula>
    </cfRule>
    <cfRule type="expression" dxfId="1015" priority="100">
      <formula>B3=654</formula>
    </cfRule>
    <cfRule type="expression" dxfId="1014" priority="147">
      <formula>B3=720</formula>
    </cfRule>
    <cfRule type="expression" dxfId="1013" priority="196">
      <formula>B3=593</formula>
    </cfRule>
    <cfRule type="expression" dxfId="1012" priority="240">
      <formula>B3=915</formula>
    </cfRule>
    <cfRule type="expression" dxfId="1011" priority="286">
      <formula>B3=723</formula>
    </cfRule>
    <cfRule type="expression" dxfId="1010" priority="306">
      <formula>B3=721</formula>
    </cfRule>
    <cfRule type="expression" dxfId="1009" priority="332">
      <formula>B3=913</formula>
    </cfRule>
    <cfRule type="expression" dxfId="1008" priority="369">
      <formula>B3=921</formula>
    </cfRule>
  </conditionalFormatting>
  <conditionalFormatting sqref="BA3:BB100">
    <cfRule type="expression" dxfId="1007" priority="9">
      <formula>B3=698</formula>
    </cfRule>
    <cfRule type="expression" dxfId="1006" priority="53">
      <formula>B3=591</formula>
    </cfRule>
    <cfRule type="expression" dxfId="1005" priority="99">
      <formula>B3=654</formula>
    </cfRule>
    <cfRule type="expression" dxfId="1004" priority="146">
      <formula>B3=720</formula>
    </cfRule>
    <cfRule type="expression" dxfId="1003" priority="195">
      <formula>B3=593</formula>
    </cfRule>
    <cfRule type="expression" dxfId="1002" priority="285">
      <formula>B3=723</formula>
    </cfRule>
    <cfRule type="expression" dxfId="1001" priority="305">
      <formula>B3=721</formula>
    </cfRule>
    <cfRule type="expression" dxfId="1000" priority="331">
      <formula>B3=913</formula>
    </cfRule>
    <cfRule type="expression" dxfId="999" priority="368">
      <formula>B3=921</formula>
    </cfRule>
  </conditionalFormatting>
  <conditionalFormatting sqref="BC3:BC100">
    <cfRule type="expression" dxfId="998" priority="8">
      <formula>B3=698</formula>
    </cfRule>
    <cfRule type="expression" dxfId="997" priority="52">
      <formula>B3=591</formula>
    </cfRule>
    <cfRule type="expression" dxfId="996" priority="98">
      <formula>B3=654</formula>
    </cfRule>
    <cfRule type="expression" dxfId="995" priority="145">
      <formula>B3=720</formula>
    </cfRule>
    <cfRule type="expression" dxfId="994" priority="194">
      <formula>B3=593</formula>
    </cfRule>
    <cfRule type="expression" dxfId="993" priority="239">
      <formula>B3=915</formula>
    </cfRule>
    <cfRule type="expression" dxfId="992" priority="284">
      <formula>B3=723</formula>
    </cfRule>
    <cfRule type="expression" dxfId="991" priority="304">
      <formula>B3=721</formula>
    </cfRule>
    <cfRule type="expression" dxfId="990" priority="330">
      <formula>B3=913</formula>
    </cfRule>
    <cfRule type="expression" dxfId="989" priority="367">
      <formula>B3=921</formula>
    </cfRule>
    <cfRule type="expression" dxfId="988" priority="417">
      <formula>B3=250</formula>
    </cfRule>
  </conditionalFormatting>
  <conditionalFormatting sqref="BD3:BD100">
    <cfRule type="expression" dxfId="987" priority="51">
      <formula>B3=591</formula>
    </cfRule>
    <cfRule type="expression" dxfId="986" priority="144">
      <formula>B3=720</formula>
    </cfRule>
    <cfRule type="expression" dxfId="985" priority="193">
      <formula>B3=593</formula>
    </cfRule>
  </conditionalFormatting>
  <conditionalFormatting sqref="BE3:BE100">
    <cfRule type="expression" dxfId="984" priority="6">
      <formula>B3=698</formula>
    </cfRule>
    <cfRule type="expression" dxfId="983" priority="50">
      <formula>B3=591</formula>
    </cfRule>
    <cfRule type="expression" dxfId="982" priority="97">
      <formula>B3=654</formula>
    </cfRule>
    <cfRule type="expression" dxfId="981" priority="143">
      <formula>B3=720</formula>
    </cfRule>
    <cfRule type="expression" dxfId="980" priority="192">
      <formula>B3=593</formula>
    </cfRule>
    <cfRule type="expression" dxfId="979" priority="238">
      <formula>B3=915</formula>
    </cfRule>
    <cfRule type="expression" dxfId="978" priority="283">
      <formula>B3=723</formula>
    </cfRule>
    <cfRule type="expression" dxfId="977" priority="303">
      <formula>B3=721</formula>
    </cfRule>
    <cfRule type="expression" dxfId="976" priority="329">
      <formula>B3=913</formula>
    </cfRule>
    <cfRule type="expression" dxfId="975" priority="425">
      <formula>B3=921</formula>
    </cfRule>
  </conditionalFormatting>
  <conditionalFormatting sqref="BF3:BF100">
    <cfRule type="expression" dxfId="974" priority="5">
      <formula>B3=698</formula>
    </cfRule>
    <cfRule type="expression" dxfId="973" priority="49">
      <formula>B3=591</formula>
    </cfRule>
    <cfRule type="expression" dxfId="972" priority="96">
      <formula>B3=654</formula>
    </cfRule>
    <cfRule type="expression" dxfId="971" priority="142">
      <formula>B3=720</formula>
    </cfRule>
    <cfRule type="expression" dxfId="970" priority="191">
      <formula>B3=593</formula>
    </cfRule>
    <cfRule type="expression" dxfId="969" priority="237">
      <formula>B3=915</formula>
    </cfRule>
    <cfRule type="expression" dxfId="968" priority="282">
      <formula>B3=723</formula>
    </cfRule>
    <cfRule type="expression" dxfId="967" priority="302">
      <formula>B3=721</formula>
    </cfRule>
  </conditionalFormatting>
  <conditionalFormatting sqref="BG3:BG100">
    <cfRule type="expression" dxfId="966" priority="4">
      <formula>B3=698</formula>
    </cfRule>
    <cfRule type="expression" dxfId="965" priority="48">
      <formula>B3=591</formula>
    </cfRule>
    <cfRule type="expression" dxfId="964" priority="95">
      <formula>B3=654</formula>
    </cfRule>
    <cfRule type="expression" dxfId="963" priority="141">
      <formula>B3=720</formula>
    </cfRule>
    <cfRule type="expression" dxfId="962" priority="190">
      <formula>B3=593</formula>
    </cfRule>
    <cfRule type="expression" dxfId="961" priority="236">
      <formula>B3=915</formula>
    </cfRule>
    <cfRule type="expression" dxfId="960" priority="424">
      <formula>B3=921</formula>
    </cfRule>
  </conditionalFormatting>
  <conditionalFormatting sqref="BG3:BI100">
    <cfRule type="expression" dxfId="959" priority="416">
      <formula>B3=250</formula>
    </cfRule>
  </conditionalFormatting>
  <conditionalFormatting sqref="BH3:BH100">
    <cfRule type="expression" dxfId="958" priority="94">
      <formula>B3=654</formula>
    </cfRule>
    <cfRule type="expression" dxfId="957" priority="189">
      <formula>B3=593</formula>
    </cfRule>
    <cfRule type="expression" dxfId="956" priority="235">
      <formula>B3=915</formula>
    </cfRule>
    <cfRule type="expression" dxfId="955" priority="366">
      <formula>B3=921</formula>
    </cfRule>
    <cfRule type="expression" dxfId="954" priority="402">
      <formula>B3=250</formula>
    </cfRule>
  </conditionalFormatting>
  <conditionalFormatting sqref="BI3:BI100">
    <cfRule type="expression" dxfId="953" priority="3">
      <formula>B3=698</formula>
    </cfRule>
    <cfRule type="expression" dxfId="952" priority="47">
      <formula>B3=591</formula>
    </cfRule>
    <cfRule type="expression" dxfId="951" priority="93">
      <formula>B3=654</formula>
    </cfRule>
    <cfRule type="expression" dxfId="950" priority="140">
      <formula>B3=720</formula>
    </cfRule>
    <cfRule type="expression" dxfId="949" priority="188">
      <formula>B3=593</formula>
    </cfRule>
    <cfRule type="expression" dxfId="948" priority="234">
      <formula>B3=915</formula>
    </cfRule>
    <cfRule type="expression" dxfId="947" priority="301">
      <formula>B3=721</formula>
    </cfRule>
    <cfRule type="expression" dxfId="946" priority="328">
      <formula>B3=913</formula>
    </cfRule>
    <cfRule type="expression" dxfId="945" priority="365">
      <formula>B3=921</formula>
    </cfRule>
    <cfRule type="expression" dxfId="944" priority="401">
      <formula>B3=250</formula>
    </cfRule>
  </conditionalFormatting>
  <conditionalFormatting sqref="BJ3:BJ100">
    <cfRule type="expression" dxfId="943" priority="2">
      <formula>B3=698</formula>
    </cfRule>
    <cfRule type="expression" dxfId="942" priority="46">
      <formula>B3=591</formula>
    </cfRule>
    <cfRule type="expression" dxfId="941" priority="139">
      <formula>B3=720</formula>
    </cfRule>
    <cfRule type="expression" dxfId="940" priority="187">
      <formula>B3=593</formula>
    </cfRule>
    <cfRule type="expression" dxfId="939" priority="281">
      <formula>B3=723</formula>
    </cfRule>
    <cfRule type="expression" dxfId="938" priority="300">
      <formula>B3=721</formula>
    </cfRule>
    <cfRule type="expression" dxfId="937" priority="327">
      <formula>B3=913</formula>
    </cfRule>
    <cfRule type="expression" dxfId="936" priority="364">
      <formula>B3=921</formula>
    </cfRule>
  </conditionalFormatting>
  <conditionalFormatting sqref="BK3:BK100">
    <cfRule type="expression" dxfId="935" priority="1">
      <formula>B3=698</formula>
    </cfRule>
    <cfRule type="expression" dxfId="934" priority="45">
      <formula>B3=591</formula>
    </cfRule>
    <cfRule type="expression" dxfId="933" priority="92">
      <formula>B3=654</formula>
    </cfRule>
    <cfRule type="expression" dxfId="932" priority="138">
      <formula>B3=720</formula>
    </cfRule>
    <cfRule type="expression" dxfId="931" priority="186">
      <formula>B3=593</formula>
    </cfRule>
    <cfRule type="expression" dxfId="930" priority="233">
      <formula>B3=915</formula>
    </cfRule>
    <cfRule type="expression" dxfId="929" priority="280">
      <formula>B3=723</formula>
    </cfRule>
    <cfRule type="expression" dxfId="928" priority="299">
      <formula>B3=721</formula>
    </cfRule>
    <cfRule type="expression" dxfId="927" priority="326">
      <formula>B3=913</formula>
    </cfRule>
    <cfRule type="expression" dxfId="926" priority="363">
      <formula>B3=921</formula>
    </cfRule>
    <cfRule type="expression" dxfId="925" priority="415">
      <formula>B3=250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CA58-90E4-4462-8986-0189800AC96F}">
  <sheetPr filterMode="1"/>
  <dimension ref="A1:CI364"/>
  <sheetViews>
    <sheetView tabSelected="1" zoomScale="80" zoomScaleNormal="80" workbookViewId="0">
      <pane ySplit="2" topLeftCell="BH26" activePane="bottomLeft" state="frozen"/>
      <selection pane="bottomLeft" activeCell="BO37" sqref="BO37:BP37"/>
    </sheetView>
  </sheetViews>
  <sheetFormatPr defaultColWidth="8.85546875" defaultRowHeight="14.45"/>
  <cols>
    <col min="1" max="1" width="6.42578125" style="5" customWidth="1"/>
    <col min="2" max="3" width="4.7109375" style="5" bestFit="1" customWidth="1"/>
    <col min="4" max="4" width="5.42578125" style="5" bestFit="1" customWidth="1"/>
    <col min="5" max="5" width="8.85546875" style="5" bestFit="1" customWidth="1"/>
    <col min="6" max="6" width="5.42578125" style="5" bestFit="1" customWidth="1"/>
    <col min="7" max="7" width="6.28515625" style="5" bestFit="1" customWidth="1"/>
    <col min="8" max="8" width="7" style="5" bestFit="1" customWidth="1"/>
    <col min="9" max="9" width="8.7109375" style="5" bestFit="1" customWidth="1"/>
    <col min="10" max="10" width="6.42578125" style="5" bestFit="1" customWidth="1"/>
    <col min="11" max="11" width="7.140625" style="5" bestFit="1" customWidth="1"/>
    <col min="12" max="12" width="8.85546875" style="5" bestFit="1" customWidth="1"/>
    <col min="13" max="19" width="4.7109375" style="5" bestFit="1" customWidth="1"/>
    <col min="20" max="20" width="4.28515625" style="5" customWidth="1"/>
    <col min="21" max="32" width="4.7109375" style="5" bestFit="1" customWidth="1"/>
    <col min="33" max="33" width="6.85546875" style="5" customWidth="1"/>
    <col min="34" max="53" width="4.7109375" style="5" bestFit="1" customWidth="1"/>
    <col min="54" max="54" width="6.42578125" style="5" customWidth="1"/>
    <col min="55" max="55" width="6.140625" style="5" customWidth="1"/>
    <col min="56" max="59" width="4.7109375" style="5" bestFit="1" customWidth="1"/>
    <col min="60" max="60" width="5.85546875" style="5" customWidth="1"/>
    <col min="61" max="62" width="4.7109375" style="5" bestFit="1" customWidth="1"/>
    <col min="63" max="63" width="8.7109375" style="5" customWidth="1"/>
    <col min="64" max="64" width="8.5703125" style="5" customWidth="1"/>
    <col min="65" max="65" width="4.7109375" style="5" bestFit="1" customWidth="1"/>
    <col min="66" max="66" width="19.5703125" style="5" bestFit="1" customWidth="1"/>
    <col min="67" max="67" width="19" style="187" bestFit="1" customWidth="1"/>
    <col min="68" max="68" width="23.42578125" style="265" bestFit="1" customWidth="1"/>
    <col min="69" max="69" width="21.42578125" style="180" bestFit="1" customWidth="1"/>
    <col min="70" max="70" width="19" style="357" bestFit="1" customWidth="1"/>
    <col min="71" max="71" width="21.42578125" style="180" bestFit="1" customWidth="1"/>
    <col min="72" max="72" width="19" style="357" bestFit="1" customWidth="1"/>
    <col min="73" max="73" width="21.42578125" style="271" bestFit="1" customWidth="1"/>
    <col min="74" max="74" width="19" style="272" bestFit="1" customWidth="1"/>
    <col min="75" max="75" width="21.42578125" style="361" bestFit="1" customWidth="1"/>
    <col min="76" max="76" width="19" style="362" bestFit="1" customWidth="1"/>
    <col min="77" max="77" width="15.28515625" style="226" customWidth="1"/>
    <col min="78" max="78" width="18.7109375" style="248" customWidth="1"/>
    <col min="79" max="79" width="23.42578125" style="384" customWidth="1"/>
    <col min="80" max="80" width="19" style="385" bestFit="1" customWidth="1"/>
    <col min="81" max="81" width="9.140625" style="5"/>
    <col min="82" max="82" width="15.28515625" style="226" customWidth="1"/>
    <col min="83" max="83" width="18.7109375" style="494" customWidth="1"/>
    <col min="84" max="84" width="21.42578125" style="180" customWidth="1"/>
    <col min="85" max="85" width="19" style="626" customWidth="1"/>
    <col min="86" max="86" width="23.42578125" style="384" customWidth="1"/>
    <col min="87" max="87" width="19" style="385" customWidth="1"/>
    <col min="88" max="16384" width="8.85546875" style="5"/>
  </cols>
  <sheetData>
    <row r="1" spans="1:87" ht="18.600000000000001">
      <c r="A1" s="10" t="s">
        <v>770</v>
      </c>
      <c r="E1" s="5" t="s">
        <v>611</v>
      </c>
      <c r="F1" s="5">
        <v>603</v>
      </c>
      <c r="G1" s="5">
        <v>846</v>
      </c>
      <c r="H1" s="5">
        <v>914</v>
      </c>
      <c r="BM1" s="11"/>
      <c r="BO1" s="294"/>
      <c r="BP1" s="294"/>
      <c r="BQ1" s="294"/>
      <c r="BR1" s="294"/>
      <c r="BS1" s="294"/>
      <c r="BT1" s="294"/>
      <c r="BU1" s="294"/>
      <c r="BV1" s="294"/>
      <c r="BW1" s="294"/>
      <c r="BX1" s="294"/>
      <c r="BY1" s="294"/>
      <c r="BZ1" s="294"/>
      <c r="CA1" s="295"/>
      <c r="CB1" s="295"/>
      <c r="CC1" s="294"/>
      <c r="CD1" s="294"/>
      <c r="CE1" s="297"/>
      <c r="CF1" s="294"/>
      <c r="CG1" s="621"/>
      <c r="CH1" s="295"/>
      <c r="CI1" s="295"/>
    </row>
    <row r="2" spans="1:87" s="81" customFormat="1" ht="89.1">
      <c r="A2" s="102" t="s">
        <v>612</v>
      </c>
      <c r="B2" s="102" t="s">
        <v>613</v>
      </c>
      <c r="C2" s="102" t="s">
        <v>614</v>
      </c>
      <c r="D2" s="82" t="s">
        <v>615</v>
      </c>
      <c r="E2" s="82" t="s">
        <v>771</v>
      </c>
      <c r="F2" s="82" t="s">
        <v>772</v>
      </c>
      <c r="G2" s="82" t="s">
        <v>89</v>
      </c>
      <c r="H2" s="82" t="s">
        <v>270</v>
      </c>
      <c r="I2" s="82" t="s">
        <v>93</v>
      </c>
      <c r="J2" s="83" t="s">
        <v>83</v>
      </c>
      <c r="K2" s="83" t="s">
        <v>278</v>
      </c>
      <c r="L2" s="83" t="s">
        <v>85</v>
      </c>
      <c r="M2" s="83" t="s">
        <v>303</v>
      </c>
      <c r="N2" s="83" t="s">
        <v>150</v>
      </c>
      <c r="O2" s="83" t="s">
        <v>617</v>
      </c>
      <c r="P2" s="83" t="s">
        <v>79</v>
      </c>
      <c r="Q2" s="83" t="s">
        <v>120</v>
      </c>
      <c r="R2" s="83" t="s">
        <v>191</v>
      </c>
      <c r="S2" s="82" t="s">
        <v>226</v>
      </c>
      <c r="T2" s="82" t="s">
        <v>128</v>
      </c>
      <c r="U2" s="82" t="s">
        <v>284</v>
      </c>
      <c r="V2" s="82" t="s">
        <v>130</v>
      </c>
      <c r="W2" s="82" t="s">
        <v>254</v>
      </c>
      <c r="X2" s="82" t="s">
        <v>239</v>
      </c>
      <c r="Y2" s="82" t="s">
        <v>132</v>
      </c>
      <c r="Z2" s="82" t="s">
        <v>81</v>
      </c>
      <c r="AA2" s="82" t="s">
        <v>134</v>
      </c>
      <c r="AB2" s="82" t="s">
        <v>124</v>
      </c>
      <c r="AC2" s="82" t="s">
        <v>140</v>
      </c>
      <c r="AD2" s="82" t="s">
        <v>142</v>
      </c>
      <c r="AE2" s="82" t="s">
        <v>144</v>
      </c>
      <c r="AF2" s="82" t="s">
        <v>197</v>
      </c>
      <c r="AG2" s="82" t="s">
        <v>99</v>
      </c>
      <c r="AH2" s="82" t="s">
        <v>200</v>
      </c>
      <c r="AI2" s="82" t="s">
        <v>221</v>
      </c>
      <c r="AJ2" s="84" t="s">
        <v>309</v>
      </c>
      <c r="AK2" s="82" t="s">
        <v>146</v>
      </c>
      <c r="AL2" s="82" t="s">
        <v>101</v>
      </c>
      <c r="AM2" s="82" t="s">
        <v>312</v>
      </c>
      <c r="AN2" s="82" t="s">
        <v>103</v>
      </c>
      <c r="AO2" s="82" t="s">
        <v>773</v>
      </c>
      <c r="AP2" s="84" t="s">
        <v>223</v>
      </c>
      <c r="AQ2" s="82" t="s">
        <v>113</v>
      </c>
      <c r="AR2" s="82" t="s">
        <v>115</v>
      </c>
      <c r="AS2" s="82" t="s">
        <v>166</v>
      </c>
      <c r="AT2" s="82" t="s">
        <v>168</v>
      </c>
      <c r="AU2" s="82" t="s">
        <v>117</v>
      </c>
      <c r="AV2" s="82" t="s">
        <v>352</v>
      </c>
      <c r="AW2" s="82" t="s">
        <v>369</v>
      </c>
      <c r="AX2" s="82" t="s">
        <v>105</v>
      </c>
      <c r="AY2" s="82" t="s">
        <v>244</v>
      </c>
      <c r="AZ2" s="82" t="s">
        <v>246</v>
      </c>
      <c r="BA2" s="83" t="s">
        <v>152</v>
      </c>
      <c r="BB2" s="83" t="s">
        <v>154</v>
      </c>
      <c r="BC2" s="82" t="s">
        <v>107</v>
      </c>
      <c r="BD2" s="82" t="s">
        <v>157</v>
      </c>
      <c r="BE2" s="82" t="s">
        <v>159</v>
      </c>
      <c r="BF2" s="82" t="s">
        <v>109</v>
      </c>
      <c r="BG2" s="82" t="s">
        <v>298</v>
      </c>
      <c r="BH2" s="82" t="s">
        <v>111</v>
      </c>
      <c r="BI2" s="82" t="s">
        <v>319</v>
      </c>
      <c r="BJ2" s="82" t="s">
        <v>274</v>
      </c>
      <c r="BK2" s="82" t="s">
        <v>161</v>
      </c>
      <c r="BL2" s="82" t="s">
        <v>657</v>
      </c>
      <c r="BM2" s="85" t="s">
        <v>289</v>
      </c>
      <c r="BN2" s="88" t="s">
        <v>612</v>
      </c>
      <c r="BO2" s="331" t="s">
        <v>631</v>
      </c>
      <c r="BP2" s="373" t="s">
        <v>632</v>
      </c>
      <c r="BQ2" s="364" t="s">
        <v>774</v>
      </c>
      <c r="BR2" s="365" t="s">
        <v>775</v>
      </c>
      <c r="BS2" s="376" t="s">
        <v>659</v>
      </c>
      <c r="BT2" s="377" t="s">
        <v>776</v>
      </c>
      <c r="BU2" s="366" t="s">
        <v>665</v>
      </c>
      <c r="BV2" s="367" t="s">
        <v>666</v>
      </c>
      <c r="BW2" s="368" t="s">
        <v>639</v>
      </c>
      <c r="BX2" s="369" t="s">
        <v>640</v>
      </c>
      <c r="BY2" s="333" t="s">
        <v>668</v>
      </c>
      <c r="BZ2" s="334" t="s">
        <v>669</v>
      </c>
      <c r="CA2" s="380" t="s">
        <v>777</v>
      </c>
      <c r="CB2" s="381" t="s">
        <v>778</v>
      </c>
      <c r="CD2" s="333" t="s">
        <v>668</v>
      </c>
      <c r="CE2" s="552" t="s">
        <v>669</v>
      </c>
      <c r="CF2" s="376" t="s">
        <v>659</v>
      </c>
      <c r="CG2" s="622" t="s">
        <v>776</v>
      </c>
      <c r="CH2" s="380" t="s">
        <v>777</v>
      </c>
      <c r="CI2" s="381" t="s">
        <v>778</v>
      </c>
    </row>
    <row r="3" spans="1:87">
      <c r="A3" s="9">
        <v>60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13"/>
      <c r="BN3" s="9"/>
      <c r="BO3" s="374"/>
      <c r="BP3" s="188"/>
      <c r="BQ3" s="187"/>
      <c r="BR3" s="188"/>
      <c r="BS3" s="234"/>
      <c r="BT3" s="879"/>
      <c r="BU3" s="378"/>
      <c r="BV3" s="301"/>
      <c r="BW3" s="379"/>
      <c r="BX3" s="360"/>
      <c r="BY3" s="219"/>
      <c r="BZ3" s="225"/>
      <c r="CA3" s="382"/>
      <c r="CB3" s="383"/>
      <c r="CD3" s="219"/>
      <c r="CE3" s="225"/>
      <c r="CF3" s="234"/>
      <c r="CG3" s="623"/>
      <c r="CH3" s="382"/>
      <c r="CI3" s="383"/>
    </row>
    <row r="4" spans="1:87">
      <c r="A4" s="7">
        <v>61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13"/>
      <c r="BN4" s="7"/>
      <c r="BO4" s="374"/>
      <c r="BP4" s="188"/>
      <c r="BQ4" s="187"/>
      <c r="BR4" s="267"/>
      <c r="BS4" s="234"/>
      <c r="BT4" s="174"/>
      <c r="BU4" s="269"/>
      <c r="BV4" s="301"/>
      <c r="BW4" s="358"/>
      <c r="BX4" s="360"/>
      <c r="BY4" s="219"/>
      <c r="BZ4" s="225"/>
      <c r="CA4" s="382"/>
      <c r="CB4" s="383"/>
      <c r="CD4" s="219"/>
      <c r="CE4" s="225"/>
      <c r="CF4" s="234"/>
      <c r="CG4" s="625"/>
      <c r="CH4" s="382"/>
      <c r="CI4" s="383"/>
    </row>
    <row r="5" spans="1:87">
      <c r="A5" s="9">
        <v>62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3"/>
      <c r="BN5" s="9"/>
      <c r="BO5" s="374"/>
      <c r="BP5" s="188"/>
      <c r="BQ5" s="187"/>
      <c r="BR5" s="188"/>
      <c r="BS5" s="234"/>
      <c r="BT5" s="174"/>
      <c r="BU5" s="378"/>
      <c r="BV5" s="301"/>
      <c r="BW5" s="379"/>
      <c r="BX5" s="360"/>
      <c r="BY5" s="219"/>
      <c r="BZ5" s="225"/>
      <c r="CA5" s="382"/>
      <c r="CB5" s="383"/>
      <c r="CD5" s="219"/>
      <c r="CE5" s="225"/>
      <c r="CF5" s="234"/>
      <c r="CG5" s="623"/>
      <c r="CH5" s="382"/>
      <c r="CI5" s="383"/>
    </row>
    <row r="6" spans="1:87">
      <c r="A6" s="7">
        <v>63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13"/>
      <c r="BN6" s="7"/>
      <c r="BO6" s="264"/>
      <c r="BP6" s="375"/>
      <c r="BQ6" s="906"/>
      <c r="BR6" s="188"/>
      <c r="BS6" s="233"/>
      <c r="BT6" s="174"/>
      <c r="BU6" s="378"/>
      <c r="BV6" s="301"/>
      <c r="BW6" s="379"/>
      <c r="BX6" s="360"/>
      <c r="BY6" s="219"/>
      <c r="BZ6" s="247"/>
      <c r="CA6" s="382">
        <f t="shared" ref="CA6:CA43" si="0">BO6</f>
        <v>0</v>
      </c>
      <c r="CB6" s="383">
        <f t="shared" ref="CB6:CB40" si="1">BZ6+BX6+BV6+BT6+BR6+BP6</f>
        <v>0</v>
      </c>
      <c r="CD6" s="219"/>
      <c r="CE6" s="225"/>
      <c r="CF6" s="234"/>
      <c r="CG6" s="625"/>
      <c r="CH6" s="382"/>
      <c r="CI6" s="383"/>
    </row>
    <row r="7" spans="1:87">
      <c r="A7" s="9">
        <v>64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13"/>
      <c r="BN7" s="9"/>
      <c r="BO7" s="374"/>
      <c r="BP7" s="188"/>
      <c r="BQ7" s="187"/>
      <c r="BR7" s="267"/>
      <c r="BS7" s="234"/>
      <c r="BT7" s="263"/>
      <c r="BU7" s="269"/>
      <c r="BV7" s="526"/>
      <c r="BW7" s="358"/>
      <c r="BX7" s="535"/>
      <c r="BY7" s="219"/>
      <c r="BZ7" s="247"/>
      <c r="CA7" s="382">
        <f t="shared" si="0"/>
        <v>0</v>
      </c>
      <c r="CB7" s="383">
        <f t="shared" si="1"/>
        <v>0</v>
      </c>
      <c r="CD7" s="219"/>
      <c r="CE7" s="225"/>
      <c r="CF7" s="234"/>
      <c r="CG7" s="625"/>
      <c r="CH7" s="382"/>
      <c r="CI7" s="383"/>
    </row>
    <row r="8" spans="1:87">
      <c r="A8" s="7">
        <v>65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3"/>
      <c r="BN8" s="7"/>
      <c r="BO8" s="374"/>
      <c r="BP8" s="188"/>
      <c r="BQ8" s="187"/>
      <c r="BR8" s="265"/>
      <c r="BS8" s="234"/>
      <c r="BT8" s="263"/>
      <c r="BU8" s="269"/>
      <c r="BV8" s="526"/>
      <c r="BW8" s="358"/>
      <c r="BX8" s="535"/>
      <c r="BY8" s="219"/>
      <c r="BZ8" s="247"/>
      <c r="CA8" s="382">
        <f t="shared" si="0"/>
        <v>0</v>
      </c>
      <c r="CB8" s="383">
        <f t="shared" si="1"/>
        <v>0</v>
      </c>
      <c r="CD8" s="219"/>
      <c r="CE8" s="225"/>
      <c r="CF8" s="234"/>
      <c r="CG8" s="625"/>
      <c r="CH8" s="382"/>
      <c r="CI8" s="383"/>
    </row>
    <row r="9" spans="1:87">
      <c r="A9" s="9">
        <v>66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13"/>
      <c r="BN9" s="9"/>
      <c r="BO9" s="374"/>
      <c r="BP9" s="188"/>
      <c r="BQ9" s="187"/>
      <c r="BR9" s="265"/>
      <c r="BS9" s="234"/>
      <c r="BT9" s="263"/>
      <c r="BU9" s="269"/>
      <c r="BV9" s="270"/>
      <c r="BW9" s="358"/>
      <c r="BX9" s="359"/>
      <c r="BY9" s="219"/>
      <c r="BZ9" s="247"/>
      <c r="CA9" s="382">
        <f t="shared" si="0"/>
        <v>0</v>
      </c>
      <c r="CB9" s="383">
        <f t="shared" si="1"/>
        <v>0</v>
      </c>
      <c r="CD9" s="219"/>
      <c r="CE9" s="225"/>
      <c r="CF9" s="234"/>
      <c r="CG9" s="623"/>
      <c r="CH9" s="382"/>
      <c r="CI9" s="383"/>
    </row>
    <row r="10" spans="1:87">
      <c r="A10" s="7">
        <v>67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13"/>
      <c r="BN10" s="7"/>
      <c r="BO10" s="374"/>
      <c r="BP10" s="188"/>
      <c r="BQ10" s="187"/>
      <c r="BR10" s="188"/>
      <c r="BS10" s="234"/>
      <c r="BT10" s="174"/>
      <c r="BU10" s="269"/>
      <c r="BV10" s="301"/>
      <c r="BW10" s="358"/>
      <c r="BX10" s="360"/>
      <c r="BY10" s="219"/>
      <c r="BZ10" s="225"/>
      <c r="CA10" s="382">
        <f t="shared" si="0"/>
        <v>0</v>
      </c>
      <c r="CB10" s="383">
        <f t="shared" si="1"/>
        <v>0</v>
      </c>
      <c r="CD10" s="219"/>
      <c r="CE10" s="225"/>
      <c r="CF10" s="234"/>
      <c r="CG10" s="625"/>
      <c r="CH10" s="382"/>
      <c r="CI10" s="383"/>
    </row>
    <row r="11" spans="1:87">
      <c r="A11" s="9">
        <v>68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13"/>
      <c r="BN11" s="9"/>
      <c r="BO11" s="374"/>
      <c r="BP11" s="188"/>
      <c r="BQ11" s="187"/>
      <c r="BR11" s="265"/>
      <c r="BS11" s="234"/>
      <c r="BT11" s="261"/>
      <c r="BU11" s="269"/>
      <c r="BV11" s="526"/>
      <c r="BW11" s="358"/>
      <c r="BX11" s="535"/>
      <c r="BY11" s="219"/>
      <c r="BZ11" s="247"/>
      <c r="CA11" s="382">
        <f t="shared" si="0"/>
        <v>0</v>
      </c>
      <c r="CB11" s="383">
        <f t="shared" si="1"/>
        <v>0</v>
      </c>
      <c r="CD11" s="219"/>
      <c r="CE11" s="225"/>
      <c r="CF11" s="234"/>
      <c r="CG11" s="625"/>
      <c r="CH11" s="382"/>
      <c r="CI11" s="383"/>
    </row>
    <row r="12" spans="1:87">
      <c r="A12" s="7">
        <v>69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13"/>
      <c r="BN12" s="7"/>
      <c r="BO12" s="374"/>
      <c r="BP12" s="188"/>
      <c r="BQ12" s="187"/>
      <c r="BR12" s="265"/>
      <c r="BS12" s="234"/>
      <c r="BT12" s="625"/>
      <c r="BU12" s="269"/>
      <c r="BV12" s="635"/>
      <c r="BW12" s="358"/>
      <c r="BX12" s="535"/>
      <c r="BY12" s="219"/>
      <c r="BZ12" s="247"/>
      <c r="CA12" s="382">
        <f t="shared" si="0"/>
        <v>0</v>
      </c>
      <c r="CB12" s="383">
        <f t="shared" si="1"/>
        <v>0</v>
      </c>
      <c r="CD12" s="219"/>
      <c r="CE12" s="225"/>
      <c r="CF12" s="234"/>
      <c r="CG12" s="625"/>
      <c r="CH12" s="382"/>
      <c r="CI12" s="383"/>
    </row>
    <row r="13" spans="1:87">
      <c r="A13" s="9">
        <v>70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13"/>
      <c r="BN13" s="9"/>
      <c r="BO13" s="374"/>
      <c r="BP13" s="188"/>
      <c r="BQ13" s="187"/>
      <c r="BR13" s="265"/>
      <c r="BS13" s="234"/>
      <c r="BT13" s="261"/>
      <c r="BU13" s="269"/>
      <c r="BV13" s="635"/>
      <c r="BW13" s="358"/>
      <c r="BX13" s="535"/>
      <c r="BY13" s="219"/>
      <c r="BZ13" s="247"/>
      <c r="CA13" s="382">
        <f t="shared" si="0"/>
        <v>0</v>
      </c>
      <c r="CB13" s="383">
        <f t="shared" si="1"/>
        <v>0</v>
      </c>
      <c r="CD13" s="219"/>
      <c r="CE13" s="225"/>
      <c r="CF13" s="234"/>
      <c r="CG13" s="623"/>
      <c r="CH13" s="382"/>
      <c r="CI13" s="383"/>
    </row>
    <row r="14" spans="1:87">
      <c r="A14" s="7">
        <v>71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13"/>
      <c r="BN14" s="7"/>
      <c r="BO14" s="374"/>
      <c r="BP14" s="188"/>
      <c r="BQ14" s="187"/>
      <c r="BR14" s="265"/>
      <c r="BS14" s="234"/>
      <c r="BT14" s="263"/>
      <c r="BU14" s="269"/>
      <c r="BV14" s="635"/>
      <c r="BW14" s="358"/>
      <c r="BX14" s="535"/>
      <c r="BY14" s="219"/>
      <c r="BZ14" s="302"/>
      <c r="CA14" s="382">
        <f t="shared" si="0"/>
        <v>0</v>
      </c>
      <c r="CB14" s="383">
        <f t="shared" si="1"/>
        <v>0</v>
      </c>
      <c r="CD14" s="219"/>
      <c r="CE14" s="225"/>
      <c r="CF14" s="234"/>
      <c r="CG14" s="625"/>
      <c r="CH14" s="382"/>
      <c r="CI14" s="383"/>
    </row>
    <row r="15" spans="1:87">
      <c r="A15" s="9">
        <v>72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13"/>
      <c r="BN15" s="9"/>
      <c r="BO15" s="374"/>
      <c r="BP15" s="188"/>
      <c r="BQ15" s="187"/>
      <c r="BR15" s="265"/>
      <c r="BS15" s="234"/>
      <c r="BT15" s="263"/>
      <c r="BU15" s="269"/>
      <c r="BV15" s="635"/>
      <c r="BW15" s="358"/>
      <c r="BX15" s="535"/>
      <c r="BY15" s="637"/>
      <c r="BZ15" s="636"/>
      <c r="CA15" s="382">
        <f t="shared" si="0"/>
        <v>0</v>
      </c>
      <c r="CB15" s="383">
        <f t="shared" si="1"/>
        <v>0</v>
      </c>
      <c r="CD15" s="219"/>
      <c r="CE15" s="302"/>
      <c r="CF15" s="234"/>
      <c r="CG15" s="623"/>
      <c r="CH15" s="382"/>
      <c r="CI15" s="383"/>
    </row>
    <row r="16" spans="1:87">
      <c r="A16" s="7">
        <v>73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3"/>
      <c r="BN16" s="7"/>
      <c r="BO16" s="374"/>
      <c r="BP16" s="188"/>
      <c r="BQ16" s="187"/>
      <c r="BR16" s="265"/>
      <c r="BS16" s="234"/>
      <c r="BT16" s="263"/>
      <c r="BU16" s="269"/>
      <c r="BV16" s="635"/>
      <c r="BW16" s="358"/>
      <c r="BX16" s="535"/>
      <c r="BY16" s="638"/>
      <c r="BZ16" s="636"/>
      <c r="CA16" s="382">
        <f t="shared" si="0"/>
        <v>0</v>
      </c>
      <c r="CB16" s="383">
        <f t="shared" si="1"/>
        <v>0</v>
      </c>
      <c r="CD16" s="219"/>
      <c r="CE16" s="302"/>
      <c r="CF16" s="234"/>
      <c r="CG16" s="625"/>
      <c r="CH16" s="382"/>
      <c r="CI16" s="383"/>
    </row>
    <row r="17" spans="1:87">
      <c r="A17" s="9">
        <v>74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13"/>
      <c r="BN17" s="9"/>
      <c r="BO17" s="374"/>
      <c r="BP17" s="188"/>
      <c r="BQ17" s="187"/>
      <c r="BR17" s="265"/>
      <c r="BS17" s="234"/>
      <c r="BT17" s="263"/>
      <c r="BU17" s="269"/>
      <c r="BV17" s="270"/>
      <c r="BW17" s="358"/>
      <c r="BX17" s="359"/>
      <c r="BY17" s="219"/>
      <c r="BZ17" s="880"/>
      <c r="CA17" s="382">
        <f t="shared" si="0"/>
        <v>0</v>
      </c>
      <c r="CB17" s="383">
        <f t="shared" si="1"/>
        <v>0</v>
      </c>
      <c r="CD17" s="219"/>
      <c r="CE17" s="225"/>
      <c r="CF17" s="234"/>
      <c r="CG17" s="623"/>
      <c r="CH17" s="382"/>
      <c r="CI17" s="383"/>
    </row>
    <row r="18" spans="1:87" ht="14.25" customHeight="1">
      <c r="A18" s="7">
        <v>75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3"/>
      <c r="BN18" s="7"/>
      <c r="BO18" s="374"/>
      <c r="BP18" s="188"/>
      <c r="BQ18" s="187"/>
      <c r="BR18" s="267"/>
      <c r="BS18" s="650"/>
      <c r="BT18" s="263"/>
      <c r="BU18" s="269"/>
      <c r="BV18" s="270"/>
      <c r="BW18" s="358"/>
      <c r="BX18" s="535"/>
      <c r="BY18" s="219"/>
      <c r="BZ18" s="247"/>
      <c r="CA18" s="382">
        <f t="shared" si="0"/>
        <v>0</v>
      </c>
      <c r="CB18" s="383">
        <f t="shared" si="1"/>
        <v>0</v>
      </c>
      <c r="CD18" s="219"/>
      <c r="CE18" s="225"/>
      <c r="CF18" s="234"/>
      <c r="CG18" s="625"/>
      <c r="CH18" s="382"/>
      <c r="CI18" s="383"/>
    </row>
    <row r="19" spans="1:87">
      <c r="A19" s="9">
        <v>76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13"/>
      <c r="BN19" s="9"/>
      <c r="BO19" s="374"/>
      <c r="BP19" s="188"/>
      <c r="BQ19" s="187"/>
      <c r="BR19" s="265"/>
      <c r="BS19" s="234"/>
      <c r="BT19" s="261"/>
      <c r="BU19" s="269"/>
      <c r="BV19" s="270"/>
      <c r="BW19" s="358"/>
      <c r="BX19" s="359"/>
      <c r="BY19" s="219"/>
      <c r="BZ19" s="247"/>
      <c r="CA19" s="382">
        <f t="shared" si="0"/>
        <v>0</v>
      </c>
      <c r="CB19" s="383">
        <f t="shared" si="1"/>
        <v>0</v>
      </c>
      <c r="CD19" s="219"/>
      <c r="CE19" s="225"/>
      <c r="CF19" s="234"/>
      <c r="CG19" s="623"/>
      <c r="CH19" s="382"/>
      <c r="CI19" s="383"/>
    </row>
    <row r="20" spans="1:87">
      <c r="A20" s="7">
        <v>77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3"/>
      <c r="BN20" s="7"/>
      <c r="BO20" s="374"/>
      <c r="BP20" s="188"/>
      <c r="BQ20" s="187"/>
      <c r="BR20" s="188"/>
      <c r="BS20" s="234"/>
      <c r="BT20" s="174"/>
      <c r="BU20" s="269"/>
      <c r="BV20" s="301"/>
      <c r="BW20" s="358"/>
      <c r="BX20" s="360"/>
      <c r="BY20" s="219"/>
      <c r="BZ20" s="225"/>
      <c r="CA20" s="382">
        <f t="shared" si="0"/>
        <v>0</v>
      </c>
      <c r="CB20" s="383">
        <f t="shared" si="1"/>
        <v>0</v>
      </c>
      <c r="CD20" s="219"/>
      <c r="CE20" s="225"/>
      <c r="CF20" s="234"/>
      <c r="CG20" s="625"/>
      <c r="CH20" s="382"/>
      <c r="CI20" s="383"/>
    </row>
    <row r="21" spans="1:87">
      <c r="A21" s="9">
        <v>78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13"/>
      <c r="BN21" s="9"/>
      <c r="BO21" s="374"/>
      <c r="BP21" s="188"/>
      <c r="BQ21" s="187"/>
      <c r="BR21" s="265"/>
      <c r="BS21" s="234"/>
      <c r="BT21" s="263"/>
      <c r="BU21" s="269"/>
      <c r="BV21" s="301"/>
      <c r="BW21" s="358"/>
      <c r="BX21" s="535"/>
      <c r="BY21" s="219"/>
      <c r="BZ21" s="302"/>
      <c r="CA21" s="382">
        <f t="shared" si="0"/>
        <v>0</v>
      </c>
      <c r="CB21" s="383">
        <f t="shared" si="1"/>
        <v>0</v>
      </c>
      <c r="CD21" s="219"/>
      <c r="CE21" s="225"/>
      <c r="CF21" s="234"/>
      <c r="CG21" s="623"/>
      <c r="CH21" s="382"/>
      <c r="CI21" s="383"/>
    </row>
    <row r="22" spans="1:87" s="158" customFormat="1">
      <c r="A22" s="409">
        <v>79</v>
      </c>
      <c r="B22" s="409">
        <v>603</v>
      </c>
      <c r="C22" s="409" t="s">
        <v>649</v>
      </c>
      <c r="D22" s="409">
        <v>2</v>
      </c>
      <c r="E22" s="409"/>
      <c r="F22" s="409"/>
      <c r="G22" s="409"/>
      <c r="H22" s="409"/>
      <c r="I22" s="409"/>
      <c r="J22" s="409"/>
      <c r="K22" s="409"/>
      <c r="L22" s="409"/>
      <c r="M22" s="409"/>
      <c r="N22" s="409"/>
      <c r="O22" s="769" t="s">
        <v>650</v>
      </c>
      <c r="P22" s="409"/>
      <c r="Q22" s="409"/>
      <c r="R22" s="409"/>
      <c r="S22" s="409"/>
      <c r="T22" s="409"/>
      <c r="U22" s="409"/>
      <c r="V22" s="409" t="s">
        <v>650</v>
      </c>
      <c r="W22" s="409"/>
      <c r="X22" s="409"/>
      <c r="Y22" s="409"/>
      <c r="Z22" s="409"/>
      <c r="AA22" s="409"/>
      <c r="AB22" s="409" t="s">
        <v>650</v>
      </c>
      <c r="AC22" s="409"/>
      <c r="AD22" s="409"/>
      <c r="AE22" s="409"/>
      <c r="AF22" s="409"/>
      <c r="AG22" s="409" t="s">
        <v>650</v>
      </c>
      <c r="AH22" s="409"/>
      <c r="AI22" s="409"/>
      <c r="AJ22" s="409"/>
      <c r="AK22" s="409"/>
      <c r="AL22" s="409"/>
      <c r="AM22" s="409"/>
      <c r="AN22" s="409"/>
      <c r="AO22" s="409"/>
      <c r="AP22" s="409"/>
      <c r="AQ22" s="409"/>
      <c r="AR22" s="409"/>
      <c r="AS22" s="409"/>
      <c r="AT22" s="409"/>
      <c r="AU22" s="409"/>
      <c r="AV22" s="409"/>
      <c r="AW22" s="409"/>
      <c r="AX22" s="409"/>
      <c r="AY22" s="409"/>
      <c r="AZ22" s="409"/>
      <c r="BA22" s="409"/>
      <c r="BB22" s="409"/>
      <c r="BC22" s="409"/>
      <c r="BD22" s="409"/>
      <c r="BE22" s="409"/>
      <c r="BF22" s="409"/>
      <c r="BG22" s="409"/>
      <c r="BH22" s="409"/>
      <c r="BI22" s="409"/>
      <c r="BJ22" s="409"/>
      <c r="BK22" s="409"/>
      <c r="BL22" s="409"/>
      <c r="BM22" s="632"/>
      <c r="BN22" s="409" t="s">
        <v>779</v>
      </c>
      <c r="BO22" s="931">
        <v>1048688</v>
      </c>
      <c r="BP22" s="843">
        <v>13057.85</v>
      </c>
      <c r="BQ22" s="842">
        <v>1081837</v>
      </c>
      <c r="BR22" s="843">
        <v>14550.81</v>
      </c>
      <c r="BS22" s="840">
        <v>1047907</v>
      </c>
      <c r="BT22" s="841">
        <v>3303.92</v>
      </c>
      <c r="BU22" s="435"/>
      <c r="BV22" s="436"/>
      <c r="BW22" s="936">
        <v>1300451</v>
      </c>
      <c r="BX22" s="937">
        <v>118.86</v>
      </c>
      <c r="BY22" s="439">
        <v>1048668</v>
      </c>
      <c r="BZ22" s="440">
        <v>13844.44</v>
      </c>
      <c r="CA22" s="496">
        <f t="shared" si="0"/>
        <v>1048688</v>
      </c>
      <c r="CB22" s="497">
        <f>BZ22+BX22+BV22+BR22+BP22+BT22</f>
        <v>44875.88</v>
      </c>
      <c r="CD22" s="439"/>
      <c r="CE22" s="440"/>
      <c r="CF22" s="437"/>
      <c r="CG22" s="624"/>
      <c r="CH22" s="496"/>
      <c r="CI22" s="497"/>
    </row>
    <row r="23" spans="1:87">
      <c r="A23" s="9">
        <v>80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13"/>
      <c r="BN23" s="9"/>
      <c r="BO23" s="374"/>
      <c r="BP23" s="188"/>
      <c r="BQ23" s="187"/>
      <c r="BR23" s="267"/>
      <c r="BS23" s="234"/>
      <c r="BT23" s="263"/>
      <c r="BU23" s="269"/>
      <c r="BV23" s="526"/>
      <c r="BW23" s="358"/>
      <c r="BX23" s="535"/>
      <c r="BY23" s="219"/>
      <c r="BZ23" s="247"/>
      <c r="CA23" s="382">
        <f t="shared" si="0"/>
        <v>0</v>
      </c>
      <c r="CB23" s="383">
        <f t="shared" si="1"/>
        <v>0</v>
      </c>
      <c r="CD23" s="219"/>
      <c r="CE23" s="225"/>
      <c r="CF23" s="234"/>
      <c r="CG23" s="623"/>
      <c r="CH23" s="382"/>
      <c r="CI23" s="383"/>
    </row>
    <row r="24" spans="1:87" s="158" customFormat="1">
      <c r="A24" s="409">
        <v>81</v>
      </c>
      <c r="B24" s="409">
        <v>846</v>
      </c>
      <c r="C24" s="409" t="s">
        <v>648</v>
      </c>
      <c r="D24" s="409">
        <v>2</v>
      </c>
      <c r="E24" s="409"/>
      <c r="F24" s="409"/>
      <c r="G24" s="409">
        <v>2</v>
      </c>
      <c r="H24" s="409"/>
      <c r="I24" s="409"/>
      <c r="J24" s="409"/>
      <c r="K24" s="409"/>
      <c r="L24" s="409"/>
      <c r="M24" s="409"/>
      <c r="N24" s="409"/>
      <c r="O24" s="409" t="s">
        <v>650</v>
      </c>
      <c r="P24" s="409"/>
      <c r="Q24" s="409" t="s">
        <v>650</v>
      </c>
      <c r="R24" s="409"/>
      <c r="S24" s="409"/>
      <c r="T24" s="409"/>
      <c r="U24" s="409"/>
      <c r="V24" s="409"/>
      <c r="W24" s="409"/>
      <c r="X24" s="409"/>
      <c r="Y24" s="409"/>
      <c r="Z24" s="409"/>
      <c r="AA24" s="409"/>
      <c r="AB24" s="409" t="s">
        <v>650</v>
      </c>
      <c r="AC24" s="409"/>
      <c r="AD24" s="409"/>
      <c r="AE24" s="409"/>
      <c r="AF24" s="409"/>
      <c r="AG24" s="409" t="s">
        <v>650</v>
      </c>
      <c r="AH24" s="409"/>
      <c r="AI24" s="409"/>
      <c r="AJ24" s="409"/>
      <c r="AK24" s="409"/>
      <c r="AL24" s="409"/>
      <c r="AM24" s="409"/>
      <c r="AN24" s="409"/>
      <c r="AO24" s="409"/>
      <c r="AP24" s="409"/>
      <c r="AQ24" s="409"/>
      <c r="AR24" s="409"/>
      <c r="AS24" s="409"/>
      <c r="AT24" s="409"/>
      <c r="AU24" s="409"/>
      <c r="AV24" s="409"/>
      <c r="AW24" s="409"/>
      <c r="AX24" s="409"/>
      <c r="AY24" s="409"/>
      <c r="AZ24" s="409"/>
      <c r="BA24" s="409" t="s">
        <v>650</v>
      </c>
      <c r="BB24" s="409"/>
      <c r="BC24" s="409"/>
      <c r="BD24" s="409"/>
      <c r="BE24" s="409" t="s">
        <v>650</v>
      </c>
      <c r="BF24" s="409"/>
      <c r="BG24" s="409"/>
      <c r="BH24" s="409" t="s">
        <v>650</v>
      </c>
      <c r="BI24" s="409"/>
      <c r="BJ24" s="409"/>
      <c r="BK24" s="409"/>
      <c r="BL24" s="409"/>
      <c r="BM24" s="632"/>
      <c r="BN24" s="409" t="s">
        <v>780</v>
      </c>
      <c r="BO24" s="931">
        <v>1250007</v>
      </c>
      <c r="BP24" s="843">
        <v>11773.28</v>
      </c>
      <c r="BQ24" s="842">
        <v>1154887</v>
      </c>
      <c r="BR24" s="870">
        <v>12426.54</v>
      </c>
      <c r="BS24" s="840">
        <v>1154328</v>
      </c>
      <c r="BT24" s="934">
        <v>5108.2299999999996</v>
      </c>
      <c r="BU24" s="435"/>
      <c r="BV24" s="436"/>
      <c r="BW24" s="441"/>
      <c r="BX24" s="634"/>
      <c r="BY24" s="933">
        <v>1250007</v>
      </c>
      <c r="BZ24" s="302">
        <v>11376.72</v>
      </c>
      <c r="CA24" s="496">
        <f t="shared" si="0"/>
        <v>1250007</v>
      </c>
      <c r="CB24" s="497">
        <f>BZ24+BX24+BV24+BT24+BR24+BP24</f>
        <v>40684.769999999997</v>
      </c>
      <c r="CD24" s="439"/>
      <c r="CE24" s="440"/>
      <c r="CF24" s="437"/>
      <c r="CG24" s="624"/>
      <c r="CH24" s="496"/>
      <c r="CI24" s="497"/>
    </row>
    <row r="25" spans="1:87" s="158" customFormat="1">
      <c r="A25" s="410">
        <v>82</v>
      </c>
      <c r="B25" s="410">
        <v>603</v>
      </c>
      <c r="C25" s="410" t="s">
        <v>649</v>
      </c>
      <c r="D25" s="410">
        <v>2</v>
      </c>
      <c r="E25" s="410"/>
      <c r="F25" s="410"/>
      <c r="G25" s="410"/>
      <c r="H25" s="410"/>
      <c r="I25" s="410"/>
      <c r="J25" s="410"/>
      <c r="K25" s="410"/>
      <c r="L25" s="410"/>
      <c r="M25" s="410"/>
      <c r="N25" s="410"/>
      <c r="O25" s="410" t="s">
        <v>650</v>
      </c>
      <c r="P25" s="410"/>
      <c r="Q25" s="410"/>
      <c r="R25" s="410"/>
      <c r="S25" s="410"/>
      <c r="T25" s="410"/>
      <c r="U25" s="410"/>
      <c r="V25" s="410" t="s">
        <v>650</v>
      </c>
      <c r="W25" s="410"/>
      <c r="X25" s="410"/>
      <c r="Y25" s="410"/>
      <c r="Z25" s="410"/>
      <c r="AA25" s="410"/>
      <c r="AB25" s="410" t="s">
        <v>650</v>
      </c>
      <c r="AC25" s="410"/>
      <c r="AD25" s="410"/>
      <c r="AE25" s="410"/>
      <c r="AF25" s="410"/>
      <c r="AG25" s="410" t="s">
        <v>650</v>
      </c>
      <c r="AH25" s="410"/>
      <c r="AI25" s="410"/>
      <c r="AJ25" s="410"/>
      <c r="AK25" s="410"/>
      <c r="AL25" s="410"/>
      <c r="AM25" s="410"/>
      <c r="AN25" s="410"/>
      <c r="AO25" s="410"/>
      <c r="AP25" s="410"/>
      <c r="AQ25" s="410"/>
      <c r="AR25" s="410"/>
      <c r="AS25" s="410"/>
      <c r="AT25" s="410"/>
      <c r="AU25" s="410"/>
      <c r="AV25" s="410"/>
      <c r="AW25" s="410"/>
      <c r="AX25" s="410"/>
      <c r="AY25" s="410"/>
      <c r="AZ25" s="410"/>
      <c r="BA25" s="410"/>
      <c r="BB25" s="410"/>
      <c r="BC25" s="410"/>
      <c r="BD25" s="410"/>
      <c r="BE25" s="410"/>
      <c r="BF25" s="410"/>
      <c r="BG25" s="410"/>
      <c r="BH25" s="410"/>
      <c r="BI25" s="410"/>
      <c r="BJ25" s="410"/>
      <c r="BK25" s="410"/>
      <c r="BL25" s="410"/>
      <c r="BM25" s="632"/>
      <c r="BN25" s="410" t="s">
        <v>781</v>
      </c>
      <c r="BO25" s="931">
        <v>1048697</v>
      </c>
      <c r="BP25" s="843">
        <v>13057.95</v>
      </c>
      <c r="BQ25" s="842">
        <v>1081838</v>
      </c>
      <c r="BR25" s="843">
        <v>14550.81</v>
      </c>
      <c r="BS25" s="840">
        <v>1047978</v>
      </c>
      <c r="BT25" s="934">
        <v>3414.58</v>
      </c>
      <c r="BU25" s="912" t="s">
        <v>782</v>
      </c>
      <c r="BV25" s="938">
        <v>118.86</v>
      </c>
      <c r="BW25" s="936">
        <v>1304903</v>
      </c>
      <c r="BX25" s="939">
        <v>-110.66</v>
      </c>
      <c r="BY25" s="219">
        <v>1048697</v>
      </c>
      <c r="BZ25" s="225">
        <v>13844.44</v>
      </c>
      <c r="CA25" s="496">
        <f t="shared" si="0"/>
        <v>1048697</v>
      </c>
      <c r="CB25" s="497">
        <f>BZ25+BX25+BV25+BT25+BR25+BP253+BP25</f>
        <v>44875.979999999996</v>
      </c>
      <c r="CD25" s="439"/>
      <c r="CE25" s="440"/>
      <c r="CF25" s="437"/>
      <c r="CG25" s="624"/>
      <c r="CH25" s="496"/>
      <c r="CI25" s="497"/>
    </row>
    <row r="26" spans="1:87" s="158" customFormat="1">
      <c r="A26" s="409">
        <v>83</v>
      </c>
      <c r="B26" s="409">
        <v>914</v>
      </c>
      <c r="C26" s="409" t="s">
        <v>647</v>
      </c>
      <c r="D26" s="409">
        <v>2</v>
      </c>
      <c r="E26" s="409"/>
      <c r="F26" s="409"/>
      <c r="G26" s="409" t="s">
        <v>650</v>
      </c>
      <c r="H26" s="409"/>
      <c r="I26" s="409"/>
      <c r="J26" s="409"/>
      <c r="K26" s="409"/>
      <c r="L26" s="409"/>
      <c r="M26" s="409"/>
      <c r="N26" s="409"/>
      <c r="O26" s="409"/>
      <c r="P26" s="409"/>
      <c r="Q26" s="409"/>
      <c r="R26" s="409"/>
      <c r="S26" s="409"/>
      <c r="T26" s="409"/>
      <c r="U26" s="409"/>
      <c r="V26" s="409" t="s">
        <v>650</v>
      </c>
      <c r="W26" s="409"/>
      <c r="X26" s="409"/>
      <c r="Y26" s="409"/>
      <c r="Z26" s="409"/>
      <c r="AA26" s="409"/>
      <c r="AB26" s="409"/>
      <c r="AC26" s="409"/>
      <c r="AD26" s="409"/>
      <c r="AE26" s="409"/>
      <c r="AF26" s="409"/>
      <c r="AG26" s="409"/>
      <c r="AH26" s="409"/>
      <c r="AI26" s="409"/>
      <c r="AJ26" s="409"/>
      <c r="AK26" s="409"/>
      <c r="AL26" s="409"/>
      <c r="AM26" s="409"/>
      <c r="AN26" s="409"/>
      <c r="AO26" s="409"/>
      <c r="AP26" s="409"/>
      <c r="AQ26" s="409"/>
      <c r="AR26" s="409"/>
      <c r="AS26" s="409"/>
      <c r="AT26" s="409"/>
      <c r="AU26" s="409"/>
      <c r="AV26" s="409"/>
      <c r="AW26" s="409"/>
      <c r="AX26" s="409"/>
      <c r="AY26" s="409"/>
      <c r="AZ26" s="409"/>
      <c r="BA26" s="409"/>
      <c r="BB26" s="409"/>
      <c r="BC26" s="409"/>
      <c r="BD26" s="409"/>
      <c r="BE26" s="409"/>
      <c r="BF26" s="409"/>
      <c r="BG26" s="409"/>
      <c r="BH26" s="409"/>
      <c r="BI26" s="409"/>
      <c r="BJ26" s="409"/>
      <c r="BK26" s="409"/>
      <c r="BL26" s="409"/>
      <c r="BM26" s="632"/>
      <c r="BN26" s="409" t="s">
        <v>783</v>
      </c>
      <c r="BO26" s="931">
        <v>1048727</v>
      </c>
      <c r="BP26" s="843">
        <v>8899.7999999999993</v>
      </c>
      <c r="BQ26" s="842">
        <v>1081839</v>
      </c>
      <c r="BR26" s="843">
        <v>13765.13</v>
      </c>
      <c r="BS26" s="840">
        <v>1048054</v>
      </c>
      <c r="BT26" s="841">
        <v>157.83000000000001</v>
      </c>
      <c r="BU26" s="912">
        <v>1555288</v>
      </c>
      <c r="BV26" s="940">
        <v>118.86</v>
      </c>
      <c r="BW26" s="441"/>
      <c r="BX26" s="634"/>
      <c r="BY26" s="219">
        <v>10487727</v>
      </c>
      <c r="BZ26" s="225">
        <v>12676.3</v>
      </c>
      <c r="CA26" s="496">
        <f t="shared" si="0"/>
        <v>1048727</v>
      </c>
      <c r="CB26" s="497">
        <f>BZ26+BX26+BV26+BT26+BR26+BP26</f>
        <v>35617.919999999998</v>
      </c>
      <c r="CD26" s="439"/>
      <c r="CE26" s="440"/>
      <c r="CF26" s="437"/>
      <c r="CG26" s="781"/>
      <c r="CH26" s="496"/>
      <c r="CI26" s="497"/>
    </row>
    <row r="27" spans="1:87" s="158" customFormat="1">
      <c r="A27" s="410">
        <v>84</v>
      </c>
      <c r="B27" s="410">
        <v>603</v>
      </c>
      <c r="C27" s="410" t="s">
        <v>648</v>
      </c>
      <c r="D27" s="410"/>
      <c r="E27" s="410"/>
      <c r="F27" s="410"/>
      <c r="G27" s="410"/>
      <c r="H27" s="410"/>
      <c r="I27" s="410"/>
      <c r="J27" s="410"/>
      <c r="K27" s="410"/>
      <c r="L27" s="410"/>
      <c r="M27" s="410"/>
      <c r="N27" s="410"/>
      <c r="O27" s="410" t="s">
        <v>650</v>
      </c>
      <c r="P27" s="410"/>
      <c r="Q27" s="410"/>
      <c r="R27" s="410"/>
      <c r="S27" s="410"/>
      <c r="T27" s="410"/>
      <c r="U27" s="410"/>
      <c r="V27" s="410"/>
      <c r="W27" s="410"/>
      <c r="X27" s="410"/>
      <c r="Y27" s="410"/>
      <c r="Z27" s="410"/>
      <c r="AA27" s="410"/>
      <c r="AB27" s="410"/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410"/>
      <c r="AV27" s="410"/>
      <c r="AW27" s="410"/>
      <c r="AX27" s="410"/>
      <c r="AY27" s="410"/>
      <c r="AZ27" s="410"/>
      <c r="BA27" s="410"/>
      <c r="BB27" s="410"/>
      <c r="BC27" s="410"/>
      <c r="BD27" s="410"/>
      <c r="BE27" s="410"/>
      <c r="BF27" s="410"/>
      <c r="BG27" s="410"/>
      <c r="BH27" s="410"/>
      <c r="BI27" s="410"/>
      <c r="BJ27" s="410"/>
      <c r="BK27" s="410"/>
      <c r="BL27" s="410"/>
      <c r="BM27" s="632"/>
      <c r="BN27" s="410" t="s">
        <v>784</v>
      </c>
      <c r="BO27" s="842">
        <v>1313169</v>
      </c>
      <c r="BP27" s="843">
        <v>27585.41</v>
      </c>
      <c r="BQ27" s="433"/>
      <c r="BR27" s="633"/>
      <c r="BS27" s="840">
        <v>1312963</v>
      </c>
      <c r="BT27" s="841">
        <v>620.32000000000005</v>
      </c>
      <c r="BU27" s="435"/>
      <c r="BV27" s="779"/>
      <c r="BW27" s="936" t="s">
        <v>785</v>
      </c>
      <c r="BX27" s="937">
        <v>10218</v>
      </c>
      <c r="BY27" s="439">
        <v>1313169</v>
      </c>
      <c r="BZ27" s="440">
        <v>4247.22</v>
      </c>
      <c r="CA27" s="496">
        <f t="shared" si="0"/>
        <v>1313169</v>
      </c>
      <c r="CB27" s="497">
        <f t="shared" si="1"/>
        <v>42670.95</v>
      </c>
      <c r="CD27" s="882"/>
      <c r="CE27" s="530"/>
      <c r="CF27" s="883"/>
      <c r="CG27" s="884"/>
      <c r="CH27" s="885"/>
      <c r="CI27" s="886"/>
    </row>
    <row r="28" spans="1:87" s="158" customFormat="1">
      <c r="A28" s="409">
        <v>85</v>
      </c>
      <c r="B28" s="409">
        <v>846</v>
      </c>
      <c r="C28" s="409" t="s">
        <v>649</v>
      </c>
      <c r="D28" s="409">
        <v>2</v>
      </c>
      <c r="E28" s="409"/>
      <c r="F28" s="409"/>
      <c r="G28" s="409">
        <v>2</v>
      </c>
      <c r="H28" s="409"/>
      <c r="I28" s="409"/>
      <c r="J28" s="409"/>
      <c r="K28" s="409"/>
      <c r="L28" s="409"/>
      <c r="M28" s="409"/>
      <c r="N28" s="409"/>
      <c r="O28" s="409" t="s">
        <v>650</v>
      </c>
      <c r="P28" s="647"/>
      <c r="Q28" s="409" t="s">
        <v>650</v>
      </c>
      <c r="R28" s="409"/>
      <c r="S28" s="409"/>
      <c r="T28" s="409"/>
      <c r="U28" s="409"/>
      <c r="V28" s="409"/>
      <c r="W28" s="409"/>
      <c r="X28" s="409"/>
      <c r="Y28" s="409"/>
      <c r="Z28" s="409"/>
      <c r="AA28" s="409"/>
      <c r="AB28" s="409" t="s">
        <v>650</v>
      </c>
      <c r="AC28" s="409"/>
      <c r="AD28" s="409"/>
      <c r="AE28" s="409"/>
      <c r="AF28" s="409"/>
      <c r="AG28" s="409" t="s">
        <v>650</v>
      </c>
      <c r="AH28" s="409"/>
      <c r="AI28" s="409"/>
      <c r="AJ28" s="409"/>
      <c r="AK28" s="409"/>
      <c r="AL28" s="409"/>
      <c r="AM28" s="409"/>
      <c r="AN28" s="409"/>
      <c r="AO28" s="409"/>
      <c r="AP28" s="409"/>
      <c r="AQ28" s="409"/>
      <c r="AR28" s="409"/>
      <c r="AS28" s="409"/>
      <c r="AT28" s="409"/>
      <c r="AU28" s="409"/>
      <c r="AV28" s="409"/>
      <c r="AW28" s="409"/>
      <c r="AX28" s="409"/>
      <c r="AY28" s="409"/>
      <c r="AZ28" s="409"/>
      <c r="BA28" s="409" t="s">
        <v>650</v>
      </c>
      <c r="BB28" s="409"/>
      <c r="BC28" s="409"/>
      <c r="BD28" s="409"/>
      <c r="BE28" s="409" t="s">
        <v>650</v>
      </c>
      <c r="BF28" s="409"/>
      <c r="BG28" s="409"/>
      <c r="BH28" s="409" t="s">
        <v>650</v>
      </c>
      <c r="BI28" s="409"/>
      <c r="BJ28" s="409"/>
      <c r="BK28" s="409"/>
      <c r="BL28" s="409"/>
      <c r="BM28" s="632"/>
      <c r="BN28" s="409" t="s">
        <v>786</v>
      </c>
      <c r="BO28" s="433">
        <v>1313194</v>
      </c>
      <c r="BP28" s="434">
        <v>23832.05</v>
      </c>
      <c r="BQ28" s="433"/>
      <c r="BR28" s="633"/>
      <c r="BS28" s="840">
        <v>1313004</v>
      </c>
      <c r="BT28" s="841">
        <v>7242.78</v>
      </c>
      <c r="BU28" s="435" t="s">
        <v>787</v>
      </c>
      <c r="BV28" s="436">
        <v>8766.73</v>
      </c>
      <c r="BW28" s="441" t="s">
        <v>788</v>
      </c>
      <c r="BX28" s="442">
        <v>10557.55</v>
      </c>
      <c r="BY28" s="439">
        <v>1313194</v>
      </c>
      <c r="BZ28" s="440">
        <v>3188.17</v>
      </c>
      <c r="CA28" s="496">
        <f t="shared" si="0"/>
        <v>1313194</v>
      </c>
      <c r="CB28" s="497">
        <f>BZ28+BV28+BT28+BR28+BP28+CE28+CG28</f>
        <v>43029.729999999996</v>
      </c>
      <c r="CD28" s="882" t="s">
        <v>789</v>
      </c>
      <c r="CE28" s="530">
        <v>-132.07</v>
      </c>
      <c r="CF28" s="883" t="s">
        <v>790</v>
      </c>
      <c r="CG28" s="884">
        <v>132.07</v>
      </c>
      <c r="CH28" s="885"/>
      <c r="CI28" s="886"/>
    </row>
    <row r="29" spans="1:87" s="158" customFormat="1">
      <c r="A29" s="410">
        <v>86</v>
      </c>
      <c r="B29" s="410">
        <v>603</v>
      </c>
      <c r="C29" s="410" t="s">
        <v>647</v>
      </c>
      <c r="D29" s="410"/>
      <c r="E29" s="410"/>
      <c r="F29" s="410"/>
      <c r="G29" s="410"/>
      <c r="H29" s="410"/>
      <c r="I29" s="410"/>
      <c r="J29" s="410"/>
      <c r="K29" s="410"/>
      <c r="L29" s="410"/>
      <c r="M29" s="410"/>
      <c r="N29" s="410"/>
      <c r="O29" s="410"/>
      <c r="P29" s="410"/>
      <c r="Q29" s="410"/>
      <c r="R29" s="410"/>
      <c r="S29" s="410"/>
      <c r="T29" s="410"/>
      <c r="U29" s="410"/>
      <c r="V29" s="410" t="s">
        <v>650</v>
      </c>
      <c r="W29" s="410"/>
      <c r="X29" s="410"/>
      <c r="Y29" s="410"/>
      <c r="Z29" s="410"/>
      <c r="AA29" s="410"/>
      <c r="AB29" s="410"/>
      <c r="AC29" s="410"/>
      <c r="AD29" s="410"/>
      <c r="AE29" s="410"/>
      <c r="AF29" s="410"/>
      <c r="AG29" s="410"/>
      <c r="AH29" s="410"/>
      <c r="AI29" s="410"/>
      <c r="AJ29" s="410"/>
      <c r="AK29" s="410"/>
      <c r="AL29" s="410"/>
      <c r="AM29" s="410"/>
      <c r="AN29" s="410"/>
      <c r="AO29" s="410"/>
      <c r="AP29" s="410"/>
      <c r="AQ29" s="410"/>
      <c r="AR29" s="410"/>
      <c r="AS29" s="410"/>
      <c r="AT29" s="410"/>
      <c r="AU29" s="410"/>
      <c r="AV29" s="410"/>
      <c r="AW29" s="410"/>
      <c r="AX29" s="410"/>
      <c r="AY29" s="410"/>
      <c r="AZ29" s="410"/>
      <c r="BA29" s="410"/>
      <c r="BB29" s="410"/>
      <c r="BC29" s="410"/>
      <c r="BD29" s="410"/>
      <c r="BE29" s="410"/>
      <c r="BF29" s="410"/>
      <c r="BG29" s="410"/>
      <c r="BH29" s="410"/>
      <c r="BI29" s="410"/>
      <c r="BJ29" s="410"/>
      <c r="BK29" s="410"/>
      <c r="BL29" s="410"/>
      <c r="BM29" s="632"/>
      <c r="BN29" s="410" t="s">
        <v>791</v>
      </c>
      <c r="BO29" s="842">
        <v>1048756</v>
      </c>
      <c r="BP29" s="843">
        <v>13057.95</v>
      </c>
      <c r="BQ29" s="842">
        <v>1081840</v>
      </c>
      <c r="BR29" s="843">
        <v>14550.81</v>
      </c>
      <c r="BS29" s="840">
        <v>1048123</v>
      </c>
      <c r="BT29" s="841">
        <v>305.92</v>
      </c>
      <c r="BU29" s="435"/>
      <c r="BV29" s="779"/>
      <c r="BW29" s="936">
        <v>1555319</v>
      </c>
      <c r="BX29" s="941">
        <v>118.86</v>
      </c>
      <c r="BY29" s="219">
        <v>1048128</v>
      </c>
      <c r="BZ29" s="225">
        <v>13844.44</v>
      </c>
      <c r="CA29" s="496">
        <f t="shared" si="0"/>
        <v>1048756</v>
      </c>
      <c r="CB29" s="497">
        <f>BZ29+BX29+BV29+BT29+BR29+BP29</f>
        <v>41877.979999999996</v>
      </c>
      <c r="CD29" s="882"/>
      <c r="CE29" s="530"/>
      <c r="CF29" s="883"/>
      <c r="CG29" s="884"/>
      <c r="CH29" s="885"/>
      <c r="CI29" s="886"/>
    </row>
    <row r="30" spans="1:87" s="158" customFormat="1">
      <c r="A30" s="409">
        <v>87</v>
      </c>
      <c r="B30" s="409">
        <v>914</v>
      </c>
      <c r="C30" s="409" t="s">
        <v>648</v>
      </c>
      <c r="D30" s="409"/>
      <c r="E30" s="409"/>
      <c r="F30" s="409"/>
      <c r="G30" s="409" t="s">
        <v>650</v>
      </c>
      <c r="H30" s="409"/>
      <c r="I30" s="409"/>
      <c r="J30" s="409"/>
      <c r="K30" s="409"/>
      <c r="L30" s="409"/>
      <c r="M30" s="409"/>
      <c r="N30" s="409"/>
      <c r="O30" s="409" t="s">
        <v>650</v>
      </c>
      <c r="P30" s="409"/>
      <c r="Q30" s="409"/>
      <c r="R30" s="409"/>
      <c r="S30" s="409"/>
      <c r="T30" s="409"/>
      <c r="U30" s="409"/>
      <c r="V30" s="409" t="s">
        <v>650</v>
      </c>
      <c r="W30" s="409"/>
      <c r="X30" s="409"/>
      <c r="Y30" s="409"/>
      <c r="Z30" s="409"/>
      <c r="AA30" s="409"/>
      <c r="AB30" s="409"/>
      <c r="AC30" s="409"/>
      <c r="AD30" s="409"/>
      <c r="AE30" s="409"/>
      <c r="AF30" s="409"/>
      <c r="AG30" s="409"/>
      <c r="AH30" s="409"/>
      <c r="AI30" s="409"/>
      <c r="AJ30" s="409"/>
      <c r="AK30" s="409"/>
      <c r="AL30" s="409"/>
      <c r="AM30" s="409"/>
      <c r="AN30" s="409"/>
      <c r="AO30" s="409"/>
      <c r="AP30" s="409"/>
      <c r="AQ30" s="409"/>
      <c r="AR30" s="409"/>
      <c r="AS30" s="409"/>
      <c r="AT30" s="409"/>
      <c r="AU30" s="409"/>
      <c r="AV30" s="409"/>
      <c r="AW30" s="409"/>
      <c r="AX30" s="409"/>
      <c r="AY30" s="409"/>
      <c r="AZ30" s="409"/>
      <c r="BA30" s="409"/>
      <c r="BB30" s="409"/>
      <c r="BC30" s="409"/>
      <c r="BD30" s="409"/>
      <c r="BE30" s="409" t="s">
        <v>650</v>
      </c>
      <c r="BF30" s="409"/>
      <c r="BG30" s="409"/>
      <c r="BH30" s="409" t="s">
        <v>650</v>
      </c>
      <c r="BI30" s="409"/>
      <c r="BJ30" s="409"/>
      <c r="BK30" s="409"/>
      <c r="BL30" s="409"/>
      <c r="BM30" s="632"/>
      <c r="BN30" s="409" t="s">
        <v>792</v>
      </c>
      <c r="BO30" s="842">
        <v>1048786</v>
      </c>
      <c r="BP30" s="843">
        <v>8899.7999999999993</v>
      </c>
      <c r="BQ30" s="842">
        <v>1081841</v>
      </c>
      <c r="BR30" s="843">
        <v>13765.13</v>
      </c>
      <c r="BS30" s="840">
        <v>1048181</v>
      </c>
      <c r="BT30" s="841">
        <v>1826.97</v>
      </c>
      <c r="BU30" s="912" t="s">
        <v>793</v>
      </c>
      <c r="BV30" s="940">
        <v>118.86</v>
      </c>
      <c r="BW30" s="936">
        <v>1304915</v>
      </c>
      <c r="BX30" s="937">
        <v>-110.66</v>
      </c>
      <c r="BY30" s="219">
        <v>1048786</v>
      </c>
      <c r="BZ30" s="225">
        <v>12676.3</v>
      </c>
      <c r="CA30" s="496">
        <f t="shared" si="0"/>
        <v>1048786</v>
      </c>
      <c r="CB30" s="497">
        <f t="shared" si="1"/>
        <v>37176.399999999994</v>
      </c>
      <c r="CD30" s="882"/>
      <c r="CE30" s="530"/>
      <c r="CF30" s="883"/>
      <c r="CG30" s="884"/>
      <c r="CH30" s="885"/>
      <c r="CI30" s="886"/>
    </row>
    <row r="31" spans="1:87" s="158" customFormat="1">
      <c r="A31" s="410">
        <v>88</v>
      </c>
      <c r="B31" s="410">
        <v>603</v>
      </c>
      <c r="C31" s="410" t="s">
        <v>647</v>
      </c>
      <c r="D31" s="410">
        <v>2</v>
      </c>
      <c r="E31" s="410"/>
      <c r="F31" s="410"/>
      <c r="G31" s="410"/>
      <c r="H31" s="410"/>
      <c r="I31" s="410"/>
      <c r="J31" s="410"/>
      <c r="K31" s="410"/>
      <c r="L31" s="410"/>
      <c r="M31" s="410"/>
      <c r="N31" s="410"/>
      <c r="O31" s="410"/>
      <c r="P31" s="410"/>
      <c r="Q31" s="410"/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  <c r="AG31" s="410"/>
      <c r="AH31" s="410"/>
      <c r="AI31" s="410"/>
      <c r="AJ31" s="410"/>
      <c r="AK31" s="410"/>
      <c r="AL31" s="410"/>
      <c r="AM31" s="410"/>
      <c r="AN31" s="410"/>
      <c r="AO31" s="410"/>
      <c r="AP31" s="410"/>
      <c r="AQ31" s="410"/>
      <c r="AR31" s="410"/>
      <c r="AS31" s="410"/>
      <c r="AT31" s="410"/>
      <c r="AU31" s="410"/>
      <c r="AV31" s="410"/>
      <c r="AW31" s="410"/>
      <c r="AX31" s="410"/>
      <c r="AY31" s="410"/>
      <c r="AZ31" s="410"/>
      <c r="BA31" s="410"/>
      <c r="BB31" s="410"/>
      <c r="BC31" s="410"/>
      <c r="BD31" s="410"/>
      <c r="BE31" s="410"/>
      <c r="BF31" s="410"/>
      <c r="BG31" s="410"/>
      <c r="BH31" s="410"/>
      <c r="BI31" s="410"/>
      <c r="BJ31" s="410"/>
      <c r="BK31" s="410"/>
      <c r="BL31" s="410"/>
      <c r="BM31" s="632"/>
      <c r="BN31" s="410" t="s">
        <v>794</v>
      </c>
      <c r="BO31" s="842">
        <v>1313217</v>
      </c>
      <c r="BP31" s="843">
        <v>27585.41</v>
      </c>
      <c r="BQ31" s="433"/>
      <c r="BR31" s="633"/>
      <c r="BS31" s="840">
        <v>1313059</v>
      </c>
      <c r="BT31" s="841">
        <v>-4698.34</v>
      </c>
      <c r="BU31" s="435"/>
      <c r="BV31" s="779"/>
      <c r="BW31" s="936" t="s">
        <v>795</v>
      </c>
      <c r="BX31" s="937">
        <v>4247.22</v>
      </c>
      <c r="BY31" s="439">
        <v>1504715</v>
      </c>
      <c r="BZ31" s="440">
        <v>10218</v>
      </c>
      <c r="CA31" s="496">
        <f t="shared" si="0"/>
        <v>1313217</v>
      </c>
      <c r="CB31" s="497">
        <f>BZ31+BX31+BV31+BT31+BR31+BP31</f>
        <v>37352.29</v>
      </c>
      <c r="CD31" s="882"/>
      <c r="CE31" s="530"/>
      <c r="CF31" s="883"/>
      <c r="CG31" s="884"/>
      <c r="CH31" s="885"/>
      <c r="CI31" s="886"/>
    </row>
    <row r="32" spans="1:87" s="158" customFormat="1">
      <c r="A32" s="409">
        <v>89</v>
      </c>
      <c r="B32" s="409">
        <v>914</v>
      </c>
      <c r="C32" s="409" t="s">
        <v>649</v>
      </c>
      <c r="D32" s="409"/>
      <c r="E32" s="409"/>
      <c r="F32" s="409"/>
      <c r="G32" s="409" t="s">
        <v>650</v>
      </c>
      <c r="H32" s="409"/>
      <c r="I32" s="409"/>
      <c r="J32" s="409"/>
      <c r="K32" s="409"/>
      <c r="L32" s="409"/>
      <c r="M32" s="409"/>
      <c r="N32" s="409"/>
      <c r="O32" s="409" t="s">
        <v>650</v>
      </c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09"/>
      <c r="AD32" s="409"/>
      <c r="AE32" s="409"/>
      <c r="AF32" s="409"/>
      <c r="AG32" s="409"/>
      <c r="AH32" s="409"/>
      <c r="AI32" s="409"/>
      <c r="AJ32" s="409"/>
      <c r="AK32" s="409"/>
      <c r="AL32" s="409"/>
      <c r="AM32" s="409"/>
      <c r="AN32" s="409"/>
      <c r="AO32" s="409"/>
      <c r="AP32" s="409"/>
      <c r="AQ32" s="409"/>
      <c r="AR32" s="409"/>
      <c r="AS32" s="409"/>
      <c r="AT32" s="409"/>
      <c r="AU32" s="409"/>
      <c r="AV32" s="409"/>
      <c r="AW32" s="409"/>
      <c r="AX32" s="409"/>
      <c r="AY32" s="409"/>
      <c r="AZ32" s="409"/>
      <c r="BA32" s="409"/>
      <c r="BB32" s="409"/>
      <c r="BC32" s="409"/>
      <c r="BD32" s="409"/>
      <c r="BE32" s="409" t="s">
        <v>650</v>
      </c>
      <c r="BF32" s="409"/>
      <c r="BG32" s="409"/>
      <c r="BH32" s="409" t="s">
        <v>650</v>
      </c>
      <c r="BI32" s="409"/>
      <c r="BJ32" s="409"/>
      <c r="BK32" s="409"/>
      <c r="BL32" s="409"/>
      <c r="BM32" s="632"/>
      <c r="BN32" s="409" t="s">
        <v>796</v>
      </c>
      <c r="BO32" s="842">
        <v>1048817</v>
      </c>
      <c r="BP32" s="843">
        <v>8899.7999999999993</v>
      </c>
      <c r="BQ32" s="842">
        <v>1081842</v>
      </c>
      <c r="BR32" s="843">
        <v>13765.13</v>
      </c>
      <c r="BS32" s="840">
        <v>1048255</v>
      </c>
      <c r="BT32" s="841">
        <v>1988.38</v>
      </c>
      <c r="BU32" s="912" t="s">
        <v>797</v>
      </c>
      <c r="BV32" s="940">
        <v>118.86</v>
      </c>
      <c r="BW32" s="936">
        <v>1304919</v>
      </c>
      <c r="BX32" s="937">
        <v>-110.66</v>
      </c>
      <c r="BY32" s="219">
        <v>1048817</v>
      </c>
      <c r="BZ32" s="225">
        <v>12676.3</v>
      </c>
      <c r="CA32" s="496">
        <f t="shared" si="0"/>
        <v>1048817</v>
      </c>
      <c r="CB32" s="497">
        <f t="shared" si="1"/>
        <v>37337.81</v>
      </c>
      <c r="CD32" s="882"/>
      <c r="CE32" s="530"/>
      <c r="CF32" s="883"/>
      <c r="CG32" s="884"/>
      <c r="CH32" s="885"/>
      <c r="CI32" s="886"/>
    </row>
    <row r="33" spans="1:87" s="158" customFormat="1">
      <c r="A33" s="410">
        <v>90</v>
      </c>
      <c r="B33" s="410">
        <v>603</v>
      </c>
      <c r="C33" s="410" t="s">
        <v>648</v>
      </c>
      <c r="D33" s="410"/>
      <c r="E33" s="410"/>
      <c r="F33" s="410"/>
      <c r="G33" s="410"/>
      <c r="H33" s="410"/>
      <c r="I33" s="410"/>
      <c r="J33" s="410"/>
      <c r="K33" s="410"/>
      <c r="L33" s="410"/>
      <c r="M33" s="410"/>
      <c r="N33" s="410"/>
      <c r="O33" s="850" t="s">
        <v>650</v>
      </c>
      <c r="P33" s="410"/>
      <c r="Q33" s="410"/>
      <c r="R33" s="410"/>
      <c r="S33" s="410"/>
      <c r="T33" s="410"/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  <c r="AG33" s="410"/>
      <c r="AH33" s="410"/>
      <c r="AI33" s="410"/>
      <c r="AJ33" s="410"/>
      <c r="AK33" s="410"/>
      <c r="AL33" s="410"/>
      <c r="AM33" s="410"/>
      <c r="AN33" s="410"/>
      <c r="AO33" s="410"/>
      <c r="AP33" s="410"/>
      <c r="AQ33" s="410"/>
      <c r="AR33" s="410"/>
      <c r="AS33" s="410"/>
      <c r="AT33" s="410"/>
      <c r="AU33" s="410"/>
      <c r="AV33" s="410"/>
      <c r="AW33" s="410"/>
      <c r="AX33" s="410"/>
      <c r="AY33" s="410"/>
      <c r="AZ33" s="410"/>
      <c r="BA33" s="410"/>
      <c r="BB33" s="410"/>
      <c r="BC33" s="410"/>
      <c r="BD33" s="410"/>
      <c r="BE33" s="410"/>
      <c r="BF33" s="410"/>
      <c r="BG33" s="410"/>
      <c r="BH33" s="410"/>
      <c r="BI33" s="410"/>
      <c r="BJ33" s="410"/>
      <c r="BK33" s="410"/>
      <c r="BL33" s="410"/>
      <c r="BM33" s="632"/>
      <c r="BN33" s="410" t="s">
        <v>798</v>
      </c>
      <c r="BO33" s="842">
        <v>1048846</v>
      </c>
      <c r="BP33" s="843">
        <v>13057.95</v>
      </c>
      <c r="BQ33" s="433">
        <v>1081843</v>
      </c>
      <c r="BR33" s="434">
        <v>14550.81</v>
      </c>
      <c r="BS33" s="437"/>
      <c r="BT33" s="778"/>
      <c r="BU33" s="912">
        <v>1048331</v>
      </c>
      <c r="BV33" s="913">
        <v>488.25</v>
      </c>
      <c r="BW33" s="936">
        <v>1316642</v>
      </c>
      <c r="BX33" s="941">
        <v>118.86</v>
      </c>
      <c r="BY33" s="846">
        <v>1048846</v>
      </c>
      <c r="BZ33" s="861">
        <v>13844.44</v>
      </c>
      <c r="CA33" s="496">
        <f>BO33</f>
        <v>1048846</v>
      </c>
      <c r="CB33" s="497">
        <f>BZ33+BX33+BV33+BT33+BR33+BP33</f>
        <v>42060.31</v>
      </c>
      <c r="CD33" s="882"/>
      <c r="CE33" s="530"/>
      <c r="CF33" s="883"/>
      <c r="CG33" s="884"/>
      <c r="CH33" s="885"/>
      <c r="CI33" s="886"/>
    </row>
    <row r="34" spans="1:87" s="158" customFormat="1" ht="15">
      <c r="A34" s="409">
        <v>91</v>
      </c>
      <c r="B34" s="409">
        <v>603</v>
      </c>
      <c r="C34" s="409" t="s">
        <v>649</v>
      </c>
      <c r="D34" s="409">
        <v>2</v>
      </c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 t="s">
        <v>650</v>
      </c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09"/>
      <c r="AD34" s="409"/>
      <c r="AE34" s="409"/>
      <c r="AF34" s="409"/>
      <c r="AG34" s="409"/>
      <c r="AH34" s="409"/>
      <c r="AI34" s="409"/>
      <c r="AJ34" s="409"/>
      <c r="AK34" s="409"/>
      <c r="AL34" s="409"/>
      <c r="AM34" s="409"/>
      <c r="AN34" s="409"/>
      <c r="AO34" s="409"/>
      <c r="AP34" s="409"/>
      <c r="AQ34" s="409"/>
      <c r="AR34" s="409"/>
      <c r="AS34" s="409"/>
      <c r="AT34" s="409"/>
      <c r="AU34" s="409"/>
      <c r="AV34" s="409"/>
      <c r="AW34" s="409"/>
      <c r="AX34" s="409"/>
      <c r="AY34" s="409"/>
      <c r="AZ34" s="409"/>
      <c r="BA34" s="409"/>
      <c r="BB34" s="409"/>
      <c r="BC34" s="409"/>
      <c r="BD34" s="409"/>
      <c r="BE34" s="409"/>
      <c r="BF34" s="409"/>
      <c r="BG34" s="409"/>
      <c r="BH34" s="409"/>
      <c r="BI34" s="409"/>
      <c r="BJ34" s="409"/>
      <c r="BK34" s="409"/>
      <c r="BL34" s="409"/>
      <c r="BM34" s="632"/>
      <c r="BN34" s="409" t="s">
        <v>799</v>
      </c>
      <c r="BO34" s="842">
        <v>1873524</v>
      </c>
      <c r="BP34" s="843">
        <v>26988.04</v>
      </c>
      <c r="BQ34" s="433"/>
      <c r="BR34" s="633"/>
      <c r="BS34" s="840">
        <v>1872784</v>
      </c>
      <c r="BT34" s="1027">
        <v>-277.24</v>
      </c>
      <c r="BU34" s="435"/>
      <c r="BV34" s="779"/>
      <c r="BW34" s="441"/>
      <c r="BX34" s="634"/>
      <c r="BY34" s="439">
        <v>1873524</v>
      </c>
      <c r="BZ34" s="440">
        <v>14465.22</v>
      </c>
      <c r="CA34" s="496">
        <f t="shared" si="0"/>
        <v>1873524</v>
      </c>
      <c r="CB34" s="497">
        <f t="shared" si="1"/>
        <v>41176.020000000004</v>
      </c>
      <c r="CD34" s="882"/>
      <c r="CE34" s="530"/>
      <c r="CF34" s="883"/>
      <c r="CG34" s="884"/>
      <c r="CH34" s="885"/>
      <c r="CI34" s="886"/>
    </row>
    <row r="35" spans="1:87" s="158" customFormat="1" ht="15">
      <c r="A35" s="410">
        <v>92</v>
      </c>
      <c r="B35" s="410">
        <v>603</v>
      </c>
      <c r="C35" s="410" t="s">
        <v>647</v>
      </c>
      <c r="D35" s="410">
        <v>2</v>
      </c>
      <c r="E35" s="410"/>
      <c r="F35" s="410"/>
      <c r="G35" s="410"/>
      <c r="H35" s="410"/>
      <c r="I35" s="410"/>
      <c r="J35" s="410"/>
      <c r="K35" s="410"/>
      <c r="L35" s="410"/>
      <c r="M35" s="410"/>
      <c r="N35" s="410"/>
      <c r="O35" s="410" t="s">
        <v>650</v>
      </c>
      <c r="P35" s="410"/>
      <c r="Q35" s="410"/>
      <c r="R35" s="410"/>
      <c r="S35" s="410"/>
      <c r="T35" s="410"/>
      <c r="U35" s="410"/>
      <c r="V35" s="410" t="s">
        <v>650</v>
      </c>
      <c r="W35" s="410"/>
      <c r="X35" s="410"/>
      <c r="Y35" s="410"/>
      <c r="Z35" s="410"/>
      <c r="AA35" s="410"/>
      <c r="AB35" s="410" t="s">
        <v>650</v>
      </c>
      <c r="AC35" s="410"/>
      <c r="AD35" s="410"/>
      <c r="AE35" s="410"/>
      <c r="AF35" s="410"/>
      <c r="AG35" s="410" t="s">
        <v>650</v>
      </c>
      <c r="AH35" s="410"/>
      <c r="AI35" s="410"/>
      <c r="AJ35" s="410"/>
      <c r="AK35" s="410"/>
      <c r="AL35" s="410"/>
      <c r="AM35" s="410"/>
      <c r="AN35" s="410"/>
      <c r="AO35" s="410"/>
      <c r="AP35" s="410"/>
      <c r="AQ35" s="410"/>
      <c r="AR35" s="410"/>
      <c r="AS35" s="410"/>
      <c r="AT35" s="410"/>
      <c r="AU35" s="410"/>
      <c r="AV35" s="410"/>
      <c r="AW35" s="410"/>
      <c r="AX35" s="410"/>
      <c r="AY35" s="410"/>
      <c r="AZ35" s="410"/>
      <c r="BA35" s="410"/>
      <c r="BB35" s="410"/>
      <c r="BC35" s="410"/>
      <c r="BD35" s="410"/>
      <c r="BE35" s="410"/>
      <c r="BF35" s="410"/>
      <c r="BG35" s="410"/>
      <c r="BH35" s="410"/>
      <c r="BI35" s="410"/>
      <c r="BJ35" s="410"/>
      <c r="BK35" s="410"/>
      <c r="BL35" s="410"/>
      <c r="BM35" s="632"/>
      <c r="BN35" s="410" t="s">
        <v>800</v>
      </c>
      <c r="BO35" s="842">
        <v>1873542</v>
      </c>
      <c r="BP35" s="843">
        <v>26988.04</v>
      </c>
      <c r="BQ35" s="433"/>
      <c r="BR35" s="633"/>
      <c r="BS35" s="840">
        <v>1872895</v>
      </c>
      <c r="BT35" s="841">
        <v>-3701.07</v>
      </c>
      <c r="BU35" s="435"/>
      <c r="BV35" s="779"/>
      <c r="BW35" s="441"/>
      <c r="BX35" s="634"/>
      <c r="BY35" s="439">
        <v>1873542</v>
      </c>
      <c r="BZ35" s="440">
        <v>14465.22</v>
      </c>
      <c r="CA35" s="496">
        <f t="shared" si="0"/>
        <v>1873542</v>
      </c>
      <c r="CB35" s="497">
        <f t="shared" si="1"/>
        <v>37752.19</v>
      </c>
      <c r="CD35" s="882"/>
      <c r="CE35" s="530"/>
      <c r="CF35" s="883"/>
      <c r="CG35" s="884"/>
      <c r="CH35" s="885"/>
      <c r="CI35" s="886"/>
    </row>
    <row r="36" spans="1:87" ht="15">
      <c r="A36" s="7">
        <v>93</v>
      </c>
      <c r="B36" s="7">
        <v>603</v>
      </c>
      <c r="C36" s="409" t="s">
        <v>649</v>
      </c>
      <c r="D36" s="409">
        <v>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409" t="s">
        <v>650</v>
      </c>
      <c r="P36" s="409" t="s">
        <v>650</v>
      </c>
      <c r="Q36" s="7"/>
      <c r="R36" s="7"/>
      <c r="S36" s="7"/>
      <c r="T36" s="7"/>
      <c r="U36" s="7"/>
      <c r="V36" s="409" t="s">
        <v>650</v>
      </c>
      <c r="W36" s="7"/>
      <c r="X36" s="7"/>
      <c r="Y36" s="7"/>
      <c r="Z36" s="7"/>
      <c r="AA36" s="7"/>
      <c r="AB36" s="409" t="s">
        <v>650</v>
      </c>
      <c r="AC36" s="7"/>
      <c r="AD36" s="7"/>
      <c r="AE36" s="7"/>
      <c r="AF36" s="7"/>
      <c r="AG36" s="409" t="s">
        <v>650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3"/>
      <c r="BN36" s="409" t="s">
        <v>801</v>
      </c>
      <c r="BO36" s="187">
        <v>3200308</v>
      </c>
      <c r="BP36" s="188">
        <v>23919.81</v>
      </c>
      <c r="BQ36" s="187"/>
      <c r="BR36" s="265"/>
      <c r="BS36" s="1032">
        <v>3200235</v>
      </c>
      <c r="BT36" s="1033">
        <v>1149.3499999999999</v>
      </c>
      <c r="BU36" s="269"/>
      <c r="BV36" s="270"/>
      <c r="BW36" s="358"/>
      <c r="BX36" s="359"/>
      <c r="BY36" s="219">
        <v>3200308</v>
      </c>
      <c r="BZ36" s="225">
        <v>14027.39</v>
      </c>
      <c r="CA36" s="382">
        <f t="shared" si="0"/>
        <v>3200308</v>
      </c>
      <c r="CB36" s="383">
        <f>BZ36+BX36+BV36+BT36+BR36+BP36</f>
        <v>39096.550000000003</v>
      </c>
    </row>
    <row r="37" spans="1:87" ht="15">
      <c r="A37" s="9">
        <v>94</v>
      </c>
      <c r="B37" s="9">
        <v>603</v>
      </c>
      <c r="C37" s="9" t="s">
        <v>648</v>
      </c>
      <c r="D37" s="410">
        <v>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410" t="s">
        <v>650</v>
      </c>
      <c r="P37" s="410" t="s">
        <v>650</v>
      </c>
      <c r="Q37" s="9"/>
      <c r="R37" s="9"/>
      <c r="S37" s="9"/>
      <c r="T37" s="9"/>
      <c r="U37" s="9"/>
      <c r="V37" s="410" t="s">
        <v>650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13"/>
      <c r="BN37" s="410" t="s">
        <v>802</v>
      </c>
      <c r="BO37" s="842">
        <v>3209883</v>
      </c>
      <c r="BP37" s="843">
        <v>23919.81</v>
      </c>
      <c r="BQ37" s="187"/>
      <c r="BR37" s="265"/>
      <c r="BS37" s="1032">
        <v>3209811</v>
      </c>
      <c r="BT37" s="1033">
        <v>1474.65</v>
      </c>
      <c r="BU37" s="269"/>
      <c r="BV37" s="270"/>
      <c r="BW37" s="358"/>
      <c r="BX37" s="359"/>
      <c r="BY37" s="219">
        <v>3209883</v>
      </c>
      <c r="BZ37" s="302">
        <v>14027.39</v>
      </c>
      <c r="CA37" s="382">
        <f t="shared" si="0"/>
        <v>3209883</v>
      </c>
      <c r="CB37" s="383">
        <f>BZ37+BX37+BV37+BT37+BR37+BP37</f>
        <v>39421.85</v>
      </c>
    </row>
    <row r="38" spans="1:87" s="158" customFormat="1" ht="15">
      <c r="A38" s="409">
        <v>95</v>
      </c>
      <c r="B38" s="409">
        <v>914</v>
      </c>
      <c r="C38" s="409" t="s">
        <v>648</v>
      </c>
      <c r="D38" s="409"/>
      <c r="E38" s="409"/>
      <c r="F38" s="409"/>
      <c r="G38" s="409" t="s">
        <v>650</v>
      </c>
      <c r="H38" s="409"/>
      <c r="I38" s="409"/>
      <c r="J38" s="409"/>
      <c r="K38" s="409"/>
      <c r="L38" s="409"/>
      <c r="M38" s="409"/>
      <c r="N38" s="409"/>
      <c r="O38" s="409" t="s">
        <v>650</v>
      </c>
      <c r="P38" s="409"/>
      <c r="Q38" s="409"/>
      <c r="R38" s="409"/>
      <c r="S38" s="409"/>
      <c r="T38" s="409"/>
      <c r="U38" s="409"/>
      <c r="V38" s="409" t="s">
        <v>650</v>
      </c>
      <c r="W38" s="409"/>
      <c r="X38" s="409"/>
      <c r="Y38" s="409"/>
      <c r="Z38" s="409"/>
      <c r="AA38" s="409"/>
      <c r="AB38" s="409"/>
      <c r="AC38" s="409"/>
      <c r="AD38" s="409"/>
      <c r="AE38" s="409"/>
      <c r="AF38" s="409"/>
      <c r="AG38" s="409"/>
      <c r="AH38" s="409"/>
      <c r="AI38" s="409"/>
      <c r="AJ38" s="409"/>
      <c r="AK38" s="409"/>
      <c r="AL38" s="409"/>
      <c r="AM38" s="409"/>
      <c r="AN38" s="409"/>
      <c r="AO38" s="409"/>
      <c r="AP38" s="409"/>
      <c r="AQ38" s="409"/>
      <c r="AR38" s="409"/>
      <c r="AS38" s="409"/>
      <c r="AT38" s="409"/>
      <c r="AU38" s="409"/>
      <c r="AV38" s="409"/>
      <c r="AW38" s="409"/>
      <c r="AX38" s="409"/>
      <c r="AY38" s="409"/>
      <c r="AZ38" s="409"/>
      <c r="BA38" s="409"/>
      <c r="BB38" s="409"/>
      <c r="BC38" s="409"/>
      <c r="BD38" s="409"/>
      <c r="BE38" s="409" t="s">
        <v>650</v>
      </c>
      <c r="BF38" s="409"/>
      <c r="BG38" s="409"/>
      <c r="BH38" s="409" t="s">
        <v>650</v>
      </c>
      <c r="BI38" s="409"/>
      <c r="BJ38" s="409"/>
      <c r="BK38" s="409"/>
      <c r="BL38" s="409"/>
      <c r="BM38" s="632"/>
      <c r="BN38" s="409" t="s">
        <v>803</v>
      </c>
      <c r="BO38" s="433">
        <v>3349791</v>
      </c>
      <c r="BP38" s="434">
        <v>19059.66</v>
      </c>
      <c r="BQ38" s="433"/>
      <c r="BR38" s="633"/>
      <c r="BS38" s="437">
        <v>3349709</v>
      </c>
      <c r="BT38" s="438">
        <v>2731.55</v>
      </c>
      <c r="BU38" s="435"/>
      <c r="BV38" s="779"/>
      <c r="BW38" s="441"/>
      <c r="BX38" s="634"/>
      <c r="BY38" s="439">
        <v>3349791</v>
      </c>
      <c r="BZ38" s="440">
        <v>13776.23</v>
      </c>
      <c r="CA38" s="496">
        <f t="shared" si="0"/>
        <v>3349791</v>
      </c>
      <c r="CB38" s="497">
        <f t="shared" si="1"/>
        <v>35567.440000000002</v>
      </c>
      <c r="CD38" s="882"/>
      <c r="CE38" s="530"/>
      <c r="CF38" s="883"/>
      <c r="CG38" s="884"/>
      <c r="CH38" s="885"/>
      <c r="CI38" s="886"/>
    </row>
    <row r="39" spans="1:87" s="158" customFormat="1" ht="15">
      <c r="A39" s="410">
        <v>96</v>
      </c>
      <c r="B39" s="410">
        <v>603</v>
      </c>
      <c r="C39" s="410" t="s">
        <v>649</v>
      </c>
      <c r="D39" s="410"/>
      <c r="E39" s="410"/>
      <c r="F39" s="410"/>
      <c r="G39" s="410"/>
      <c r="H39" s="410"/>
      <c r="I39" s="410"/>
      <c r="J39" s="410"/>
      <c r="K39" s="410"/>
      <c r="L39" s="410"/>
      <c r="M39" s="410"/>
      <c r="N39" s="410"/>
      <c r="O39" s="410" t="s">
        <v>650</v>
      </c>
      <c r="P39" s="410" t="s">
        <v>650</v>
      </c>
      <c r="Q39" s="410"/>
      <c r="R39" s="410"/>
      <c r="S39" s="410"/>
      <c r="T39" s="410"/>
      <c r="U39" s="410"/>
      <c r="V39" s="410" t="s">
        <v>650</v>
      </c>
      <c r="W39" s="410"/>
      <c r="X39" s="410"/>
      <c r="Y39" s="410"/>
      <c r="Z39" s="410"/>
      <c r="AA39" s="410"/>
      <c r="AB39" s="410" t="s">
        <v>650</v>
      </c>
      <c r="AC39" s="410"/>
      <c r="AD39" s="410"/>
      <c r="AE39" s="410"/>
      <c r="AF39" s="410"/>
      <c r="AG39" s="410" t="s">
        <v>650</v>
      </c>
      <c r="AH39" s="410"/>
      <c r="AI39" s="410"/>
      <c r="AJ39" s="410"/>
      <c r="AK39" s="410"/>
      <c r="AL39" s="410"/>
      <c r="AM39" s="410"/>
      <c r="AN39" s="410"/>
      <c r="AO39" s="410"/>
      <c r="AP39" s="410"/>
      <c r="AQ39" s="410"/>
      <c r="AR39" s="410"/>
      <c r="AS39" s="410"/>
      <c r="AT39" s="410"/>
      <c r="AU39" s="410"/>
      <c r="AV39" s="410"/>
      <c r="AW39" s="410"/>
      <c r="AX39" s="410"/>
      <c r="AY39" s="410"/>
      <c r="AZ39" s="410"/>
      <c r="BA39" s="410"/>
      <c r="BB39" s="410"/>
      <c r="BC39" s="410"/>
      <c r="BD39" s="410"/>
      <c r="BE39" s="410"/>
      <c r="BF39" s="410"/>
      <c r="BG39" s="410"/>
      <c r="BH39" s="410"/>
      <c r="BI39" s="410"/>
      <c r="BJ39" s="410"/>
      <c r="BK39" s="410"/>
      <c r="BL39" s="410"/>
      <c r="BM39" s="632"/>
      <c r="BN39" s="410" t="s">
        <v>804</v>
      </c>
      <c r="BO39" s="433">
        <v>3349810</v>
      </c>
      <c r="BP39" s="434">
        <v>23988.35</v>
      </c>
      <c r="BQ39" s="433"/>
      <c r="BR39" s="633"/>
      <c r="BS39" s="437">
        <v>3349753</v>
      </c>
      <c r="BT39" s="438">
        <v>703.22</v>
      </c>
      <c r="BU39" s="435"/>
      <c r="BV39" s="779"/>
      <c r="BW39" s="441"/>
      <c r="BX39" s="634"/>
      <c r="BY39" s="439">
        <v>3349810</v>
      </c>
      <c r="BZ39" s="440">
        <v>14027.56</v>
      </c>
      <c r="CA39" s="496">
        <f t="shared" si="0"/>
        <v>3349810</v>
      </c>
      <c r="CB39" s="497">
        <f>BZ39+BX39+BV39+BT39+BR39+BP39</f>
        <v>38719.129999999997</v>
      </c>
      <c r="CD39" s="882"/>
      <c r="CE39" s="530"/>
      <c r="CF39" s="883"/>
      <c r="CG39" s="884"/>
      <c r="CH39" s="885"/>
      <c r="CI39" s="886"/>
    </row>
    <row r="40" spans="1:87" s="158" customFormat="1">
      <c r="A40" s="409">
        <v>97</v>
      </c>
      <c r="B40" s="409">
        <v>914</v>
      </c>
      <c r="C40" s="409" t="s">
        <v>647</v>
      </c>
      <c r="D40" s="409">
        <v>2</v>
      </c>
      <c r="E40" s="409"/>
      <c r="F40" s="409"/>
      <c r="G40" s="409" t="s">
        <v>650</v>
      </c>
      <c r="H40" s="409"/>
      <c r="I40" s="409"/>
      <c r="J40" s="409"/>
      <c r="K40" s="409"/>
      <c r="L40" s="409"/>
      <c r="M40" s="409"/>
      <c r="N40" s="409"/>
      <c r="O40" s="409" t="s">
        <v>650</v>
      </c>
      <c r="P40" s="409"/>
      <c r="Q40" s="409"/>
      <c r="R40" s="409"/>
      <c r="S40" s="409"/>
      <c r="T40" s="409"/>
      <c r="U40" s="409"/>
      <c r="V40" s="409" t="s">
        <v>650</v>
      </c>
      <c r="W40" s="409"/>
      <c r="X40" s="409"/>
      <c r="Y40" s="409"/>
      <c r="Z40" s="409"/>
      <c r="AA40" s="409"/>
      <c r="AB40" s="409"/>
      <c r="AC40" s="409"/>
      <c r="AD40" s="409"/>
      <c r="AE40" s="409"/>
      <c r="AF40" s="409"/>
      <c r="AG40" s="409"/>
      <c r="AH40" s="409"/>
      <c r="AI40" s="409"/>
      <c r="AJ40" s="409"/>
      <c r="AK40" s="409"/>
      <c r="AL40" s="409"/>
      <c r="AM40" s="409"/>
      <c r="AN40" s="409"/>
      <c r="AO40" s="409"/>
      <c r="AP40" s="409"/>
      <c r="AQ40" s="409"/>
      <c r="AR40" s="409"/>
      <c r="AS40" s="409"/>
      <c r="AT40" s="409"/>
      <c r="AU40" s="409"/>
      <c r="AV40" s="409"/>
      <c r="AW40" s="409"/>
      <c r="AX40" s="409"/>
      <c r="AY40" s="409"/>
      <c r="AZ40" s="409"/>
      <c r="BA40" s="409"/>
      <c r="BB40" s="409"/>
      <c r="BC40" s="409"/>
      <c r="BD40" s="409"/>
      <c r="BE40" s="409"/>
      <c r="BF40" s="409"/>
      <c r="BG40" s="409"/>
      <c r="BH40" s="409"/>
      <c r="BI40" s="409"/>
      <c r="BJ40" s="409"/>
      <c r="BK40" s="409"/>
      <c r="BL40" s="409"/>
      <c r="BM40" s="632"/>
      <c r="BN40" s="409" t="s">
        <v>805</v>
      </c>
      <c r="BO40" s="842">
        <v>1250008</v>
      </c>
      <c r="BP40" s="843">
        <v>9511.09</v>
      </c>
      <c r="BQ40" s="842">
        <v>1154914</v>
      </c>
      <c r="BR40" s="843">
        <v>13765.13</v>
      </c>
      <c r="BS40" s="840">
        <v>1154422</v>
      </c>
      <c r="BT40" s="841">
        <v>-1308.0999999999999</v>
      </c>
      <c r="BU40" s="435"/>
      <c r="BV40" s="779"/>
      <c r="BW40" s="936">
        <v>1555389</v>
      </c>
      <c r="BX40" s="937">
        <v>132.07</v>
      </c>
      <c r="BY40" s="219">
        <v>1250008</v>
      </c>
      <c r="BZ40" s="225">
        <v>12608.73</v>
      </c>
      <c r="CA40" s="496">
        <f t="shared" si="0"/>
        <v>1250008</v>
      </c>
      <c r="CB40" s="497">
        <f t="shared" si="1"/>
        <v>34708.92</v>
      </c>
      <c r="CD40" s="882"/>
      <c r="CE40" s="530"/>
      <c r="CF40" s="883"/>
      <c r="CG40" s="884"/>
      <c r="CH40" s="885"/>
      <c r="CI40" s="886"/>
    </row>
    <row r="41" spans="1:87" s="158" customFormat="1">
      <c r="A41" s="410">
        <v>98</v>
      </c>
      <c r="B41" s="410">
        <v>603</v>
      </c>
      <c r="C41" s="410" t="s">
        <v>648</v>
      </c>
      <c r="D41" s="410"/>
      <c r="E41" s="410"/>
      <c r="F41" s="410"/>
      <c r="G41" s="410"/>
      <c r="H41" s="410"/>
      <c r="I41" s="410"/>
      <c r="J41" s="410"/>
      <c r="K41" s="410"/>
      <c r="L41" s="410"/>
      <c r="M41" s="410"/>
      <c r="N41" s="410"/>
      <c r="O41" s="410" t="s">
        <v>650</v>
      </c>
      <c r="P41" s="410"/>
      <c r="Q41" s="410"/>
      <c r="R41" s="410"/>
      <c r="S41" s="410"/>
      <c r="T41" s="410"/>
      <c r="U41" s="410"/>
      <c r="V41" s="410"/>
      <c r="W41" s="410"/>
      <c r="X41" s="410"/>
      <c r="Y41" s="410"/>
      <c r="Z41" s="410"/>
      <c r="AA41" s="410"/>
      <c r="AB41" s="410"/>
      <c r="AC41" s="410"/>
      <c r="AD41" s="410"/>
      <c r="AE41" s="410"/>
      <c r="AF41" s="410"/>
      <c r="AG41" s="410"/>
      <c r="AH41" s="410"/>
      <c r="AI41" s="410"/>
      <c r="AJ41" s="410"/>
      <c r="AK41" s="410"/>
      <c r="AL41" s="410"/>
      <c r="AM41" s="410"/>
      <c r="AN41" s="410"/>
      <c r="AO41" s="410"/>
      <c r="AP41" s="410"/>
      <c r="AQ41" s="410"/>
      <c r="AR41" s="410"/>
      <c r="AS41" s="410"/>
      <c r="AT41" s="410"/>
      <c r="AU41" s="410"/>
      <c r="AV41" s="410"/>
      <c r="AW41" s="410"/>
      <c r="AX41" s="410"/>
      <c r="AY41" s="410"/>
      <c r="AZ41" s="410"/>
      <c r="BA41" s="410"/>
      <c r="BB41" s="410"/>
      <c r="BC41" s="410"/>
      <c r="BD41" s="410"/>
      <c r="BE41" s="410"/>
      <c r="BF41" s="410"/>
      <c r="BG41" s="410"/>
      <c r="BH41" s="410"/>
      <c r="BI41" s="410"/>
      <c r="BJ41" s="410"/>
      <c r="BK41" s="410"/>
      <c r="BL41" s="410"/>
      <c r="BM41" s="632"/>
      <c r="BN41" s="410" t="s">
        <v>806</v>
      </c>
      <c r="BO41" s="842">
        <v>1250009</v>
      </c>
      <c r="BP41" s="843">
        <v>5053.63</v>
      </c>
      <c r="BQ41" s="842">
        <v>1154937</v>
      </c>
      <c r="BR41" s="843">
        <v>14576.94</v>
      </c>
      <c r="BS41" s="840">
        <v>1256725</v>
      </c>
      <c r="BT41" s="841">
        <v>8313.49</v>
      </c>
      <c r="BU41" s="912">
        <v>1154507</v>
      </c>
      <c r="BV41" s="913">
        <v>488.25</v>
      </c>
      <c r="BW41" s="936">
        <v>1551063</v>
      </c>
      <c r="BX41" s="941">
        <v>132.07</v>
      </c>
      <c r="BY41" s="439">
        <v>1250009</v>
      </c>
      <c r="BZ41" s="440">
        <v>13776.86</v>
      </c>
      <c r="CA41" s="496">
        <f t="shared" si="0"/>
        <v>1250009</v>
      </c>
      <c r="CB41" s="497">
        <f>BX41+BV41+BT41+BR41+BP41+BZ41</f>
        <v>42341.240000000005</v>
      </c>
      <c r="CD41" s="439"/>
      <c r="CE41" s="492"/>
      <c r="CF41" s="437"/>
      <c r="CG41" s="778"/>
      <c r="CH41" s="496"/>
      <c r="CI41" s="497"/>
    </row>
    <row r="42" spans="1:87" s="158" customFormat="1">
      <c r="A42" s="409">
        <v>99</v>
      </c>
      <c r="B42" s="409">
        <v>914</v>
      </c>
      <c r="C42" s="409" t="s">
        <v>647</v>
      </c>
      <c r="D42" s="409">
        <v>2</v>
      </c>
      <c r="E42" s="409"/>
      <c r="F42" s="409"/>
      <c r="G42" s="409" t="s">
        <v>650</v>
      </c>
      <c r="H42" s="409"/>
      <c r="I42" s="409"/>
      <c r="J42" s="409"/>
      <c r="K42" s="409"/>
      <c r="L42" s="409"/>
      <c r="M42" s="409"/>
      <c r="N42" s="409"/>
      <c r="O42" s="409" t="s">
        <v>650</v>
      </c>
      <c r="P42" s="409"/>
      <c r="Q42" s="409"/>
      <c r="R42" s="409"/>
      <c r="S42" s="409"/>
      <c r="T42" s="409"/>
      <c r="U42" s="409"/>
      <c r="V42" s="409" t="s">
        <v>650</v>
      </c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  <c r="AO42" s="409"/>
      <c r="AP42" s="409"/>
      <c r="AQ42" s="409"/>
      <c r="AR42" s="409"/>
      <c r="AS42" s="409"/>
      <c r="AT42" s="409"/>
      <c r="AU42" s="409"/>
      <c r="AV42" s="409"/>
      <c r="AW42" s="409"/>
      <c r="AX42" s="409"/>
      <c r="AY42" s="409"/>
      <c r="AZ42" s="409"/>
      <c r="BA42" s="409"/>
      <c r="BB42" s="409"/>
      <c r="BC42" s="409"/>
      <c r="BD42" s="409"/>
      <c r="BE42" s="409"/>
      <c r="BF42" s="409"/>
      <c r="BG42" s="409"/>
      <c r="BH42" s="409"/>
      <c r="BI42" s="409"/>
      <c r="BJ42" s="409"/>
      <c r="BK42" s="409"/>
      <c r="BL42" s="409"/>
      <c r="BM42" s="632"/>
      <c r="BN42" s="409" t="s">
        <v>807</v>
      </c>
      <c r="BO42" s="433">
        <v>1228112</v>
      </c>
      <c r="BP42" s="434">
        <v>23367.87</v>
      </c>
      <c r="BQ42" s="433"/>
      <c r="BR42" s="633"/>
      <c r="BS42" s="840">
        <v>1228069</v>
      </c>
      <c r="BT42" s="942">
        <v>-1308.0999999999999</v>
      </c>
      <c r="BU42" s="435"/>
      <c r="BV42" s="779"/>
      <c r="BW42" s="441">
        <v>1555480</v>
      </c>
      <c r="BX42" s="634">
        <v>132.07</v>
      </c>
      <c r="BY42" s="439">
        <v>1228112</v>
      </c>
      <c r="BZ42" s="440">
        <v>12608.73</v>
      </c>
      <c r="CA42" s="496">
        <f t="shared" si="0"/>
        <v>1228112</v>
      </c>
      <c r="CB42" s="497">
        <f>BZ42+BX42+BV42+BT42+BR42+BP42</f>
        <v>34800.57</v>
      </c>
      <c r="CD42" s="882"/>
      <c r="CE42" s="530"/>
      <c r="CF42" s="883"/>
      <c r="CG42" s="884"/>
      <c r="CH42" s="885"/>
      <c r="CI42" s="886"/>
    </row>
    <row r="43" spans="1:87" s="158" customFormat="1">
      <c r="A43" s="410">
        <v>100</v>
      </c>
      <c r="B43" s="410">
        <v>914</v>
      </c>
      <c r="C43" s="410" t="s">
        <v>649</v>
      </c>
      <c r="D43" s="410"/>
      <c r="E43" s="410"/>
      <c r="F43" s="410"/>
      <c r="G43" s="410"/>
      <c r="H43" s="410"/>
      <c r="I43" s="410"/>
      <c r="J43" s="410"/>
      <c r="K43" s="410"/>
      <c r="L43" s="410"/>
      <c r="M43" s="410"/>
      <c r="N43" s="410"/>
      <c r="O43" s="410"/>
      <c r="P43" s="410"/>
      <c r="Q43" s="410"/>
      <c r="R43" s="410"/>
      <c r="S43" s="410"/>
      <c r="T43" s="410"/>
      <c r="U43" s="410"/>
      <c r="V43" s="410" t="s">
        <v>650</v>
      </c>
      <c r="W43" s="410"/>
      <c r="X43" s="410"/>
      <c r="Y43" s="410"/>
      <c r="Z43" s="410"/>
      <c r="AA43" s="410"/>
      <c r="AB43" s="410"/>
      <c r="AC43" s="410"/>
      <c r="AD43" s="410"/>
      <c r="AE43" s="410"/>
      <c r="AF43" s="410"/>
      <c r="AG43" s="410"/>
      <c r="AH43" s="410"/>
      <c r="AI43" s="410"/>
      <c r="AJ43" s="410"/>
      <c r="AK43" s="410"/>
      <c r="AL43" s="410"/>
      <c r="AM43" s="410"/>
      <c r="AN43" s="410"/>
      <c r="AO43" s="410"/>
      <c r="AP43" s="410"/>
      <c r="AQ43" s="410"/>
      <c r="AR43" s="410"/>
      <c r="AS43" s="410"/>
      <c r="AT43" s="410"/>
      <c r="AU43" s="410"/>
      <c r="AV43" s="410"/>
      <c r="AW43" s="410"/>
      <c r="AX43" s="410"/>
      <c r="AY43" s="410"/>
      <c r="AZ43" s="410"/>
      <c r="BA43" s="410"/>
      <c r="BB43" s="410"/>
      <c r="BC43" s="410"/>
      <c r="BD43" s="410"/>
      <c r="BE43" s="410"/>
      <c r="BF43" s="410"/>
      <c r="BG43" s="410"/>
      <c r="BH43" s="410"/>
      <c r="BI43" s="410"/>
      <c r="BJ43" s="410"/>
      <c r="BK43" s="410"/>
      <c r="BL43" s="410"/>
      <c r="BM43" s="632"/>
      <c r="BN43" s="410" t="s">
        <v>808</v>
      </c>
      <c r="BO43" s="842">
        <v>1250010</v>
      </c>
      <c r="BP43" s="843">
        <v>9511.09</v>
      </c>
      <c r="BQ43" s="842">
        <v>1154969</v>
      </c>
      <c r="BR43" s="843">
        <v>13765.13</v>
      </c>
      <c r="BS43" s="840">
        <v>1154628</v>
      </c>
      <c r="BT43" s="841">
        <v>1400.54</v>
      </c>
      <c r="BU43" s="435"/>
      <c r="BV43" s="779"/>
      <c r="BW43" s="441">
        <v>1555511</v>
      </c>
      <c r="BX43" s="634">
        <v>132.07</v>
      </c>
      <c r="BY43" s="219">
        <v>1250010</v>
      </c>
      <c r="BZ43" s="302">
        <v>12608.73</v>
      </c>
      <c r="CA43" s="496">
        <f t="shared" si="0"/>
        <v>1250010</v>
      </c>
      <c r="CB43" s="497">
        <f>BZ43+BX43+BV43+BT43+BR43+BP43</f>
        <v>37417.56</v>
      </c>
      <c r="CD43" s="882"/>
      <c r="CE43" s="530"/>
      <c r="CF43" s="883"/>
      <c r="CG43" s="884"/>
      <c r="CH43" s="885"/>
      <c r="CI43" s="886"/>
    </row>
    <row r="44" spans="1:87" s="158" customFormat="1">
      <c r="A44" s="907">
        <v>101</v>
      </c>
      <c r="B44" s="907">
        <v>603</v>
      </c>
      <c r="C44" s="907" t="s">
        <v>647</v>
      </c>
      <c r="D44" s="907"/>
      <c r="E44" s="907"/>
      <c r="F44" s="907"/>
      <c r="G44" s="907"/>
      <c r="H44" s="907"/>
      <c r="I44" s="907"/>
      <c r="J44" s="907"/>
      <c r="K44" s="907"/>
      <c r="L44" s="907"/>
      <c r="M44" s="907"/>
      <c r="N44" s="907"/>
      <c r="O44" s="907"/>
      <c r="P44" s="907"/>
      <c r="Q44" s="907"/>
      <c r="R44" s="907"/>
      <c r="S44" s="907"/>
      <c r="T44" s="907"/>
      <c r="U44" s="907"/>
      <c r="V44" s="907" t="s">
        <v>650</v>
      </c>
      <c r="W44" s="907"/>
      <c r="X44" s="907"/>
      <c r="Y44" s="907"/>
      <c r="Z44" s="907"/>
      <c r="AA44" s="907"/>
      <c r="AB44" s="907"/>
      <c r="AC44" s="907"/>
      <c r="AD44" s="907"/>
      <c r="AE44" s="907"/>
      <c r="AF44" s="907"/>
      <c r="AG44" s="907"/>
      <c r="AH44" s="907"/>
      <c r="AI44" s="907"/>
      <c r="AJ44" s="907"/>
      <c r="AK44" s="907"/>
      <c r="AL44" s="907"/>
      <c r="AM44" s="907"/>
      <c r="AN44" s="907"/>
      <c r="AO44" s="907"/>
      <c r="AP44" s="907"/>
      <c r="AQ44" s="907"/>
      <c r="AR44" s="907"/>
      <c r="AS44" s="907"/>
      <c r="AT44" s="907"/>
      <c r="AU44" s="907"/>
      <c r="AV44" s="907"/>
      <c r="AW44" s="907"/>
      <c r="AX44" s="907"/>
      <c r="AY44" s="907"/>
      <c r="AZ44" s="907"/>
      <c r="BA44" s="907"/>
      <c r="BB44" s="907"/>
      <c r="BC44" s="907"/>
      <c r="BD44" s="907"/>
      <c r="BE44" s="907"/>
      <c r="BF44" s="907"/>
      <c r="BG44" s="907"/>
      <c r="BH44" s="907"/>
      <c r="BI44" s="907"/>
      <c r="BJ44" s="907"/>
      <c r="BK44" s="907"/>
      <c r="BL44" s="907"/>
      <c r="BM44" s="908"/>
      <c r="BN44" s="907" t="s">
        <v>809</v>
      </c>
      <c r="BO44" s="935">
        <v>1250011</v>
      </c>
      <c r="BP44" s="860">
        <v>13367.12</v>
      </c>
      <c r="BQ44" s="842">
        <v>1154998</v>
      </c>
      <c r="BR44" s="843">
        <v>14576.94</v>
      </c>
      <c r="BS44" s="840">
        <v>1154662</v>
      </c>
      <c r="BT44" s="934">
        <v>-4473.8599999999997</v>
      </c>
      <c r="BU44" s="435"/>
      <c r="BV44" s="539"/>
      <c r="BW44" s="441">
        <v>1551066</v>
      </c>
      <c r="BX44" s="491">
        <v>132.07</v>
      </c>
      <c r="BY44" s="219">
        <v>1250011</v>
      </c>
      <c r="BZ44" s="225">
        <v>13776.86</v>
      </c>
      <c r="CA44" s="496"/>
      <c r="CB44" s="497">
        <f>BZ44+BX44+BV44+BT44+BR44+BP44</f>
        <v>37379.130000000005</v>
      </c>
      <c r="CD44" s="882"/>
      <c r="CE44" s="530"/>
      <c r="CF44" s="883"/>
      <c r="CG44" s="884"/>
      <c r="CH44" s="885"/>
      <c r="CI44" s="886"/>
    </row>
    <row r="45" spans="1:87"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903"/>
      <c r="CB45" s="903"/>
      <c r="CD45" s="5"/>
      <c r="CE45" s="504"/>
      <c r="CF45" s="5"/>
      <c r="CG45" s="904"/>
      <c r="CH45" s="903"/>
      <c r="CI45" s="903"/>
    </row>
    <row r="46" spans="1:87"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D46" s="5"/>
      <c r="CE46" s="504"/>
      <c r="CF46" s="5"/>
      <c r="CG46" s="904"/>
      <c r="CH46" s="903"/>
      <c r="CI46" s="903"/>
    </row>
    <row r="47" spans="1:87"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903"/>
      <c r="CB47" s="903"/>
      <c r="CD47" s="5"/>
      <c r="CE47" s="504"/>
      <c r="CF47" s="5"/>
      <c r="CG47" s="904"/>
      <c r="CH47" s="903"/>
      <c r="CI47" s="903"/>
    </row>
    <row r="48" spans="1:87"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903"/>
      <c r="CB48" s="903"/>
      <c r="CD48" s="5"/>
      <c r="CE48" s="504"/>
      <c r="CF48" s="5"/>
      <c r="CG48" s="904"/>
      <c r="CH48" s="903"/>
      <c r="CI48" s="903"/>
    </row>
    <row r="49" spans="79:87" s="5" customFormat="1">
      <c r="CA49" s="903"/>
      <c r="CB49" s="903"/>
      <c r="CE49" s="504"/>
      <c r="CG49" s="904"/>
      <c r="CH49" s="903"/>
      <c r="CI49" s="903"/>
    </row>
    <row r="50" spans="79:87" s="5" customFormat="1">
      <c r="CA50" s="903"/>
      <c r="CB50" s="903"/>
      <c r="CE50" s="504"/>
      <c r="CG50" s="904"/>
      <c r="CH50" s="903"/>
      <c r="CI50" s="903"/>
    </row>
    <row r="51" spans="79:87" s="5" customFormat="1">
      <c r="CA51" s="903"/>
      <c r="CB51" s="903"/>
      <c r="CE51" s="504"/>
      <c r="CG51" s="904"/>
      <c r="CH51" s="903"/>
      <c r="CI51" s="903"/>
    </row>
    <row r="52" spans="79:87" s="5" customFormat="1">
      <c r="CA52" s="903"/>
      <c r="CB52" s="903"/>
      <c r="CE52" s="504"/>
      <c r="CG52" s="904"/>
      <c r="CH52" s="903"/>
      <c r="CI52" s="903"/>
    </row>
    <row r="53" spans="79:87" s="5" customFormat="1">
      <c r="CA53" s="903"/>
      <c r="CB53" s="903"/>
      <c r="CE53" s="504"/>
      <c r="CG53" s="904"/>
      <c r="CH53" s="903"/>
      <c r="CI53" s="903"/>
    </row>
    <row r="54" spans="79:87" s="5" customFormat="1">
      <c r="CA54" s="903"/>
      <c r="CB54" s="903"/>
      <c r="CE54" s="504"/>
      <c r="CG54" s="904"/>
      <c r="CH54" s="903"/>
      <c r="CI54" s="903"/>
    </row>
    <row r="55" spans="79:87" s="5" customFormat="1">
      <c r="CA55" s="903"/>
      <c r="CB55" s="903"/>
      <c r="CE55" s="504"/>
      <c r="CG55" s="904"/>
      <c r="CH55" s="903"/>
      <c r="CI55" s="903"/>
    </row>
    <row r="56" spans="79:87" s="5" customFormat="1">
      <c r="CA56" s="903"/>
      <c r="CB56" s="903"/>
      <c r="CE56" s="504"/>
      <c r="CG56" s="904"/>
      <c r="CH56" s="903"/>
      <c r="CI56" s="903"/>
    </row>
    <row r="57" spans="79:87" s="5" customFormat="1">
      <c r="CA57" s="903"/>
      <c r="CB57" s="903"/>
      <c r="CE57" s="504"/>
      <c r="CG57" s="904"/>
      <c r="CH57" s="903"/>
      <c r="CI57" s="903"/>
    </row>
    <row r="58" spans="79:87" s="5" customFormat="1">
      <c r="CA58" s="903"/>
      <c r="CB58" s="903"/>
      <c r="CE58" s="504"/>
      <c r="CG58" s="904"/>
      <c r="CH58" s="903"/>
      <c r="CI58" s="903"/>
    </row>
    <row r="59" spans="79:87" s="5" customFormat="1">
      <c r="CA59" s="903"/>
      <c r="CB59" s="903"/>
      <c r="CE59" s="504"/>
      <c r="CG59" s="904"/>
      <c r="CH59" s="903"/>
      <c r="CI59" s="903"/>
    </row>
    <row r="60" spans="79:87" s="5" customFormat="1">
      <c r="CA60" s="903"/>
      <c r="CB60" s="903"/>
      <c r="CE60" s="504"/>
      <c r="CG60" s="904"/>
      <c r="CH60" s="903"/>
      <c r="CI60" s="903"/>
    </row>
    <row r="61" spans="79:87" s="5" customFormat="1">
      <c r="CA61" s="903"/>
      <c r="CB61" s="903"/>
      <c r="CE61" s="504"/>
      <c r="CG61" s="904"/>
      <c r="CH61" s="903"/>
      <c r="CI61" s="903"/>
    </row>
    <row r="62" spans="79:87" s="5" customFormat="1">
      <c r="CA62" s="903"/>
      <c r="CB62" s="903"/>
      <c r="CE62" s="504"/>
      <c r="CG62" s="904"/>
      <c r="CH62" s="903"/>
      <c r="CI62" s="903"/>
    </row>
    <row r="63" spans="79:87" s="5" customFormat="1">
      <c r="CA63" s="903"/>
      <c r="CB63" s="903"/>
      <c r="CE63" s="504"/>
      <c r="CG63" s="904"/>
      <c r="CH63" s="903"/>
      <c r="CI63" s="903"/>
    </row>
    <row r="64" spans="79:87" s="5" customFormat="1">
      <c r="CA64" s="903"/>
      <c r="CB64" s="903"/>
      <c r="CE64" s="504"/>
      <c r="CG64" s="904"/>
      <c r="CH64" s="903"/>
      <c r="CI64" s="903"/>
    </row>
    <row r="65" spans="79:87" s="5" customFormat="1">
      <c r="CA65" s="903"/>
      <c r="CB65" s="903"/>
      <c r="CE65" s="504"/>
      <c r="CG65" s="904"/>
      <c r="CH65" s="903"/>
      <c r="CI65" s="903"/>
    </row>
    <row r="66" spans="79:87" s="5" customFormat="1">
      <c r="CA66" s="903"/>
      <c r="CB66" s="903"/>
      <c r="CE66" s="504"/>
      <c r="CG66" s="904"/>
      <c r="CH66" s="903"/>
      <c r="CI66" s="903"/>
    </row>
    <row r="67" spans="79:87" s="5" customFormat="1">
      <c r="CA67" s="903"/>
      <c r="CB67" s="903"/>
      <c r="CE67" s="504"/>
      <c r="CG67" s="904"/>
      <c r="CH67" s="903"/>
      <c r="CI67" s="903"/>
    </row>
    <row r="68" spans="79:87" s="5" customFormat="1">
      <c r="CA68" s="903"/>
      <c r="CB68" s="903"/>
      <c r="CE68" s="504"/>
      <c r="CG68" s="904"/>
      <c r="CH68" s="903"/>
      <c r="CI68" s="903"/>
    </row>
    <row r="69" spans="79:87" s="5" customFormat="1">
      <c r="CA69" s="903"/>
      <c r="CB69" s="903"/>
      <c r="CE69" s="504"/>
      <c r="CG69" s="904"/>
      <c r="CH69" s="903"/>
      <c r="CI69" s="903"/>
    </row>
    <row r="70" spans="79:87" s="5" customFormat="1">
      <c r="CA70" s="903"/>
      <c r="CB70" s="903"/>
      <c r="CE70" s="504"/>
      <c r="CG70" s="904"/>
      <c r="CH70" s="903"/>
      <c r="CI70" s="903"/>
    </row>
    <row r="71" spans="79:87" s="5" customFormat="1">
      <c r="CA71" s="903"/>
      <c r="CB71" s="903"/>
      <c r="CE71" s="504"/>
      <c r="CG71" s="904"/>
      <c r="CH71" s="903"/>
      <c r="CI71" s="903"/>
    </row>
    <row r="72" spans="79:87" s="5" customFormat="1">
      <c r="CA72" s="903"/>
      <c r="CB72" s="903"/>
      <c r="CE72" s="504"/>
      <c r="CG72" s="904"/>
      <c r="CH72" s="903"/>
      <c r="CI72" s="903"/>
    </row>
    <row r="73" spans="79:87" s="5" customFormat="1">
      <c r="CA73" s="903"/>
      <c r="CB73" s="903"/>
      <c r="CE73" s="504"/>
      <c r="CG73" s="904"/>
      <c r="CH73" s="903"/>
      <c r="CI73" s="903"/>
    </row>
    <row r="74" spans="79:87" s="5" customFormat="1">
      <c r="CA74" s="903"/>
      <c r="CB74" s="903"/>
      <c r="CE74" s="504"/>
      <c r="CG74" s="904"/>
      <c r="CH74" s="903"/>
      <c r="CI74" s="903"/>
    </row>
    <row r="75" spans="79:87" s="5" customFormat="1">
      <c r="CA75" s="903"/>
      <c r="CB75" s="903"/>
      <c r="CE75" s="504"/>
      <c r="CG75" s="904"/>
      <c r="CH75" s="903"/>
      <c r="CI75" s="903"/>
    </row>
    <row r="76" spans="79:87" s="5" customFormat="1">
      <c r="CA76" s="903"/>
      <c r="CB76" s="903"/>
      <c r="CE76" s="504"/>
      <c r="CG76" s="904"/>
      <c r="CH76" s="903"/>
      <c r="CI76" s="903"/>
    </row>
    <row r="77" spans="79:87" s="5" customFormat="1">
      <c r="CA77" s="903"/>
      <c r="CB77" s="903"/>
      <c r="CE77" s="504"/>
      <c r="CG77" s="904"/>
      <c r="CH77" s="903"/>
      <c r="CI77" s="903"/>
    </row>
    <row r="78" spans="79:87" s="5" customFormat="1">
      <c r="CA78" s="903"/>
      <c r="CB78" s="903"/>
      <c r="CE78" s="504"/>
      <c r="CG78" s="904"/>
      <c r="CH78" s="903"/>
      <c r="CI78" s="903"/>
    </row>
    <row r="79" spans="79:87" s="5" customFormat="1">
      <c r="CA79" s="903"/>
      <c r="CB79" s="903"/>
      <c r="CE79" s="504"/>
      <c r="CG79" s="904"/>
      <c r="CH79" s="903"/>
      <c r="CI79" s="903"/>
    </row>
    <row r="80" spans="79:87" s="5" customFormat="1">
      <c r="CA80" s="903"/>
      <c r="CB80" s="903"/>
      <c r="CE80" s="504"/>
      <c r="CG80" s="904"/>
      <c r="CH80" s="903"/>
      <c r="CI80" s="903"/>
    </row>
    <row r="81" spans="79:87" s="5" customFormat="1">
      <c r="CA81" s="903"/>
      <c r="CB81" s="903"/>
      <c r="CE81" s="504"/>
      <c r="CG81" s="904"/>
      <c r="CH81" s="903"/>
      <c r="CI81" s="903"/>
    </row>
    <row r="82" spans="79:87" s="5" customFormat="1">
      <c r="CA82" s="903"/>
      <c r="CB82" s="903"/>
      <c r="CE82" s="504"/>
      <c r="CG82" s="904"/>
      <c r="CH82" s="903"/>
      <c r="CI82" s="903"/>
    </row>
    <row r="83" spans="79:87" s="5" customFormat="1">
      <c r="CA83" s="903"/>
      <c r="CB83" s="903"/>
      <c r="CE83" s="504"/>
      <c r="CG83" s="904"/>
      <c r="CH83" s="903"/>
      <c r="CI83" s="903"/>
    </row>
    <row r="84" spans="79:87" s="5" customFormat="1">
      <c r="CA84" s="903"/>
      <c r="CB84" s="903"/>
      <c r="CE84" s="504"/>
      <c r="CG84" s="904"/>
      <c r="CH84" s="903"/>
      <c r="CI84" s="903"/>
    </row>
    <row r="85" spans="79:87" s="5" customFormat="1">
      <c r="CA85" s="903"/>
      <c r="CB85" s="903"/>
      <c r="CE85" s="504"/>
      <c r="CG85" s="904"/>
      <c r="CH85" s="903"/>
      <c r="CI85" s="903"/>
    </row>
    <row r="86" spans="79:87" s="5" customFormat="1">
      <c r="CA86" s="903"/>
      <c r="CB86" s="903"/>
      <c r="CE86" s="504"/>
      <c r="CG86" s="904"/>
      <c r="CH86" s="903"/>
      <c r="CI86" s="903"/>
    </row>
    <row r="87" spans="79:87" s="5" customFormat="1">
      <c r="CA87" s="903"/>
      <c r="CB87" s="903"/>
      <c r="CE87" s="504"/>
      <c r="CG87" s="904"/>
      <c r="CH87" s="903"/>
      <c r="CI87" s="903"/>
    </row>
    <row r="88" spans="79:87" s="5" customFormat="1">
      <c r="CA88" s="903"/>
      <c r="CB88" s="903"/>
      <c r="CE88" s="504"/>
      <c r="CG88" s="904"/>
      <c r="CH88" s="903"/>
      <c r="CI88" s="903"/>
    </row>
    <row r="89" spans="79:87" s="5" customFormat="1">
      <c r="CA89" s="903"/>
      <c r="CB89" s="903"/>
      <c r="CE89" s="504"/>
      <c r="CG89" s="904"/>
      <c r="CH89" s="903"/>
      <c r="CI89" s="903"/>
    </row>
    <row r="90" spans="79:87" s="5" customFormat="1">
      <c r="CA90" s="903"/>
      <c r="CB90" s="903"/>
      <c r="CE90" s="504"/>
      <c r="CG90" s="904"/>
      <c r="CH90" s="903"/>
      <c r="CI90" s="903"/>
    </row>
    <row r="91" spans="79:87" s="5" customFormat="1">
      <c r="CA91" s="903"/>
      <c r="CB91" s="903"/>
      <c r="CE91" s="504"/>
      <c r="CG91" s="904"/>
      <c r="CH91" s="903"/>
      <c r="CI91" s="903"/>
    </row>
    <row r="92" spans="79:87" s="5" customFormat="1">
      <c r="CA92" s="903"/>
      <c r="CB92" s="903"/>
      <c r="CE92" s="504"/>
      <c r="CG92" s="904"/>
      <c r="CH92" s="903"/>
      <c r="CI92" s="903"/>
    </row>
    <row r="93" spans="79:87" s="5" customFormat="1">
      <c r="CA93" s="903"/>
      <c r="CB93" s="903"/>
      <c r="CE93" s="504"/>
      <c r="CG93" s="904"/>
      <c r="CH93" s="903"/>
      <c r="CI93" s="903"/>
    </row>
    <row r="94" spans="79:87" s="5" customFormat="1">
      <c r="CA94" s="903"/>
      <c r="CB94" s="903"/>
      <c r="CE94" s="504"/>
      <c r="CG94" s="904"/>
      <c r="CH94" s="903"/>
      <c r="CI94" s="903"/>
    </row>
    <row r="95" spans="79:87" s="5" customFormat="1">
      <c r="CA95" s="903"/>
      <c r="CB95" s="903"/>
      <c r="CE95" s="504"/>
      <c r="CG95" s="904"/>
      <c r="CH95" s="903"/>
      <c r="CI95" s="903"/>
    </row>
    <row r="96" spans="79:87" s="5" customFormat="1">
      <c r="CA96" s="903"/>
      <c r="CB96" s="903"/>
      <c r="CE96" s="504"/>
      <c r="CG96" s="904"/>
      <c r="CH96" s="903"/>
      <c r="CI96" s="903"/>
    </row>
    <row r="97" spans="79:87" s="5" customFormat="1">
      <c r="CA97" s="903"/>
      <c r="CB97" s="903"/>
      <c r="CE97" s="504"/>
      <c r="CG97" s="904"/>
      <c r="CH97" s="903"/>
      <c r="CI97" s="903"/>
    </row>
    <row r="98" spans="79:87" s="5" customFormat="1">
      <c r="CA98" s="903"/>
      <c r="CB98" s="903"/>
      <c r="CE98" s="504"/>
      <c r="CG98" s="904"/>
      <c r="CH98" s="903"/>
      <c r="CI98" s="903"/>
    </row>
    <row r="99" spans="79:87" s="5" customFormat="1">
      <c r="CA99" s="903"/>
      <c r="CB99" s="903"/>
      <c r="CE99" s="504"/>
      <c r="CG99" s="904"/>
      <c r="CH99" s="903"/>
      <c r="CI99" s="903"/>
    </row>
    <row r="100" spans="79:87" s="5" customFormat="1">
      <c r="CA100" s="903"/>
      <c r="CB100" s="903"/>
      <c r="CE100" s="504"/>
      <c r="CG100" s="904"/>
      <c r="CH100" s="903"/>
      <c r="CI100" s="903"/>
    </row>
    <row r="101" spans="79:87" s="5" customFormat="1">
      <c r="CA101" s="903"/>
      <c r="CB101" s="903"/>
      <c r="CE101" s="504"/>
      <c r="CG101" s="904"/>
      <c r="CH101" s="903"/>
      <c r="CI101" s="903"/>
    </row>
    <row r="102" spans="79:87" s="5" customFormat="1">
      <c r="CA102" s="903"/>
      <c r="CB102" s="903"/>
      <c r="CE102" s="504"/>
      <c r="CG102" s="904"/>
      <c r="CH102" s="903"/>
      <c r="CI102" s="903"/>
    </row>
    <row r="103" spans="79:87" s="5" customFormat="1">
      <c r="CA103" s="903"/>
      <c r="CB103" s="903"/>
      <c r="CE103" s="504"/>
      <c r="CG103" s="904"/>
      <c r="CH103" s="903"/>
      <c r="CI103" s="903"/>
    </row>
    <row r="104" spans="79:87" s="5" customFormat="1">
      <c r="CA104" s="903"/>
      <c r="CB104" s="903"/>
      <c r="CE104" s="504"/>
      <c r="CG104" s="904"/>
      <c r="CH104" s="903"/>
      <c r="CI104" s="903"/>
    </row>
    <row r="105" spans="79:87" s="5" customFormat="1">
      <c r="CA105" s="903"/>
      <c r="CB105" s="903"/>
      <c r="CE105" s="504"/>
      <c r="CG105" s="904"/>
      <c r="CH105" s="903"/>
      <c r="CI105" s="903"/>
    </row>
    <row r="106" spans="79:87" s="5" customFormat="1">
      <c r="CA106" s="903"/>
      <c r="CB106" s="903"/>
      <c r="CE106" s="504"/>
      <c r="CG106" s="904"/>
      <c r="CH106" s="903"/>
      <c r="CI106" s="903"/>
    </row>
    <row r="107" spans="79:87" s="5" customFormat="1">
      <c r="CA107" s="903"/>
      <c r="CB107" s="903"/>
      <c r="CE107" s="504"/>
      <c r="CG107" s="904"/>
      <c r="CH107" s="903"/>
      <c r="CI107" s="903"/>
    </row>
    <row r="108" spans="79:87" s="5" customFormat="1">
      <c r="CA108" s="903"/>
      <c r="CB108" s="903"/>
      <c r="CE108" s="504"/>
      <c r="CG108" s="904"/>
      <c r="CH108" s="903"/>
      <c r="CI108" s="903"/>
    </row>
    <row r="109" spans="79:87" s="5" customFormat="1">
      <c r="CA109" s="903"/>
      <c r="CB109" s="903"/>
      <c r="CE109" s="504"/>
      <c r="CG109" s="904"/>
      <c r="CH109" s="903"/>
      <c r="CI109" s="903"/>
    </row>
    <row r="110" spans="79:87" s="5" customFormat="1">
      <c r="CA110" s="903"/>
      <c r="CB110" s="903"/>
      <c r="CE110" s="504"/>
      <c r="CG110" s="904"/>
      <c r="CH110" s="903"/>
      <c r="CI110" s="903"/>
    </row>
    <row r="111" spans="79:87" s="5" customFormat="1">
      <c r="CA111" s="903"/>
      <c r="CB111" s="903"/>
      <c r="CE111" s="504"/>
      <c r="CG111" s="904"/>
      <c r="CH111" s="903"/>
      <c r="CI111" s="903"/>
    </row>
    <row r="112" spans="79:87" s="5" customFormat="1">
      <c r="CA112" s="903"/>
      <c r="CB112" s="903"/>
      <c r="CE112" s="504"/>
      <c r="CG112" s="904"/>
      <c r="CH112" s="903"/>
      <c r="CI112" s="903"/>
    </row>
    <row r="113" spans="79:87" s="5" customFormat="1">
      <c r="CA113" s="903"/>
      <c r="CB113" s="903"/>
      <c r="CE113" s="504"/>
      <c r="CG113" s="904"/>
      <c r="CH113" s="903"/>
      <c r="CI113" s="903"/>
    </row>
    <row r="114" spans="79:87" s="5" customFormat="1">
      <c r="CA114" s="903"/>
      <c r="CB114" s="903"/>
      <c r="CE114" s="504"/>
      <c r="CG114" s="904"/>
      <c r="CH114" s="903"/>
      <c r="CI114" s="903"/>
    </row>
    <row r="115" spans="79:87" s="5" customFormat="1">
      <c r="CA115" s="903"/>
      <c r="CB115" s="903"/>
      <c r="CE115" s="504"/>
      <c r="CG115" s="904"/>
      <c r="CH115" s="903"/>
      <c r="CI115" s="903"/>
    </row>
    <row r="116" spans="79:87" s="5" customFormat="1">
      <c r="CA116" s="903"/>
      <c r="CB116" s="903"/>
      <c r="CE116" s="504"/>
      <c r="CG116" s="904"/>
      <c r="CH116" s="903"/>
      <c r="CI116" s="903"/>
    </row>
    <row r="117" spans="79:87" s="5" customFormat="1">
      <c r="CA117" s="903"/>
      <c r="CB117" s="903"/>
      <c r="CE117" s="504"/>
      <c r="CG117" s="904"/>
      <c r="CH117" s="903"/>
      <c r="CI117" s="903"/>
    </row>
    <row r="118" spans="79:87" s="5" customFormat="1">
      <c r="CA118" s="903"/>
      <c r="CB118" s="903"/>
      <c r="CE118" s="504"/>
      <c r="CG118" s="904"/>
      <c r="CH118" s="903"/>
      <c r="CI118" s="903"/>
    </row>
    <row r="119" spans="79:87" s="5" customFormat="1">
      <c r="CA119" s="903"/>
      <c r="CB119" s="903"/>
      <c r="CE119" s="504"/>
      <c r="CG119" s="904"/>
      <c r="CH119" s="903"/>
      <c r="CI119" s="903"/>
    </row>
    <row r="120" spans="79:87" s="5" customFormat="1">
      <c r="CA120" s="903"/>
      <c r="CB120" s="903"/>
      <c r="CE120" s="504"/>
      <c r="CG120" s="904"/>
      <c r="CH120" s="903"/>
      <c r="CI120" s="903"/>
    </row>
    <row r="121" spans="79:87" s="5" customFormat="1">
      <c r="CA121" s="903"/>
      <c r="CB121" s="903"/>
      <c r="CE121" s="504"/>
      <c r="CG121" s="904"/>
      <c r="CH121" s="903"/>
      <c r="CI121" s="903"/>
    </row>
    <row r="122" spans="79:87" s="5" customFormat="1">
      <c r="CA122" s="903"/>
      <c r="CB122" s="903"/>
      <c r="CE122" s="504"/>
      <c r="CG122" s="904"/>
      <c r="CH122" s="903"/>
      <c r="CI122" s="903"/>
    </row>
    <row r="123" spans="79:87" s="5" customFormat="1">
      <c r="CA123" s="903"/>
      <c r="CB123" s="903"/>
      <c r="CE123" s="504"/>
      <c r="CG123" s="904"/>
      <c r="CH123" s="903"/>
      <c r="CI123" s="903"/>
    </row>
    <row r="124" spans="79:87" s="5" customFormat="1">
      <c r="CA124" s="903"/>
      <c r="CB124" s="903"/>
      <c r="CE124" s="504"/>
      <c r="CG124" s="904"/>
      <c r="CH124" s="903"/>
      <c r="CI124" s="903"/>
    </row>
    <row r="125" spans="79:87" s="5" customFormat="1">
      <c r="CA125" s="903"/>
      <c r="CB125" s="903"/>
      <c r="CE125" s="504"/>
      <c r="CG125" s="904"/>
      <c r="CH125" s="903"/>
      <c r="CI125" s="903"/>
    </row>
    <row r="126" spans="79:87" s="5" customFormat="1">
      <c r="CA126" s="903"/>
      <c r="CB126" s="903"/>
      <c r="CE126" s="504"/>
      <c r="CG126" s="904"/>
      <c r="CH126" s="903"/>
      <c r="CI126" s="903"/>
    </row>
    <row r="127" spans="79:87" s="5" customFormat="1">
      <c r="CA127" s="903"/>
      <c r="CB127" s="903"/>
      <c r="CE127" s="504"/>
      <c r="CG127" s="904"/>
      <c r="CH127" s="903"/>
      <c r="CI127" s="903"/>
    </row>
    <row r="128" spans="79:87" s="5" customFormat="1">
      <c r="CA128" s="903"/>
      <c r="CB128" s="903"/>
      <c r="CE128" s="504"/>
      <c r="CG128" s="904"/>
      <c r="CH128" s="903"/>
      <c r="CI128" s="903"/>
    </row>
    <row r="129" spans="79:87" s="5" customFormat="1">
      <c r="CA129" s="903"/>
      <c r="CB129" s="903"/>
      <c r="CE129" s="504"/>
      <c r="CG129" s="904"/>
      <c r="CH129" s="903"/>
      <c r="CI129" s="903"/>
    </row>
    <row r="130" spans="79:87" s="5" customFormat="1">
      <c r="CA130" s="903"/>
      <c r="CB130" s="903"/>
      <c r="CE130" s="504"/>
      <c r="CG130" s="904"/>
      <c r="CH130" s="903"/>
      <c r="CI130" s="903"/>
    </row>
    <row r="131" spans="79:87" s="5" customFormat="1">
      <c r="CA131" s="903"/>
      <c r="CB131" s="903"/>
      <c r="CE131" s="504"/>
      <c r="CG131" s="904"/>
      <c r="CH131" s="903"/>
      <c r="CI131" s="903"/>
    </row>
    <row r="132" spans="79:87" s="5" customFormat="1">
      <c r="CA132" s="903"/>
      <c r="CB132" s="903"/>
      <c r="CE132" s="504"/>
      <c r="CG132" s="904"/>
      <c r="CH132" s="903"/>
      <c r="CI132" s="903"/>
    </row>
    <row r="133" spans="79:87" s="5" customFormat="1">
      <c r="CA133" s="903"/>
      <c r="CB133" s="903"/>
      <c r="CE133" s="504"/>
      <c r="CG133" s="904"/>
      <c r="CH133" s="903"/>
      <c r="CI133" s="903"/>
    </row>
    <row r="134" spans="79:87" s="5" customFormat="1">
      <c r="CA134" s="903"/>
      <c r="CB134" s="903"/>
      <c r="CE134" s="504"/>
      <c r="CG134" s="904"/>
      <c r="CH134" s="903"/>
      <c r="CI134" s="903"/>
    </row>
    <row r="135" spans="79:87" s="5" customFormat="1">
      <c r="CA135" s="903"/>
      <c r="CB135" s="903"/>
      <c r="CE135" s="504"/>
      <c r="CG135" s="904"/>
      <c r="CH135" s="903"/>
      <c r="CI135" s="903"/>
    </row>
    <row r="136" spans="79:87" s="5" customFormat="1">
      <c r="CA136" s="903"/>
      <c r="CB136" s="903"/>
      <c r="CE136" s="504"/>
      <c r="CG136" s="904"/>
      <c r="CH136" s="903"/>
      <c r="CI136" s="903"/>
    </row>
    <row r="137" spans="79:87" s="5" customFormat="1">
      <c r="CA137" s="903"/>
      <c r="CB137" s="903"/>
      <c r="CE137" s="504"/>
      <c r="CG137" s="904"/>
      <c r="CH137" s="903"/>
      <c r="CI137" s="903"/>
    </row>
    <row r="138" spans="79:87" s="5" customFormat="1">
      <c r="CA138" s="903"/>
      <c r="CB138" s="903"/>
      <c r="CE138" s="504"/>
      <c r="CG138" s="904"/>
      <c r="CH138" s="903"/>
      <c r="CI138" s="903"/>
    </row>
    <row r="139" spans="79:87" s="5" customFormat="1">
      <c r="CA139" s="903"/>
      <c r="CB139" s="903"/>
      <c r="CE139" s="504"/>
      <c r="CG139" s="904"/>
      <c r="CH139" s="903"/>
      <c r="CI139" s="903"/>
    </row>
    <row r="140" spans="79:87" s="5" customFormat="1">
      <c r="CA140" s="903"/>
      <c r="CB140" s="903"/>
      <c r="CE140" s="504"/>
      <c r="CG140" s="904"/>
      <c r="CH140" s="903"/>
      <c r="CI140" s="903"/>
    </row>
    <row r="141" spans="79:87" s="5" customFormat="1">
      <c r="CA141" s="903"/>
      <c r="CB141" s="903"/>
      <c r="CE141" s="504"/>
      <c r="CG141" s="904"/>
      <c r="CH141" s="903"/>
      <c r="CI141" s="903"/>
    </row>
    <row r="142" spans="79:87" s="5" customFormat="1">
      <c r="CA142" s="903"/>
      <c r="CB142" s="903"/>
      <c r="CE142" s="504"/>
      <c r="CG142" s="904"/>
      <c r="CH142" s="903"/>
      <c r="CI142" s="903"/>
    </row>
    <row r="143" spans="79:87" s="5" customFormat="1">
      <c r="CA143" s="903"/>
      <c r="CB143" s="903"/>
      <c r="CE143" s="504"/>
      <c r="CG143" s="904"/>
      <c r="CH143" s="903"/>
      <c r="CI143" s="903"/>
    </row>
    <row r="144" spans="79:87" s="5" customFormat="1">
      <c r="CA144" s="903"/>
      <c r="CB144" s="903"/>
      <c r="CE144" s="504"/>
      <c r="CG144" s="904"/>
      <c r="CH144" s="903"/>
      <c r="CI144" s="903"/>
    </row>
    <row r="145" spans="79:87" s="5" customFormat="1">
      <c r="CA145" s="903"/>
      <c r="CB145" s="903"/>
      <c r="CE145" s="504"/>
      <c r="CG145" s="904"/>
      <c r="CH145" s="903"/>
      <c r="CI145" s="903"/>
    </row>
    <row r="146" spans="79:87" s="5" customFormat="1">
      <c r="CA146" s="903"/>
      <c r="CB146" s="903"/>
      <c r="CE146" s="504"/>
      <c r="CG146" s="904"/>
      <c r="CH146" s="903"/>
      <c r="CI146" s="903"/>
    </row>
    <row r="147" spans="79:87" s="5" customFormat="1">
      <c r="CA147" s="903"/>
      <c r="CB147" s="903"/>
      <c r="CE147" s="504"/>
      <c r="CG147" s="904"/>
      <c r="CH147" s="903"/>
      <c r="CI147" s="903"/>
    </row>
    <row r="148" spans="79:87" s="5" customFormat="1">
      <c r="CA148" s="903"/>
      <c r="CB148" s="903"/>
      <c r="CE148" s="504"/>
      <c r="CG148" s="904"/>
      <c r="CH148" s="903"/>
      <c r="CI148" s="903"/>
    </row>
    <row r="149" spans="79:87" s="5" customFormat="1">
      <c r="CA149" s="903"/>
      <c r="CB149" s="903"/>
      <c r="CE149" s="504"/>
      <c r="CG149" s="904"/>
      <c r="CH149" s="903"/>
      <c r="CI149" s="903"/>
    </row>
    <row r="150" spans="79:87" s="5" customFormat="1">
      <c r="CA150" s="903"/>
      <c r="CB150" s="903"/>
      <c r="CE150" s="504"/>
      <c r="CG150" s="904"/>
      <c r="CH150" s="903"/>
      <c r="CI150" s="903"/>
    </row>
    <row r="151" spans="79:87" s="5" customFormat="1">
      <c r="CA151" s="903"/>
      <c r="CB151" s="903"/>
      <c r="CE151" s="504"/>
      <c r="CG151" s="904"/>
      <c r="CH151" s="903"/>
      <c r="CI151" s="903"/>
    </row>
    <row r="152" spans="79:87" s="5" customFormat="1">
      <c r="CA152" s="903"/>
      <c r="CB152" s="903"/>
      <c r="CE152" s="504"/>
      <c r="CG152" s="904"/>
      <c r="CH152" s="903"/>
      <c r="CI152" s="903"/>
    </row>
    <row r="153" spans="79:87" s="5" customFormat="1">
      <c r="CA153" s="903"/>
      <c r="CB153" s="903"/>
      <c r="CE153" s="504"/>
      <c r="CG153" s="904"/>
      <c r="CH153" s="903"/>
      <c r="CI153" s="903"/>
    </row>
    <row r="154" spans="79:87" s="5" customFormat="1">
      <c r="CA154" s="903"/>
      <c r="CB154" s="903"/>
      <c r="CE154" s="504"/>
      <c r="CG154" s="904"/>
      <c r="CH154" s="903"/>
      <c r="CI154" s="903"/>
    </row>
    <row r="155" spans="79:87" s="5" customFormat="1">
      <c r="CA155" s="903"/>
      <c r="CB155" s="903"/>
      <c r="CE155" s="504"/>
      <c r="CG155" s="904"/>
      <c r="CH155" s="903"/>
      <c r="CI155" s="903"/>
    </row>
    <row r="156" spans="79:87" s="5" customFormat="1">
      <c r="CA156" s="903"/>
      <c r="CB156" s="903"/>
      <c r="CE156" s="504"/>
      <c r="CG156" s="904"/>
      <c r="CH156" s="903"/>
      <c r="CI156" s="903"/>
    </row>
    <row r="157" spans="79:87" s="5" customFormat="1">
      <c r="CA157" s="903"/>
      <c r="CB157" s="903"/>
      <c r="CE157" s="504"/>
      <c r="CG157" s="904"/>
      <c r="CH157" s="903"/>
      <c r="CI157" s="903"/>
    </row>
    <row r="158" spans="79:87" s="5" customFormat="1">
      <c r="CA158" s="903"/>
      <c r="CB158" s="903"/>
      <c r="CE158" s="504"/>
      <c r="CG158" s="904"/>
      <c r="CH158" s="903"/>
      <c r="CI158" s="903"/>
    </row>
    <row r="159" spans="79:87" s="5" customFormat="1">
      <c r="CA159" s="903"/>
      <c r="CB159" s="903"/>
      <c r="CE159" s="504"/>
      <c r="CG159" s="904"/>
      <c r="CH159" s="903"/>
      <c r="CI159" s="903"/>
    </row>
    <row r="160" spans="79:87" s="5" customFormat="1">
      <c r="CA160" s="903"/>
      <c r="CB160" s="903"/>
      <c r="CE160" s="504"/>
      <c r="CG160" s="904"/>
      <c r="CH160" s="903"/>
      <c r="CI160" s="903"/>
    </row>
    <row r="161" spans="79:87" s="5" customFormat="1">
      <c r="CA161" s="903"/>
      <c r="CB161" s="903"/>
      <c r="CE161" s="504"/>
      <c r="CG161" s="904"/>
      <c r="CH161" s="903"/>
      <c r="CI161" s="903"/>
    </row>
    <row r="162" spans="79:87" s="5" customFormat="1">
      <c r="CA162" s="903"/>
      <c r="CB162" s="903"/>
      <c r="CE162" s="504"/>
      <c r="CG162" s="904"/>
      <c r="CH162" s="903"/>
      <c r="CI162" s="903"/>
    </row>
    <row r="163" spans="79:87" s="5" customFormat="1">
      <c r="CA163" s="903"/>
      <c r="CB163" s="903"/>
      <c r="CE163" s="504"/>
      <c r="CG163" s="904"/>
      <c r="CH163" s="903"/>
      <c r="CI163" s="903"/>
    </row>
    <row r="164" spans="79:87" s="5" customFormat="1">
      <c r="CA164" s="903"/>
      <c r="CB164" s="903"/>
      <c r="CE164" s="504"/>
      <c r="CG164" s="904"/>
      <c r="CH164" s="903"/>
      <c r="CI164" s="903"/>
    </row>
    <row r="165" spans="79:87" s="5" customFormat="1">
      <c r="CA165" s="903"/>
      <c r="CB165" s="903"/>
      <c r="CE165" s="504"/>
      <c r="CG165" s="904"/>
      <c r="CH165" s="903"/>
      <c r="CI165" s="903"/>
    </row>
    <row r="166" spans="79:87" s="5" customFormat="1">
      <c r="CA166" s="903"/>
      <c r="CB166" s="903"/>
      <c r="CE166" s="504"/>
      <c r="CG166" s="904"/>
      <c r="CH166" s="903"/>
      <c r="CI166" s="903"/>
    </row>
    <row r="167" spans="79:87" s="5" customFormat="1">
      <c r="CA167" s="903"/>
      <c r="CB167" s="903"/>
      <c r="CE167" s="504"/>
      <c r="CG167" s="904"/>
      <c r="CH167" s="903"/>
      <c r="CI167" s="903"/>
    </row>
    <row r="168" spans="79:87" s="5" customFormat="1">
      <c r="CA168" s="903"/>
      <c r="CB168" s="903"/>
      <c r="CE168" s="504"/>
      <c r="CG168" s="904"/>
      <c r="CH168" s="903"/>
      <c r="CI168" s="903"/>
    </row>
    <row r="169" spans="79:87" s="5" customFormat="1">
      <c r="CA169" s="903"/>
      <c r="CB169" s="903"/>
      <c r="CE169" s="504"/>
      <c r="CG169" s="904"/>
      <c r="CH169" s="903"/>
      <c r="CI169" s="903"/>
    </row>
    <row r="170" spans="79:87" s="5" customFormat="1">
      <c r="CA170" s="903"/>
      <c r="CB170" s="903"/>
      <c r="CE170" s="504"/>
      <c r="CG170" s="904"/>
      <c r="CH170" s="903"/>
      <c r="CI170" s="903"/>
    </row>
    <row r="171" spans="79:87" s="5" customFormat="1">
      <c r="CA171" s="903"/>
      <c r="CB171" s="903"/>
      <c r="CE171" s="504"/>
      <c r="CG171" s="904"/>
      <c r="CH171" s="903"/>
      <c r="CI171" s="903"/>
    </row>
    <row r="172" spans="79:87" s="5" customFormat="1">
      <c r="CA172" s="903"/>
      <c r="CB172" s="903"/>
      <c r="CE172" s="504"/>
      <c r="CG172" s="904"/>
      <c r="CH172" s="903"/>
      <c r="CI172" s="903"/>
    </row>
    <row r="173" spans="79:87" s="5" customFormat="1">
      <c r="CA173" s="903"/>
      <c r="CB173" s="903"/>
      <c r="CE173" s="504"/>
      <c r="CG173" s="904"/>
      <c r="CH173" s="903"/>
      <c r="CI173" s="903"/>
    </row>
    <row r="174" spans="79:87" s="5" customFormat="1">
      <c r="CA174" s="903"/>
      <c r="CB174" s="903"/>
      <c r="CE174" s="504"/>
      <c r="CG174" s="904"/>
      <c r="CH174" s="903"/>
      <c r="CI174" s="903"/>
    </row>
    <row r="175" spans="79:87" s="5" customFormat="1">
      <c r="CA175" s="903"/>
      <c r="CB175" s="903"/>
      <c r="CE175" s="504"/>
      <c r="CG175" s="904"/>
      <c r="CH175" s="903"/>
      <c r="CI175" s="903"/>
    </row>
    <row r="176" spans="79:87" s="5" customFormat="1">
      <c r="CA176" s="903"/>
      <c r="CB176" s="903"/>
      <c r="CE176" s="504"/>
      <c r="CG176" s="904"/>
      <c r="CH176" s="903"/>
      <c r="CI176" s="903"/>
    </row>
    <row r="177" spans="79:87" s="5" customFormat="1">
      <c r="CA177" s="903"/>
      <c r="CB177" s="903"/>
      <c r="CE177" s="504"/>
      <c r="CG177" s="904"/>
      <c r="CH177" s="903"/>
      <c r="CI177" s="903"/>
    </row>
    <row r="178" spans="79:87" s="5" customFormat="1">
      <c r="CA178" s="903"/>
      <c r="CB178" s="903"/>
      <c r="CE178" s="504"/>
      <c r="CG178" s="904"/>
      <c r="CH178" s="903"/>
      <c r="CI178" s="903"/>
    </row>
    <row r="179" spans="79:87" s="5" customFormat="1">
      <c r="CA179" s="903"/>
      <c r="CB179" s="903"/>
      <c r="CE179" s="504"/>
      <c r="CG179" s="904"/>
      <c r="CH179" s="903"/>
      <c r="CI179" s="903"/>
    </row>
    <row r="180" spans="79:87" s="5" customFormat="1">
      <c r="CA180" s="903"/>
      <c r="CB180" s="903"/>
      <c r="CE180" s="504"/>
      <c r="CG180" s="904"/>
      <c r="CH180" s="903"/>
      <c r="CI180" s="903"/>
    </row>
    <row r="181" spans="79:87" s="5" customFormat="1">
      <c r="CA181" s="903"/>
      <c r="CB181" s="903"/>
      <c r="CE181" s="504"/>
      <c r="CG181" s="904"/>
      <c r="CH181" s="903"/>
      <c r="CI181" s="903"/>
    </row>
    <row r="182" spans="79:87" s="5" customFormat="1">
      <c r="CA182" s="903"/>
      <c r="CB182" s="903"/>
      <c r="CE182" s="504"/>
      <c r="CG182" s="904"/>
      <c r="CH182" s="903"/>
      <c r="CI182" s="903"/>
    </row>
    <row r="183" spans="79:87" s="5" customFormat="1">
      <c r="CA183" s="903"/>
      <c r="CB183" s="903"/>
      <c r="CE183" s="504"/>
      <c r="CG183" s="904"/>
      <c r="CH183" s="903"/>
      <c r="CI183" s="903"/>
    </row>
    <row r="184" spans="79:87" s="5" customFormat="1">
      <c r="CA184" s="903"/>
      <c r="CB184" s="903"/>
      <c r="CE184" s="504"/>
      <c r="CG184" s="904"/>
      <c r="CH184" s="903"/>
      <c r="CI184" s="903"/>
    </row>
    <row r="185" spans="79:87" s="5" customFormat="1">
      <c r="CA185" s="903"/>
      <c r="CB185" s="903"/>
      <c r="CE185" s="504"/>
      <c r="CG185" s="904"/>
      <c r="CH185" s="903"/>
      <c r="CI185" s="903"/>
    </row>
    <row r="186" spans="79:87" s="5" customFormat="1">
      <c r="CA186" s="903"/>
      <c r="CB186" s="903"/>
      <c r="CE186" s="504"/>
      <c r="CG186" s="904"/>
      <c r="CH186" s="903"/>
      <c r="CI186" s="903"/>
    </row>
    <row r="187" spans="79:87" s="5" customFormat="1">
      <c r="CA187" s="903"/>
      <c r="CB187" s="903"/>
      <c r="CE187" s="504"/>
      <c r="CG187" s="904"/>
      <c r="CH187" s="903"/>
      <c r="CI187" s="903"/>
    </row>
    <row r="188" spans="79:87" s="5" customFormat="1">
      <c r="CA188" s="903"/>
      <c r="CB188" s="903"/>
      <c r="CE188" s="504"/>
      <c r="CG188" s="904"/>
      <c r="CH188" s="903"/>
      <c r="CI188" s="903"/>
    </row>
    <row r="189" spans="79:87" s="5" customFormat="1">
      <c r="CA189" s="903"/>
      <c r="CB189" s="903"/>
      <c r="CE189" s="504"/>
      <c r="CG189" s="904"/>
      <c r="CH189" s="903"/>
      <c r="CI189" s="903"/>
    </row>
    <row r="190" spans="79:87" s="5" customFormat="1">
      <c r="CA190" s="903"/>
      <c r="CB190" s="903"/>
      <c r="CE190" s="504"/>
      <c r="CG190" s="904"/>
      <c r="CH190" s="903"/>
      <c r="CI190" s="903"/>
    </row>
    <row r="191" spans="79:87" s="5" customFormat="1">
      <c r="CA191" s="903"/>
      <c r="CB191" s="903"/>
      <c r="CE191" s="504"/>
      <c r="CG191" s="904"/>
      <c r="CH191" s="903"/>
      <c r="CI191" s="903"/>
    </row>
    <row r="192" spans="79:87" s="5" customFormat="1">
      <c r="CA192" s="903"/>
      <c r="CB192" s="903"/>
      <c r="CE192" s="504"/>
      <c r="CG192" s="904"/>
      <c r="CH192" s="903"/>
      <c r="CI192" s="903"/>
    </row>
    <row r="193" spans="79:87" s="5" customFormat="1">
      <c r="CA193" s="903"/>
      <c r="CB193" s="903"/>
      <c r="CE193" s="504"/>
      <c r="CG193" s="904"/>
      <c r="CH193" s="903"/>
      <c r="CI193" s="903"/>
    </row>
    <row r="194" spans="79:87" s="5" customFormat="1">
      <c r="CA194" s="903"/>
      <c r="CB194" s="903"/>
      <c r="CE194" s="504"/>
      <c r="CG194" s="904"/>
      <c r="CH194" s="903"/>
      <c r="CI194" s="903"/>
    </row>
    <row r="195" spans="79:87" s="5" customFormat="1">
      <c r="CA195" s="903"/>
      <c r="CB195" s="903"/>
      <c r="CE195" s="504"/>
      <c r="CG195" s="904"/>
      <c r="CH195" s="903"/>
      <c r="CI195" s="903"/>
    </row>
    <row r="196" spans="79:87" s="5" customFormat="1">
      <c r="CA196" s="903"/>
      <c r="CB196" s="903"/>
      <c r="CE196" s="504"/>
      <c r="CG196" s="904"/>
      <c r="CH196" s="903"/>
      <c r="CI196" s="903"/>
    </row>
    <row r="197" spans="79:87" s="5" customFormat="1">
      <c r="CA197" s="903"/>
      <c r="CB197" s="903"/>
      <c r="CE197" s="504"/>
      <c r="CG197" s="904"/>
      <c r="CH197" s="903"/>
      <c r="CI197" s="903"/>
    </row>
    <row r="198" spans="79:87" s="5" customFormat="1">
      <c r="CA198" s="903"/>
      <c r="CB198" s="903"/>
      <c r="CE198" s="504"/>
      <c r="CG198" s="904"/>
      <c r="CH198" s="903"/>
      <c r="CI198" s="903"/>
    </row>
    <row r="199" spans="79:87" s="5" customFormat="1">
      <c r="CA199" s="903"/>
      <c r="CB199" s="903"/>
      <c r="CE199" s="504"/>
      <c r="CG199" s="904"/>
      <c r="CH199" s="903"/>
      <c r="CI199" s="903"/>
    </row>
    <row r="200" spans="79:87" s="5" customFormat="1">
      <c r="CA200" s="903"/>
      <c r="CB200" s="903"/>
      <c r="CE200" s="504"/>
      <c r="CG200" s="904"/>
      <c r="CH200" s="903"/>
      <c r="CI200" s="903"/>
    </row>
    <row r="201" spans="79:87" s="5" customFormat="1">
      <c r="CA201" s="903"/>
      <c r="CB201" s="903"/>
      <c r="CE201" s="504"/>
      <c r="CG201" s="904"/>
      <c r="CH201" s="903"/>
      <c r="CI201" s="903"/>
    </row>
    <row r="202" spans="79:87" s="5" customFormat="1">
      <c r="CA202" s="903"/>
      <c r="CB202" s="903"/>
      <c r="CE202" s="504"/>
      <c r="CG202" s="904"/>
      <c r="CH202" s="903"/>
      <c r="CI202" s="903"/>
    </row>
    <row r="203" spans="79:87" s="5" customFormat="1">
      <c r="CA203" s="903"/>
      <c r="CB203" s="903"/>
      <c r="CE203" s="504"/>
      <c r="CG203" s="904"/>
      <c r="CH203" s="903"/>
      <c r="CI203" s="903"/>
    </row>
    <row r="204" spans="79:87" s="5" customFormat="1">
      <c r="CA204" s="903"/>
      <c r="CB204" s="903"/>
      <c r="CE204" s="504"/>
      <c r="CG204" s="904"/>
      <c r="CH204" s="903"/>
      <c r="CI204" s="903"/>
    </row>
    <row r="205" spans="79:87" s="5" customFormat="1">
      <c r="CA205" s="903"/>
      <c r="CB205" s="903"/>
      <c r="CE205" s="504"/>
      <c r="CG205" s="904"/>
      <c r="CH205" s="903"/>
      <c r="CI205" s="903"/>
    </row>
    <row r="206" spans="79:87" s="5" customFormat="1">
      <c r="CA206" s="903"/>
      <c r="CB206" s="903"/>
      <c r="CE206" s="504"/>
      <c r="CG206" s="904"/>
      <c r="CH206" s="903"/>
      <c r="CI206" s="903"/>
    </row>
    <row r="207" spans="79:87" s="5" customFormat="1">
      <c r="CA207" s="903"/>
      <c r="CB207" s="903"/>
      <c r="CE207" s="504"/>
      <c r="CG207" s="904"/>
      <c r="CH207" s="903"/>
      <c r="CI207" s="903"/>
    </row>
    <row r="208" spans="79:87" s="5" customFormat="1">
      <c r="CA208" s="903"/>
      <c r="CB208" s="903"/>
      <c r="CE208" s="504"/>
      <c r="CG208" s="904"/>
      <c r="CH208" s="903"/>
      <c r="CI208" s="903"/>
    </row>
    <row r="209" spans="79:87" s="5" customFormat="1">
      <c r="CA209" s="903"/>
      <c r="CB209" s="903"/>
      <c r="CE209" s="504"/>
      <c r="CG209" s="904"/>
      <c r="CH209" s="903"/>
      <c r="CI209" s="903"/>
    </row>
    <row r="210" spans="79:87" s="5" customFormat="1">
      <c r="CA210" s="903"/>
      <c r="CB210" s="903"/>
      <c r="CE210" s="504"/>
      <c r="CG210" s="904"/>
      <c r="CH210" s="903"/>
      <c r="CI210" s="903"/>
    </row>
    <row r="211" spans="79:87" s="5" customFormat="1">
      <c r="CA211" s="903"/>
      <c r="CB211" s="903"/>
      <c r="CE211" s="504"/>
      <c r="CG211" s="904"/>
      <c r="CH211" s="903"/>
      <c r="CI211" s="903"/>
    </row>
    <row r="212" spans="79:87" s="5" customFormat="1">
      <c r="CA212" s="903"/>
      <c r="CB212" s="903"/>
      <c r="CE212" s="504"/>
      <c r="CG212" s="904"/>
      <c r="CH212" s="903"/>
      <c r="CI212" s="903"/>
    </row>
    <row r="213" spans="79:87" s="5" customFormat="1">
      <c r="CA213" s="903"/>
      <c r="CB213" s="903"/>
      <c r="CE213" s="504"/>
      <c r="CG213" s="904"/>
      <c r="CH213" s="903"/>
      <c r="CI213" s="903"/>
    </row>
    <row r="214" spans="79:87" s="5" customFormat="1">
      <c r="CA214" s="903"/>
      <c r="CB214" s="903"/>
      <c r="CE214" s="504"/>
      <c r="CG214" s="904"/>
      <c r="CH214" s="903"/>
      <c r="CI214" s="903"/>
    </row>
    <row r="215" spans="79:87" s="5" customFormat="1">
      <c r="CA215" s="903"/>
      <c r="CB215" s="903"/>
      <c r="CE215" s="504"/>
      <c r="CG215" s="904"/>
      <c r="CH215" s="903"/>
      <c r="CI215" s="903"/>
    </row>
    <row r="216" spans="79:87" s="5" customFormat="1">
      <c r="CA216" s="903"/>
      <c r="CB216" s="903"/>
      <c r="CE216" s="504"/>
      <c r="CG216" s="904"/>
      <c r="CH216" s="903"/>
      <c r="CI216" s="903"/>
    </row>
    <row r="217" spans="79:87" s="5" customFormat="1">
      <c r="CA217" s="903"/>
      <c r="CB217" s="903"/>
      <c r="CE217" s="504"/>
      <c r="CG217" s="904"/>
      <c r="CH217" s="903"/>
      <c r="CI217" s="903"/>
    </row>
    <row r="218" spans="79:87" s="5" customFormat="1">
      <c r="CA218" s="903"/>
      <c r="CB218" s="903"/>
      <c r="CE218" s="504"/>
      <c r="CG218" s="904"/>
      <c r="CH218" s="903"/>
      <c r="CI218" s="903"/>
    </row>
    <row r="219" spans="79:87" s="5" customFormat="1">
      <c r="CA219" s="903"/>
      <c r="CB219" s="903"/>
      <c r="CE219" s="504"/>
      <c r="CG219" s="904"/>
      <c r="CH219" s="903"/>
      <c r="CI219" s="903"/>
    </row>
    <row r="220" spans="79:87" s="5" customFormat="1">
      <c r="CA220" s="903"/>
      <c r="CB220" s="903"/>
      <c r="CE220" s="504"/>
      <c r="CG220" s="904"/>
      <c r="CH220" s="903"/>
      <c r="CI220" s="903"/>
    </row>
    <row r="221" spans="79:87" s="5" customFormat="1">
      <c r="CA221" s="903"/>
      <c r="CB221" s="903"/>
      <c r="CE221" s="504"/>
      <c r="CG221" s="904"/>
      <c r="CH221" s="903"/>
      <c r="CI221" s="903"/>
    </row>
    <row r="222" spans="79:87" s="5" customFormat="1">
      <c r="CA222" s="903"/>
      <c r="CB222" s="903"/>
      <c r="CE222" s="504"/>
      <c r="CG222" s="904"/>
      <c r="CH222" s="903"/>
      <c r="CI222" s="903"/>
    </row>
    <row r="223" spans="79:87" s="5" customFormat="1">
      <c r="CA223" s="903"/>
      <c r="CB223" s="903"/>
      <c r="CE223" s="504"/>
      <c r="CG223" s="904"/>
      <c r="CH223" s="903"/>
      <c r="CI223" s="903"/>
    </row>
    <row r="224" spans="79:87" s="5" customFormat="1">
      <c r="CA224" s="903"/>
      <c r="CB224" s="903"/>
      <c r="CE224" s="504"/>
      <c r="CG224" s="904"/>
      <c r="CH224" s="903"/>
      <c r="CI224" s="903"/>
    </row>
    <row r="225" spans="79:87" s="5" customFormat="1">
      <c r="CA225" s="903"/>
      <c r="CB225" s="903"/>
      <c r="CE225" s="504"/>
      <c r="CG225" s="904"/>
      <c r="CH225" s="903"/>
      <c r="CI225" s="903"/>
    </row>
    <row r="226" spans="79:87" s="5" customFormat="1">
      <c r="CA226" s="903"/>
      <c r="CB226" s="903"/>
      <c r="CE226" s="504"/>
      <c r="CG226" s="904"/>
      <c r="CH226" s="903"/>
      <c r="CI226" s="903"/>
    </row>
    <row r="227" spans="79:87" s="5" customFormat="1">
      <c r="CA227" s="903"/>
      <c r="CB227" s="903"/>
      <c r="CE227" s="504"/>
      <c r="CG227" s="904"/>
      <c r="CH227" s="903"/>
      <c r="CI227" s="903"/>
    </row>
    <row r="228" spans="79:87" s="5" customFormat="1">
      <c r="CA228" s="903"/>
      <c r="CB228" s="903"/>
      <c r="CE228" s="504"/>
      <c r="CG228" s="904"/>
      <c r="CH228" s="903"/>
      <c r="CI228" s="903"/>
    </row>
    <row r="229" spans="79:87" s="5" customFormat="1">
      <c r="CA229" s="903"/>
      <c r="CB229" s="903"/>
      <c r="CE229" s="504"/>
      <c r="CG229" s="904"/>
      <c r="CH229" s="903"/>
      <c r="CI229" s="903"/>
    </row>
    <row r="230" spans="79:87" s="5" customFormat="1">
      <c r="CA230" s="903"/>
      <c r="CB230" s="903"/>
      <c r="CE230" s="504"/>
      <c r="CG230" s="904"/>
      <c r="CH230" s="903"/>
      <c r="CI230" s="903"/>
    </row>
    <row r="231" spans="79:87" s="5" customFormat="1">
      <c r="CA231" s="903"/>
      <c r="CB231" s="903"/>
      <c r="CE231" s="504"/>
      <c r="CG231" s="904"/>
      <c r="CH231" s="903"/>
      <c r="CI231" s="903"/>
    </row>
    <row r="232" spans="79:87" s="5" customFormat="1">
      <c r="CA232" s="903"/>
      <c r="CB232" s="903"/>
      <c r="CE232" s="504"/>
      <c r="CG232" s="904"/>
      <c r="CH232" s="903"/>
      <c r="CI232" s="903"/>
    </row>
    <row r="233" spans="79:87" s="5" customFormat="1">
      <c r="CA233" s="903"/>
      <c r="CB233" s="903"/>
      <c r="CE233" s="504"/>
      <c r="CG233" s="904"/>
      <c r="CH233" s="903"/>
      <c r="CI233" s="903"/>
    </row>
    <row r="234" spans="79:87" s="5" customFormat="1">
      <c r="CA234" s="903"/>
      <c r="CB234" s="903"/>
      <c r="CE234" s="504"/>
      <c r="CG234" s="904"/>
      <c r="CH234" s="903"/>
      <c r="CI234" s="903"/>
    </row>
    <row r="235" spans="79:87" s="5" customFormat="1">
      <c r="CA235" s="903"/>
      <c r="CB235" s="903"/>
      <c r="CE235" s="504"/>
      <c r="CG235" s="904"/>
      <c r="CH235" s="903"/>
      <c r="CI235" s="903"/>
    </row>
    <row r="236" spans="79:87" s="5" customFormat="1">
      <c r="CA236" s="903"/>
      <c r="CB236" s="903"/>
      <c r="CE236" s="504"/>
      <c r="CG236" s="904"/>
      <c r="CH236" s="903"/>
      <c r="CI236" s="903"/>
    </row>
    <row r="237" spans="79:87" s="5" customFormat="1">
      <c r="CA237" s="903"/>
      <c r="CB237" s="903"/>
      <c r="CE237" s="504"/>
      <c r="CG237" s="904"/>
      <c r="CH237" s="903"/>
      <c r="CI237" s="903"/>
    </row>
    <row r="238" spans="79:87" s="5" customFormat="1">
      <c r="CA238" s="903"/>
      <c r="CB238" s="903"/>
      <c r="CE238" s="504"/>
      <c r="CG238" s="904"/>
      <c r="CH238" s="903"/>
      <c r="CI238" s="903"/>
    </row>
    <row r="239" spans="79:87" s="5" customFormat="1">
      <c r="CA239" s="903"/>
      <c r="CB239" s="903"/>
      <c r="CE239" s="504"/>
      <c r="CG239" s="904"/>
      <c r="CH239" s="903"/>
      <c r="CI239" s="903"/>
    </row>
    <row r="240" spans="79:87" s="5" customFormat="1">
      <c r="CA240" s="903"/>
      <c r="CB240" s="903"/>
      <c r="CE240" s="504"/>
      <c r="CG240" s="904"/>
      <c r="CH240" s="903"/>
      <c r="CI240" s="903"/>
    </row>
    <row r="241" spans="79:87" s="5" customFormat="1">
      <c r="CA241" s="903"/>
      <c r="CB241" s="903"/>
      <c r="CE241" s="504"/>
      <c r="CG241" s="904"/>
      <c r="CH241" s="903"/>
      <c r="CI241" s="903"/>
    </row>
    <row r="242" spans="79:87" s="5" customFormat="1">
      <c r="CA242" s="903"/>
      <c r="CB242" s="903"/>
      <c r="CE242" s="504"/>
      <c r="CG242" s="904"/>
      <c r="CH242" s="903"/>
      <c r="CI242" s="903"/>
    </row>
    <row r="243" spans="79:87" s="5" customFormat="1">
      <c r="CA243" s="903"/>
      <c r="CB243" s="903"/>
      <c r="CE243" s="504"/>
      <c r="CG243" s="904"/>
      <c r="CH243" s="903"/>
      <c r="CI243" s="903"/>
    </row>
    <row r="244" spans="79:87" s="5" customFormat="1">
      <c r="CA244" s="903"/>
      <c r="CB244" s="903"/>
      <c r="CE244" s="504"/>
      <c r="CG244" s="904"/>
      <c r="CH244" s="903"/>
      <c r="CI244" s="903"/>
    </row>
    <row r="245" spans="79:87" s="5" customFormat="1">
      <c r="CA245" s="903"/>
      <c r="CB245" s="903"/>
      <c r="CE245" s="504"/>
      <c r="CG245" s="904"/>
      <c r="CH245" s="903"/>
      <c r="CI245" s="903"/>
    </row>
    <row r="246" spans="79:87" s="5" customFormat="1">
      <c r="CA246" s="903"/>
      <c r="CB246" s="903"/>
      <c r="CE246" s="504"/>
      <c r="CG246" s="904"/>
      <c r="CH246" s="903"/>
      <c r="CI246" s="903"/>
    </row>
    <row r="247" spans="79:87" s="5" customFormat="1">
      <c r="CA247" s="903"/>
      <c r="CB247" s="903"/>
      <c r="CE247" s="504"/>
      <c r="CG247" s="904"/>
      <c r="CH247" s="903"/>
      <c r="CI247" s="903"/>
    </row>
    <row r="248" spans="79:87" s="5" customFormat="1">
      <c r="CA248" s="903"/>
      <c r="CB248" s="903"/>
      <c r="CE248" s="504"/>
      <c r="CG248" s="904"/>
      <c r="CH248" s="903"/>
      <c r="CI248" s="903"/>
    </row>
    <row r="249" spans="79:87" s="5" customFormat="1">
      <c r="CA249" s="903"/>
      <c r="CB249" s="903"/>
      <c r="CE249" s="504"/>
      <c r="CG249" s="904"/>
      <c r="CH249" s="903"/>
      <c r="CI249" s="903"/>
    </row>
    <row r="250" spans="79:87" s="5" customFormat="1">
      <c r="CA250" s="903"/>
      <c r="CB250" s="903"/>
      <c r="CE250" s="504"/>
      <c r="CG250" s="904"/>
      <c r="CH250" s="903"/>
      <c r="CI250" s="903"/>
    </row>
    <row r="251" spans="79:87" s="5" customFormat="1">
      <c r="CA251" s="903"/>
      <c r="CB251" s="903"/>
      <c r="CE251" s="504"/>
      <c r="CG251" s="904"/>
      <c r="CH251" s="903"/>
      <c r="CI251" s="903"/>
    </row>
    <row r="252" spans="79:87" s="5" customFormat="1">
      <c r="CA252" s="903"/>
      <c r="CB252" s="903"/>
      <c r="CE252" s="504"/>
      <c r="CG252" s="904"/>
      <c r="CH252" s="903"/>
      <c r="CI252" s="903"/>
    </row>
    <row r="253" spans="79:87" s="5" customFormat="1">
      <c r="CA253" s="903"/>
      <c r="CB253" s="903"/>
      <c r="CE253" s="504"/>
      <c r="CG253" s="904"/>
      <c r="CH253" s="903"/>
      <c r="CI253" s="903"/>
    </row>
    <row r="254" spans="79:87" s="5" customFormat="1">
      <c r="CA254" s="903"/>
      <c r="CB254" s="903"/>
      <c r="CE254" s="504"/>
      <c r="CG254" s="904"/>
      <c r="CH254" s="903"/>
      <c r="CI254" s="903"/>
    </row>
    <row r="255" spans="79:87" s="5" customFormat="1">
      <c r="CA255" s="903"/>
      <c r="CB255" s="903"/>
      <c r="CE255" s="504"/>
      <c r="CG255" s="904"/>
      <c r="CH255" s="903"/>
      <c r="CI255" s="903"/>
    </row>
    <row r="256" spans="79:87" s="5" customFormat="1">
      <c r="CA256" s="903"/>
      <c r="CB256" s="903"/>
      <c r="CE256" s="504"/>
      <c r="CG256" s="904"/>
      <c r="CH256" s="903"/>
      <c r="CI256" s="903"/>
    </row>
    <row r="257" spans="79:87" s="5" customFormat="1">
      <c r="CA257" s="903"/>
      <c r="CB257" s="903"/>
      <c r="CE257" s="504"/>
      <c r="CG257" s="904"/>
      <c r="CH257" s="903"/>
      <c r="CI257" s="903"/>
    </row>
    <row r="258" spans="79:87" s="5" customFormat="1">
      <c r="CA258" s="903"/>
      <c r="CB258" s="903"/>
      <c r="CE258" s="504"/>
      <c r="CG258" s="904"/>
      <c r="CH258" s="903"/>
      <c r="CI258" s="903"/>
    </row>
    <row r="259" spans="79:87" s="5" customFormat="1">
      <c r="CA259" s="903"/>
      <c r="CB259" s="903"/>
      <c r="CE259" s="504"/>
      <c r="CG259" s="904"/>
      <c r="CH259" s="903"/>
      <c r="CI259" s="903"/>
    </row>
    <row r="260" spans="79:87" s="5" customFormat="1">
      <c r="CA260" s="903"/>
      <c r="CB260" s="903"/>
      <c r="CE260" s="504"/>
      <c r="CG260" s="904"/>
      <c r="CH260" s="903"/>
      <c r="CI260" s="903"/>
    </row>
    <row r="261" spans="79:87" s="5" customFormat="1">
      <c r="CA261" s="903"/>
      <c r="CB261" s="903"/>
      <c r="CE261" s="504"/>
      <c r="CG261" s="904"/>
      <c r="CH261" s="903"/>
      <c r="CI261" s="903"/>
    </row>
    <row r="262" spans="79:87" s="5" customFormat="1">
      <c r="CA262" s="903"/>
      <c r="CB262" s="903"/>
      <c r="CE262" s="504"/>
      <c r="CG262" s="904"/>
      <c r="CH262" s="903"/>
      <c r="CI262" s="903"/>
    </row>
    <row r="263" spans="79:87" s="5" customFormat="1">
      <c r="CA263" s="903"/>
      <c r="CB263" s="903"/>
      <c r="CE263" s="504"/>
      <c r="CG263" s="904"/>
      <c r="CH263" s="903"/>
      <c r="CI263" s="903"/>
    </row>
    <row r="264" spans="79:87" s="5" customFormat="1">
      <c r="CA264" s="903"/>
      <c r="CB264" s="903"/>
      <c r="CE264" s="504"/>
      <c r="CG264" s="904"/>
      <c r="CH264" s="903"/>
      <c r="CI264" s="903"/>
    </row>
    <row r="265" spans="79:87" s="5" customFormat="1">
      <c r="CA265" s="903"/>
      <c r="CB265" s="903"/>
      <c r="CE265" s="504"/>
      <c r="CG265" s="904"/>
      <c r="CH265" s="903"/>
      <c r="CI265" s="903"/>
    </row>
    <row r="266" spans="79:87" s="5" customFormat="1">
      <c r="CA266" s="903"/>
      <c r="CB266" s="903"/>
      <c r="CE266" s="504"/>
      <c r="CG266" s="904"/>
      <c r="CH266" s="903"/>
      <c r="CI266" s="903"/>
    </row>
    <row r="267" spans="79:87" s="5" customFormat="1">
      <c r="CA267" s="903"/>
      <c r="CB267" s="903"/>
      <c r="CE267" s="504"/>
      <c r="CG267" s="904"/>
      <c r="CH267" s="903"/>
      <c r="CI267" s="903"/>
    </row>
    <row r="268" spans="79:87" s="5" customFormat="1">
      <c r="CA268" s="903"/>
      <c r="CB268" s="903"/>
      <c r="CE268" s="504"/>
      <c r="CG268" s="904"/>
      <c r="CH268" s="903"/>
      <c r="CI268" s="903"/>
    </row>
    <row r="269" spans="79:87" s="5" customFormat="1">
      <c r="CA269" s="903"/>
      <c r="CB269" s="903"/>
      <c r="CE269" s="504"/>
      <c r="CG269" s="904"/>
      <c r="CH269" s="903"/>
      <c r="CI269" s="903"/>
    </row>
    <row r="270" spans="79:87" s="5" customFormat="1">
      <c r="CA270" s="903"/>
      <c r="CB270" s="903"/>
      <c r="CE270" s="504"/>
      <c r="CG270" s="904"/>
      <c r="CH270" s="903"/>
      <c r="CI270" s="903"/>
    </row>
    <row r="271" spans="79:87" s="5" customFormat="1">
      <c r="CA271" s="903"/>
      <c r="CB271" s="903"/>
      <c r="CE271" s="504"/>
      <c r="CG271" s="904"/>
      <c r="CH271" s="903"/>
      <c r="CI271" s="903"/>
    </row>
    <row r="272" spans="79:87" s="5" customFormat="1">
      <c r="CA272" s="903"/>
      <c r="CB272" s="903"/>
      <c r="CE272" s="504"/>
      <c r="CG272" s="904"/>
      <c r="CH272" s="903"/>
      <c r="CI272" s="903"/>
    </row>
    <row r="273" spans="79:87" s="5" customFormat="1">
      <c r="CA273" s="903"/>
      <c r="CB273" s="903"/>
      <c r="CE273" s="504"/>
      <c r="CG273" s="904"/>
      <c r="CH273" s="903"/>
      <c r="CI273" s="903"/>
    </row>
    <row r="274" spans="79:87" s="5" customFormat="1">
      <c r="CA274" s="903"/>
      <c r="CB274" s="903"/>
      <c r="CE274" s="504"/>
      <c r="CG274" s="904"/>
      <c r="CH274" s="903"/>
      <c r="CI274" s="903"/>
    </row>
    <row r="275" spans="79:87" s="5" customFormat="1">
      <c r="CA275" s="903"/>
      <c r="CB275" s="903"/>
      <c r="CE275" s="504"/>
      <c r="CG275" s="904"/>
      <c r="CH275" s="903"/>
      <c r="CI275" s="903"/>
    </row>
    <row r="276" spans="79:87" s="5" customFormat="1">
      <c r="CA276" s="903"/>
      <c r="CB276" s="903"/>
      <c r="CE276" s="504"/>
      <c r="CG276" s="904"/>
      <c r="CH276" s="903"/>
      <c r="CI276" s="903"/>
    </row>
    <row r="277" spans="79:87" s="5" customFormat="1">
      <c r="CA277" s="903"/>
      <c r="CB277" s="903"/>
      <c r="CE277" s="504"/>
      <c r="CG277" s="904"/>
      <c r="CH277" s="903"/>
      <c r="CI277" s="903"/>
    </row>
    <row r="278" spans="79:87" s="5" customFormat="1">
      <c r="CA278" s="903"/>
      <c r="CB278" s="903"/>
      <c r="CE278" s="504"/>
      <c r="CG278" s="904"/>
      <c r="CH278" s="903"/>
      <c r="CI278" s="903"/>
    </row>
    <row r="279" spans="79:87" s="5" customFormat="1">
      <c r="CA279" s="903"/>
      <c r="CB279" s="903"/>
      <c r="CE279" s="504"/>
      <c r="CG279" s="904"/>
      <c r="CH279" s="903"/>
      <c r="CI279" s="903"/>
    </row>
    <row r="280" spans="79:87" s="5" customFormat="1">
      <c r="CA280" s="903"/>
      <c r="CB280" s="903"/>
      <c r="CE280" s="504"/>
      <c r="CG280" s="904"/>
      <c r="CH280" s="903"/>
      <c r="CI280" s="903"/>
    </row>
    <row r="281" spans="79:87" s="5" customFormat="1">
      <c r="CA281" s="903"/>
      <c r="CB281" s="903"/>
      <c r="CE281" s="504"/>
      <c r="CG281" s="904"/>
      <c r="CH281" s="903"/>
      <c r="CI281" s="903"/>
    </row>
    <row r="282" spans="79:87" s="5" customFormat="1">
      <c r="CA282" s="903"/>
      <c r="CB282" s="903"/>
      <c r="CE282" s="504"/>
      <c r="CG282" s="904"/>
      <c r="CH282" s="903"/>
      <c r="CI282" s="903"/>
    </row>
    <row r="283" spans="79:87" s="5" customFormat="1">
      <c r="CA283" s="903"/>
      <c r="CB283" s="903"/>
      <c r="CE283" s="504"/>
      <c r="CG283" s="904"/>
      <c r="CH283" s="903"/>
      <c r="CI283" s="903"/>
    </row>
    <row r="284" spans="79:87" s="5" customFormat="1">
      <c r="CA284" s="903"/>
      <c r="CB284" s="903"/>
      <c r="CE284" s="504"/>
      <c r="CG284" s="904"/>
      <c r="CH284" s="903"/>
      <c r="CI284" s="903"/>
    </row>
    <row r="285" spans="79:87" s="5" customFormat="1">
      <c r="CA285" s="903"/>
      <c r="CB285" s="903"/>
      <c r="CE285" s="504"/>
      <c r="CG285" s="904"/>
      <c r="CH285" s="903"/>
      <c r="CI285" s="903"/>
    </row>
    <row r="286" spans="79:87" s="5" customFormat="1">
      <c r="CA286" s="903"/>
      <c r="CB286" s="903"/>
      <c r="CE286" s="504"/>
      <c r="CG286" s="904"/>
      <c r="CH286" s="903"/>
      <c r="CI286" s="903"/>
    </row>
    <row r="287" spans="79:87" s="5" customFormat="1">
      <c r="CA287" s="903"/>
      <c r="CB287" s="903"/>
      <c r="CE287" s="504"/>
      <c r="CG287" s="904"/>
      <c r="CH287" s="903"/>
      <c r="CI287" s="903"/>
    </row>
    <row r="288" spans="79:87" s="5" customFormat="1">
      <c r="CA288" s="903"/>
      <c r="CB288" s="903"/>
      <c r="CE288" s="504"/>
      <c r="CG288" s="904"/>
      <c r="CH288" s="903"/>
      <c r="CI288" s="903"/>
    </row>
    <row r="289" spans="79:87" s="5" customFormat="1">
      <c r="CA289" s="903"/>
      <c r="CB289" s="903"/>
      <c r="CE289" s="504"/>
      <c r="CG289" s="904"/>
      <c r="CH289" s="903"/>
      <c r="CI289" s="903"/>
    </row>
    <row r="290" spans="79:87" s="5" customFormat="1">
      <c r="CA290" s="903"/>
      <c r="CB290" s="903"/>
      <c r="CE290" s="504"/>
      <c r="CG290" s="904"/>
      <c r="CH290" s="903"/>
      <c r="CI290" s="903"/>
    </row>
    <row r="291" spans="79:87" s="5" customFormat="1">
      <c r="CA291" s="903"/>
      <c r="CB291" s="903"/>
      <c r="CE291" s="504"/>
      <c r="CG291" s="904"/>
      <c r="CH291" s="903"/>
      <c r="CI291" s="903"/>
    </row>
    <row r="292" spans="79:87" s="5" customFormat="1">
      <c r="CA292" s="903"/>
      <c r="CB292" s="903"/>
      <c r="CE292" s="504"/>
      <c r="CG292" s="904"/>
      <c r="CH292" s="903"/>
      <c r="CI292" s="903"/>
    </row>
    <row r="293" spans="79:87" s="5" customFormat="1">
      <c r="CA293" s="903"/>
      <c r="CB293" s="903"/>
      <c r="CE293" s="504"/>
      <c r="CG293" s="904"/>
      <c r="CH293" s="903"/>
      <c r="CI293" s="903"/>
    </row>
    <row r="294" spans="79:87" s="5" customFormat="1">
      <c r="CA294" s="903"/>
      <c r="CB294" s="903"/>
      <c r="CE294" s="504"/>
      <c r="CG294" s="904"/>
      <c r="CH294" s="903"/>
      <c r="CI294" s="903"/>
    </row>
    <row r="295" spans="79:87" s="5" customFormat="1">
      <c r="CA295" s="903"/>
      <c r="CB295" s="903"/>
      <c r="CE295" s="504"/>
      <c r="CG295" s="904"/>
      <c r="CH295" s="903"/>
      <c r="CI295" s="903"/>
    </row>
    <row r="296" spans="79:87" s="5" customFormat="1">
      <c r="CA296" s="903"/>
      <c r="CB296" s="903"/>
      <c r="CE296" s="504"/>
      <c r="CG296" s="904"/>
      <c r="CH296" s="903"/>
      <c r="CI296" s="903"/>
    </row>
    <row r="297" spans="79:87" s="5" customFormat="1">
      <c r="CA297" s="903"/>
      <c r="CB297" s="903"/>
      <c r="CE297" s="504"/>
      <c r="CG297" s="904"/>
      <c r="CH297" s="903"/>
      <c r="CI297" s="903"/>
    </row>
    <row r="298" spans="79:87" s="5" customFormat="1">
      <c r="CA298" s="903"/>
      <c r="CB298" s="903"/>
      <c r="CE298" s="504"/>
      <c r="CG298" s="904"/>
      <c r="CH298" s="903"/>
      <c r="CI298" s="903"/>
    </row>
    <row r="299" spans="79:87" s="5" customFormat="1">
      <c r="CA299" s="903"/>
      <c r="CB299" s="903"/>
      <c r="CE299" s="504"/>
      <c r="CG299" s="904"/>
      <c r="CH299" s="903"/>
      <c r="CI299" s="903"/>
    </row>
    <row r="300" spans="79:87" s="5" customFormat="1">
      <c r="CA300" s="903"/>
      <c r="CB300" s="903"/>
      <c r="CE300" s="504"/>
      <c r="CG300" s="904"/>
      <c r="CH300" s="903"/>
      <c r="CI300" s="903"/>
    </row>
    <row r="301" spans="79:87" s="5" customFormat="1">
      <c r="CA301" s="903"/>
      <c r="CB301" s="903"/>
      <c r="CE301" s="504"/>
      <c r="CG301" s="904"/>
      <c r="CH301" s="903"/>
      <c r="CI301" s="903"/>
    </row>
    <row r="302" spans="79:87" s="5" customFormat="1">
      <c r="CA302" s="903"/>
      <c r="CB302" s="903"/>
      <c r="CE302" s="504"/>
      <c r="CG302" s="904"/>
      <c r="CH302" s="903"/>
      <c r="CI302" s="903"/>
    </row>
    <row r="303" spans="79:87" s="5" customFormat="1">
      <c r="CA303" s="903"/>
      <c r="CB303" s="903"/>
      <c r="CE303" s="504"/>
      <c r="CG303" s="904"/>
      <c r="CH303" s="903"/>
      <c r="CI303" s="903"/>
    </row>
    <row r="304" spans="79:87" s="5" customFormat="1">
      <c r="CA304" s="903"/>
      <c r="CB304" s="903"/>
      <c r="CE304" s="504"/>
      <c r="CG304" s="904"/>
      <c r="CH304" s="903"/>
      <c r="CI304" s="903"/>
    </row>
    <row r="305" spans="79:87" s="5" customFormat="1">
      <c r="CA305" s="903"/>
      <c r="CB305" s="903"/>
      <c r="CE305" s="504"/>
      <c r="CG305" s="904"/>
      <c r="CH305" s="903"/>
      <c r="CI305" s="903"/>
    </row>
    <row r="306" spans="79:87" s="5" customFormat="1">
      <c r="CA306" s="903"/>
      <c r="CB306" s="903"/>
      <c r="CE306" s="504"/>
      <c r="CG306" s="904"/>
      <c r="CH306" s="903"/>
      <c r="CI306" s="903"/>
    </row>
    <row r="307" spans="79:87" s="5" customFormat="1">
      <c r="CA307" s="903"/>
      <c r="CB307" s="903"/>
      <c r="CE307" s="504"/>
      <c r="CG307" s="904"/>
      <c r="CH307" s="903"/>
      <c r="CI307" s="903"/>
    </row>
    <row r="308" spans="79:87" s="5" customFormat="1">
      <c r="CA308" s="903"/>
      <c r="CB308" s="903"/>
      <c r="CE308" s="504"/>
      <c r="CG308" s="904"/>
      <c r="CH308" s="903"/>
      <c r="CI308" s="903"/>
    </row>
    <row r="309" spans="79:87" s="5" customFormat="1">
      <c r="CA309" s="903"/>
      <c r="CB309" s="903"/>
      <c r="CE309" s="504"/>
      <c r="CG309" s="904"/>
      <c r="CH309" s="903"/>
      <c r="CI309" s="903"/>
    </row>
    <row r="310" spans="79:87" s="5" customFormat="1">
      <c r="CA310" s="903"/>
      <c r="CB310" s="903"/>
      <c r="CE310" s="504"/>
      <c r="CG310" s="904"/>
      <c r="CH310" s="903"/>
      <c r="CI310" s="903"/>
    </row>
    <row r="311" spans="79:87" s="5" customFormat="1">
      <c r="CA311" s="903"/>
      <c r="CB311" s="903"/>
      <c r="CE311" s="504"/>
      <c r="CG311" s="904"/>
      <c r="CH311" s="903"/>
      <c r="CI311" s="903"/>
    </row>
    <row r="312" spans="79:87" s="5" customFormat="1">
      <c r="CA312" s="903"/>
      <c r="CB312" s="903"/>
      <c r="CE312" s="504"/>
      <c r="CG312" s="904"/>
      <c r="CH312" s="903"/>
      <c r="CI312" s="903"/>
    </row>
    <row r="313" spans="79:87" s="5" customFormat="1">
      <c r="CA313" s="903"/>
      <c r="CB313" s="903"/>
      <c r="CE313" s="504"/>
      <c r="CG313" s="904"/>
      <c r="CH313" s="903"/>
      <c r="CI313" s="903"/>
    </row>
    <row r="314" spans="79:87" s="5" customFormat="1">
      <c r="CA314" s="903"/>
      <c r="CB314" s="903"/>
      <c r="CE314" s="504"/>
      <c r="CG314" s="904"/>
      <c r="CH314" s="903"/>
      <c r="CI314" s="903"/>
    </row>
    <row r="315" spans="79:87" s="5" customFormat="1">
      <c r="CA315" s="903"/>
      <c r="CB315" s="903"/>
      <c r="CE315" s="504"/>
      <c r="CG315" s="904"/>
      <c r="CH315" s="903"/>
      <c r="CI315" s="903"/>
    </row>
    <row r="316" spans="79:87" s="5" customFormat="1">
      <c r="CA316" s="903"/>
      <c r="CB316" s="903"/>
      <c r="CE316" s="504"/>
      <c r="CG316" s="904"/>
      <c r="CH316" s="903"/>
      <c r="CI316" s="903"/>
    </row>
    <row r="317" spans="79:87" s="5" customFormat="1">
      <c r="CA317" s="903"/>
      <c r="CB317" s="903"/>
      <c r="CE317" s="504"/>
      <c r="CG317" s="904"/>
      <c r="CH317" s="903"/>
      <c r="CI317" s="903"/>
    </row>
    <row r="318" spans="79:87" s="5" customFormat="1">
      <c r="CA318" s="903"/>
      <c r="CB318" s="903"/>
      <c r="CE318" s="504"/>
      <c r="CG318" s="904"/>
      <c r="CH318" s="903"/>
      <c r="CI318" s="903"/>
    </row>
    <row r="319" spans="79:87" s="5" customFormat="1">
      <c r="CA319" s="903"/>
      <c r="CB319" s="903"/>
      <c r="CE319" s="504"/>
      <c r="CG319" s="904"/>
      <c r="CH319" s="903"/>
      <c r="CI319" s="903"/>
    </row>
    <row r="320" spans="79:87" s="5" customFormat="1">
      <c r="CA320" s="903"/>
      <c r="CB320" s="903"/>
      <c r="CE320" s="504"/>
      <c r="CG320" s="904"/>
      <c r="CH320" s="903"/>
      <c r="CI320" s="903"/>
    </row>
    <row r="321" spans="79:87" s="5" customFormat="1">
      <c r="CA321" s="903"/>
      <c r="CB321" s="903"/>
      <c r="CE321" s="504"/>
      <c r="CG321" s="904"/>
      <c r="CH321" s="903"/>
      <c r="CI321" s="903"/>
    </row>
    <row r="322" spans="79:87" s="5" customFormat="1">
      <c r="CA322" s="903"/>
      <c r="CB322" s="903"/>
      <c r="CE322" s="504"/>
      <c r="CG322" s="904"/>
      <c r="CH322" s="903"/>
      <c r="CI322" s="903"/>
    </row>
    <row r="323" spans="79:87" s="5" customFormat="1">
      <c r="CA323" s="903"/>
      <c r="CB323" s="903"/>
      <c r="CE323" s="504"/>
      <c r="CG323" s="904"/>
      <c r="CH323" s="903"/>
      <c r="CI323" s="903"/>
    </row>
    <row r="324" spans="79:87" s="5" customFormat="1">
      <c r="CA324" s="903"/>
      <c r="CB324" s="903"/>
      <c r="CE324" s="504"/>
      <c r="CG324" s="904"/>
      <c r="CH324" s="903"/>
      <c r="CI324" s="903"/>
    </row>
    <row r="325" spans="79:87" s="5" customFormat="1">
      <c r="CA325" s="903"/>
      <c r="CB325" s="903"/>
      <c r="CE325" s="504"/>
      <c r="CG325" s="904"/>
      <c r="CH325" s="903"/>
      <c r="CI325" s="903"/>
    </row>
    <row r="326" spans="79:87" s="5" customFormat="1">
      <c r="CA326" s="903"/>
      <c r="CB326" s="903"/>
      <c r="CE326" s="504"/>
      <c r="CG326" s="904"/>
      <c r="CH326" s="903"/>
      <c r="CI326" s="903"/>
    </row>
    <row r="327" spans="79:87" s="5" customFormat="1">
      <c r="CA327" s="903"/>
      <c r="CB327" s="903"/>
      <c r="CE327" s="504"/>
      <c r="CG327" s="904"/>
      <c r="CH327" s="903"/>
      <c r="CI327" s="903"/>
    </row>
    <row r="328" spans="79:87" s="5" customFormat="1">
      <c r="CA328" s="903"/>
      <c r="CB328" s="903"/>
      <c r="CE328" s="504"/>
      <c r="CG328" s="904"/>
      <c r="CH328" s="903"/>
      <c r="CI328" s="903"/>
    </row>
    <row r="329" spans="79:87" s="5" customFormat="1">
      <c r="CA329" s="903"/>
      <c r="CB329" s="903"/>
      <c r="CE329" s="504"/>
      <c r="CG329" s="904"/>
      <c r="CH329" s="903"/>
      <c r="CI329" s="903"/>
    </row>
    <row r="330" spans="79:87" s="5" customFormat="1">
      <c r="CA330" s="903"/>
      <c r="CB330" s="903"/>
      <c r="CE330" s="504"/>
      <c r="CG330" s="904"/>
      <c r="CH330" s="903"/>
      <c r="CI330" s="903"/>
    </row>
    <row r="331" spans="79:87" s="5" customFormat="1">
      <c r="CA331" s="903"/>
      <c r="CB331" s="903"/>
      <c r="CE331" s="504"/>
      <c r="CG331" s="904"/>
      <c r="CH331" s="903"/>
      <c r="CI331" s="903"/>
    </row>
    <row r="332" spans="79:87" s="5" customFormat="1">
      <c r="CA332" s="903"/>
      <c r="CB332" s="903"/>
      <c r="CE332" s="504"/>
      <c r="CG332" s="904"/>
      <c r="CH332" s="903"/>
      <c r="CI332" s="903"/>
    </row>
    <row r="333" spans="79:87" s="5" customFormat="1">
      <c r="CA333" s="903"/>
      <c r="CB333" s="903"/>
      <c r="CE333" s="504"/>
      <c r="CG333" s="904"/>
      <c r="CH333" s="903"/>
      <c r="CI333" s="903"/>
    </row>
    <row r="334" spans="79:87" s="5" customFormat="1">
      <c r="CA334" s="903"/>
      <c r="CB334" s="903"/>
      <c r="CE334" s="504"/>
      <c r="CG334" s="904"/>
      <c r="CH334" s="903"/>
      <c r="CI334" s="903"/>
    </row>
    <row r="335" spans="79:87" s="5" customFormat="1">
      <c r="CA335" s="903"/>
      <c r="CB335" s="903"/>
      <c r="CE335" s="504"/>
      <c r="CG335" s="904"/>
      <c r="CH335" s="903"/>
      <c r="CI335" s="903"/>
    </row>
    <row r="336" spans="79:87" s="5" customFormat="1">
      <c r="CA336" s="903"/>
      <c r="CB336" s="903"/>
      <c r="CE336" s="504"/>
      <c r="CG336" s="904"/>
      <c r="CH336" s="903"/>
      <c r="CI336" s="903"/>
    </row>
    <row r="337" spans="79:87" s="5" customFormat="1">
      <c r="CA337" s="903"/>
      <c r="CB337" s="903"/>
      <c r="CE337" s="504"/>
      <c r="CG337" s="904"/>
      <c r="CH337" s="903"/>
      <c r="CI337" s="903"/>
    </row>
    <row r="338" spans="79:87" s="5" customFormat="1">
      <c r="CA338" s="903"/>
      <c r="CB338" s="903"/>
      <c r="CE338" s="504"/>
      <c r="CG338" s="904"/>
      <c r="CH338" s="903"/>
      <c r="CI338" s="903"/>
    </row>
    <row r="339" spans="79:87" s="5" customFormat="1">
      <c r="CA339" s="903"/>
      <c r="CB339" s="903"/>
      <c r="CE339" s="504"/>
      <c r="CG339" s="904"/>
      <c r="CH339" s="903"/>
      <c r="CI339" s="903"/>
    </row>
    <row r="340" spans="79:87" s="5" customFormat="1">
      <c r="CA340" s="903"/>
      <c r="CB340" s="903"/>
      <c r="CE340" s="504"/>
      <c r="CG340" s="904"/>
      <c r="CH340" s="903"/>
      <c r="CI340" s="903"/>
    </row>
    <row r="341" spans="79:87" s="5" customFormat="1">
      <c r="CA341" s="903"/>
      <c r="CB341" s="903"/>
      <c r="CE341" s="504"/>
      <c r="CG341" s="904"/>
      <c r="CH341" s="903"/>
      <c r="CI341" s="903"/>
    </row>
    <row r="342" spans="79:87" s="5" customFormat="1">
      <c r="CA342" s="903"/>
      <c r="CB342" s="903"/>
      <c r="CE342" s="504"/>
      <c r="CG342" s="904"/>
      <c r="CH342" s="903"/>
      <c r="CI342" s="903"/>
    </row>
    <row r="343" spans="79:87" s="5" customFormat="1">
      <c r="CA343" s="903"/>
      <c r="CB343" s="903"/>
      <c r="CE343" s="504"/>
      <c r="CG343" s="904"/>
      <c r="CH343" s="903"/>
      <c r="CI343" s="903"/>
    </row>
    <row r="344" spans="79:87" s="5" customFormat="1">
      <c r="CA344" s="903"/>
      <c r="CB344" s="903"/>
      <c r="CE344" s="504"/>
      <c r="CG344" s="904"/>
      <c r="CH344" s="903"/>
      <c r="CI344" s="903"/>
    </row>
    <row r="345" spans="79:87" s="5" customFormat="1">
      <c r="CA345" s="903"/>
      <c r="CB345" s="903"/>
      <c r="CE345" s="504"/>
      <c r="CG345" s="904"/>
      <c r="CH345" s="903"/>
      <c r="CI345" s="903"/>
    </row>
    <row r="346" spans="79:87" s="5" customFormat="1">
      <c r="CA346" s="903"/>
      <c r="CB346" s="903"/>
      <c r="CE346" s="504"/>
      <c r="CG346" s="904"/>
      <c r="CH346" s="903"/>
      <c r="CI346" s="903"/>
    </row>
    <row r="347" spans="79:87" s="5" customFormat="1">
      <c r="CA347" s="903"/>
      <c r="CB347" s="903"/>
      <c r="CE347" s="504"/>
      <c r="CG347" s="904"/>
      <c r="CH347" s="903"/>
      <c r="CI347" s="903"/>
    </row>
    <row r="348" spans="79:87" s="5" customFormat="1">
      <c r="CA348" s="903"/>
      <c r="CB348" s="903"/>
      <c r="CE348" s="504"/>
      <c r="CG348" s="904"/>
      <c r="CH348" s="903"/>
      <c r="CI348" s="903"/>
    </row>
    <row r="349" spans="79:87" s="5" customFormat="1">
      <c r="CA349" s="903"/>
      <c r="CB349" s="903"/>
      <c r="CE349" s="504"/>
      <c r="CG349" s="904"/>
      <c r="CH349" s="903"/>
      <c r="CI349" s="903"/>
    </row>
    <row r="350" spans="79:87" s="5" customFormat="1">
      <c r="CA350" s="903"/>
      <c r="CB350" s="903"/>
      <c r="CE350" s="504"/>
      <c r="CG350" s="904"/>
      <c r="CH350" s="903"/>
      <c r="CI350" s="903"/>
    </row>
    <row r="351" spans="79:87" s="5" customFormat="1">
      <c r="CA351" s="903"/>
      <c r="CB351" s="903"/>
      <c r="CE351" s="504"/>
      <c r="CG351" s="904"/>
      <c r="CH351" s="903"/>
      <c r="CI351" s="903"/>
    </row>
    <row r="352" spans="79:87" s="5" customFormat="1">
      <c r="CA352" s="903"/>
      <c r="CB352" s="903"/>
      <c r="CE352" s="504"/>
      <c r="CG352" s="904"/>
      <c r="CH352" s="903"/>
      <c r="CI352" s="903"/>
    </row>
    <row r="353" spans="67:87"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903"/>
      <c r="CB353" s="903"/>
      <c r="CD353" s="5"/>
      <c r="CE353" s="504"/>
      <c r="CF353" s="5"/>
      <c r="CG353" s="904"/>
      <c r="CH353" s="903"/>
      <c r="CI353" s="903"/>
    </row>
    <row r="354" spans="67:87"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903"/>
      <c r="CB354" s="903"/>
      <c r="CD354" s="5"/>
      <c r="CE354" s="504"/>
      <c r="CF354" s="5"/>
      <c r="CG354" s="904"/>
      <c r="CH354" s="903"/>
      <c r="CI354" s="903"/>
    </row>
    <row r="355" spans="67:87"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903"/>
      <c r="CB355" s="903"/>
      <c r="CD355" s="5"/>
      <c r="CE355" s="504"/>
      <c r="CF355" s="5"/>
      <c r="CG355" s="904"/>
      <c r="CH355" s="903"/>
      <c r="CI355" s="903"/>
    </row>
    <row r="356" spans="67:87"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903"/>
      <c r="CB356" s="903"/>
      <c r="CD356" s="5"/>
      <c r="CE356" s="504"/>
      <c r="CF356" s="5"/>
      <c r="CG356" s="904"/>
      <c r="CH356" s="903"/>
      <c r="CI356" s="903"/>
    </row>
    <row r="357" spans="67:87"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903"/>
      <c r="CB357" s="903"/>
      <c r="CD357" s="5"/>
      <c r="CE357" s="504"/>
      <c r="CF357" s="5"/>
      <c r="CG357" s="904"/>
      <c r="CH357" s="903"/>
      <c r="CI357" s="903"/>
    </row>
    <row r="358" spans="67:87"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903"/>
      <c r="CB358" s="903"/>
      <c r="CD358" s="5"/>
      <c r="CE358" s="504"/>
      <c r="CF358" s="5"/>
      <c r="CG358" s="904"/>
      <c r="CH358" s="903"/>
      <c r="CI358" s="903"/>
    </row>
    <row r="359" spans="67:87"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903"/>
      <c r="CB359" s="903"/>
      <c r="CD359" s="5"/>
      <c r="CE359" s="504"/>
      <c r="CF359" s="5"/>
      <c r="CG359" s="904"/>
      <c r="CH359" s="903"/>
      <c r="CI359" s="903"/>
    </row>
    <row r="360" spans="67:87"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903"/>
      <c r="CB360" s="903"/>
      <c r="CD360" s="5"/>
      <c r="CE360" s="504"/>
      <c r="CF360" s="5"/>
      <c r="CG360" s="904"/>
      <c r="CH360" s="903"/>
      <c r="CI360" s="903"/>
    </row>
    <row r="361" spans="67:87"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903"/>
      <c r="CB361" s="903"/>
      <c r="CD361" s="5"/>
      <c r="CE361" s="504"/>
      <c r="CF361" s="5"/>
      <c r="CG361" s="904"/>
      <c r="CH361" s="903"/>
      <c r="CI361" s="903"/>
    </row>
    <row r="362" spans="67:87"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903"/>
      <c r="CB362" s="903"/>
      <c r="CD362" s="5"/>
      <c r="CE362" s="504"/>
      <c r="CF362" s="5"/>
      <c r="CG362" s="904"/>
      <c r="CH362" s="903"/>
      <c r="CI362" s="903"/>
    </row>
    <row r="363" spans="67:87"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903"/>
      <c r="CB363" s="903"/>
      <c r="CD363" s="5"/>
      <c r="CE363" s="504"/>
      <c r="CF363" s="5"/>
      <c r="CG363" s="904"/>
      <c r="CH363" s="903"/>
      <c r="CI363" s="903"/>
    </row>
    <row r="364" spans="67:87">
      <c r="BO364" s="185"/>
      <c r="BP364" s="905"/>
    </row>
  </sheetData>
  <autoFilter ref="A2:CI44" xr:uid="{791ACA58-90E4-4462-8986-0189800AC96F}">
    <filterColumn colId="1">
      <filters>
        <filter val="914"/>
      </filters>
    </filterColumn>
    <filterColumn colId="2">
      <filters>
        <filter val="A"/>
        <filter val="B"/>
      </filters>
    </filterColumn>
  </autoFilter>
  <conditionalFormatting sqref="E3:E45">
    <cfRule type="expression" dxfId="924" priority="48">
      <formula>B3=846</formula>
    </cfRule>
    <cfRule type="expression" dxfId="923" priority="99">
      <formula>B3=914</formula>
    </cfRule>
  </conditionalFormatting>
  <conditionalFormatting sqref="F3:F45">
    <cfRule type="expression" dxfId="922" priority="47">
      <formula>B3=846</formula>
    </cfRule>
    <cfRule type="expression" dxfId="921" priority="100">
      <formula>B3=914</formula>
    </cfRule>
    <cfRule type="expression" dxfId="920" priority="145">
      <formula>B3=603</formula>
    </cfRule>
  </conditionalFormatting>
  <conditionalFormatting sqref="G3:G45">
    <cfRule type="expression" dxfId="919" priority="144">
      <formula>B3=603</formula>
    </cfRule>
  </conditionalFormatting>
  <conditionalFormatting sqref="H3:H45">
    <cfRule type="expression" dxfId="918" priority="46">
      <formula>B3=846</formula>
    </cfRule>
    <cfRule type="expression" dxfId="917" priority="143">
      <formula>B3=603</formula>
    </cfRule>
  </conditionalFormatting>
  <conditionalFormatting sqref="I3:I45">
    <cfRule type="expression" dxfId="916" priority="45">
      <formula>B3=846</formula>
    </cfRule>
    <cfRule type="expression" dxfId="915" priority="98">
      <formula>B3=914</formula>
    </cfRule>
    <cfRule type="expression" dxfId="914" priority="142">
      <formula>B3=603</formula>
    </cfRule>
  </conditionalFormatting>
  <conditionalFormatting sqref="J3:J45">
    <cfRule type="expression" dxfId="913" priority="44">
      <formula>B3=846</formula>
    </cfRule>
    <cfRule type="expression" dxfId="912" priority="97">
      <formula>B3=914</formula>
    </cfRule>
    <cfRule type="expression" dxfId="911" priority="141">
      <formula>B3=603</formula>
    </cfRule>
  </conditionalFormatting>
  <conditionalFormatting sqref="K3:K45">
    <cfRule type="expression" dxfId="910" priority="43">
      <formula>B3=846</formula>
    </cfRule>
    <cfRule type="expression" dxfId="909" priority="96">
      <formula>B3=914</formula>
    </cfRule>
    <cfRule type="expression" dxfId="908" priority="140">
      <formula>B3=603</formula>
    </cfRule>
  </conditionalFormatting>
  <conditionalFormatting sqref="L3:L45">
    <cfRule type="expression" dxfId="907" priority="42">
      <formula>B3=846</formula>
    </cfRule>
    <cfRule type="expression" dxfId="906" priority="95">
      <formula>B3=914</formula>
    </cfRule>
    <cfRule type="expression" dxfId="905" priority="139">
      <formula>B3=603</formula>
    </cfRule>
  </conditionalFormatting>
  <conditionalFormatting sqref="M3:M45">
    <cfRule type="expression" dxfId="904" priority="94">
      <formula>B3=914</formula>
    </cfRule>
    <cfRule type="expression" dxfId="903" priority="138">
      <formula>B3=603</formula>
    </cfRule>
  </conditionalFormatting>
  <conditionalFormatting sqref="N3:N45">
    <cfRule type="expression" dxfId="902" priority="41">
      <formula>B3=846</formula>
    </cfRule>
    <cfRule type="expression" dxfId="901" priority="93">
      <formula>B3=914</formula>
    </cfRule>
    <cfRule type="expression" dxfId="900" priority="137">
      <formula>B3=603</formula>
    </cfRule>
  </conditionalFormatting>
  <conditionalFormatting sqref="Q3:Q45">
    <cfRule type="expression" dxfId="899" priority="92">
      <formula>B3=914</formula>
    </cfRule>
    <cfRule type="expression" dxfId="898" priority="136">
      <formula>B3=603</formula>
    </cfRule>
  </conditionalFormatting>
  <conditionalFormatting sqref="R3:R45">
    <cfRule type="expression" dxfId="897" priority="40">
      <formula>B3=846</formula>
    </cfRule>
    <cfRule type="expression" dxfId="896" priority="91">
      <formula>B3=914</formula>
    </cfRule>
    <cfRule type="expression" dxfId="895" priority="135">
      <formula>B3=603</formula>
    </cfRule>
  </conditionalFormatting>
  <conditionalFormatting sqref="S3:S45">
    <cfRule type="expression" dxfId="894" priority="39">
      <formula>B3=846</formula>
    </cfRule>
    <cfRule type="expression" dxfId="893" priority="134">
      <formula>B3=603</formula>
    </cfRule>
  </conditionalFormatting>
  <conditionalFormatting sqref="T3:T45">
    <cfRule type="expression" dxfId="892" priority="38">
      <formula>B3=846</formula>
    </cfRule>
    <cfRule type="expression" dxfId="891" priority="90">
      <formula>B3=914</formula>
    </cfRule>
    <cfRule type="expression" dxfId="890" priority="133">
      <formula>B3=603</formula>
    </cfRule>
  </conditionalFormatting>
  <conditionalFormatting sqref="U3:U45">
    <cfRule type="expression" dxfId="889" priority="37">
      <formula>B3=846</formula>
    </cfRule>
    <cfRule type="expression" dxfId="888" priority="89">
      <formula>B3=914</formula>
    </cfRule>
    <cfRule type="expression" dxfId="887" priority="132">
      <formula>B3=603</formula>
    </cfRule>
  </conditionalFormatting>
  <conditionalFormatting sqref="V3:V45">
    <cfRule type="expression" dxfId="886" priority="35">
      <formula>B3=846</formula>
    </cfRule>
  </conditionalFormatting>
  <conditionalFormatting sqref="W3:W45">
    <cfRule type="expression" dxfId="885" priority="36">
      <formula>B3=846</formula>
    </cfRule>
    <cfRule type="expression" dxfId="884" priority="88">
      <formula>B3=914</formula>
    </cfRule>
    <cfRule type="expression" dxfId="883" priority="131">
      <formula>B3=603</formula>
    </cfRule>
  </conditionalFormatting>
  <conditionalFormatting sqref="X3:X45">
    <cfRule type="expression" dxfId="882" priority="34">
      <formula>B3=846</formula>
    </cfRule>
    <cfRule type="expression" dxfId="881" priority="86">
      <formula>B3=914</formula>
    </cfRule>
    <cfRule type="expression" dxfId="880" priority="130">
      <formula>B3=603</formula>
    </cfRule>
  </conditionalFormatting>
  <conditionalFormatting sqref="Y3:Y45">
    <cfRule type="expression" dxfId="879" priority="33">
      <formula>B3=846</formula>
    </cfRule>
    <cfRule type="expression" dxfId="878" priority="85">
      <formula>B3=914</formula>
    </cfRule>
    <cfRule type="expression" dxfId="877" priority="129">
      <formula>B3=603</formula>
    </cfRule>
  </conditionalFormatting>
  <conditionalFormatting sqref="Z3:Z45">
    <cfRule type="expression" dxfId="876" priority="32">
      <formula>B3=846</formula>
    </cfRule>
    <cfRule type="expression" dxfId="875" priority="84">
      <formula>B3=914</formula>
    </cfRule>
  </conditionalFormatting>
  <conditionalFormatting sqref="AA3:AA45">
    <cfRule type="expression" dxfId="874" priority="31">
      <formula>B3=846</formula>
    </cfRule>
    <cfRule type="expression" dxfId="873" priority="83">
      <formula>B3=914</formula>
    </cfRule>
    <cfRule type="expression" dxfId="872" priority="128">
      <formula>B3=603</formula>
    </cfRule>
  </conditionalFormatting>
  <conditionalFormatting sqref="AB3:AB45">
    <cfRule type="expression" dxfId="871" priority="82">
      <formula>B3=914</formula>
    </cfRule>
  </conditionalFormatting>
  <conditionalFormatting sqref="AC3:AC45">
    <cfRule type="expression" dxfId="870" priority="81">
      <formula>B3=914</formula>
    </cfRule>
  </conditionalFormatting>
  <conditionalFormatting sqref="AD3:AD45">
    <cfRule type="expression" dxfId="869" priority="30">
      <formula>B3=846</formula>
    </cfRule>
    <cfRule type="expression" dxfId="868" priority="80">
      <formula>B3=914</formula>
    </cfRule>
    <cfRule type="expression" dxfId="867" priority="127">
      <formula>B3=603</formula>
    </cfRule>
  </conditionalFormatting>
  <conditionalFormatting sqref="AE3:AE45">
    <cfRule type="expression" dxfId="866" priority="29">
      <formula>B3=846</formula>
    </cfRule>
    <cfRule type="expression" dxfId="865" priority="79">
      <formula>B3=914</formula>
    </cfRule>
    <cfRule type="expression" dxfId="864" priority="126">
      <formula>B3=603</formula>
    </cfRule>
  </conditionalFormatting>
  <conditionalFormatting sqref="AF3:AF45">
    <cfRule type="expression" dxfId="863" priority="28">
      <formula>$B3=846</formula>
    </cfRule>
    <cfRule type="expression" dxfId="862" priority="125">
      <formula>B3=603</formula>
    </cfRule>
  </conditionalFormatting>
  <conditionalFormatting sqref="AF3:BB45">
    <cfRule type="expression" dxfId="861" priority="56">
      <formula>$B3=914</formula>
    </cfRule>
  </conditionalFormatting>
  <conditionalFormatting sqref="AH3:AZ45">
    <cfRule type="expression" dxfId="860" priority="9">
      <formula>$B3=846</formula>
    </cfRule>
  </conditionalFormatting>
  <conditionalFormatting sqref="AI3:AI45">
    <cfRule type="expression" dxfId="859" priority="124">
      <formula>B3=603</formula>
    </cfRule>
  </conditionalFormatting>
  <conditionalFormatting sqref="AJ3:AJ45">
    <cfRule type="expression" dxfId="858" priority="123">
      <formula>B3=603</formula>
    </cfRule>
  </conditionalFormatting>
  <conditionalFormatting sqref="AK3:AK45">
    <cfRule type="expression" dxfId="857" priority="122">
      <formula>B3=603</formula>
    </cfRule>
  </conditionalFormatting>
  <conditionalFormatting sqref="AL3:AL45">
    <cfRule type="expression" dxfId="856" priority="121">
      <formula>B3=603</formula>
    </cfRule>
  </conditionalFormatting>
  <conditionalFormatting sqref="AM3:AM45">
    <cfRule type="expression" dxfId="855" priority="120">
      <formula>B3=603</formula>
    </cfRule>
  </conditionalFormatting>
  <conditionalFormatting sqref="AN3:AN45">
    <cfRule type="expression" dxfId="854" priority="119">
      <formula>B3=603</formula>
    </cfRule>
  </conditionalFormatting>
  <conditionalFormatting sqref="AO3:AO45">
    <cfRule type="expression" dxfId="853" priority="118">
      <formula>B3=603</formula>
    </cfRule>
  </conditionalFormatting>
  <conditionalFormatting sqref="AP3:AP45">
    <cfRule type="expression" dxfId="852" priority="117">
      <formula>B3=603</formula>
    </cfRule>
  </conditionalFormatting>
  <conditionalFormatting sqref="AS3:AS45">
    <cfRule type="expression" dxfId="851" priority="116">
      <formula>B3=603</formula>
    </cfRule>
  </conditionalFormatting>
  <conditionalFormatting sqref="AT3:AT45">
    <cfRule type="expression" dxfId="850" priority="115">
      <formula>B3=603</formula>
    </cfRule>
  </conditionalFormatting>
  <conditionalFormatting sqref="AU3:AU45">
    <cfRule type="expression" dxfId="849" priority="114">
      <formula>B3=603</formula>
    </cfRule>
  </conditionalFormatting>
  <conditionalFormatting sqref="AV3:AV45">
    <cfRule type="expression" dxfId="848" priority="113">
      <formula>B3=603</formula>
    </cfRule>
  </conditionalFormatting>
  <conditionalFormatting sqref="AW3:AW45">
    <cfRule type="expression" dxfId="847" priority="112">
      <formula>B3=603</formula>
    </cfRule>
  </conditionalFormatting>
  <conditionalFormatting sqref="AX3:AX45">
    <cfRule type="expression" dxfId="846" priority="111">
      <formula>B3=603</formula>
    </cfRule>
  </conditionalFormatting>
  <conditionalFormatting sqref="BA3:BA45">
    <cfRule type="expression" dxfId="845" priority="110">
      <formula>B3=603</formula>
    </cfRule>
  </conditionalFormatting>
  <conditionalFormatting sqref="BB3:BB45">
    <cfRule type="expression" dxfId="844" priority="8">
      <formula>$B3=846</formula>
    </cfRule>
    <cfRule type="expression" dxfId="843" priority="109">
      <formula>B3=603</formula>
    </cfRule>
  </conditionalFormatting>
  <conditionalFormatting sqref="BD3:BD45">
    <cfRule type="expression" dxfId="842" priority="7">
      <formula>$B3=846</formula>
    </cfRule>
    <cfRule type="expression" dxfId="841" priority="55">
      <formula>$B3=914</formula>
    </cfRule>
    <cfRule type="expression" dxfId="840" priority="108">
      <formula>B3=603</formula>
    </cfRule>
  </conditionalFormatting>
  <conditionalFormatting sqref="BE3:BE45">
    <cfRule type="expression" dxfId="839" priority="107">
      <formula>B3=603</formula>
    </cfRule>
  </conditionalFormatting>
  <conditionalFormatting sqref="BF3:BF45">
    <cfRule type="expression" dxfId="838" priority="106">
      <formula>B3=603</formula>
    </cfRule>
  </conditionalFormatting>
  <conditionalFormatting sqref="BF3:BG45">
    <cfRule type="expression" dxfId="837" priority="5">
      <formula>$B3=846</formula>
    </cfRule>
    <cfRule type="expression" dxfId="836" priority="53">
      <formula>$B3=914</formula>
    </cfRule>
  </conditionalFormatting>
  <conditionalFormatting sqref="BG3:BG45">
    <cfRule type="expression" dxfId="835" priority="105">
      <formula>B3=603</formula>
    </cfRule>
  </conditionalFormatting>
  <conditionalFormatting sqref="BH3:BH45">
    <cfRule type="expression" dxfId="834" priority="104">
      <formula>B3=603</formula>
    </cfRule>
  </conditionalFormatting>
  <conditionalFormatting sqref="BI3:BI45">
    <cfRule type="expression" dxfId="833" priority="103">
      <formula>B3=603</formula>
    </cfRule>
  </conditionalFormatting>
  <conditionalFormatting sqref="BI3:BL45">
    <cfRule type="expression" dxfId="832" priority="1">
      <formula>$B3=846</formula>
    </cfRule>
    <cfRule type="expression" dxfId="831" priority="49">
      <formula>$B3=914</formula>
    </cfRule>
  </conditionalFormatting>
  <conditionalFormatting sqref="BJ3:BJ45">
    <cfRule type="expression" dxfId="830" priority="102">
      <formula>B3=603</formula>
    </cfRule>
  </conditionalFormatting>
  <conditionalFormatting sqref="BL3:BL45">
    <cfRule type="expression" dxfId="829" priority="101">
      <formula>B3=603</formula>
    </cfRule>
  </conditionalFormatting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D8FA-C7F8-453B-9FA9-6C0B0CFB6E31}">
  <sheetPr filterMode="1"/>
  <dimension ref="A1:BA90"/>
  <sheetViews>
    <sheetView zoomScale="80" zoomScaleNormal="80" workbookViewId="0">
      <pane ySplit="2" topLeftCell="V20" activePane="bottomLeft" state="frozen"/>
      <selection pane="bottomLeft" activeCell="AE38" sqref="AE38"/>
    </sheetView>
  </sheetViews>
  <sheetFormatPr defaultColWidth="8.85546875" defaultRowHeight="14.45"/>
  <cols>
    <col min="1" max="1" width="18.28515625" style="5" bestFit="1" customWidth="1"/>
    <col min="2" max="2" width="7.28515625" style="5" bestFit="1" customWidth="1"/>
    <col min="3" max="3" width="6.140625" style="5" bestFit="1" customWidth="1"/>
    <col min="4" max="4" width="8" style="5" bestFit="1" customWidth="1"/>
    <col min="5" max="5" width="5.7109375" style="5" bestFit="1" customWidth="1"/>
    <col min="6" max="6" width="5.7109375" style="5" customWidth="1"/>
    <col min="7" max="7" width="13.42578125" style="5" customWidth="1"/>
    <col min="8" max="8" width="7.42578125" style="5" bestFit="1" customWidth="1"/>
    <col min="9" max="9" width="14" style="5" bestFit="1" customWidth="1"/>
    <col min="10" max="11" width="7.28515625" style="5" bestFit="1" customWidth="1"/>
    <col min="12" max="12" width="5" style="5" bestFit="1" customWidth="1"/>
    <col min="13" max="13" width="6.140625" style="5" bestFit="1" customWidth="1"/>
    <col min="14" max="18" width="8.85546875" style="5" bestFit="1" customWidth="1"/>
    <col min="19" max="19" width="8.7109375" style="5" bestFit="1" customWidth="1"/>
    <col min="20" max="20" width="9" style="5" bestFit="1" customWidth="1"/>
    <col min="21" max="21" width="10.5703125" style="5" bestFit="1" customWidth="1"/>
    <col min="22" max="22" width="10.7109375" style="5" bestFit="1" customWidth="1"/>
    <col min="23" max="23" width="9.42578125" style="5" bestFit="1" customWidth="1"/>
    <col min="24" max="24" width="4.7109375" style="5" bestFit="1" customWidth="1"/>
    <col min="25" max="25" width="20.5703125" style="5" bestFit="1" customWidth="1"/>
    <col min="26" max="26" width="19" style="180" bestFit="1" customWidth="1"/>
    <col min="27" max="27" width="23.42578125" style="549" bestFit="1" customWidth="1"/>
    <col min="28" max="28" width="21.42578125" style="192" bestFit="1" customWidth="1"/>
    <col min="29" max="29" width="19" style="193" bestFit="1" customWidth="1"/>
    <col min="30" max="30" width="21.42578125" style="192" bestFit="1" customWidth="1"/>
    <col min="31" max="31" width="19" style="268" bestFit="1" customWidth="1"/>
    <col min="32" max="32" width="23.5703125" style="271" bestFit="1" customWidth="1"/>
    <col min="33" max="33" width="19" style="544" bestFit="1" customWidth="1"/>
    <col min="34" max="34" width="21.42578125" style="361" bestFit="1" customWidth="1"/>
    <col min="35" max="35" width="19" style="555" bestFit="1" customWidth="1"/>
    <col min="36" max="36" width="21.28515625" style="226" bestFit="1" customWidth="1"/>
    <col min="37" max="37" width="15.42578125" style="494" customWidth="1"/>
    <col min="38" max="38" width="23.42578125" style="355" customWidth="1"/>
    <col min="39" max="39" width="19" style="355" bestFit="1" customWidth="1"/>
    <col min="40" max="41" width="9.140625" style="5"/>
    <col min="42" max="42" width="21.28515625" style="226" bestFit="1" customWidth="1"/>
    <col min="43" max="43" width="15.42578125" style="494" customWidth="1"/>
    <col min="44" max="44" width="21.42578125" style="192" bestFit="1" customWidth="1"/>
    <col min="45" max="45" width="19" style="193" bestFit="1" customWidth="1"/>
    <col min="46" max="46" width="21.42578125" style="192" bestFit="1" customWidth="1"/>
    <col min="47" max="47" width="19" style="268" bestFit="1" customWidth="1"/>
    <col min="48" max="48" width="23.42578125" style="355" customWidth="1"/>
    <col min="49" max="49" width="19" style="355" bestFit="1" customWidth="1"/>
    <col min="50" max="50" width="14.5703125" style="5" customWidth="1"/>
    <col min="51" max="51" width="10.28515625" style="5" bestFit="1" customWidth="1"/>
    <col min="52" max="52" width="9.85546875" style="5" bestFit="1" customWidth="1"/>
    <col min="53" max="16384" width="8.85546875" style="5"/>
  </cols>
  <sheetData>
    <row r="1" spans="1:50" ht="18.600000000000001">
      <c r="A1" s="10" t="s">
        <v>7</v>
      </c>
      <c r="B1" s="5" t="s">
        <v>611</v>
      </c>
      <c r="C1" s="5" t="s">
        <v>361</v>
      </c>
      <c r="D1" s="5" t="s">
        <v>373</v>
      </c>
      <c r="E1" s="5" t="s">
        <v>375</v>
      </c>
      <c r="G1" s="631" t="s">
        <v>395</v>
      </c>
      <c r="H1" s="5" t="s">
        <v>589</v>
      </c>
      <c r="I1" s="5" t="s">
        <v>591</v>
      </c>
      <c r="X1" s="11"/>
      <c r="Z1" s="294"/>
      <c r="AA1" s="297"/>
      <c r="AB1" s="294"/>
      <c r="AC1" s="297"/>
      <c r="AD1" s="294"/>
      <c r="AE1" s="294"/>
      <c r="AF1" s="294"/>
      <c r="AG1" s="297"/>
      <c r="AH1" s="294"/>
      <c r="AI1" s="297"/>
      <c r="AJ1" s="294"/>
      <c r="AK1" s="297"/>
      <c r="AL1" s="295"/>
      <c r="AM1" s="295"/>
      <c r="AN1" s="294"/>
      <c r="AO1" s="294"/>
      <c r="AP1" s="294"/>
      <c r="AQ1" s="297"/>
      <c r="AR1" s="294"/>
      <c r="AS1" s="297"/>
      <c r="AT1" s="294"/>
      <c r="AU1" s="294"/>
      <c r="AV1" s="295" t="s">
        <v>810</v>
      </c>
      <c r="AW1" s="295"/>
    </row>
    <row r="2" spans="1:50" s="81" customFormat="1" ht="50.25" customHeight="1">
      <c r="A2" s="102" t="s">
        <v>612</v>
      </c>
      <c r="B2" s="102" t="s">
        <v>613</v>
      </c>
      <c r="C2" s="102" t="s">
        <v>614</v>
      </c>
      <c r="D2" s="82" t="s">
        <v>811</v>
      </c>
      <c r="E2" s="82" t="s">
        <v>615</v>
      </c>
      <c r="F2" s="82" t="s">
        <v>618</v>
      </c>
      <c r="G2" s="82" t="s">
        <v>89</v>
      </c>
      <c r="H2" s="83" t="s">
        <v>83</v>
      </c>
      <c r="I2" s="83" t="s">
        <v>365</v>
      </c>
      <c r="J2" s="83" t="s">
        <v>812</v>
      </c>
      <c r="K2" s="83" t="s">
        <v>617</v>
      </c>
      <c r="L2" s="83" t="s">
        <v>79</v>
      </c>
      <c r="M2" s="83" t="s">
        <v>120</v>
      </c>
      <c r="N2" s="83" t="s">
        <v>813</v>
      </c>
      <c r="O2" s="83" t="s">
        <v>814</v>
      </c>
      <c r="P2" s="83" t="s">
        <v>352</v>
      </c>
      <c r="Q2" s="83" t="s">
        <v>369</v>
      </c>
      <c r="R2" s="82" t="s">
        <v>105</v>
      </c>
      <c r="S2" s="82" t="s">
        <v>152</v>
      </c>
      <c r="T2" s="82" t="s">
        <v>107</v>
      </c>
      <c r="U2" s="82" t="s">
        <v>159</v>
      </c>
      <c r="V2" s="82" t="s">
        <v>298</v>
      </c>
      <c r="W2" s="82" t="s">
        <v>111</v>
      </c>
      <c r="X2" s="85" t="s">
        <v>289</v>
      </c>
      <c r="Y2" s="88" t="s">
        <v>612</v>
      </c>
      <c r="Z2" s="300" t="s">
        <v>631</v>
      </c>
      <c r="AA2" s="546" t="s">
        <v>632</v>
      </c>
      <c r="AB2" s="364" t="s">
        <v>633</v>
      </c>
      <c r="AC2" s="553" t="s">
        <v>634</v>
      </c>
      <c r="AD2" s="364" t="s">
        <v>635</v>
      </c>
      <c r="AE2" s="365" t="s">
        <v>636</v>
      </c>
      <c r="AF2" s="366" t="s">
        <v>637</v>
      </c>
      <c r="AG2" s="550" t="s">
        <v>638</v>
      </c>
      <c r="AH2" s="368" t="s">
        <v>639</v>
      </c>
      <c r="AI2" s="554" t="s">
        <v>640</v>
      </c>
      <c r="AJ2" s="333" t="s">
        <v>641</v>
      </c>
      <c r="AK2" s="552" t="s">
        <v>642</v>
      </c>
      <c r="AL2" s="370" t="s">
        <v>643</v>
      </c>
      <c r="AM2" s="371" t="s">
        <v>644</v>
      </c>
      <c r="AP2" s="333" t="s">
        <v>641</v>
      </c>
      <c r="AQ2" s="552" t="s">
        <v>642</v>
      </c>
      <c r="AR2" s="364" t="s">
        <v>633</v>
      </c>
      <c r="AS2" s="553" t="s">
        <v>634</v>
      </c>
      <c r="AT2" s="364" t="s">
        <v>635</v>
      </c>
      <c r="AU2" s="365" t="s">
        <v>636</v>
      </c>
      <c r="AV2" s="370" t="s">
        <v>645</v>
      </c>
      <c r="AW2" s="371" t="s">
        <v>646</v>
      </c>
    </row>
    <row r="3" spans="1:50">
      <c r="A3" s="9">
        <v>79</v>
      </c>
      <c r="B3" s="9">
        <v>896</v>
      </c>
      <c r="C3" s="9" t="s">
        <v>648</v>
      </c>
      <c r="D3" s="9"/>
      <c r="E3" s="9">
        <v>2</v>
      </c>
      <c r="F3" s="9"/>
      <c r="G3" s="9">
        <v>1</v>
      </c>
      <c r="H3" s="9"/>
      <c r="I3" s="38">
        <v>1</v>
      </c>
      <c r="J3" s="9"/>
      <c r="K3" s="9" t="s">
        <v>650</v>
      </c>
      <c r="L3" s="9"/>
      <c r="M3" s="9"/>
      <c r="N3" s="13"/>
      <c r="O3" s="13"/>
      <c r="P3" s="9"/>
      <c r="Q3" s="9" t="s">
        <v>650</v>
      </c>
      <c r="R3" s="9" t="s">
        <v>650</v>
      </c>
      <c r="S3" s="9"/>
      <c r="T3" s="9"/>
      <c r="U3" s="9" t="s">
        <v>650</v>
      </c>
      <c r="V3" s="9"/>
      <c r="W3" s="9" t="s">
        <v>650</v>
      </c>
      <c r="X3" s="13"/>
      <c r="Y3" s="9" t="s">
        <v>815</v>
      </c>
      <c r="Z3" s="437">
        <v>98216722</v>
      </c>
      <c r="AA3" s="438">
        <v>12223.05</v>
      </c>
      <c r="AB3" s="187"/>
      <c r="AC3" s="188"/>
      <c r="AD3" s="187"/>
      <c r="AE3" s="265"/>
      <c r="AF3" s="435" t="s">
        <v>816</v>
      </c>
      <c r="AG3" s="436"/>
      <c r="AH3" s="441">
        <v>98213771</v>
      </c>
      <c r="AI3" s="442">
        <v>110.99</v>
      </c>
      <c r="AJ3" s="439">
        <v>98131787</v>
      </c>
      <c r="AK3" s="440">
        <v>8501.5499999999993</v>
      </c>
      <c r="AL3" s="443">
        <f>Z3</f>
        <v>98216722</v>
      </c>
      <c r="AM3" s="444">
        <f>AA3+AC3+AE3+AG3+AI3</f>
        <v>12334.039999999999</v>
      </c>
      <c r="AP3" s="439">
        <v>98131787</v>
      </c>
      <c r="AQ3" s="440">
        <v>8501.5499999999993</v>
      </c>
      <c r="AR3" s="433">
        <v>98126694</v>
      </c>
      <c r="AS3" s="434">
        <v>2124.2199999999998</v>
      </c>
      <c r="AT3" s="187"/>
      <c r="AU3" s="265"/>
      <c r="AV3" s="443">
        <f>AP3</f>
        <v>98131787</v>
      </c>
      <c r="AW3" s="444">
        <f t="shared" ref="AW3:AW8" si="0">AQ3+AS3</f>
        <v>10625.769999999999</v>
      </c>
    </row>
    <row r="4" spans="1:50">
      <c r="A4" s="7">
        <v>80</v>
      </c>
      <c r="B4" s="7">
        <v>896</v>
      </c>
      <c r="C4" s="409" t="s">
        <v>688</v>
      </c>
      <c r="D4" s="7"/>
      <c r="E4" s="7">
        <v>2</v>
      </c>
      <c r="F4" s="7"/>
      <c r="G4" s="7"/>
      <c r="H4" s="7"/>
      <c r="I4" s="7"/>
      <c r="J4" s="7"/>
      <c r="K4" s="409" t="s">
        <v>650</v>
      </c>
      <c r="L4" s="7"/>
      <c r="M4" s="7"/>
      <c r="N4" s="13"/>
      <c r="O4" s="13"/>
      <c r="P4" s="7"/>
      <c r="Q4" s="7"/>
      <c r="R4" s="7"/>
      <c r="S4" s="7"/>
      <c r="T4" s="7"/>
      <c r="U4" s="409" t="s">
        <v>650</v>
      </c>
      <c r="V4" s="7"/>
      <c r="W4" s="409" t="s">
        <v>650</v>
      </c>
      <c r="X4" s="13"/>
      <c r="Y4" s="7" t="s">
        <v>817</v>
      </c>
      <c r="Z4" s="437">
        <v>98216726</v>
      </c>
      <c r="AA4" s="438">
        <v>12226.05</v>
      </c>
      <c r="AB4" s="187"/>
      <c r="AC4" s="188"/>
      <c r="AD4" s="187"/>
      <c r="AE4" s="265"/>
      <c r="AF4" s="435" t="s">
        <v>816</v>
      </c>
      <c r="AG4" s="551"/>
      <c r="AH4" s="441">
        <v>98213807</v>
      </c>
      <c r="AI4" s="442">
        <v>110.99</v>
      </c>
      <c r="AJ4" s="439">
        <v>98149675</v>
      </c>
      <c r="AK4" s="440">
        <v>8546.91</v>
      </c>
      <c r="AL4" s="443">
        <f>Z4</f>
        <v>98216726</v>
      </c>
      <c r="AM4" s="444">
        <f>AA4+AC4+AE4+AG4+AI4</f>
        <v>12337.039999999999</v>
      </c>
      <c r="AP4" s="439">
        <v>98149675</v>
      </c>
      <c r="AQ4" s="440">
        <v>8546.91</v>
      </c>
      <c r="AR4" s="433">
        <v>98149483</v>
      </c>
      <c r="AS4" s="434">
        <v>2476.42</v>
      </c>
      <c r="AT4" s="187"/>
      <c r="AU4" s="265"/>
      <c r="AV4" s="443">
        <f>AP4</f>
        <v>98149675</v>
      </c>
      <c r="AW4" s="444">
        <f t="shared" si="0"/>
        <v>11023.33</v>
      </c>
    </row>
    <row r="5" spans="1:50">
      <c r="A5" s="9">
        <v>81</v>
      </c>
      <c r="B5" s="9">
        <v>896</v>
      </c>
      <c r="C5" s="9" t="s">
        <v>648</v>
      </c>
      <c r="D5" s="9"/>
      <c r="E5" s="9">
        <v>2</v>
      </c>
      <c r="F5" s="9"/>
      <c r="G5" s="9"/>
      <c r="H5" s="9"/>
      <c r="I5" s="9"/>
      <c r="J5" s="9"/>
      <c r="K5" s="410" t="s">
        <v>650</v>
      </c>
      <c r="L5" s="9"/>
      <c r="M5" s="9"/>
      <c r="N5" s="13"/>
      <c r="O5" s="13"/>
      <c r="P5" s="9"/>
      <c r="Q5" s="410" t="s">
        <v>650</v>
      </c>
      <c r="R5" s="410" t="s">
        <v>650</v>
      </c>
      <c r="S5" s="9"/>
      <c r="T5" s="9"/>
      <c r="U5" s="410" t="s">
        <v>650</v>
      </c>
      <c r="V5" s="9"/>
      <c r="W5" s="410" t="s">
        <v>650</v>
      </c>
      <c r="X5" s="13"/>
      <c r="Y5" s="9" t="s">
        <v>818</v>
      </c>
      <c r="Z5" s="437">
        <v>98213840</v>
      </c>
      <c r="AA5" s="438">
        <v>12158.2</v>
      </c>
      <c r="AB5" s="187"/>
      <c r="AC5" s="188"/>
      <c r="AD5" s="187"/>
      <c r="AE5" s="188"/>
      <c r="AF5" s="435" t="s">
        <v>816</v>
      </c>
      <c r="AG5" s="436"/>
      <c r="AH5" s="441">
        <v>98213840</v>
      </c>
      <c r="AI5" s="442">
        <v>110.99</v>
      </c>
      <c r="AJ5" s="219">
        <v>98712032</v>
      </c>
      <c r="AK5" s="225">
        <v>8501.5499999999993</v>
      </c>
      <c r="AL5" s="443">
        <f t="shared" ref="AL5:AL67" si="1">Z5</f>
        <v>98213840</v>
      </c>
      <c r="AM5" s="444">
        <f t="shared" ref="AM5:AM63" si="2">AA5+AC5+AE5+AG5+AI5</f>
        <v>12269.19</v>
      </c>
      <c r="AP5" s="219">
        <v>98712032</v>
      </c>
      <c r="AQ5" s="225">
        <v>8501.5499999999993</v>
      </c>
      <c r="AR5" s="187">
        <v>98149519</v>
      </c>
      <c r="AS5" s="188">
        <v>2639.38</v>
      </c>
      <c r="AT5" s="187"/>
      <c r="AU5" s="188"/>
      <c r="AV5" s="363">
        <f t="shared" ref="AV5:AV67" si="3">AP5</f>
        <v>98712032</v>
      </c>
      <c r="AW5" s="356">
        <f t="shared" si="0"/>
        <v>11140.93</v>
      </c>
    </row>
    <row r="6" spans="1:50">
      <c r="A6" s="7">
        <v>82</v>
      </c>
      <c r="B6" s="7">
        <v>941</v>
      </c>
      <c r="C6" s="7" t="s">
        <v>648</v>
      </c>
      <c r="D6" s="13"/>
      <c r="E6" s="7">
        <v>2</v>
      </c>
      <c r="F6" s="7"/>
      <c r="G6" s="7">
        <v>2</v>
      </c>
      <c r="H6" s="7"/>
      <c r="I6" s="7"/>
      <c r="J6" s="7"/>
      <c r="K6" s="7" t="s">
        <v>650</v>
      </c>
      <c r="L6" s="7"/>
      <c r="M6" s="7"/>
      <c r="N6" s="7"/>
      <c r="O6" s="7" t="s">
        <v>819</v>
      </c>
      <c r="P6" s="7" t="s">
        <v>650</v>
      </c>
      <c r="Q6" s="7" t="s">
        <v>650</v>
      </c>
      <c r="R6" s="7" t="s">
        <v>650</v>
      </c>
      <c r="S6" s="7" t="s">
        <v>650</v>
      </c>
      <c r="T6" s="7"/>
      <c r="U6" s="7" t="s">
        <v>650</v>
      </c>
      <c r="V6" s="13"/>
      <c r="W6" s="7" t="s">
        <v>650</v>
      </c>
      <c r="X6" s="13"/>
      <c r="Y6" s="409" t="s">
        <v>820</v>
      </c>
      <c r="Z6" s="437">
        <v>98216731</v>
      </c>
      <c r="AA6" s="438">
        <v>15824.52</v>
      </c>
      <c r="AB6" s="187"/>
      <c r="AC6" s="188"/>
      <c r="AD6" s="187"/>
      <c r="AE6" s="267"/>
      <c r="AF6" s="435">
        <v>98213873</v>
      </c>
      <c r="AG6" s="436">
        <v>487.69</v>
      </c>
      <c r="AH6" s="441">
        <v>98213873</v>
      </c>
      <c r="AI6" s="442">
        <v>110.99</v>
      </c>
      <c r="AJ6" s="439">
        <v>98149627</v>
      </c>
      <c r="AK6" s="440">
        <v>9957.4500000000007</v>
      </c>
      <c r="AL6" s="443">
        <f t="shared" si="1"/>
        <v>98216731</v>
      </c>
      <c r="AM6" s="444">
        <f t="shared" si="2"/>
        <v>16423.2</v>
      </c>
      <c r="AP6" s="439">
        <v>98149627</v>
      </c>
      <c r="AQ6" s="440">
        <v>9957.4500000000007</v>
      </c>
      <c r="AR6" s="433">
        <v>98213870</v>
      </c>
      <c r="AS6" s="434">
        <v>3111.93</v>
      </c>
      <c r="AT6" s="187"/>
      <c r="AU6" s="267"/>
      <c r="AV6" s="443">
        <f t="shared" si="3"/>
        <v>98149627</v>
      </c>
      <c r="AW6" s="356">
        <f t="shared" si="0"/>
        <v>13069.380000000001</v>
      </c>
    </row>
    <row r="7" spans="1:50">
      <c r="A7" s="410">
        <v>83</v>
      </c>
      <c r="B7" s="410">
        <v>36</v>
      </c>
      <c r="C7" s="410" t="s">
        <v>649</v>
      </c>
      <c r="D7" s="13"/>
      <c r="E7" s="9"/>
      <c r="F7" s="9"/>
      <c r="G7" s="9"/>
      <c r="H7" s="9"/>
      <c r="I7" s="9"/>
      <c r="J7" s="13"/>
      <c r="K7" s="410" t="s">
        <v>650</v>
      </c>
      <c r="L7" s="9"/>
      <c r="M7" s="13"/>
      <c r="N7" s="410" t="s">
        <v>650</v>
      </c>
      <c r="O7" s="9"/>
      <c r="P7" s="13"/>
      <c r="Q7" s="13"/>
      <c r="R7" s="9"/>
      <c r="S7" s="13"/>
      <c r="T7" s="9"/>
      <c r="U7" s="410" t="s">
        <v>650</v>
      </c>
      <c r="V7" s="13"/>
      <c r="W7" s="410" t="s">
        <v>650</v>
      </c>
      <c r="X7" s="13"/>
      <c r="Y7" s="618" t="s">
        <v>821</v>
      </c>
      <c r="Z7" s="234">
        <v>98800120</v>
      </c>
      <c r="AA7" s="547">
        <v>22970.31</v>
      </c>
      <c r="AB7" s="187"/>
      <c r="AC7" s="188"/>
      <c r="AD7" s="187"/>
      <c r="AE7" s="265"/>
      <c r="AF7" s="269" t="s">
        <v>816</v>
      </c>
      <c r="AG7" s="301"/>
      <c r="AH7" s="358">
        <v>98800002</v>
      </c>
      <c r="AI7" s="360">
        <v>110.4</v>
      </c>
      <c r="AJ7" s="219">
        <v>98800120</v>
      </c>
      <c r="AK7" s="225">
        <v>7467.87</v>
      </c>
      <c r="AL7" s="363">
        <f t="shared" si="1"/>
        <v>98800120</v>
      </c>
      <c r="AM7" s="356">
        <f>AA7+AC7+AE7+AG7+AI7</f>
        <v>23080.710000000003</v>
      </c>
      <c r="AP7" s="219">
        <v>98800120</v>
      </c>
      <c r="AQ7" s="225">
        <v>7467.87</v>
      </c>
      <c r="AR7" s="187">
        <v>98821953</v>
      </c>
      <c r="AS7" s="188">
        <v>4498.58</v>
      </c>
      <c r="AT7" s="187"/>
      <c r="AU7" s="265"/>
      <c r="AV7" s="363">
        <f t="shared" si="3"/>
        <v>98800120</v>
      </c>
      <c r="AW7" s="356">
        <f t="shared" si="0"/>
        <v>11966.45</v>
      </c>
    </row>
    <row r="8" spans="1:50">
      <c r="A8" s="409">
        <v>84</v>
      </c>
      <c r="B8" s="409">
        <v>35</v>
      </c>
      <c r="C8" s="409" t="s">
        <v>649</v>
      </c>
      <c r="D8" s="13"/>
      <c r="E8" s="7"/>
      <c r="F8" s="7"/>
      <c r="G8" s="7"/>
      <c r="H8" s="7"/>
      <c r="I8" s="7"/>
      <c r="J8" s="13"/>
      <c r="K8" s="409" t="s">
        <v>650</v>
      </c>
      <c r="L8" s="7"/>
      <c r="M8" s="13"/>
      <c r="N8" s="409" t="s">
        <v>650</v>
      </c>
      <c r="O8" s="7"/>
      <c r="P8" s="13"/>
      <c r="Q8" s="13"/>
      <c r="R8" s="7"/>
      <c r="S8" s="13"/>
      <c r="T8" s="7"/>
      <c r="U8" s="409" t="s">
        <v>650</v>
      </c>
      <c r="V8" s="13"/>
      <c r="W8" s="409" t="s">
        <v>650</v>
      </c>
      <c r="X8" s="13"/>
      <c r="Y8" s="619" t="s">
        <v>822</v>
      </c>
      <c r="Z8" s="234">
        <v>98775314</v>
      </c>
      <c r="AA8" s="548">
        <v>22792.720000000001</v>
      </c>
      <c r="AB8" s="187"/>
      <c r="AC8" s="188"/>
      <c r="AD8" s="187"/>
      <c r="AE8" s="265"/>
      <c r="AF8" s="269" t="s">
        <v>816</v>
      </c>
      <c r="AG8" s="301"/>
      <c r="AH8" s="358">
        <v>98775095</v>
      </c>
      <c r="AI8" s="360">
        <v>110.4</v>
      </c>
      <c r="AJ8" s="219">
        <v>98775314</v>
      </c>
      <c r="AK8" s="225">
        <v>7935.19</v>
      </c>
      <c r="AL8" s="363">
        <f t="shared" si="1"/>
        <v>98775314</v>
      </c>
      <c r="AM8" s="356">
        <f>AA8+AC8+AE8+AG8+AI8</f>
        <v>22903.120000000003</v>
      </c>
      <c r="AP8" s="219">
        <v>98775314</v>
      </c>
      <c r="AQ8" s="225">
        <v>7935.19</v>
      </c>
      <c r="AR8" s="187">
        <v>98822000</v>
      </c>
      <c r="AS8" s="188">
        <v>4740.95</v>
      </c>
      <c r="AT8" s="187"/>
      <c r="AU8" s="265"/>
      <c r="AV8" s="363">
        <f t="shared" si="3"/>
        <v>98775314</v>
      </c>
      <c r="AW8" s="356">
        <f t="shared" si="0"/>
        <v>12676.14</v>
      </c>
    </row>
    <row r="9" spans="1:50">
      <c r="A9" s="410">
        <v>85</v>
      </c>
      <c r="B9" s="410">
        <v>35</v>
      </c>
      <c r="C9" s="410" t="s">
        <v>648</v>
      </c>
      <c r="D9" s="632"/>
      <c r="E9" s="410">
        <v>2</v>
      </c>
      <c r="F9" s="410"/>
      <c r="G9" s="9"/>
      <c r="H9" s="9"/>
      <c r="I9" s="9"/>
      <c r="J9" s="13"/>
      <c r="K9" s="410" t="s">
        <v>650</v>
      </c>
      <c r="L9" s="9"/>
      <c r="M9" s="13"/>
      <c r="N9" s="410" t="s">
        <v>650</v>
      </c>
      <c r="O9" s="9"/>
      <c r="P9" s="13"/>
      <c r="Q9" s="13"/>
      <c r="R9" s="9"/>
      <c r="S9" s="13"/>
      <c r="T9" s="9"/>
      <c r="U9" s="410" t="s">
        <v>650</v>
      </c>
      <c r="V9" s="13"/>
      <c r="W9" s="528" t="s">
        <v>650</v>
      </c>
      <c r="X9" s="13"/>
      <c r="Y9" s="617" t="s">
        <v>823</v>
      </c>
      <c r="Z9" s="234">
        <v>98775327</v>
      </c>
      <c r="AA9" s="174">
        <v>22592.7</v>
      </c>
      <c r="AB9" s="187"/>
      <c r="AC9" s="188"/>
      <c r="AD9" s="433"/>
      <c r="AE9" s="434"/>
      <c r="AF9" s="435" t="s">
        <v>816</v>
      </c>
      <c r="AG9" s="436"/>
      <c r="AH9" s="358">
        <v>98775141</v>
      </c>
      <c r="AI9" s="360">
        <v>110.4</v>
      </c>
      <c r="AJ9" s="219">
        <v>98837192</v>
      </c>
      <c r="AK9" s="225">
        <v>7467.65</v>
      </c>
      <c r="AL9" s="363">
        <f t="shared" si="1"/>
        <v>98775327</v>
      </c>
      <c r="AM9" s="356">
        <f>AA9+AC9+AE9+AG9+AI9</f>
        <v>22703.100000000002</v>
      </c>
      <c r="AP9" s="219">
        <v>98837192</v>
      </c>
      <c r="AQ9" s="225">
        <v>7467.65</v>
      </c>
      <c r="AR9" s="187">
        <v>98837057</v>
      </c>
      <c r="AS9" s="188">
        <v>3943.64</v>
      </c>
      <c r="AT9" s="433"/>
      <c r="AU9" s="434"/>
      <c r="AV9" s="363" t="s">
        <v>824</v>
      </c>
      <c r="AW9" s="356">
        <f t="shared" ref="AW9:AW67" si="4">AQ9+AS9</f>
        <v>11411.289999999999</v>
      </c>
    </row>
    <row r="10" spans="1:50">
      <c r="A10" s="409">
        <v>86</v>
      </c>
      <c r="B10" s="409">
        <v>36</v>
      </c>
      <c r="C10" s="409" t="s">
        <v>648</v>
      </c>
      <c r="D10" s="632"/>
      <c r="E10" s="409">
        <v>2</v>
      </c>
      <c r="F10" s="409"/>
      <c r="G10" s="7"/>
      <c r="H10" s="7"/>
      <c r="I10" s="7"/>
      <c r="J10" s="13"/>
      <c r="K10" s="409" t="s">
        <v>650</v>
      </c>
      <c r="L10" s="7"/>
      <c r="M10" s="13"/>
      <c r="N10" s="409" t="s">
        <v>650</v>
      </c>
      <c r="O10" s="7"/>
      <c r="P10" s="13"/>
      <c r="Q10" s="13"/>
      <c r="R10" s="7"/>
      <c r="S10" s="13"/>
      <c r="T10" s="7"/>
      <c r="U10" s="409" t="s">
        <v>650</v>
      </c>
      <c r="V10" s="13"/>
      <c r="W10" s="409" t="s">
        <v>650</v>
      </c>
      <c r="X10" s="13"/>
      <c r="Y10" s="616" t="s">
        <v>825</v>
      </c>
      <c r="Z10" s="234">
        <v>98775340</v>
      </c>
      <c r="AA10" s="174">
        <v>22413.69</v>
      </c>
      <c r="AB10" s="187"/>
      <c r="AC10" s="188"/>
      <c r="AD10" s="187"/>
      <c r="AE10" s="188"/>
      <c r="AF10" s="435" t="s">
        <v>816</v>
      </c>
      <c r="AG10" s="436"/>
      <c r="AH10" s="358">
        <v>98775187</v>
      </c>
      <c r="AI10" s="360">
        <v>110.4</v>
      </c>
      <c r="AJ10" s="219">
        <v>98775340</v>
      </c>
      <c r="AK10" s="225">
        <v>7933.35</v>
      </c>
      <c r="AL10" s="363">
        <f t="shared" si="1"/>
        <v>98775340</v>
      </c>
      <c r="AM10" s="356">
        <f t="shared" si="2"/>
        <v>22524.09</v>
      </c>
      <c r="AP10" s="219">
        <v>98775340</v>
      </c>
      <c r="AQ10" s="225">
        <v>7933.35</v>
      </c>
      <c r="AR10" s="187">
        <v>98775159</v>
      </c>
      <c r="AS10" s="188">
        <v>3943.64</v>
      </c>
      <c r="AT10" s="187"/>
      <c r="AU10" s="188"/>
      <c r="AV10" s="363">
        <f t="shared" si="3"/>
        <v>98775340</v>
      </c>
      <c r="AW10" s="356">
        <f t="shared" si="4"/>
        <v>11876.99</v>
      </c>
      <c r="AX10" s="504"/>
    </row>
    <row r="11" spans="1:50">
      <c r="A11" s="410">
        <v>87</v>
      </c>
      <c r="B11" s="410">
        <v>36</v>
      </c>
      <c r="C11" s="410" t="s">
        <v>647</v>
      </c>
      <c r="D11" s="632"/>
      <c r="E11" s="410">
        <v>2</v>
      </c>
      <c r="F11" s="410"/>
      <c r="G11" s="410"/>
      <c r="H11" s="410"/>
      <c r="I11" s="410"/>
      <c r="J11" s="632"/>
      <c r="K11" s="410" t="s">
        <v>650</v>
      </c>
      <c r="L11" s="410"/>
      <c r="M11" s="632"/>
      <c r="N11" s="410" t="s">
        <v>650</v>
      </c>
      <c r="O11" s="410"/>
      <c r="P11" s="632"/>
      <c r="Q11" s="632"/>
      <c r="R11" s="410" t="s">
        <v>650</v>
      </c>
      <c r="S11" s="632"/>
      <c r="T11" s="410" t="s">
        <v>650</v>
      </c>
      <c r="U11" s="410" t="s">
        <v>650</v>
      </c>
      <c r="V11" s="632"/>
      <c r="W11" s="410" t="s">
        <v>650</v>
      </c>
      <c r="X11" s="13"/>
      <c r="Y11" s="9" t="s">
        <v>826</v>
      </c>
      <c r="Z11" s="234">
        <v>99328798</v>
      </c>
      <c r="AA11" s="174">
        <v>23287.16</v>
      </c>
      <c r="AB11" s="187"/>
      <c r="AC11" s="188"/>
      <c r="AD11" s="187"/>
      <c r="AE11" s="188"/>
      <c r="AF11" s="269" t="s">
        <v>827</v>
      </c>
      <c r="AG11" s="301"/>
      <c r="AH11" s="358">
        <v>99328456</v>
      </c>
      <c r="AI11" s="360">
        <v>110.4</v>
      </c>
      <c r="AJ11" s="219">
        <v>99328798</v>
      </c>
      <c r="AK11" s="225">
        <v>7494.28</v>
      </c>
      <c r="AL11" s="363">
        <f>Z11</f>
        <v>99328798</v>
      </c>
      <c r="AM11" s="356">
        <f>AA11+AC11+AE11+AG11+AI11</f>
        <v>23397.56</v>
      </c>
      <c r="AP11" s="219">
        <v>99328798</v>
      </c>
      <c r="AQ11" s="225">
        <v>7494.28</v>
      </c>
      <c r="AR11" s="187">
        <v>99328404</v>
      </c>
      <c r="AS11" s="188">
        <v>4153.33</v>
      </c>
      <c r="AT11" s="187">
        <v>99328424</v>
      </c>
      <c r="AU11" s="265">
        <v>777.69</v>
      </c>
      <c r="AV11" s="363">
        <f>AP11</f>
        <v>99328798</v>
      </c>
      <c r="AW11" s="356">
        <f t="shared" ref="AW11:AW16" si="5">AQ11+AS11+AU11</f>
        <v>12425.300000000001</v>
      </c>
    </row>
    <row r="12" spans="1:50">
      <c r="A12" s="409">
        <v>88</v>
      </c>
      <c r="B12" s="409">
        <v>35</v>
      </c>
      <c r="C12" s="409" t="s">
        <v>647</v>
      </c>
      <c r="D12" s="632"/>
      <c r="E12" s="409">
        <v>2</v>
      </c>
      <c r="F12" s="409"/>
      <c r="G12" s="409"/>
      <c r="H12" s="409"/>
      <c r="I12" s="409"/>
      <c r="J12" s="632"/>
      <c r="K12" s="409" t="s">
        <v>650</v>
      </c>
      <c r="L12" s="409"/>
      <c r="M12" s="632"/>
      <c r="N12" s="409" t="s">
        <v>650</v>
      </c>
      <c r="O12" s="409"/>
      <c r="P12" s="632"/>
      <c r="Q12" s="632"/>
      <c r="R12" s="409" t="s">
        <v>650</v>
      </c>
      <c r="S12" s="632"/>
      <c r="T12" s="409" t="s">
        <v>650</v>
      </c>
      <c r="U12" s="409" t="s">
        <v>650</v>
      </c>
      <c r="V12" s="632"/>
      <c r="W12" s="409" t="s">
        <v>650</v>
      </c>
      <c r="X12" s="13"/>
      <c r="Y12" s="7" t="s">
        <v>828</v>
      </c>
      <c r="Z12" s="234">
        <v>99328811</v>
      </c>
      <c r="AA12" s="174">
        <v>23112.76</v>
      </c>
      <c r="AB12" s="187"/>
      <c r="AC12" s="188"/>
      <c r="AD12" s="187"/>
      <c r="AE12" s="188"/>
      <c r="AF12" s="269" t="s">
        <v>829</v>
      </c>
      <c r="AG12" s="301"/>
      <c r="AH12" s="358">
        <v>99328183</v>
      </c>
      <c r="AI12" s="360">
        <v>110.4</v>
      </c>
      <c r="AJ12" s="219">
        <v>99328811</v>
      </c>
      <c r="AK12" s="225">
        <v>7959.98</v>
      </c>
      <c r="AL12" s="363">
        <f t="shared" si="1"/>
        <v>99328811</v>
      </c>
      <c r="AM12" s="356">
        <f t="shared" si="2"/>
        <v>23223.16</v>
      </c>
      <c r="AP12" s="219">
        <v>99328811</v>
      </c>
      <c r="AQ12" s="225">
        <v>7959.98</v>
      </c>
      <c r="AR12" s="187">
        <v>99328151</v>
      </c>
      <c r="AS12" s="188">
        <v>4153.33</v>
      </c>
      <c r="AT12" s="187">
        <v>99328171</v>
      </c>
      <c r="AU12" s="265">
        <v>220.71</v>
      </c>
      <c r="AV12" s="363">
        <f t="shared" si="3"/>
        <v>99328811</v>
      </c>
      <c r="AW12" s="356">
        <f t="shared" si="5"/>
        <v>12334.019999999999</v>
      </c>
    </row>
    <row r="13" spans="1:50">
      <c r="A13" s="410">
        <v>89</v>
      </c>
      <c r="B13" s="410">
        <v>36</v>
      </c>
      <c r="C13" s="410" t="s">
        <v>688</v>
      </c>
      <c r="D13" s="632"/>
      <c r="E13" s="410">
        <v>2</v>
      </c>
      <c r="F13" s="410"/>
      <c r="G13" s="410"/>
      <c r="H13" s="410"/>
      <c r="I13" s="410"/>
      <c r="J13" s="632"/>
      <c r="K13" s="410" t="s">
        <v>650</v>
      </c>
      <c r="L13" s="410"/>
      <c r="M13" s="632"/>
      <c r="N13" s="410" t="s">
        <v>650</v>
      </c>
      <c r="O13" s="410"/>
      <c r="P13" s="632"/>
      <c r="Q13" s="632"/>
      <c r="R13" s="410" t="s">
        <v>650</v>
      </c>
      <c r="S13" s="632"/>
      <c r="T13" s="410" t="s">
        <v>650</v>
      </c>
      <c r="U13" s="410" t="s">
        <v>650</v>
      </c>
      <c r="V13" s="632"/>
      <c r="W13" s="410" t="s">
        <v>650</v>
      </c>
      <c r="X13" s="13"/>
      <c r="Y13" s="9" t="s">
        <v>830</v>
      </c>
      <c r="Z13" s="234">
        <v>99328824</v>
      </c>
      <c r="AA13" s="174">
        <v>23287.16</v>
      </c>
      <c r="AB13" s="187"/>
      <c r="AC13" s="188"/>
      <c r="AD13" s="187"/>
      <c r="AE13" s="188"/>
      <c r="AF13" s="269" t="s">
        <v>831</v>
      </c>
      <c r="AG13" s="301"/>
      <c r="AH13" s="358">
        <v>99328234</v>
      </c>
      <c r="AI13" s="360">
        <v>110.4</v>
      </c>
      <c r="AJ13" s="219">
        <v>99328824</v>
      </c>
      <c r="AK13" s="225">
        <v>7494.28</v>
      </c>
      <c r="AL13" s="363">
        <f t="shared" si="1"/>
        <v>99328824</v>
      </c>
      <c r="AM13" s="356">
        <f>AA13+AC13+AE13+AG13+AI13</f>
        <v>23397.56</v>
      </c>
      <c r="AP13" s="219">
        <v>99328824</v>
      </c>
      <c r="AQ13" s="225">
        <v>7494.28</v>
      </c>
      <c r="AR13" s="187">
        <v>99328223</v>
      </c>
      <c r="AS13" s="188">
        <v>-528.88</v>
      </c>
      <c r="AT13" s="187">
        <v>99328203</v>
      </c>
      <c r="AU13" s="188">
        <v>4153.33</v>
      </c>
      <c r="AV13" s="363">
        <f t="shared" si="3"/>
        <v>99328824</v>
      </c>
      <c r="AW13" s="356">
        <f t="shared" si="5"/>
        <v>11118.73</v>
      </c>
    </row>
    <row r="14" spans="1:50">
      <c r="A14" s="409">
        <v>90</v>
      </c>
      <c r="B14" s="409">
        <v>35</v>
      </c>
      <c r="C14" s="409" t="s">
        <v>688</v>
      </c>
      <c r="D14" s="632"/>
      <c r="E14" s="409">
        <v>2</v>
      </c>
      <c r="F14" s="409"/>
      <c r="G14" s="7"/>
      <c r="H14" s="7"/>
      <c r="I14" s="7"/>
      <c r="J14" s="13"/>
      <c r="K14" s="409" t="s">
        <v>650</v>
      </c>
      <c r="L14" s="7"/>
      <c r="M14" s="13"/>
      <c r="N14" s="639" t="s">
        <v>650</v>
      </c>
      <c r="O14" s="7"/>
      <c r="P14" s="13"/>
      <c r="Q14" s="13"/>
      <c r="R14" s="409" t="s">
        <v>650</v>
      </c>
      <c r="S14" s="632"/>
      <c r="T14" s="409" t="s">
        <v>650</v>
      </c>
      <c r="U14" s="409" t="s">
        <v>650</v>
      </c>
      <c r="V14" s="632"/>
      <c r="W14" s="409" t="s">
        <v>650</v>
      </c>
      <c r="X14" s="13"/>
      <c r="Y14" s="7" t="s">
        <v>832</v>
      </c>
      <c r="Z14" s="234">
        <v>99328837</v>
      </c>
      <c r="AA14" s="174">
        <v>23112.76</v>
      </c>
      <c r="AB14" s="187"/>
      <c r="AC14" s="188"/>
      <c r="AD14" s="187"/>
      <c r="AE14" s="188"/>
      <c r="AF14" s="269" t="s">
        <v>833</v>
      </c>
      <c r="AG14" s="301"/>
      <c r="AH14" s="358">
        <v>99328286</v>
      </c>
      <c r="AI14" s="360">
        <v>110.4</v>
      </c>
      <c r="AJ14" s="219">
        <v>99328837</v>
      </c>
      <c r="AK14" s="225">
        <v>7959.98</v>
      </c>
      <c r="AL14" s="363">
        <f t="shared" si="1"/>
        <v>99328837</v>
      </c>
      <c r="AM14" s="356">
        <f t="shared" si="2"/>
        <v>23223.16</v>
      </c>
      <c r="AP14" s="219">
        <v>99328837</v>
      </c>
      <c r="AQ14" s="225">
        <v>7959.98</v>
      </c>
      <c r="AR14" s="187">
        <v>99328274</v>
      </c>
      <c r="AS14" s="188">
        <v>-582.64</v>
      </c>
      <c r="AT14" s="187">
        <v>99328254</v>
      </c>
      <c r="AU14" s="265">
        <v>4174.37</v>
      </c>
      <c r="AV14" s="363">
        <f t="shared" si="3"/>
        <v>99328837</v>
      </c>
      <c r="AW14" s="356">
        <f t="shared" si="5"/>
        <v>11551.71</v>
      </c>
    </row>
    <row r="15" spans="1:50">
      <c r="A15" s="410">
        <v>91</v>
      </c>
      <c r="B15" s="410">
        <v>36</v>
      </c>
      <c r="C15" s="410" t="s">
        <v>649</v>
      </c>
      <c r="D15" s="632"/>
      <c r="E15" s="410">
        <v>2</v>
      </c>
      <c r="F15" s="410"/>
      <c r="G15" s="9"/>
      <c r="H15" s="9"/>
      <c r="I15" s="9"/>
      <c r="J15" s="13"/>
      <c r="K15" s="9"/>
      <c r="L15" s="9"/>
      <c r="M15" s="13"/>
      <c r="N15" s="651" t="s">
        <v>650</v>
      </c>
      <c r="O15" s="9"/>
      <c r="P15" s="13"/>
      <c r="Q15" s="13"/>
      <c r="R15" s="410" t="s">
        <v>650</v>
      </c>
      <c r="S15" s="13"/>
      <c r="T15" s="410" t="s">
        <v>650</v>
      </c>
      <c r="U15" s="410" t="s">
        <v>650</v>
      </c>
      <c r="V15" s="13"/>
      <c r="W15" s="410" t="s">
        <v>650</v>
      </c>
      <c r="X15" s="13"/>
      <c r="Y15" s="9" t="s">
        <v>834</v>
      </c>
      <c r="Z15" s="234">
        <v>99413844</v>
      </c>
      <c r="AA15" s="174">
        <v>24925.82</v>
      </c>
      <c r="AB15" s="187"/>
      <c r="AC15" s="188"/>
      <c r="AD15" s="187"/>
      <c r="AE15" s="265"/>
      <c r="AF15" s="269" t="s">
        <v>835</v>
      </c>
      <c r="AG15" s="301"/>
      <c r="AH15" s="358"/>
      <c r="AI15" s="360"/>
      <c r="AJ15" s="219">
        <v>99413844</v>
      </c>
      <c r="AK15" s="225">
        <v>7542.73</v>
      </c>
      <c r="AL15" s="363">
        <f t="shared" si="1"/>
        <v>99413844</v>
      </c>
      <c r="AM15" s="356">
        <f t="shared" si="2"/>
        <v>24925.82</v>
      </c>
      <c r="AP15" s="219">
        <v>99413844</v>
      </c>
      <c r="AQ15" s="225">
        <v>7542.73</v>
      </c>
      <c r="AR15" s="187">
        <v>99412257</v>
      </c>
      <c r="AS15" s="188">
        <v>4738.8599999999997</v>
      </c>
      <c r="AT15" s="187"/>
      <c r="AU15" s="265"/>
      <c r="AV15" s="363">
        <f t="shared" si="3"/>
        <v>99413844</v>
      </c>
      <c r="AW15" s="356">
        <f t="shared" si="5"/>
        <v>12281.59</v>
      </c>
    </row>
    <row r="16" spans="1:50">
      <c r="A16" s="409">
        <v>92</v>
      </c>
      <c r="B16" s="409">
        <v>35</v>
      </c>
      <c r="C16" s="409" t="s">
        <v>649</v>
      </c>
      <c r="D16" s="632"/>
      <c r="E16" s="409">
        <v>2</v>
      </c>
      <c r="F16" s="409"/>
      <c r="G16" s="7"/>
      <c r="H16" s="7"/>
      <c r="I16" s="7"/>
      <c r="J16" s="13"/>
      <c r="K16" s="7"/>
      <c r="L16" s="7"/>
      <c r="M16" s="13"/>
      <c r="N16" s="639" t="s">
        <v>650</v>
      </c>
      <c r="O16" s="7"/>
      <c r="P16" s="13"/>
      <c r="Q16" s="13"/>
      <c r="R16" s="409" t="s">
        <v>650</v>
      </c>
      <c r="S16" s="13"/>
      <c r="T16" s="409" t="s">
        <v>650</v>
      </c>
      <c r="U16" s="409" t="s">
        <v>650</v>
      </c>
      <c r="V16" s="13"/>
      <c r="W16" s="409" t="s">
        <v>650</v>
      </c>
      <c r="X16" s="13"/>
      <c r="Y16" s="7" t="s">
        <v>836</v>
      </c>
      <c r="Z16" s="234">
        <v>99413919</v>
      </c>
      <c r="AA16" s="174">
        <v>24756.59</v>
      </c>
      <c r="AB16" s="187"/>
      <c r="AC16" s="188"/>
      <c r="AD16" s="187"/>
      <c r="AE16" s="265"/>
      <c r="AF16" s="269" t="s">
        <v>837</v>
      </c>
      <c r="AG16" s="301"/>
      <c r="AH16" s="358"/>
      <c r="AI16" s="360"/>
      <c r="AJ16" s="219">
        <v>99413919</v>
      </c>
      <c r="AK16" s="225">
        <v>8011.46</v>
      </c>
      <c r="AL16" s="363">
        <f t="shared" si="1"/>
        <v>99413919</v>
      </c>
      <c r="AM16" s="356">
        <f t="shared" si="2"/>
        <v>24756.59</v>
      </c>
      <c r="AP16" s="219">
        <v>99413919</v>
      </c>
      <c r="AQ16" s="225">
        <v>8011.46</v>
      </c>
      <c r="AR16" s="187">
        <v>99412355</v>
      </c>
      <c r="AS16" s="188">
        <v>4982.8</v>
      </c>
      <c r="AT16" s="187"/>
      <c r="AU16" s="265"/>
      <c r="AV16" s="363">
        <f t="shared" si="3"/>
        <v>99413919</v>
      </c>
      <c r="AW16" s="356">
        <f t="shared" si="5"/>
        <v>12994.26</v>
      </c>
    </row>
    <row r="17" spans="1:49" s="158" customFormat="1">
      <c r="A17" s="410">
        <v>93</v>
      </c>
      <c r="B17" s="410">
        <v>36</v>
      </c>
      <c r="C17" s="410" t="s">
        <v>648</v>
      </c>
      <c r="D17" s="410"/>
      <c r="E17" s="410">
        <v>2</v>
      </c>
      <c r="F17" s="410"/>
      <c r="G17" s="410"/>
      <c r="H17" s="410"/>
      <c r="I17" s="410"/>
      <c r="J17" s="410"/>
      <c r="K17" s="410"/>
      <c r="L17" s="410"/>
      <c r="M17" s="410"/>
      <c r="N17" s="410" t="s">
        <v>650</v>
      </c>
      <c r="O17" s="410"/>
      <c r="P17" s="410"/>
      <c r="Q17" s="410"/>
      <c r="R17" s="410"/>
      <c r="S17" s="410"/>
      <c r="T17" s="410"/>
      <c r="U17" s="410" t="s">
        <v>650</v>
      </c>
      <c r="V17" s="410"/>
      <c r="W17" s="410" t="s">
        <v>650</v>
      </c>
      <c r="X17" s="632"/>
      <c r="Y17" s="410" t="s">
        <v>838</v>
      </c>
      <c r="Z17" s="437">
        <v>730385</v>
      </c>
      <c r="AA17" s="438">
        <v>22153.8</v>
      </c>
      <c r="AB17" s="842">
        <v>729250</v>
      </c>
      <c r="AC17" s="843">
        <v>865.06</v>
      </c>
      <c r="AD17" s="842">
        <v>729292</v>
      </c>
      <c r="AE17" s="843">
        <v>3239.7</v>
      </c>
      <c r="AF17" s="435"/>
      <c r="AG17" s="436"/>
      <c r="AH17" s="441"/>
      <c r="AI17" s="442"/>
      <c r="AJ17" s="846">
        <v>730385</v>
      </c>
      <c r="AK17" s="861">
        <v>7493.42</v>
      </c>
      <c r="AL17" s="443">
        <f t="shared" si="1"/>
        <v>730385</v>
      </c>
      <c r="AM17" s="444">
        <f>AA17+AC17+AE17+AG17+AI17+AK17</f>
        <v>33751.980000000003</v>
      </c>
      <c r="AP17" s="439"/>
      <c r="AQ17" s="440"/>
      <c r="AR17" s="433"/>
      <c r="AS17" s="434"/>
      <c r="AT17" s="433"/>
      <c r="AU17" s="633"/>
      <c r="AV17" s="443">
        <f t="shared" si="3"/>
        <v>0</v>
      </c>
      <c r="AW17" s="444">
        <f t="shared" si="4"/>
        <v>0</v>
      </c>
    </row>
    <row r="18" spans="1:49" s="158" customFormat="1">
      <c r="A18" s="409">
        <v>94</v>
      </c>
      <c r="B18" s="409">
        <v>35</v>
      </c>
      <c r="C18" s="409" t="s">
        <v>648</v>
      </c>
      <c r="D18" s="409"/>
      <c r="E18" s="409">
        <v>2</v>
      </c>
      <c r="F18" s="409"/>
      <c r="G18" s="409"/>
      <c r="H18" s="409"/>
      <c r="I18" s="409"/>
      <c r="J18" s="409"/>
      <c r="K18" s="409"/>
      <c r="L18" s="409"/>
      <c r="M18" s="409"/>
      <c r="N18" s="409" t="s">
        <v>650</v>
      </c>
      <c r="O18" s="409"/>
      <c r="P18" s="409"/>
      <c r="Q18" s="409"/>
      <c r="R18" s="409"/>
      <c r="S18" s="409"/>
      <c r="T18" s="409"/>
      <c r="U18" s="409" t="s">
        <v>650</v>
      </c>
      <c r="V18" s="409"/>
      <c r="W18" s="409" t="s">
        <v>650</v>
      </c>
      <c r="X18" s="632"/>
      <c r="Y18" s="409" t="s">
        <v>839</v>
      </c>
      <c r="Z18" s="437">
        <v>730440</v>
      </c>
      <c r="AA18" s="438">
        <v>21971.01</v>
      </c>
      <c r="AB18" s="842">
        <v>729308</v>
      </c>
      <c r="AC18" s="843">
        <v>865.06</v>
      </c>
      <c r="AD18" s="842">
        <v>729351</v>
      </c>
      <c r="AE18" s="843">
        <v>3239.7</v>
      </c>
      <c r="AF18" s="435"/>
      <c r="AG18" s="436"/>
      <c r="AH18" s="441"/>
      <c r="AI18" s="442"/>
      <c r="AJ18" s="846">
        <v>730440</v>
      </c>
      <c r="AK18" s="861">
        <v>7958.47</v>
      </c>
      <c r="AL18" s="443">
        <f t="shared" si="1"/>
        <v>730440</v>
      </c>
      <c r="AM18" s="444">
        <f>AA18+AC18+AE18+AG18+AI18+AK18</f>
        <v>34034.239999999998</v>
      </c>
      <c r="AP18" s="439"/>
      <c r="AQ18" s="440"/>
      <c r="AR18" s="433"/>
      <c r="AS18" s="434"/>
      <c r="AT18" s="433"/>
      <c r="AU18" s="434"/>
      <c r="AV18" s="443">
        <f t="shared" si="3"/>
        <v>0</v>
      </c>
      <c r="AW18" s="444">
        <f t="shared" si="4"/>
        <v>0</v>
      </c>
    </row>
    <row r="19" spans="1:49">
      <c r="A19" s="9">
        <v>95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3"/>
      <c r="Y19" s="9">
        <v>95</v>
      </c>
      <c r="Z19" s="234"/>
      <c r="AA19" s="174"/>
      <c r="AB19" s="187"/>
      <c r="AC19" s="188"/>
      <c r="AD19" s="187"/>
      <c r="AE19" s="265"/>
      <c r="AF19" s="269"/>
      <c r="AG19" s="301"/>
      <c r="AH19" s="358"/>
      <c r="AI19" s="360"/>
      <c r="AJ19" s="219"/>
      <c r="AK19" s="225"/>
      <c r="AL19" s="363">
        <f t="shared" si="1"/>
        <v>0</v>
      </c>
      <c r="AM19" s="356">
        <f t="shared" si="2"/>
        <v>0</v>
      </c>
      <c r="AP19" s="219"/>
      <c r="AQ19" s="225"/>
      <c r="AR19" s="187"/>
      <c r="AS19" s="188"/>
      <c r="AT19" s="187"/>
      <c r="AU19" s="265"/>
      <c r="AV19" s="363">
        <f t="shared" si="3"/>
        <v>0</v>
      </c>
      <c r="AW19" s="356">
        <f t="shared" si="4"/>
        <v>0</v>
      </c>
    </row>
    <row r="20" spans="1:49">
      <c r="A20" s="7">
        <v>96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13"/>
      <c r="Y20" s="7">
        <v>96</v>
      </c>
      <c r="Z20" s="234"/>
      <c r="AA20" s="174"/>
      <c r="AB20" s="187"/>
      <c r="AC20" s="188"/>
      <c r="AD20" s="187"/>
      <c r="AE20" s="265"/>
      <c r="AF20" s="269"/>
      <c r="AG20" s="301"/>
      <c r="AH20" s="358"/>
      <c r="AI20" s="360"/>
      <c r="AJ20" s="219"/>
      <c r="AK20" s="225"/>
      <c r="AL20" s="363">
        <f t="shared" si="1"/>
        <v>0</v>
      </c>
      <c r="AM20" s="356">
        <f t="shared" si="2"/>
        <v>0</v>
      </c>
      <c r="AP20" s="219"/>
      <c r="AQ20" s="225"/>
      <c r="AR20" s="187"/>
      <c r="AS20" s="188"/>
      <c r="AT20" s="187"/>
      <c r="AU20" s="265"/>
      <c r="AV20" s="363">
        <f t="shared" si="3"/>
        <v>0</v>
      </c>
      <c r="AW20" s="356">
        <f t="shared" si="4"/>
        <v>0</v>
      </c>
    </row>
    <row r="21" spans="1:49">
      <c r="A21" s="9">
        <v>97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3"/>
      <c r="Y21" s="9">
        <v>97</v>
      </c>
      <c r="Z21" s="234"/>
      <c r="AA21" s="174"/>
      <c r="AB21" s="187"/>
      <c r="AC21" s="188"/>
      <c r="AD21" s="187"/>
      <c r="AE21" s="265"/>
      <c r="AF21" s="269"/>
      <c r="AG21" s="301"/>
      <c r="AH21" s="358"/>
      <c r="AI21" s="360"/>
      <c r="AJ21" s="219"/>
      <c r="AK21" s="225"/>
      <c r="AL21" s="363">
        <f t="shared" si="1"/>
        <v>0</v>
      </c>
      <c r="AM21" s="356">
        <f t="shared" si="2"/>
        <v>0</v>
      </c>
      <c r="AP21" s="219"/>
      <c r="AQ21" s="225"/>
      <c r="AR21" s="187"/>
      <c r="AS21" s="188"/>
      <c r="AT21" s="187"/>
      <c r="AU21" s="265"/>
      <c r="AV21" s="363">
        <f t="shared" si="3"/>
        <v>0</v>
      </c>
      <c r="AW21" s="356">
        <f t="shared" si="4"/>
        <v>0</v>
      </c>
    </row>
    <row r="22" spans="1:49">
      <c r="A22" s="7">
        <v>98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3"/>
      <c r="Y22" s="7">
        <v>98</v>
      </c>
      <c r="Z22" s="234"/>
      <c r="AA22" s="174"/>
      <c r="AB22" s="187"/>
      <c r="AC22" s="188"/>
      <c r="AD22" s="187"/>
      <c r="AE22" s="265"/>
      <c r="AF22" s="269"/>
      <c r="AG22" s="301"/>
      <c r="AH22" s="358"/>
      <c r="AI22" s="360"/>
      <c r="AJ22" s="219"/>
      <c r="AK22" s="225"/>
      <c r="AL22" s="363">
        <f t="shared" si="1"/>
        <v>0</v>
      </c>
      <c r="AM22" s="356">
        <f t="shared" si="2"/>
        <v>0</v>
      </c>
      <c r="AP22" s="219"/>
      <c r="AQ22" s="225"/>
      <c r="AR22" s="187"/>
      <c r="AS22" s="188"/>
      <c r="AT22" s="187"/>
      <c r="AU22" s="265"/>
      <c r="AV22" s="363">
        <f t="shared" si="3"/>
        <v>0</v>
      </c>
      <c r="AW22" s="356">
        <f t="shared" si="4"/>
        <v>0</v>
      </c>
    </row>
    <row r="23" spans="1:49">
      <c r="A23" s="9">
        <v>99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3"/>
      <c r="Y23" s="9">
        <v>99</v>
      </c>
      <c r="Z23" s="234"/>
      <c r="AA23" s="174"/>
      <c r="AB23" s="187"/>
      <c r="AC23" s="188"/>
      <c r="AD23" s="187"/>
      <c r="AE23" s="265"/>
      <c r="AF23" s="269"/>
      <c r="AG23" s="301"/>
      <c r="AH23" s="358"/>
      <c r="AI23" s="360"/>
      <c r="AJ23" s="219"/>
      <c r="AK23" s="225"/>
      <c r="AL23" s="363">
        <f t="shared" si="1"/>
        <v>0</v>
      </c>
      <c r="AM23" s="356">
        <f t="shared" si="2"/>
        <v>0</v>
      </c>
      <c r="AP23" s="219"/>
      <c r="AQ23" s="225"/>
      <c r="AR23" s="187"/>
      <c r="AS23" s="188"/>
      <c r="AT23" s="187"/>
      <c r="AU23" s="265"/>
      <c r="AV23" s="363">
        <f t="shared" si="3"/>
        <v>0</v>
      </c>
      <c r="AW23" s="356">
        <f t="shared" si="4"/>
        <v>0</v>
      </c>
    </row>
    <row r="24" spans="1:49">
      <c r="A24" s="7">
        <v>100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3"/>
      <c r="Y24" s="7">
        <v>100</v>
      </c>
      <c r="Z24" s="234"/>
      <c r="AA24" s="174"/>
      <c r="AB24" s="187"/>
      <c r="AC24" s="188"/>
      <c r="AD24" s="187"/>
      <c r="AE24" s="265"/>
      <c r="AF24" s="269"/>
      <c r="AG24" s="301"/>
      <c r="AH24" s="358"/>
      <c r="AI24" s="360"/>
      <c r="AJ24" s="219"/>
      <c r="AK24" s="225"/>
      <c r="AL24" s="363">
        <f t="shared" si="1"/>
        <v>0</v>
      </c>
      <c r="AM24" s="356">
        <f t="shared" si="2"/>
        <v>0</v>
      </c>
      <c r="AP24" s="219"/>
      <c r="AQ24" s="225"/>
      <c r="AR24" s="187"/>
      <c r="AS24" s="188"/>
      <c r="AT24" s="187"/>
      <c r="AU24" s="265"/>
      <c r="AV24" s="363">
        <f t="shared" si="3"/>
        <v>0</v>
      </c>
      <c r="AW24" s="356">
        <f t="shared" si="4"/>
        <v>0</v>
      </c>
    </row>
    <row r="25" spans="1:49">
      <c r="A25" s="9">
        <v>101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3"/>
      <c r="Y25" s="9">
        <v>101</v>
      </c>
      <c r="Z25" s="234"/>
      <c r="AA25" s="174"/>
      <c r="AB25" s="187"/>
      <c r="AC25" s="188"/>
      <c r="AD25" s="187"/>
      <c r="AE25" s="265"/>
      <c r="AF25" s="269"/>
      <c r="AG25" s="301"/>
      <c r="AH25" s="358"/>
      <c r="AI25" s="360"/>
      <c r="AJ25" s="219"/>
      <c r="AK25" s="225"/>
      <c r="AL25" s="363">
        <f t="shared" si="1"/>
        <v>0</v>
      </c>
      <c r="AM25" s="356">
        <f t="shared" si="2"/>
        <v>0</v>
      </c>
      <c r="AP25" s="219"/>
      <c r="AQ25" s="225"/>
      <c r="AR25" s="187"/>
      <c r="AS25" s="188"/>
      <c r="AT25" s="187"/>
      <c r="AU25" s="265"/>
      <c r="AV25" s="363">
        <f t="shared" si="3"/>
        <v>0</v>
      </c>
      <c r="AW25" s="356">
        <f t="shared" si="4"/>
        <v>0</v>
      </c>
    </row>
    <row r="26" spans="1:49">
      <c r="A26" s="7">
        <v>102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3"/>
      <c r="Y26" s="7">
        <v>102</v>
      </c>
      <c r="Z26" s="234"/>
      <c r="AA26" s="174"/>
      <c r="AB26" s="187"/>
      <c r="AC26" s="188"/>
      <c r="AD26" s="187"/>
      <c r="AE26" s="265"/>
      <c r="AF26" s="269"/>
      <c r="AG26" s="301"/>
      <c r="AH26" s="358"/>
      <c r="AI26" s="360"/>
      <c r="AJ26" s="219"/>
      <c r="AK26" s="225"/>
      <c r="AL26" s="363">
        <f t="shared" si="1"/>
        <v>0</v>
      </c>
      <c r="AM26" s="356">
        <f t="shared" si="2"/>
        <v>0</v>
      </c>
      <c r="AP26" s="219"/>
      <c r="AQ26" s="225"/>
      <c r="AR26" s="187"/>
      <c r="AS26" s="188"/>
      <c r="AT26" s="187"/>
      <c r="AU26" s="265"/>
      <c r="AV26" s="363">
        <f t="shared" si="3"/>
        <v>0</v>
      </c>
      <c r="AW26" s="356">
        <f t="shared" si="4"/>
        <v>0</v>
      </c>
    </row>
    <row r="27" spans="1:49">
      <c r="A27" s="9">
        <v>103</v>
      </c>
      <c r="B27" s="9">
        <v>892</v>
      </c>
      <c r="C27" s="9" t="s">
        <v>649</v>
      </c>
      <c r="D27" s="9"/>
      <c r="E27" s="9">
        <v>2</v>
      </c>
      <c r="F27" s="9"/>
      <c r="G27" s="9" t="s">
        <v>840</v>
      </c>
      <c r="H27" s="9"/>
      <c r="I27" s="9"/>
      <c r="J27" s="9"/>
      <c r="K27" s="9" t="s">
        <v>650</v>
      </c>
      <c r="L27" s="9"/>
      <c r="M27" s="9"/>
      <c r="N27" s="410" t="s">
        <v>650</v>
      </c>
      <c r="O27" s="9"/>
      <c r="P27" s="13"/>
      <c r="Q27" s="9"/>
      <c r="R27" s="9"/>
      <c r="S27" s="13"/>
      <c r="T27" s="9"/>
      <c r="U27" s="9" t="s">
        <v>650</v>
      </c>
      <c r="V27" s="13"/>
      <c r="W27" s="9" t="s">
        <v>650</v>
      </c>
      <c r="X27" s="13"/>
      <c r="Y27" s="410" t="s">
        <v>841</v>
      </c>
      <c r="Z27" s="437">
        <v>98712055</v>
      </c>
      <c r="AA27" s="438">
        <v>22071.06</v>
      </c>
      <c r="AB27" s="187"/>
      <c r="AC27" s="188"/>
      <c r="AD27" s="187"/>
      <c r="AE27" s="265"/>
      <c r="AF27" s="435" t="s">
        <v>816</v>
      </c>
      <c r="AG27" s="301"/>
      <c r="AH27" s="441">
        <v>98708751</v>
      </c>
      <c r="AI27" s="442">
        <v>110.4</v>
      </c>
      <c r="AJ27" s="219">
        <v>98712055</v>
      </c>
      <c r="AK27" s="225">
        <v>7276.15</v>
      </c>
      <c r="AL27" s="443">
        <f t="shared" si="1"/>
        <v>98712055</v>
      </c>
      <c r="AM27" s="356">
        <f>AI27+AC27+AA27</f>
        <v>22181.460000000003</v>
      </c>
      <c r="AP27" s="219">
        <v>98712055</v>
      </c>
      <c r="AQ27" s="225">
        <v>7276.15</v>
      </c>
      <c r="AR27" s="187">
        <v>98708719</v>
      </c>
      <c r="AS27" s="188">
        <v>1940.7</v>
      </c>
      <c r="AT27" s="187"/>
      <c r="AU27" s="265"/>
      <c r="AV27" s="363">
        <f t="shared" si="3"/>
        <v>98712055</v>
      </c>
      <c r="AW27" s="356">
        <f>AQ27+AS27</f>
        <v>9216.85</v>
      </c>
    </row>
    <row r="28" spans="1:49">
      <c r="A28" s="7">
        <v>104</v>
      </c>
      <c r="B28" s="7">
        <v>893</v>
      </c>
      <c r="C28" s="7" t="s">
        <v>649</v>
      </c>
      <c r="D28" s="7"/>
      <c r="E28" s="7">
        <v>2</v>
      </c>
      <c r="F28" s="7"/>
      <c r="G28" s="7"/>
      <c r="H28" s="7"/>
      <c r="I28" s="7"/>
      <c r="J28" s="7"/>
      <c r="K28" s="7" t="s">
        <v>650</v>
      </c>
      <c r="L28" s="7"/>
      <c r="M28" s="7"/>
      <c r="N28" s="647" t="s">
        <v>650</v>
      </c>
      <c r="O28" s="7"/>
      <c r="P28" s="13"/>
      <c r="Q28" s="7"/>
      <c r="R28" s="7"/>
      <c r="S28" s="13"/>
      <c r="T28" s="7"/>
      <c r="U28" s="7" t="s">
        <v>650</v>
      </c>
      <c r="V28" s="13"/>
      <c r="W28" s="7" t="s">
        <v>650</v>
      </c>
      <c r="X28" s="13"/>
      <c r="Y28" s="603" t="s">
        <v>842</v>
      </c>
      <c r="Z28" s="437">
        <v>98712068</v>
      </c>
      <c r="AA28" s="438">
        <v>21658.13</v>
      </c>
      <c r="AB28" s="187"/>
      <c r="AC28" s="188"/>
      <c r="AD28" s="187"/>
      <c r="AE28" s="265"/>
      <c r="AF28" s="435" t="s">
        <v>816</v>
      </c>
      <c r="AG28" s="301"/>
      <c r="AH28" s="441">
        <v>98708803</v>
      </c>
      <c r="AI28" s="442">
        <v>110.4</v>
      </c>
      <c r="AJ28" s="219">
        <v>98712068</v>
      </c>
      <c r="AK28" s="225">
        <v>7854.6</v>
      </c>
      <c r="AL28" s="363">
        <f t="shared" si="1"/>
        <v>98712068</v>
      </c>
      <c r="AM28" s="356">
        <f t="shared" si="2"/>
        <v>21768.530000000002</v>
      </c>
      <c r="AP28" s="219">
        <v>98712068</v>
      </c>
      <c r="AQ28" s="225">
        <v>7854.6</v>
      </c>
      <c r="AR28" s="187">
        <v>98708768</v>
      </c>
      <c r="AS28" s="188">
        <v>2519.59</v>
      </c>
      <c r="AT28" s="187"/>
      <c r="AU28" s="265"/>
      <c r="AV28" s="363">
        <f t="shared" si="3"/>
        <v>98712068</v>
      </c>
      <c r="AW28" s="356">
        <f t="shared" si="4"/>
        <v>10374.19</v>
      </c>
    </row>
    <row r="29" spans="1:49" s="158" customFormat="1">
      <c r="A29" s="410">
        <v>105</v>
      </c>
      <c r="B29" s="410">
        <v>892</v>
      </c>
      <c r="C29" s="410" t="s">
        <v>648</v>
      </c>
      <c r="D29" s="410"/>
      <c r="E29" s="410">
        <v>2</v>
      </c>
      <c r="F29" s="410"/>
      <c r="G29" s="764" t="s">
        <v>650</v>
      </c>
      <c r="H29" s="410"/>
      <c r="I29" s="410"/>
      <c r="J29" s="410"/>
      <c r="K29" s="410" t="s">
        <v>650</v>
      </c>
      <c r="L29" s="410"/>
      <c r="M29" s="410"/>
      <c r="N29" s="409" t="s">
        <v>650</v>
      </c>
      <c r="O29" s="410"/>
      <c r="P29" s="632"/>
      <c r="Q29" s="410"/>
      <c r="R29" s="410" t="s">
        <v>650</v>
      </c>
      <c r="S29" s="632"/>
      <c r="T29" s="410" t="s">
        <v>650</v>
      </c>
      <c r="U29" s="410" t="s">
        <v>650</v>
      </c>
      <c r="V29" s="632"/>
      <c r="W29" s="410" t="s">
        <v>650</v>
      </c>
      <c r="X29" s="632"/>
      <c r="Y29" s="410" t="s">
        <v>843</v>
      </c>
      <c r="Z29" s="437">
        <v>99314195</v>
      </c>
      <c r="AA29" s="438">
        <v>22618.78</v>
      </c>
      <c r="AB29" s="433"/>
      <c r="AC29" s="434"/>
      <c r="AD29" s="433"/>
      <c r="AE29" s="633"/>
      <c r="AF29" s="435" t="s">
        <v>844</v>
      </c>
      <c r="AG29" s="436"/>
      <c r="AH29" s="441">
        <v>99314039</v>
      </c>
      <c r="AI29" s="442">
        <v>110.4</v>
      </c>
      <c r="AJ29" s="439">
        <v>99314195</v>
      </c>
      <c r="AK29" s="440">
        <v>7494.28</v>
      </c>
      <c r="AL29" s="443">
        <f t="shared" si="1"/>
        <v>99314195</v>
      </c>
      <c r="AM29" s="444">
        <f t="shared" si="2"/>
        <v>22729.18</v>
      </c>
      <c r="AP29" s="439">
        <v>99314195</v>
      </c>
      <c r="AQ29" s="440">
        <v>7494.28</v>
      </c>
      <c r="AR29" s="433">
        <v>99314008</v>
      </c>
      <c r="AS29" s="434">
        <v>5317.48</v>
      </c>
      <c r="AT29" s="433"/>
      <c r="AU29" s="633"/>
      <c r="AV29" s="443">
        <f t="shared" si="3"/>
        <v>99314195</v>
      </c>
      <c r="AW29" s="444">
        <f>AQ29+AS29</f>
        <v>12811.759999999998</v>
      </c>
    </row>
    <row r="30" spans="1:49" s="158" customFormat="1">
      <c r="A30" s="409">
        <v>106</v>
      </c>
      <c r="B30" s="409">
        <v>893</v>
      </c>
      <c r="C30" s="409" t="s">
        <v>648</v>
      </c>
      <c r="D30" s="409"/>
      <c r="E30" s="409">
        <v>2</v>
      </c>
      <c r="F30" s="409"/>
      <c r="G30" s="409"/>
      <c r="H30" s="409"/>
      <c r="I30" s="409"/>
      <c r="J30" s="409"/>
      <c r="K30" s="409" t="s">
        <v>650</v>
      </c>
      <c r="L30" s="409"/>
      <c r="M30" s="409"/>
      <c r="N30" s="409" t="s">
        <v>650</v>
      </c>
      <c r="O30" s="409"/>
      <c r="P30" s="632"/>
      <c r="Q30" s="409"/>
      <c r="R30" s="409" t="s">
        <v>650</v>
      </c>
      <c r="S30" s="632"/>
      <c r="T30" s="409" t="s">
        <v>650</v>
      </c>
      <c r="U30" s="409" t="s">
        <v>650</v>
      </c>
      <c r="V30" s="632"/>
      <c r="W30" s="409" t="s">
        <v>650</v>
      </c>
      <c r="X30" s="632"/>
      <c r="Y30" s="409" t="s">
        <v>845</v>
      </c>
      <c r="Z30" s="437">
        <v>99314210</v>
      </c>
      <c r="AA30" s="438">
        <v>22185.919999999998</v>
      </c>
      <c r="AB30" s="433"/>
      <c r="AC30" s="434"/>
      <c r="AD30" s="433"/>
      <c r="AE30" s="633"/>
      <c r="AF30" s="435" t="s">
        <v>846</v>
      </c>
      <c r="AG30" s="436"/>
      <c r="AH30" s="441">
        <v>99314090</v>
      </c>
      <c r="AI30" s="442">
        <v>110.4</v>
      </c>
      <c r="AJ30" s="439">
        <v>99314210</v>
      </c>
      <c r="AK30" s="440">
        <v>8090.81</v>
      </c>
      <c r="AL30" s="443">
        <f t="shared" si="1"/>
        <v>99314210</v>
      </c>
      <c r="AM30" s="444">
        <f t="shared" si="2"/>
        <v>22296.32</v>
      </c>
      <c r="AP30" s="439">
        <v>99314210</v>
      </c>
      <c r="AQ30" s="440">
        <v>8090.81</v>
      </c>
      <c r="AR30" s="433">
        <v>99314059</v>
      </c>
      <c r="AS30" s="434">
        <v>4573.5</v>
      </c>
      <c r="AT30" s="433"/>
      <c r="AU30" s="633"/>
      <c r="AV30" s="443">
        <f t="shared" si="3"/>
        <v>99314210</v>
      </c>
      <c r="AW30" s="444">
        <f>AQ30+AS30</f>
        <v>12664.310000000001</v>
      </c>
    </row>
    <row r="31" spans="1:49" s="158" customFormat="1">
      <c r="A31" s="410">
        <v>107</v>
      </c>
      <c r="B31" s="410">
        <v>892</v>
      </c>
      <c r="C31" s="410" t="s">
        <v>847</v>
      </c>
      <c r="D31" s="410"/>
      <c r="E31" s="410">
        <v>2</v>
      </c>
      <c r="F31" s="410"/>
      <c r="G31" s="410" t="s">
        <v>840</v>
      </c>
      <c r="H31" s="410"/>
      <c r="I31" s="410"/>
      <c r="J31" s="410"/>
      <c r="K31" s="410"/>
      <c r="L31" s="410"/>
      <c r="M31" s="410"/>
      <c r="N31" s="410" t="s">
        <v>650</v>
      </c>
      <c r="O31" s="410"/>
      <c r="P31" s="410"/>
      <c r="Q31" s="410"/>
      <c r="R31" s="410"/>
      <c r="S31" s="410"/>
      <c r="T31" s="410"/>
      <c r="U31" s="410" t="s">
        <v>650</v>
      </c>
      <c r="V31" s="410"/>
      <c r="W31" s="410" t="s">
        <v>650</v>
      </c>
      <c r="X31" s="632"/>
      <c r="Y31" s="410" t="s">
        <v>848</v>
      </c>
      <c r="Z31" s="437">
        <v>577583</v>
      </c>
      <c r="AA31" s="438">
        <v>21368.799999999999</v>
      </c>
      <c r="AB31" s="842">
        <v>577205</v>
      </c>
      <c r="AC31" s="843">
        <v>7351.9</v>
      </c>
      <c r="AD31" s="433"/>
      <c r="AE31" s="434"/>
      <c r="AF31" s="435"/>
      <c r="AG31" s="436"/>
      <c r="AH31" s="441"/>
      <c r="AI31" s="442"/>
      <c r="AJ31" s="846">
        <v>577583</v>
      </c>
      <c r="AK31" s="861">
        <v>7493.42</v>
      </c>
      <c r="AL31" s="443">
        <f t="shared" si="1"/>
        <v>577583</v>
      </c>
      <c r="AM31" s="444">
        <f>AA31+AC31+AE31+AG31+AI31+AK31</f>
        <v>36214.119999999995</v>
      </c>
      <c r="AP31" s="439"/>
      <c r="AQ31" s="440"/>
      <c r="AR31" s="433"/>
      <c r="AS31" s="434"/>
      <c r="AT31" s="433"/>
      <c r="AU31" s="434"/>
      <c r="AV31" s="443">
        <f t="shared" si="3"/>
        <v>0</v>
      </c>
      <c r="AW31" s="444">
        <f t="shared" si="4"/>
        <v>0</v>
      </c>
    </row>
    <row r="32" spans="1:49" s="158" customFormat="1">
      <c r="A32" s="409">
        <v>108</v>
      </c>
      <c r="B32" s="409">
        <v>893</v>
      </c>
      <c r="C32" s="409" t="s">
        <v>847</v>
      </c>
      <c r="D32" s="409"/>
      <c r="E32" s="409">
        <v>2</v>
      </c>
      <c r="F32" s="409"/>
      <c r="G32" s="409"/>
      <c r="H32" s="409"/>
      <c r="I32" s="409" t="s">
        <v>849</v>
      </c>
      <c r="J32" s="409"/>
      <c r="K32" s="409"/>
      <c r="L32" s="409"/>
      <c r="M32" s="409"/>
      <c r="N32" s="409" t="s">
        <v>650</v>
      </c>
      <c r="O32" s="409"/>
      <c r="P32" s="409"/>
      <c r="Q32" s="409"/>
      <c r="R32" s="409"/>
      <c r="S32" s="409"/>
      <c r="T32" s="409"/>
      <c r="U32" s="409" t="s">
        <v>650</v>
      </c>
      <c r="V32" s="409"/>
      <c r="W32" s="409" t="s">
        <v>650</v>
      </c>
      <c r="X32" s="632"/>
      <c r="Y32" s="409" t="s">
        <v>850</v>
      </c>
      <c r="Z32" s="437">
        <v>577599</v>
      </c>
      <c r="AA32" s="438">
        <v>20937.89</v>
      </c>
      <c r="AB32" s="842">
        <v>577252</v>
      </c>
      <c r="AC32" s="843">
        <v>6287.9</v>
      </c>
      <c r="AD32" s="433"/>
      <c r="AE32" s="633"/>
      <c r="AF32" s="435"/>
      <c r="AG32" s="436"/>
      <c r="AH32" s="441"/>
      <c r="AI32" s="442"/>
      <c r="AJ32" s="846">
        <v>577599</v>
      </c>
      <c r="AK32" s="861">
        <v>8089.3</v>
      </c>
      <c r="AL32" s="443">
        <f t="shared" si="1"/>
        <v>577599</v>
      </c>
      <c r="AM32" s="444">
        <f t="shared" ref="AM32:AM48" si="6">AA32+AC32+AE32+AG32+AI32+AK32</f>
        <v>35315.090000000004</v>
      </c>
      <c r="AP32" s="439"/>
      <c r="AQ32" s="440"/>
      <c r="AR32" s="433"/>
      <c r="AS32" s="434"/>
      <c r="AT32" s="433"/>
      <c r="AU32" s="633"/>
      <c r="AV32" s="443">
        <f t="shared" si="3"/>
        <v>0</v>
      </c>
      <c r="AW32" s="444">
        <f t="shared" si="4"/>
        <v>0</v>
      </c>
    </row>
    <row r="33" spans="1:49" s="158" customFormat="1">
      <c r="A33" s="410">
        <v>109</v>
      </c>
      <c r="B33" s="410">
        <v>892</v>
      </c>
      <c r="C33" s="410" t="s">
        <v>851</v>
      </c>
      <c r="D33" s="410"/>
      <c r="E33" s="410">
        <v>2</v>
      </c>
      <c r="F33" s="410"/>
      <c r="G33" s="410" t="s">
        <v>840</v>
      </c>
      <c r="H33" s="410"/>
      <c r="I33" s="410"/>
      <c r="J33" s="410"/>
      <c r="K33" s="410" t="s">
        <v>650</v>
      </c>
      <c r="L33" s="410"/>
      <c r="M33" s="410"/>
      <c r="N33" s="410" t="s">
        <v>650</v>
      </c>
      <c r="O33" s="410"/>
      <c r="P33" s="410"/>
      <c r="Q33" s="410"/>
      <c r="R33" s="410"/>
      <c r="S33" s="410"/>
      <c r="T33" s="410"/>
      <c r="U33" s="410" t="s">
        <v>650</v>
      </c>
      <c r="V33" s="410"/>
      <c r="W33" s="410" t="s">
        <v>650</v>
      </c>
      <c r="X33" s="632"/>
      <c r="Y33" s="410" t="s">
        <v>852</v>
      </c>
      <c r="Z33" s="437">
        <v>863190</v>
      </c>
      <c r="AA33" s="438">
        <v>21503.68</v>
      </c>
      <c r="AB33" s="842">
        <v>862977</v>
      </c>
      <c r="AC33" s="843">
        <v>6266.71</v>
      </c>
      <c r="AD33" s="433"/>
      <c r="AE33" s="633"/>
      <c r="AF33" s="435"/>
      <c r="AG33" s="436"/>
      <c r="AH33" s="441"/>
      <c r="AI33" s="442"/>
      <c r="AJ33" s="846">
        <v>863190</v>
      </c>
      <c r="AK33" s="861">
        <v>7493.42</v>
      </c>
      <c r="AL33" s="443">
        <f t="shared" si="1"/>
        <v>863190</v>
      </c>
      <c r="AM33" s="444">
        <f t="shared" si="6"/>
        <v>35263.81</v>
      </c>
      <c r="AP33" s="439"/>
      <c r="AQ33" s="440"/>
      <c r="AR33" s="433"/>
      <c r="AS33" s="434"/>
      <c r="AT33" s="433"/>
      <c r="AU33" s="633"/>
      <c r="AV33" s="443">
        <f t="shared" si="3"/>
        <v>0</v>
      </c>
      <c r="AW33" s="444">
        <f t="shared" si="4"/>
        <v>0</v>
      </c>
    </row>
    <row r="34" spans="1:49" s="158" customFormat="1">
      <c r="A34" s="409">
        <v>110</v>
      </c>
      <c r="B34" s="409">
        <v>893</v>
      </c>
      <c r="C34" s="409" t="s">
        <v>851</v>
      </c>
      <c r="D34" s="409"/>
      <c r="E34" s="409">
        <v>2</v>
      </c>
      <c r="F34" s="409"/>
      <c r="G34" s="409"/>
      <c r="H34" s="409"/>
      <c r="I34" s="409" t="s">
        <v>849</v>
      </c>
      <c r="J34" s="409"/>
      <c r="K34" s="409" t="s">
        <v>650</v>
      </c>
      <c r="L34" s="409"/>
      <c r="M34" s="409"/>
      <c r="N34" s="409" t="s">
        <v>650</v>
      </c>
      <c r="O34" s="409"/>
      <c r="P34" s="409"/>
      <c r="Q34" s="409"/>
      <c r="R34" s="409"/>
      <c r="S34" s="409"/>
      <c r="T34" s="409"/>
      <c r="U34" s="409" t="s">
        <v>650</v>
      </c>
      <c r="V34" s="409"/>
      <c r="W34" s="409" t="s">
        <v>650</v>
      </c>
      <c r="X34" s="632"/>
      <c r="Y34" s="409" t="s">
        <v>853</v>
      </c>
      <c r="Z34" s="437">
        <v>863236</v>
      </c>
      <c r="AA34" s="438">
        <v>21081.64</v>
      </c>
      <c r="AB34" s="842">
        <v>863041</v>
      </c>
      <c r="AC34" s="843">
        <v>7517.48</v>
      </c>
      <c r="AD34" s="433"/>
      <c r="AE34" s="633"/>
      <c r="AF34" s="435"/>
      <c r="AG34" s="436"/>
      <c r="AH34" s="441"/>
      <c r="AI34" s="442"/>
      <c r="AJ34" s="846">
        <v>863236</v>
      </c>
      <c r="AK34" s="861">
        <v>8089.3</v>
      </c>
      <c r="AL34" s="443">
        <f t="shared" si="1"/>
        <v>863236</v>
      </c>
      <c r="AM34" s="444">
        <f t="shared" si="6"/>
        <v>36688.42</v>
      </c>
      <c r="AP34" s="439"/>
      <c r="AQ34" s="440"/>
      <c r="AR34" s="433"/>
      <c r="AS34" s="434"/>
      <c r="AT34" s="433"/>
      <c r="AU34" s="633"/>
      <c r="AV34" s="443">
        <f t="shared" si="3"/>
        <v>0</v>
      </c>
      <c r="AW34" s="444">
        <f t="shared" si="4"/>
        <v>0</v>
      </c>
    </row>
    <row r="35" spans="1:49" s="158" customFormat="1">
      <c r="A35" s="410">
        <v>111</v>
      </c>
      <c r="B35" s="410">
        <v>892</v>
      </c>
      <c r="C35" s="410" t="s">
        <v>648</v>
      </c>
      <c r="D35" s="410"/>
      <c r="E35" s="410">
        <v>2</v>
      </c>
      <c r="F35" s="410"/>
      <c r="G35" s="410" t="s">
        <v>854</v>
      </c>
      <c r="H35" s="410"/>
      <c r="I35" s="410"/>
      <c r="J35" s="410"/>
      <c r="K35" s="410"/>
      <c r="L35" s="410"/>
      <c r="M35" s="410"/>
      <c r="N35" s="410" t="s">
        <v>650</v>
      </c>
      <c r="O35" s="410"/>
      <c r="P35" s="410"/>
      <c r="Q35" s="410"/>
      <c r="R35" s="410"/>
      <c r="S35" s="410"/>
      <c r="T35" s="410"/>
      <c r="U35" s="410" t="s">
        <v>650</v>
      </c>
      <c r="V35" s="410"/>
      <c r="W35" s="410" t="s">
        <v>650</v>
      </c>
      <c r="X35" s="632"/>
      <c r="Y35" s="410" t="s">
        <v>855</v>
      </c>
      <c r="Z35" s="840">
        <v>1313124</v>
      </c>
      <c r="AA35" s="841">
        <v>23128.23</v>
      </c>
      <c r="AB35" s="842">
        <v>1312867</v>
      </c>
      <c r="AC35" s="843">
        <v>5319.36</v>
      </c>
      <c r="AD35" s="433"/>
      <c r="AE35" s="633"/>
      <c r="AF35" s="435"/>
      <c r="AG35" s="436"/>
      <c r="AH35" s="936" t="s">
        <v>856</v>
      </c>
      <c r="AI35" s="937">
        <v>5208.41</v>
      </c>
      <c r="AJ35" s="439">
        <v>1313124</v>
      </c>
      <c r="AK35" s="440">
        <v>2604.2800000000002</v>
      </c>
      <c r="AL35" s="443">
        <f t="shared" si="1"/>
        <v>1313124</v>
      </c>
      <c r="AM35" s="444">
        <f>AA35+AC35+AE35+AG35+AI35+AK35</f>
        <v>36260.28</v>
      </c>
      <c r="AP35" s="439"/>
      <c r="AQ35" s="440"/>
      <c r="AR35" s="433"/>
      <c r="AS35" s="434"/>
      <c r="AT35" s="433"/>
      <c r="AU35" s="633"/>
      <c r="AV35" s="443">
        <f t="shared" si="3"/>
        <v>0</v>
      </c>
      <c r="AW35" s="444">
        <f t="shared" si="4"/>
        <v>0</v>
      </c>
    </row>
    <row r="36" spans="1:49" s="158" customFormat="1">
      <c r="A36" s="409">
        <v>112</v>
      </c>
      <c r="B36" s="409">
        <v>893</v>
      </c>
      <c r="C36" s="409" t="s">
        <v>648</v>
      </c>
      <c r="D36" s="409"/>
      <c r="E36" s="409">
        <v>2</v>
      </c>
      <c r="F36" s="409"/>
      <c r="G36" s="409"/>
      <c r="H36" s="409"/>
      <c r="I36" s="409"/>
      <c r="J36" s="409"/>
      <c r="K36" s="409" t="s">
        <v>650</v>
      </c>
      <c r="L36" s="409"/>
      <c r="M36" s="409"/>
      <c r="N36" s="409" t="s">
        <v>650</v>
      </c>
      <c r="O36" s="409"/>
      <c r="P36" s="409"/>
      <c r="Q36" s="409"/>
      <c r="R36" s="409"/>
      <c r="S36" s="409"/>
      <c r="T36" s="409"/>
      <c r="U36" s="409" t="s">
        <v>650</v>
      </c>
      <c r="V36" s="409"/>
      <c r="W36" s="409" t="s">
        <v>650</v>
      </c>
      <c r="X36" s="632"/>
      <c r="Y36" s="409" t="s">
        <v>857</v>
      </c>
      <c r="Z36" s="840">
        <v>1313145</v>
      </c>
      <c r="AA36" s="841">
        <v>22602.05</v>
      </c>
      <c r="AB36" s="842">
        <v>1312919</v>
      </c>
      <c r="AC36" s="843">
        <v>4611.38</v>
      </c>
      <c r="AD36" s="842">
        <v>1323961</v>
      </c>
      <c r="AE36" s="843">
        <v>144.56</v>
      </c>
      <c r="AF36" s="435"/>
      <c r="AG36" s="436"/>
      <c r="AH36" s="533" t="s">
        <v>858</v>
      </c>
      <c r="AI36" s="997">
        <v>5913.2</v>
      </c>
      <c r="AJ36" s="846">
        <v>1313145</v>
      </c>
      <c r="AK36" s="861">
        <v>2539.1999999999998</v>
      </c>
      <c r="AL36" s="443">
        <f t="shared" si="1"/>
        <v>1313145</v>
      </c>
      <c r="AM36" s="444">
        <f t="shared" si="6"/>
        <v>35810.39</v>
      </c>
      <c r="AP36" s="439"/>
      <c r="AQ36" s="440"/>
      <c r="AR36" s="433"/>
      <c r="AS36" s="434"/>
      <c r="AT36" s="433"/>
      <c r="AU36" s="633"/>
      <c r="AV36" s="443">
        <f t="shared" si="3"/>
        <v>0</v>
      </c>
      <c r="AW36" s="444">
        <f t="shared" si="4"/>
        <v>0</v>
      </c>
    </row>
    <row r="37" spans="1:49" ht="15">
      <c r="A37" s="1031">
        <v>113</v>
      </c>
      <c r="B37" s="410">
        <v>892</v>
      </c>
      <c r="C37" s="410" t="s">
        <v>649</v>
      </c>
      <c r="D37" s="9"/>
      <c r="E37" s="410">
        <v>2</v>
      </c>
      <c r="F37" s="9"/>
      <c r="G37" s="410" t="s">
        <v>854</v>
      </c>
      <c r="H37" s="9"/>
      <c r="I37" s="9"/>
      <c r="J37" s="9"/>
      <c r="K37" s="410" t="s">
        <v>650</v>
      </c>
      <c r="L37" s="9"/>
      <c r="M37" s="9"/>
      <c r="N37" s="410" t="s">
        <v>650</v>
      </c>
      <c r="O37" s="9"/>
      <c r="P37" s="9"/>
      <c r="Q37" s="9"/>
      <c r="R37" s="9"/>
      <c r="S37" s="9"/>
      <c r="T37" s="9"/>
      <c r="U37" s="410" t="s">
        <v>650</v>
      </c>
      <c r="V37" s="9"/>
      <c r="W37" s="410" t="s">
        <v>650</v>
      </c>
      <c r="X37" s="13"/>
      <c r="Y37" s="410" t="s">
        <v>859</v>
      </c>
      <c r="Z37" s="840">
        <v>3200275</v>
      </c>
      <c r="AA37" s="841">
        <v>20471.29</v>
      </c>
      <c r="AB37" s="842">
        <v>3200152</v>
      </c>
      <c r="AC37" s="843">
        <v>5118.24</v>
      </c>
      <c r="AD37" s="857"/>
      <c r="AE37" s="1052"/>
      <c r="AF37" s="912" t="s">
        <v>860</v>
      </c>
      <c r="AG37" s="913"/>
      <c r="AH37" s="936" t="s">
        <v>860</v>
      </c>
      <c r="AI37" s="360"/>
      <c r="AJ37" s="439">
        <v>3200275</v>
      </c>
      <c r="AK37" s="440">
        <v>7827.28</v>
      </c>
      <c r="AL37" s="443">
        <f t="shared" si="1"/>
        <v>3200275</v>
      </c>
      <c r="AM37" s="444">
        <f>AA37+AC37+AE37+AG37+AI37+AK37</f>
        <v>33416.81</v>
      </c>
      <c r="AP37" s="219"/>
      <c r="AQ37" s="225"/>
      <c r="AR37" s="187"/>
      <c r="AS37" s="188"/>
      <c r="AT37" s="187"/>
      <c r="AU37" s="265"/>
      <c r="AV37" s="363">
        <f t="shared" si="3"/>
        <v>0</v>
      </c>
      <c r="AW37" s="356">
        <f t="shared" si="4"/>
        <v>0</v>
      </c>
    </row>
    <row r="38" spans="1:49" ht="45.75">
      <c r="A38" s="7">
        <v>114</v>
      </c>
      <c r="B38" s="7">
        <v>893</v>
      </c>
      <c r="C38" s="409" t="s">
        <v>649</v>
      </c>
      <c r="D38" s="7"/>
      <c r="E38" s="409">
        <v>2</v>
      </c>
      <c r="F38" s="7"/>
      <c r="G38" s="7"/>
      <c r="H38" s="7"/>
      <c r="I38" s="473" t="s">
        <v>861</v>
      </c>
      <c r="J38" s="7"/>
      <c r="K38" s="409" t="s">
        <v>650</v>
      </c>
      <c r="L38" s="7"/>
      <c r="M38" s="7"/>
      <c r="N38" s="409" t="s">
        <v>650</v>
      </c>
      <c r="O38" s="7"/>
      <c r="P38" s="7"/>
      <c r="Q38" s="7"/>
      <c r="R38" s="7"/>
      <c r="S38" s="7"/>
      <c r="T38" s="7"/>
      <c r="U38" s="409" t="s">
        <v>650</v>
      </c>
      <c r="V38" s="7"/>
      <c r="W38" s="409" t="s">
        <v>650</v>
      </c>
      <c r="X38" s="13"/>
      <c r="Y38" s="409" t="s">
        <v>862</v>
      </c>
      <c r="Z38" s="840">
        <v>3200292</v>
      </c>
      <c r="AA38" s="841">
        <v>19998.14</v>
      </c>
      <c r="AB38" s="842">
        <v>3200196</v>
      </c>
      <c r="AC38" s="843">
        <v>4089.92</v>
      </c>
      <c r="AD38" s="857"/>
      <c r="AE38" s="860"/>
      <c r="AF38" s="912" t="s">
        <v>863</v>
      </c>
      <c r="AG38" s="913"/>
      <c r="AH38" s="936" t="s">
        <v>863</v>
      </c>
      <c r="AI38" s="360"/>
      <c r="AJ38" s="439">
        <v>3200292</v>
      </c>
      <c r="AK38" s="440">
        <v>8457.27</v>
      </c>
      <c r="AL38" s="443">
        <f t="shared" si="1"/>
        <v>3200292</v>
      </c>
      <c r="AM38" s="444">
        <f t="shared" si="6"/>
        <v>32545.329999999998</v>
      </c>
      <c r="AP38" s="219"/>
      <c r="AQ38" s="225"/>
      <c r="AR38" s="187"/>
      <c r="AS38" s="188"/>
      <c r="AT38" s="187"/>
      <c r="AU38" s="188"/>
      <c r="AV38" s="363">
        <f t="shared" si="3"/>
        <v>0</v>
      </c>
      <c r="AW38" s="356">
        <f t="shared" si="4"/>
        <v>0</v>
      </c>
    </row>
    <row r="39" spans="1:49">
      <c r="A39" s="9">
        <v>115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3"/>
      <c r="Y39" s="9">
        <v>115</v>
      </c>
      <c r="Z39" s="437"/>
      <c r="AA39" s="438"/>
      <c r="AB39" s="433"/>
      <c r="AC39" s="434"/>
      <c r="AD39" s="433"/>
      <c r="AE39" s="434"/>
      <c r="AF39" s="435"/>
      <c r="AG39" s="436"/>
      <c r="AH39" s="358"/>
      <c r="AI39" s="360"/>
      <c r="AJ39" s="219"/>
      <c r="AK39" s="225"/>
      <c r="AL39" s="363">
        <f t="shared" si="1"/>
        <v>0</v>
      </c>
      <c r="AM39" s="444">
        <f t="shared" si="6"/>
        <v>0</v>
      </c>
      <c r="AP39" s="219"/>
      <c r="AQ39" s="225"/>
      <c r="AR39" s="187"/>
      <c r="AS39" s="188"/>
      <c r="AT39" s="433"/>
      <c r="AU39" s="434"/>
      <c r="AV39" s="363">
        <f t="shared" si="3"/>
        <v>0</v>
      </c>
      <c r="AW39" s="356">
        <f t="shared" si="4"/>
        <v>0</v>
      </c>
    </row>
    <row r="40" spans="1:49">
      <c r="A40" s="7">
        <v>116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3"/>
      <c r="Y40" s="7">
        <v>116</v>
      </c>
      <c r="Z40" s="234"/>
      <c r="AA40" s="174"/>
      <c r="AB40" s="187"/>
      <c r="AC40" s="188"/>
      <c r="AD40" s="187"/>
      <c r="AE40" s="265"/>
      <c r="AF40" s="269"/>
      <c r="AG40" s="301"/>
      <c r="AH40" s="358"/>
      <c r="AI40" s="360"/>
      <c r="AJ40" s="219"/>
      <c r="AK40" s="225"/>
      <c r="AL40" s="363">
        <f t="shared" si="1"/>
        <v>0</v>
      </c>
      <c r="AM40" s="444">
        <f t="shared" si="6"/>
        <v>0</v>
      </c>
      <c r="AP40" s="219"/>
      <c r="AQ40" s="225"/>
      <c r="AR40" s="187"/>
      <c r="AS40" s="188"/>
      <c r="AT40" s="187"/>
      <c r="AU40" s="265"/>
      <c r="AV40" s="363">
        <f t="shared" si="3"/>
        <v>0</v>
      </c>
      <c r="AW40" s="356">
        <f t="shared" si="4"/>
        <v>0</v>
      </c>
    </row>
    <row r="41" spans="1:49">
      <c r="A41" s="9">
        <v>117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3"/>
      <c r="Y41" s="9">
        <v>117</v>
      </c>
      <c r="Z41" s="234"/>
      <c r="AA41" s="174"/>
      <c r="AB41" s="266"/>
      <c r="AC41" s="188"/>
      <c r="AD41" s="266"/>
      <c r="AE41" s="188"/>
      <c r="AF41" s="269"/>
      <c r="AG41" s="301"/>
      <c r="AH41" s="358"/>
      <c r="AI41" s="360"/>
      <c r="AJ41" s="219"/>
      <c r="AK41" s="225"/>
      <c r="AL41" s="363">
        <f t="shared" si="1"/>
        <v>0</v>
      </c>
      <c r="AM41" s="444">
        <f t="shared" si="6"/>
        <v>0</v>
      </c>
      <c r="AP41" s="219"/>
      <c r="AQ41" s="225"/>
      <c r="AR41" s="187"/>
      <c r="AS41" s="188"/>
      <c r="AT41" s="266"/>
      <c r="AU41" s="188"/>
      <c r="AV41" s="363">
        <f t="shared" si="3"/>
        <v>0</v>
      </c>
      <c r="AW41" s="356">
        <f t="shared" si="4"/>
        <v>0</v>
      </c>
    </row>
    <row r="42" spans="1:49">
      <c r="A42" s="7">
        <v>118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13"/>
      <c r="Y42" s="7">
        <v>118</v>
      </c>
      <c r="Z42" s="234"/>
      <c r="AA42" s="174"/>
      <c r="AB42" s="187"/>
      <c r="AC42" s="188"/>
      <c r="AD42" s="187"/>
      <c r="AE42" s="265"/>
      <c r="AF42" s="269"/>
      <c r="AG42" s="301"/>
      <c r="AH42" s="358"/>
      <c r="AI42" s="360"/>
      <c r="AJ42" s="219"/>
      <c r="AK42" s="225"/>
      <c r="AL42" s="363">
        <f t="shared" si="1"/>
        <v>0</v>
      </c>
      <c r="AM42" s="444">
        <f t="shared" si="6"/>
        <v>0</v>
      </c>
      <c r="AP42" s="219"/>
      <c r="AQ42" s="225"/>
      <c r="AR42" s="187"/>
      <c r="AS42" s="188"/>
      <c r="AT42" s="187"/>
      <c r="AU42" s="265"/>
      <c r="AV42" s="363">
        <f t="shared" si="3"/>
        <v>0</v>
      </c>
      <c r="AW42" s="356">
        <f t="shared" si="4"/>
        <v>0</v>
      </c>
    </row>
    <row r="43" spans="1:49">
      <c r="A43" s="9">
        <v>119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3"/>
      <c r="Y43" s="9">
        <v>119</v>
      </c>
      <c r="Z43" s="234"/>
      <c r="AA43" s="174"/>
      <c r="AB43" s="187"/>
      <c r="AC43" s="188"/>
      <c r="AD43" s="187"/>
      <c r="AE43" s="265"/>
      <c r="AF43" s="269"/>
      <c r="AG43" s="301"/>
      <c r="AH43" s="358"/>
      <c r="AI43" s="360"/>
      <c r="AJ43" s="219"/>
      <c r="AK43" s="225"/>
      <c r="AL43" s="363">
        <f t="shared" si="1"/>
        <v>0</v>
      </c>
      <c r="AM43" s="444">
        <f t="shared" si="6"/>
        <v>0</v>
      </c>
      <c r="AP43" s="219"/>
      <c r="AQ43" s="225"/>
      <c r="AR43" s="187"/>
      <c r="AS43" s="188"/>
      <c r="AT43" s="187"/>
      <c r="AU43" s="265"/>
      <c r="AV43" s="363">
        <f t="shared" si="3"/>
        <v>0</v>
      </c>
      <c r="AW43" s="356">
        <f t="shared" si="4"/>
        <v>0</v>
      </c>
    </row>
    <row r="44" spans="1:49">
      <c r="A44" s="7">
        <v>120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3"/>
      <c r="Y44" s="7">
        <v>120</v>
      </c>
      <c r="Z44" s="234"/>
      <c r="AA44" s="174"/>
      <c r="AB44" s="187"/>
      <c r="AC44" s="188"/>
      <c r="AD44" s="187"/>
      <c r="AE44" s="265"/>
      <c r="AF44" s="269"/>
      <c r="AG44" s="301"/>
      <c r="AH44" s="358"/>
      <c r="AI44" s="360"/>
      <c r="AJ44" s="219"/>
      <c r="AK44" s="225"/>
      <c r="AL44" s="363">
        <f t="shared" si="1"/>
        <v>0</v>
      </c>
      <c r="AM44" s="444">
        <f t="shared" si="6"/>
        <v>0</v>
      </c>
      <c r="AP44" s="219"/>
      <c r="AQ44" s="225"/>
      <c r="AR44" s="187"/>
      <c r="AS44" s="188"/>
      <c r="AT44" s="187"/>
      <c r="AU44" s="265"/>
      <c r="AV44" s="363">
        <f t="shared" si="3"/>
        <v>0</v>
      </c>
      <c r="AW44" s="356">
        <f t="shared" si="4"/>
        <v>0</v>
      </c>
    </row>
    <row r="45" spans="1:49">
      <c r="A45" s="9">
        <v>121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3"/>
      <c r="Y45" s="9">
        <v>121</v>
      </c>
      <c r="Z45" s="234"/>
      <c r="AA45" s="174"/>
      <c r="AB45" s="187"/>
      <c r="AC45" s="188"/>
      <c r="AD45" s="187"/>
      <c r="AE45" s="265"/>
      <c r="AF45" s="269"/>
      <c r="AG45" s="301"/>
      <c r="AH45" s="358"/>
      <c r="AI45" s="360"/>
      <c r="AJ45" s="219"/>
      <c r="AK45" s="225"/>
      <c r="AL45" s="363">
        <f t="shared" si="1"/>
        <v>0</v>
      </c>
      <c r="AM45" s="444">
        <f t="shared" si="6"/>
        <v>0</v>
      </c>
      <c r="AP45" s="219"/>
      <c r="AQ45" s="225"/>
      <c r="AR45" s="187"/>
      <c r="AS45" s="188"/>
      <c r="AT45" s="187"/>
      <c r="AU45" s="265"/>
      <c r="AV45" s="363">
        <f t="shared" si="3"/>
        <v>0</v>
      </c>
      <c r="AW45" s="356">
        <f t="shared" si="4"/>
        <v>0</v>
      </c>
    </row>
    <row r="46" spans="1:49">
      <c r="A46" s="7">
        <v>122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13"/>
      <c r="Y46" s="7">
        <v>122</v>
      </c>
      <c r="Z46" s="234"/>
      <c r="AA46" s="174"/>
      <c r="AB46" s="187"/>
      <c r="AC46" s="188"/>
      <c r="AD46" s="187"/>
      <c r="AE46" s="265"/>
      <c r="AF46" s="269"/>
      <c r="AG46" s="301"/>
      <c r="AH46" s="358"/>
      <c r="AI46" s="360"/>
      <c r="AJ46" s="219"/>
      <c r="AK46" s="225"/>
      <c r="AL46" s="363">
        <f t="shared" si="1"/>
        <v>0</v>
      </c>
      <c r="AM46" s="444">
        <f t="shared" si="6"/>
        <v>0</v>
      </c>
      <c r="AP46" s="219"/>
      <c r="AQ46" s="225"/>
      <c r="AR46" s="187"/>
      <c r="AS46" s="188"/>
      <c r="AT46" s="187"/>
      <c r="AU46" s="265"/>
      <c r="AV46" s="363">
        <f t="shared" si="3"/>
        <v>0</v>
      </c>
      <c r="AW46" s="356">
        <f t="shared" si="4"/>
        <v>0</v>
      </c>
    </row>
    <row r="47" spans="1:49">
      <c r="A47" s="9">
        <v>123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37"/>
      <c r="W47" s="9"/>
      <c r="X47" s="13"/>
      <c r="Y47" s="9">
        <v>123</v>
      </c>
      <c r="Z47" s="234"/>
      <c r="AA47" s="174"/>
      <c r="AB47" s="187"/>
      <c r="AC47" s="188"/>
      <c r="AD47" s="187"/>
      <c r="AE47" s="265"/>
      <c r="AF47" s="269"/>
      <c r="AG47" s="301"/>
      <c r="AH47" s="358"/>
      <c r="AI47" s="360"/>
      <c r="AJ47" s="219"/>
      <c r="AK47" s="225"/>
      <c r="AL47" s="363">
        <f t="shared" si="1"/>
        <v>0</v>
      </c>
      <c r="AM47" s="444">
        <f t="shared" si="6"/>
        <v>0</v>
      </c>
      <c r="AP47" s="219"/>
      <c r="AQ47" s="225"/>
      <c r="AR47" s="187"/>
      <c r="AS47" s="188"/>
      <c r="AT47" s="187"/>
      <c r="AU47" s="265"/>
      <c r="AV47" s="363">
        <f t="shared" si="3"/>
        <v>0</v>
      </c>
      <c r="AW47" s="356">
        <f t="shared" si="4"/>
        <v>0</v>
      </c>
    </row>
    <row r="48" spans="1:49">
      <c r="A48" s="7">
        <v>124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13"/>
      <c r="Y48" s="7">
        <v>124</v>
      </c>
      <c r="Z48" s="234"/>
      <c r="AA48" s="174"/>
      <c r="AB48" s="187"/>
      <c r="AC48" s="188"/>
      <c r="AD48" s="187"/>
      <c r="AE48" s="265"/>
      <c r="AF48" s="269"/>
      <c r="AG48" s="301"/>
      <c r="AH48" s="358"/>
      <c r="AI48" s="360"/>
      <c r="AJ48" s="219"/>
      <c r="AK48" s="225"/>
      <c r="AL48" s="363">
        <f t="shared" si="1"/>
        <v>0</v>
      </c>
      <c r="AM48" s="444">
        <f t="shared" si="6"/>
        <v>0</v>
      </c>
      <c r="AP48" s="219"/>
      <c r="AQ48" s="225"/>
      <c r="AR48" s="187"/>
      <c r="AS48" s="188"/>
      <c r="AT48" s="187"/>
      <c r="AU48" s="265"/>
      <c r="AV48" s="363">
        <f t="shared" si="3"/>
        <v>0</v>
      </c>
      <c r="AW48" s="356">
        <f t="shared" si="4"/>
        <v>0</v>
      </c>
    </row>
    <row r="49" spans="1:51">
      <c r="A49" s="9">
        <v>125</v>
      </c>
      <c r="B49" s="9">
        <v>892</v>
      </c>
      <c r="C49" s="9" t="s">
        <v>851</v>
      </c>
      <c r="D49" s="9"/>
      <c r="E49" s="9">
        <v>2</v>
      </c>
      <c r="F49" s="9"/>
      <c r="G49" s="9" t="s">
        <v>854</v>
      </c>
      <c r="H49" s="9"/>
      <c r="I49" s="9"/>
      <c r="J49" s="9"/>
      <c r="K49" s="9" t="s">
        <v>650</v>
      </c>
      <c r="L49" s="9"/>
      <c r="M49" s="9"/>
      <c r="N49" s="9"/>
      <c r="O49" s="9"/>
      <c r="P49" s="13"/>
      <c r="Q49" s="9"/>
      <c r="R49" s="9"/>
      <c r="S49" s="13"/>
      <c r="T49" s="9"/>
      <c r="U49" s="9" t="s">
        <v>650</v>
      </c>
      <c r="V49" s="13"/>
      <c r="W49" s="9" t="s">
        <v>650</v>
      </c>
      <c r="X49" s="13"/>
      <c r="Y49" s="604" t="s">
        <v>864</v>
      </c>
      <c r="Z49" s="437">
        <v>98722877</v>
      </c>
      <c r="AA49" s="438">
        <v>22299.96</v>
      </c>
      <c r="AB49" s="187"/>
      <c r="AC49" s="188"/>
      <c r="AD49" s="187"/>
      <c r="AE49" s="265"/>
      <c r="AF49" s="269" t="s">
        <v>816</v>
      </c>
      <c r="AG49" s="301"/>
      <c r="AH49" s="441">
        <v>98722683</v>
      </c>
      <c r="AI49" s="442">
        <v>110.4</v>
      </c>
      <c r="AJ49" s="219">
        <v>98722877</v>
      </c>
      <c r="AK49" s="225">
        <v>7467.87</v>
      </c>
      <c r="AL49" s="443">
        <f t="shared" si="1"/>
        <v>98722877</v>
      </c>
      <c r="AM49" s="444">
        <f>AA49+AC49+AE49+AG49+AI49</f>
        <v>22410.36</v>
      </c>
      <c r="AP49" s="219">
        <v>98722877</v>
      </c>
      <c r="AQ49" s="225">
        <v>7467.87</v>
      </c>
      <c r="AR49" s="187">
        <v>98722646</v>
      </c>
      <c r="AS49" s="188">
        <v>2716.16</v>
      </c>
      <c r="AT49" s="187">
        <v>99077547</v>
      </c>
      <c r="AU49" s="188">
        <v>3239.7</v>
      </c>
      <c r="AV49" s="363">
        <f t="shared" si="3"/>
        <v>98722877</v>
      </c>
      <c r="AW49" s="356">
        <f>AQ49+AS49+AU49</f>
        <v>13423.73</v>
      </c>
    </row>
    <row r="50" spans="1:51">
      <c r="A50" s="7">
        <v>126</v>
      </c>
      <c r="B50" s="7">
        <v>893</v>
      </c>
      <c r="C50" s="7" t="s">
        <v>851</v>
      </c>
      <c r="D50" s="7"/>
      <c r="E50" s="7">
        <v>2</v>
      </c>
      <c r="F50" s="7"/>
      <c r="G50" s="7"/>
      <c r="H50" s="7"/>
      <c r="I50" s="7" t="s">
        <v>865</v>
      </c>
      <c r="J50" s="7"/>
      <c r="K50" s="7" t="s">
        <v>650</v>
      </c>
      <c r="L50" s="7"/>
      <c r="M50" s="7"/>
      <c r="N50" s="7"/>
      <c r="O50" s="7"/>
      <c r="P50" s="13"/>
      <c r="Q50" s="7"/>
      <c r="R50" s="7"/>
      <c r="S50" s="13"/>
      <c r="T50" s="7"/>
      <c r="U50" s="7" t="s">
        <v>650</v>
      </c>
      <c r="V50" s="7"/>
      <c r="W50" s="7" t="s">
        <v>650</v>
      </c>
      <c r="X50" s="13"/>
      <c r="Y50" s="604" t="s">
        <v>866</v>
      </c>
      <c r="Z50" s="437">
        <v>98712081</v>
      </c>
      <c r="AA50" s="438">
        <v>21870.49</v>
      </c>
      <c r="AB50" s="187"/>
      <c r="AC50" s="188"/>
      <c r="AD50" s="187"/>
      <c r="AE50" s="265"/>
      <c r="AF50" s="269" t="s">
        <v>816</v>
      </c>
      <c r="AG50" s="301"/>
      <c r="AH50" s="441">
        <v>98709144</v>
      </c>
      <c r="AI50" s="442">
        <v>110.4</v>
      </c>
      <c r="AJ50" s="219">
        <v>98685297</v>
      </c>
      <c r="AK50" s="225">
        <v>8066.02</v>
      </c>
      <c r="AL50" s="443">
        <f>Z50</f>
        <v>98712081</v>
      </c>
      <c r="AM50" s="444">
        <f>AA50+AC50+AE50+AG50+AI50</f>
        <v>21980.890000000003</v>
      </c>
      <c r="AP50" s="219">
        <v>98685297</v>
      </c>
      <c r="AQ50" s="225">
        <v>8066.02</v>
      </c>
      <c r="AR50" s="187">
        <v>98709107</v>
      </c>
      <c r="AS50" s="188">
        <v>3302.02</v>
      </c>
      <c r="AT50" s="187">
        <v>99077553</v>
      </c>
      <c r="AU50" s="188">
        <v>3659.87</v>
      </c>
      <c r="AV50" s="363">
        <f>AP50</f>
        <v>98685297</v>
      </c>
      <c r="AW50" s="356">
        <f>AQ50+AS50+AU50</f>
        <v>15027.91</v>
      </c>
    </row>
    <row r="51" spans="1:51">
      <c r="A51" s="9">
        <v>127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3"/>
      <c r="Y51" s="9">
        <v>127</v>
      </c>
      <c r="Z51" s="234"/>
      <c r="AA51" s="174"/>
      <c r="AB51" s="187"/>
      <c r="AC51" s="188"/>
      <c r="AD51" s="187"/>
      <c r="AE51" s="265"/>
      <c r="AF51" s="269"/>
      <c r="AG51" s="301"/>
      <c r="AH51" s="358"/>
      <c r="AI51" s="360"/>
      <c r="AJ51" s="219"/>
      <c r="AK51" s="225"/>
      <c r="AL51" s="363">
        <f t="shared" si="1"/>
        <v>0</v>
      </c>
      <c r="AM51" s="444">
        <f t="shared" si="2"/>
        <v>0</v>
      </c>
      <c r="AP51" s="219"/>
      <c r="AQ51" s="225"/>
      <c r="AR51" s="187"/>
      <c r="AS51" s="188"/>
      <c r="AT51" s="187"/>
      <c r="AU51" s="265"/>
      <c r="AV51" s="363">
        <f t="shared" si="3"/>
        <v>0</v>
      </c>
      <c r="AW51" s="356">
        <f t="shared" si="4"/>
        <v>0</v>
      </c>
    </row>
    <row r="52" spans="1:51">
      <c r="A52" s="7">
        <v>128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13"/>
      <c r="Y52" s="7">
        <v>128</v>
      </c>
      <c r="Z52" s="234"/>
      <c r="AA52" s="174"/>
      <c r="AB52" s="187"/>
      <c r="AC52" s="188"/>
      <c r="AD52" s="187"/>
      <c r="AE52" s="265"/>
      <c r="AF52" s="269"/>
      <c r="AG52" s="301"/>
      <c r="AH52" s="358"/>
      <c r="AI52" s="360"/>
      <c r="AJ52" s="219"/>
      <c r="AK52" s="225"/>
      <c r="AL52" s="363">
        <f t="shared" si="1"/>
        <v>0</v>
      </c>
      <c r="AM52" s="444">
        <f t="shared" si="2"/>
        <v>0</v>
      </c>
      <c r="AP52" s="219"/>
      <c r="AQ52" s="225"/>
      <c r="AR52" s="187"/>
      <c r="AS52" s="188"/>
      <c r="AT52" s="187"/>
      <c r="AU52" s="265"/>
      <c r="AV52" s="363">
        <f t="shared" si="3"/>
        <v>0</v>
      </c>
      <c r="AW52" s="356">
        <f t="shared" si="4"/>
        <v>0</v>
      </c>
    </row>
    <row r="53" spans="1:51">
      <c r="A53" s="9">
        <v>129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3"/>
      <c r="Y53" s="9">
        <v>129</v>
      </c>
      <c r="Z53" s="234"/>
      <c r="AA53" s="174"/>
      <c r="AB53" s="187"/>
      <c r="AC53" s="188"/>
      <c r="AD53" s="187"/>
      <c r="AE53" s="265"/>
      <c r="AF53" s="269"/>
      <c r="AG53" s="301"/>
      <c r="AH53" s="358"/>
      <c r="AI53" s="360"/>
      <c r="AJ53" s="219"/>
      <c r="AK53" s="225"/>
      <c r="AL53" s="363">
        <f t="shared" si="1"/>
        <v>0</v>
      </c>
      <c r="AM53" s="444">
        <f t="shared" si="2"/>
        <v>0</v>
      </c>
      <c r="AP53" s="219"/>
      <c r="AQ53" s="225"/>
      <c r="AR53" s="187"/>
      <c r="AS53" s="188"/>
      <c r="AT53" s="187"/>
      <c r="AU53" s="265"/>
      <c r="AV53" s="363">
        <f t="shared" si="3"/>
        <v>0</v>
      </c>
      <c r="AW53" s="356">
        <f t="shared" si="4"/>
        <v>0</v>
      </c>
    </row>
    <row r="54" spans="1:51">
      <c r="A54" s="7">
        <v>130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13"/>
      <c r="Y54" s="7">
        <v>130</v>
      </c>
      <c r="Z54" s="234"/>
      <c r="AA54" s="174"/>
      <c r="AB54" s="187"/>
      <c r="AC54" s="188"/>
      <c r="AD54" s="187"/>
      <c r="AE54" s="265"/>
      <c r="AF54" s="269"/>
      <c r="AG54" s="301"/>
      <c r="AH54" s="358"/>
      <c r="AI54" s="360"/>
      <c r="AJ54" s="219"/>
      <c r="AK54" s="225"/>
      <c r="AL54" s="363">
        <f t="shared" si="1"/>
        <v>0</v>
      </c>
      <c r="AM54" s="444">
        <f t="shared" si="2"/>
        <v>0</v>
      </c>
      <c r="AP54" s="219"/>
      <c r="AQ54" s="225"/>
      <c r="AR54" s="187"/>
      <c r="AS54" s="188"/>
      <c r="AT54" s="187"/>
      <c r="AU54" s="265"/>
      <c r="AV54" s="363">
        <f t="shared" si="3"/>
        <v>0</v>
      </c>
      <c r="AW54" s="356">
        <f t="shared" si="4"/>
        <v>0</v>
      </c>
    </row>
    <row r="55" spans="1:51">
      <c r="A55" s="9">
        <v>131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3"/>
      <c r="Y55" s="9">
        <v>131</v>
      </c>
      <c r="Z55" s="234"/>
      <c r="AA55" s="174"/>
      <c r="AB55" s="187"/>
      <c r="AC55" s="188"/>
      <c r="AD55" s="187"/>
      <c r="AE55" s="265"/>
      <c r="AF55" s="269"/>
      <c r="AG55" s="301"/>
      <c r="AH55" s="358"/>
      <c r="AI55" s="360"/>
      <c r="AJ55" s="219"/>
      <c r="AK55" s="225"/>
      <c r="AL55" s="363">
        <f t="shared" si="1"/>
        <v>0</v>
      </c>
      <c r="AM55" s="444">
        <f t="shared" si="2"/>
        <v>0</v>
      </c>
      <c r="AP55" s="219"/>
      <c r="AQ55" s="225"/>
      <c r="AR55" s="187"/>
      <c r="AS55" s="188"/>
      <c r="AT55" s="187"/>
      <c r="AU55" s="265"/>
      <c r="AV55" s="363">
        <f t="shared" si="3"/>
        <v>0</v>
      </c>
      <c r="AW55" s="356">
        <f t="shared" si="4"/>
        <v>0</v>
      </c>
    </row>
    <row r="56" spans="1:51">
      <c r="A56" s="7">
        <v>132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13"/>
      <c r="Y56" s="7">
        <v>132</v>
      </c>
      <c r="Z56" s="234"/>
      <c r="AA56" s="174"/>
      <c r="AB56" s="187"/>
      <c r="AC56" s="188"/>
      <c r="AD56" s="187"/>
      <c r="AE56" s="265"/>
      <c r="AF56" s="269"/>
      <c r="AG56" s="301"/>
      <c r="AH56" s="358"/>
      <c r="AI56" s="360"/>
      <c r="AJ56" s="219"/>
      <c r="AK56" s="225"/>
      <c r="AL56" s="363">
        <f t="shared" si="1"/>
        <v>0</v>
      </c>
      <c r="AM56" s="444">
        <f t="shared" si="2"/>
        <v>0</v>
      </c>
      <c r="AP56" s="219"/>
      <c r="AQ56" s="225"/>
      <c r="AR56" s="187"/>
      <c r="AS56" s="188"/>
      <c r="AT56" s="187"/>
      <c r="AU56" s="265"/>
      <c r="AV56" s="363">
        <f t="shared" si="3"/>
        <v>0</v>
      </c>
      <c r="AW56" s="356">
        <f t="shared" si="4"/>
        <v>0</v>
      </c>
    </row>
    <row r="57" spans="1:51">
      <c r="A57" s="9">
        <v>133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3"/>
      <c r="Y57" s="9">
        <v>133</v>
      </c>
      <c r="Z57" s="234"/>
      <c r="AA57" s="174"/>
      <c r="AB57" s="187"/>
      <c r="AC57" s="188"/>
      <c r="AD57" s="187"/>
      <c r="AE57" s="265"/>
      <c r="AF57" s="269"/>
      <c r="AG57" s="301"/>
      <c r="AH57" s="358"/>
      <c r="AI57" s="360"/>
      <c r="AJ57" s="219"/>
      <c r="AK57" s="225"/>
      <c r="AL57" s="363">
        <f t="shared" si="1"/>
        <v>0</v>
      </c>
      <c r="AM57" s="444">
        <f t="shared" si="2"/>
        <v>0</v>
      </c>
      <c r="AP57" s="219"/>
      <c r="AQ57" s="225"/>
      <c r="AR57" s="187"/>
      <c r="AS57" s="188"/>
      <c r="AT57" s="187"/>
      <c r="AU57" s="265"/>
      <c r="AV57" s="363">
        <f t="shared" si="3"/>
        <v>0</v>
      </c>
      <c r="AW57" s="356">
        <f t="shared" si="4"/>
        <v>0</v>
      </c>
    </row>
    <row r="58" spans="1:51">
      <c r="A58" s="7">
        <v>134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13"/>
      <c r="Y58" s="7">
        <v>134</v>
      </c>
      <c r="Z58" s="234"/>
      <c r="AA58" s="174"/>
      <c r="AB58" s="187"/>
      <c r="AC58" s="188"/>
      <c r="AD58" s="187"/>
      <c r="AE58" s="265"/>
      <c r="AF58" s="269"/>
      <c r="AG58" s="301"/>
      <c r="AH58" s="358"/>
      <c r="AI58" s="360"/>
      <c r="AJ58" s="219"/>
      <c r="AK58" s="225"/>
      <c r="AL58" s="363">
        <f t="shared" si="1"/>
        <v>0</v>
      </c>
      <c r="AM58" s="444">
        <f t="shared" si="2"/>
        <v>0</v>
      </c>
      <c r="AP58" s="219"/>
      <c r="AQ58" s="225"/>
      <c r="AR58" s="187"/>
      <c r="AS58" s="188"/>
      <c r="AT58" s="187"/>
      <c r="AU58" s="265"/>
      <c r="AV58" s="363">
        <f t="shared" si="3"/>
        <v>0</v>
      </c>
      <c r="AW58" s="356">
        <f t="shared" si="4"/>
        <v>0</v>
      </c>
    </row>
    <row r="59" spans="1:51">
      <c r="A59" s="9">
        <v>135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3"/>
      <c r="Y59" s="9">
        <v>135</v>
      </c>
      <c r="Z59" s="234"/>
      <c r="AA59" s="174"/>
      <c r="AB59" s="187"/>
      <c r="AC59" s="188"/>
      <c r="AD59" s="187"/>
      <c r="AE59" s="265"/>
      <c r="AF59" s="269"/>
      <c r="AG59" s="301"/>
      <c r="AH59" s="358"/>
      <c r="AI59" s="360"/>
      <c r="AJ59" s="219"/>
      <c r="AK59" s="225"/>
      <c r="AL59" s="363">
        <f t="shared" si="1"/>
        <v>0</v>
      </c>
      <c r="AM59" s="444">
        <f t="shared" si="2"/>
        <v>0</v>
      </c>
      <c r="AP59" s="219"/>
      <c r="AQ59" s="225"/>
      <c r="AR59" s="187"/>
      <c r="AS59" s="188"/>
      <c r="AT59" s="187"/>
      <c r="AU59" s="265"/>
      <c r="AV59" s="363">
        <f t="shared" si="3"/>
        <v>0</v>
      </c>
      <c r="AW59" s="356">
        <f t="shared" si="4"/>
        <v>0</v>
      </c>
    </row>
    <row r="60" spans="1:51">
      <c r="A60" s="7">
        <v>136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13"/>
      <c r="Y60" s="7">
        <v>136</v>
      </c>
      <c r="Z60" s="234"/>
      <c r="AA60" s="174"/>
      <c r="AB60" s="187"/>
      <c r="AC60" s="188"/>
      <c r="AD60" s="187"/>
      <c r="AE60" s="265"/>
      <c r="AF60" s="269"/>
      <c r="AG60" s="301"/>
      <c r="AH60" s="358"/>
      <c r="AI60" s="360"/>
      <c r="AJ60" s="219"/>
      <c r="AK60" s="225"/>
      <c r="AL60" s="363">
        <f t="shared" si="1"/>
        <v>0</v>
      </c>
      <c r="AM60" s="444">
        <f t="shared" si="2"/>
        <v>0</v>
      </c>
      <c r="AP60" s="219"/>
      <c r="AQ60" s="225"/>
      <c r="AR60" s="187"/>
      <c r="AS60" s="188"/>
      <c r="AT60" s="187"/>
      <c r="AU60" s="265"/>
      <c r="AV60" s="363">
        <f t="shared" si="3"/>
        <v>0</v>
      </c>
      <c r="AW60" s="356">
        <f t="shared" si="4"/>
        <v>0</v>
      </c>
    </row>
    <row r="61" spans="1:51">
      <c r="A61" s="9">
        <v>137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3"/>
      <c r="Y61" s="9">
        <v>137</v>
      </c>
      <c r="Z61" s="234"/>
      <c r="AA61" s="174"/>
      <c r="AB61" s="187"/>
      <c r="AC61" s="188"/>
      <c r="AD61" s="187"/>
      <c r="AE61" s="265"/>
      <c r="AF61" s="269"/>
      <c r="AG61" s="301"/>
      <c r="AH61" s="358"/>
      <c r="AI61" s="360"/>
      <c r="AJ61" s="219"/>
      <c r="AK61" s="225"/>
      <c r="AL61" s="363">
        <f t="shared" si="1"/>
        <v>0</v>
      </c>
      <c r="AM61" s="444">
        <f t="shared" si="2"/>
        <v>0</v>
      </c>
      <c r="AP61" s="219"/>
      <c r="AQ61" s="225"/>
      <c r="AR61" s="187"/>
      <c r="AS61" s="188"/>
      <c r="AT61" s="187"/>
      <c r="AU61" s="265"/>
      <c r="AV61" s="363">
        <f t="shared" si="3"/>
        <v>0</v>
      </c>
      <c r="AW61" s="356">
        <f t="shared" si="4"/>
        <v>0</v>
      </c>
    </row>
    <row r="62" spans="1:51">
      <c r="A62" s="7">
        <v>138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13"/>
      <c r="Y62" s="7">
        <v>138</v>
      </c>
      <c r="Z62" s="234"/>
      <c r="AA62" s="174"/>
      <c r="AB62" s="187"/>
      <c r="AC62" s="188"/>
      <c r="AD62" s="187"/>
      <c r="AE62" s="265"/>
      <c r="AF62" s="269"/>
      <c r="AG62" s="301"/>
      <c r="AH62" s="358"/>
      <c r="AI62" s="360"/>
      <c r="AJ62" s="219"/>
      <c r="AK62" s="225"/>
      <c r="AL62" s="363">
        <f t="shared" si="1"/>
        <v>0</v>
      </c>
      <c r="AM62" s="444">
        <f t="shared" si="2"/>
        <v>0</v>
      </c>
      <c r="AP62" s="219"/>
      <c r="AQ62" s="225"/>
      <c r="AR62" s="187"/>
      <c r="AS62" s="188"/>
      <c r="AT62" s="187"/>
      <c r="AU62" s="265"/>
      <c r="AV62" s="363">
        <f t="shared" si="3"/>
        <v>0</v>
      </c>
      <c r="AW62" s="356">
        <f t="shared" si="4"/>
        <v>0</v>
      </c>
    </row>
    <row r="63" spans="1:51" s="158" customFormat="1" ht="15">
      <c r="A63" s="410">
        <v>139</v>
      </c>
      <c r="B63" s="410">
        <v>896</v>
      </c>
      <c r="C63" s="410" t="s">
        <v>688</v>
      </c>
      <c r="D63" s="410"/>
      <c r="E63" s="410"/>
      <c r="F63" s="410"/>
      <c r="G63" s="410"/>
      <c r="H63" s="410"/>
      <c r="I63" s="410" t="s">
        <v>849</v>
      </c>
      <c r="J63" s="410"/>
      <c r="K63" s="410" t="s">
        <v>650</v>
      </c>
      <c r="L63" s="410"/>
      <c r="M63" s="410"/>
      <c r="N63" s="410"/>
      <c r="O63" s="410"/>
      <c r="P63" s="410"/>
      <c r="Q63" s="410"/>
      <c r="R63" s="410"/>
      <c r="S63" s="410"/>
      <c r="T63" s="410"/>
      <c r="U63" s="410" t="s">
        <v>650</v>
      </c>
      <c r="V63" s="410" t="s">
        <v>650</v>
      </c>
      <c r="W63" s="410"/>
      <c r="X63" s="632"/>
      <c r="Y63" s="410" t="s">
        <v>867</v>
      </c>
      <c r="Z63" s="840">
        <v>2029900</v>
      </c>
      <c r="AA63" s="841">
        <v>12553.08</v>
      </c>
      <c r="AB63" s="842">
        <v>2029556</v>
      </c>
      <c r="AC63" s="843">
        <v>3562.52</v>
      </c>
      <c r="AD63" s="433"/>
      <c r="AE63" s="633"/>
      <c r="AF63" s="435"/>
      <c r="AG63" s="436"/>
      <c r="AH63" s="441"/>
      <c r="AI63" s="442"/>
      <c r="AJ63" s="439">
        <v>2029900</v>
      </c>
      <c r="AK63" s="440">
        <v>9152.1200000000008</v>
      </c>
      <c r="AL63" s="443">
        <f t="shared" si="1"/>
        <v>2029900</v>
      </c>
      <c r="AM63" s="444">
        <f>AA63+AC63+AE63+AG63+AI63+AK63</f>
        <v>25267.72</v>
      </c>
      <c r="AP63" s="439"/>
      <c r="AQ63" s="440"/>
      <c r="AR63" s="433"/>
      <c r="AS63" s="434"/>
      <c r="AT63" s="433"/>
      <c r="AU63" s="633"/>
      <c r="AV63" s="443">
        <f t="shared" si="3"/>
        <v>0</v>
      </c>
      <c r="AW63" s="444">
        <f t="shared" si="4"/>
        <v>0</v>
      </c>
    </row>
    <row r="64" spans="1:51">
      <c r="A64" s="7">
        <v>140</v>
      </c>
      <c r="B64" s="7">
        <v>941</v>
      </c>
      <c r="C64" s="7" t="s">
        <v>688</v>
      </c>
      <c r="D64" s="13"/>
      <c r="E64" s="7">
        <v>2</v>
      </c>
      <c r="F64" s="7"/>
      <c r="G64" s="7"/>
      <c r="H64" s="7" t="s">
        <v>868</v>
      </c>
      <c r="I64" s="38" t="s">
        <v>869</v>
      </c>
      <c r="J64" s="7"/>
      <c r="K64" s="7" t="s">
        <v>650</v>
      </c>
      <c r="L64" s="7"/>
      <c r="M64" s="7" t="s">
        <v>650</v>
      </c>
      <c r="N64" s="7"/>
      <c r="O64" s="7" t="s">
        <v>868</v>
      </c>
      <c r="P64" s="7"/>
      <c r="Q64" s="7"/>
      <c r="R64" s="7"/>
      <c r="S64" s="7" t="s">
        <v>650</v>
      </c>
      <c r="T64" s="7"/>
      <c r="U64" s="7"/>
      <c r="V64" s="13"/>
      <c r="W64" s="7" t="s">
        <v>650</v>
      </c>
      <c r="X64" s="13"/>
      <c r="Y64" s="409" t="s">
        <v>870</v>
      </c>
      <c r="Z64" s="234">
        <v>98297302</v>
      </c>
      <c r="AA64" s="174">
        <v>19824.759999999998</v>
      </c>
      <c r="AB64" s="187">
        <v>98257903</v>
      </c>
      <c r="AC64" s="188">
        <v>416.56</v>
      </c>
      <c r="AD64" s="187">
        <v>98297502</v>
      </c>
      <c r="AE64" s="267">
        <v>564.29</v>
      </c>
      <c r="AF64" s="269">
        <v>98257893</v>
      </c>
      <c r="AG64" s="301">
        <v>485.1</v>
      </c>
      <c r="AH64" s="358">
        <v>98257906</v>
      </c>
      <c r="AI64" s="360">
        <v>110.4</v>
      </c>
      <c r="AJ64" s="439">
        <v>98297302</v>
      </c>
      <c r="AK64" s="440">
        <v>9897.65</v>
      </c>
      <c r="AL64" s="363">
        <f t="shared" si="1"/>
        <v>98297302</v>
      </c>
      <c r="AM64" s="356">
        <f>AA64+AC64+AE64+AG64+AI64</f>
        <v>21401.11</v>
      </c>
      <c r="AP64" s="439">
        <v>98297302</v>
      </c>
      <c r="AQ64" s="440">
        <v>9897.65</v>
      </c>
      <c r="AR64" s="187"/>
      <c r="AS64" s="188"/>
      <c r="AT64" s="187"/>
      <c r="AU64" s="267"/>
      <c r="AV64" s="443">
        <f t="shared" si="3"/>
        <v>98297302</v>
      </c>
      <c r="AW64" s="444">
        <f t="shared" si="4"/>
        <v>9897.65</v>
      </c>
      <c r="AX64" s="5" t="s">
        <v>871</v>
      </c>
      <c r="AY64" s="5">
        <v>4951.29</v>
      </c>
    </row>
    <row r="65" spans="1:49" s="158" customFormat="1" ht="15">
      <c r="A65" s="410">
        <v>141</v>
      </c>
      <c r="B65" s="410">
        <v>941</v>
      </c>
      <c r="C65" s="410" t="s">
        <v>648</v>
      </c>
      <c r="D65" s="410"/>
      <c r="E65" s="410">
        <v>2</v>
      </c>
      <c r="F65" s="410"/>
      <c r="G65" s="410"/>
      <c r="H65" s="410" t="s">
        <v>869</v>
      </c>
      <c r="I65" s="410"/>
      <c r="J65" s="410"/>
      <c r="K65" s="410"/>
      <c r="L65" s="410"/>
      <c r="M65" s="410" t="s">
        <v>650</v>
      </c>
      <c r="N65" s="410"/>
      <c r="O65" s="410" t="s">
        <v>650</v>
      </c>
      <c r="P65" s="410"/>
      <c r="Q65" s="410"/>
      <c r="R65" s="410"/>
      <c r="S65" s="410"/>
      <c r="T65" s="410"/>
      <c r="U65" s="410" t="s">
        <v>650</v>
      </c>
      <c r="V65" s="410"/>
      <c r="W65" s="410" t="s">
        <v>650</v>
      </c>
      <c r="X65" s="632"/>
      <c r="Y65" s="410" t="s">
        <v>872</v>
      </c>
      <c r="Z65" s="840">
        <v>2029930</v>
      </c>
      <c r="AA65" s="841">
        <v>16276.39</v>
      </c>
      <c r="AB65" s="842">
        <v>2029604</v>
      </c>
      <c r="AC65" s="843">
        <v>5940.42</v>
      </c>
      <c r="AD65" s="842">
        <v>2029636</v>
      </c>
      <c r="AE65" s="843">
        <v>5501.68</v>
      </c>
      <c r="AF65" s="435"/>
      <c r="AG65" s="436"/>
      <c r="AH65" s="441"/>
      <c r="AI65" s="442"/>
      <c r="AJ65" s="439">
        <v>2029930</v>
      </c>
      <c r="AK65" s="440">
        <v>10609.87</v>
      </c>
      <c r="AL65" s="443">
        <f t="shared" si="1"/>
        <v>2029930</v>
      </c>
      <c r="AM65" s="444">
        <f>AA65+AC65+AE65+AG65+AI65+AK65</f>
        <v>38328.36</v>
      </c>
      <c r="AP65" s="439"/>
      <c r="AQ65" s="440"/>
      <c r="AR65" s="433"/>
      <c r="AS65" s="434"/>
      <c r="AT65" s="433"/>
      <c r="AU65" s="633"/>
      <c r="AV65" s="443">
        <f t="shared" si="3"/>
        <v>0</v>
      </c>
      <c r="AW65" s="444">
        <f t="shared" si="4"/>
        <v>0</v>
      </c>
    </row>
    <row r="66" spans="1:49" s="158" customFormat="1" ht="15">
      <c r="A66" s="409">
        <v>142</v>
      </c>
      <c r="B66" s="409">
        <v>896</v>
      </c>
      <c r="C66" s="409" t="s">
        <v>648</v>
      </c>
      <c r="D66" s="409"/>
      <c r="E66" s="409">
        <v>2</v>
      </c>
      <c r="F66" s="409"/>
      <c r="G66" s="409"/>
      <c r="H66" s="409"/>
      <c r="I66" s="409" t="s">
        <v>865</v>
      </c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 t="s">
        <v>650</v>
      </c>
      <c r="V66" s="409"/>
      <c r="W66" s="409" t="s">
        <v>650</v>
      </c>
      <c r="X66" s="632"/>
      <c r="Y66" s="409" t="s">
        <v>873</v>
      </c>
      <c r="Z66" s="840">
        <v>1873647</v>
      </c>
      <c r="AA66" s="841">
        <v>13988.25</v>
      </c>
      <c r="AB66" s="842">
        <v>1873564</v>
      </c>
      <c r="AC66" s="843">
        <v>3245.78</v>
      </c>
      <c r="AD66" s="433"/>
      <c r="AE66" s="633"/>
      <c r="AF66" s="435"/>
      <c r="AG66" s="436"/>
      <c r="AH66" s="441"/>
      <c r="AI66" s="442"/>
      <c r="AJ66" s="439">
        <v>1873647</v>
      </c>
      <c r="AK66" s="440">
        <v>9152.1200000000008</v>
      </c>
      <c r="AL66" s="443">
        <f t="shared" si="1"/>
        <v>1873647</v>
      </c>
      <c r="AM66" s="444">
        <f t="shared" ref="AM65:AM72" si="7">AA66+AC66+AE66+AG66+AI66+AK66</f>
        <v>26386.15</v>
      </c>
      <c r="AP66" s="439"/>
      <c r="AQ66" s="440"/>
      <c r="AR66" s="433"/>
      <c r="AS66" s="434"/>
      <c r="AT66" s="433"/>
      <c r="AU66" s="633"/>
      <c r="AV66" s="443">
        <f t="shared" si="3"/>
        <v>0</v>
      </c>
      <c r="AW66" s="444">
        <f t="shared" si="4"/>
        <v>0</v>
      </c>
    </row>
    <row r="67" spans="1:49" s="158" customFormat="1" ht="15">
      <c r="A67" s="410">
        <v>143</v>
      </c>
      <c r="B67" s="410">
        <v>941</v>
      </c>
      <c r="C67" s="410" t="s">
        <v>688</v>
      </c>
      <c r="D67" s="410"/>
      <c r="E67" s="410">
        <v>2</v>
      </c>
      <c r="F67" s="410"/>
      <c r="G67" s="410"/>
      <c r="H67" s="410" t="s">
        <v>869</v>
      </c>
      <c r="I67" s="410"/>
      <c r="J67" s="410"/>
      <c r="K67" s="410"/>
      <c r="L67" s="410"/>
      <c r="M67" s="410" t="s">
        <v>650</v>
      </c>
      <c r="N67" s="410"/>
      <c r="O67" s="410" t="s">
        <v>874</v>
      </c>
      <c r="P67" s="410" t="s">
        <v>650</v>
      </c>
      <c r="Q67" s="410"/>
      <c r="R67" s="410"/>
      <c r="S67" s="410"/>
      <c r="T67" s="410"/>
      <c r="U67" s="410" t="s">
        <v>650</v>
      </c>
      <c r="V67" s="410"/>
      <c r="W67" s="410" t="s">
        <v>650</v>
      </c>
      <c r="X67" s="632"/>
      <c r="Y67" s="410" t="s">
        <v>875</v>
      </c>
      <c r="Z67" s="840">
        <v>1916905</v>
      </c>
      <c r="AA67" s="841">
        <v>17870.54</v>
      </c>
      <c r="AB67" s="842">
        <v>1916808</v>
      </c>
      <c r="AC67" s="843">
        <v>6661.59</v>
      </c>
      <c r="AD67" s="842">
        <v>1916837</v>
      </c>
      <c r="AE67" s="1026">
        <v>5501.68</v>
      </c>
      <c r="AF67" s="435"/>
      <c r="AG67" s="436"/>
      <c r="AH67" s="441"/>
      <c r="AI67" s="442"/>
      <c r="AJ67" s="439">
        <v>1916905</v>
      </c>
      <c r="AK67" s="440">
        <v>10609.87</v>
      </c>
      <c r="AL67" s="443">
        <f t="shared" si="1"/>
        <v>1916905</v>
      </c>
      <c r="AM67" s="444">
        <f t="shared" si="7"/>
        <v>40643.68</v>
      </c>
      <c r="AP67" s="439"/>
      <c r="AQ67" s="440"/>
      <c r="AR67" s="433"/>
      <c r="AS67" s="434"/>
      <c r="AT67" s="433"/>
      <c r="AU67" s="633"/>
      <c r="AV67" s="443">
        <f t="shared" si="3"/>
        <v>0</v>
      </c>
      <c r="AW67" s="444">
        <f t="shared" si="4"/>
        <v>0</v>
      </c>
    </row>
    <row r="68" spans="1:49" s="158" customFormat="1">
      <c r="A68" s="409">
        <v>144</v>
      </c>
      <c r="B68" s="409">
        <v>896</v>
      </c>
      <c r="C68" s="409" t="s">
        <v>688</v>
      </c>
      <c r="D68" s="409"/>
      <c r="E68" s="409">
        <v>2</v>
      </c>
      <c r="F68" s="409"/>
      <c r="G68" s="409"/>
      <c r="H68" s="409"/>
      <c r="I68" s="409" t="s">
        <v>849</v>
      </c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 t="s">
        <v>650</v>
      </c>
      <c r="V68" s="409"/>
      <c r="W68" s="409"/>
      <c r="X68" s="632"/>
      <c r="Y68" s="409" t="s">
        <v>876</v>
      </c>
      <c r="Z68" s="840">
        <v>1719770</v>
      </c>
      <c r="AA68" s="841">
        <v>14623.7</v>
      </c>
      <c r="AB68" s="842">
        <v>1719676</v>
      </c>
      <c r="AC68" s="843">
        <v>3290.22</v>
      </c>
      <c r="AD68" s="433"/>
      <c r="AE68" s="633"/>
      <c r="AF68" s="435"/>
      <c r="AG68" s="436"/>
      <c r="AH68" s="441"/>
      <c r="AI68" s="442"/>
      <c r="AJ68" s="439">
        <v>1719770</v>
      </c>
      <c r="AK68" s="440">
        <v>9152.1200000000008</v>
      </c>
      <c r="AL68" s="443">
        <f t="shared" ref="AL68:AL90" si="8">Z68</f>
        <v>1719770</v>
      </c>
      <c r="AM68" s="444">
        <f>AA68+AC68+AE68+AG68+AI68+AK68</f>
        <v>27066.04</v>
      </c>
      <c r="AP68" s="439"/>
      <c r="AQ68" s="440"/>
      <c r="AR68" s="433"/>
      <c r="AS68" s="434"/>
      <c r="AT68" s="433"/>
      <c r="AU68" s="633"/>
      <c r="AV68" s="443">
        <f t="shared" ref="AV68:AV90" si="9">AP68</f>
        <v>0</v>
      </c>
      <c r="AW68" s="444">
        <f t="shared" ref="AW68:AW90" si="10">AQ68+AS68</f>
        <v>0</v>
      </c>
    </row>
    <row r="69" spans="1:49" s="158" customFormat="1">
      <c r="A69" s="410">
        <v>145</v>
      </c>
      <c r="B69" s="410">
        <v>941</v>
      </c>
      <c r="C69" s="410" t="s">
        <v>648</v>
      </c>
      <c r="D69" s="410"/>
      <c r="E69" s="410">
        <v>2</v>
      </c>
      <c r="F69" s="410"/>
      <c r="G69" s="410"/>
      <c r="H69" s="410" t="s">
        <v>877</v>
      </c>
      <c r="I69" s="410"/>
      <c r="J69" s="410"/>
      <c r="K69" s="410"/>
      <c r="L69" s="410"/>
      <c r="M69" s="410" t="s">
        <v>650</v>
      </c>
      <c r="N69" s="410"/>
      <c r="O69" s="410" t="s">
        <v>650</v>
      </c>
      <c r="P69" s="410"/>
      <c r="Q69" s="410"/>
      <c r="R69" s="410"/>
      <c r="S69" s="410"/>
      <c r="T69" s="410"/>
      <c r="U69" s="410" t="s">
        <v>650</v>
      </c>
      <c r="V69" s="410"/>
      <c r="W69" s="410" t="s">
        <v>650</v>
      </c>
      <c r="X69" s="632"/>
      <c r="Y69" s="410" t="s">
        <v>878</v>
      </c>
      <c r="Z69" s="840">
        <v>1197642</v>
      </c>
      <c r="AA69" s="841">
        <v>18495.89</v>
      </c>
      <c r="AB69" s="842">
        <v>1196018</v>
      </c>
      <c r="AC69" s="843">
        <v>5877.72</v>
      </c>
      <c r="AD69" s="842">
        <v>1196049</v>
      </c>
      <c r="AE69" s="843">
        <v>5501.68</v>
      </c>
      <c r="AF69" s="435"/>
      <c r="AG69" s="436"/>
      <c r="AH69" s="441"/>
      <c r="AI69" s="442"/>
      <c r="AJ69" s="439">
        <v>1197642</v>
      </c>
      <c r="AK69" s="440">
        <v>10103.27</v>
      </c>
      <c r="AL69" s="443">
        <f t="shared" si="8"/>
        <v>1197642</v>
      </c>
      <c r="AM69" s="444">
        <f t="shared" si="7"/>
        <v>39978.559999999998</v>
      </c>
      <c r="AP69" s="439"/>
      <c r="AQ69" s="440"/>
      <c r="AR69" s="433"/>
      <c r="AS69" s="434"/>
      <c r="AT69" s="433"/>
      <c r="AU69" s="633"/>
      <c r="AV69" s="443">
        <f t="shared" si="9"/>
        <v>0</v>
      </c>
      <c r="AW69" s="444">
        <f t="shared" si="10"/>
        <v>0</v>
      </c>
    </row>
    <row r="70" spans="1:49" s="158" customFormat="1">
      <c r="A70" s="409">
        <v>146</v>
      </c>
      <c r="B70" s="409">
        <v>896</v>
      </c>
      <c r="C70" s="409" t="s">
        <v>648</v>
      </c>
      <c r="D70" s="409"/>
      <c r="E70" s="409">
        <v>2</v>
      </c>
      <c r="F70" s="409"/>
      <c r="G70" s="409"/>
      <c r="H70" s="409"/>
      <c r="I70" s="409" t="s">
        <v>849</v>
      </c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 t="s">
        <v>650</v>
      </c>
      <c r="V70" s="409"/>
      <c r="W70" s="409"/>
      <c r="X70" s="632"/>
      <c r="Y70" s="409" t="s">
        <v>879</v>
      </c>
      <c r="Z70" s="840">
        <v>1169242</v>
      </c>
      <c r="AA70" s="841">
        <v>9759.85</v>
      </c>
      <c r="AB70" s="842">
        <v>1169129</v>
      </c>
      <c r="AC70" s="843">
        <v>3048.25</v>
      </c>
      <c r="AD70" s="842">
        <v>1218227</v>
      </c>
      <c r="AE70" s="843">
        <v>4767.13</v>
      </c>
      <c r="AF70" s="435"/>
      <c r="AG70" s="436"/>
      <c r="AH70" s="441"/>
      <c r="AI70" s="442"/>
      <c r="AJ70" s="439">
        <v>1218227</v>
      </c>
      <c r="AK70" s="440">
        <v>8753.42</v>
      </c>
      <c r="AL70" s="443">
        <f t="shared" si="8"/>
        <v>1169242</v>
      </c>
      <c r="AM70" s="444">
        <f t="shared" si="7"/>
        <v>26328.65</v>
      </c>
      <c r="AP70" s="439"/>
      <c r="AQ70" s="440"/>
      <c r="AR70" s="433"/>
      <c r="AS70" s="434"/>
      <c r="AT70" s="433"/>
      <c r="AU70" s="633"/>
      <c r="AV70" s="443">
        <f t="shared" si="9"/>
        <v>0</v>
      </c>
      <c r="AW70" s="444">
        <f t="shared" si="10"/>
        <v>0</v>
      </c>
    </row>
    <row r="71" spans="1:49" s="158" customFormat="1">
      <c r="A71" s="410">
        <v>147</v>
      </c>
      <c r="B71" s="410">
        <v>941</v>
      </c>
      <c r="C71" s="410" t="s">
        <v>688</v>
      </c>
      <c r="D71" s="410"/>
      <c r="E71" s="410"/>
      <c r="F71" s="410"/>
      <c r="G71" s="410"/>
      <c r="H71" s="410" t="s">
        <v>877</v>
      </c>
      <c r="I71" s="410"/>
      <c r="J71" s="410"/>
      <c r="K71" s="410"/>
      <c r="L71" s="410"/>
      <c r="M71" s="410" t="s">
        <v>650</v>
      </c>
      <c r="N71" s="410"/>
      <c r="O71" s="410" t="s">
        <v>874</v>
      </c>
      <c r="P71" s="410" t="s">
        <v>650</v>
      </c>
      <c r="Q71" s="410"/>
      <c r="R71" s="410"/>
      <c r="S71" s="410"/>
      <c r="T71" s="410"/>
      <c r="U71" s="410" t="s">
        <v>650</v>
      </c>
      <c r="V71" s="410"/>
      <c r="W71" s="410" t="s">
        <v>650</v>
      </c>
      <c r="X71" s="632"/>
      <c r="Y71" s="410" t="s">
        <v>880</v>
      </c>
      <c r="Z71" s="840">
        <v>1059714</v>
      </c>
      <c r="AA71" s="841">
        <v>7482.5</v>
      </c>
      <c r="AB71" s="842">
        <v>1059575</v>
      </c>
      <c r="AC71" s="843">
        <v>6412.11</v>
      </c>
      <c r="AD71" s="842" t="s">
        <v>881</v>
      </c>
      <c r="AE71" s="843">
        <v>5010.68</v>
      </c>
      <c r="AF71" s="912" t="s">
        <v>882</v>
      </c>
      <c r="AG71" s="913">
        <v>10540.97</v>
      </c>
      <c r="AH71" s="441"/>
      <c r="AI71" s="442"/>
      <c r="AJ71" s="439">
        <v>1059714</v>
      </c>
      <c r="AK71" s="440">
        <v>10159.219999999999</v>
      </c>
      <c r="AL71" s="443">
        <f t="shared" si="8"/>
        <v>1059714</v>
      </c>
      <c r="AM71" s="444">
        <f t="shared" si="7"/>
        <v>39605.480000000003</v>
      </c>
      <c r="AP71" s="439"/>
      <c r="AQ71" s="440"/>
      <c r="AR71" s="433"/>
      <c r="AS71" s="434"/>
      <c r="AT71" s="433"/>
      <c r="AU71" s="633"/>
      <c r="AV71" s="443">
        <f t="shared" si="9"/>
        <v>0</v>
      </c>
      <c r="AW71" s="444">
        <f t="shared" si="10"/>
        <v>0</v>
      </c>
    </row>
    <row r="72" spans="1:49" s="158" customFormat="1">
      <c r="A72" s="409">
        <v>148</v>
      </c>
      <c r="B72" s="409">
        <v>896</v>
      </c>
      <c r="C72" s="409" t="s">
        <v>688</v>
      </c>
      <c r="D72" s="409"/>
      <c r="E72" s="409">
        <v>2</v>
      </c>
      <c r="F72" s="409"/>
      <c r="G72" s="409"/>
      <c r="H72" s="409"/>
      <c r="I72" s="409" t="s">
        <v>849</v>
      </c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 t="s">
        <v>650</v>
      </c>
      <c r="V72" s="409"/>
      <c r="W72" s="409"/>
      <c r="X72" s="632"/>
      <c r="Y72" s="409" t="s">
        <v>883</v>
      </c>
      <c r="Z72" s="840">
        <v>1066204</v>
      </c>
      <c r="AA72" s="841">
        <v>4423.7700000000004</v>
      </c>
      <c r="AB72" s="842">
        <v>1066163</v>
      </c>
      <c r="AC72" s="843">
        <v>3295.61</v>
      </c>
      <c r="AD72" s="433"/>
      <c r="AE72" s="633"/>
      <c r="AF72" s="912" t="s">
        <v>884</v>
      </c>
      <c r="AG72" s="913">
        <v>9759.85</v>
      </c>
      <c r="AH72" s="441"/>
      <c r="AI72" s="442"/>
      <c r="AJ72" s="439">
        <v>1066204</v>
      </c>
      <c r="AK72" s="440">
        <v>8742.23</v>
      </c>
      <c r="AL72" s="443">
        <f t="shared" si="8"/>
        <v>1066204</v>
      </c>
      <c r="AM72" s="444">
        <f t="shared" si="7"/>
        <v>26221.460000000003</v>
      </c>
      <c r="AP72" s="439"/>
      <c r="AQ72" s="440"/>
      <c r="AR72" s="433"/>
      <c r="AS72" s="434"/>
      <c r="AT72" s="433"/>
      <c r="AU72" s="633"/>
      <c r="AV72" s="443">
        <f t="shared" si="9"/>
        <v>0</v>
      </c>
      <c r="AW72" s="444">
        <f t="shared" si="10"/>
        <v>0</v>
      </c>
    </row>
    <row r="73" spans="1:49">
      <c r="A73" s="410">
        <v>149</v>
      </c>
      <c r="B73" s="410">
        <v>941</v>
      </c>
      <c r="C73" s="410" t="s">
        <v>648</v>
      </c>
      <c r="D73" s="632"/>
      <c r="E73" s="410">
        <v>2</v>
      </c>
      <c r="F73" s="410"/>
      <c r="G73" s="9"/>
      <c r="H73" s="410" t="s">
        <v>869</v>
      </c>
      <c r="I73" s="9"/>
      <c r="J73" s="9"/>
      <c r="K73" s="410" t="s">
        <v>650</v>
      </c>
      <c r="L73" s="9"/>
      <c r="M73" s="410" t="s">
        <v>650</v>
      </c>
      <c r="N73" s="9"/>
      <c r="O73" s="410" t="s">
        <v>650</v>
      </c>
      <c r="P73" s="410" t="s">
        <v>650</v>
      </c>
      <c r="Q73" s="410" t="s">
        <v>650</v>
      </c>
      <c r="R73" s="410" t="s">
        <v>650</v>
      </c>
      <c r="S73" s="410" t="s">
        <v>650</v>
      </c>
      <c r="T73" s="9"/>
      <c r="U73" s="410" t="s">
        <v>650</v>
      </c>
      <c r="V73" s="13"/>
      <c r="W73" s="410" t="s">
        <v>650</v>
      </c>
      <c r="X73" s="13"/>
      <c r="Y73" s="642" t="s">
        <v>885</v>
      </c>
      <c r="Z73" s="234">
        <v>99414027</v>
      </c>
      <c r="AA73" s="174">
        <v>19540.689999999999</v>
      </c>
      <c r="AB73" s="187">
        <v>99412525</v>
      </c>
      <c r="AC73" s="188">
        <v>752.65</v>
      </c>
      <c r="AD73" s="640"/>
      <c r="AE73" s="267"/>
      <c r="AF73" s="269">
        <v>99412460</v>
      </c>
      <c r="AG73" s="301">
        <v>488.25</v>
      </c>
      <c r="AH73" s="358">
        <v>99412538</v>
      </c>
      <c r="AI73" s="360">
        <v>111.11</v>
      </c>
      <c r="AJ73" s="219">
        <v>99414027</v>
      </c>
      <c r="AK73" s="225">
        <v>10229.52</v>
      </c>
      <c r="AL73" s="363">
        <f t="shared" si="8"/>
        <v>99414027</v>
      </c>
      <c r="AM73" s="356">
        <f>AA73+AC73+AE73+AG73+AI73</f>
        <v>20892.7</v>
      </c>
      <c r="AP73" s="219">
        <v>99414027</v>
      </c>
      <c r="AQ73" s="225">
        <v>10229.52</v>
      </c>
      <c r="AR73" s="640" t="s">
        <v>886</v>
      </c>
      <c r="AS73" s="267">
        <v>4983.4399999999996</v>
      </c>
      <c r="AT73" s="187">
        <v>99515353</v>
      </c>
      <c r="AU73" s="267">
        <v>6738.7</v>
      </c>
      <c r="AV73" s="363">
        <f t="shared" si="9"/>
        <v>99414027</v>
      </c>
      <c r="AW73" s="356">
        <f>AQ73+AS73+AU73</f>
        <v>21951.66</v>
      </c>
    </row>
    <row r="74" spans="1:49">
      <c r="A74" s="409">
        <v>150</v>
      </c>
      <c r="B74" s="409">
        <v>896</v>
      </c>
      <c r="C74" s="409" t="s">
        <v>648</v>
      </c>
      <c r="D74" s="409"/>
      <c r="E74" s="409">
        <v>2</v>
      </c>
      <c r="F74" s="409"/>
      <c r="G74" s="7"/>
      <c r="H74" s="7"/>
      <c r="I74" s="409" t="s">
        <v>865</v>
      </c>
      <c r="J74" s="641" t="s">
        <v>650</v>
      </c>
      <c r="K74" s="409" t="s">
        <v>650</v>
      </c>
      <c r="L74" s="7"/>
      <c r="M74" s="7"/>
      <c r="N74" s="7"/>
      <c r="O74" s="7"/>
      <c r="P74" s="7"/>
      <c r="Q74" s="7"/>
      <c r="R74" s="7"/>
      <c r="S74" s="7"/>
      <c r="T74" s="7"/>
      <c r="U74" s="409" t="s">
        <v>650</v>
      </c>
      <c r="V74" s="409" t="s">
        <v>650</v>
      </c>
      <c r="W74" s="7"/>
      <c r="X74" s="13"/>
      <c r="Y74" s="432" t="s">
        <v>887</v>
      </c>
      <c r="Z74" s="234">
        <v>99414117</v>
      </c>
      <c r="AA74" s="174">
        <v>15575.91</v>
      </c>
      <c r="AB74" s="187"/>
      <c r="AC74" s="188"/>
      <c r="AD74" s="187"/>
      <c r="AE74" s="265"/>
      <c r="AF74" s="269" t="s">
        <v>888</v>
      </c>
      <c r="AG74" s="301"/>
      <c r="AH74" s="358">
        <v>99412679</v>
      </c>
      <c r="AI74" s="360">
        <v>111.11</v>
      </c>
      <c r="AJ74" s="219">
        <v>99414117</v>
      </c>
      <c r="AK74" s="225">
        <v>8803.34</v>
      </c>
      <c r="AL74" s="363">
        <f t="shared" si="8"/>
        <v>99414117</v>
      </c>
      <c r="AM74" s="356">
        <f t="shared" ref="AM74" si="11">AA74+AC74+AE74+AG74+AI74</f>
        <v>15687.02</v>
      </c>
      <c r="AP74" s="219">
        <v>99414117</v>
      </c>
      <c r="AQ74" s="225">
        <v>8803.34</v>
      </c>
      <c r="AR74" s="187">
        <v>99412604</v>
      </c>
      <c r="AS74" s="188">
        <v>2444.61</v>
      </c>
      <c r="AT74" s="187"/>
      <c r="AU74" s="265"/>
      <c r="AV74" s="363">
        <f t="shared" si="9"/>
        <v>99414117</v>
      </c>
      <c r="AW74" s="356">
        <f>AQ74+AS74</f>
        <v>11247.95</v>
      </c>
    </row>
    <row r="75" spans="1:49" s="158" customFormat="1">
      <c r="A75" s="410">
        <v>151</v>
      </c>
      <c r="B75" s="410">
        <v>896</v>
      </c>
      <c r="C75" s="410" t="s">
        <v>688</v>
      </c>
      <c r="D75" s="410"/>
      <c r="E75" s="410">
        <v>2</v>
      </c>
      <c r="F75" s="647" t="s">
        <v>889</v>
      </c>
      <c r="G75" s="410"/>
      <c r="H75" s="410"/>
      <c r="I75" s="410" t="s">
        <v>849</v>
      </c>
      <c r="J75" s="410"/>
      <c r="K75" s="410"/>
      <c r="L75" s="410"/>
      <c r="M75" s="410"/>
      <c r="N75" s="410"/>
      <c r="O75" s="410"/>
      <c r="P75" s="410"/>
      <c r="Q75" s="410"/>
      <c r="R75" s="410"/>
      <c r="S75" s="410"/>
      <c r="T75" s="410"/>
      <c r="U75" s="410"/>
      <c r="V75" s="410" t="s">
        <v>650</v>
      </c>
      <c r="W75" s="410" t="s">
        <v>650</v>
      </c>
      <c r="X75" s="632"/>
      <c r="Y75" s="410" t="s">
        <v>890</v>
      </c>
      <c r="Z75" s="437">
        <v>577614</v>
      </c>
      <c r="AA75" s="438">
        <v>12603.56</v>
      </c>
      <c r="AB75" s="842">
        <v>577301</v>
      </c>
      <c r="AC75" s="843">
        <v>3259.95</v>
      </c>
      <c r="AD75" s="433"/>
      <c r="AE75" s="633"/>
      <c r="AF75" s="435"/>
      <c r="AG75" s="436"/>
      <c r="AH75" s="441"/>
      <c r="AI75" s="442"/>
      <c r="AJ75" s="853">
        <v>577614</v>
      </c>
      <c r="AK75" s="851">
        <v>8742.23</v>
      </c>
      <c r="AL75" s="443">
        <f t="shared" si="8"/>
        <v>577614</v>
      </c>
      <c r="AM75" s="444">
        <f>AA75+AC75+AE75+AG75+AI75+AK75</f>
        <v>24605.739999999998</v>
      </c>
      <c r="AP75" s="439"/>
      <c r="AQ75" s="440"/>
      <c r="AR75" s="433"/>
      <c r="AS75" s="434"/>
      <c r="AT75" s="433"/>
      <c r="AU75" s="633"/>
      <c r="AV75" s="443">
        <f t="shared" si="9"/>
        <v>0</v>
      </c>
      <c r="AW75" s="444">
        <f t="shared" si="10"/>
        <v>0</v>
      </c>
    </row>
    <row r="76" spans="1:49" s="158" customFormat="1">
      <c r="A76" s="409">
        <v>152</v>
      </c>
      <c r="B76" s="409">
        <v>941</v>
      </c>
      <c r="C76" s="409" t="s">
        <v>688</v>
      </c>
      <c r="D76" s="409"/>
      <c r="E76" s="409">
        <v>2</v>
      </c>
      <c r="F76" s="38" t="s">
        <v>650</v>
      </c>
      <c r="G76" s="409"/>
      <c r="H76" s="409"/>
      <c r="I76" s="769" t="s">
        <v>891</v>
      </c>
      <c r="J76" s="409"/>
      <c r="K76" s="409"/>
      <c r="L76" s="409"/>
      <c r="M76" s="409" t="s">
        <v>650</v>
      </c>
      <c r="N76" s="409" t="s">
        <v>650</v>
      </c>
      <c r="O76" s="409"/>
      <c r="P76" s="409" t="s">
        <v>650</v>
      </c>
      <c r="Q76" s="409" t="s">
        <v>650</v>
      </c>
      <c r="R76" s="409" t="s">
        <v>650</v>
      </c>
      <c r="S76" s="409" t="s">
        <v>650</v>
      </c>
      <c r="T76" s="409" t="s">
        <v>650</v>
      </c>
      <c r="U76" s="409" t="s">
        <v>650</v>
      </c>
      <c r="V76" s="409"/>
      <c r="W76" s="409" t="s">
        <v>650</v>
      </c>
      <c r="X76" s="632"/>
      <c r="Y76" s="409" t="s">
        <v>892</v>
      </c>
      <c r="Z76" s="840">
        <v>577630</v>
      </c>
      <c r="AA76" s="841">
        <v>16302.18</v>
      </c>
      <c r="AB76" s="857">
        <v>577354</v>
      </c>
      <c r="AC76" s="860">
        <v>3603.41</v>
      </c>
      <c r="AD76" s="842">
        <v>577388</v>
      </c>
      <c r="AE76" s="870">
        <v>2750.84</v>
      </c>
      <c r="AF76" s="435"/>
      <c r="AG76" s="436"/>
      <c r="AH76" s="441"/>
      <c r="AI76" s="442"/>
      <c r="AJ76" s="439">
        <v>577630</v>
      </c>
      <c r="AK76" s="440">
        <v>10159.219999999999</v>
      </c>
      <c r="AL76" s="443">
        <f t="shared" si="8"/>
        <v>577630</v>
      </c>
      <c r="AM76" s="444">
        <f>AA76+AC76+AE76+AG76+AI76+AK76</f>
        <v>32815.65</v>
      </c>
      <c r="AO76" s="158" t="s">
        <v>893</v>
      </c>
      <c r="AP76" s="439"/>
      <c r="AQ76" s="440"/>
      <c r="AR76" s="433"/>
      <c r="AS76" s="434"/>
      <c r="AT76" s="433"/>
      <c r="AU76" s="633"/>
      <c r="AV76" s="443">
        <f t="shared" si="9"/>
        <v>0</v>
      </c>
      <c r="AW76" s="444">
        <f t="shared" si="10"/>
        <v>0</v>
      </c>
    </row>
    <row r="77" spans="1:49" s="158" customFormat="1">
      <c r="A77" s="410">
        <v>153</v>
      </c>
      <c r="B77" s="410">
        <v>941</v>
      </c>
      <c r="C77" s="410" t="s">
        <v>648</v>
      </c>
      <c r="D77" s="410"/>
      <c r="E77" s="410">
        <v>2</v>
      </c>
      <c r="F77" s="410"/>
      <c r="G77" s="410"/>
      <c r="H77" s="410"/>
      <c r="I77" s="410" t="s">
        <v>849</v>
      </c>
      <c r="J77" s="410"/>
      <c r="K77" s="410"/>
      <c r="L77" s="410"/>
      <c r="M77" s="410"/>
      <c r="N77" s="410" t="s">
        <v>650</v>
      </c>
      <c r="O77" s="410"/>
      <c r="P77" s="410" t="s">
        <v>650</v>
      </c>
      <c r="Q77" s="410" t="s">
        <v>650</v>
      </c>
      <c r="R77" s="410" t="s">
        <v>650</v>
      </c>
      <c r="S77" s="410" t="s">
        <v>650</v>
      </c>
      <c r="T77" s="410"/>
      <c r="U77" s="410" t="s">
        <v>650</v>
      </c>
      <c r="V77" s="410"/>
      <c r="W77" s="410" t="s">
        <v>650</v>
      </c>
      <c r="X77" s="632"/>
      <c r="Y77" s="410" t="s">
        <v>894</v>
      </c>
      <c r="Z77" s="437">
        <v>683384</v>
      </c>
      <c r="AA77" s="438">
        <v>16302.18</v>
      </c>
      <c r="AB77" s="842">
        <v>678558</v>
      </c>
      <c r="AC77" s="843">
        <v>3771.53</v>
      </c>
      <c r="AD77" s="842">
        <v>678588</v>
      </c>
      <c r="AE77" s="843">
        <v>2750.84</v>
      </c>
      <c r="AF77" s="435"/>
      <c r="AG77" s="436"/>
      <c r="AH77" s="441"/>
      <c r="AI77" s="442"/>
      <c r="AJ77" s="846">
        <v>683384</v>
      </c>
      <c r="AK77" s="861">
        <v>10159.219999999999</v>
      </c>
      <c r="AL77" s="443">
        <f t="shared" si="8"/>
        <v>683384</v>
      </c>
      <c r="AM77" s="444">
        <f>AA77+AC77+AE77+AG77+AI77+AK77</f>
        <v>32983.769999999997</v>
      </c>
      <c r="AP77" s="439"/>
      <c r="AQ77" s="440"/>
      <c r="AR77" s="433"/>
      <c r="AS77" s="434"/>
      <c r="AT77" s="433"/>
      <c r="AU77" s="633"/>
      <c r="AV77" s="443">
        <f t="shared" si="9"/>
        <v>0</v>
      </c>
      <c r="AW77" s="444">
        <f t="shared" si="10"/>
        <v>0</v>
      </c>
    </row>
    <row r="78" spans="1:49" s="158" customFormat="1">
      <c r="A78" s="409">
        <v>154</v>
      </c>
      <c r="B78" s="409">
        <v>896</v>
      </c>
      <c r="C78" s="409" t="s">
        <v>648</v>
      </c>
      <c r="D78" s="409"/>
      <c r="E78" s="409">
        <v>2</v>
      </c>
      <c r="F78" s="409"/>
      <c r="G78" s="409"/>
      <c r="H78" s="647" t="s">
        <v>849</v>
      </c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 t="s">
        <v>650</v>
      </c>
      <c r="V78" s="409" t="s">
        <v>650</v>
      </c>
      <c r="W78" s="409" t="s">
        <v>650</v>
      </c>
      <c r="X78" s="632"/>
      <c r="Y78" s="409" t="s">
        <v>895</v>
      </c>
      <c r="Z78" s="437">
        <v>683400</v>
      </c>
      <c r="AA78" s="438">
        <v>12603.56</v>
      </c>
      <c r="AB78" s="842">
        <v>678604</v>
      </c>
      <c r="AC78" s="843">
        <v>1029.96</v>
      </c>
      <c r="AD78" s="433"/>
      <c r="AE78" s="633"/>
      <c r="AF78" s="435"/>
      <c r="AG78" s="436"/>
      <c r="AH78" s="441"/>
      <c r="AI78" s="442"/>
      <c r="AJ78" s="846">
        <v>683400</v>
      </c>
      <c r="AK78" s="861">
        <v>8742.23</v>
      </c>
      <c r="AL78" s="443">
        <f t="shared" si="8"/>
        <v>683400</v>
      </c>
      <c r="AM78" s="444">
        <f>AA78+AC78+AE78+AG78+AI78+AK78</f>
        <v>22375.75</v>
      </c>
      <c r="AP78" s="439"/>
      <c r="AQ78" s="440"/>
      <c r="AR78" s="433"/>
      <c r="AS78" s="434"/>
      <c r="AT78" s="433"/>
      <c r="AU78" s="633"/>
      <c r="AV78" s="443">
        <f t="shared" si="9"/>
        <v>0</v>
      </c>
      <c r="AW78" s="444">
        <f t="shared" si="10"/>
        <v>0</v>
      </c>
    </row>
    <row r="79" spans="1:49">
      <c r="A79" s="410">
        <v>155</v>
      </c>
      <c r="B79" s="410">
        <v>941</v>
      </c>
      <c r="C79" s="410" t="s">
        <v>688</v>
      </c>
      <c r="D79" s="632"/>
      <c r="E79" s="410">
        <v>2</v>
      </c>
      <c r="F79" s="410"/>
      <c r="G79" s="38" t="s">
        <v>650</v>
      </c>
      <c r="H79" s="9"/>
      <c r="I79" s="849" t="s">
        <v>896</v>
      </c>
      <c r="J79" s="9"/>
      <c r="K79" s="410" t="s">
        <v>650</v>
      </c>
      <c r="L79" s="9"/>
      <c r="M79" s="9"/>
      <c r="N79" s="9"/>
      <c r="O79" s="38" t="s">
        <v>868</v>
      </c>
      <c r="P79" s="410" t="s">
        <v>650</v>
      </c>
      <c r="Q79" s="410" t="s">
        <v>650</v>
      </c>
      <c r="R79" s="410" t="s">
        <v>650</v>
      </c>
      <c r="S79" s="410" t="s">
        <v>650</v>
      </c>
      <c r="T79" s="9"/>
      <c r="U79" s="410" t="s">
        <v>650</v>
      </c>
      <c r="V79" s="13"/>
      <c r="W79" s="410" t="s">
        <v>897</v>
      </c>
      <c r="X79" s="13"/>
      <c r="Y79" s="410" t="s">
        <v>898</v>
      </c>
      <c r="Z79" s="437">
        <v>98712106</v>
      </c>
      <c r="AA79" s="438">
        <v>17103.63</v>
      </c>
      <c r="AB79" s="433">
        <v>98710070</v>
      </c>
      <c r="AC79" s="434">
        <v>1172.97</v>
      </c>
      <c r="AD79" s="187"/>
      <c r="AE79" s="265"/>
      <c r="AF79" s="435">
        <v>98710032</v>
      </c>
      <c r="AG79" s="436">
        <v>485.1</v>
      </c>
      <c r="AH79" s="441">
        <v>98710073</v>
      </c>
      <c r="AI79" s="442">
        <v>110.4</v>
      </c>
      <c r="AJ79" s="219">
        <v>98712106</v>
      </c>
      <c r="AK79" s="225">
        <v>9859.8799999999992</v>
      </c>
      <c r="AL79" s="443">
        <f t="shared" si="8"/>
        <v>98712106</v>
      </c>
      <c r="AM79" s="444">
        <f>AA79+AC79+AE79+AG79+AI79</f>
        <v>18872.100000000002</v>
      </c>
      <c r="AP79" s="219">
        <v>98712106</v>
      </c>
      <c r="AQ79" s="225">
        <v>9859.8799999999992</v>
      </c>
      <c r="AR79" s="192">
        <v>98997472</v>
      </c>
      <c r="AS79" s="193">
        <v>-7.28</v>
      </c>
      <c r="AT79" s="187"/>
      <c r="AU79" s="265"/>
      <c r="AV79" s="363">
        <f t="shared" si="9"/>
        <v>98712106</v>
      </c>
      <c r="AW79" s="356">
        <f>AQ79+AS79</f>
        <v>9852.5999999999985</v>
      </c>
    </row>
    <row r="80" spans="1:49">
      <c r="A80" s="409">
        <v>156</v>
      </c>
      <c r="B80" s="409">
        <v>896</v>
      </c>
      <c r="C80" s="409" t="s">
        <v>688</v>
      </c>
      <c r="D80" s="7"/>
      <c r="E80" s="409">
        <v>2</v>
      </c>
      <c r="F80" s="409"/>
      <c r="G80" s="7"/>
      <c r="H80" s="7"/>
      <c r="I80" s="409" t="s">
        <v>865</v>
      </c>
      <c r="J80" s="7"/>
      <c r="K80" s="409" t="s">
        <v>650</v>
      </c>
      <c r="L80" s="7"/>
      <c r="M80" s="7"/>
      <c r="N80" s="7"/>
      <c r="O80" s="7"/>
      <c r="P80" s="7"/>
      <c r="Q80" s="409" t="s">
        <v>650</v>
      </c>
      <c r="R80" s="409" t="s">
        <v>650</v>
      </c>
      <c r="S80" s="7"/>
      <c r="T80" s="7"/>
      <c r="U80" s="409" t="s">
        <v>650</v>
      </c>
      <c r="V80" s="409" t="s">
        <v>650</v>
      </c>
      <c r="W80" s="409" t="s">
        <v>650</v>
      </c>
      <c r="X80" s="13"/>
      <c r="Y80" s="409" t="s">
        <v>899</v>
      </c>
      <c r="Z80" s="234">
        <v>98822903</v>
      </c>
      <c r="AA80" s="174">
        <v>13572.48</v>
      </c>
      <c r="AB80" s="187">
        <v>98710117</v>
      </c>
      <c r="AC80" s="188">
        <v>2368.02</v>
      </c>
      <c r="AD80" s="187">
        <v>98822888</v>
      </c>
      <c r="AE80" s="265">
        <v>-7.28</v>
      </c>
      <c r="AF80" s="269" t="s">
        <v>816</v>
      </c>
      <c r="AG80" s="301"/>
      <c r="AH80" s="358">
        <v>98822877</v>
      </c>
      <c r="AI80" s="360">
        <v>110.4</v>
      </c>
      <c r="AJ80" s="219">
        <v>98822903</v>
      </c>
      <c r="AK80" s="225">
        <v>8722.51</v>
      </c>
      <c r="AL80" s="363">
        <f t="shared" si="8"/>
        <v>98822903</v>
      </c>
      <c r="AM80" s="356">
        <f t="shared" ref="AM80:AM89" si="12">AA80+AC80+AE80+AG80+AI80</f>
        <v>16043.619999999999</v>
      </c>
      <c r="AP80" s="219">
        <v>98822903</v>
      </c>
      <c r="AQ80" s="225">
        <v>8722.51</v>
      </c>
      <c r="AR80" s="187">
        <v>98822841</v>
      </c>
      <c r="AS80" s="188">
        <v>3491.47</v>
      </c>
      <c r="AT80" s="187"/>
      <c r="AU80" s="265"/>
      <c r="AV80" s="363">
        <f t="shared" si="9"/>
        <v>98822903</v>
      </c>
      <c r="AW80" s="356">
        <f>AQ80+AS80</f>
        <v>12213.98</v>
      </c>
    </row>
    <row r="81" spans="1:53">
      <c r="A81" s="410">
        <v>157</v>
      </c>
      <c r="B81" s="410">
        <v>941</v>
      </c>
      <c r="C81" s="410" t="s">
        <v>648</v>
      </c>
      <c r="D81" s="632"/>
      <c r="E81" s="410">
        <v>2</v>
      </c>
      <c r="F81" s="410"/>
      <c r="G81" s="649" t="s">
        <v>900</v>
      </c>
      <c r="H81" s="9" t="s">
        <v>289</v>
      </c>
      <c r="I81" s="850" t="s">
        <v>877</v>
      </c>
      <c r="J81" s="9"/>
      <c r="K81" s="410" t="s">
        <v>650</v>
      </c>
      <c r="L81" s="9"/>
      <c r="M81" s="9"/>
      <c r="N81" s="9"/>
      <c r="O81" s="647" t="s">
        <v>868</v>
      </c>
      <c r="P81" s="410" t="s">
        <v>650</v>
      </c>
      <c r="Q81" s="410" t="s">
        <v>650</v>
      </c>
      <c r="R81" s="410" t="s">
        <v>650</v>
      </c>
      <c r="S81" s="410" t="s">
        <v>650</v>
      </c>
      <c r="T81" s="9"/>
      <c r="U81" s="410" t="s">
        <v>650</v>
      </c>
      <c r="V81" s="9"/>
      <c r="W81" s="410" t="s">
        <v>650</v>
      </c>
      <c r="X81" s="13"/>
      <c r="Y81" s="410" t="s">
        <v>901</v>
      </c>
      <c r="Z81" s="437">
        <v>98712119</v>
      </c>
      <c r="AA81" s="438">
        <v>17103.63</v>
      </c>
      <c r="AB81" s="187"/>
      <c r="AC81" s="188"/>
      <c r="AD81" s="187"/>
      <c r="AE81" s="265"/>
      <c r="AF81" s="435">
        <v>98710087</v>
      </c>
      <c r="AG81" s="301">
        <v>485.1</v>
      </c>
      <c r="AH81" s="441">
        <v>98710122</v>
      </c>
      <c r="AI81" s="442">
        <v>110.4</v>
      </c>
      <c r="AJ81" s="219">
        <v>98712119</v>
      </c>
      <c r="AK81" s="225">
        <v>9859.8799999999992</v>
      </c>
      <c r="AL81" s="443">
        <f t="shared" si="8"/>
        <v>98712119</v>
      </c>
      <c r="AM81" s="444">
        <f t="shared" si="12"/>
        <v>17699.13</v>
      </c>
      <c r="AP81" s="219">
        <v>98712119</v>
      </c>
      <c r="AQ81" s="225">
        <v>9859.8799999999992</v>
      </c>
      <c r="AR81" s="187">
        <v>98710117</v>
      </c>
      <c r="AS81" s="188">
        <v>2368.02</v>
      </c>
      <c r="AT81" s="187">
        <v>99431898</v>
      </c>
      <c r="AU81" s="267">
        <v>-1770.76</v>
      </c>
      <c r="AV81" s="363">
        <f t="shared" si="9"/>
        <v>98712119</v>
      </c>
      <c r="AW81" s="356">
        <f>AQ81+AS81+AU81+AY81+BA81</f>
        <v>15433.299999999997</v>
      </c>
      <c r="AX81" s="5" t="s">
        <v>902</v>
      </c>
      <c r="AY81" s="654">
        <v>4983.4399999999996</v>
      </c>
      <c r="AZ81" s="5">
        <v>99009562</v>
      </c>
      <c r="BA81" s="5">
        <v>-7.28</v>
      </c>
    </row>
    <row r="82" spans="1:53">
      <c r="A82" s="409">
        <v>158</v>
      </c>
      <c r="B82" s="409">
        <v>896</v>
      </c>
      <c r="C82" s="409" t="s">
        <v>648</v>
      </c>
      <c r="D82" s="409"/>
      <c r="E82" s="409">
        <v>2</v>
      </c>
      <c r="F82" s="409"/>
      <c r="G82" s="7"/>
      <c r="H82" s="7"/>
      <c r="I82" s="409" t="s">
        <v>865</v>
      </c>
      <c r="J82" s="7"/>
      <c r="K82" s="409" t="s">
        <v>650</v>
      </c>
      <c r="L82" s="7"/>
      <c r="M82" s="7"/>
      <c r="N82" s="7"/>
      <c r="O82" s="7"/>
      <c r="P82" s="7"/>
      <c r="Q82" s="409" t="s">
        <v>650</v>
      </c>
      <c r="R82" s="409" t="s">
        <v>650</v>
      </c>
      <c r="S82" s="7"/>
      <c r="T82" s="7"/>
      <c r="U82" s="409" t="s">
        <v>650</v>
      </c>
      <c r="V82" s="409" t="s">
        <v>650</v>
      </c>
      <c r="W82" s="409" t="s">
        <v>650</v>
      </c>
      <c r="X82" s="13"/>
      <c r="Y82" s="604" t="s">
        <v>903</v>
      </c>
      <c r="Z82" s="234">
        <v>98887421</v>
      </c>
      <c r="AA82" s="174">
        <v>13159.05</v>
      </c>
      <c r="AB82" s="187"/>
      <c r="AC82" s="188"/>
      <c r="AD82" s="187"/>
      <c r="AE82" s="265"/>
      <c r="AF82" s="269" t="s">
        <v>816</v>
      </c>
      <c r="AG82" s="301"/>
      <c r="AH82" s="358">
        <v>98887285</v>
      </c>
      <c r="AI82" s="360">
        <v>110.4</v>
      </c>
      <c r="AJ82" s="219">
        <v>98887421</v>
      </c>
      <c r="AK82" s="225">
        <v>8718.84</v>
      </c>
      <c r="AL82" s="363">
        <f t="shared" si="8"/>
        <v>98887421</v>
      </c>
      <c r="AM82" s="444">
        <f t="shared" si="12"/>
        <v>13269.449999999999</v>
      </c>
      <c r="AP82" s="219">
        <v>98887421</v>
      </c>
      <c r="AQ82" s="225">
        <v>8718.84</v>
      </c>
      <c r="AR82" s="187">
        <v>98887253</v>
      </c>
      <c r="AS82" s="188">
        <v>2709.76</v>
      </c>
      <c r="AT82" s="187"/>
      <c r="AU82" s="265"/>
      <c r="AV82" s="363">
        <f t="shared" si="9"/>
        <v>98887421</v>
      </c>
      <c r="AW82" s="356">
        <f t="shared" si="10"/>
        <v>11428.6</v>
      </c>
    </row>
    <row r="83" spans="1:53">
      <c r="A83" s="410">
        <v>159</v>
      </c>
      <c r="B83" s="410">
        <v>941</v>
      </c>
      <c r="C83" s="410" t="s">
        <v>688</v>
      </c>
      <c r="D83" s="632"/>
      <c r="E83" s="410">
        <v>2</v>
      </c>
      <c r="F83" s="410"/>
      <c r="G83" s="9"/>
      <c r="H83" s="9"/>
      <c r="I83" s="848" t="s">
        <v>849</v>
      </c>
      <c r="J83" s="9"/>
      <c r="K83" s="410" t="s">
        <v>650</v>
      </c>
      <c r="L83" s="9"/>
      <c r="M83" s="9"/>
      <c r="N83" s="9"/>
      <c r="O83" s="410" t="s">
        <v>650</v>
      </c>
      <c r="P83" s="410" t="s">
        <v>650</v>
      </c>
      <c r="Q83" s="410" t="s">
        <v>650</v>
      </c>
      <c r="R83" s="410" t="s">
        <v>650</v>
      </c>
      <c r="S83" s="410" t="s">
        <v>650</v>
      </c>
      <c r="T83" s="9"/>
      <c r="U83" s="410" t="s">
        <v>650</v>
      </c>
      <c r="V83" s="13"/>
      <c r="W83" s="410" t="s">
        <v>650</v>
      </c>
      <c r="X83" s="13"/>
      <c r="Y83" s="604" t="s">
        <v>904</v>
      </c>
      <c r="Z83" s="234">
        <v>98887437</v>
      </c>
      <c r="AA83" s="174">
        <v>16894.66</v>
      </c>
      <c r="AB83" s="187">
        <v>99077560</v>
      </c>
      <c r="AC83" s="188">
        <v>6695.22</v>
      </c>
      <c r="AD83" s="187"/>
      <c r="AE83" s="265"/>
      <c r="AF83" s="269">
        <v>98887302</v>
      </c>
      <c r="AG83" s="301">
        <v>485.1</v>
      </c>
      <c r="AH83" s="358">
        <v>98887340</v>
      </c>
      <c r="AI83" s="360">
        <v>110.4</v>
      </c>
      <c r="AJ83" s="219">
        <v>98887437</v>
      </c>
      <c r="AK83" s="225">
        <v>10133.25</v>
      </c>
      <c r="AL83" s="363">
        <f t="shared" si="8"/>
        <v>98887437</v>
      </c>
      <c r="AM83" s="444">
        <f>AA83+AE83+AG83+AI83+AC83</f>
        <v>24185.38</v>
      </c>
      <c r="AP83" s="219">
        <v>98887437</v>
      </c>
      <c r="AQ83" s="225">
        <v>10133.25</v>
      </c>
      <c r="AR83" s="187">
        <v>98887334</v>
      </c>
      <c r="AS83" s="188">
        <v>3945.26</v>
      </c>
      <c r="AT83" s="187">
        <v>99466678</v>
      </c>
      <c r="AU83" s="678">
        <v>-2790.29</v>
      </c>
      <c r="AV83" s="363">
        <f t="shared" si="9"/>
        <v>98887437</v>
      </c>
      <c r="AW83" s="356">
        <f>AQ83+AS83+AU83+AY83</f>
        <v>16271.66</v>
      </c>
      <c r="AX83" s="5">
        <v>99466694</v>
      </c>
      <c r="AY83" s="654">
        <v>4983.4399999999996</v>
      </c>
    </row>
    <row r="84" spans="1:53">
      <c r="A84" s="409">
        <v>160</v>
      </c>
      <c r="B84" s="409">
        <v>896</v>
      </c>
      <c r="C84" s="409" t="s">
        <v>688</v>
      </c>
      <c r="D84" s="409"/>
      <c r="E84" s="409">
        <v>2</v>
      </c>
      <c r="F84" s="409"/>
      <c r="G84" s="7"/>
      <c r="H84" s="7"/>
      <c r="I84" s="409" t="s">
        <v>865</v>
      </c>
      <c r="J84" s="7"/>
      <c r="K84" s="409" t="s">
        <v>650</v>
      </c>
      <c r="L84" s="7"/>
      <c r="M84" s="7"/>
      <c r="N84" s="7"/>
      <c r="O84" s="7"/>
      <c r="P84" s="7"/>
      <c r="Q84" s="409" t="s">
        <v>650</v>
      </c>
      <c r="R84" s="409" t="s">
        <v>650</v>
      </c>
      <c r="S84" s="7"/>
      <c r="T84" s="7"/>
      <c r="U84" s="409" t="s">
        <v>650</v>
      </c>
      <c r="V84" s="409" t="s">
        <v>650</v>
      </c>
      <c r="W84" s="409" t="s">
        <v>650</v>
      </c>
      <c r="X84" s="13"/>
      <c r="Y84" s="604" t="s">
        <v>905</v>
      </c>
      <c r="Z84" s="234">
        <v>98887454</v>
      </c>
      <c r="AA84" s="174">
        <v>13159.05</v>
      </c>
      <c r="AB84" s="187"/>
      <c r="AC84" s="188"/>
      <c r="AD84" s="187"/>
      <c r="AE84" s="265"/>
      <c r="AF84" s="269" t="s">
        <v>816</v>
      </c>
      <c r="AG84" s="301"/>
      <c r="AH84" s="358">
        <v>98887391</v>
      </c>
      <c r="AI84" s="360">
        <v>110.4</v>
      </c>
      <c r="AJ84" s="219">
        <v>98887454</v>
      </c>
      <c r="AK84" s="225">
        <v>8718.84</v>
      </c>
      <c r="AL84" s="363">
        <f t="shared" si="8"/>
        <v>98887454</v>
      </c>
      <c r="AM84" s="444">
        <f t="shared" si="12"/>
        <v>13269.449999999999</v>
      </c>
      <c r="AP84" s="219">
        <v>98887454</v>
      </c>
      <c r="AQ84" s="225">
        <v>8718.84</v>
      </c>
      <c r="AR84" s="187">
        <v>98887356</v>
      </c>
      <c r="AS84" s="188">
        <v>3491.47</v>
      </c>
      <c r="AT84" s="187"/>
      <c r="AU84" s="265"/>
      <c r="AV84" s="363">
        <f t="shared" si="9"/>
        <v>98887454</v>
      </c>
      <c r="AW84" s="356">
        <f t="shared" si="10"/>
        <v>12210.31</v>
      </c>
    </row>
    <row r="85" spans="1:53">
      <c r="A85" s="410">
        <v>161</v>
      </c>
      <c r="B85" s="410">
        <v>941</v>
      </c>
      <c r="C85" s="410" t="s">
        <v>648</v>
      </c>
      <c r="D85" s="13"/>
      <c r="E85" s="9">
        <v>2</v>
      </c>
      <c r="F85" s="9"/>
      <c r="G85" s="649" t="s">
        <v>900</v>
      </c>
      <c r="H85" s="9"/>
      <c r="I85" s="850" t="s">
        <v>869</v>
      </c>
      <c r="J85" s="9"/>
      <c r="K85" s="410" t="s">
        <v>650</v>
      </c>
      <c r="L85" s="9"/>
      <c r="M85" s="9"/>
      <c r="N85" s="648" t="s">
        <v>868</v>
      </c>
      <c r="O85" s="648" t="s">
        <v>650</v>
      </c>
      <c r="P85" s="410" t="s">
        <v>650</v>
      </c>
      <c r="Q85" s="410" t="s">
        <v>650</v>
      </c>
      <c r="R85" s="410" t="s">
        <v>650</v>
      </c>
      <c r="S85" s="410" t="s">
        <v>650</v>
      </c>
      <c r="T85" s="9"/>
      <c r="U85" s="410" t="s">
        <v>650</v>
      </c>
      <c r="V85" s="13"/>
      <c r="W85" s="410" t="s">
        <v>650</v>
      </c>
      <c r="X85" s="13"/>
      <c r="Y85" s="9" t="s">
        <v>906</v>
      </c>
      <c r="Z85" s="234">
        <v>98712132</v>
      </c>
      <c r="AA85" s="174">
        <v>17103.63</v>
      </c>
      <c r="AB85" s="187"/>
      <c r="AC85" s="188"/>
      <c r="AD85" s="187"/>
      <c r="AE85" s="265"/>
      <c r="AF85" s="269">
        <v>98710286</v>
      </c>
      <c r="AG85" s="301">
        <v>485.1</v>
      </c>
      <c r="AH85" s="358">
        <v>98710320</v>
      </c>
      <c r="AI85" s="360">
        <v>110.4</v>
      </c>
      <c r="AJ85" s="219">
        <v>98712132</v>
      </c>
      <c r="AK85" s="225">
        <v>9859.8799999999992</v>
      </c>
      <c r="AL85" s="363">
        <f t="shared" si="8"/>
        <v>98712132</v>
      </c>
      <c r="AM85" s="356">
        <f t="shared" si="12"/>
        <v>17699.13</v>
      </c>
      <c r="AP85" s="219">
        <v>98712132</v>
      </c>
      <c r="AQ85" s="225">
        <v>9859.8799999999992</v>
      </c>
      <c r="AR85" s="187">
        <v>98710317</v>
      </c>
      <c r="AS85" s="188">
        <v>3380.97</v>
      </c>
      <c r="AT85" s="187">
        <v>99434930</v>
      </c>
      <c r="AU85" s="265">
        <v>-2790.29</v>
      </c>
      <c r="AV85" s="363">
        <f t="shared" si="9"/>
        <v>98712132</v>
      </c>
      <c r="AW85" s="356">
        <f>AQ85+AS85+AU85+AY85+BA85</f>
        <v>15426.719999999996</v>
      </c>
      <c r="AX85" s="5">
        <v>99431943</v>
      </c>
      <c r="AY85" s="654">
        <v>4983.4399999999996</v>
      </c>
      <c r="AZ85" s="5">
        <v>99009613</v>
      </c>
      <c r="BA85" s="5">
        <v>-7.28</v>
      </c>
    </row>
    <row r="86" spans="1:53">
      <c r="A86" s="409">
        <v>162</v>
      </c>
      <c r="B86" s="409">
        <v>896</v>
      </c>
      <c r="C86" s="409" t="s">
        <v>648</v>
      </c>
      <c r="D86" s="409"/>
      <c r="E86" s="409">
        <v>2</v>
      </c>
      <c r="F86" s="409"/>
      <c r="G86" s="7"/>
      <c r="H86" s="7"/>
      <c r="I86" s="409" t="s">
        <v>865</v>
      </c>
      <c r="J86" s="7"/>
      <c r="K86" s="409" t="s">
        <v>650</v>
      </c>
      <c r="L86" s="7"/>
      <c r="M86" s="7"/>
      <c r="N86" s="7"/>
      <c r="O86" s="7"/>
      <c r="P86" s="7"/>
      <c r="Q86" s="409" t="s">
        <v>650</v>
      </c>
      <c r="R86" s="409" t="s">
        <v>650</v>
      </c>
      <c r="S86" s="7"/>
      <c r="T86" s="7"/>
      <c r="U86" s="409" t="s">
        <v>650</v>
      </c>
      <c r="V86" s="409" t="s">
        <v>650</v>
      </c>
      <c r="W86" s="409" t="s">
        <v>650</v>
      </c>
      <c r="X86" s="13"/>
      <c r="Y86" s="7" t="s">
        <v>907</v>
      </c>
      <c r="Z86" s="234">
        <v>98775353</v>
      </c>
      <c r="AA86" s="174">
        <v>13572.48</v>
      </c>
      <c r="AB86" s="187"/>
      <c r="AC86" s="188"/>
      <c r="AD86" s="187"/>
      <c r="AE86" s="265"/>
      <c r="AF86" s="269"/>
      <c r="AG86" s="301"/>
      <c r="AH86" s="358">
        <v>98775236</v>
      </c>
      <c r="AI86" s="360">
        <v>110.4</v>
      </c>
      <c r="AJ86" s="219">
        <v>98775353</v>
      </c>
      <c r="AK86" s="225">
        <v>8722.51</v>
      </c>
      <c r="AL86" s="363">
        <f t="shared" si="8"/>
        <v>98775353</v>
      </c>
      <c r="AM86" s="444">
        <f t="shared" si="12"/>
        <v>13682.88</v>
      </c>
      <c r="AP86" s="219">
        <v>98775353</v>
      </c>
      <c r="AQ86" s="225">
        <v>8722.51</v>
      </c>
      <c r="AR86" s="187">
        <v>98775205</v>
      </c>
      <c r="AS86" s="188">
        <v>2709.76</v>
      </c>
      <c r="AT86" s="187">
        <v>99042764</v>
      </c>
      <c r="AU86" s="265">
        <v>-7.28</v>
      </c>
      <c r="AV86" s="363">
        <f t="shared" si="9"/>
        <v>98775353</v>
      </c>
      <c r="AW86" s="356">
        <f>AQ86+AS86+AU86</f>
        <v>11424.99</v>
      </c>
    </row>
    <row r="87" spans="1:53">
      <c r="A87" s="410">
        <v>163</v>
      </c>
      <c r="B87" s="410">
        <v>941</v>
      </c>
      <c r="C87" s="410" t="s">
        <v>688</v>
      </c>
      <c r="D87" s="632"/>
      <c r="E87" s="410">
        <v>2</v>
      </c>
      <c r="F87" s="410"/>
      <c r="G87" s="9"/>
      <c r="H87" s="410" t="s">
        <v>877</v>
      </c>
      <c r="I87" s="9"/>
      <c r="J87" s="9"/>
      <c r="K87" s="410" t="s">
        <v>650</v>
      </c>
      <c r="L87" s="9"/>
      <c r="M87" s="9"/>
      <c r="N87" s="9"/>
      <c r="O87" s="410" t="s">
        <v>868</v>
      </c>
      <c r="P87" s="410" t="s">
        <v>650</v>
      </c>
      <c r="Q87" s="410" t="s">
        <v>650</v>
      </c>
      <c r="R87" s="410" t="s">
        <v>650</v>
      </c>
      <c r="S87" s="410" t="s">
        <v>650</v>
      </c>
      <c r="T87" s="9"/>
      <c r="U87" s="410" t="s">
        <v>650</v>
      </c>
      <c r="V87" s="13"/>
      <c r="W87" s="410" t="s">
        <v>650</v>
      </c>
      <c r="X87" s="13"/>
      <c r="Y87" s="410" t="s">
        <v>908</v>
      </c>
      <c r="Z87" s="437">
        <v>98389312</v>
      </c>
      <c r="AA87" s="438">
        <v>16327.29</v>
      </c>
      <c r="AB87" s="187"/>
      <c r="AC87" s="188"/>
      <c r="AD87" s="187"/>
      <c r="AE87" s="265"/>
      <c r="AF87" s="435">
        <v>98389252</v>
      </c>
      <c r="AG87" s="436">
        <v>485.1</v>
      </c>
      <c r="AH87" s="441">
        <v>98389285</v>
      </c>
      <c r="AI87" s="442">
        <v>110.4</v>
      </c>
      <c r="AJ87" s="219">
        <v>98389312</v>
      </c>
      <c r="AK87" s="225">
        <v>9904.61</v>
      </c>
      <c r="AL87" s="443">
        <f t="shared" si="8"/>
        <v>98389312</v>
      </c>
      <c r="AM87" s="444">
        <f>AA87+AC87+AE87+AG87+AI87</f>
        <v>16922.79</v>
      </c>
      <c r="AP87" s="219">
        <v>98389312</v>
      </c>
      <c r="AQ87" s="225">
        <v>9904.61</v>
      </c>
      <c r="AR87" s="187">
        <v>98389282</v>
      </c>
      <c r="AS87" s="188">
        <v>1172.97</v>
      </c>
      <c r="AT87" s="187"/>
      <c r="AU87" s="265"/>
      <c r="AV87" s="363">
        <f t="shared" si="9"/>
        <v>98389312</v>
      </c>
      <c r="AW87" s="356">
        <f>AQ87+AS87</f>
        <v>11077.58</v>
      </c>
      <c r="AX87" s="5" t="s">
        <v>909</v>
      </c>
      <c r="AY87" s="5">
        <v>4951.29</v>
      </c>
    </row>
    <row r="88" spans="1:53">
      <c r="A88" s="409">
        <v>164</v>
      </c>
      <c r="B88" s="409">
        <v>896</v>
      </c>
      <c r="C88" s="409" t="s">
        <v>648</v>
      </c>
      <c r="D88" s="7"/>
      <c r="E88" s="409">
        <v>2</v>
      </c>
      <c r="F88" s="409"/>
      <c r="G88" s="7"/>
      <c r="H88" s="7"/>
      <c r="I88" s="409" t="s">
        <v>849</v>
      </c>
      <c r="J88" s="7"/>
      <c r="K88" s="409" t="s">
        <v>650</v>
      </c>
      <c r="L88" s="7"/>
      <c r="M88" s="7"/>
      <c r="N88" s="7"/>
      <c r="O88" s="7"/>
      <c r="P88" s="7"/>
      <c r="Q88" s="7"/>
      <c r="R88" s="7"/>
      <c r="S88" s="7"/>
      <c r="T88" s="7"/>
      <c r="U88" s="409" t="s">
        <v>650</v>
      </c>
      <c r="V88" s="7"/>
      <c r="W88" s="409" t="s">
        <v>650</v>
      </c>
      <c r="X88" s="13"/>
      <c r="Y88" s="409" t="s">
        <v>910</v>
      </c>
      <c r="Z88" s="437">
        <v>98712158</v>
      </c>
      <c r="AA88" s="438">
        <v>12703.6</v>
      </c>
      <c r="AB88" s="187"/>
      <c r="AC88" s="188"/>
      <c r="AD88" s="187"/>
      <c r="AE88" s="265"/>
      <c r="AF88" s="269" t="s">
        <v>911</v>
      </c>
      <c r="AG88" s="301"/>
      <c r="AH88" s="441">
        <v>98710466</v>
      </c>
      <c r="AI88" s="442">
        <v>110.4</v>
      </c>
      <c r="AJ88" s="439">
        <v>98712158</v>
      </c>
      <c r="AK88" s="440">
        <v>8501.5499999999993</v>
      </c>
      <c r="AL88" s="443">
        <f t="shared" si="8"/>
        <v>98712158</v>
      </c>
      <c r="AM88" s="444">
        <f t="shared" si="12"/>
        <v>12814</v>
      </c>
      <c r="AP88" s="439">
        <v>98712158</v>
      </c>
      <c r="AQ88" s="440">
        <v>8501.5499999999993</v>
      </c>
      <c r="AR88" s="433">
        <v>98710433</v>
      </c>
      <c r="AS88" s="434">
        <v>2463.2800000000002</v>
      </c>
      <c r="AT88" s="187"/>
      <c r="AU88" s="265"/>
      <c r="AV88" s="443">
        <f t="shared" si="9"/>
        <v>98712158</v>
      </c>
      <c r="AW88" s="444">
        <f>AS88+AQ88</f>
        <v>10964.83</v>
      </c>
    </row>
    <row r="89" spans="1:53">
      <c r="A89" s="9">
        <v>165</v>
      </c>
      <c r="B89" s="9">
        <v>941</v>
      </c>
      <c r="C89" s="9" t="s">
        <v>648</v>
      </c>
      <c r="D89" s="13"/>
      <c r="E89" s="9">
        <v>2</v>
      </c>
      <c r="F89" s="9"/>
      <c r="G89" s="648" t="s">
        <v>868</v>
      </c>
      <c r="H89" s="9"/>
      <c r="I89" s="9" t="s">
        <v>869</v>
      </c>
      <c r="J89" s="9"/>
      <c r="K89" s="410" t="s">
        <v>650</v>
      </c>
      <c r="L89" s="9"/>
      <c r="M89" s="9"/>
      <c r="N89" s="9"/>
      <c r="O89" s="410" t="s">
        <v>868</v>
      </c>
      <c r="P89" s="410" t="s">
        <v>650</v>
      </c>
      <c r="Q89" s="410" t="s">
        <v>650</v>
      </c>
      <c r="R89" s="410" t="s">
        <v>650</v>
      </c>
      <c r="S89" s="410" t="s">
        <v>650</v>
      </c>
      <c r="T89" s="9"/>
      <c r="U89" s="410" t="s">
        <v>650</v>
      </c>
      <c r="V89" s="13"/>
      <c r="W89" s="410" t="s">
        <v>650</v>
      </c>
      <c r="X89" s="13"/>
      <c r="Y89" s="410" t="s">
        <v>912</v>
      </c>
      <c r="Z89" s="437">
        <v>98256315</v>
      </c>
      <c r="AA89" s="438">
        <v>16327.29</v>
      </c>
      <c r="AB89" s="187"/>
      <c r="AC89" s="188"/>
      <c r="AD89" s="187"/>
      <c r="AE89" s="265"/>
      <c r="AF89" s="435">
        <v>98255888</v>
      </c>
      <c r="AG89" s="436">
        <v>485.1</v>
      </c>
      <c r="AH89" s="441">
        <v>98255925</v>
      </c>
      <c r="AI89" s="442">
        <v>110.4</v>
      </c>
      <c r="AJ89" s="439">
        <v>98256315</v>
      </c>
      <c r="AK89" s="440">
        <v>9904.61</v>
      </c>
      <c r="AL89" s="443">
        <f t="shared" si="8"/>
        <v>98256315</v>
      </c>
      <c r="AM89" s="444">
        <f t="shared" si="12"/>
        <v>16922.79</v>
      </c>
      <c r="AP89" s="439">
        <v>98256315</v>
      </c>
      <c r="AQ89" s="440">
        <v>9904.61</v>
      </c>
      <c r="AR89" s="433">
        <v>98255921</v>
      </c>
      <c r="AS89" s="434">
        <v>2368.02</v>
      </c>
      <c r="AT89" s="187"/>
      <c r="AU89" s="265"/>
      <c r="AV89" s="443">
        <f t="shared" si="9"/>
        <v>98256315</v>
      </c>
      <c r="AW89" s="444">
        <f t="shared" si="10"/>
        <v>12272.630000000001</v>
      </c>
    </row>
    <row r="90" spans="1:53">
      <c r="A90" s="7">
        <v>166</v>
      </c>
      <c r="B90" s="7">
        <v>896</v>
      </c>
      <c r="C90" s="38" t="s">
        <v>688</v>
      </c>
      <c r="D90" s="7"/>
      <c r="E90" s="7">
        <v>2</v>
      </c>
      <c r="F90" s="7"/>
      <c r="G90" s="7"/>
      <c r="H90" s="7"/>
      <c r="I90" s="38" t="s">
        <v>849</v>
      </c>
      <c r="J90" s="7"/>
      <c r="K90" s="7" t="s">
        <v>650</v>
      </c>
      <c r="L90" s="7"/>
      <c r="M90" s="7"/>
      <c r="N90" s="13"/>
      <c r="O90" s="13"/>
      <c r="P90" s="7"/>
      <c r="Q90" s="7"/>
      <c r="R90" s="7"/>
      <c r="S90" s="7"/>
      <c r="T90" s="7"/>
      <c r="U90" s="7" t="s">
        <v>650</v>
      </c>
      <c r="V90" s="7"/>
      <c r="W90" s="7" t="s">
        <v>650</v>
      </c>
      <c r="X90" s="13"/>
      <c r="Y90" s="7" t="s">
        <v>913</v>
      </c>
      <c r="Z90" s="437">
        <v>98149597</v>
      </c>
      <c r="AA90" s="438">
        <v>12158.2</v>
      </c>
      <c r="AB90" s="433">
        <v>98149597</v>
      </c>
      <c r="AC90" s="434">
        <v>703.94</v>
      </c>
      <c r="AD90" s="187"/>
      <c r="AE90" s="265"/>
      <c r="AF90" s="269" t="s">
        <v>911</v>
      </c>
      <c r="AG90" s="301"/>
      <c r="AH90" s="441">
        <v>98213916</v>
      </c>
      <c r="AI90" s="442">
        <v>110.99</v>
      </c>
      <c r="AJ90" s="439">
        <v>98149697</v>
      </c>
      <c r="AK90" s="440">
        <v>8501.5499999999993</v>
      </c>
      <c r="AL90" s="443">
        <f t="shared" si="8"/>
        <v>98149597</v>
      </c>
      <c r="AM90" s="444">
        <f>AA90+AC90+AE90+AG90+AI90</f>
        <v>12973.130000000001</v>
      </c>
      <c r="AP90" s="439">
        <v>98149697</v>
      </c>
      <c r="AQ90" s="440">
        <v>8501.5499999999993</v>
      </c>
      <c r="AR90" s="187"/>
      <c r="AS90" s="188"/>
      <c r="AT90" s="187"/>
      <c r="AU90" s="265"/>
      <c r="AV90" s="443">
        <f t="shared" si="9"/>
        <v>98149697</v>
      </c>
      <c r="AW90" s="444">
        <f t="shared" si="10"/>
        <v>8501.5499999999993</v>
      </c>
    </row>
  </sheetData>
  <autoFilter ref="A2:BA90" xr:uid="{7E7BD8FA-C7F8-453B-9FA9-6C0B0CFB6E31}">
    <filterColumn colId="1">
      <filters>
        <filter val="892"/>
        <filter val="893"/>
      </filters>
    </filterColumn>
  </autoFilter>
  <conditionalFormatting sqref="A29:A30">
    <cfRule type="expression" dxfId="828" priority="458">
      <formula>#REF!=896</formula>
    </cfRule>
  </conditionalFormatting>
  <conditionalFormatting sqref="D3:D100">
    <cfRule type="expression" dxfId="827" priority="38">
      <formula>B3=941</formula>
    </cfRule>
    <cfRule type="expression" dxfId="826" priority="39">
      <formula>B3=36</formula>
    </cfRule>
    <cfRule type="expression" dxfId="825" priority="40">
      <formula>B3=35</formula>
    </cfRule>
    <cfRule type="expression" dxfId="824" priority="41">
      <formula>B3=896</formula>
    </cfRule>
  </conditionalFormatting>
  <conditionalFormatting sqref="G31">
    <cfRule type="expression" dxfId="823" priority="1">
      <formula>A31=893</formula>
    </cfRule>
  </conditionalFormatting>
  <conditionalFormatting sqref="H3:H100">
    <cfRule type="expression" dxfId="822" priority="10">
      <formula>B3=893</formula>
    </cfRule>
  </conditionalFormatting>
  <conditionalFormatting sqref="J3:J100">
    <cfRule type="expression" dxfId="821" priority="3">
      <formula>B3=941</formula>
    </cfRule>
    <cfRule type="expression" dxfId="820" priority="9">
      <formula>B3=893</formula>
    </cfRule>
    <cfRule type="expression" dxfId="819" priority="13">
      <formula>B3=892</formula>
    </cfRule>
    <cfRule type="expression" dxfId="818" priority="36">
      <formula>B3=35</formula>
    </cfRule>
    <cfRule type="expression" dxfId="817" priority="37">
      <formula>B3=36</formula>
    </cfRule>
  </conditionalFormatting>
  <conditionalFormatting sqref="M3:M100">
    <cfRule type="expression" dxfId="816" priority="8">
      <formula>B3=893</formula>
    </cfRule>
    <cfRule type="expression" dxfId="815" priority="12">
      <formula>B3=36</formula>
    </cfRule>
    <cfRule type="expression" dxfId="814" priority="34">
      <formula>B3=35</formula>
    </cfRule>
    <cfRule type="expression" dxfId="813" priority="35">
      <formula>B3=896</formula>
    </cfRule>
    <cfRule type="expression" dxfId="812" priority="45">
      <formula>B3=892</formula>
    </cfRule>
  </conditionalFormatting>
  <conditionalFormatting sqref="N3:N100">
    <cfRule type="expression" dxfId="811" priority="33">
      <formula>B3=896</formula>
    </cfRule>
  </conditionalFormatting>
  <conditionalFormatting sqref="O3:O100">
    <cfRule type="expression" dxfId="810" priority="30">
      <formula>B3=35</formula>
    </cfRule>
    <cfRule type="expression" dxfId="809" priority="31">
      <formula>B3=36</formula>
    </cfRule>
    <cfRule type="expression" dxfId="808" priority="32">
      <formula>B3=896</formula>
    </cfRule>
  </conditionalFormatting>
  <conditionalFormatting sqref="P3:P100">
    <cfRule type="expression" dxfId="807" priority="7">
      <formula>B3=893</formula>
    </cfRule>
    <cfRule type="expression" dxfId="806" priority="26">
      <formula>B3=892</formula>
    </cfRule>
    <cfRule type="expression" dxfId="805" priority="27">
      <formula>B3=36</formula>
    </cfRule>
    <cfRule type="expression" dxfId="804" priority="28">
      <formula>B3=35</formula>
    </cfRule>
    <cfRule type="expression" dxfId="803" priority="29">
      <formula>B3=896</formula>
    </cfRule>
  </conditionalFormatting>
  <conditionalFormatting sqref="Q3:Q100">
    <cfRule type="expression" dxfId="802" priority="24">
      <formula>B3=36</formula>
    </cfRule>
    <cfRule type="expression" dxfId="801" priority="25">
      <formula>B3=35</formula>
    </cfRule>
  </conditionalFormatting>
  <conditionalFormatting sqref="S3:S100">
    <cfRule type="expression" dxfId="800" priority="21">
      <formula>B3=36</formula>
    </cfRule>
    <cfRule type="expression" dxfId="799" priority="22">
      <formula>B3=35</formula>
    </cfRule>
    <cfRule type="expression" dxfId="798" priority="23">
      <formula>B3=896</formula>
    </cfRule>
    <cfRule type="expression" dxfId="797" priority="54">
      <formula>B3=893</formula>
    </cfRule>
  </conditionalFormatting>
  <conditionalFormatting sqref="V1:V100">
    <cfRule type="expression" dxfId="796" priority="14">
      <formula>B3=36</formula>
    </cfRule>
    <cfRule type="expression" dxfId="795" priority="15">
      <formula>B3=35</formula>
    </cfRule>
  </conditionalFormatting>
  <conditionalFormatting sqref="V3:V100">
    <cfRule type="expression" dxfId="794" priority="2">
      <formula>B3=941</formula>
    </cfRule>
    <cfRule type="expression" dxfId="793" priority="6">
      <formula>B3=893</formula>
    </cfRule>
    <cfRule type="expression" dxfId="792" priority="11">
      <formula>B3=892</formula>
    </cfRule>
  </conditionalFormatting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9988-E26F-4BE6-91DA-446A1D8B7CBF}">
  <sheetPr filterMode="1"/>
  <dimension ref="A1:MT111"/>
  <sheetViews>
    <sheetView topLeftCell="A2" zoomScale="80" zoomScaleNormal="80" workbookViewId="0">
      <selection activeCell="A37" sqref="A37"/>
    </sheetView>
  </sheetViews>
  <sheetFormatPr defaultColWidth="8.85546875" defaultRowHeight="15.75" customHeight="1"/>
  <cols>
    <col min="1" max="1" width="8.85546875" style="5"/>
    <col min="2" max="2" width="15.140625" style="5" bestFit="1" customWidth="1"/>
    <col min="3" max="3" width="5.5703125" style="5" bestFit="1" customWidth="1"/>
    <col min="4" max="6" width="5.28515625" style="5" customWidth="1"/>
    <col min="7" max="7" width="0.7109375" style="5" customWidth="1"/>
    <col min="8" max="8" width="22.42578125" style="594" bestFit="1" customWidth="1"/>
    <col min="9" max="10" width="4.7109375" style="5" hidden="1" customWidth="1"/>
    <col min="11" max="11" width="6.5703125" style="96" hidden="1" customWidth="1"/>
    <col min="12" max="12" width="11.5703125" style="5" hidden="1" customWidth="1"/>
    <col min="13" max="15" width="10.85546875" style="5" hidden="1" customWidth="1"/>
    <col min="16" max="16" width="12.7109375" style="5" hidden="1" customWidth="1"/>
    <col min="17" max="17" width="27" style="234" bestFit="1" customWidth="1"/>
    <col min="18" max="18" width="22.42578125" style="325" customWidth="1"/>
    <col min="19" max="19" width="19.140625" style="187" customWidth="1"/>
    <col min="20" max="20" width="17.5703125" style="348" customWidth="1"/>
    <col min="21" max="21" width="21.42578125" style="269" bestFit="1" customWidth="1"/>
    <col min="22" max="22" width="19" style="351" bestFit="1" customWidth="1"/>
    <col min="23" max="23" width="21.42578125" style="282" hidden="1" customWidth="1"/>
    <col min="24" max="24" width="19" style="315" hidden="1" customWidth="1"/>
    <col min="25" max="25" width="28.7109375" style="219" bestFit="1" customWidth="1"/>
    <col min="26" max="26" width="17.140625" style="247" bestFit="1" customWidth="1"/>
    <col min="27" max="27" width="25.7109375" style="343" bestFit="1" customWidth="1"/>
    <col min="28" max="28" width="19" style="344" bestFit="1" customWidth="1"/>
    <col min="29" max="29" width="9.140625" style="163"/>
    <col min="30" max="30" width="28.7109375" style="219" bestFit="1" customWidth="1"/>
    <col min="31" max="31" width="17.140625" style="247" bestFit="1" customWidth="1"/>
    <col min="32" max="32" width="28.7109375" style="219" hidden="1" customWidth="1"/>
    <col min="33" max="33" width="17.140625" style="247" hidden="1" customWidth="1"/>
    <col min="34" max="34" width="21.42578125" style="269" bestFit="1" customWidth="1"/>
    <col min="35" max="35" width="19" style="351" bestFit="1" customWidth="1"/>
    <col min="36" max="36" width="19.140625" style="187" customWidth="1"/>
    <col min="37" max="37" width="17.5703125" style="348" customWidth="1"/>
    <col min="38" max="38" width="19.140625" style="187" customWidth="1"/>
    <col min="39" max="39" width="17.5703125" style="348" customWidth="1"/>
    <col min="40" max="40" width="25.7109375" style="343" bestFit="1" customWidth="1"/>
    <col min="41" max="41" width="22.7109375" style="344" customWidth="1"/>
    <col min="42" max="42" width="9.140625" style="163"/>
    <col min="43" max="43" width="28.7109375" style="219" bestFit="1" customWidth="1"/>
    <col min="44" max="44" width="17.140625" style="247" bestFit="1" customWidth="1"/>
    <col min="45" max="45" width="25.7109375" style="343" bestFit="1" customWidth="1"/>
    <col min="46" max="46" width="22.7109375" style="344" customWidth="1"/>
    <col min="47" max="358" width="8.85546875" style="163"/>
    <col min="359" max="16384" width="8.85546875" style="5"/>
  </cols>
  <sheetData>
    <row r="1" spans="1:46" ht="18.600000000000001">
      <c r="A1" s="10" t="s">
        <v>914</v>
      </c>
      <c r="B1" s="523"/>
      <c r="C1" s="523" t="s">
        <v>915</v>
      </c>
      <c r="D1" s="523">
        <v>41</v>
      </c>
      <c r="E1" s="523">
        <v>42</v>
      </c>
      <c r="F1" s="23"/>
      <c r="G1" s="680"/>
      <c r="H1" s="681">
        <v>45</v>
      </c>
      <c r="I1" s="24"/>
      <c r="J1" s="24"/>
      <c r="K1" s="94"/>
      <c r="L1" s="24"/>
      <c r="M1" s="24"/>
      <c r="N1" s="24"/>
      <c r="O1" s="24"/>
      <c r="P1" s="24"/>
      <c r="Q1" s="294">
        <v>46</v>
      </c>
      <c r="R1" s="297"/>
      <c r="S1" s="294"/>
      <c r="T1" s="297"/>
      <c r="U1" s="294"/>
      <c r="V1" s="297"/>
      <c r="W1" s="294"/>
      <c r="X1" s="297"/>
      <c r="Y1" s="294"/>
      <c r="Z1" s="294"/>
      <c r="AA1" s="295"/>
      <c r="AB1" s="299"/>
      <c r="AC1" s="294"/>
      <c r="AD1" s="294"/>
      <c r="AE1" s="294"/>
      <c r="AF1" s="294"/>
      <c r="AG1" s="294"/>
      <c r="AH1" s="294"/>
      <c r="AI1" s="297"/>
      <c r="AJ1" s="294"/>
      <c r="AK1" s="297"/>
      <c r="AL1" s="294"/>
      <c r="AM1" s="297"/>
      <c r="AN1" s="295"/>
      <c r="AO1" s="299"/>
      <c r="AP1" s="294"/>
      <c r="AQ1" s="294"/>
      <c r="AR1" s="294"/>
      <c r="AS1" s="295"/>
      <c r="AT1" s="299"/>
    </row>
    <row r="2" spans="1:46" s="81" customFormat="1" ht="138" customHeight="1">
      <c r="A2" s="582" t="s">
        <v>612</v>
      </c>
      <c r="B2" s="101" t="s">
        <v>613</v>
      </c>
      <c r="C2" s="101" t="s">
        <v>614</v>
      </c>
      <c r="D2" s="89" t="s">
        <v>369</v>
      </c>
      <c r="E2" s="165" t="s">
        <v>111</v>
      </c>
      <c r="F2" s="838" t="s">
        <v>916</v>
      </c>
      <c r="G2" s="839" t="s">
        <v>289</v>
      </c>
      <c r="H2" s="582" t="s">
        <v>917</v>
      </c>
      <c r="I2" s="89" t="s">
        <v>621</v>
      </c>
      <c r="J2" s="89" t="s">
        <v>622</v>
      </c>
      <c r="K2" s="95" t="s">
        <v>624</v>
      </c>
      <c r="L2" s="93" t="s">
        <v>918</v>
      </c>
      <c r="M2" s="89" t="s">
        <v>626</v>
      </c>
      <c r="N2" s="89" t="s">
        <v>919</v>
      </c>
      <c r="O2" s="89" t="s">
        <v>920</v>
      </c>
      <c r="P2" s="165" t="s">
        <v>630</v>
      </c>
      <c r="Q2" s="300" t="s">
        <v>921</v>
      </c>
      <c r="R2" s="324" t="s">
        <v>922</v>
      </c>
      <c r="S2" s="331" t="s">
        <v>923</v>
      </c>
      <c r="T2" s="347" t="s">
        <v>924</v>
      </c>
      <c r="U2" s="349" t="s">
        <v>925</v>
      </c>
      <c r="V2" s="350" t="s">
        <v>926</v>
      </c>
      <c r="W2" s="352" t="s">
        <v>927</v>
      </c>
      <c r="X2" s="353" t="s">
        <v>928</v>
      </c>
      <c r="Y2" s="333" t="s">
        <v>929</v>
      </c>
      <c r="Z2" s="334" t="s">
        <v>642</v>
      </c>
      <c r="AA2" s="335" t="s">
        <v>930</v>
      </c>
      <c r="AB2" s="232" t="s">
        <v>644</v>
      </c>
      <c r="AC2" s="522"/>
      <c r="AD2" s="333" t="s">
        <v>929</v>
      </c>
      <c r="AE2" s="334" t="s">
        <v>642</v>
      </c>
      <c r="AF2" s="333" t="s">
        <v>931</v>
      </c>
      <c r="AG2" s="334" t="s">
        <v>932</v>
      </c>
      <c r="AH2" s="349" t="s">
        <v>665</v>
      </c>
      <c r="AI2" s="350" t="s">
        <v>666</v>
      </c>
      <c r="AJ2" s="331" t="s">
        <v>933</v>
      </c>
      <c r="AK2" s="347" t="s">
        <v>934</v>
      </c>
      <c r="AL2" s="331" t="s">
        <v>923</v>
      </c>
      <c r="AM2" s="347" t="s">
        <v>924</v>
      </c>
      <c r="AN2" s="335" t="s">
        <v>935</v>
      </c>
      <c r="AO2" s="232" t="s">
        <v>646</v>
      </c>
      <c r="AP2" s="522"/>
      <c r="AQ2" s="333" t="s">
        <v>936</v>
      </c>
      <c r="AR2" s="334" t="s">
        <v>937</v>
      </c>
      <c r="AS2" s="335" t="s">
        <v>938</v>
      </c>
      <c r="AT2" s="232" t="s">
        <v>939</v>
      </c>
    </row>
    <row r="3" spans="1:46" s="163" customFormat="1" ht="3.75" hidden="1" customHeight="1">
      <c r="A3" s="11"/>
      <c r="B3" s="13"/>
      <c r="C3" s="13"/>
      <c r="D3" s="13"/>
      <c r="E3" s="13"/>
      <c r="F3" s="12"/>
      <c r="G3" s="13"/>
      <c r="H3" s="583" t="e">
        <f>#REF!</f>
        <v>#REF!</v>
      </c>
      <c r="I3" s="13"/>
      <c r="J3" s="13"/>
      <c r="K3" s="515"/>
      <c r="L3" s="13"/>
      <c r="M3" s="13"/>
      <c r="N3" s="13"/>
      <c r="O3" s="13"/>
      <c r="P3" s="519"/>
      <c r="Q3" s="516"/>
      <c r="R3" s="517"/>
      <c r="S3" s="516"/>
      <c r="T3" s="517"/>
      <c r="U3" s="516"/>
      <c r="V3" s="517"/>
      <c r="W3" s="516"/>
      <c r="X3" s="517"/>
      <c r="Y3" s="516"/>
      <c r="Z3" s="518"/>
      <c r="AA3" s="520"/>
      <c r="AB3" s="521"/>
      <c r="AD3" s="516"/>
      <c r="AE3" s="518"/>
      <c r="AF3" s="516"/>
      <c r="AG3" s="518"/>
      <c r="AH3" s="516"/>
      <c r="AI3" s="517"/>
      <c r="AJ3" s="516"/>
      <c r="AK3" s="517"/>
      <c r="AL3" s="516"/>
      <c r="AM3" s="517"/>
      <c r="AN3" s="520"/>
      <c r="AO3" s="521"/>
      <c r="AQ3" s="516"/>
      <c r="AR3" s="518"/>
      <c r="AS3" s="520"/>
      <c r="AT3" s="521"/>
    </row>
    <row r="4" spans="1:46" ht="15.6" hidden="1">
      <c r="A4" s="685">
        <v>1</v>
      </c>
      <c r="B4" s="6">
        <v>46</v>
      </c>
      <c r="C4" s="6" t="s">
        <v>648</v>
      </c>
      <c r="D4" s="6"/>
      <c r="E4" s="7"/>
      <c r="F4" s="6"/>
      <c r="G4" s="12"/>
      <c r="H4" s="584"/>
      <c r="I4" s="79"/>
      <c r="J4" s="21"/>
      <c r="K4" s="56"/>
      <c r="L4" s="21"/>
      <c r="M4" s="21"/>
      <c r="N4" s="21"/>
      <c r="O4" s="21"/>
      <c r="P4" s="164"/>
      <c r="Q4" s="437"/>
      <c r="R4" s="458"/>
      <c r="S4" s="433"/>
      <c r="T4" s="490"/>
      <c r="U4" s="435"/>
      <c r="V4" s="463"/>
      <c r="Z4" s="323"/>
      <c r="AA4" s="464"/>
      <c r="AB4" s="465">
        <f t="shared" ref="AB4:AB67" si="0">Z4+V4+T4+R4</f>
        <v>0</v>
      </c>
      <c r="AE4" s="323"/>
      <c r="AG4" s="323"/>
      <c r="AK4" s="620"/>
      <c r="AN4" s="309"/>
      <c r="AO4" s="230"/>
      <c r="AR4" s="323"/>
      <c r="AS4" s="309"/>
      <c r="AT4" s="230"/>
    </row>
    <row r="5" spans="1:46" ht="15.6" hidden="1">
      <c r="A5" s="575"/>
      <c r="B5" s="37"/>
      <c r="C5" s="37"/>
      <c r="D5" s="37"/>
      <c r="E5" s="37"/>
      <c r="F5" s="37"/>
      <c r="G5" s="13"/>
      <c r="H5" s="585"/>
      <c r="I5" s="7"/>
      <c r="J5" s="7"/>
      <c r="K5" s="57"/>
      <c r="L5" s="7"/>
      <c r="M5" s="7"/>
      <c r="N5" s="7"/>
      <c r="O5" s="7"/>
      <c r="P5" s="103"/>
      <c r="Q5" s="462"/>
      <c r="R5" s="458"/>
      <c r="S5" s="433"/>
      <c r="T5" s="490"/>
      <c r="U5" s="435"/>
      <c r="V5" s="463"/>
      <c r="Z5" s="323"/>
      <c r="AA5" s="464"/>
      <c r="AB5" s="465"/>
      <c r="AE5" s="323"/>
      <c r="AG5" s="323"/>
      <c r="AK5" s="620"/>
      <c r="AN5" s="309"/>
      <c r="AO5" s="230"/>
      <c r="AR5" s="323"/>
      <c r="AS5" s="309"/>
      <c r="AT5" s="230"/>
    </row>
    <row r="6" spans="1:46" s="163" customFormat="1" ht="4.5" hidden="1" customHeight="1">
      <c r="A6" s="574"/>
      <c r="B6" s="13"/>
      <c r="C6" s="13"/>
      <c r="D6" s="13"/>
      <c r="E6" s="13"/>
      <c r="F6" s="13"/>
      <c r="G6" s="13"/>
      <c r="H6" s="583"/>
      <c r="I6" s="13"/>
      <c r="J6" s="13"/>
      <c r="K6" s="515"/>
      <c r="L6" s="13"/>
      <c r="M6" s="13"/>
      <c r="N6" s="13"/>
      <c r="O6" s="13"/>
      <c r="P6" s="519"/>
      <c r="Q6" s="516"/>
      <c r="R6" s="517"/>
      <c r="S6" s="516"/>
      <c r="T6" s="517"/>
      <c r="U6" s="516"/>
      <c r="V6" s="517"/>
      <c r="W6" s="516"/>
      <c r="X6" s="517"/>
      <c r="Y6" s="516"/>
      <c r="Z6" s="518"/>
      <c r="AA6" s="520"/>
      <c r="AB6" s="520"/>
      <c r="AD6" s="516"/>
      <c r="AE6" s="518"/>
      <c r="AF6" s="516"/>
      <c r="AG6" s="518"/>
      <c r="AH6" s="516"/>
      <c r="AI6" s="517"/>
      <c r="AJ6" s="516"/>
      <c r="AK6" s="517"/>
      <c r="AL6" s="516"/>
      <c r="AM6" s="517"/>
      <c r="AN6" s="520"/>
      <c r="AO6" s="521"/>
      <c r="AQ6" s="516"/>
      <c r="AR6" s="518"/>
      <c r="AS6" s="520"/>
      <c r="AT6" s="521"/>
    </row>
    <row r="7" spans="1:46" s="163" customFormat="1" ht="15.6" hidden="1">
      <c r="A7" s="686">
        <v>2</v>
      </c>
      <c r="B7" s="98">
        <v>46</v>
      </c>
      <c r="C7" s="98" t="s">
        <v>649</v>
      </c>
      <c r="D7" s="98"/>
      <c r="E7" s="7"/>
      <c r="F7" s="7"/>
      <c r="G7" s="13"/>
      <c r="H7" s="586"/>
      <c r="I7" s="98"/>
      <c r="J7" s="98"/>
      <c r="K7" s="162"/>
      <c r="L7" s="98"/>
      <c r="M7" s="98"/>
      <c r="N7" s="98"/>
      <c r="O7" s="98"/>
      <c r="P7" s="346"/>
      <c r="Q7" s="234"/>
      <c r="R7" s="325"/>
      <c r="S7" s="187"/>
      <c r="T7" s="348"/>
      <c r="U7" s="269"/>
      <c r="V7" s="351"/>
      <c r="W7" s="282"/>
      <c r="X7" s="315"/>
      <c r="Y7" s="219"/>
      <c r="Z7" s="225"/>
      <c r="AA7" s="309"/>
      <c r="AB7" s="465">
        <f t="shared" si="0"/>
        <v>0</v>
      </c>
      <c r="AD7" s="219"/>
      <c r="AE7" s="225"/>
      <c r="AF7" s="219"/>
      <c r="AG7" s="225"/>
      <c r="AH7" s="269"/>
      <c r="AI7" s="351"/>
      <c r="AJ7" s="187"/>
      <c r="AK7" s="540"/>
      <c r="AL7" s="187"/>
      <c r="AM7" s="348"/>
      <c r="AN7" s="309"/>
      <c r="AO7" s="230"/>
      <c r="AQ7" s="219"/>
      <c r="AR7" s="225"/>
      <c r="AS7" s="309"/>
      <c r="AT7" s="230"/>
    </row>
    <row r="8" spans="1:46" s="107" customFormat="1" ht="15.6" hidden="1">
      <c r="A8" s="575"/>
      <c r="B8" s="37"/>
      <c r="C8" s="37"/>
      <c r="D8" s="37"/>
      <c r="E8" s="37"/>
      <c r="F8" s="37"/>
      <c r="G8" s="13"/>
      <c r="H8" s="585"/>
      <c r="I8" s="37"/>
      <c r="J8" s="37"/>
      <c r="K8" s="106"/>
      <c r="L8" s="37"/>
      <c r="M8" s="37"/>
      <c r="N8" s="37"/>
      <c r="O8" s="37"/>
      <c r="P8" s="310"/>
      <c r="Q8" s="233"/>
      <c r="R8" s="325"/>
      <c r="S8" s="187"/>
      <c r="T8" s="348"/>
      <c r="U8" s="269"/>
      <c r="V8" s="351"/>
      <c r="W8" s="282"/>
      <c r="X8" s="315"/>
      <c r="Y8" s="219"/>
      <c r="Z8" s="225"/>
      <c r="AA8" s="309"/>
      <c r="AB8" s="465"/>
      <c r="AC8" s="163"/>
      <c r="AD8" s="219"/>
      <c r="AE8" s="225"/>
      <c r="AF8" s="219"/>
      <c r="AG8" s="225"/>
      <c r="AH8" s="269"/>
      <c r="AI8" s="351"/>
      <c r="AJ8" s="187"/>
      <c r="AK8" s="348"/>
      <c r="AL8" s="187"/>
      <c r="AM8" s="348"/>
      <c r="AN8" s="309"/>
      <c r="AO8" s="230"/>
      <c r="AP8" s="163"/>
      <c r="AQ8" s="219"/>
      <c r="AR8" s="225"/>
      <c r="AS8" s="309"/>
      <c r="AT8" s="230"/>
    </row>
    <row r="9" spans="1:46" s="163" customFormat="1" ht="3.75" hidden="1" customHeight="1">
      <c r="A9" s="574"/>
      <c r="B9" s="13"/>
      <c r="C9" s="13"/>
      <c r="D9" s="13"/>
      <c r="E9" s="13"/>
      <c r="F9" s="13"/>
      <c r="G9" s="13"/>
      <c r="H9" s="583"/>
      <c r="I9" s="13"/>
      <c r="J9" s="13"/>
      <c r="K9" s="515"/>
      <c r="L9" s="13"/>
      <c r="M9" s="13"/>
      <c r="N9" s="13"/>
      <c r="O9" s="13"/>
      <c r="P9" s="519"/>
      <c r="Q9" s="516"/>
      <c r="R9" s="517"/>
      <c r="S9" s="516"/>
      <c r="T9" s="517"/>
      <c r="U9" s="516"/>
      <c r="V9" s="517"/>
      <c r="W9" s="516"/>
      <c r="X9" s="517"/>
      <c r="Y9" s="516"/>
      <c r="Z9" s="518"/>
      <c r="AA9" s="520"/>
      <c r="AB9" s="520"/>
      <c r="AD9" s="516"/>
      <c r="AE9" s="518"/>
      <c r="AF9" s="516"/>
      <c r="AG9" s="518"/>
      <c r="AH9" s="516"/>
      <c r="AI9" s="517"/>
      <c r="AJ9" s="516"/>
      <c r="AK9" s="517"/>
      <c r="AL9" s="516"/>
      <c r="AM9" s="517"/>
      <c r="AN9" s="520"/>
      <c r="AO9" s="521"/>
      <c r="AQ9" s="516"/>
      <c r="AR9" s="518"/>
      <c r="AS9" s="520"/>
      <c r="AT9" s="521"/>
    </row>
    <row r="10" spans="1:46" s="107" customFormat="1" ht="15.6" hidden="1">
      <c r="A10" s="576">
        <v>3</v>
      </c>
      <c r="B10" s="7">
        <v>46</v>
      </c>
      <c r="C10" s="7" t="s">
        <v>647</v>
      </c>
      <c r="D10" s="7"/>
      <c r="E10" s="7"/>
      <c r="F10" s="7"/>
      <c r="G10" s="13"/>
      <c r="H10" s="584"/>
      <c r="I10" s="37"/>
      <c r="J10" s="37"/>
      <c r="K10" s="106"/>
      <c r="L10" s="37"/>
      <c r="M10" s="37"/>
      <c r="N10" s="37"/>
      <c r="O10" s="37"/>
      <c r="P10" s="310"/>
      <c r="Q10" s="233"/>
      <c r="R10" s="325"/>
      <c r="S10" s="187"/>
      <c r="T10" s="348"/>
      <c r="U10" s="269"/>
      <c r="V10" s="351"/>
      <c r="W10" s="282"/>
      <c r="X10" s="315"/>
      <c r="Y10" s="219"/>
      <c r="Z10" s="225"/>
      <c r="AA10" s="309"/>
      <c r="AB10" s="465">
        <f t="shared" si="0"/>
        <v>0</v>
      </c>
      <c r="AC10" s="163"/>
      <c r="AD10" s="219"/>
      <c r="AE10" s="225"/>
      <c r="AF10" s="219"/>
      <c r="AG10" s="225"/>
      <c r="AH10" s="269"/>
      <c r="AI10" s="351"/>
      <c r="AJ10" s="187"/>
      <c r="AK10" s="348"/>
      <c r="AL10" s="187"/>
      <c r="AM10" s="348"/>
      <c r="AN10" s="309"/>
      <c r="AO10" s="230"/>
      <c r="AP10" s="163"/>
      <c r="AQ10" s="219"/>
      <c r="AR10" s="225"/>
      <c r="AS10" s="309"/>
      <c r="AT10" s="230"/>
    </row>
    <row r="11" spans="1:46" ht="15.6" hidden="1">
      <c r="A11" s="575"/>
      <c r="B11" s="37"/>
      <c r="C11" s="37"/>
      <c r="D11" s="37"/>
      <c r="E11" s="37"/>
      <c r="F11" s="37"/>
      <c r="G11" s="13"/>
      <c r="H11" s="587"/>
      <c r="I11" s="7"/>
      <c r="J11" s="7"/>
      <c r="K11" s="57"/>
      <c r="L11" s="7"/>
      <c r="M11" s="7"/>
      <c r="N11" s="98"/>
      <c r="O11" s="98"/>
      <c r="P11" s="103"/>
      <c r="Q11" s="233"/>
      <c r="Z11" s="225"/>
      <c r="AA11" s="309"/>
      <c r="AB11" s="465"/>
      <c r="AE11" s="225"/>
      <c r="AG11" s="225"/>
      <c r="AN11" s="309"/>
      <c r="AO11" s="230"/>
      <c r="AR11" s="225"/>
      <c r="AS11" s="309"/>
      <c r="AT11" s="230"/>
    </row>
    <row r="12" spans="1:46" s="163" customFormat="1" ht="3.75" hidden="1" customHeight="1">
      <c r="A12" s="574"/>
      <c r="B12" s="13"/>
      <c r="C12" s="13"/>
      <c r="D12" s="13"/>
      <c r="E12" s="13"/>
      <c r="F12" s="13"/>
      <c r="G12" s="13"/>
      <c r="H12" s="583"/>
      <c r="I12" s="13"/>
      <c r="J12" s="13"/>
      <c r="K12" s="515"/>
      <c r="L12" s="13"/>
      <c r="M12" s="13"/>
      <c r="N12" s="13"/>
      <c r="O12" s="13"/>
      <c r="P12" s="519"/>
      <c r="Q12" s="516"/>
      <c r="R12" s="517"/>
      <c r="S12" s="516"/>
      <c r="T12" s="517"/>
      <c r="U12" s="516"/>
      <c r="V12" s="517"/>
      <c r="W12" s="516"/>
      <c r="X12" s="517"/>
      <c r="Y12" s="516"/>
      <c r="Z12" s="518"/>
      <c r="AA12" s="520"/>
      <c r="AB12" s="520"/>
      <c r="AD12" s="516"/>
      <c r="AE12" s="518"/>
      <c r="AF12" s="516"/>
      <c r="AG12" s="518"/>
      <c r="AH12" s="516"/>
      <c r="AI12" s="517"/>
      <c r="AJ12" s="516"/>
      <c r="AK12" s="517"/>
      <c r="AL12" s="516"/>
      <c r="AM12" s="517"/>
      <c r="AN12" s="520"/>
      <c r="AO12" s="521"/>
      <c r="AQ12" s="516"/>
      <c r="AR12" s="518"/>
      <c r="AS12" s="520"/>
      <c r="AT12" s="521"/>
    </row>
    <row r="13" spans="1:46" s="818" customFormat="1" ht="15.6" hidden="1">
      <c r="A13" s="605">
        <v>4</v>
      </c>
      <c r="B13" s="409">
        <v>42</v>
      </c>
      <c r="C13" s="409" t="s">
        <v>688</v>
      </c>
      <c r="D13" s="158"/>
      <c r="E13" s="409" t="s">
        <v>650</v>
      </c>
      <c r="F13" s="409"/>
      <c r="G13" s="632"/>
      <c r="H13" s="815" t="s">
        <v>940</v>
      </c>
      <c r="I13" s="528"/>
      <c r="J13" s="528"/>
      <c r="K13" s="816"/>
      <c r="L13" s="528"/>
      <c r="M13" s="528"/>
      <c r="N13" s="528"/>
      <c r="O13" s="528"/>
      <c r="P13" s="817"/>
      <c r="Q13" s="462">
        <v>99884146</v>
      </c>
      <c r="R13" s="458">
        <v>14007.39</v>
      </c>
      <c r="S13" s="433">
        <v>99884110</v>
      </c>
      <c r="T13" s="490">
        <v>4022.96</v>
      </c>
      <c r="U13" s="435"/>
      <c r="V13" s="463"/>
      <c r="W13" s="454"/>
      <c r="X13" s="536"/>
      <c r="Y13" s="439"/>
      <c r="Z13" s="440"/>
      <c r="AA13" s="464"/>
      <c r="AB13" s="465">
        <f t="shared" si="0"/>
        <v>18030.349999999999</v>
      </c>
      <c r="AC13" s="666"/>
      <c r="AD13" s="439">
        <v>99884146</v>
      </c>
      <c r="AE13" s="440">
        <v>9586.9</v>
      </c>
      <c r="AF13" s="439"/>
      <c r="AG13" s="440"/>
      <c r="AH13" s="435"/>
      <c r="AI13" s="463"/>
      <c r="AJ13" s="433"/>
      <c r="AK13" s="490"/>
      <c r="AL13" s="433"/>
      <c r="AM13" s="490"/>
      <c r="AN13" s="464"/>
      <c r="AO13" s="465">
        <f>AE13</f>
        <v>9586.9</v>
      </c>
      <c r="AP13" s="666"/>
      <c r="AQ13" s="439"/>
      <c r="AR13" s="440"/>
      <c r="AS13" s="464"/>
      <c r="AT13" s="465"/>
    </row>
    <row r="14" spans="1:46" ht="15.6" hidden="1">
      <c r="A14" s="575"/>
      <c r="B14" s="37"/>
      <c r="C14" s="37"/>
      <c r="D14" s="37"/>
      <c r="E14" s="37"/>
      <c r="F14" s="37"/>
      <c r="G14" s="13"/>
      <c r="H14" s="587"/>
      <c r="I14" s="7"/>
      <c r="J14" s="7"/>
      <c r="K14" s="57"/>
      <c r="L14" s="7"/>
      <c r="M14" s="7"/>
      <c r="N14" s="98"/>
      <c r="O14" s="98"/>
      <c r="P14" s="103"/>
      <c r="Q14" s="462"/>
      <c r="R14" s="458"/>
      <c r="U14" s="435"/>
      <c r="V14" s="463"/>
      <c r="Y14" s="439"/>
      <c r="Z14" s="440"/>
      <c r="AA14" s="309"/>
      <c r="AB14" s="465"/>
      <c r="AD14" s="439"/>
      <c r="AE14" s="440"/>
      <c r="AF14" s="439"/>
      <c r="AG14" s="440"/>
      <c r="AH14" s="435"/>
      <c r="AI14" s="463"/>
      <c r="AN14" s="464"/>
      <c r="AO14" s="465"/>
      <c r="AQ14" s="439"/>
      <c r="AR14" s="440"/>
      <c r="AS14" s="464"/>
      <c r="AT14" s="465"/>
    </row>
    <row r="15" spans="1:46" s="163" customFormat="1" ht="3.75" hidden="1" customHeight="1">
      <c r="A15" s="574"/>
      <c r="B15" s="13"/>
      <c r="C15" s="13"/>
      <c r="D15" s="13"/>
      <c r="E15" s="13"/>
      <c r="F15" s="13"/>
      <c r="G15" s="13"/>
      <c r="H15" s="583"/>
      <c r="I15" s="13"/>
      <c r="J15" s="13"/>
      <c r="K15" s="515"/>
      <c r="L15" s="13"/>
      <c r="M15" s="13"/>
      <c r="N15" s="13"/>
      <c r="O15" s="13"/>
      <c r="P15" s="519"/>
      <c r="Q15" s="516"/>
      <c r="R15" s="517"/>
      <c r="S15" s="516"/>
      <c r="T15" s="517"/>
      <c r="U15" s="516"/>
      <c r="V15" s="517"/>
      <c r="W15" s="516"/>
      <c r="X15" s="517"/>
      <c r="Y15" s="516"/>
      <c r="Z15" s="518"/>
      <c r="AA15" s="520"/>
      <c r="AB15" s="520"/>
      <c r="AD15" s="516"/>
      <c r="AE15" s="518"/>
      <c r="AF15" s="516"/>
      <c r="AG15" s="518"/>
      <c r="AH15" s="516"/>
      <c r="AI15" s="517"/>
      <c r="AJ15" s="516"/>
      <c r="AK15" s="517"/>
      <c r="AL15" s="516"/>
      <c r="AM15" s="517"/>
      <c r="AN15" s="520"/>
      <c r="AO15" s="521"/>
      <c r="AQ15" s="516"/>
      <c r="AR15" s="518"/>
      <c r="AS15" s="520"/>
      <c r="AT15" s="521"/>
    </row>
    <row r="16" spans="1:46" ht="15.6" hidden="1">
      <c r="A16" s="576">
        <v>5</v>
      </c>
      <c r="B16" s="7">
        <v>41</v>
      </c>
      <c r="C16" s="7" t="s">
        <v>648</v>
      </c>
      <c r="D16" s="7"/>
      <c r="E16" s="7"/>
      <c r="F16" s="7"/>
      <c r="G16" s="13"/>
      <c r="H16" s="584"/>
      <c r="I16" s="7"/>
      <c r="J16" s="7"/>
      <c r="K16" s="57"/>
      <c r="L16" s="7"/>
      <c r="M16" s="7"/>
      <c r="N16" s="98"/>
      <c r="O16" s="98"/>
      <c r="P16" s="103"/>
      <c r="Q16" s="462"/>
      <c r="R16" s="458"/>
      <c r="U16" s="435"/>
      <c r="V16" s="463"/>
      <c r="Y16" s="439"/>
      <c r="Z16" s="440"/>
      <c r="AA16" s="464"/>
      <c r="AB16" s="465">
        <f t="shared" si="0"/>
        <v>0</v>
      </c>
      <c r="AD16" s="439"/>
      <c r="AE16" s="440"/>
      <c r="AF16" s="439"/>
      <c r="AG16" s="440"/>
      <c r="AH16" s="435"/>
      <c r="AI16" s="463"/>
      <c r="AN16" s="464"/>
      <c r="AO16" s="465"/>
      <c r="AQ16" s="439"/>
      <c r="AR16" s="440"/>
      <c r="AS16" s="464"/>
      <c r="AT16" s="465"/>
    </row>
    <row r="17" spans="1:358" s="107" customFormat="1" ht="15.6" hidden="1">
      <c r="A17" s="575"/>
      <c r="B17" s="37"/>
      <c r="C17" s="37"/>
      <c r="D17" s="37"/>
      <c r="E17" s="9"/>
      <c r="F17" s="9"/>
      <c r="G17" s="13"/>
      <c r="H17" s="587"/>
      <c r="I17" s="37"/>
      <c r="J17" s="37"/>
      <c r="K17" s="106"/>
      <c r="L17" s="37"/>
      <c r="M17" s="37"/>
      <c r="N17" s="37"/>
      <c r="O17" s="37"/>
      <c r="P17" s="310"/>
      <c r="Q17" s="233"/>
      <c r="R17" s="325"/>
      <c r="S17" s="187"/>
      <c r="T17" s="348"/>
      <c r="U17" s="269"/>
      <c r="V17" s="351"/>
      <c r="W17" s="282"/>
      <c r="X17" s="315"/>
      <c r="Y17" s="439"/>
      <c r="Z17" s="440"/>
      <c r="AA17" s="464"/>
      <c r="AB17" s="465"/>
      <c r="AC17" s="163"/>
      <c r="AD17" s="219"/>
      <c r="AE17" s="225"/>
      <c r="AF17" s="439"/>
      <c r="AG17" s="440"/>
      <c r="AH17" s="435"/>
      <c r="AI17" s="463"/>
      <c r="AJ17" s="187"/>
      <c r="AK17" s="348"/>
      <c r="AL17" s="187"/>
      <c r="AM17" s="348"/>
      <c r="AN17" s="464"/>
      <c r="AO17" s="465"/>
      <c r="AP17" s="163"/>
      <c r="AQ17" s="439"/>
      <c r="AR17" s="440"/>
      <c r="AS17" s="464"/>
      <c r="AT17" s="465"/>
    </row>
    <row r="18" spans="1:358" s="163" customFormat="1" ht="3.75" hidden="1" customHeight="1">
      <c r="A18" s="574"/>
      <c r="B18" s="13"/>
      <c r="C18" s="13"/>
      <c r="D18" s="13"/>
      <c r="E18" s="13"/>
      <c r="F18" s="13"/>
      <c r="G18" s="13"/>
      <c r="H18" s="583"/>
      <c r="I18" s="13"/>
      <c r="J18" s="13"/>
      <c r="K18" s="515"/>
      <c r="L18" s="13"/>
      <c r="M18" s="13"/>
      <c r="N18" s="13"/>
      <c r="O18" s="13"/>
      <c r="P18" s="519"/>
      <c r="Q18" s="516"/>
      <c r="R18" s="517"/>
      <c r="S18" s="516"/>
      <c r="T18" s="517"/>
      <c r="U18" s="516"/>
      <c r="V18" s="517"/>
      <c r="W18" s="516"/>
      <c r="X18" s="517"/>
      <c r="Y18" s="516"/>
      <c r="Z18" s="518"/>
      <c r="AA18" s="520"/>
      <c r="AB18" s="520"/>
      <c r="AD18" s="516"/>
      <c r="AE18" s="518"/>
      <c r="AF18" s="516"/>
      <c r="AG18" s="518"/>
      <c r="AH18" s="516"/>
      <c r="AI18" s="517"/>
      <c r="AJ18" s="516"/>
      <c r="AK18" s="517"/>
      <c r="AL18" s="516"/>
      <c r="AM18" s="517"/>
      <c r="AN18" s="520"/>
      <c r="AO18" s="521"/>
      <c r="AQ18" s="516"/>
      <c r="AR18" s="518"/>
      <c r="AS18" s="520"/>
      <c r="AT18" s="521"/>
    </row>
    <row r="19" spans="1:358" ht="15.6" hidden="1">
      <c r="A19" s="576">
        <v>6</v>
      </c>
      <c r="B19" s="7">
        <v>42</v>
      </c>
      <c r="C19" s="7" t="s">
        <v>647</v>
      </c>
      <c r="D19" s="7"/>
      <c r="E19" s="7"/>
      <c r="F19" s="7"/>
      <c r="G19" s="13"/>
      <c r="H19" s="588"/>
      <c r="I19" s="31"/>
      <c r="J19" s="7"/>
      <c r="K19" s="57"/>
      <c r="L19" s="7"/>
      <c r="M19" s="31"/>
      <c r="N19" s="31"/>
      <c r="O19" s="31"/>
      <c r="P19" s="169"/>
      <c r="Q19" s="437"/>
      <c r="R19" s="458"/>
      <c r="U19" s="435"/>
      <c r="V19" s="463"/>
      <c r="Y19" s="439"/>
      <c r="Z19" s="440"/>
      <c r="AA19" s="464"/>
      <c r="AB19" s="465">
        <f t="shared" si="0"/>
        <v>0</v>
      </c>
      <c r="AD19" s="439"/>
      <c r="AE19" s="440"/>
      <c r="AF19" s="439"/>
      <c r="AG19" s="440"/>
      <c r="AH19" s="435"/>
      <c r="AI19" s="463"/>
      <c r="AN19" s="464"/>
      <c r="AO19" s="465"/>
      <c r="AQ19" s="439"/>
      <c r="AR19" s="440"/>
      <c r="AS19" s="464"/>
      <c r="AT19" s="465"/>
    </row>
    <row r="20" spans="1:358" ht="15.6" hidden="1">
      <c r="A20" s="575"/>
      <c r="B20" s="37"/>
      <c r="C20" s="37"/>
      <c r="D20" s="37"/>
      <c r="E20" s="37"/>
      <c r="F20" s="37"/>
      <c r="G20" s="13"/>
      <c r="H20" s="589"/>
      <c r="I20" s="50"/>
      <c r="J20" s="37"/>
      <c r="K20" s="58"/>
      <c r="L20" s="9"/>
      <c r="M20" s="32"/>
      <c r="N20" s="32"/>
      <c r="O20" s="32"/>
      <c r="P20" s="168"/>
      <c r="Q20" s="437"/>
      <c r="R20" s="458"/>
      <c r="U20" s="435"/>
      <c r="V20" s="463"/>
      <c r="Y20" s="439"/>
      <c r="Z20" s="440"/>
      <c r="AA20" s="464"/>
      <c r="AB20" s="465"/>
      <c r="AD20" s="439"/>
      <c r="AE20" s="440"/>
      <c r="AF20" s="439"/>
      <c r="AG20" s="440"/>
      <c r="AH20" s="435"/>
      <c r="AI20" s="463"/>
      <c r="AN20" s="464"/>
      <c r="AO20" s="465"/>
      <c r="AQ20" s="439"/>
      <c r="AR20" s="440"/>
      <c r="AS20" s="464"/>
      <c r="AT20" s="465"/>
    </row>
    <row r="21" spans="1:358" s="163" customFormat="1" ht="3.75" hidden="1" customHeight="1">
      <c r="A21" s="595"/>
      <c r="B21" s="13"/>
      <c r="C21" s="13"/>
      <c r="D21" s="13"/>
      <c r="E21" s="13"/>
      <c r="F21" s="13"/>
      <c r="G21" s="13"/>
      <c r="H21" s="583"/>
      <c r="I21" s="13"/>
      <c r="J21" s="13"/>
      <c r="K21" s="515"/>
      <c r="L21" s="13"/>
      <c r="M21" s="13"/>
      <c r="N21" s="13"/>
      <c r="O21" s="13"/>
      <c r="P21" s="519"/>
      <c r="Q21" s="516"/>
      <c r="R21" s="517"/>
      <c r="S21" s="516"/>
      <c r="T21" s="517"/>
      <c r="U21" s="516"/>
      <c r="V21" s="517"/>
      <c r="W21" s="516"/>
      <c r="X21" s="517"/>
      <c r="Y21" s="516"/>
      <c r="Z21" s="518"/>
      <c r="AA21" s="520"/>
      <c r="AB21" s="520"/>
      <c r="AD21" s="516"/>
      <c r="AE21" s="518"/>
      <c r="AF21" s="516"/>
      <c r="AG21" s="518"/>
      <c r="AH21" s="516"/>
      <c r="AI21" s="517"/>
      <c r="AJ21" s="516"/>
      <c r="AK21" s="517"/>
      <c r="AL21" s="516"/>
      <c r="AM21" s="517"/>
      <c r="AN21" s="520"/>
      <c r="AO21" s="521"/>
      <c r="AQ21" s="516"/>
      <c r="AR21" s="518"/>
      <c r="AS21" s="520"/>
      <c r="AT21" s="521"/>
    </row>
    <row r="22" spans="1:358" ht="15.6">
      <c r="A22" s="576">
        <v>7</v>
      </c>
      <c r="B22" s="7">
        <v>41</v>
      </c>
      <c r="C22" s="7" t="s">
        <v>688</v>
      </c>
      <c r="D22" s="7"/>
      <c r="E22" s="7"/>
      <c r="F22" s="7"/>
      <c r="G22" s="13"/>
      <c r="H22" s="588"/>
      <c r="I22" s="7"/>
      <c r="J22" s="7"/>
      <c r="K22" s="57"/>
      <c r="L22" s="7"/>
      <c r="M22" s="7"/>
      <c r="N22" s="7"/>
      <c r="O22" s="7"/>
      <c r="P22" s="103"/>
      <c r="Q22" s="437"/>
      <c r="R22" s="458"/>
      <c r="W22" s="454"/>
      <c r="X22" s="536"/>
      <c r="Z22" s="225"/>
      <c r="AA22" s="464"/>
      <c r="AB22" s="465">
        <f t="shared" si="0"/>
        <v>0</v>
      </c>
      <c r="AD22" s="439"/>
      <c r="AE22" s="440"/>
      <c r="AG22" s="225"/>
      <c r="AJ22" s="433"/>
      <c r="AK22" s="490"/>
      <c r="AN22" s="464"/>
      <c r="AO22" s="465"/>
      <c r="AR22" s="225"/>
      <c r="AS22" s="309"/>
      <c r="AT22" s="230"/>
    </row>
    <row r="23" spans="1:358" ht="15.6">
      <c r="A23" s="575"/>
      <c r="B23" s="37"/>
      <c r="C23" s="9"/>
      <c r="D23" s="9"/>
      <c r="E23" s="9"/>
      <c r="F23" s="9"/>
      <c r="G23" s="13"/>
      <c r="H23" s="585"/>
      <c r="I23" s="9"/>
      <c r="J23" s="9"/>
      <c r="K23" s="58"/>
      <c r="L23" s="9"/>
      <c r="M23" s="9"/>
      <c r="N23" s="9"/>
      <c r="O23" s="9"/>
      <c r="P23" s="141"/>
      <c r="Q23" s="437"/>
      <c r="R23" s="458"/>
      <c r="W23" s="454"/>
      <c r="X23" s="536"/>
      <c r="Z23" s="225"/>
      <c r="AA23" s="464"/>
      <c r="AB23" s="465"/>
      <c r="AD23" s="439"/>
      <c r="AE23" s="440"/>
      <c r="AF23" s="439"/>
      <c r="AG23" s="440"/>
      <c r="AJ23" s="433"/>
      <c r="AK23" s="490"/>
      <c r="AN23" s="464"/>
      <c r="AO23" s="465"/>
      <c r="AQ23" s="439"/>
      <c r="AR23" s="440"/>
      <c r="AS23" s="464"/>
      <c r="AT23" s="465"/>
    </row>
    <row r="24" spans="1:358" s="163" customFormat="1" ht="3.75" customHeight="1">
      <c r="A24" s="574"/>
      <c r="B24" s="13"/>
      <c r="C24" s="13"/>
      <c r="D24" s="13"/>
      <c r="E24" s="13"/>
      <c r="F24" s="13"/>
      <c r="G24" s="13"/>
      <c r="H24" s="583"/>
      <c r="I24" s="13"/>
      <c r="J24" s="13"/>
      <c r="K24" s="515"/>
      <c r="L24" s="13"/>
      <c r="M24" s="13"/>
      <c r="N24" s="13"/>
      <c r="O24" s="13"/>
      <c r="P24" s="519"/>
      <c r="Q24" s="516"/>
      <c r="R24" s="517"/>
      <c r="S24" s="516"/>
      <c r="T24" s="517"/>
      <c r="U24" s="516"/>
      <c r="V24" s="517"/>
      <c r="W24" s="516"/>
      <c r="X24" s="517"/>
      <c r="Y24" s="516"/>
      <c r="Z24" s="518"/>
      <c r="AA24" s="520"/>
      <c r="AB24" s="520"/>
      <c r="AD24" s="516"/>
      <c r="AE24" s="518"/>
      <c r="AF24" s="516"/>
      <c r="AG24" s="518"/>
      <c r="AH24" s="516"/>
      <c r="AI24" s="517"/>
      <c r="AJ24" s="516"/>
      <c r="AK24" s="517"/>
      <c r="AL24" s="516"/>
      <c r="AM24" s="517"/>
      <c r="AN24" s="520"/>
      <c r="AO24" s="521"/>
      <c r="AQ24" s="516"/>
      <c r="AR24" s="518"/>
      <c r="AS24" s="520"/>
      <c r="AT24" s="521"/>
    </row>
    <row r="25" spans="1:358" s="818" customFormat="1" ht="15.6">
      <c r="A25" s="605">
        <v>8</v>
      </c>
      <c r="B25" s="409">
        <v>42</v>
      </c>
      <c r="C25" s="409" t="s">
        <v>649</v>
      </c>
      <c r="D25" s="409"/>
      <c r="E25" s="651" t="s">
        <v>650</v>
      </c>
      <c r="F25" s="651"/>
      <c r="G25" s="632"/>
      <c r="H25" s="663" t="s">
        <v>941</v>
      </c>
      <c r="I25" s="914"/>
      <c r="J25" s="528"/>
      <c r="K25" s="816"/>
      <c r="L25" s="528"/>
      <c r="M25" s="915"/>
      <c r="N25" s="915"/>
      <c r="O25" s="915"/>
      <c r="P25" s="916"/>
      <c r="Q25" s="437">
        <v>1124683</v>
      </c>
      <c r="R25" s="458">
        <v>15564.71</v>
      </c>
      <c r="S25" s="842">
        <v>1124413</v>
      </c>
      <c r="T25" s="844">
        <v>3052.8</v>
      </c>
      <c r="U25" s="435"/>
      <c r="V25" s="463"/>
      <c r="W25" s="454"/>
      <c r="X25" s="536"/>
      <c r="Y25" s="439">
        <v>1124683</v>
      </c>
      <c r="Z25" s="440">
        <v>9582.34</v>
      </c>
      <c r="AA25" s="464"/>
      <c r="AB25" s="465">
        <f t="shared" si="0"/>
        <v>28199.85</v>
      </c>
      <c r="AC25" s="666"/>
      <c r="AD25" s="439"/>
      <c r="AE25" s="440"/>
      <c r="AF25" s="439"/>
      <c r="AG25" s="440"/>
      <c r="AH25" s="435"/>
      <c r="AI25" s="463"/>
      <c r="AJ25" s="433"/>
      <c r="AK25" s="490"/>
      <c r="AL25" s="433"/>
      <c r="AM25" s="490"/>
      <c r="AN25" s="464"/>
      <c r="AO25" s="465"/>
      <c r="AP25" s="666"/>
      <c r="AQ25" s="439"/>
      <c r="AR25" s="440"/>
      <c r="AS25" s="464"/>
      <c r="AT25" s="465"/>
    </row>
    <row r="26" spans="1:358" s="163" customFormat="1" ht="15.6">
      <c r="A26" s="575"/>
      <c r="B26" s="37"/>
      <c r="C26" s="37"/>
      <c r="D26" s="37"/>
      <c r="E26" s="37"/>
      <c r="F26" s="37"/>
      <c r="G26" s="13"/>
      <c r="H26" s="585"/>
      <c r="I26" s="308"/>
      <c r="J26" s="145"/>
      <c r="K26" s="162"/>
      <c r="L26" s="98"/>
      <c r="M26" s="98"/>
      <c r="N26" s="98"/>
      <c r="O26" s="98"/>
      <c r="P26" s="312"/>
      <c r="Q26" s="437"/>
      <c r="R26" s="458"/>
      <c r="S26" s="187"/>
      <c r="T26" s="348"/>
      <c r="U26" s="435"/>
      <c r="V26" s="463"/>
      <c r="W26" s="282"/>
      <c r="X26" s="315"/>
      <c r="Y26" s="219"/>
      <c r="Z26" s="225"/>
      <c r="AA26" s="464"/>
      <c r="AB26" s="465"/>
      <c r="AD26" s="439"/>
      <c r="AE26" s="440"/>
      <c r="AF26" s="219"/>
      <c r="AG26" s="225"/>
      <c r="AH26" s="435"/>
      <c r="AI26" s="463"/>
      <c r="AJ26" s="433"/>
      <c r="AK26" s="490"/>
      <c r="AL26" s="187"/>
      <c r="AM26" s="348"/>
      <c r="AN26" s="309"/>
      <c r="AO26" s="465"/>
      <c r="AQ26" s="219"/>
      <c r="AR26" s="225"/>
      <c r="AS26" s="309"/>
      <c r="AT26" s="230"/>
    </row>
    <row r="27" spans="1:358" s="163" customFormat="1" ht="3.75" customHeight="1">
      <c r="A27" s="574"/>
      <c r="B27" s="13"/>
      <c r="C27" s="13"/>
      <c r="D27" s="13"/>
      <c r="E27" s="13"/>
      <c r="F27" s="13"/>
      <c r="G27" s="13"/>
      <c r="H27" s="583"/>
      <c r="I27" s="13"/>
      <c r="J27" s="13"/>
      <c r="K27" s="515"/>
      <c r="L27" s="13"/>
      <c r="M27" s="13"/>
      <c r="N27" s="13"/>
      <c r="O27" s="13"/>
      <c r="P27" s="519"/>
      <c r="Q27" s="516"/>
      <c r="R27" s="517"/>
      <c r="S27" s="516"/>
      <c r="T27" s="517"/>
      <c r="U27" s="516"/>
      <c r="V27" s="517"/>
      <c r="W27" s="516"/>
      <c r="X27" s="517"/>
      <c r="Y27" s="516"/>
      <c r="Z27" s="518"/>
      <c r="AA27" s="520"/>
      <c r="AB27" s="520"/>
      <c r="AD27" s="516"/>
      <c r="AE27" s="518"/>
      <c r="AF27" s="516"/>
      <c r="AG27" s="518"/>
      <c r="AH27" s="516"/>
      <c r="AI27" s="517"/>
      <c r="AJ27" s="516"/>
      <c r="AK27" s="517"/>
      <c r="AL27" s="516"/>
      <c r="AM27" s="517"/>
      <c r="AN27" s="520"/>
      <c r="AO27" s="521"/>
      <c r="AQ27" s="516"/>
      <c r="AR27" s="518"/>
      <c r="AS27" s="520"/>
      <c r="AT27" s="521"/>
    </row>
    <row r="28" spans="1:358" s="158" customFormat="1" ht="15.6">
      <c r="A28" s="576">
        <v>9</v>
      </c>
      <c r="B28" s="7">
        <v>42</v>
      </c>
      <c r="C28" s="7" t="s">
        <v>648</v>
      </c>
      <c r="D28" s="7"/>
      <c r="E28" s="7" t="s">
        <v>650</v>
      </c>
      <c r="F28" s="7"/>
      <c r="G28" s="632"/>
      <c r="H28" s="663" t="s">
        <v>942</v>
      </c>
      <c r="I28" s="664"/>
      <c r="J28" s="409"/>
      <c r="K28" s="556"/>
      <c r="L28" s="409"/>
      <c r="M28" s="664"/>
      <c r="N28" s="664"/>
      <c r="O28" s="664"/>
      <c r="P28" s="665"/>
      <c r="Q28" s="840">
        <v>1124698</v>
      </c>
      <c r="R28" s="845">
        <v>15564.71</v>
      </c>
      <c r="S28" s="842">
        <v>1124447</v>
      </c>
      <c r="T28" s="844">
        <v>607</v>
      </c>
      <c r="U28" s="435"/>
      <c r="V28" s="463"/>
      <c r="W28" s="454"/>
      <c r="X28" s="536"/>
      <c r="Y28" s="439">
        <v>1124698</v>
      </c>
      <c r="Z28" s="440">
        <v>9582.34</v>
      </c>
      <c r="AA28" s="464"/>
      <c r="AB28" s="465">
        <f t="shared" si="0"/>
        <v>25754.05</v>
      </c>
      <c r="AC28" s="666"/>
      <c r="AD28" s="439"/>
      <c r="AE28" s="440"/>
      <c r="AF28" s="439"/>
      <c r="AG28" s="440"/>
      <c r="AH28" s="435"/>
      <c r="AI28" s="463"/>
      <c r="AJ28" s="433"/>
      <c r="AK28" s="490"/>
      <c r="AL28" s="433"/>
      <c r="AM28" s="490"/>
      <c r="AN28" s="464"/>
      <c r="AO28" s="465"/>
      <c r="AP28" s="666"/>
      <c r="AQ28" s="439"/>
      <c r="AR28" s="440"/>
      <c r="AS28" s="464"/>
      <c r="AT28" s="465"/>
      <c r="AU28" s="666"/>
      <c r="AV28" s="666"/>
      <c r="AW28" s="666"/>
      <c r="AX28" s="666"/>
      <c r="AY28" s="666"/>
      <c r="AZ28" s="666"/>
      <c r="BA28" s="666"/>
      <c r="BB28" s="666"/>
      <c r="BC28" s="666"/>
      <c r="BD28" s="666"/>
      <c r="BE28" s="666"/>
      <c r="BF28" s="666"/>
      <c r="BG28" s="666"/>
      <c r="BH28" s="666"/>
      <c r="BI28" s="666"/>
      <c r="BJ28" s="666"/>
      <c r="BK28" s="666"/>
      <c r="BL28" s="666"/>
      <c r="BM28" s="666"/>
      <c r="BN28" s="666"/>
      <c r="BO28" s="666"/>
      <c r="BP28" s="666"/>
      <c r="BQ28" s="666"/>
      <c r="BR28" s="666"/>
      <c r="BS28" s="666"/>
      <c r="BT28" s="666"/>
      <c r="BU28" s="666"/>
      <c r="BV28" s="666"/>
      <c r="BW28" s="666"/>
      <c r="BX28" s="666"/>
      <c r="BY28" s="666"/>
      <c r="BZ28" s="666"/>
      <c r="CA28" s="666"/>
      <c r="CB28" s="666"/>
      <c r="CC28" s="666"/>
      <c r="CD28" s="666"/>
      <c r="CE28" s="666"/>
      <c r="CF28" s="666"/>
      <c r="CG28" s="666"/>
      <c r="CH28" s="666"/>
      <c r="CI28" s="666"/>
      <c r="CJ28" s="666"/>
      <c r="CK28" s="666"/>
      <c r="CL28" s="666"/>
      <c r="CM28" s="666"/>
      <c r="CN28" s="666"/>
      <c r="CO28" s="666"/>
      <c r="CP28" s="666"/>
      <c r="CQ28" s="666"/>
      <c r="CR28" s="666"/>
      <c r="CS28" s="666"/>
      <c r="CT28" s="666"/>
      <c r="CU28" s="666"/>
      <c r="CV28" s="666"/>
      <c r="CW28" s="666"/>
      <c r="CX28" s="666"/>
      <c r="CY28" s="666"/>
      <c r="CZ28" s="666"/>
      <c r="DA28" s="666"/>
      <c r="DB28" s="666"/>
      <c r="DC28" s="666"/>
      <c r="DD28" s="666"/>
      <c r="DE28" s="666"/>
      <c r="DF28" s="666"/>
      <c r="DG28" s="666"/>
      <c r="DH28" s="666"/>
      <c r="DI28" s="666"/>
      <c r="DJ28" s="666"/>
      <c r="DK28" s="666"/>
      <c r="DL28" s="666"/>
      <c r="DM28" s="666"/>
      <c r="DN28" s="666"/>
      <c r="DO28" s="666"/>
      <c r="DP28" s="666"/>
      <c r="DQ28" s="666"/>
      <c r="DR28" s="666"/>
      <c r="DS28" s="666"/>
      <c r="DT28" s="666"/>
      <c r="DU28" s="666"/>
      <c r="DV28" s="666"/>
      <c r="DW28" s="666"/>
      <c r="DX28" s="666"/>
      <c r="DY28" s="666"/>
      <c r="DZ28" s="666"/>
      <c r="EA28" s="666"/>
      <c r="EB28" s="666"/>
      <c r="EC28" s="666"/>
      <c r="ED28" s="666"/>
      <c r="EE28" s="666"/>
      <c r="EF28" s="666"/>
      <c r="EG28" s="666"/>
      <c r="EH28" s="666"/>
      <c r="EI28" s="666"/>
      <c r="EJ28" s="666"/>
      <c r="EK28" s="666"/>
      <c r="EL28" s="666"/>
      <c r="EM28" s="666"/>
      <c r="EN28" s="666"/>
      <c r="EO28" s="666"/>
      <c r="EP28" s="666"/>
      <c r="EQ28" s="666"/>
      <c r="ER28" s="666"/>
      <c r="ES28" s="666"/>
      <c r="ET28" s="666"/>
      <c r="EU28" s="666"/>
      <c r="EV28" s="666"/>
      <c r="EW28" s="666"/>
      <c r="EX28" s="666"/>
      <c r="EY28" s="666"/>
      <c r="EZ28" s="666"/>
      <c r="FA28" s="666"/>
      <c r="FB28" s="666"/>
      <c r="FC28" s="666"/>
      <c r="FD28" s="666"/>
      <c r="FE28" s="666"/>
      <c r="FF28" s="666"/>
      <c r="FG28" s="666"/>
      <c r="FH28" s="666"/>
      <c r="FI28" s="666"/>
      <c r="FJ28" s="666"/>
      <c r="FK28" s="666"/>
      <c r="FL28" s="666"/>
      <c r="FM28" s="666"/>
      <c r="FN28" s="666"/>
      <c r="FO28" s="666"/>
      <c r="FP28" s="666"/>
      <c r="FQ28" s="666"/>
      <c r="FR28" s="666"/>
      <c r="FS28" s="666"/>
      <c r="FT28" s="666"/>
      <c r="FU28" s="666"/>
      <c r="FV28" s="666"/>
      <c r="FW28" s="666"/>
      <c r="FX28" s="666"/>
      <c r="FY28" s="666"/>
      <c r="FZ28" s="666"/>
      <c r="GA28" s="666"/>
      <c r="GB28" s="666"/>
      <c r="GC28" s="666"/>
      <c r="GD28" s="666"/>
      <c r="GE28" s="666"/>
      <c r="GF28" s="666"/>
      <c r="GG28" s="666"/>
      <c r="GH28" s="666"/>
      <c r="GI28" s="666"/>
      <c r="GJ28" s="666"/>
      <c r="GK28" s="666"/>
      <c r="GL28" s="666"/>
      <c r="GM28" s="666"/>
      <c r="GN28" s="666"/>
      <c r="GO28" s="666"/>
      <c r="GP28" s="666"/>
      <c r="GQ28" s="666"/>
      <c r="GR28" s="666"/>
      <c r="GS28" s="666"/>
      <c r="GT28" s="666"/>
      <c r="GU28" s="666"/>
      <c r="GV28" s="666"/>
      <c r="GW28" s="666"/>
      <c r="GX28" s="666"/>
      <c r="GY28" s="666"/>
      <c r="GZ28" s="666"/>
      <c r="HA28" s="666"/>
      <c r="HB28" s="666"/>
      <c r="HC28" s="666"/>
      <c r="HD28" s="666"/>
      <c r="HE28" s="666"/>
      <c r="HF28" s="666"/>
      <c r="HG28" s="666"/>
      <c r="HH28" s="666"/>
      <c r="HI28" s="666"/>
      <c r="HJ28" s="666"/>
      <c r="HK28" s="666"/>
      <c r="HL28" s="666"/>
      <c r="HM28" s="666"/>
      <c r="HN28" s="666"/>
      <c r="HO28" s="666"/>
      <c r="HP28" s="666"/>
      <c r="HQ28" s="666"/>
      <c r="HR28" s="666"/>
      <c r="HS28" s="666"/>
      <c r="HT28" s="666"/>
      <c r="HU28" s="666"/>
      <c r="HV28" s="666"/>
      <c r="HW28" s="666"/>
      <c r="HX28" s="666"/>
      <c r="HY28" s="666"/>
      <c r="HZ28" s="666"/>
      <c r="IA28" s="666"/>
      <c r="IB28" s="666"/>
      <c r="IC28" s="666"/>
      <c r="ID28" s="666"/>
      <c r="IE28" s="666"/>
      <c r="IF28" s="666"/>
      <c r="IG28" s="666"/>
      <c r="IH28" s="666"/>
      <c r="II28" s="666"/>
      <c r="IJ28" s="666"/>
      <c r="IK28" s="666"/>
      <c r="IL28" s="666"/>
      <c r="IM28" s="666"/>
      <c r="IN28" s="666"/>
      <c r="IO28" s="666"/>
      <c r="IP28" s="666"/>
      <c r="IQ28" s="666"/>
      <c r="IR28" s="666"/>
      <c r="IS28" s="666"/>
      <c r="IT28" s="666"/>
      <c r="IU28" s="666"/>
      <c r="IV28" s="666"/>
      <c r="IW28" s="666"/>
      <c r="IX28" s="666"/>
      <c r="IY28" s="666"/>
      <c r="IZ28" s="666"/>
      <c r="JA28" s="666"/>
      <c r="JB28" s="666"/>
      <c r="JC28" s="666"/>
      <c r="JD28" s="666"/>
      <c r="JE28" s="666"/>
      <c r="JF28" s="666"/>
      <c r="JG28" s="666"/>
      <c r="JH28" s="666"/>
      <c r="JI28" s="666"/>
      <c r="JJ28" s="666"/>
      <c r="JK28" s="666"/>
      <c r="JL28" s="666"/>
      <c r="JM28" s="666"/>
      <c r="JN28" s="666"/>
      <c r="JO28" s="666"/>
      <c r="JP28" s="666"/>
      <c r="JQ28" s="666"/>
      <c r="JR28" s="666"/>
      <c r="JS28" s="666"/>
      <c r="JT28" s="666"/>
      <c r="JU28" s="666"/>
      <c r="JV28" s="666"/>
      <c r="JW28" s="666"/>
      <c r="JX28" s="666"/>
      <c r="JY28" s="666"/>
      <c r="JZ28" s="666"/>
      <c r="KA28" s="666"/>
      <c r="KB28" s="666"/>
      <c r="KC28" s="666"/>
      <c r="KD28" s="666"/>
      <c r="KE28" s="666"/>
      <c r="KF28" s="666"/>
      <c r="KG28" s="666"/>
      <c r="KH28" s="666"/>
      <c r="KI28" s="666"/>
      <c r="KJ28" s="666"/>
      <c r="KK28" s="666"/>
      <c r="KL28" s="666"/>
      <c r="KM28" s="666"/>
      <c r="KN28" s="666"/>
      <c r="KO28" s="666"/>
      <c r="KP28" s="666"/>
      <c r="KQ28" s="666"/>
      <c r="KR28" s="666"/>
      <c r="KS28" s="666"/>
      <c r="KT28" s="666"/>
      <c r="KU28" s="666"/>
      <c r="KV28" s="666"/>
      <c r="KW28" s="666"/>
      <c r="KX28" s="666"/>
      <c r="KY28" s="666"/>
      <c r="KZ28" s="666"/>
      <c r="LA28" s="666"/>
      <c r="LB28" s="666"/>
      <c r="LC28" s="666"/>
      <c r="LD28" s="666"/>
      <c r="LE28" s="666"/>
      <c r="LF28" s="666"/>
      <c r="LG28" s="666"/>
      <c r="LH28" s="666"/>
      <c r="LI28" s="666"/>
      <c r="LJ28" s="666"/>
      <c r="LK28" s="666"/>
      <c r="LL28" s="666"/>
      <c r="LM28" s="666"/>
      <c r="LN28" s="666"/>
      <c r="LO28" s="666"/>
      <c r="LP28" s="666"/>
      <c r="LQ28" s="666"/>
      <c r="LR28" s="666"/>
      <c r="LS28" s="666"/>
      <c r="LT28" s="666"/>
      <c r="LU28" s="666"/>
      <c r="LV28" s="666"/>
      <c r="LW28" s="666"/>
      <c r="LX28" s="666"/>
      <c r="LY28" s="666"/>
      <c r="LZ28" s="666"/>
      <c r="MA28" s="666"/>
      <c r="MB28" s="666"/>
      <c r="MC28" s="666"/>
      <c r="MD28" s="666"/>
      <c r="ME28" s="666"/>
      <c r="MF28" s="666"/>
      <c r="MG28" s="666"/>
      <c r="MH28" s="666"/>
      <c r="MI28" s="666"/>
      <c r="MJ28" s="666"/>
      <c r="MK28" s="666"/>
      <c r="ML28" s="666"/>
      <c r="MM28" s="666"/>
      <c r="MN28" s="666"/>
      <c r="MO28" s="666"/>
      <c r="MP28" s="666"/>
      <c r="MQ28" s="666"/>
      <c r="MR28" s="666"/>
      <c r="MS28" s="666"/>
      <c r="MT28" s="666"/>
    </row>
    <row r="29" spans="1:358" s="158" customFormat="1" ht="15.6">
      <c r="A29" s="575"/>
      <c r="B29" s="37"/>
      <c r="C29" s="37"/>
      <c r="D29" s="37"/>
      <c r="E29" s="37"/>
      <c r="F29" s="37"/>
      <c r="G29" s="632"/>
      <c r="H29" s="667"/>
      <c r="I29" s="527"/>
      <c r="J29" s="528"/>
      <c r="K29" s="668"/>
      <c r="L29" s="410"/>
      <c r="M29" s="669"/>
      <c r="N29" s="669"/>
      <c r="O29" s="669"/>
      <c r="P29" s="670"/>
      <c r="Q29" s="437"/>
      <c r="R29" s="458"/>
      <c r="S29" s="433"/>
      <c r="T29" s="490"/>
      <c r="U29" s="435"/>
      <c r="V29" s="463"/>
      <c r="W29" s="454"/>
      <c r="X29" s="536"/>
      <c r="Y29" s="439"/>
      <c r="Z29" s="440"/>
      <c r="AA29" s="464"/>
      <c r="AB29" s="465"/>
      <c r="AC29" s="666"/>
      <c r="AD29" s="439"/>
      <c r="AE29" s="440"/>
      <c r="AF29" s="439"/>
      <c r="AG29" s="440"/>
      <c r="AH29" s="435"/>
      <c r="AI29" s="463"/>
      <c r="AJ29" s="433"/>
      <c r="AK29" s="490"/>
      <c r="AL29" s="433"/>
      <c r="AM29" s="490"/>
      <c r="AN29" s="464"/>
      <c r="AO29" s="465"/>
      <c r="AP29" s="666"/>
      <c r="AQ29" s="439"/>
      <c r="AR29" s="440"/>
      <c r="AS29" s="464"/>
      <c r="AT29" s="465"/>
      <c r="AU29" s="666"/>
      <c r="AV29" s="666"/>
      <c r="AW29" s="666"/>
      <c r="AX29" s="666"/>
      <c r="AY29" s="666"/>
      <c r="AZ29" s="666"/>
      <c r="BA29" s="666"/>
      <c r="BB29" s="666"/>
      <c r="BC29" s="666"/>
      <c r="BD29" s="666"/>
      <c r="BE29" s="666"/>
      <c r="BF29" s="666"/>
      <c r="BG29" s="666"/>
      <c r="BH29" s="666"/>
      <c r="BI29" s="666"/>
      <c r="BJ29" s="666"/>
      <c r="BK29" s="666"/>
      <c r="BL29" s="666"/>
      <c r="BM29" s="666"/>
      <c r="BN29" s="666"/>
      <c r="BO29" s="666"/>
      <c r="BP29" s="666"/>
      <c r="BQ29" s="666"/>
      <c r="BR29" s="666"/>
      <c r="BS29" s="666"/>
      <c r="BT29" s="666"/>
      <c r="BU29" s="666"/>
      <c r="BV29" s="666"/>
      <c r="BW29" s="666"/>
      <c r="BX29" s="666"/>
      <c r="BY29" s="666"/>
      <c r="BZ29" s="666"/>
      <c r="CA29" s="666"/>
      <c r="CB29" s="666"/>
      <c r="CC29" s="666"/>
      <c r="CD29" s="666"/>
      <c r="CE29" s="666"/>
      <c r="CF29" s="666"/>
      <c r="CG29" s="666"/>
      <c r="CH29" s="666"/>
      <c r="CI29" s="666"/>
      <c r="CJ29" s="666"/>
      <c r="CK29" s="666"/>
      <c r="CL29" s="666"/>
      <c r="CM29" s="666"/>
      <c r="CN29" s="666"/>
      <c r="CO29" s="666"/>
      <c r="CP29" s="666"/>
      <c r="CQ29" s="666"/>
      <c r="CR29" s="666"/>
      <c r="CS29" s="666"/>
      <c r="CT29" s="666"/>
      <c r="CU29" s="666"/>
      <c r="CV29" s="666"/>
      <c r="CW29" s="666"/>
      <c r="CX29" s="666"/>
      <c r="CY29" s="666"/>
      <c r="CZ29" s="666"/>
      <c r="DA29" s="666"/>
      <c r="DB29" s="666"/>
      <c r="DC29" s="666"/>
      <c r="DD29" s="666"/>
      <c r="DE29" s="666"/>
      <c r="DF29" s="666"/>
      <c r="DG29" s="666"/>
      <c r="DH29" s="666"/>
      <c r="DI29" s="666"/>
      <c r="DJ29" s="666"/>
      <c r="DK29" s="666"/>
      <c r="DL29" s="666"/>
      <c r="DM29" s="666"/>
      <c r="DN29" s="666"/>
      <c r="DO29" s="666"/>
      <c r="DP29" s="666"/>
      <c r="DQ29" s="666"/>
      <c r="DR29" s="666"/>
      <c r="DS29" s="666"/>
      <c r="DT29" s="666"/>
      <c r="DU29" s="666"/>
      <c r="DV29" s="666"/>
      <c r="DW29" s="666"/>
      <c r="DX29" s="666"/>
      <c r="DY29" s="666"/>
      <c r="DZ29" s="666"/>
      <c r="EA29" s="666"/>
      <c r="EB29" s="666"/>
      <c r="EC29" s="666"/>
      <c r="ED29" s="666"/>
      <c r="EE29" s="666"/>
      <c r="EF29" s="666"/>
      <c r="EG29" s="666"/>
      <c r="EH29" s="666"/>
      <c r="EI29" s="666"/>
      <c r="EJ29" s="666"/>
      <c r="EK29" s="666"/>
      <c r="EL29" s="666"/>
      <c r="EM29" s="666"/>
      <c r="EN29" s="666"/>
      <c r="EO29" s="666"/>
      <c r="EP29" s="666"/>
      <c r="EQ29" s="666"/>
      <c r="ER29" s="666"/>
      <c r="ES29" s="666"/>
      <c r="ET29" s="666"/>
      <c r="EU29" s="666"/>
      <c r="EV29" s="666"/>
      <c r="EW29" s="666"/>
      <c r="EX29" s="666"/>
      <c r="EY29" s="666"/>
      <c r="EZ29" s="666"/>
      <c r="FA29" s="666"/>
      <c r="FB29" s="666"/>
      <c r="FC29" s="666"/>
      <c r="FD29" s="666"/>
      <c r="FE29" s="666"/>
      <c r="FF29" s="666"/>
      <c r="FG29" s="666"/>
      <c r="FH29" s="666"/>
      <c r="FI29" s="666"/>
      <c r="FJ29" s="666"/>
      <c r="FK29" s="666"/>
      <c r="FL29" s="666"/>
      <c r="FM29" s="666"/>
      <c r="FN29" s="666"/>
      <c r="FO29" s="666"/>
      <c r="FP29" s="666"/>
      <c r="FQ29" s="666"/>
      <c r="FR29" s="666"/>
      <c r="FS29" s="666"/>
      <c r="FT29" s="666"/>
      <c r="FU29" s="666"/>
      <c r="FV29" s="666"/>
      <c r="FW29" s="666"/>
      <c r="FX29" s="666"/>
      <c r="FY29" s="666"/>
      <c r="FZ29" s="666"/>
      <c r="GA29" s="666"/>
      <c r="GB29" s="666"/>
      <c r="GC29" s="666"/>
      <c r="GD29" s="666"/>
      <c r="GE29" s="666"/>
      <c r="GF29" s="666"/>
      <c r="GG29" s="666"/>
      <c r="GH29" s="666"/>
      <c r="GI29" s="666"/>
      <c r="GJ29" s="666"/>
      <c r="GK29" s="666"/>
      <c r="GL29" s="666"/>
      <c r="GM29" s="666"/>
      <c r="GN29" s="666"/>
      <c r="GO29" s="666"/>
      <c r="GP29" s="666"/>
      <c r="GQ29" s="666"/>
      <c r="GR29" s="666"/>
      <c r="GS29" s="666"/>
      <c r="GT29" s="666"/>
      <c r="GU29" s="666"/>
      <c r="GV29" s="666"/>
      <c r="GW29" s="666"/>
      <c r="GX29" s="666"/>
      <c r="GY29" s="666"/>
      <c r="GZ29" s="666"/>
      <c r="HA29" s="666"/>
      <c r="HB29" s="666"/>
      <c r="HC29" s="666"/>
      <c r="HD29" s="666"/>
      <c r="HE29" s="666"/>
      <c r="HF29" s="666"/>
      <c r="HG29" s="666"/>
      <c r="HH29" s="666"/>
      <c r="HI29" s="666"/>
      <c r="HJ29" s="666"/>
      <c r="HK29" s="666"/>
      <c r="HL29" s="666"/>
      <c r="HM29" s="666"/>
      <c r="HN29" s="666"/>
      <c r="HO29" s="666"/>
      <c r="HP29" s="666"/>
      <c r="HQ29" s="666"/>
      <c r="HR29" s="666"/>
      <c r="HS29" s="666"/>
      <c r="HT29" s="666"/>
      <c r="HU29" s="666"/>
      <c r="HV29" s="666"/>
      <c r="HW29" s="666"/>
      <c r="HX29" s="666"/>
      <c r="HY29" s="666"/>
      <c r="HZ29" s="666"/>
      <c r="IA29" s="666"/>
      <c r="IB29" s="666"/>
      <c r="IC29" s="666"/>
      <c r="ID29" s="666"/>
      <c r="IE29" s="666"/>
      <c r="IF29" s="666"/>
      <c r="IG29" s="666"/>
      <c r="IH29" s="666"/>
      <c r="II29" s="666"/>
      <c r="IJ29" s="666"/>
      <c r="IK29" s="666"/>
      <c r="IL29" s="666"/>
      <c r="IM29" s="666"/>
      <c r="IN29" s="666"/>
      <c r="IO29" s="666"/>
      <c r="IP29" s="666"/>
      <c r="IQ29" s="666"/>
      <c r="IR29" s="666"/>
      <c r="IS29" s="666"/>
      <c r="IT29" s="666"/>
      <c r="IU29" s="666"/>
      <c r="IV29" s="666"/>
      <c r="IW29" s="666"/>
      <c r="IX29" s="666"/>
      <c r="IY29" s="666"/>
      <c r="IZ29" s="666"/>
      <c r="JA29" s="666"/>
      <c r="JB29" s="666"/>
      <c r="JC29" s="666"/>
      <c r="JD29" s="666"/>
      <c r="JE29" s="666"/>
      <c r="JF29" s="666"/>
      <c r="JG29" s="666"/>
      <c r="JH29" s="666"/>
      <c r="JI29" s="666"/>
      <c r="JJ29" s="666"/>
      <c r="JK29" s="666"/>
      <c r="JL29" s="666"/>
      <c r="JM29" s="666"/>
      <c r="JN29" s="666"/>
      <c r="JO29" s="666"/>
      <c r="JP29" s="666"/>
      <c r="JQ29" s="666"/>
      <c r="JR29" s="666"/>
      <c r="JS29" s="666"/>
      <c r="JT29" s="666"/>
      <c r="JU29" s="666"/>
      <c r="JV29" s="666"/>
      <c r="JW29" s="666"/>
      <c r="JX29" s="666"/>
      <c r="JY29" s="666"/>
      <c r="JZ29" s="666"/>
      <c r="KA29" s="666"/>
      <c r="KB29" s="666"/>
      <c r="KC29" s="666"/>
      <c r="KD29" s="666"/>
      <c r="KE29" s="666"/>
      <c r="KF29" s="666"/>
      <c r="KG29" s="666"/>
      <c r="KH29" s="666"/>
      <c r="KI29" s="666"/>
      <c r="KJ29" s="666"/>
      <c r="KK29" s="666"/>
      <c r="KL29" s="666"/>
      <c r="KM29" s="666"/>
      <c r="KN29" s="666"/>
      <c r="KO29" s="666"/>
      <c r="KP29" s="666"/>
      <c r="KQ29" s="666"/>
      <c r="KR29" s="666"/>
      <c r="KS29" s="666"/>
      <c r="KT29" s="666"/>
      <c r="KU29" s="666"/>
      <c r="KV29" s="666"/>
      <c r="KW29" s="666"/>
      <c r="KX29" s="666"/>
      <c r="KY29" s="666"/>
      <c r="KZ29" s="666"/>
      <c r="LA29" s="666"/>
      <c r="LB29" s="666"/>
      <c r="LC29" s="666"/>
      <c r="LD29" s="666"/>
      <c r="LE29" s="666"/>
      <c r="LF29" s="666"/>
      <c r="LG29" s="666"/>
      <c r="LH29" s="666"/>
      <c r="LI29" s="666"/>
      <c r="LJ29" s="666"/>
      <c r="LK29" s="666"/>
      <c r="LL29" s="666"/>
      <c r="LM29" s="666"/>
      <c r="LN29" s="666"/>
      <c r="LO29" s="666"/>
      <c r="LP29" s="666"/>
      <c r="LQ29" s="666"/>
      <c r="LR29" s="666"/>
      <c r="LS29" s="666"/>
      <c r="LT29" s="666"/>
      <c r="LU29" s="666"/>
      <c r="LV29" s="666"/>
      <c r="LW29" s="666"/>
      <c r="LX29" s="666"/>
      <c r="LY29" s="666"/>
      <c r="LZ29" s="666"/>
      <c r="MA29" s="666"/>
      <c r="MB29" s="666"/>
      <c r="MC29" s="666"/>
      <c r="MD29" s="666"/>
      <c r="ME29" s="666"/>
      <c r="MF29" s="666"/>
      <c r="MG29" s="666"/>
      <c r="MH29" s="666"/>
      <c r="MI29" s="666"/>
      <c r="MJ29" s="666"/>
      <c r="MK29" s="666"/>
      <c r="ML29" s="666"/>
      <c r="MM29" s="666"/>
      <c r="MN29" s="666"/>
      <c r="MO29" s="666"/>
      <c r="MP29" s="666"/>
      <c r="MQ29" s="666"/>
      <c r="MR29" s="666"/>
      <c r="MS29" s="666"/>
      <c r="MT29" s="666"/>
    </row>
    <row r="30" spans="1:358" s="163" customFormat="1" ht="3.75" customHeight="1">
      <c r="A30" s="574"/>
      <c r="B30" s="13"/>
      <c r="C30" s="13"/>
      <c r="D30" s="13"/>
      <c r="E30" s="13"/>
      <c r="F30" s="13"/>
      <c r="G30" s="13"/>
      <c r="H30" s="583"/>
      <c r="I30" s="13"/>
      <c r="J30" s="13"/>
      <c r="K30" s="515"/>
      <c r="L30" s="13"/>
      <c r="M30" s="13"/>
      <c r="N30" s="13"/>
      <c r="O30" s="13"/>
      <c r="P30" s="519"/>
      <c r="Q30" s="516"/>
      <c r="R30" s="517"/>
      <c r="S30" s="516"/>
      <c r="T30" s="517"/>
      <c r="U30" s="516"/>
      <c r="V30" s="517"/>
      <c r="W30" s="516"/>
      <c r="X30" s="517"/>
      <c r="Y30" s="516"/>
      <c r="Z30" s="518"/>
      <c r="AA30" s="520"/>
      <c r="AB30" s="520"/>
      <c r="AD30" s="516"/>
      <c r="AE30" s="518"/>
      <c r="AF30" s="516"/>
      <c r="AG30" s="518"/>
      <c r="AH30" s="516"/>
      <c r="AI30" s="517"/>
      <c r="AJ30" s="516"/>
      <c r="AK30" s="517"/>
      <c r="AL30" s="516"/>
      <c r="AM30" s="517"/>
      <c r="AN30" s="520"/>
      <c r="AO30" s="521"/>
      <c r="AQ30" s="516"/>
      <c r="AR30" s="518"/>
      <c r="AS30" s="520"/>
      <c r="AT30" s="521"/>
    </row>
    <row r="31" spans="1:358" s="666" customFormat="1" ht="15.6">
      <c r="A31" s="605">
        <v>10</v>
      </c>
      <c r="B31" s="651">
        <v>41</v>
      </c>
      <c r="C31" s="651" t="s">
        <v>649</v>
      </c>
      <c r="D31" s="651"/>
      <c r="E31" s="651" t="s">
        <v>650</v>
      </c>
      <c r="F31" s="651"/>
      <c r="G31" s="632"/>
      <c r="H31" s="663" t="s">
        <v>943</v>
      </c>
      <c r="I31" s="651"/>
      <c r="J31" s="651"/>
      <c r="K31" s="868"/>
      <c r="L31" s="651"/>
      <c r="M31" s="651"/>
      <c r="N31" s="651"/>
      <c r="O31" s="651"/>
      <c r="P31" s="869"/>
      <c r="Q31" s="437">
        <v>1124713</v>
      </c>
      <c r="R31" s="458">
        <v>16392.46</v>
      </c>
      <c r="S31" s="842">
        <v>1124480</v>
      </c>
      <c r="T31" s="844">
        <v>3204.42</v>
      </c>
      <c r="U31" s="435"/>
      <c r="V31" s="463"/>
      <c r="W31" s="454"/>
      <c r="X31" s="536"/>
      <c r="Y31" s="846">
        <v>1124713</v>
      </c>
      <c r="Z31" s="861">
        <v>9555.4699999999993</v>
      </c>
      <c r="AA31" s="464"/>
      <c r="AB31" s="465">
        <f t="shared" si="0"/>
        <v>29152.35</v>
      </c>
      <c r="AD31" s="439"/>
      <c r="AE31" s="440"/>
      <c r="AF31" s="439"/>
      <c r="AG31" s="440"/>
      <c r="AH31" s="435"/>
      <c r="AI31" s="463"/>
      <c r="AJ31" s="433"/>
      <c r="AK31" s="490"/>
      <c r="AL31" s="433"/>
      <c r="AM31" s="490"/>
      <c r="AN31" s="464"/>
      <c r="AO31" s="465"/>
      <c r="AQ31" s="439"/>
      <c r="AR31" s="440"/>
      <c r="AS31" s="464"/>
      <c r="AT31" s="465"/>
    </row>
    <row r="32" spans="1:358" s="107" customFormat="1" ht="15.6">
      <c r="A32" s="575"/>
      <c r="B32" s="37"/>
      <c r="C32" s="37"/>
      <c r="D32" s="37"/>
      <c r="E32" s="37"/>
      <c r="F32" s="37"/>
      <c r="G32" s="13"/>
      <c r="H32" s="585"/>
      <c r="I32" s="37"/>
      <c r="J32" s="37"/>
      <c r="K32" s="106"/>
      <c r="L32" s="37"/>
      <c r="M32" s="37"/>
      <c r="N32" s="37"/>
      <c r="O32" s="37"/>
      <c r="P32" s="310"/>
      <c r="Q32" s="233"/>
      <c r="R32" s="325"/>
      <c r="S32" s="187"/>
      <c r="T32" s="348"/>
      <c r="U32" s="269"/>
      <c r="V32" s="351"/>
      <c r="W32" s="282"/>
      <c r="X32" s="315"/>
      <c r="Y32" s="219"/>
      <c r="Z32" s="225"/>
      <c r="AA32" s="309"/>
      <c r="AB32" s="465"/>
      <c r="AC32" s="163"/>
      <c r="AD32" s="219"/>
      <c r="AE32" s="225"/>
      <c r="AF32" s="219"/>
      <c r="AG32" s="225"/>
      <c r="AH32" s="269"/>
      <c r="AI32" s="351"/>
      <c r="AJ32" s="187"/>
      <c r="AK32" s="348"/>
      <c r="AL32" s="187"/>
      <c r="AM32" s="348"/>
      <c r="AN32" s="309"/>
      <c r="AO32" s="230"/>
      <c r="AP32" s="163"/>
      <c r="AQ32" s="219"/>
      <c r="AR32" s="225"/>
      <c r="AS32" s="309"/>
      <c r="AT32" s="230"/>
    </row>
    <row r="33" spans="1:358" s="163" customFormat="1" ht="3.75" customHeight="1">
      <c r="A33" s="574"/>
      <c r="B33" s="13"/>
      <c r="C33" s="13"/>
      <c r="D33" s="13"/>
      <c r="E33" s="13"/>
      <c r="F33" s="13"/>
      <c r="G33" s="13"/>
      <c r="H33" s="583"/>
      <c r="I33" s="13"/>
      <c r="J33" s="13"/>
      <c r="K33" s="515"/>
      <c r="L33" s="13"/>
      <c r="M33" s="13"/>
      <c r="N33" s="13"/>
      <c r="O33" s="13"/>
      <c r="P33" s="519"/>
      <c r="Q33" s="516"/>
      <c r="R33" s="517"/>
      <c r="S33" s="516"/>
      <c r="T33" s="517"/>
      <c r="U33" s="516"/>
      <c r="V33" s="517"/>
      <c r="W33" s="516"/>
      <c r="X33" s="517"/>
      <c r="Y33" s="516"/>
      <c r="Z33" s="518"/>
      <c r="AA33" s="520"/>
      <c r="AB33" s="520"/>
      <c r="AD33" s="516"/>
      <c r="AE33" s="518"/>
      <c r="AF33" s="516"/>
      <c r="AG33" s="518"/>
      <c r="AH33" s="516"/>
      <c r="AI33" s="517"/>
      <c r="AJ33" s="516"/>
      <c r="AK33" s="517"/>
      <c r="AL33" s="516"/>
      <c r="AM33" s="517"/>
      <c r="AN33" s="520"/>
      <c r="AO33" s="521"/>
      <c r="AQ33" s="516"/>
      <c r="AR33" s="518"/>
      <c r="AS33" s="520"/>
      <c r="AT33" s="521"/>
    </row>
    <row r="34" spans="1:358" s="158" customFormat="1" ht="15.6">
      <c r="A34" s="662">
        <v>11</v>
      </c>
      <c r="B34" s="409">
        <v>42</v>
      </c>
      <c r="C34" s="409" t="s">
        <v>649</v>
      </c>
      <c r="D34" s="409"/>
      <c r="E34" s="409" t="s">
        <v>650</v>
      </c>
      <c r="F34" s="409"/>
      <c r="G34" s="632"/>
      <c r="H34" s="663" t="s">
        <v>944</v>
      </c>
      <c r="I34" s="409"/>
      <c r="J34" s="409"/>
      <c r="K34" s="556"/>
      <c r="L34" s="409"/>
      <c r="M34" s="409"/>
      <c r="N34" s="409"/>
      <c r="O34" s="409"/>
      <c r="P34" s="557"/>
      <c r="Q34" s="840">
        <v>990088</v>
      </c>
      <c r="R34" s="845">
        <v>6082.56</v>
      </c>
      <c r="S34" s="842">
        <v>886297</v>
      </c>
      <c r="T34" s="844">
        <v>3052.8</v>
      </c>
      <c r="U34" s="435">
        <v>1081825</v>
      </c>
      <c r="V34" s="463">
        <v>9482.15</v>
      </c>
      <c r="W34" s="454"/>
      <c r="X34" s="536"/>
      <c r="Y34" s="439">
        <v>990088</v>
      </c>
      <c r="Z34" s="440">
        <v>9582.34</v>
      </c>
      <c r="AA34" s="464"/>
      <c r="AB34" s="465">
        <f>Z34+V34+T34+R34</f>
        <v>28199.85</v>
      </c>
      <c r="AC34" s="666"/>
      <c r="AD34" s="439"/>
      <c r="AE34" s="627"/>
      <c r="AF34" s="439"/>
      <c r="AG34" s="627"/>
      <c r="AH34" s="435"/>
      <c r="AI34" s="463"/>
      <c r="AJ34" s="433"/>
      <c r="AK34" s="628"/>
      <c r="AL34" s="433"/>
      <c r="AM34" s="628"/>
      <c r="AN34" s="464"/>
      <c r="AO34" s="465"/>
      <c r="AP34" s="666"/>
      <c r="AQ34" s="439"/>
      <c r="AR34" s="534"/>
      <c r="AS34" s="671"/>
      <c r="AT34" s="672"/>
      <c r="AU34" s="666"/>
      <c r="AV34" s="666"/>
      <c r="AW34" s="666"/>
      <c r="AX34" s="666"/>
      <c r="AY34" s="666"/>
      <c r="AZ34" s="666"/>
      <c r="BA34" s="666"/>
      <c r="BB34" s="666"/>
      <c r="BC34" s="666"/>
      <c r="BD34" s="666"/>
      <c r="BE34" s="666"/>
      <c r="BF34" s="666"/>
      <c r="BG34" s="666"/>
      <c r="BH34" s="666"/>
      <c r="BI34" s="666"/>
      <c r="BJ34" s="666"/>
      <c r="BK34" s="666"/>
      <c r="BL34" s="666"/>
      <c r="BM34" s="666"/>
      <c r="BN34" s="666"/>
      <c r="BO34" s="666"/>
      <c r="BP34" s="666"/>
      <c r="BQ34" s="666"/>
      <c r="BR34" s="666"/>
      <c r="BS34" s="666"/>
      <c r="BT34" s="666"/>
      <c r="BU34" s="666"/>
      <c r="BV34" s="666"/>
      <c r="BW34" s="666"/>
      <c r="BX34" s="666"/>
      <c r="BY34" s="666"/>
      <c r="BZ34" s="666"/>
      <c r="CA34" s="666"/>
      <c r="CB34" s="666"/>
      <c r="CC34" s="666"/>
      <c r="CD34" s="666"/>
      <c r="CE34" s="666"/>
      <c r="CF34" s="666"/>
      <c r="CG34" s="666"/>
      <c r="CH34" s="666"/>
      <c r="CI34" s="666"/>
      <c r="CJ34" s="666"/>
      <c r="CK34" s="666"/>
      <c r="CL34" s="666"/>
      <c r="CM34" s="666"/>
      <c r="CN34" s="666"/>
      <c r="CO34" s="666"/>
      <c r="CP34" s="666"/>
      <c r="CQ34" s="666"/>
      <c r="CR34" s="666"/>
      <c r="CS34" s="666"/>
      <c r="CT34" s="666"/>
      <c r="CU34" s="666"/>
      <c r="CV34" s="666"/>
      <c r="CW34" s="666"/>
      <c r="CX34" s="666"/>
      <c r="CY34" s="666"/>
      <c r="CZ34" s="666"/>
      <c r="DA34" s="666"/>
      <c r="DB34" s="666"/>
      <c r="DC34" s="666"/>
      <c r="DD34" s="666"/>
      <c r="DE34" s="666"/>
      <c r="DF34" s="666"/>
      <c r="DG34" s="666"/>
      <c r="DH34" s="666"/>
      <c r="DI34" s="666"/>
      <c r="DJ34" s="666"/>
      <c r="DK34" s="666"/>
      <c r="DL34" s="666"/>
      <c r="DM34" s="666"/>
      <c r="DN34" s="666"/>
      <c r="DO34" s="666"/>
      <c r="DP34" s="666"/>
      <c r="DQ34" s="666"/>
      <c r="DR34" s="666"/>
      <c r="DS34" s="666"/>
      <c r="DT34" s="666"/>
      <c r="DU34" s="666"/>
      <c r="DV34" s="666"/>
      <c r="DW34" s="666"/>
      <c r="DX34" s="666"/>
      <c r="DY34" s="666"/>
      <c r="DZ34" s="666"/>
      <c r="EA34" s="666"/>
      <c r="EB34" s="666"/>
      <c r="EC34" s="666"/>
      <c r="ED34" s="666"/>
      <c r="EE34" s="666"/>
      <c r="EF34" s="666"/>
      <c r="EG34" s="666"/>
      <c r="EH34" s="666"/>
      <c r="EI34" s="666"/>
      <c r="EJ34" s="666"/>
      <c r="EK34" s="666"/>
      <c r="EL34" s="666"/>
      <c r="EM34" s="666"/>
      <c r="EN34" s="666"/>
      <c r="EO34" s="666"/>
      <c r="EP34" s="666"/>
      <c r="EQ34" s="666"/>
      <c r="ER34" s="666"/>
      <c r="ES34" s="666"/>
      <c r="ET34" s="666"/>
      <c r="EU34" s="666"/>
      <c r="EV34" s="666"/>
      <c r="EW34" s="666"/>
      <c r="EX34" s="666"/>
      <c r="EY34" s="666"/>
      <c r="EZ34" s="666"/>
      <c r="FA34" s="666"/>
      <c r="FB34" s="666"/>
      <c r="FC34" s="666"/>
      <c r="FD34" s="666"/>
      <c r="FE34" s="666"/>
      <c r="FF34" s="666"/>
      <c r="FG34" s="666"/>
      <c r="FH34" s="666"/>
      <c r="FI34" s="666"/>
      <c r="FJ34" s="666"/>
      <c r="FK34" s="666"/>
      <c r="FL34" s="666"/>
      <c r="FM34" s="666"/>
      <c r="FN34" s="666"/>
      <c r="FO34" s="666"/>
      <c r="FP34" s="666"/>
      <c r="FQ34" s="666"/>
      <c r="FR34" s="666"/>
      <c r="FS34" s="666"/>
      <c r="FT34" s="666"/>
      <c r="FU34" s="666"/>
      <c r="FV34" s="666"/>
      <c r="FW34" s="666"/>
      <c r="FX34" s="666"/>
      <c r="FY34" s="666"/>
      <c r="FZ34" s="666"/>
      <c r="GA34" s="666"/>
      <c r="GB34" s="666"/>
      <c r="GC34" s="666"/>
      <c r="GD34" s="666"/>
      <c r="GE34" s="666"/>
      <c r="GF34" s="666"/>
      <c r="GG34" s="666"/>
      <c r="GH34" s="666"/>
      <c r="GI34" s="666"/>
      <c r="GJ34" s="666"/>
      <c r="GK34" s="666"/>
      <c r="GL34" s="666"/>
      <c r="GM34" s="666"/>
      <c r="GN34" s="666"/>
      <c r="GO34" s="666"/>
      <c r="GP34" s="666"/>
      <c r="GQ34" s="666"/>
      <c r="GR34" s="666"/>
      <c r="GS34" s="666"/>
      <c r="GT34" s="666"/>
      <c r="GU34" s="666"/>
      <c r="GV34" s="666"/>
      <c r="GW34" s="666"/>
      <c r="GX34" s="666"/>
      <c r="GY34" s="666"/>
      <c r="GZ34" s="666"/>
      <c r="HA34" s="666"/>
      <c r="HB34" s="666"/>
      <c r="HC34" s="666"/>
      <c r="HD34" s="666"/>
      <c r="HE34" s="666"/>
      <c r="HF34" s="666"/>
      <c r="HG34" s="666"/>
      <c r="HH34" s="666"/>
      <c r="HI34" s="666"/>
      <c r="HJ34" s="666"/>
      <c r="HK34" s="666"/>
      <c r="HL34" s="666"/>
      <c r="HM34" s="666"/>
      <c r="HN34" s="666"/>
      <c r="HO34" s="666"/>
      <c r="HP34" s="666"/>
      <c r="HQ34" s="666"/>
      <c r="HR34" s="666"/>
      <c r="HS34" s="666"/>
      <c r="HT34" s="666"/>
      <c r="HU34" s="666"/>
      <c r="HV34" s="666"/>
      <c r="HW34" s="666"/>
      <c r="HX34" s="666"/>
      <c r="HY34" s="666"/>
      <c r="HZ34" s="666"/>
      <c r="IA34" s="666"/>
      <c r="IB34" s="666"/>
      <c r="IC34" s="666"/>
      <c r="ID34" s="666"/>
      <c r="IE34" s="666"/>
      <c r="IF34" s="666"/>
      <c r="IG34" s="666"/>
      <c r="IH34" s="666"/>
      <c r="II34" s="666"/>
      <c r="IJ34" s="666"/>
      <c r="IK34" s="666"/>
      <c r="IL34" s="666"/>
      <c r="IM34" s="666"/>
      <c r="IN34" s="666"/>
      <c r="IO34" s="666"/>
      <c r="IP34" s="666"/>
      <c r="IQ34" s="666"/>
      <c r="IR34" s="666"/>
      <c r="IS34" s="666"/>
      <c r="IT34" s="666"/>
      <c r="IU34" s="666"/>
      <c r="IV34" s="666"/>
      <c r="IW34" s="666"/>
      <c r="IX34" s="666"/>
      <c r="IY34" s="666"/>
      <c r="IZ34" s="666"/>
      <c r="JA34" s="666"/>
      <c r="JB34" s="666"/>
      <c r="JC34" s="666"/>
      <c r="JD34" s="666"/>
      <c r="JE34" s="666"/>
      <c r="JF34" s="666"/>
      <c r="JG34" s="666"/>
      <c r="JH34" s="666"/>
      <c r="JI34" s="666"/>
      <c r="JJ34" s="666"/>
      <c r="JK34" s="666"/>
      <c r="JL34" s="666"/>
      <c r="JM34" s="666"/>
      <c r="JN34" s="666"/>
      <c r="JO34" s="666"/>
      <c r="JP34" s="666"/>
      <c r="JQ34" s="666"/>
      <c r="JR34" s="666"/>
      <c r="JS34" s="666"/>
      <c r="JT34" s="666"/>
      <c r="JU34" s="666"/>
      <c r="JV34" s="666"/>
      <c r="JW34" s="666"/>
      <c r="JX34" s="666"/>
      <c r="JY34" s="666"/>
      <c r="JZ34" s="666"/>
      <c r="KA34" s="666"/>
      <c r="KB34" s="666"/>
      <c r="KC34" s="666"/>
      <c r="KD34" s="666"/>
      <c r="KE34" s="666"/>
      <c r="KF34" s="666"/>
      <c r="KG34" s="666"/>
      <c r="KH34" s="666"/>
      <c r="KI34" s="666"/>
      <c r="KJ34" s="666"/>
      <c r="KK34" s="666"/>
      <c r="KL34" s="666"/>
      <c r="KM34" s="666"/>
      <c r="KN34" s="666"/>
      <c r="KO34" s="666"/>
      <c r="KP34" s="666"/>
      <c r="KQ34" s="666"/>
      <c r="KR34" s="666"/>
      <c r="KS34" s="666"/>
      <c r="KT34" s="666"/>
      <c r="KU34" s="666"/>
      <c r="KV34" s="666"/>
      <c r="KW34" s="666"/>
      <c r="KX34" s="666"/>
      <c r="KY34" s="666"/>
      <c r="KZ34" s="666"/>
      <c r="LA34" s="666"/>
      <c r="LB34" s="666"/>
      <c r="LC34" s="666"/>
      <c r="LD34" s="666"/>
      <c r="LE34" s="666"/>
      <c r="LF34" s="666"/>
      <c r="LG34" s="666"/>
      <c r="LH34" s="666"/>
      <c r="LI34" s="666"/>
      <c r="LJ34" s="666"/>
      <c r="LK34" s="666"/>
      <c r="LL34" s="666"/>
      <c r="LM34" s="666"/>
      <c r="LN34" s="666"/>
      <c r="LO34" s="666"/>
      <c r="LP34" s="666"/>
      <c r="LQ34" s="666"/>
      <c r="LR34" s="666"/>
      <c r="LS34" s="666"/>
      <c r="LT34" s="666"/>
      <c r="LU34" s="666"/>
      <c r="LV34" s="666"/>
      <c r="LW34" s="666"/>
      <c r="LX34" s="666"/>
      <c r="LY34" s="666"/>
      <c r="LZ34" s="666"/>
      <c r="MA34" s="666"/>
      <c r="MB34" s="666"/>
      <c r="MC34" s="666"/>
      <c r="MD34" s="666"/>
      <c r="ME34" s="666"/>
      <c r="MF34" s="666"/>
      <c r="MG34" s="666"/>
      <c r="MH34" s="666"/>
      <c r="MI34" s="666"/>
      <c r="MJ34" s="666"/>
      <c r="MK34" s="666"/>
      <c r="ML34" s="666"/>
      <c r="MM34" s="666"/>
      <c r="MN34" s="666"/>
      <c r="MO34" s="666"/>
      <c r="MP34" s="666"/>
      <c r="MQ34" s="666"/>
      <c r="MR34" s="666"/>
      <c r="MS34" s="666"/>
      <c r="MT34" s="666"/>
    </row>
    <row r="35" spans="1:358" s="158" customFormat="1" ht="15.6">
      <c r="A35" s="578"/>
      <c r="B35" s="9"/>
      <c r="C35" s="9"/>
      <c r="D35" s="9"/>
      <c r="E35" s="9"/>
      <c r="F35" s="9"/>
      <c r="G35" s="632"/>
      <c r="H35" s="674"/>
      <c r="I35" s="527"/>
      <c r="J35" s="527"/>
      <c r="K35" s="668"/>
      <c r="L35" s="410"/>
      <c r="M35" s="410"/>
      <c r="N35" s="410"/>
      <c r="O35" s="410"/>
      <c r="P35" s="656"/>
      <c r="Q35" s="437"/>
      <c r="R35" s="458"/>
      <c r="S35" s="433"/>
      <c r="T35" s="628"/>
      <c r="U35" s="435"/>
      <c r="V35" s="463"/>
      <c r="W35" s="454"/>
      <c r="X35" s="536"/>
      <c r="Y35" s="439"/>
      <c r="Z35" s="627"/>
      <c r="AA35" s="464"/>
      <c r="AB35" s="465"/>
      <c r="AC35" s="666"/>
      <c r="AD35" s="439"/>
      <c r="AE35" s="627"/>
      <c r="AF35" s="439"/>
      <c r="AG35" s="627"/>
      <c r="AH35" s="435"/>
      <c r="AI35" s="463"/>
      <c r="AJ35" s="433"/>
      <c r="AK35" s="628"/>
      <c r="AL35" s="433"/>
      <c r="AM35" s="628"/>
      <c r="AN35" s="464"/>
      <c r="AO35" s="465"/>
      <c r="AP35" s="666"/>
      <c r="AQ35" s="439"/>
      <c r="AR35" s="534"/>
      <c r="AS35" s="671"/>
      <c r="AT35" s="672"/>
      <c r="AU35" s="666"/>
      <c r="AV35" s="666"/>
      <c r="AW35" s="666"/>
      <c r="AX35" s="666"/>
      <c r="AY35" s="666"/>
      <c r="AZ35" s="666"/>
      <c r="BA35" s="666"/>
      <c r="BB35" s="666"/>
      <c r="BC35" s="666"/>
      <c r="BD35" s="666"/>
      <c r="BE35" s="666"/>
      <c r="BF35" s="666"/>
      <c r="BG35" s="666"/>
      <c r="BH35" s="666"/>
      <c r="BI35" s="666"/>
      <c r="BJ35" s="666"/>
      <c r="BK35" s="666"/>
      <c r="BL35" s="666"/>
      <c r="BM35" s="666"/>
      <c r="BN35" s="666"/>
      <c r="BO35" s="666"/>
      <c r="BP35" s="666"/>
      <c r="BQ35" s="666"/>
      <c r="BR35" s="666"/>
      <c r="BS35" s="666"/>
      <c r="BT35" s="666"/>
      <c r="BU35" s="666"/>
      <c r="BV35" s="666"/>
      <c r="BW35" s="666"/>
      <c r="BX35" s="666"/>
      <c r="BY35" s="666"/>
      <c r="BZ35" s="666"/>
      <c r="CA35" s="666"/>
      <c r="CB35" s="666"/>
      <c r="CC35" s="666"/>
      <c r="CD35" s="666"/>
      <c r="CE35" s="666"/>
      <c r="CF35" s="666"/>
      <c r="CG35" s="666"/>
      <c r="CH35" s="666"/>
      <c r="CI35" s="666"/>
      <c r="CJ35" s="666"/>
      <c r="CK35" s="666"/>
      <c r="CL35" s="666"/>
      <c r="CM35" s="666"/>
      <c r="CN35" s="666"/>
      <c r="CO35" s="666"/>
      <c r="CP35" s="666"/>
      <c r="CQ35" s="666"/>
      <c r="CR35" s="666"/>
      <c r="CS35" s="666"/>
      <c r="CT35" s="666"/>
      <c r="CU35" s="666"/>
      <c r="CV35" s="666"/>
      <c r="CW35" s="666"/>
      <c r="CX35" s="666"/>
      <c r="CY35" s="666"/>
      <c r="CZ35" s="666"/>
      <c r="DA35" s="666"/>
      <c r="DB35" s="666"/>
      <c r="DC35" s="666"/>
      <c r="DD35" s="666"/>
      <c r="DE35" s="666"/>
      <c r="DF35" s="666"/>
      <c r="DG35" s="666"/>
      <c r="DH35" s="666"/>
      <c r="DI35" s="666"/>
      <c r="DJ35" s="666"/>
      <c r="DK35" s="666"/>
      <c r="DL35" s="666"/>
      <c r="DM35" s="666"/>
      <c r="DN35" s="666"/>
      <c r="DO35" s="666"/>
      <c r="DP35" s="666"/>
      <c r="DQ35" s="666"/>
      <c r="DR35" s="666"/>
      <c r="DS35" s="666"/>
      <c r="DT35" s="666"/>
      <c r="DU35" s="666"/>
      <c r="DV35" s="666"/>
      <c r="DW35" s="666"/>
      <c r="DX35" s="666"/>
      <c r="DY35" s="666"/>
      <c r="DZ35" s="666"/>
      <c r="EA35" s="666"/>
      <c r="EB35" s="666"/>
      <c r="EC35" s="666"/>
      <c r="ED35" s="666"/>
      <c r="EE35" s="666"/>
      <c r="EF35" s="666"/>
      <c r="EG35" s="666"/>
      <c r="EH35" s="666"/>
      <c r="EI35" s="666"/>
      <c r="EJ35" s="666"/>
      <c r="EK35" s="666"/>
      <c r="EL35" s="666"/>
      <c r="EM35" s="666"/>
      <c r="EN35" s="666"/>
      <c r="EO35" s="666"/>
      <c r="EP35" s="666"/>
      <c r="EQ35" s="666"/>
      <c r="ER35" s="666"/>
      <c r="ES35" s="666"/>
      <c r="ET35" s="666"/>
      <c r="EU35" s="666"/>
      <c r="EV35" s="666"/>
      <c r="EW35" s="666"/>
      <c r="EX35" s="666"/>
      <c r="EY35" s="666"/>
      <c r="EZ35" s="666"/>
      <c r="FA35" s="666"/>
      <c r="FB35" s="666"/>
      <c r="FC35" s="666"/>
      <c r="FD35" s="666"/>
      <c r="FE35" s="666"/>
      <c r="FF35" s="666"/>
      <c r="FG35" s="666"/>
      <c r="FH35" s="666"/>
      <c r="FI35" s="666"/>
      <c r="FJ35" s="666"/>
      <c r="FK35" s="666"/>
      <c r="FL35" s="666"/>
      <c r="FM35" s="666"/>
      <c r="FN35" s="666"/>
      <c r="FO35" s="666"/>
      <c r="FP35" s="666"/>
      <c r="FQ35" s="666"/>
      <c r="FR35" s="666"/>
      <c r="FS35" s="666"/>
      <c r="FT35" s="666"/>
      <c r="FU35" s="666"/>
      <c r="FV35" s="666"/>
      <c r="FW35" s="666"/>
      <c r="FX35" s="666"/>
      <c r="FY35" s="666"/>
      <c r="FZ35" s="666"/>
      <c r="GA35" s="666"/>
      <c r="GB35" s="666"/>
      <c r="GC35" s="666"/>
      <c r="GD35" s="666"/>
      <c r="GE35" s="666"/>
      <c r="GF35" s="666"/>
      <c r="GG35" s="666"/>
      <c r="GH35" s="666"/>
      <c r="GI35" s="666"/>
      <c r="GJ35" s="666"/>
      <c r="GK35" s="666"/>
      <c r="GL35" s="666"/>
      <c r="GM35" s="666"/>
      <c r="GN35" s="666"/>
      <c r="GO35" s="666"/>
      <c r="GP35" s="666"/>
      <c r="GQ35" s="666"/>
      <c r="GR35" s="666"/>
      <c r="GS35" s="666"/>
      <c r="GT35" s="666"/>
      <c r="GU35" s="666"/>
      <c r="GV35" s="666"/>
      <c r="GW35" s="666"/>
      <c r="GX35" s="666"/>
      <c r="GY35" s="666"/>
      <c r="GZ35" s="666"/>
      <c r="HA35" s="666"/>
      <c r="HB35" s="666"/>
      <c r="HC35" s="666"/>
      <c r="HD35" s="666"/>
      <c r="HE35" s="666"/>
      <c r="HF35" s="666"/>
      <c r="HG35" s="666"/>
      <c r="HH35" s="666"/>
      <c r="HI35" s="666"/>
      <c r="HJ35" s="666"/>
      <c r="HK35" s="666"/>
      <c r="HL35" s="666"/>
      <c r="HM35" s="666"/>
      <c r="HN35" s="666"/>
      <c r="HO35" s="666"/>
      <c r="HP35" s="666"/>
      <c r="HQ35" s="666"/>
      <c r="HR35" s="666"/>
      <c r="HS35" s="666"/>
      <c r="HT35" s="666"/>
      <c r="HU35" s="666"/>
      <c r="HV35" s="666"/>
      <c r="HW35" s="666"/>
      <c r="HX35" s="666"/>
      <c r="HY35" s="666"/>
      <c r="HZ35" s="666"/>
      <c r="IA35" s="666"/>
      <c r="IB35" s="666"/>
      <c r="IC35" s="666"/>
      <c r="ID35" s="666"/>
      <c r="IE35" s="666"/>
      <c r="IF35" s="666"/>
      <c r="IG35" s="666"/>
      <c r="IH35" s="666"/>
      <c r="II35" s="666"/>
      <c r="IJ35" s="666"/>
      <c r="IK35" s="666"/>
      <c r="IL35" s="666"/>
      <c r="IM35" s="666"/>
      <c r="IN35" s="666"/>
      <c r="IO35" s="666"/>
      <c r="IP35" s="666"/>
      <c r="IQ35" s="666"/>
      <c r="IR35" s="666"/>
      <c r="IS35" s="666"/>
      <c r="IT35" s="666"/>
      <c r="IU35" s="666"/>
      <c r="IV35" s="666"/>
      <c r="IW35" s="666"/>
      <c r="IX35" s="666"/>
      <c r="IY35" s="666"/>
      <c r="IZ35" s="666"/>
      <c r="JA35" s="666"/>
      <c r="JB35" s="666"/>
      <c r="JC35" s="666"/>
      <c r="JD35" s="666"/>
      <c r="JE35" s="666"/>
      <c r="JF35" s="666"/>
      <c r="JG35" s="666"/>
      <c r="JH35" s="666"/>
      <c r="JI35" s="666"/>
      <c r="JJ35" s="666"/>
      <c r="JK35" s="666"/>
      <c r="JL35" s="666"/>
      <c r="JM35" s="666"/>
      <c r="JN35" s="666"/>
      <c r="JO35" s="666"/>
      <c r="JP35" s="666"/>
      <c r="JQ35" s="666"/>
      <c r="JR35" s="666"/>
      <c r="JS35" s="666"/>
      <c r="JT35" s="666"/>
      <c r="JU35" s="666"/>
      <c r="JV35" s="666"/>
      <c r="JW35" s="666"/>
      <c r="JX35" s="666"/>
      <c r="JY35" s="666"/>
      <c r="JZ35" s="666"/>
      <c r="KA35" s="666"/>
      <c r="KB35" s="666"/>
      <c r="KC35" s="666"/>
      <c r="KD35" s="666"/>
      <c r="KE35" s="666"/>
      <c r="KF35" s="666"/>
      <c r="KG35" s="666"/>
      <c r="KH35" s="666"/>
      <c r="KI35" s="666"/>
      <c r="KJ35" s="666"/>
      <c r="KK35" s="666"/>
      <c r="KL35" s="666"/>
      <c r="KM35" s="666"/>
      <c r="KN35" s="666"/>
      <c r="KO35" s="666"/>
      <c r="KP35" s="666"/>
      <c r="KQ35" s="666"/>
      <c r="KR35" s="666"/>
      <c r="KS35" s="666"/>
      <c r="KT35" s="666"/>
      <c r="KU35" s="666"/>
      <c r="KV35" s="666"/>
      <c r="KW35" s="666"/>
      <c r="KX35" s="666"/>
      <c r="KY35" s="666"/>
      <c r="KZ35" s="666"/>
      <c r="LA35" s="666"/>
      <c r="LB35" s="666"/>
      <c r="LC35" s="666"/>
      <c r="LD35" s="666"/>
      <c r="LE35" s="666"/>
      <c r="LF35" s="666"/>
      <c r="LG35" s="666"/>
      <c r="LH35" s="666"/>
      <c r="LI35" s="666"/>
      <c r="LJ35" s="666"/>
      <c r="LK35" s="666"/>
      <c r="LL35" s="666"/>
      <c r="LM35" s="666"/>
      <c r="LN35" s="666"/>
      <c r="LO35" s="666"/>
      <c r="LP35" s="666"/>
      <c r="LQ35" s="666"/>
      <c r="LR35" s="666"/>
      <c r="LS35" s="666"/>
      <c r="LT35" s="666"/>
      <c r="LU35" s="666"/>
      <c r="LV35" s="666"/>
      <c r="LW35" s="666"/>
      <c r="LX35" s="666"/>
      <c r="LY35" s="666"/>
      <c r="LZ35" s="666"/>
      <c r="MA35" s="666"/>
      <c r="MB35" s="666"/>
      <c r="MC35" s="666"/>
      <c r="MD35" s="666"/>
      <c r="ME35" s="666"/>
      <c r="MF35" s="666"/>
      <c r="MG35" s="666"/>
      <c r="MH35" s="666"/>
      <c r="MI35" s="666"/>
      <c r="MJ35" s="666"/>
      <c r="MK35" s="666"/>
      <c r="ML35" s="666"/>
      <c r="MM35" s="666"/>
      <c r="MN35" s="666"/>
      <c r="MO35" s="666"/>
      <c r="MP35" s="666"/>
      <c r="MQ35" s="666"/>
      <c r="MR35" s="666"/>
      <c r="MS35" s="666"/>
      <c r="MT35" s="666"/>
    </row>
    <row r="36" spans="1:358" s="163" customFormat="1" ht="3.75" customHeight="1">
      <c r="A36" s="574"/>
      <c r="B36" s="13"/>
      <c r="C36" s="13"/>
      <c r="D36" s="13"/>
      <c r="E36" s="13"/>
      <c r="F36" s="13"/>
      <c r="G36" s="13"/>
      <c r="H36" s="583"/>
      <c r="I36" s="13"/>
      <c r="J36" s="13"/>
      <c r="K36" s="515"/>
      <c r="L36" s="13"/>
      <c r="M36" s="13"/>
      <c r="N36" s="13"/>
      <c r="O36" s="13"/>
      <c r="P36" s="519"/>
      <c r="Q36" s="516"/>
      <c r="R36" s="517"/>
      <c r="S36" s="516"/>
      <c r="T36" s="517"/>
      <c r="U36" s="516"/>
      <c r="V36" s="517"/>
      <c r="W36" s="516"/>
      <c r="X36" s="517"/>
      <c r="Y36" s="516"/>
      <c r="Z36" s="518"/>
      <c r="AA36" s="520"/>
      <c r="AB36" s="520"/>
      <c r="AD36" s="516"/>
      <c r="AE36" s="518"/>
      <c r="AF36" s="516"/>
      <c r="AG36" s="518"/>
      <c r="AH36" s="516"/>
      <c r="AI36" s="517"/>
      <c r="AJ36" s="516"/>
      <c r="AK36" s="517"/>
      <c r="AL36" s="516"/>
      <c r="AM36" s="517"/>
      <c r="AN36" s="520"/>
      <c r="AO36" s="521"/>
      <c r="AQ36" s="538"/>
      <c r="AR36" s="538"/>
      <c r="AS36" s="538"/>
      <c r="AT36" s="538"/>
    </row>
    <row r="37" spans="1:358" s="158" customFormat="1" ht="15.6">
      <c r="A37" s="662">
        <v>12</v>
      </c>
      <c r="B37" s="409">
        <v>42</v>
      </c>
      <c r="C37" s="409" t="s">
        <v>647</v>
      </c>
      <c r="D37" s="409"/>
      <c r="E37" s="651" t="s">
        <v>650</v>
      </c>
      <c r="F37" s="651"/>
      <c r="G37" s="632"/>
      <c r="H37" s="600" t="s">
        <v>945</v>
      </c>
      <c r="I37" s="664"/>
      <c r="J37" s="409"/>
      <c r="K37" s="556"/>
      <c r="L37" s="409"/>
      <c r="M37" s="664"/>
      <c r="N37" s="664"/>
      <c r="O37" s="664"/>
      <c r="P37" s="665"/>
      <c r="Q37" s="840">
        <v>990097</v>
      </c>
      <c r="R37" s="845">
        <v>6082.56</v>
      </c>
      <c r="S37" s="842">
        <v>886336</v>
      </c>
      <c r="T37" s="844">
        <v>1229.9000000000001</v>
      </c>
      <c r="U37" s="912">
        <v>1081826</v>
      </c>
      <c r="V37" s="932">
        <v>9482.15</v>
      </c>
      <c r="W37" s="454"/>
      <c r="X37" s="536"/>
      <c r="Y37" s="439">
        <v>990097</v>
      </c>
      <c r="Z37" s="440">
        <v>9582.34</v>
      </c>
      <c r="AA37" s="464"/>
      <c r="AB37" s="465">
        <f t="shared" si="0"/>
        <v>26376.95</v>
      </c>
      <c r="AC37" s="666"/>
      <c r="AD37" s="439"/>
      <c r="AE37" s="440"/>
      <c r="AF37" s="439"/>
      <c r="AG37" s="440"/>
      <c r="AH37" s="435"/>
      <c r="AI37" s="463"/>
      <c r="AJ37" s="433"/>
      <c r="AK37" s="490"/>
      <c r="AL37" s="433"/>
      <c r="AM37" s="490"/>
      <c r="AN37" s="464"/>
      <c r="AO37" s="465"/>
      <c r="AP37" s="666"/>
      <c r="AQ37" s="439"/>
      <c r="AR37" s="440"/>
      <c r="AS37" s="464"/>
      <c r="AT37" s="465"/>
      <c r="AU37" s="666"/>
      <c r="AV37" s="666"/>
      <c r="AW37" s="666"/>
      <c r="AX37" s="666"/>
      <c r="AY37" s="666"/>
      <c r="AZ37" s="666"/>
      <c r="BA37" s="666"/>
      <c r="BB37" s="666"/>
      <c r="BC37" s="666"/>
      <c r="BD37" s="666"/>
      <c r="BE37" s="666"/>
      <c r="BF37" s="666"/>
      <c r="BG37" s="666"/>
      <c r="BH37" s="666"/>
      <c r="BI37" s="666"/>
      <c r="BJ37" s="666"/>
      <c r="BK37" s="666"/>
      <c r="BL37" s="666"/>
      <c r="BM37" s="666"/>
      <c r="BN37" s="666"/>
      <c r="BO37" s="666"/>
      <c r="BP37" s="666"/>
      <c r="BQ37" s="666"/>
      <c r="BR37" s="666"/>
      <c r="BS37" s="666"/>
      <c r="BT37" s="666"/>
      <c r="BU37" s="666"/>
      <c r="BV37" s="666"/>
      <c r="BW37" s="666"/>
      <c r="BX37" s="666"/>
      <c r="BY37" s="666"/>
      <c r="BZ37" s="666"/>
      <c r="CA37" s="666"/>
      <c r="CB37" s="666"/>
      <c r="CC37" s="666"/>
      <c r="CD37" s="666"/>
      <c r="CE37" s="666"/>
      <c r="CF37" s="666"/>
      <c r="CG37" s="666"/>
      <c r="CH37" s="666"/>
      <c r="CI37" s="666"/>
      <c r="CJ37" s="666"/>
      <c r="CK37" s="666"/>
      <c r="CL37" s="666"/>
      <c r="CM37" s="666"/>
      <c r="CN37" s="666"/>
      <c r="CO37" s="666"/>
      <c r="CP37" s="666"/>
      <c r="CQ37" s="666"/>
      <c r="CR37" s="666"/>
      <c r="CS37" s="666"/>
      <c r="CT37" s="666"/>
      <c r="CU37" s="666"/>
      <c r="CV37" s="666"/>
      <c r="CW37" s="666"/>
      <c r="CX37" s="666"/>
      <c r="CY37" s="666"/>
      <c r="CZ37" s="666"/>
      <c r="DA37" s="666"/>
      <c r="DB37" s="666"/>
      <c r="DC37" s="666"/>
      <c r="DD37" s="666"/>
      <c r="DE37" s="666"/>
      <c r="DF37" s="666"/>
      <c r="DG37" s="666"/>
      <c r="DH37" s="666"/>
      <c r="DI37" s="666"/>
      <c r="DJ37" s="666"/>
      <c r="DK37" s="666"/>
      <c r="DL37" s="666"/>
      <c r="DM37" s="666"/>
      <c r="DN37" s="666"/>
      <c r="DO37" s="666"/>
      <c r="DP37" s="666"/>
      <c r="DQ37" s="666"/>
      <c r="DR37" s="666"/>
      <c r="DS37" s="666"/>
      <c r="DT37" s="666"/>
      <c r="DU37" s="666"/>
      <c r="DV37" s="666"/>
      <c r="DW37" s="666"/>
      <c r="DX37" s="666"/>
      <c r="DY37" s="666"/>
      <c r="DZ37" s="666"/>
      <c r="EA37" s="666"/>
      <c r="EB37" s="666"/>
      <c r="EC37" s="666"/>
      <c r="ED37" s="666"/>
      <c r="EE37" s="666"/>
      <c r="EF37" s="666"/>
      <c r="EG37" s="666"/>
      <c r="EH37" s="666"/>
      <c r="EI37" s="666"/>
      <c r="EJ37" s="666"/>
      <c r="EK37" s="666"/>
      <c r="EL37" s="666"/>
      <c r="EM37" s="666"/>
      <c r="EN37" s="666"/>
      <c r="EO37" s="666"/>
      <c r="EP37" s="666"/>
      <c r="EQ37" s="666"/>
      <c r="ER37" s="666"/>
      <c r="ES37" s="666"/>
      <c r="ET37" s="666"/>
      <c r="EU37" s="666"/>
      <c r="EV37" s="666"/>
      <c r="EW37" s="666"/>
      <c r="EX37" s="666"/>
      <c r="EY37" s="666"/>
      <c r="EZ37" s="666"/>
      <c r="FA37" s="666"/>
      <c r="FB37" s="666"/>
      <c r="FC37" s="666"/>
      <c r="FD37" s="666"/>
      <c r="FE37" s="666"/>
      <c r="FF37" s="666"/>
      <c r="FG37" s="666"/>
      <c r="FH37" s="666"/>
      <c r="FI37" s="666"/>
      <c r="FJ37" s="666"/>
      <c r="FK37" s="666"/>
      <c r="FL37" s="666"/>
      <c r="FM37" s="666"/>
      <c r="FN37" s="666"/>
      <c r="FO37" s="666"/>
      <c r="FP37" s="666"/>
      <c r="FQ37" s="666"/>
      <c r="FR37" s="666"/>
      <c r="FS37" s="666"/>
      <c r="FT37" s="666"/>
      <c r="FU37" s="666"/>
      <c r="FV37" s="666"/>
      <c r="FW37" s="666"/>
      <c r="FX37" s="666"/>
      <c r="FY37" s="666"/>
      <c r="FZ37" s="666"/>
      <c r="GA37" s="666"/>
      <c r="GB37" s="666"/>
      <c r="GC37" s="666"/>
      <c r="GD37" s="666"/>
      <c r="GE37" s="666"/>
      <c r="GF37" s="666"/>
      <c r="GG37" s="666"/>
      <c r="GH37" s="666"/>
      <c r="GI37" s="666"/>
      <c r="GJ37" s="666"/>
      <c r="GK37" s="666"/>
      <c r="GL37" s="666"/>
      <c r="GM37" s="666"/>
      <c r="GN37" s="666"/>
      <c r="GO37" s="666"/>
      <c r="GP37" s="666"/>
      <c r="GQ37" s="666"/>
      <c r="GR37" s="666"/>
      <c r="GS37" s="666"/>
      <c r="GT37" s="666"/>
      <c r="GU37" s="666"/>
      <c r="GV37" s="666"/>
      <c r="GW37" s="666"/>
      <c r="GX37" s="666"/>
      <c r="GY37" s="666"/>
      <c r="GZ37" s="666"/>
      <c r="HA37" s="666"/>
      <c r="HB37" s="666"/>
      <c r="HC37" s="666"/>
      <c r="HD37" s="666"/>
      <c r="HE37" s="666"/>
      <c r="HF37" s="666"/>
      <c r="HG37" s="666"/>
      <c r="HH37" s="666"/>
      <c r="HI37" s="666"/>
      <c r="HJ37" s="666"/>
      <c r="HK37" s="666"/>
      <c r="HL37" s="666"/>
      <c r="HM37" s="666"/>
      <c r="HN37" s="666"/>
      <c r="HO37" s="666"/>
      <c r="HP37" s="666"/>
      <c r="HQ37" s="666"/>
      <c r="HR37" s="666"/>
      <c r="HS37" s="666"/>
      <c r="HT37" s="666"/>
      <c r="HU37" s="666"/>
      <c r="HV37" s="666"/>
      <c r="HW37" s="666"/>
      <c r="HX37" s="666"/>
      <c r="HY37" s="666"/>
      <c r="HZ37" s="666"/>
      <c r="IA37" s="666"/>
      <c r="IB37" s="666"/>
      <c r="IC37" s="666"/>
      <c r="ID37" s="666"/>
      <c r="IE37" s="666"/>
      <c r="IF37" s="666"/>
      <c r="IG37" s="666"/>
      <c r="IH37" s="666"/>
      <c r="II37" s="666"/>
      <c r="IJ37" s="666"/>
      <c r="IK37" s="666"/>
      <c r="IL37" s="666"/>
      <c r="IM37" s="666"/>
      <c r="IN37" s="666"/>
      <c r="IO37" s="666"/>
      <c r="IP37" s="666"/>
      <c r="IQ37" s="666"/>
      <c r="IR37" s="666"/>
      <c r="IS37" s="666"/>
      <c r="IT37" s="666"/>
      <c r="IU37" s="666"/>
      <c r="IV37" s="666"/>
      <c r="IW37" s="666"/>
      <c r="IX37" s="666"/>
      <c r="IY37" s="666"/>
      <c r="IZ37" s="666"/>
      <c r="JA37" s="666"/>
      <c r="JB37" s="666"/>
      <c r="JC37" s="666"/>
      <c r="JD37" s="666"/>
      <c r="JE37" s="666"/>
      <c r="JF37" s="666"/>
      <c r="JG37" s="666"/>
      <c r="JH37" s="666"/>
      <c r="JI37" s="666"/>
      <c r="JJ37" s="666"/>
      <c r="JK37" s="666"/>
      <c r="JL37" s="666"/>
      <c r="JM37" s="666"/>
      <c r="JN37" s="666"/>
      <c r="JO37" s="666"/>
      <c r="JP37" s="666"/>
      <c r="JQ37" s="666"/>
      <c r="JR37" s="666"/>
      <c r="JS37" s="666"/>
      <c r="JT37" s="666"/>
      <c r="JU37" s="666"/>
      <c r="JV37" s="666"/>
      <c r="JW37" s="666"/>
      <c r="JX37" s="666"/>
      <c r="JY37" s="666"/>
      <c r="JZ37" s="666"/>
      <c r="KA37" s="666"/>
      <c r="KB37" s="666"/>
      <c r="KC37" s="666"/>
      <c r="KD37" s="666"/>
      <c r="KE37" s="666"/>
      <c r="KF37" s="666"/>
      <c r="KG37" s="666"/>
      <c r="KH37" s="666"/>
      <c r="KI37" s="666"/>
      <c r="KJ37" s="666"/>
      <c r="KK37" s="666"/>
      <c r="KL37" s="666"/>
      <c r="KM37" s="666"/>
      <c r="KN37" s="666"/>
      <c r="KO37" s="666"/>
      <c r="KP37" s="666"/>
      <c r="KQ37" s="666"/>
      <c r="KR37" s="666"/>
      <c r="KS37" s="666"/>
      <c r="KT37" s="666"/>
      <c r="KU37" s="666"/>
      <c r="KV37" s="666"/>
      <c r="KW37" s="666"/>
      <c r="KX37" s="666"/>
      <c r="KY37" s="666"/>
      <c r="KZ37" s="666"/>
      <c r="LA37" s="666"/>
      <c r="LB37" s="666"/>
      <c r="LC37" s="666"/>
      <c r="LD37" s="666"/>
      <c r="LE37" s="666"/>
      <c r="LF37" s="666"/>
      <c r="LG37" s="666"/>
      <c r="LH37" s="666"/>
      <c r="LI37" s="666"/>
      <c r="LJ37" s="666"/>
      <c r="LK37" s="666"/>
      <c r="LL37" s="666"/>
      <c r="LM37" s="666"/>
      <c r="LN37" s="666"/>
      <c r="LO37" s="666"/>
      <c r="LP37" s="666"/>
      <c r="LQ37" s="666"/>
      <c r="LR37" s="666"/>
      <c r="LS37" s="666"/>
      <c r="LT37" s="666"/>
      <c r="LU37" s="666"/>
      <c r="LV37" s="666"/>
      <c r="LW37" s="666"/>
      <c r="LX37" s="666"/>
      <c r="LY37" s="666"/>
      <c r="LZ37" s="666"/>
      <c r="MA37" s="666"/>
      <c r="MB37" s="666"/>
      <c r="MC37" s="666"/>
      <c r="MD37" s="666"/>
      <c r="ME37" s="666"/>
      <c r="MF37" s="666"/>
      <c r="MG37" s="666"/>
      <c r="MH37" s="666"/>
      <c r="MI37" s="666"/>
      <c r="MJ37" s="666"/>
      <c r="MK37" s="666"/>
      <c r="ML37" s="666"/>
      <c r="MM37" s="666"/>
      <c r="MN37" s="666"/>
      <c r="MO37" s="666"/>
      <c r="MP37" s="666"/>
      <c r="MQ37" s="666"/>
      <c r="MR37" s="666"/>
      <c r="MS37" s="666"/>
      <c r="MT37" s="666"/>
    </row>
    <row r="38" spans="1:358" ht="15.6">
      <c r="A38" s="575"/>
      <c r="B38" s="37"/>
      <c r="C38" s="37"/>
      <c r="D38" s="37"/>
      <c r="E38" s="37"/>
      <c r="F38" s="37"/>
      <c r="G38" s="13"/>
      <c r="H38" s="601"/>
      <c r="I38" s="9"/>
      <c r="J38" s="50"/>
      <c r="K38" s="58"/>
      <c r="L38" s="9"/>
      <c r="M38" s="9"/>
      <c r="N38" s="9"/>
      <c r="O38" s="9"/>
      <c r="P38" s="141"/>
      <c r="Q38" s="437"/>
      <c r="R38" s="458"/>
      <c r="U38" s="435"/>
      <c r="V38" s="463"/>
      <c r="Z38" s="225"/>
      <c r="AA38" s="464"/>
      <c r="AB38" s="465"/>
      <c r="AD38" s="439"/>
      <c r="AE38" s="440"/>
      <c r="AG38" s="225"/>
      <c r="AJ38" s="433"/>
      <c r="AK38" s="490"/>
      <c r="AN38" s="464"/>
      <c r="AO38" s="465"/>
      <c r="AR38" s="225"/>
      <c r="AS38" s="309"/>
      <c r="AT38" s="230"/>
    </row>
    <row r="39" spans="1:358" s="163" customFormat="1" ht="3.75" customHeight="1">
      <c r="A39" s="574"/>
      <c r="B39" s="13"/>
      <c r="C39" s="13"/>
      <c r="D39" s="13"/>
      <c r="E39" s="13"/>
      <c r="F39" s="13"/>
      <c r="G39" s="13"/>
      <c r="H39" s="583"/>
      <c r="I39" s="13"/>
      <c r="J39" s="13"/>
      <c r="K39" s="515"/>
      <c r="L39" s="13"/>
      <c r="M39" s="13"/>
      <c r="N39" s="13"/>
      <c r="O39" s="13"/>
      <c r="P39" s="519"/>
      <c r="Q39" s="516"/>
      <c r="R39" s="517"/>
      <c r="S39" s="516"/>
      <c r="T39" s="517"/>
      <c r="U39" s="516"/>
      <c r="V39" s="517"/>
      <c r="W39" s="516"/>
      <c r="X39" s="517"/>
      <c r="Y39" s="516"/>
      <c r="Z39" s="518"/>
      <c r="AA39" s="520"/>
      <c r="AB39" s="520"/>
      <c r="AD39" s="516"/>
      <c r="AE39" s="518"/>
      <c r="AF39" s="516"/>
      <c r="AG39" s="518"/>
      <c r="AH39" s="516"/>
      <c r="AI39" s="517"/>
      <c r="AJ39" s="516"/>
      <c r="AK39" s="517"/>
      <c r="AL39" s="516"/>
      <c r="AM39" s="517"/>
      <c r="AN39" s="520"/>
      <c r="AO39" s="521"/>
      <c r="AQ39" s="516"/>
      <c r="AR39" s="518"/>
      <c r="AS39" s="520"/>
      <c r="AT39" s="521"/>
    </row>
    <row r="40" spans="1:358" s="158" customFormat="1" ht="15.6">
      <c r="A40" s="662">
        <v>13</v>
      </c>
      <c r="B40" s="409">
        <v>41</v>
      </c>
      <c r="C40" s="409" t="s">
        <v>688</v>
      </c>
      <c r="D40" s="409"/>
      <c r="E40" s="651" t="s">
        <v>650</v>
      </c>
      <c r="F40" s="651"/>
      <c r="G40" s="632"/>
      <c r="H40" s="663" t="s">
        <v>946</v>
      </c>
      <c r="I40" s="409"/>
      <c r="J40" s="409"/>
      <c r="K40" s="556"/>
      <c r="L40" s="409"/>
      <c r="M40" s="409"/>
      <c r="N40" s="409"/>
      <c r="O40" s="409"/>
      <c r="P40" s="557"/>
      <c r="Q40" s="840">
        <v>990111</v>
      </c>
      <c r="R40" s="845">
        <v>5909</v>
      </c>
      <c r="S40" s="842">
        <v>886373</v>
      </c>
      <c r="T40" s="844">
        <v>701.64</v>
      </c>
      <c r="U40" s="912">
        <v>1081827</v>
      </c>
      <c r="V40" s="932">
        <v>10483.459999999999</v>
      </c>
      <c r="W40" s="454"/>
      <c r="X40" s="536"/>
      <c r="Y40" s="439">
        <v>990111</v>
      </c>
      <c r="Z40" s="440">
        <v>9555.4699999999993</v>
      </c>
      <c r="AA40" s="464"/>
      <c r="AB40" s="465">
        <f>Z40+V40+T40+R40</f>
        <v>26649.57</v>
      </c>
      <c r="AC40" s="666"/>
      <c r="AD40" s="439"/>
      <c r="AE40" s="440"/>
      <c r="AF40" s="439"/>
      <c r="AG40" s="627"/>
      <c r="AH40" s="435"/>
      <c r="AI40" s="463"/>
      <c r="AJ40" s="433"/>
      <c r="AK40" s="490"/>
      <c r="AL40" s="433"/>
      <c r="AM40" s="490"/>
      <c r="AN40" s="464"/>
      <c r="AO40" s="465"/>
      <c r="AP40" s="666"/>
      <c r="AQ40" s="439"/>
      <c r="AR40" s="492"/>
      <c r="AS40" s="671"/>
      <c r="AT40" s="672"/>
      <c r="AU40" s="666"/>
      <c r="AV40" s="666"/>
      <c r="AW40" s="666"/>
      <c r="AX40" s="666"/>
      <c r="AY40" s="666"/>
      <c r="AZ40" s="666"/>
      <c r="BA40" s="666"/>
      <c r="BB40" s="666"/>
      <c r="BC40" s="666"/>
      <c r="BD40" s="666"/>
      <c r="BE40" s="666"/>
      <c r="BF40" s="666"/>
      <c r="BG40" s="666"/>
      <c r="BH40" s="666"/>
      <c r="BI40" s="666"/>
      <c r="BJ40" s="666"/>
      <c r="BK40" s="666"/>
      <c r="BL40" s="666"/>
      <c r="BM40" s="666"/>
      <c r="BN40" s="666"/>
      <c r="BO40" s="666"/>
      <c r="BP40" s="666"/>
      <c r="BQ40" s="666"/>
      <c r="BR40" s="666"/>
      <c r="BS40" s="666"/>
      <c r="BT40" s="666"/>
      <c r="BU40" s="666"/>
      <c r="BV40" s="666"/>
      <c r="BW40" s="666"/>
      <c r="BX40" s="666"/>
      <c r="BY40" s="666"/>
      <c r="BZ40" s="666"/>
      <c r="CA40" s="666"/>
      <c r="CB40" s="666"/>
      <c r="CC40" s="666"/>
      <c r="CD40" s="666"/>
      <c r="CE40" s="666"/>
      <c r="CF40" s="666"/>
      <c r="CG40" s="666"/>
      <c r="CH40" s="666"/>
      <c r="CI40" s="666"/>
      <c r="CJ40" s="666"/>
      <c r="CK40" s="666"/>
      <c r="CL40" s="666"/>
      <c r="CM40" s="666"/>
      <c r="CN40" s="666"/>
      <c r="CO40" s="666"/>
      <c r="CP40" s="666"/>
      <c r="CQ40" s="666"/>
      <c r="CR40" s="666"/>
      <c r="CS40" s="666"/>
      <c r="CT40" s="666"/>
      <c r="CU40" s="666"/>
      <c r="CV40" s="666"/>
      <c r="CW40" s="666"/>
      <c r="CX40" s="666"/>
      <c r="CY40" s="666"/>
      <c r="CZ40" s="666"/>
      <c r="DA40" s="666"/>
      <c r="DB40" s="666"/>
      <c r="DC40" s="666"/>
      <c r="DD40" s="666"/>
      <c r="DE40" s="666"/>
      <c r="DF40" s="666"/>
      <c r="DG40" s="666"/>
      <c r="DH40" s="666"/>
      <c r="DI40" s="666"/>
      <c r="DJ40" s="666"/>
      <c r="DK40" s="666"/>
      <c r="DL40" s="666"/>
      <c r="DM40" s="666"/>
      <c r="DN40" s="666"/>
      <c r="DO40" s="666"/>
      <c r="DP40" s="666"/>
      <c r="DQ40" s="666"/>
      <c r="DR40" s="666"/>
      <c r="DS40" s="666"/>
      <c r="DT40" s="666"/>
      <c r="DU40" s="666"/>
      <c r="DV40" s="666"/>
      <c r="DW40" s="666"/>
      <c r="DX40" s="666"/>
      <c r="DY40" s="666"/>
      <c r="DZ40" s="666"/>
      <c r="EA40" s="666"/>
      <c r="EB40" s="666"/>
      <c r="EC40" s="666"/>
      <c r="ED40" s="666"/>
      <c r="EE40" s="666"/>
      <c r="EF40" s="666"/>
      <c r="EG40" s="666"/>
      <c r="EH40" s="666"/>
      <c r="EI40" s="666"/>
      <c r="EJ40" s="666"/>
      <c r="EK40" s="666"/>
      <c r="EL40" s="666"/>
      <c r="EM40" s="666"/>
      <c r="EN40" s="666"/>
      <c r="EO40" s="666"/>
      <c r="EP40" s="666"/>
      <c r="EQ40" s="666"/>
      <c r="ER40" s="666"/>
      <c r="ES40" s="666"/>
      <c r="ET40" s="666"/>
      <c r="EU40" s="666"/>
      <c r="EV40" s="666"/>
      <c r="EW40" s="666"/>
      <c r="EX40" s="666"/>
      <c r="EY40" s="666"/>
      <c r="EZ40" s="666"/>
      <c r="FA40" s="666"/>
      <c r="FB40" s="666"/>
      <c r="FC40" s="666"/>
      <c r="FD40" s="666"/>
      <c r="FE40" s="666"/>
      <c r="FF40" s="666"/>
      <c r="FG40" s="666"/>
      <c r="FH40" s="666"/>
      <c r="FI40" s="666"/>
      <c r="FJ40" s="666"/>
      <c r="FK40" s="666"/>
      <c r="FL40" s="666"/>
      <c r="FM40" s="666"/>
      <c r="FN40" s="666"/>
      <c r="FO40" s="666"/>
      <c r="FP40" s="666"/>
      <c r="FQ40" s="666"/>
      <c r="FR40" s="666"/>
      <c r="FS40" s="666"/>
      <c r="FT40" s="666"/>
      <c r="FU40" s="666"/>
      <c r="FV40" s="666"/>
      <c r="FW40" s="666"/>
      <c r="FX40" s="666"/>
      <c r="FY40" s="666"/>
      <c r="FZ40" s="666"/>
      <c r="GA40" s="666"/>
      <c r="GB40" s="666"/>
      <c r="GC40" s="666"/>
      <c r="GD40" s="666"/>
      <c r="GE40" s="666"/>
      <c r="GF40" s="666"/>
      <c r="GG40" s="666"/>
      <c r="GH40" s="666"/>
      <c r="GI40" s="666"/>
      <c r="GJ40" s="666"/>
      <c r="GK40" s="666"/>
      <c r="GL40" s="666"/>
      <c r="GM40" s="666"/>
      <c r="GN40" s="666"/>
      <c r="GO40" s="666"/>
      <c r="GP40" s="666"/>
      <c r="GQ40" s="666"/>
      <c r="GR40" s="666"/>
      <c r="GS40" s="666"/>
      <c r="GT40" s="666"/>
      <c r="GU40" s="666"/>
      <c r="GV40" s="666"/>
      <c r="GW40" s="666"/>
      <c r="GX40" s="666"/>
      <c r="GY40" s="666"/>
      <c r="GZ40" s="666"/>
      <c r="HA40" s="666"/>
      <c r="HB40" s="666"/>
      <c r="HC40" s="666"/>
      <c r="HD40" s="666"/>
      <c r="HE40" s="666"/>
      <c r="HF40" s="666"/>
      <c r="HG40" s="666"/>
      <c r="HH40" s="666"/>
      <c r="HI40" s="666"/>
      <c r="HJ40" s="666"/>
      <c r="HK40" s="666"/>
      <c r="HL40" s="666"/>
      <c r="HM40" s="666"/>
      <c r="HN40" s="666"/>
      <c r="HO40" s="666"/>
      <c r="HP40" s="666"/>
      <c r="HQ40" s="666"/>
      <c r="HR40" s="666"/>
      <c r="HS40" s="666"/>
      <c r="HT40" s="666"/>
      <c r="HU40" s="666"/>
      <c r="HV40" s="666"/>
      <c r="HW40" s="666"/>
      <c r="HX40" s="666"/>
      <c r="HY40" s="666"/>
      <c r="HZ40" s="666"/>
      <c r="IA40" s="666"/>
      <c r="IB40" s="666"/>
      <c r="IC40" s="666"/>
      <c r="ID40" s="666"/>
      <c r="IE40" s="666"/>
      <c r="IF40" s="666"/>
      <c r="IG40" s="666"/>
      <c r="IH40" s="666"/>
      <c r="II40" s="666"/>
      <c r="IJ40" s="666"/>
      <c r="IK40" s="666"/>
      <c r="IL40" s="666"/>
      <c r="IM40" s="666"/>
      <c r="IN40" s="666"/>
      <c r="IO40" s="666"/>
      <c r="IP40" s="666"/>
      <c r="IQ40" s="666"/>
      <c r="IR40" s="666"/>
      <c r="IS40" s="666"/>
      <c r="IT40" s="666"/>
      <c r="IU40" s="666"/>
      <c r="IV40" s="666"/>
      <c r="IW40" s="666"/>
      <c r="IX40" s="666"/>
      <c r="IY40" s="666"/>
      <c r="IZ40" s="666"/>
      <c r="JA40" s="666"/>
      <c r="JB40" s="666"/>
      <c r="JC40" s="666"/>
      <c r="JD40" s="666"/>
      <c r="JE40" s="666"/>
      <c r="JF40" s="666"/>
      <c r="JG40" s="666"/>
      <c r="JH40" s="666"/>
      <c r="JI40" s="666"/>
      <c r="JJ40" s="666"/>
      <c r="JK40" s="666"/>
      <c r="JL40" s="666"/>
      <c r="JM40" s="666"/>
      <c r="JN40" s="666"/>
      <c r="JO40" s="666"/>
      <c r="JP40" s="666"/>
      <c r="JQ40" s="666"/>
      <c r="JR40" s="666"/>
      <c r="JS40" s="666"/>
      <c r="JT40" s="666"/>
      <c r="JU40" s="666"/>
      <c r="JV40" s="666"/>
      <c r="JW40" s="666"/>
      <c r="JX40" s="666"/>
      <c r="JY40" s="666"/>
      <c r="JZ40" s="666"/>
      <c r="KA40" s="666"/>
      <c r="KB40" s="666"/>
      <c r="KC40" s="666"/>
      <c r="KD40" s="666"/>
      <c r="KE40" s="666"/>
      <c r="KF40" s="666"/>
      <c r="KG40" s="666"/>
      <c r="KH40" s="666"/>
      <c r="KI40" s="666"/>
      <c r="KJ40" s="666"/>
      <c r="KK40" s="666"/>
      <c r="KL40" s="666"/>
      <c r="KM40" s="666"/>
      <c r="KN40" s="666"/>
      <c r="KO40" s="666"/>
      <c r="KP40" s="666"/>
      <c r="KQ40" s="666"/>
      <c r="KR40" s="666"/>
      <c r="KS40" s="666"/>
      <c r="KT40" s="666"/>
      <c r="KU40" s="666"/>
      <c r="KV40" s="666"/>
      <c r="KW40" s="666"/>
      <c r="KX40" s="666"/>
      <c r="KY40" s="666"/>
      <c r="KZ40" s="666"/>
      <c r="LA40" s="666"/>
      <c r="LB40" s="666"/>
      <c r="LC40" s="666"/>
      <c r="LD40" s="666"/>
      <c r="LE40" s="666"/>
      <c r="LF40" s="666"/>
      <c r="LG40" s="666"/>
      <c r="LH40" s="666"/>
      <c r="LI40" s="666"/>
      <c r="LJ40" s="666"/>
      <c r="LK40" s="666"/>
      <c r="LL40" s="666"/>
      <c r="LM40" s="666"/>
      <c r="LN40" s="666"/>
      <c r="LO40" s="666"/>
      <c r="LP40" s="666"/>
      <c r="LQ40" s="666"/>
      <c r="LR40" s="666"/>
      <c r="LS40" s="666"/>
      <c r="LT40" s="666"/>
      <c r="LU40" s="666"/>
      <c r="LV40" s="666"/>
      <c r="LW40" s="666"/>
      <c r="LX40" s="666"/>
      <c r="LY40" s="666"/>
      <c r="LZ40" s="666"/>
      <c r="MA40" s="666"/>
      <c r="MB40" s="666"/>
      <c r="MC40" s="666"/>
      <c r="MD40" s="666"/>
      <c r="ME40" s="666"/>
      <c r="MF40" s="666"/>
      <c r="MG40" s="666"/>
      <c r="MH40" s="666"/>
      <c r="MI40" s="666"/>
      <c r="MJ40" s="666"/>
      <c r="MK40" s="666"/>
      <c r="ML40" s="666"/>
      <c r="MM40" s="666"/>
      <c r="MN40" s="666"/>
      <c r="MO40" s="666"/>
      <c r="MP40" s="666"/>
      <c r="MQ40" s="666"/>
      <c r="MR40" s="666"/>
      <c r="MS40" s="666"/>
      <c r="MT40" s="666"/>
    </row>
    <row r="41" spans="1:358" s="158" customFormat="1" ht="15.6">
      <c r="A41" s="575"/>
      <c r="B41" s="37"/>
      <c r="C41" s="9"/>
      <c r="D41" s="37"/>
      <c r="E41" s="37"/>
      <c r="F41" s="37"/>
      <c r="G41" s="632"/>
      <c r="H41" s="674"/>
      <c r="I41" s="527"/>
      <c r="J41" s="527"/>
      <c r="K41" s="668"/>
      <c r="L41" s="410"/>
      <c r="M41" s="410"/>
      <c r="N41" s="410"/>
      <c r="O41" s="410"/>
      <c r="P41" s="656"/>
      <c r="Q41" s="437"/>
      <c r="R41" s="458"/>
      <c r="S41" s="433"/>
      <c r="T41" s="490"/>
      <c r="U41" s="435"/>
      <c r="V41" s="463"/>
      <c r="W41" s="454"/>
      <c r="X41" s="536"/>
      <c r="Y41" s="439"/>
      <c r="Z41" s="627"/>
      <c r="AA41" s="464"/>
      <c r="AB41" s="465"/>
      <c r="AC41" s="666"/>
      <c r="AD41" s="439"/>
      <c r="AE41" s="440"/>
      <c r="AF41" s="439"/>
      <c r="AG41" s="627"/>
      <c r="AH41" s="435"/>
      <c r="AI41" s="463"/>
      <c r="AJ41" s="433"/>
      <c r="AK41" s="490"/>
      <c r="AL41" s="433"/>
      <c r="AM41" s="490"/>
      <c r="AN41" s="464"/>
      <c r="AO41" s="465"/>
      <c r="AP41" s="666"/>
      <c r="AQ41" s="439"/>
      <c r="AR41" s="534"/>
      <c r="AS41" s="671"/>
      <c r="AT41" s="672"/>
      <c r="AU41" s="666"/>
      <c r="AV41" s="666"/>
      <c r="AW41" s="666"/>
      <c r="AX41" s="666"/>
      <c r="AY41" s="666"/>
      <c r="AZ41" s="666"/>
      <c r="BA41" s="666"/>
      <c r="BB41" s="666"/>
      <c r="BC41" s="666"/>
      <c r="BD41" s="666"/>
      <c r="BE41" s="666"/>
      <c r="BF41" s="666"/>
      <c r="BG41" s="666"/>
      <c r="BH41" s="666"/>
      <c r="BI41" s="666"/>
      <c r="BJ41" s="666"/>
      <c r="BK41" s="666"/>
      <c r="BL41" s="666"/>
      <c r="BM41" s="666"/>
      <c r="BN41" s="666"/>
      <c r="BO41" s="666"/>
      <c r="BP41" s="666"/>
      <c r="BQ41" s="666"/>
      <c r="BR41" s="666"/>
      <c r="BS41" s="666"/>
      <c r="BT41" s="666"/>
      <c r="BU41" s="666"/>
      <c r="BV41" s="666"/>
      <c r="BW41" s="666"/>
      <c r="BX41" s="666"/>
      <c r="BY41" s="666"/>
      <c r="BZ41" s="666"/>
      <c r="CA41" s="666"/>
      <c r="CB41" s="666"/>
      <c r="CC41" s="666"/>
      <c r="CD41" s="666"/>
      <c r="CE41" s="666"/>
      <c r="CF41" s="666"/>
      <c r="CG41" s="666"/>
      <c r="CH41" s="666"/>
      <c r="CI41" s="666"/>
      <c r="CJ41" s="666"/>
      <c r="CK41" s="666"/>
      <c r="CL41" s="666"/>
      <c r="CM41" s="666"/>
      <c r="CN41" s="666"/>
      <c r="CO41" s="666"/>
      <c r="CP41" s="666"/>
      <c r="CQ41" s="666"/>
      <c r="CR41" s="666"/>
      <c r="CS41" s="666"/>
      <c r="CT41" s="666"/>
      <c r="CU41" s="666"/>
      <c r="CV41" s="666"/>
      <c r="CW41" s="666"/>
      <c r="CX41" s="666"/>
      <c r="CY41" s="666"/>
      <c r="CZ41" s="666"/>
      <c r="DA41" s="666"/>
      <c r="DB41" s="666"/>
      <c r="DC41" s="666"/>
      <c r="DD41" s="666"/>
      <c r="DE41" s="666"/>
      <c r="DF41" s="666"/>
      <c r="DG41" s="666"/>
      <c r="DH41" s="666"/>
      <c r="DI41" s="666"/>
      <c r="DJ41" s="666"/>
      <c r="DK41" s="666"/>
      <c r="DL41" s="666"/>
      <c r="DM41" s="666"/>
      <c r="DN41" s="666"/>
      <c r="DO41" s="666"/>
      <c r="DP41" s="666"/>
      <c r="DQ41" s="666"/>
      <c r="DR41" s="666"/>
      <c r="DS41" s="666"/>
      <c r="DT41" s="666"/>
      <c r="DU41" s="666"/>
      <c r="DV41" s="666"/>
      <c r="DW41" s="666"/>
      <c r="DX41" s="666"/>
      <c r="DY41" s="666"/>
      <c r="DZ41" s="666"/>
      <c r="EA41" s="666"/>
      <c r="EB41" s="666"/>
      <c r="EC41" s="666"/>
      <c r="ED41" s="666"/>
      <c r="EE41" s="666"/>
      <c r="EF41" s="666"/>
      <c r="EG41" s="666"/>
      <c r="EH41" s="666"/>
      <c r="EI41" s="666"/>
      <c r="EJ41" s="666"/>
      <c r="EK41" s="666"/>
      <c r="EL41" s="666"/>
      <c r="EM41" s="666"/>
      <c r="EN41" s="666"/>
      <c r="EO41" s="666"/>
      <c r="EP41" s="666"/>
      <c r="EQ41" s="666"/>
      <c r="ER41" s="666"/>
      <c r="ES41" s="666"/>
      <c r="ET41" s="666"/>
      <c r="EU41" s="666"/>
      <c r="EV41" s="666"/>
      <c r="EW41" s="666"/>
      <c r="EX41" s="666"/>
      <c r="EY41" s="666"/>
      <c r="EZ41" s="666"/>
      <c r="FA41" s="666"/>
      <c r="FB41" s="666"/>
      <c r="FC41" s="666"/>
      <c r="FD41" s="666"/>
      <c r="FE41" s="666"/>
      <c r="FF41" s="666"/>
      <c r="FG41" s="666"/>
      <c r="FH41" s="666"/>
      <c r="FI41" s="666"/>
      <c r="FJ41" s="666"/>
      <c r="FK41" s="666"/>
      <c r="FL41" s="666"/>
      <c r="FM41" s="666"/>
      <c r="FN41" s="666"/>
      <c r="FO41" s="666"/>
      <c r="FP41" s="666"/>
      <c r="FQ41" s="666"/>
      <c r="FR41" s="666"/>
      <c r="FS41" s="666"/>
      <c r="FT41" s="666"/>
      <c r="FU41" s="666"/>
      <c r="FV41" s="666"/>
      <c r="FW41" s="666"/>
      <c r="FX41" s="666"/>
      <c r="FY41" s="666"/>
      <c r="FZ41" s="666"/>
      <c r="GA41" s="666"/>
      <c r="GB41" s="666"/>
      <c r="GC41" s="666"/>
      <c r="GD41" s="666"/>
      <c r="GE41" s="666"/>
      <c r="GF41" s="666"/>
      <c r="GG41" s="666"/>
      <c r="GH41" s="666"/>
      <c r="GI41" s="666"/>
      <c r="GJ41" s="666"/>
      <c r="GK41" s="666"/>
      <c r="GL41" s="666"/>
      <c r="GM41" s="666"/>
      <c r="GN41" s="666"/>
      <c r="GO41" s="666"/>
      <c r="GP41" s="666"/>
      <c r="GQ41" s="666"/>
      <c r="GR41" s="666"/>
      <c r="GS41" s="666"/>
      <c r="GT41" s="666"/>
      <c r="GU41" s="666"/>
      <c r="GV41" s="666"/>
      <c r="GW41" s="666"/>
      <c r="GX41" s="666"/>
      <c r="GY41" s="666"/>
      <c r="GZ41" s="666"/>
      <c r="HA41" s="666"/>
      <c r="HB41" s="666"/>
      <c r="HC41" s="666"/>
      <c r="HD41" s="666"/>
      <c r="HE41" s="666"/>
      <c r="HF41" s="666"/>
      <c r="HG41" s="666"/>
      <c r="HH41" s="666"/>
      <c r="HI41" s="666"/>
      <c r="HJ41" s="666"/>
      <c r="HK41" s="666"/>
      <c r="HL41" s="666"/>
      <c r="HM41" s="666"/>
      <c r="HN41" s="666"/>
      <c r="HO41" s="666"/>
      <c r="HP41" s="666"/>
      <c r="HQ41" s="666"/>
      <c r="HR41" s="666"/>
      <c r="HS41" s="666"/>
      <c r="HT41" s="666"/>
      <c r="HU41" s="666"/>
      <c r="HV41" s="666"/>
      <c r="HW41" s="666"/>
      <c r="HX41" s="666"/>
      <c r="HY41" s="666"/>
      <c r="HZ41" s="666"/>
      <c r="IA41" s="666"/>
      <c r="IB41" s="666"/>
      <c r="IC41" s="666"/>
      <c r="ID41" s="666"/>
      <c r="IE41" s="666"/>
      <c r="IF41" s="666"/>
      <c r="IG41" s="666"/>
      <c r="IH41" s="666"/>
      <c r="II41" s="666"/>
      <c r="IJ41" s="666"/>
      <c r="IK41" s="666"/>
      <c r="IL41" s="666"/>
      <c r="IM41" s="666"/>
      <c r="IN41" s="666"/>
      <c r="IO41" s="666"/>
      <c r="IP41" s="666"/>
      <c r="IQ41" s="666"/>
      <c r="IR41" s="666"/>
      <c r="IS41" s="666"/>
      <c r="IT41" s="666"/>
      <c r="IU41" s="666"/>
      <c r="IV41" s="666"/>
      <c r="IW41" s="666"/>
      <c r="IX41" s="666"/>
      <c r="IY41" s="666"/>
      <c r="IZ41" s="666"/>
      <c r="JA41" s="666"/>
      <c r="JB41" s="666"/>
      <c r="JC41" s="666"/>
      <c r="JD41" s="666"/>
      <c r="JE41" s="666"/>
      <c r="JF41" s="666"/>
      <c r="JG41" s="666"/>
      <c r="JH41" s="666"/>
      <c r="JI41" s="666"/>
      <c r="JJ41" s="666"/>
      <c r="JK41" s="666"/>
      <c r="JL41" s="666"/>
      <c r="JM41" s="666"/>
      <c r="JN41" s="666"/>
      <c r="JO41" s="666"/>
      <c r="JP41" s="666"/>
      <c r="JQ41" s="666"/>
      <c r="JR41" s="666"/>
      <c r="JS41" s="666"/>
      <c r="JT41" s="666"/>
      <c r="JU41" s="666"/>
      <c r="JV41" s="666"/>
      <c r="JW41" s="666"/>
      <c r="JX41" s="666"/>
      <c r="JY41" s="666"/>
      <c r="JZ41" s="666"/>
      <c r="KA41" s="666"/>
      <c r="KB41" s="666"/>
      <c r="KC41" s="666"/>
      <c r="KD41" s="666"/>
      <c r="KE41" s="666"/>
      <c r="KF41" s="666"/>
      <c r="KG41" s="666"/>
      <c r="KH41" s="666"/>
      <c r="KI41" s="666"/>
      <c r="KJ41" s="666"/>
      <c r="KK41" s="666"/>
      <c r="KL41" s="666"/>
      <c r="KM41" s="666"/>
      <c r="KN41" s="666"/>
      <c r="KO41" s="666"/>
      <c r="KP41" s="666"/>
      <c r="KQ41" s="666"/>
      <c r="KR41" s="666"/>
      <c r="KS41" s="666"/>
      <c r="KT41" s="666"/>
      <c r="KU41" s="666"/>
      <c r="KV41" s="666"/>
      <c r="KW41" s="666"/>
      <c r="KX41" s="666"/>
      <c r="KY41" s="666"/>
      <c r="KZ41" s="666"/>
      <c r="LA41" s="666"/>
      <c r="LB41" s="666"/>
      <c r="LC41" s="666"/>
      <c r="LD41" s="666"/>
      <c r="LE41" s="666"/>
      <c r="LF41" s="666"/>
      <c r="LG41" s="666"/>
      <c r="LH41" s="666"/>
      <c r="LI41" s="666"/>
      <c r="LJ41" s="666"/>
      <c r="LK41" s="666"/>
      <c r="LL41" s="666"/>
      <c r="LM41" s="666"/>
      <c r="LN41" s="666"/>
      <c r="LO41" s="666"/>
      <c r="LP41" s="666"/>
      <c r="LQ41" s="666"/>
      <c r="LR41" s="666"/>
      <c r="LS41" s="666"/>
      <c r="LT41" s="666"/>
      <c r="LU41" s="666"/>
      <c r="LV41" s="666"/>
      <c r="LW41" s="666"/>
      <c r="LX41" s="666"/>
      <c r="LY41" s="666"/>
      <c r="LZ41" s="666"/>
      <c r="MA41" s="666"/>
      <c r="MB41" s="666"/>
      <c r="MC41" s="666"/>
      <c r="MD41" s="666"/>
      <c r="ME41" s="666"/>
      <c r="MF41" s="666"/>
      <c r="MG41" s="666"/>
      <c r="MH41" s="666"/>
      <c r="MI41" s="666"/>
      <c r="MJ41" s="666"/>
      <c r="MK41" s="666"/>
      <c r="ML41" s="666"/>
      <c r="MM41" s="666"/>
      <c r="MN41" s="666"/>
      <c r="MO41" s="666"/>
      <c r="MP41" s="666"/>
      <c r="MQ41" s="666"/>
      <c r="MR41" s="666"/>
      <c r="MS41" s="666"/>
      <c r="MT41" s="666"/>
    </row>
    <row r="42" spans="1:358" s="163" customFormat="1" ht="3.75" customHeight="1">
      <c r="A42" s="574"/>
      <c r="B42" s="13"/>
      <c r="C42" s="13"/>
      <c r="D42" s="13"/>
      <c r="E42" s="13"/>
      <c r="F42" s="13"/>
      <c r="G42" s="13"/>
      <c r="H42" s="583"/>
      <c r="I42" s="13"/>
      <c r="J42" s="13"/>
      <c r="K42" s="515"/>
      <c r="L42" s="13"/>
      <c r="M42" s="13"/>
      <c r="N42" s="13"/>
      <c r="O42" s="13"/>
      <c r="P42" s="519"/>
      <c r="Q42" s="516"/>
      <c r="R42" s="517"/>
      <c r="S42" s="516"/>
      <c r="T42" s="517"/>
      <c r="U42" s="516"/>
      <c r="V42" s="517"/>
      <c r="W42" s="516"/>
      <c r="X42" s="517"/>
      <c r="Y42" s="516"/>
      <c r="Z42" s="518"/>
      <c r="AA42" s="520"/>
      <c r="AB42" s="520"/>
      <c r="AD42" s="516"/>
      <c r="AE42" s="518"/>
      <c r="AF42" s="516"/>
      <c r="AG42" s="518"/>
      <c r="AH42" s="516"/>
      <c r="AI42" s="517"/>
      <c r="AJ42" s="516"/>
      <c r="AK42" s="517"/>
      <c r="AL42" s="516"/>
      <c r="AM42" s="517"/>
      <c r="AN42" s="520"/>
      <c r="AO42" s="521"/>
      <c r="AQ42" s="538"/>
      <c r="AR42" s="538"/>
      <c r="AS42" s="538"/>
      <c r="AT42" s="538"/>
    </row>
    <row r="43" spans="1:358" s="158" customFormat="1" ht="15.6">
      <c r="A43" s="605">
        <v>14</v>
      </c>
      <c r="B43" s="409">
        <v>42</v>
      </c>
      <c r="C43" s="409" t="s">
        <v>648</v>
      </c>
      <c r="D43" s="651"/>
      <c r="E43" s="651" t="s">
        <v>650</v>
      </c>
      <c r="F43" s="651"/>
      <c r="G43" s="632"/>
      <c r="H43" s="663" t="s">
        <v>947</v>
      </c>
      <c r="I43" s="527"/>
      <c r="J43" s="528"/>
      <c r="K43" s="668"/>
      <c r="L43" s="410"/>
      <c r="M43" s="669"/>
      <c r="N43" s="669"/>
      <c r="O43" s="669"/>
      <c r="P43" s="670"/>
      <c r="Q43" s="840">
        <v>990117</v>
      </c>
      <c r="R43" s="845">
        <v>6082.56</v>
      </c>
      <c r="S43" s="842">
        <v>886414</v>
      </c>
      <c r="T43" s="844">
        <v>607</v>
      </c>
      <c r="U43" s="912">
        <v>1081828</v>
      </c>
      <c r="V43" s="932">
        <v>9482.15</v>
      </c>
      <c r="W43" s="454"/>
      <c r="X43" s="536"/>
      <c r="Y43" s="488">
        <v>990117</v>
      </c>
      <c r="Z43" s="440">
        <v>9582.34</v>
      </c>
      <c r="AA43" s="464">
        <f>Q43</f>
        <v>990117</v>
      </c>
      <c r="AB43" s="465">
        <f t="shared" si="0"/>
        <v>25754.05</v>
      </c>
      <c r="AC43" s="666"/>
      <c r="AD43" s="488"/>
      <c r="AE43" s="440"/>
      <c r="AF43" s="488"/>
      <c r="AG43" s="440"/>
      <c r="AH43" s="435"/>
      <c r="AI43" s="463"/>
      <c r="AJ43" s="433"/>
      <c r="AK43" s="490"/>
      <c r="AL43" s="433"/>
      <c r="AM43" s="490"/>
      <c r="AN43" s="464"/>
      <c r="AO43" s="465"/>
      <c r="AP43" s="666"/>
      <c r="AQ43" s="488"/>
      <c r="AR43" s="440"/>
      <c r="AS43" s="464"/>
      <c r="AT43" s="465"/>
      <c r="AU43" s="666"/>
      <c r="AV43" s="666"/>
      <c r="AW43" s="666"/>
      <c r="AX43" s="666"/>
      <c r="AY43" s="666"/>
      <c r="AZ43" s="666"/>
      <c r="BA43" s="666"/>
      <c r="BB43" s="666"/>
      <c r="BC43" s="666"/>
      <c r="BD43" s="666"/>
      <c r="BE43" s="666"/>
      <c r="BF43" s="666"/>
      <c r="BG43" s="666"/>
      <c r="BH43" s="666"/>
      <c r="BI43" s="666"/>
      <c r="BJ43" s="666"/>
      <c r="BK43" s="666"/>
      <c r="BL43" s="666"/>
      <c r="BM43" s="666"/>
      <c r="BN43" s="666"/>
      <c r="BO43" s="666"/>
      <c r="BP43" s="666"/>
      <c r="BQ43" s="666"/>
      <c r="BR43" s="666"/>
      <c r="BS43" s="666"/>
      <c r="BT43" s="666"/>
      <c r="BU43" s="666"/>
      <c r="BV43" s="666"/>
      <c r="BW43" s="666"/>
      <c r="BX43" s="666"/>
      <c r="BY43" s="666"/>
      <c r="BZ43" s="666"/>
      <c r="CA43" s="666"/>
      <c r="CB43" s="666"/>
      <c r="CC43" s="666"/>
      <c r="CD43" s="666"/>
      <c r="CE43" s="666"/>
      <c r="CF43" s="666"/>
      <c r="CG43" s="666"/>
      <c r="CH43" s="666"/>
      <c r="CI43" s="666"/>
      <c r="CJ43" s="666"/>
      <c r="CK43" s="666"/>
      <c r="CL43" s="666"/>
      <c r="CM43" s="666"/>
      <c r="CN43" s="666"/>
      <c r="CO43" s="666"/>
      <c r="CP43" s="666"/>
      <c r="CQ43" s="666"/>
      <c r="CR43" s="666"/>
      <c r="CS43" s="666"/>
      <c r="CT43" s="666"/>
      <c r="CU43" s="666"/>
      <c r="CV43" s="666"/>
      <c r="CW43" s="666"/>
      <c r="CX43" s="666"/>
      <c r="CY43" s="666"/>
      <c r="CZ43" s="666"/>
      <c r="DA43" s="666"/>
      <c r="DB43" s="666"/>
      <c r="DC43" s="666"/>
      <c r="DD43" s="666"/>
      <c r="DE43" s="666"/>
      <c r="DF43" s="666"/>
      <c r="DG43" s="666"/>
      <c r="DH43" s="666"/>
      <c r="DI43" s="666"/>
      <c r="DJ43" s="666"/>
      <c r="DK43" s="666"/>
      <c r="DL43" s="666"/>
      <c r="DM43" s="666"/>
      <c r="DN43" s="666"/>
      <c r="DO43" s="666"/>
      <c r="DP43" s="666"/>
      <c r="DQ43" s="666"/>
      <c r="DR43" s="666"/>
      <c r="DS43" s="666"/>
      <c r="DT43" s="666"/>
      <c r="DU43" s="666"/>
      <c r="DV43" s="666"/>
      <c r="DW43" s="666"/>
      <c r="DX43" s="666"/>
      <c r="DY43" s="666"/>
      <c r="DZ43" s="666"/>
      <c r="EA43" s="666"/>
      <c r="EB43" s="666"/>
      <c r="EC43" s="666"/>
      <c r="ED43" s="666"/>
      <c r="EE43" s="666"/>
      <c r="EF43" s="666"/>
      <c r="EG43" s="666"/>
      <c r="EH43" s="666"/>
      <c r="EI43" s="666"/>
      <c r="EJ43" s="666"/>
      <c r="EK43" s="666"/>
      <c r="EL43" s="666"/>
      <c r="EM43" s="666"/>
      <c r="EN43" s="666"/>
      <c r="EO43" s="666"/>
      <c r="EP43" s="666"/>
      <c r="EQ43" s="666"/>
      <c r="ER43" s="666"/>
      <c r="ES43" s="666"/>
      <c r="ET43" s="666"/>
      <c r="EU43" s="666"/>
      <c r="EV43" s="666"/>
      <c r="EW43" s="666"/>
      <c r="EX43" s="666"/>
      <c r="EY43" s="666"/>
      <c r="EZ43" s="666"/>
      <c r="FA43" s="666"/>
      <c r="FB43" s="666"/>
      <c r="FC43" s="666"/>
      <c r="FD43" s="666"/>
      <c r="FE43" s="666"/>
      <c r="FF43" s="666"/>
      <c r="FG43" s="666"/>
      <c r="FH43" s="666"/>
      <c r="FI43" s="666"/>
      <c r="FJ43" s="666"/>
      <c r="FK43" s="666"/>
      <c r="FL43" s="666"/>
      <c r="FM43" s="666"/>
      <c r="FN43" s="666"/>
      <c r="FO43" s="666"/>
      <c r="FP43" s="666"/>
      <c r="FQ43" s="666"/>
      <c r="FR43" s="666"/>
      <c r="FS43" s="666"/>
      <c r="FT43" s="666"/>
      <c r="FU43" s="666"/>
      <c r="FV43" s="666"/>
      <c r="FW43" s="666"/>
      <c r="FX43" s="666"/>
      <c r="FY43" s="666"/>
      <c r="FZ43" s="666"/>
      <c r="GA43" s="666"/>
      <c r="GB43" s="666"/>
      <c r="GC43" s="666"/>
      <c r="GD43" s="666"/>
      <c r="GE43" s="666"/>
      <c r="GF43" s="666"/>
      <c r="GG43" s="666"/>
      <c r="GH43" s="666"/>
      <c r="GI43" s="666"/>
      <c r="GJ43" s="666"/>
      <c r="GK43" s="666"/>
      <c r="GL43" s="666"/>
      <c r="GM43" s="666"/>
      <c r="GN43" s="666"/>
      <c r="GO43" s="666"/>
      <c r="GP43" s="666"/>
      <c r="GQ43" s="666"/>
      <c r="GR43" s="666"/>
      <c r="GS43" s="666"/>
      <c r="GT43" s="666"/>
      <c r="GU43" s="666"/>
      <c r="GV43" s="666"/>
      <c r="GW43" s="666"/>
      <c r="GX43" s="666"/>
      <c r="GY43" s="666"/>
      <c r="GZ43" s="666"/>
      <c r="HA43" s="666"/>
      <c r="HB43" s="666"/>
      <c r="HC43" s="666"/>
      <c r="HD43" s="666"/>
      <c r="HE43" s="666"/>
      <c r="HF43" s="666"/>
      <c r="HG43" s="666"/>
      <c r="HH43" s="666"/>
      <c r="HI43" s="666"/>
      <c r="HJ43" s="666"/>
      <c r="HK43" s="666"/>
      <c r="HL43" s="666"/>
      <c r="HM43" s="666"/>
      <c r="HN43" s="666"/>
      <c r="HO43" s="666"/>
      <c r="HP43" s="666"/>
      <c r="HQ43" s="666"/>
      <c r="HR43" s="666"/>
      <c r="HS43" s="666"/>
      <c r="HT43" s="666"/>
      <c r="HU43" s="666"/>
      <c r="HV43" s="666"/>
      <c r="HW43" s="666"/>
      <c r="HX43" s="666"/>
      <c r="HY43" s="666"/>
      <c r="HZ43" s="666"/>
      <c r="IA43" s="666"/>
      <c r="IB43" s="666"/>
      <c r="IC43" s="666"/>
      <c r="ID43" s="666"/>
      <c r="IE43" s="666"/>
      <c r="IF43" s="666"/>
      <c r="IG43" s="666"/>
      <c r="IH43" s="666"/>
      <c r="II43" s="666"/>
      <c r="IJ43" s="666"/>
      <c r="IK43" s="666"/>
      <c r="IL43" s="666"/>
      <c r="IM43" s="666"/>
      <c r="IN43" s="666"/>
      <c r="IO43" s="666"/>
      <c r="IP43" s="666"/>
      <c r="IQ43" s="666"/>
      <c r="IR43" s="666"/>
      <c r="IS43" s="666"/>
      <c r="IT43" s="666"/>
      <c r="IU43" s="666"/>
      <c r="IV43" s="666"/>
      <c r="IW43" s="666"/>
      <c r="IX43" s="666"/>
      <c r="IY43" s="666"/>
      <c r="IZ43" s="666"/>
      <c r="JA43" s="666"/>
      <c r="JB43" s="666"/>
      <c r="JC43" s="666"/>
      <c r="JD43" s="666"/>
      <c r="JE43" s="666"/>
      <c r="JF43" s="666"/>
      <c r="JG43" s="666"/>
      <c r="JH43" s="666"/>
      <c r="JI43" s="666"/>
      <c r="JJ43" s="666"/>
      <c r="JK43" s="666"/>
      <c r="JL43" s="666"/>
      <c r="JM43" s="666"/>
      <c r="JN43" s="666"/>
      <c r="JO43" s="666"/>
      <c r="JP43" s="666"/>
      <c r="JQ43" s="666"/>
      <c r="JR43" s="666"/>
      <c r="JS43" s="666"/>
      <c r="JT43" s="666"/>
      <c r="JU43" s="666"/>
      <c r="JV43" s="666"/>
      <c r="JW43" s="666"/>
      <c r="JX43" s="666"/>
      <c r="JY43" s="666"/>
      <c r="JZ43" s="666"/>
      <c r="KA43" s="666"/>
      <c r="KB43" s="666"/>
      <c r="KC43" s="666"/>
      <c r="KD43" s="666"/>
      <c r="KE43" s="666"/>
      <c r="KF43" s="666"/>
      <c r="KG43" s="666"/>
      <c r="KH43" s="666"/>
      <c r="KI43" s="666"/>
      <c r="KJ43" s="666"/>
      <c r="KK43" s="666"/>
      <c r="KL43" s="666"/>
      <c r="KM43" s="666"/>
      <c r="KN43" s="666"/>
      <c r="KO43" s="666"/>
      <c r="KP43" s="666"/>
      <c r="KQ43" s="666"/>
      <c r="KR43" s="666"/>
      <c r="KS43" s="666"/>
      <c r="KT43" s="666"/>
      <c r="KU43" s="666"/>
      <c r="KV43" s="666"/>
      <c r="KW43" s="666"/>
      <c r="KX43" s="666"/>
      <c r="KY43" s="666"/>
      <c r="KZ43" s="666"/>
      <c r="LA43" s="666"/>
      <c r="LB43" s="666"/>
      <c r="LC43" s="666"/>
      <c r="LD43" s="666"/>
      <c r="LE43" s="666"/>
      <c r="LF43" s="666"/>
      <c r="LG43" s="666"/>
      <c r="LH43" s="666"/>
      <c r="LI43" s="666"/>
      <c r="LJ43" s="666"/>
      <c r="LK43" s="666"/>
      <c r="LL43" s="666"/>
      <c r="LM43" s="666"/>
      <c r="LN43" s="666"/>
      <c r="LO43" s="666"/>
      <c r="LP43" s="666"/>
      <c r="LQ43" s="666"/>
      <c r="LR43" s="666"/>
      <c r="LS43" s="666"/>
      <c r="LT43" s="666"/>
      <c r="LU43" s="666"/>
      <c r="LV43" s="666"/>
      <c r="LW43" s="666"/>
      <c r="LX43" s="666"/>
      <c r="LY43" s="666"/>
      <c r="LZ43" s="666"/>
      <c r="MA43" s="666"/>
      <c r="MB43" s="666"/>
      <c r="MC43" s="666"/>
      <c r="MD43" s="666"/>
      <c r="ME43" s="666"/>
      <c r="MF43" s="666"/>
      <c r="MG43" s="666"/>
      <c r="MH43" s="666"/>
      <c r="MI43" s="666"/>
      <c r="MJ43" s="666"/>
      <c r="MK43" s="666"/>
      <c r="ML43" s="666"/>
      <c r="MM43" s="666"/>
      <c r="MN43" s="666"/>
      <c r="MO43" s="666"/>
      <c r="MP43" s="666"/>
      <c r="MQ43" s="666"/>
      <c r="MR43" s="666"/>
      <c r="MS43" s="666"/>
      <c r="MT43" s="666"/>
    </row>
    <row r="44" spans="1:358" ht="15.6">
      <c r="A44" s="687"/>
      <c r="B44" s="37"/>
      <c r="C44" s="37"/>
      <c r="D44" s="37"/>
      <c r="E44" s="37"/>
      <c r="F44" s="37"/>
      <c r="G44" s="13"/>
      <c r="H44" s="592"/>
      <c r="I44" s="31"/>
      <c r="J44" s="7"/>
      <c r="K44" s="57"/>
      <c r="L44" s="7"/>
      <c r="M44" s="31"/>
      <c r="N44" s="31"/>
      <c r="O44" s="31"/>
      <c r="P44" s="169"/>
      <c r="Q44" s="437"/>
      <c r="R44" s="458"/>
      <c r="T44" s="513"/>
      <c r="U44" s="435"/>
      <c r="V44" s="463"/>
      <c r="W44" s="454"/>
      <c r="X44" s="536"/>
      <c r="Y44" s="439"/>
      <c r="Z44" s="440"/>
      <c r="AA44" s="464"/>
      <c r="AB44" s="465"/>
      <c r="AD44" s="439"/>
      <c r="AE44" s="440"/>
      <c r="AF44" s="439"/>
      <c r="AG44" s="440"/>
      <c r="AH44" s="435"/>
      <c r="AI44" s="463"/>
      <c r="AJ44" s="433"/>
      <c r="AK44" s="602"/>
      <c r="AM44" s="513"/>
      <c r="AN44" s="464"/>
      <c r="AO44" s="465"/>
      <c r="AQ44" s="439"/>
      <c r="AR44" s="440"/>
      <c r="AS44" s="309"/>
      <c r="AT44" s="230"/>
    </row>
    <row r="45" spans="1:358" s="163" customFormat="1" ht="3.75" customHeight="1">
      <c r="A45" s="574"/>
      <c r="B45" s="13"/>
      <c r="C45" s="13"/>
      <c r="D45" s="13"/>
      <c r="E45" s="13"/>
      <c r="F45" s="13"/>
      <c r="G45" s="13"/>
      <c r="H45" s="583"/>
      <c r="I45" s="13"/>
      <c r="J45" s="13"/>
      <c r="K45" s="515"/>
      <c r="L45" s="13"/>
      <c r="M45" s="13"/>
      <c r="N45" s="13"/>
      <c r="O45" s="13"/>
      <c r="P45" s="519"/>
      <c r="Q45" s="516"/>
      <c r="R45" s="517"/>
      <c r="S45" s="516"/>
      <c r="T45" s="517"/>
      <c r="U45" s="516"/>
      <c r="V45" s="517"/>
      <c r="W45" s="516"/>
      <c r="X45" s="517"/>
      <c r="Y45" s="516"/>
      <c r="Z45" s="518"/>
      <c r="AA45" s="520"/>
      <c r="AB45" s="520"/>
      <c r="AD45" s="516"/>
      <c r="AE45" s="518"/>
      <c r="AF45" s="516"/>
      <c r="AG45" s="518"/>
      <c r="AH45" s="516"/>
      <c r="AI45" s="517"/>
      <c r="AJ45" s="516"/>
      <c r="AK45" s="517"/>
      <c r="AL45" s="516"/>
      <c r="AM45" s="517"/>
      <c r="AN45" s="520"/>
      <c r="AO45" s="521"/>
      <c r="AQ45" s="538"/>
      <c r="AR45" s="538"/>
      <c r="AS45" s="538"/>
      <c r="AT45" s="538"/>
    </row>
    <row r="46" spans="1:358" s="158" customFormat="1" ht="15.6">
      <c r="A46" s="662">
        <v>15</v>
      </c>
      <c r="B46" s="409">
        <v>41</v>
      </c>
      <c r="C46" s="409" t="s">
        <v>647</v>
      </c>
      <c r="D46" s="409"/>
      <c r="E46" s="651" t="s">
        <v>650</v>
      </c>
      <c r="F46" s="651"/>
      <c r="G46" s="632"/>
      <c r="H46" s="600" t="s">
        <v>948</v>
      </c>
      <c r="I46" s="409"/>
      <c r="J46" s="409"/>
      <c r="K46" s="556"/>
      <c r="L46" s="409"/>
      <c r="M46" s="409"/>
      <c r="N46" s="409"/>
      <c r="O46" s="409"/>
      <c r="P46" s="557"/>
      <c r="Q46" s="840">
        <v>990143</v>
      </c>
      <c r="R46" s="845">
        <v>5909</v>
      </c>
      <c r="S46" s="842">
        <v>880606</v>
      </c>
      <c r="T46" s="844">
        <v>1499.55</v>
      </c>
      <c r="U46" s="435">
        <v>1081829</v>
      </c>
      <c r="V46" s="463">
        <v>10483.459999999999</v>
      </c>
      <c r="W46" s="454"/>
      <c r="X46" s="536"/>
      <c r="Y46" s="846">
        <v>990143</v>
      </c>
      <c r="Z46" s="861">
        <v>9555.4699999999993</v>
      </c>
      <c r="AA46" s="464">
        <f>Q46</f>
        <v>990143</v>
      </c>
      <c r="AB46" s="465">
        <f t="shared" si="0"/>
        <v>27447.48</v>
      </c>
      <c r="AC46" s="666"/>
      <c r="AD46" s="439"/>
      <c r="AE46" s="440"/>
      <c r="AF46" s="439"/>
      <c r="AG46" s="440"/>
      <c r="AH46" s="435"/>
      <c r="AI46" s="463"/>
      <c r="AJ46" s="433"/>
      <c r="AK46" s="490"/>
      <c r="AL46" s="433"/>
      <c r="AM46" s="490"/>
      <c r="AN46" s="464"/>
      <c r="AO46" s="465"/>
      <c r="AP46" s="666"/>
      <c r="AQ46" s="439"/>
      <c r="AR46" s="534"/>
      <c r="AS46" s="671"/>
      <c r="AT46" s="672"/>
      <c r="AU46" s="666"/>
      <c r="AV46" s="666"/>
      <c r="AW46" s="666"/>
      <c r="AX46" s="666"/>
      <c r="AY46" s="666"/>
      <c r="AZ46" s="666"/>
      <c r="BA46" s="666"/>
      <c r="BB46" s="666"/>
      <c r="BC46" s="666"/>
      <c r="BD46" s="666"/>
      <c r="BE46" s="666"/>
      <c r="BF46" s="666"/>
      <c r="BG46" s="666"/>
      <c r="BH46" s="666"/>
      <c r="BI46" s="666"/>
      <c r="BJ46" s="666"/>
      <c r="BK46" s="666"/>
      <c r="BL46" s="666"/>
      <c r="BM46" s="666"/>
      <c r="BN46" s="666"/>
      <c r="BO46" s="666"/>
      <c r="BP46" s="666"/>
      <c r="BQ46" s="666"/>
      <c r="BR46" s="666"/>
      <c r="BS46" s="666"/>
      <c r="BT46" s="666"/>
      <c r="BU46" s="666"/>
      <c r="BV46" s="666"/>
      <c r="BW46" s="666"/>
      <c r="BX46" s="666"/>
      <c r="BY46" s="666"/>
      <c r="BZ46" s="666"/>
      <c r="CA46" s="666"/>
      <c r="CB46" s="666"/>
      <c r="CC46" s="666"/>
      <c r="CD46" s="666"/>
      <c r="CE46" s="666"/>
      <c r="CF46" s="666"/>
      <c r="CG46" s="666"/>
      <c r="CH46" s="666"/>
      <c r="CI46" s="666"/>
      <c r="CJ46" s="666"/>
      <c r="CK46" s="666"/>
      <c r="CL46" s="666"/>
      <c r="CM46" s="666"/>
      <c r="CN46" s="666"/>
      <c r="CO46" s="666"/>
      <c r="CP46" s="666"/>
      <c r="CQ46" s="666"/>
      <c r="CR46" s="666"/>
      <c r="CS46" s="666"/>
      <c r="CT46" s="666"/>
      <c r="CU46" s="666"/>
      <c r="CV46" s="666"/>
      <c r="CW46" s="666"/>
      <c r="CX46" s="666"/>
      <c r="CY46" s="666"/>
      <c r="CZ46" s="666"/>
      <c r="DA46" s="666"/>
      <c r="DB46" s="666"/>
      <c r="DC46" s="666"/>
      <c r="DD46" s="666"/>
      <c r="DE46" s="666"/>
      <c r="DF46" s="666"/>
      <c r="DG46" s="666"/>
      <c r="DH46" s="666"/>
      <c r="DI46" s="666"/>
      <c r="DJ46" s="666"/>
      <c r="DK46" s="666"/>
      <c r="DL46" s="666"/>
      <c r="DM46" s="666"/>
      <c r="DN46" s="666"/>
      <c r="DO46" s="666"/>
      <c r="DP46" s="666"/>
      <c r="DQ46" s="666"/>
      <c r="DR46" s="666"/>
      <c r="DS46" s="666"/>
      <c r="DT46" s="666"/>
      <c r="DU46" s="666"/>
      <c r="DV46" s="666"/>
      <c r="DW46" s="666"/>
      <c r="DX46" s="666"/>
      <c r="DY46" s="666"/>
      <c r="DZ46" s="666"/>
      <c r="EA46" s="666"/>
      <c r="EB46" s="666"/>
      <c r="EC46" s="666"/>
      <c r="ED46" s="666"/>
      <c r="EE46" s="666"/>
      <c r="EF46" s="666"/>
      <c r="EG46" s="666"/>
      <c r="EH46" s="666"/>
      <c r="EI46" s="666"/>
      <c r="EJ46" s="666"/>
      <c r="EK46" s="666"/>
      <c r="EL46" s="666"/>
      <c r="EM46" s="666"/>
      <c r="EN46" s="666"/>
      <c r="EO46" s="666"/>
      <c r="EP46" s="666"/>
      <c r="EQ46" s="666"/>
      <c r="ER46" s="666"/>
      <c r="ES46" s="666"/>
      <c r="ET46" s="666"/>
      <c r="EU46" s="666"/>
      <c r="EV46" s="666"/>
      <c r="EW46" s="666"/>
      <c r="EX46" s="666"/>
      <c r="EY46" s="666"/>
      <c r="EZ46" s="666"/>
      <c r="FA46" s="666"/>
      <c r="FB46" s="666"/>
      <c r="FC46" s="666"/>
      <c r="FD46" s="666"/>
      <c r="FE46" s="666"/>
      <c r="FF46" s="666"/>
      <c r="FG46" s="666"/>
      <c r="FH46" s="666"/>
      <c r="FI46" s="666"/>
      <c r="FJ46" s="666"/>
      <c r="FK46" s="666"/>
      <c r="FL46" s="666"/>
      <c r="FM46" s="666"/>
      <c r="FN46" s="666"/>
      <c r="FO46" s="666"/>
      <c r="FP46" s="666"/>
      <c r="FQ46" s="666"/>
      <c r="FR46" s="666"/>
      <c r="FS46" s="666"/>
      <c r="FT46" s="666"/>
      <c r="FU46" s="666"/>
      <c r="FV46" s="666"/>
      <c r="FW46" s="666"/>
      <c r="FX46" s="666"/>
      <c r="FY46" s="666"/>
      <c r="FZ46" s="666"/>
      <c r="GA46" s="666"/>
      <c r="GB46" s="666"/>
      <c r="GC46" s="666"/>
      <c r="GD46" s="666"/>
      <c r="GE46" s="666"/>
      <c r="GF46" s="666"/>
      <c r="GG46" s="666"/>
      <c r="GH46" s="666"/>
      <c r="GI46" s="666"/>
      <c r="GJ46" s="666"/>
      <c r="GK46" s="666"/>
      <c r="GL46" s="666"/>
      <c r="GM46" s="666"/>
      <c r="GN46" s="666"/>
      <c r="GO46" s="666"/>
      <c r="GP46" s="666"/>
      <c r="GQ46" s="666"/>
      <c r="GR46" s="666"/>
      <c r="GS46" s="666"/>
      <c r="GT46" s="666"/>
      <c r="GU46" s="666"/>
      <c r="GV46" s="666"/>
      <c r="GW46" s="666"/>
      <c r="GX46" s="666"/>
      <c r="GY46" s="666"/>
      <c r="GZ46" s="666"/>
      <c r="HA46" s="666"/>
      <c r="HB46" s="666"/>
      <c r="HC46" s="666"/>
      <c r="HD46" s="666"/>
      <c r="HE46" s="666"/>
      <c r="HF46" s="666"/>
      <c r="HG46" s="666"/>
      <c r="HH46" s="666"/>
      <c r="HI46" s="666"/>
      <c r="HJ46" s="666"/>
      <c r="HK46" s="666"/>
      <c r="HL46" s="666"/>
      <c r="HM46" s="666"/>
      <c r="HN46" s="666"/>
      <c r="HO46" s="666"/>
      <c r="HP46" s="666"/>
      <c r="HQ46" s="666"/>
      <c r="HR46" s="666"/>
      <c r="HS46" s="666"/>
      <c r="HT46" s="666"/>
      <c r="HU46" s="666"/>
      <c r="HV46" s="666"/>
      <c r="HW46" s="666"/>
      <c r="HX46" s="666"/>
      <c r="HY46" s="666"/>
      <c r="HZ46" s="666"/>
      <c r="IA46" s="666"/>
      <c r="IB46" s="666"/>
      <c r="IC46" s="666"/>
      <c r="ID46" s="666"/>
      <c r="IE46" s="666"/>
      <c r="IF46" s="666"/>
      <c r="IG46" s="666"/>
      <c r="IH46" s="666"/>
      <c r="II46" s="666"/>
      <c r="IJ46" s="666"/>
      <c r="IK46" s="666"/>
      <c r="IL46" s="666"/>
      <c r="IM46" s="666"/>
      <c r="IN46" s="666"/>
      <c r="IO46" s="666"/>
      <c r="IP46" s="666"/>
      <c r="IQ46" s="666"/>
      <c r="IR46" s="666"/>
      <c r="IS46" s="666"/>
      <c r="IT46" s="666"/>
      <c r="IU46" s="666"/>
      <c r="IV46" s="666"/>
      <c r="IW46" s="666"/>
      <c r="IX46" s="666"/>
      <c r="IY46" s="666"/>
      <c r="IZ46" s="666"/>
      <c r="JA46" s="666"/>
      <c r="JB46" s="666"/>
      <c r="JC46" s="666"/>
      <c r="JD46" s="666"/>
      <c r="JE46" s="666"/>
      <c r="JF46" s="666"/>
      <c r="JG46" s="666"/>
      <c r="JH46" s="666"/>
      <c r="JI46" s="666"/>
      <c r="JJ46" s="666"/>
      <c r="JK46" s="666"/>
      <c r="JL46" s="666"/>
      <c r="JM46" s="666"/>
      <c r="JN46" s="666"/>
      <c r="JO46" s="666"/>
      <c r="JP46" s="666"/>
      <c r="JQ46" s="666"/>
      <c r="JR46" s="666"/>
      <c r="JS46" s="666"/>
      <c r="JT46" s="666"/>
      <c r="JU46" s="666"/>
      <c r="JV46" s="666"/>
      <c r="JW46" s="666"/>
      <c r="JX46" s="666"/>
      <c r="JY46" s="666"/>
      <c r="JZ46" s="666"/>
      <c r="KA46" s="666"/>
      <c r="KB46" s="666"/>
      <c r="KC46" s="666"/>
      <c r="KD46" s="666"/>
      <c r="KE46" s="666"/>
      <c r="KF46" s="666"/>
      <c r="KG46" s="666"/>
      <c r="KH46" s="666"/>
      <c r="KI46" s="666"/>
      <c r="KJ46" s="666"/>
      <c r="KK46" s="666"/>
      <c r="KL46" s="666"/>
      <c r="KM46" s="666"/>
      <c r="KN46" s="666"/>
      <c r="KO46" s="666"/>
      <c r="KP46" s="666"/>
      <c r="KQ46" s="666"/>
      <c r="KR46" s="666"/>
      <c r="KS46" s="666"/>
      <c r="KT46" s="666"/>
      <c r="KU46" s="666"/>
      <c r="KV46" s="666"/>
      <c r="KW46" s="666"/>
      <c r="KX46" s="666"/>
      <c r="KY46" s="666"/>
      <c r="KZ46" s="666"/>
      <c r="LA46" s="666"/>
      <c r="LB46" s="666"/>
      <c r="LC46" s="666"/>
      <c r="LD46" s="666"/>
      <c r="LE46" s="666"/>
      <c r="LF46" s="666"/>
      <c r="LG46" s="666"/>
      <c r="LH46" s="666"/>
      <c r="LI46" s="666"/>
      <c r="LJ46" s="666"/>
      <c r="LK46" s="666"/>
      <c r="LL46" s="666"/>
      <c r="LM46" s="666"/>
      <c r="LN46" s="666"/>
      <c r="LO46" s="666"/>
      <c r="LP46" s="666"/>
      <c r="LQ46" s="666"/>
      <c r="LR46" s="666"/>
      <c r="LS46" s="666"/>
      <c r="LT46" s="666"/>
      <c r="LU46" s="666"/>
      <c r="LV46" s="666"/>
      <c r="LW46" s="666"/>
      <c r="LX46" s="666"/>
      <c r="LY46" s="666"/>
      <c r="LZ46" s="666"/>
      <c r="MA46" s="666"/>
      <c r="MB46" s="666"/>
      <c r="MC46" s="666"/>
      <c r="MD46" s="666"/>
      <c r="ME46" s="666"/>
      <c r="MF46" s="666"/>
      <c r="MG46" s="666"/>
      <c r="MH46" s="666"/>
      <c r="MI46" s="666"/>
      <c r="MJ46" s="666"/>
      <c r="MK46" s="666"/>
      <c r="ML46" s="666"/>
      <c r="MM46" s="666"/>
      <c r="MN46" s="666"/>
      <c r="MO46" s="666"/>
      <c r="MP46" s="666"/>
      <c r="MQ46" s="666"/>
      <c r="MR46" s="666"/>
      <c r="MS46" s="666"/>
      <c r="MT46" s="666"/>
    </row>
    <row r="47" spans="1:358" ht="15.6">
      <c r="A47" s="578"/>
      <c r="B47" s="37"/>
      <c r="C47" s="37"/>
      <c r="D47" s="37"/>
      <c r="E47" s="37"/>
      <c r="F47" s="37"/>
      <c r="G47" s="13"/>
      <c r="H47" s="591"/>
      <c r="I47" s="50"/>
      <c r="J47" s="50"/>
      <c r="K47" s="58"/>
      <c r="L47" s="9"/>
      <c r="M47" s="9"/>
      <c r="N47" s="9"/>
      <c r="O47" s="9"/>
      <c r="P47" s="141"/>
      <c r="Q47" s="437"/>
      <c r="R47" s="458"/>
      <c r="U47" s="435"/>
      <c r="V47" s="463"/>
      <c r="Y47" s="439"/>
      <c r="Z47" s="440"/>
      <c r="AA47" s="464"/>
      <c r="AB47" s="465"/>
      <c r="AD47" s="439"/>
      <c r="AE47" s="440"/>
      <c r="AF47" s="439"/>
      <c r="AG47" s="440"/>
      <c r="AH47" s="435"/>
      <c r="AI47" s="463"/>
      <c r="AJ47" s="433"/>
      <c r="AK47" s="490"/>
      <c r="AN47" s="464"/>
      <c r="AO47" s="465"/>
    </row>
    <row r="48" spans="1:358" s="11" customFormat="1" ht="3.75" customHeight="1">
      <c r="A48" s="574"/>
      <c r="B48" s="13"/>
      <c r="C48" s="13"/>
      <c r="D48" s="13"/>
      <c r="E48" s="13"/>
      <c r="F48" s="13"/>
      <c r="G48" s="13"/>
      <c r="H48" s="583"/>
      <c r="I48" s="13"/>
      <c r="J48" s="13"/>
      <c r="K48" s="515"/>
      <c r="L48" s="13"/>
      <c r="M48" s="13"/>
      <c r="N48" s="13"/>
      <c r="O48" s="13"/>
      <c r="P48" s="519"/>
      <c r="Q48" s="516"/>
      <c r="R48" s="517"/>
      <c r="S48" s="516"/>
      <c r="T48" s="517"/>
      <c r="U48" s="516"/>
      <c r="V48" s="517"/>
      <c r="W48" s="516"/>
      <c r="X48" s="517"/>
      <c r="Y48" s="516"/>
      <c r="Z48" s="518"/>
      <c r="AA48" s="520"/>
      <c r="AB48" s="520"/>
      <c r="AC48" s="163"/>
      <c r="AD48" s="516"/>
      <c r="AE48" s="518"/>
      <c r="AF48" s="516"/>
      <c r="AG48" s="518"/>
      <c r="AH48" s="516"/>
      <c r="AI48" s="517"/>
      <c r="AJ48" s="516"/>
      <c r="AK48" s="517"/>
      <c r="AL48" s="516"/>
      <c r="AM48" s="517"/>
      <c r="AN48" s="520"/>
      <c r="AO48" s="521"/>
      <c r="AQ48" s="538"/>
      <c r="AR48" s="538"/>
      <c r="AS48" s="538"/>
      <c r="AT48" s="538"/>
    </row>
    <row r="49" spans="1:358" s="158" customFormat="1" ht="15.6">
      <c r="A49" s="605">
        <v>16</v>
      </c>
      <c r="B49" s="409">
        <v>42</v>
      </c>
      <c r="C49" s="409" t="s">
        <v>688</v>
      </c>
      <c r="D49" s="409"/>
      <c r="E49" s="409" t="s">
        <v>650</v>
      </c>
      <c r="F49" s="409"/>
      <c r="G49" s="632"/>
      <c r="H49" s="881" t="s">
        <v>949</v>
      </c>
      <c r="I49" s="527"/>
      <c r="J49" s="527"/>
      <c r="K49" s="668"/>
      <c r="L49" s="410"/>
      <c r="M49" s="410"/>
      <c r="N49" s="410"/>
      <c r="O49" s="410"/>
      <c r="P49" s="656"/>
      <c r="Q49" s="840">
        <v>990154</v>
      </c>
      <c r="R49" s="845">
        <v>6082.56</v>
      </c>
      <c r="S49" s="842">
        <v>880648</v>
      </c>
      <c r="T49" s="844">
        <v>3675.57</v>
      </c>
      <c r="U49" s="435">
        <v>1081830</v>
      </c>
      <c r="V49" s="463">
        <v>9482.15</v>
      </c>
      <c r="W49" s="454"/>
      <c r="X49" s="536"/>
      <c r="Y49" s="439">
        <v>990154</v>
      </c>
      <c r="Z49" s="440">
        <v>9582.34</v>
      </c>
      <c r="AA49" s="464"/>
      <c r="AB49" s="465">
        <f t="shared" si="0"/>
        <v>28822.62</v>
      </c>
      <c r="AC49" s="666"/>
      <c r="AD49" s="439"/>
      <c r="AE49" s="440"/>
      <c r="AF49" s="439"/>
      <c r="AG49" s="440"/>
      <c r="AH49" s="435"/>
      <c r="AI49" s="463"/>
      <c r="AJ49" s="433"/>
      <c r="AK49" s="490"/>
      <c r="AL49" s="433"/>
      <c r="AM49" s="490"/>
      <c r="AN49" s="464"/>
      <c r="AO49" s="465"/>
      <c r="AP49" s="666"/>
      <c r="AQ49" s="439"/>
      <c r="AR49" s="534"/>
      <c r="AS49" s="671"/>
      <c r="AT49" s="672"/>
      <c r="AU49" s="666"/>
      <c r="AV49" s="666"/>
      <c r="AW49" s="666"/>
      <c r="AX49" s="666"/>
      <c r="AY49" s="666"/>
      <c r="AZ49" s="666"/>
      <c r="BA49" s="666"/>
      <c r="BB49" s="666"/>
      <c r="BC49" s="666"/>
      <c r="BD49" s="666"/>
      <c r="BE49" s="666"/>
      <c r="BF49" s="666"/>
      <c r="BG49" s="666"/>
      <c r="BH49" s="666"/>
      <c r="BI49" s="666"/>
      <c r="BJ49" s="666"/>
      <c r="BK49" s="666"/>
      <c r="BL49" s="666"/>
      <c r="BM49" s="666"/>
      <c r="BN49" s="666"/>
      <c r="BO49" s="666"/>
      <c r="BP49" s="666"/>
      <c r="BQ49" s="666"/>
      <c r="BR49" s="666"/>
      <c r="BS49" s="666"/>
      <c r="BT49" s="666"/>
      <c r="BU49" s="666"/>
      <c r="BV49" s="666"/>
      <c r="BW49" s="666"/>
      <c r="BX49" s="666"/>
      <c r="BY49" s="666"/>
      <c r="BZ49" s="666"/>
      <c r="CA49" s="666"/>
      <c r="CB49" s="666"/>
      <c r="CC49" s="666"/>
      <c r="CD49" s="666"/>
      <c r="CE49" s="666"/>
      <c r="CF49" s="666"/>
      <c r="CG49" s="666"/>
      <c r="CH49" s="666"/>
      <c r="CI49" s="666"/>
      <c r="CJ49" s="666"/>
      <c r="CK49" s="666"/>
      <c r="CL49" s="666"/>
      <c r="CM49" s="666"/>
      <c r="CN49" s="666"/>
      <c r="CO49" s="666"/>
      <c r="CP49" s="666"/>
      <c r="CQ49" s="666"/>
      <c r="CR49" s="666"/>
      <c r="CS49" s="666"/>
      <c r="CT49" s="666"/>
      <c r="CU49" s="666"/>
      <c r="CV49" s="666"/>
      <c r="CW49" s="666"/>
      <c r="CX49" s="666"/>
      <c r="CY49" s="666"/>
      <c r="CZ49" s="666"/>
      <c r="DA49" s="666"/>
      <c r="DB49" s="666"/>
      <c r="DC49" s="666"/>
      <c r="DD49" s="666"/>
      <c r="DE49" s="666"/>
      <c r="DF49" s="666"/>
      <c r="DG49" s="666"/>
      <c r="DH49" s="666"/>
      <c r="DI49" s="666"/>
      <c r="DJ49" s="666"/>
      <c r="DK49" s="666"/>
      <c r="DL49" s="666"/>
      <c r="DM49" s="666"/>
      <c r="DN49" s="666"/>
      <c r="DO49" s="666"/>
      <c r="DP49" s="666"/>
      <c r="DQ49" s="666"/>
      <c r="DR49" s="666"/>
      <c r="DS49" s="666"/>
      <c r="DT49" s="666"/>
      <c r="DU49" s="666"/>
      <c r="DV49" s="666"/>
      <c r="DW49" s="666"/>
      <c r="DX49" s="666"/>
      <c r="DY49" s="666"/>
      <c r="DZ49" s="666"/>
      <c r="EA49" s="666"/>
      <c r="EB49" s="666"/>
      <c r="EC49" s="666"/>
      <c r="ED49" s="666"/>
      <c r="EE49" s="666"/>
      <c r="EF49" s="666"/>
      <c r="EG49" s="666"/>
      <c r="EH49" s="666"/>
      <c r="EI49" s="666"/>
      <c r="EJ49" s="666"/>
      <c r="EK49" s="666"/>
      <c r="EL49" s="666"/>
      <c r="EM49" s="666"/>
      <c r="EN49" s="666"/>
      <c r="EO49" s="666"/>
      <c r="EP49" s="666"/>
      <c r="EQ49" s="666"/>
      <c r="ER49" s="666"/>
      <c r="ES49" s="666"/>
      <c r="ET49" s="666"/>
      <c r="EU49" s="666"/>
      <c r="EV49" s="666"/>
      <c r="EW49" s="666"/>
      <c r="EX49" s="666"/>
      <c r="EY49" s="666"/>
      <c r="EZ49" s="666"/>
      <c r="FA49" s="666"/>
      <c r="FB49" s="666"/>
      <c r="FC49" s="666"/>
      <c r="FD49" s="666"/>
      <c r="FE49" s="666"/>
      <c r="FF49" s="666"/>
      <c r="FG49" s="666"/>
      <c r="FH49" s="666"/>
      <c r="FI49" s="666"/>
      <c r="FJ49" s="666"/>
      <c r="FK49" s="666"/>
      <c r="FL49" s="666"/>
      <c r="FM49" s="666"/>
      <c r="FN49" s="666"/>
      <c r="FO49" s="666"/>
      <c r="FP49" s="666"/>
      <c r="FQ49" s="666"/>
      <c r="FR49" s="666"/>
      <c r="FS49" s="666"/>
      <c r="FT49" s="666"/>
      <c r="FU49" s="666"/>
      <c r="FV49" s="666"/>
      <c r="FW49" s="666"/>
      <c r="FX49" s="666"/>
      <c r="FY49" s="666"/>
      <c r="FZ49" s="666"/>
      <c r="GA49" s="666"/>
      <c r="GB49" s="666"/>
      <c r="GC49" s="666"/>
      <c r="GD49" s="666"/>
      <c r="GE49" s="666"/>
      <c r="GF49" s="666"/>
      <c r="GG49" s="666"/>
      <c r="GH49" s="666"/>
      <c r="GI49" s="666"/>
      <c r="GJ49" s="666"/>
      <c r="GK49" s="666"/>
      <c r="GL49" s="666"/>
      <c r="GM49" s="666"/>
      <c r="GN49" s="666"/>
      <c r="GO49" s="666"/>
      <c r="GP49" s="666"/>
      <c r="GQ49" s="666"/>
      <c r="GR49" s="666"/>
      <c r="GS49" s="666"/>
      <c r="GT49" s="666"/>
      <c r="GU49" s="666"/>
      <c r="GV49" s="666"/>
      <c r="GW49" s="666"/>
      <c r="GX49" s="666"/>
      <c r="GY49" s="666"/>
      <c r="GZ49" s="666"/>
      <c r="HA49" s="666"/>
      <c r="HB49" s="666"/>
      <c r="HC49" s="666"/>
      <c r="HD49" s="666"/>
      <c r="HE49" s="666"/>
      <c r="HF49" s="666"/>
      <c r="HG49" s="666"/>
      <c r="HH49" s="666"/>
      <c r="HI49" s="666"/>
      <c r="HJ49" s="666"/>
      <c r="HK49" s="666"/>
      <c r="HL49" s="666"/>
      <c r="HM49" s="666"/>
      <c r="HN49" s="666"/>
      <c r="HO49" s="666"/>
      <c r="HP49" s="666"/>
      <c r="HQ49" s="666"/>
      <c r="HR49" s="666"/>
      <c r="HS49" s="666"/>
      <c r="HT49" s="666"/>
      <c r="HU49" s="666"/>
      <c r="HV49" s="666"/>
      <c r="HW49" s="666"/>
      <c r="HX49" s="666"/>
      <c r="HY49" s="666"/>
      <c r="HZ49" s="666"/>
      <c r="IA49" s="666"/>
      <c r="IB49" s="666"/>
      <c r="IC49" s="666"/>
      <c r="ID49" s="666"/>
      <c r="IE49" s="666"/>
      <c r="IF49" s="666"/>
      <c r="IG49" s="666"/>
      <c r="IH49" s="666"/>
      <c r="II49" s="666"/>
      <c r="IJ49" s="666"/>
      <c r="IK49" s="666"/>
      <c r="IL49" s="666"/>
      <c r="IM49" s="666"/>
      <c r="IN49" s="666"/>
      <c r="IO49" s="666"/>
      <c r="IP49" s="666"/>
      <c r="IQ49" s="666"/>
      <c r="IR49" s="666"/>
      <c r="IS49" s="666"/>
      <c r="IT49" s="666"/>
      <c r="IU49" s="666"/>
      <c r="IV49" s="666"/>
      <c r="IW49" s="666"/>
      <c r="IX49" s="666"/>
      <c r="IY49" s="666"/>
      <c r="IZ49" s="666"/>
      <c r="JA49" s="666"/>
      <c r="JB49" s="666"/>
      <c r="JC49" s="666"/>
      <c r="JD49" s="666"/>
      <c r="JE49" s="666"/>
      <c r="JF49" s="666"/>
      <c r="JG49" s="666"/>
      <c r="JH49" s="666"/>
      <c r="JI49" s="666"/>
      <c r="JJ49" s="666"/>
      <c r="JK49" s="666"/>
      <c r="JL49" s="666"/>
      <c r="JM49" s="666"/>
      <c r="JN49" s="666"/>
      <c r="JO49" s="666"/>
      <c r="JP49" s="666"/>
      <c r="JQ49" s="666"/>
      <c r="JR49" s="666"/>
      <c r="JS49" s="666"/>
      <c r="JT49" s="666"/>
      <c r="JU49" s="666"/>
      <c r="JV49" s="666"/>
      <c r="JW49" s="666"/>
      <c r="JX49" s="666"/>
      <c r="JY49" s="666"/>
      <c r="JZ49" s="666"/>
      <c r="KA49" s="666"/>
      <c r="KB49" s="666"/>
      <c r="KC49" s="666"/>
      <c r="KD49" s="666"/>
      <c r="KE49" s="666"/>
      <c r="KF49" s="666"/>
      <c r="KG49" s="666"/>
      <c r="KH49" s="666"/>
      <c r="KI49" s="666"/>
      <c r="KJ49" s="666"/>
      <c r="KK49" s="666"/>
      <c r="KL49" s="666"/>
      <c r="KM49" s="666"/>
      <c r="KN49" s="666"/>
      <c r="KO49" s="666"/>
      <c r="KP49" s="666"/>
      <c r="KQ49" s="666"/>
      <c r="KR49" s="666"/>
      <c r="KS49" s="666"/>
      <c r="KT49" s="666"/>
      <c r="KU49" s="666"/>
      <c r="KV49" s="666"/>
      <c r="KW49" s="666"/>
      <c r="KX49" s="666"/>
      <c r="KY49" s="666"/>
      <c r="KZ49" s="666"/>
      <c r="LA49" s="666"/>
      <c r="LB49" s="666"/>
      <c r="LC49" s="666"/>
      <c r="LD49" s="666"/>
      <c r="LE49" s="666"/>
      <c r="LF49" s="666"/>
      <c r="LG49" s="666"/>
      <c r="LH49" s="666"/>
      <c r="LI49" s="666"/>
      <c r="LJ49" s="666"/>
      <c r="LK49" s="666"/>
      <c r="LL49" s="666"/>
      <c r="LM49" s="666"/>
      <c r="LN49" s="666"/>
      <c r="LO49" s="666"/>
      <c r="LP49" s="666"/>
      <c r="LQ49" s="666"/>
      <c r="LR49" s="666"/>
      <c r="LS49" s="666"/>
      <c r="LT49" s="666"/>
      <c r="LU49" s="666"/>
      <c r="LV49" s="666"/>
      <c r="LW49" s="666"/>
      <c r="LX49" s="666"/>
      <c r="LY49" s="666"/>
      <c r="LZ49" s="666"/>
      <c r="MA49" s="666"/>
      <c r="MB49" s="666"/>
      <c r="MC49" s="666"/>
      <c r="MD49" s="666"/>
      <c r="ME49" s="666"/>
      <c r="MF49" s="666"/>
      <c r="MG49" s="666"/>
      <c r="MH49" s="666"/>
      <c r="MI49" s="666"/>
      <c r="MJ49" s="666"/>
      <c r="MK49" s="666"/>
      <c r="ML49" s="666"/>
      <c r="MM49" s="666"/>
      <c r="MN49" s="666"/>
      <c r="MO49" s="666"/>
      <c r="MP49" s="666"/>
      <c r="MQ49" s="666"/>
      <c r="MR49" s="666"/>
      <c r="MS49" s="666"/>
      <c r="MT49" s="666"/>
    </row>
    <row r="50" spans="1:358" s="158" customFormat="1" ht="15.6">
      <c r="A50" s="687"/>
      <c r="B50" s="37"/>
      <c r="C50" s="37"/>
      <c r="D50" s="37"/>
      <c r="E50" s="37"/>
      <c r="F50" s="37"/>
      <c r="G50" s="632"/>
      <c r="H50" s="682"/>
      <c r="I50" s="409"/>
      <c r="J50" s="409"/>
      <c r="K50" s="556"/>
      <c r="L50" s="409"/>
      <c r="M50" s="409"/>
      <c r="N50" s="409"/>
      <c r="O50" s="409"/>
      <c r="P50" s="557"/>
      <c r="Q50" s="437"/>
      <c r="R50" s="458"/>
      <c r="S50" s="433"/>
      <c r="T50" s="490"/>
      <c r="U50" s="435"/>
      <c r="V50" s="463"/>
      <c r="W50" s="454"/>
      <c r="X50" s="536"/>
      <c r="Y50" s="439"/>
      <c r="Z50" s="440"/>
      <c r="AA50" s="464"/>
      <c r="AB50" s="465"/>
      <c r="AC50" s="163"/>
      <c r="AD50" s="439"/>
      <c r="AE50" s="440"/>
      <c r="AF50" s="439"/>
      <c r="AG50" s="440"/>
      <c r="AH50" s="435"/>
      <c r="AI50" s="463"/>
      <c r="AJ50" s="433"/>
      <c r="AK50" s="490"/>
      <c r="AL50" s="433"/>
      <c r="AM50" s="490"/>
      <c r="AN50" s="464"/>
      <c r="AO50" s="465"/>
      <c r="AP50" s="666"/>
      <c r="AQ50" s="439"/>
      <c r="AR50" s="534"/>
      <c r="AS50" s="671"/>
      <c r="AT50" s="672"/>
      <c r="AU50" s="666"/>
      <c r="AV50" s="666"/>
      <c r="AW50" s="666"/>
      <c r="AX50" s="666"/>
      <c r="AY50" s="666"/>
      <c r="AZ50" s="666"/>
      <c r="BA50" s="666"/>
      <c r="BB50" s="666"/>
      <c r="BC50" s="666"/>
      <c r="BD50" s="666"/>
      <c r="BE50" s="666"/>
      <c r="BF50" s="666"/>
      <c r="BG50" s="666"/>
      <c r="BH50" s="666"/>
      <c r="BI50" s="666"/>
      <c r="BJ50" s="666"/>
      <c r="BK50" s="666"/>
      <c r="BL50" s="666"/>
      <c r="BM50" s="666"/>
      <c r="BN50" s="666"/>
      <c r="BO50" s="666"/>
      <c r="BP50" s="666"/>
      <c r="BQ50" s="666"/>
      <c r="BR50" s="666"/>
      <c r="BS50" s="666"/>
      <c r="BT50" s="666"/>
      <c r="BU50" s="666"/>
      <c r="BV50" s="666"/>
      <c r="BW50" s="666"/>
      <c r="BX50" s="666"/>
      <c r="BY50" s="666"/>
      <c r="BZ50" s="666"/>
      <c r="CA50" s="666"/>
      <c r="CB50" s="666"/>
      <c r="CC50" s="666"/>
      <c r="CD50" s="666"/>
      <c r="CE50" s="666"/>
      <c r="CF50" s="666"/>
      <c r="CG50" s="666"/>
      <c r="CH50" s="666"/>
      <c r="CI50" s="666"/>
      <c r="CJ50" s="666"/>
      <c r="CK50" s="666"/>
      <c r="CL50" s="666"/>
      <c r="CM50" s="666"/>
      <c r="CN50" s="666"/>
      <c r="CO50" s="666"/>
      <c r="CP50" s="666"/>
      <c r="CQ50" s="666"/>
      <c r="CR50" s="666"/>
      <c r="CS50" s="666"/>
      <c r="CT50" s="666"/>
      <c r="CU50" s="666"/>
      <c r="CV50" s="666"/>
      <c r="CW50" s="666"/>
      <c r="CX50" s="666"/>
      <c r="CY50" s="666"/>
      <c r="CZ50" s="666"/>
      <c r="DA50" s="666"/>
      <c r="DB50" s="666"/>
      <c r="DC50" s="666"/>
      <c r="DD50" s="666"/>
      <c r="DE50" s="666"/>
      <c r="DF50" s="666"/>
      <c r="DG50" s="666"/>
      <c r="DH50" s="666"/>
      <c r="DI50" s="666"/>
      <c r="DJ50" s="666"/>
      <c r="DK50" s="666"/>
      <c r="DL50" s="666"/>
      <c r="DM50" s="666"/>
      <c r="DN50" s="666"/>
      <c r="DO50" s="666"/>
      <c r="DP50" s="666"/>
      <c r="DQ50" s="666"/>
      <c r="DR50" s="666"/>
      <c r="DS50" s="666"/>
      <c r="DT50" s="666"/>
      <c r="DU50" s="666"/>
      <c r="DV50" s="666"/>
      <c r="DW50" s="666"/>
      <c r="DX50" s="666"/>
      <c r="DY50" s="666"/>
      <c r="DZ50" s="666"/>
      <c r="EA50" s="666"/>
      <c r="EB50" s="666"/>
      <c r="EC50" s="666"/>
      <c r="ED50" s="666"/>
      <c r="EE50" s="666"/>
      <c r="EF50" s="666"/>
      <c r="EG50" s="666"/>
      <c r="EH50" s="666"/>
      <c r="EI50" s="666"/>
      <c r="EJ50" s="666"/>
      <c r="EK50" s="666"/>
      <c r="EL50" s="666"/>
      <c r="EM50" s="666"/>
      <c r="EN50" s="666"/>
      <c r="EO50" s="666"/>
      <c r="EP50" s="666"/>
      <c r="EQ50" s="666"/>
      <c r="ER50" s="666"/>
      <c r="ES50" s="666"/>
      <c r="ET50" s="666"/>
      <c r="EU50" s="666"/>
      <c r="EV50" s="666"/>
      <c r="EW50" s="666"/>
      <c r="EX50" s="666"/>
      <c r="EY50" s="666"/>
      <c r="EZ50" s="666"/>
      <c r="FA50" s="666"/>
      <c r="FB50" s="666"/>
      <c r="FC50" s="666"/>
      <c r="FD50" s="666"/>
      <c r="FE50" s="666"/>
      <c r="FF50" s="666"/>
      <c r="FG50" s="666"/>
      <c r="FH50" s="666"/>
      <c r="FI50" s="666"/>
      <c r="FJ50" s="666"/>
      <c r="FK50" s="666"/>
      <c r="FL50" s="666"/>
      <c r="FM50" s="666"/>
      <c r="FN50" s="666"/>
      <c r="FO50" s="666"/>
      <c r="FP50" s="666"/>
      <c r="FQ50" s="666"/>
      <c r="FR50" s="666"/>
      <c r="FS50" s="666"/>
      <c r="FT50" s="666"/>
      <c r="FU50" s="666"/>
      <c r="FV50" s="666"/>
      <c r="FW50" s="666"/>
      <c r="FX50" s="666"/>
      <c r="FY50" s="666"/>
      <c r="FZ50" s="666"/>
      <c r="GA50" s="666"/>
      <c r="GB50" s="666"/>
      <c r="GC50" s="666"/>
      <c r="GD50" s="666"/>
      <c r="GE50" s="666"/>
      <c r="GF50" s="666"/>
      <c r="GG50" s="666"/>
      <c r="GH50" s="666"/>
      <c r="GI50" s="666"/>
      <c r="GJ50" s="666"/>
      <c r="GK50" s="666"/>
      <c r="GL50" s="666"/>
      <c r="GM50" s="666"/>
      <c r="GN50" s="666"/>
      <c r="GO50" s="666"/>
      <c r="GP50" s="666"/>
      <c r="GQ50" s="666"/>
      <c r="GR50" s="666"/>
      <c r="GS50" s="666"/>
      <c r="GT50" s="666"/>
      <c r="GU50" s="666"/>
      <c r="GV50" s="666"/>
      <c r="GW50" s="666"/>
      <c r="GX50" s="666"/>
      <c r="GY50" s="666"/>
      <c r="GZ50" s="666"/>
      <c r="HA50" s="666"/>
      <c r="HB50" s="666"/>
      <c r="HC50" s="666"/>
      <c r="HD50" s="666"/>
      <c r="HE50" s="666"/>
      <c r="HF50" s="666"/>
      <c r="HG50" s="666"/>
      <c r="HH50" s="666"/>
      <c r="HI50" s="666"/>
      <c r="HJ50" s="666"/>
      <c r="HK50" s="666"/>
      <c r="HL50" s="666"/>
      <c r="HM50" s="666"/>
      <c r="HN50" s="666"/>
      <c r="HO50" s="666"/>
      <c r="HP50" s="666"/>
      <c r="HQ50" s="666"/>
      <c r="HR50" s="666"/>
      <c r="HS50" s="666"/>
      <c r="HT50" s="666"/>
      <c r="HU50" s="666"/>
      <c r="HV50" s="666"/>
      <c r="HW50" s="666"/>
      <c r="HX50" s="666"/>
      <c r="HY50" s="666"/>
      <c r="HZ50" s="666"/>
      <c r="IA50" s="666"/>
      <c r="IB50" s="666"/>
      <c r="IC50" s="666"/>
      <c r="ID50" s="666"/>
      <c r="IE50" s="666"/>
      <c r="IF50" s="666"/>
      <c r="IG50" s="666"/>
      <c r="IH50" s="666"/>
      <c r="II50" s="666"/>
      <c r="IJ50" s="666"/>
      <c r="IK50" s="666"/>
      <c r="IL50" s="666"/>
      <c r="IM50" s="666"/>
      <c r="IN50" s="666"/>
      <c r="IO50" s="666"/>
      <c r="IP50" s="666"/>
      <c r="IQ50" s="666"/>
      <c r="IR50" s="666"/>
      <c r="IS50" s="666"/>
      <c r="IT50" s="666"/>
      <c r="IU50" s="666"/>
      <c r="IV50" s="666"/>
      <c r="IW50" s="666"/>
      <c r="IX50" s="666"/>
      <c r="IY50" s="666"/>
      <c r="IZ50" s="666"/>
      <c r="JA50" s="666"/>
      <c r="JB50" s="666"/>
      <c r="JC50" s="666"/>
      <c r="JD50" s="666"/>
      <c r="JE50" s="666"/>
      <c r="JF50" s="666"/>
      <c r="JG50" s="666"/>
      <c r="JH50" s="666"/>
      <c r="JI50" s="666"/>
      <c r="JJ50" s="666"/>
      <c r="JK50" s="666"/>
      <c r="JL50" s="666"/>
      <c r="JM50" s="666"/>
      <c r="JN50" s="666"/>
      <c r="JO50" s="666"/>
      <c r="JP50" s="666"/>
      <c r="JQ50" s="666"/>
      <c r="JR50" s="666"/>
      <c r="JS50" s="666"/>
      <c r="JT50" s="666"/>
      <c r="JU50" s="666"/>
      <c r="JV50" s="666"/>
      <c r="JW50" s="666"/>
      <c r="JX50" s="666"/>
      <c r="JY50" s="666"/>
      <c r="JZ50" s="666"/>
      <c r="KA50" s="666"/>
      <c r="KB50" s="666"/>
      <c r="KC50" s="666"/>
      <c r="KD50" s="666"/>
      <c r="KE50" s="666"/>
      <c r="KF50" s="666"/>
      <c r="KG50" s="666"/>
      <c r="KH50" s="666"/>
      <c r="KI50" s="666"/>
      <c r="KJ50" s="666"/>
      <c r="KK50" s="666"/>
      <c r="KL50" s="666"/>
      <c r="KM50" s="666"/>
      <c r="KN50" s="666"/>
      <c r="KO50" s="666"/>
      <c r="KP50" s="666"/>
      <c r="KQ50" s="666"/>
      <c r="KR50" s="666"/>
      <c r="KS50" s="666"/>
      <c r="KT50" s="666"/>
      <c r="KU50" s="666"/>
      <c r="KV50" s="666"/>
      <c r="KW50" s="666"/>
      <c r="KX50" s="666"/>
      <c r="KY50" s="666"/>
      <c r="KZ50" s="666"/>
      <c r="LA50" s="666"/>
      <c r="LB50" s="666"/>
      <c r="LC50" s="666"/>
      <c r="LD50" s="666"/>
      <c r="LE50" s="666"/>
      <c r="LF50" s="666"/>
      <c r="LG50" s="666"/>
      <c r="LH50" s="666"/>
      <c r="LI50" s="666"/>
      <c r="LJ50" s="666"/>
      <c r="LK50" s="666"/>
      <c r="LL50" s="666"/>
      <c r="LM50" s="666"/>
      <c r="LN50" s="666"/>
      <c r="LO50" s="666"/>
      <c r="LP50" s="666"/>
      <c r="LQ50" s="666"/>
      <c r="LR50" s="666"/>
      <c r="LS50" s="666"/>
      <c r="LT50" s="666"/>
      <c r="LU50" s="666"/>
      <c r="LV50" s="666"/>
      <c r="LW50" s="666"/>
      <c r="LX50" s="666"/>
      <c r="LY50" s="666"/>
      <c r="LZ50" s="666"/>
      <c r="MA50" s="666"/>
      <c r="MB50" s="666"/>
      <c r="MC50" s="666"/>
      <c r="MD50" s="666"/>
      <c r="ME50" s="666"/>
      <c r="MF50" s="666"/>
      <c r="MG50" s="666"/>
      <c r="MH50" s="666"/>
      <c r="MI50" s="666"/>
      <c r="MJ50" s="666"/>
      <c r="MK50" s="666"/>
      <c r="ML50" s="666"/>
      <c r="MM50" s="666"/>
      <c r="MN50" s="666"/>
      <c r="MO50" s="666"/>
      <c r="MP50" s="666"/>
      <c r="MQ50" s="666"/>
      <c r="MR50" s="666"/>
      <c r="MS50" s="666"/>
      <c r="MT50" s="666"/>
    </row>
    <row r="51" spans="1:358" s="11" customFormat="1" ht="3.75" customHeight="1">
      <c r="A51" s="574"/>
      <c r="B51" s="13"/>
      <c r="C51" s="13"/>
      <c r="D51" s="13"/>
      <c r="E51" s="13"/>
      <c r="F51" s="13"/>
      <c r="G51" s="13"/>
      <c r="H51" s="683" t="e">
        <f>#REF!</f>
        <v>#REF!</v>
      </c>
      <c r="I51" s="13"/>
      <c r="J51" s="13"/>
      <c r="K51" s="515"/>
      <c r="L51" s="13"/>
      <c r="M51" s="13"/>
      <c r="N51" s="13"/>
      <c r="O51" s="13"/>
      <c r="P51" s="519"/>
      <c r="Q51" s="516"/>
      <c r="R51" s="517"/>
      <c r="S51" s="516"/>
      <c r="T51" s="517"/>
      <c r="U51" s="516"/>
      <c r="V51" s="517"/>
      <c r="W51" s="516"/>
      <c r="X51" s="517"/>
      <c r="Y51" s="516"/>
      <c r="Z51" s="518"/>
      <c r="AA51" s="520"/>
      <c r="AB51" s="520"/>
      <c r="AC51" s="163"/>
      <c r="AD51" s="516"/>
      <c r="AE51" s="518"/>
      <c r="AF51" s="516"/>
      <c r="AG51" s="518"/>
      <c r="AH51" s="516"/>
      <c r="AI51" s="517"/>
      <c r="AJ51" s="516"/>
      <c r="AK51" s="517"/>
      <c r="AL51" s="516"/>
      <c r="AM51" s="517"/>
      <c r="AN51" s="520"/>
      <c r="AO51" s="521"/>
      <c r="AQ51" s="538"/>
      <c r="AR51" s="538"/>
      <c r="AS51" s="538"/>
      <c r="AT51" s="538"/>
    </row>
    <row r="52" spans="1:358" ht="15.6">
      <c r="A52" s="577">
        <v>17</v>
      </c>
      <c r="B52" s="7">
        <v>42</v>
      </c>
      <c r="C52" s="7" t="s">
        <v>648</v>
      </c>
      <c r="D52" s="7"/>
      <c r="E52" s="98"/>
      <c r="F52" s="98"/>
      <c r="G52" s="13"/>
      <c r="H52" s="593"/>
      <c r="I52" s="409"/>
      <c r="J52" s="409"/>
      <c r="K52" s="556"/>
      <c r="L52" s="409"/>
      <c r="M52" s="409"/>
      <c r="N52" s="409"/>
      <c r="O52" s="409"/>
      <c r="P52" s="557"/>
      <c r="Q52" s="437"/>
      <c r="R52" s="458"/>
      <c r="Y52" s="439"/>
      <c r="Z52" s="440"/>
      <c r="AA52" s="464"/>
      <c r="AB52" s="465">
        <f t="shared" si="0"/>
        <v>0</v>
      </c>
      <c r="AD52" s="439"/>
      <c r="AE52" s="440"/>
      <c r="AF52" s="439"/>
      <c r="AG52" s="440"/>
      <c r="AH52" s="435"/>
      <c r="AI52" s="463"/>
      <c r="AJ52" s="433"/>
      <c r="AK52" s="490"/>
      <c r="AN52" s="464"/>
      <c r="AO52" s="465"/>
    </row>
    <row r="53" spans="1:358" ht="15.6">
      <c r="A53" s="578"/>
      <c r="B53" s="9"/>
      <c r="C53" s="9"/>
      <c r="D53" s="9"/>
      <c r="E53" s="37"/>
      <c r="F53" s="37"/>
      <c r="G53" s="13"/>
      <c r="H53" s="684"/>
      <c r="I53" s="50"/>
      <c r="J53" s="50"/>
      <c r="K53" s="58"/>
      <c r="L53" s="9"/>
      <c r="M53" s="9"/>
      <c r="N53" s="9"/>
      <c r="O53" s="9"/>
      <c r="P53" s="141"/>
      <c r="Q53" s="437"/>
      <c r="R53" s="458"/>
      <c r="Y53" s="439"/>
      <c r="Z53" s="440"/>
      <c r="AA53" s="464"/>
      <c r="AB53" s="465"/>
      <c r="AD53" s="439"/>
      <c r="AE53" s="440"/>
      <c r="AF53" s="439"/>
      <c r="AG53" s="440"/>
      <c r="AH53" s="435"/>
      <c r="AI53" s="463"/>
      <c r="AJ53" s="433"/>
      <c r="AK53" s="490"/>
      <c r="AN53" s="464"/>
      <c r="AO53" s="465"/>
    </row>
    <row r="54" spans="1:358" s="163" customFormat="1" ht="3.75" customHeight="1">
      <c r="A54" s="574"/>
      <c r="B54" s="13"/>
      <c r="C54" s="13"/>
      <c r="D54" s="13"/>
      <c r="E54" s="13"/>
      <c r="F54" s="13"/>
      <c r="G54" s="13"/>
      <c r="H54" s="683" t="e">
        <f>#REF!</f>
        <v>#REF!</v>
      </c>
      <c r="I54" s="13"/>
      <c r="J54" s="13"/>
      <c r="K54" s="515"/>
      <c r="L54" s="13"/>
      <c r="M54" s="13"/>
      <c r="N54" s="13"/>
      <c r="O54" s="13"/>
      <c r="P54" s="519"/>
      <c r="Q54" s="516"/>
      <c r="R54" s="517"/>
      <c r="S54" s="516"/>
      <c r="T54" s="517"/>
      <c r="U54" s="516"/>
      <c r="V54" s="517"/>
      <c r="W54" s="516"/>
      <c r="X54" s="517"/>
      <c r="Y54" s="516"/>
      <c r="Z54" s="518"/>
      <c r="AA54" s="558"/>
      <c r="AB54" s="558"/>
      <c r="AD54" s="516"/>
      <c r="AE54" s="518"/>
      <c r="AF54" s="516"/>
      <c r="AG54" s="518"/>
      <c r="AH54" s="516"/>
      <c r="AI54" s="517"/>
      <c r="AJ54" s="516"/>
      <c r="AK54" s="517"/>
      <c r="AL54" s="516"/>
      <c r="AM54" s="517"/>
      <c r="AN54" s="520"/>
      <c r="AO54" s="521"/>
      <c r="AQ54" s="538"/>
      <c r="AR54" s="538"/>
      <c r="AS54" s="538"/>
      <c r="AT54" s="538"/>
    </row>
    <row r="55" spans="1:358" ht="15.6">
      <c r="A55" s="576">
        <v>18</v>
      </c>
      <c r="B55" s="7">
        <v>42</v>
      </c>
      <c r="C55" s="7" t="s">
        <v>647</v>
      </c>
      <c r="D55" s="7"/>
      <c r="E55" s="7"/>
      <c r="F55" s="7"/>
      <c r="G55" s="13"/>
      <c r="H55" s="588"/>
      <c r="I55" s="7"/>
      <c r="J55" s="7"/>
      <c r="K55" s="57"/>
      <c r="L55" s="7"/>
      <c r="M55" s="7"/>
      <c r="N55" s="7"/>
      <c r="O55" s="7"/>
      <c r="P55" s="103"/>
      <c r="Z55" s="323"/>
      <c r="AA55" s="309"/>
      <c r="AB55" s="465">
        <f t="shared" si="0"/>
        <v>0</v>
      </c>
      <c r="AE55" s="323"/>
      <c r="AG55" s="323"/>
      <c r="AN55" s="309"/>
      <c r="AO55" s="230"/>
    </row>
    <row r="56" spans="1:358" ht="15.6">
      <c r="A56" s="579"/>
      <c r="B56" s="50"/>
      <c r="C56" s="9"/>
      <c r="D56" s="9"/>
      <c r="E56" s="9"/>
      <c r="F56" s="9"/>
      <c r="G56" s="13"/>
      <c r="H56" s="589"/>
      <c r="I56" s="50"/>
      <c r="J56" s="50"/>
      <c r="K56" s="58"/>
      <c r="L56" s="9"/>
      <c r="M56" s="9"/>
      <c r="N56" s="9"/>
      <c r="O56" s="9"/>
      <c r="P56" s="141"/>
      <c r="Z56" s="323"/>
      <c r="AA56" s="309"/>
      <c r="AB56" s="465"/>
      <c r="AE56" s="323"/>
      <c r="AG56" s="323"/>
      <c r="AN56" s="309"/>
      <c r="AO56" s="230"/>
    </row>
    <row r="57" spans="1:358" s="163" customFormat="1" ht="3.75" customHeight="1">
      <c r="A57" s="574"/>
      <c r="B57" s="13"/>
      <c r="C57" s="13"/>
      <c r="D57" s="13"/>
      <c r="E57" s="13"/>
      <c r="F57" s="13"/>
      <c r="G57" s="13"/>
      <c r="H57" s="583"/>
      <c r="I57" s="13"/>
      <c r="J57" s="13"/>
      <c r="K57" s="515"/>
      <c r="L57" s="13"/>
      <c r="M57" s="13"/>
      <c r="N57" s="13"/>
      <c r="O57" s="13"/>
      <c r="P57" s="519"/>
      <c r="Q57" s="516"/>
      <c r="R57" s="517"/>
      <c r="S57" s="516"/>
      <c r="T57" s="517"/>
      <c r="U57" s="516"/>
      <c r="V57" s="517"/>
      <c r="W57" s="516"/>
      <c r="X57" s="517"/>
      <c r="Y57" s="516"/>
      <c r="Z57" s="518"/>
      <c r="AA57" s="520"/>
      <c r="AB57" s="520"/>
      <c r="AD57" s="516"/>
      <c r="AE57" s="518"/>
      <c r="AF57" s="516"/>
      <c r="AG57" s="518"/>
      <c r="AH57" s="516"/>
      <c r="AI57" s="517"/>
      <c r="AJ57" s="516"/>
      <c r="AK57" s="517"/>
      <c r="AL57" s="516"/>
      <c r="AM57" s="517"/>
      <c r="AN57" s="520"/>
      <c r="AO57" s="521"/>
      <c r="AQ57" s="538"/>
      <c r="AR57" s="538"/>
      <c r="AS57" s="538"/>
      <c r="AT57" s="538"/>
    </row>
    <row r="58" spans="1:358" ht="15.6">
      <c r="A58" s="576">
        <v>19</v>
      </c>
      <c r="B58" s="7">
        <v>42</v>
      </c>
      <c r="C58" s="7" t="s">
        <v>688</v>
      </c>
      <c r="D58" s="7"/>
      <c r="E58" s="7"/>
      <c r="F58" s="7"/>
      <c r="G58" s="13"/>
      <c r="H58" s="588"/>
      <c r="I58" s="7"/>
      <c r="J58" s="7"/>
      <c r="K58" s="57"/>
      <c r="L58" s="7"/>
      <c r="M58" s="7"/>
      <c r="N58" s="7"/>
      <c r="O58" s="7"/>
      <c r="P58" s="103"/>
      <c r="Z58" s="323"/>
      <c r="AA58" s="309"/>
      <c r="AB58" s="465">
        <f t="shared" si="0"/>
        <v>0</v>
      </c>
      <c r="AE58" s="323"/>
      <c r="AG58" s="323"/>
      <c r="AN58" s="309"/>
      <c r="AO58" s="230"/>
    </row>
    <row r="59" spans="1:358" ht="15.6">
      <c r="A59" s="579"/>
      <c r="B59" s="50"/>
      <c r="C59" s="9"/>
      <c r="D59" s="9"/>
      <c r="E59" s="9"/>
      <c r="F59" s="9"/>
      <c r="G59" s="13"/>
      <c r="H59" s="589"/>
      <c r="I59" s="50"/>
      <c r="J59" s="50"/>
      <c r="K59" s="58"/>
      <c r="L59" s="9"/>
      <c r="M59" s="9"/>
      <c r="N59" s="9"/>
      <c r="O59" s="9"/>
      <c r="P59" s="141"/>
      <c r="Z59" s="323"/>
      <c r="AA59" s="309"/>
      <c r="AB59" s="465"/>
      <c r="AE59" s="323"/>
      <c r="AG59" s="323"/>
      <c r="AN59" s="309"/>
      <c r="AO59" s="230"/>
    </row>
    <row r="60" spans="1:358" s="163" customFormat="1" ht="3.75" customHeight="1">
      <c r="A60" s="574"/>
      <c r="B60" s="13"/>
      <c r="C60" s="13"/>
      <c r="D60" s="13"/>
      <c r="E60" s="13"/>
      <c r="F60" s="13"/>
      <c r="G60" s="13"/>
      <c r="H60" s="583"/>
      <c r="I60" s="13"/>
      <c r="J60" s="13"/>
      <c r="K60" s="515"/>
      <c r="L60" s="13"/>
      <c r="M60" s="13"/>
      <c r="N60" s="13"/>
      <c r="O60" s="13"/>
      <c r="P60" s="519"/>
      <c r="Q60" s="516"/>
      <c r="R60" s="517"/>
      <c r="S60" s="516"/>
      <c r="T60" s="517"/>
      <c r="U60" s="516"/>
      <c r="V60" s="517"/>
      <c r="W60" s="516"/>
      <c r="X60" s="517"/>
      <c r="Y60" s="516"/>
      <c r="Z60" s="518"/>
      <c r="AA60" s="520"/>
      <c r="AB60" s="520"/>
      <c r="AD60" s="516"/>
      <c r="AE60" s="518"/>
      <c r="AF60" s="516"/>
      <c r="AG60" s="518"/>
      <c r="AH60" s="516"/>
      <c r="AI60" s="517"/>
      <c r="AJ60" s="516"/>
      <c r="AK60" s="517"/>
      <c r="AL60" s="516"/>
      <c r="AM60" s="517"/>
      <c r="AN60" s="520"/>
      <c r="AO60" s="521"/>
      <c r="AQ60" s="538"/>
      <c r="AR60" s="538"/>
      <c r="AS60" s="538"/>
      <c r="AT60" s="538"/>
    </row>
    <row r="61" spans="1:358" s="158" customFormat="1" ht="15.6">
      <c r="A61" s="605">
        <v>20</v>
      </c>
      <c r="B61" s="409">
        <v>42</v>
      </c>
      <c r="C61" s="409" t="s">
        <v>649</v>
      </c>
      <c r="D61" s="409"/>
      <c r="E61" s="409" t="s">
        <v>650</v>
      </c>
      <c r="F61" s="409"/>
      <c r="G61" s="632"/>
      <c r="H61" s="663" t="s">
        <v>950</v>
      </c>
      <c r="I61" s="409"/>
      <c r="J61" s="409"/>
      <c r="K61" s="556"/>
      <c r="L61" s="409"/>
      <c r="M61" s="409"/>
      <c r="N61" s="409"/>
      <c r="O61" s="409"/>
      <c r="P61" s="557"/>
      <c r="Q61" s="840">
        <v>990164</v>
      </c>
      <c r="R61" s="845">
        <v>6082.56</v>
      </c>
      <c r="S61" s="842">
        <v>880709</v>
      </c>
      <c r="T61" s="844">
        <v>3052.82</v>
      </c>
      <c r="U61" s="912">
        <v>1081831</v>
      </c>
      <c r="V61" s="932">
        <v>9482.15</v>
      </c>
      <c r="W61" s="454"/>
      <c r="X61" s="536"/>
      <c r="Y61" s="439">
        <v>990164</v>
      </c>
      <c r="Z61" s="440">
        <v>9582.34</v>
      </c>
      <c r="AA61" s="464"/>
      <c r="AB61" s="465">
        <f t="shared" si="0"/>
        <v>28199.87</v>
      </c>
      <c r="AC61" s="666"/>
      <c r="AD61" s="439"/>
      <c r="AE61" s="627"/>
      <c r="AF61" s="439"/>
      <c r="AG61" s="627"/>
      <c r="AH61" s="435"/>
      <c r="AI61" s="463"/>
      <c r="AJ61" s="433"/>
      <c r="AK61" s="490"/>
      <c r="AL61" s="433"/>
      <c r="AM61" s="490"/>
      <c r="AN61" s="464"/>
      <c r="AO61" s="465"/>
      <c r="AP61" s="666"/>
      <c r="AQ61" s="439"/>
      <c r="AR61" s="534"/>
      <c r="AS61" s="671"/>
      <c r="AT61" s="672"/>
      <c r="AU61" s="666"/>
      <c r="AV61" s="666"/>
      <c r="AW61" s="666"/>
      <c r="AX61" s="666"/>
      <c r="AY61" s="666"/>
      <c r="AZ61" s="666"/>
      <c r="BA61" s="666"/>
      <c r="BB61" s="666"/>
      <c r="BC61" s="666"/>
      <c r="BD61" s="666"/>
      <c r="BE61" s="666"/>
      <c r="BF61" s="666"/>
      <c r="BG61" s="666"/>
      <c r="BH61" s="666"/>
      <c r="BI61" s="666"/>
      <c r="BJ61" s="666"/>
      <c r="BK61" s="666"/>
      <c r="BL61" s="666"/>
      <c r="BM61" s="666"/>
      <c r="BN61" s="666"/>
      <c r="BO61" s="666"/>
      <c r="BP61" s="666"/>
      <c r="BQ61" s="666"/>
      <c r="BR61" s="666"/>
      <c r="BS61" s="666"/>
      <c r="BT61" s="666"/>
      <c r="BU61" s="666"/>
      <c r="BV61" s="666"/>
      <c r="BW61" s="666"/>
      <c r="BX61" s="666"/>
      <c r="BY61" s="666"/>
      <c r="BZ61" s="666"/>
      <c r="CA61" s="666"/>
      <c r="CB61" s="666"/>
      <c r="CC61" s="666"/>
      <c r="CD61" s="666"/>
      <c r="CE61" s="666"/>
      <c r="CF61" s="666"/>
      <c r="CG61" s="666"/>
      <c r="CH61" s="666"/>
      <c r="CI61" s="666"/>
      <c r="CJ61" s="666"/>
      <c r="CK61" s="666"/>
      <c r="CL61" s="666"/>
      <c r="CM61" s="666"/>
      <c r="CN61" s="666"/>
      <c r="CO61" s="666"/>
      <c r="CP61" s="666"/>
      <c r="CQ61" s="666"/>
      <c r="CR61" s="666"/>
      <c r="CS61" s="666"/>
      <c r="CT61" s="666"/>
      <c r="CU61" s="666"/>
      <c r="CV61" s="666"/>
      <c r="CW61" s="666"/>
      <c r="CX61" s="666"/>
      <c r="CY61" s="666"/>
      <c r="CZ61" s="666"/>
      <c r="DA61" s="666"/>
      <c r="DB61" s="666"/>
      <c r="DC61" s="666"/>
      <c r="DD61" s="666"/>
      <c r="DE61" s="666"/>
      <c r="DF61" s="666"/>
      <c r="DG61" s="666"/>
      <c r="DH61" s="666"/>
      <c r="DI61" s="666"/>
      <c r="DJ61" s="666"/>
      <c r="DK61" s="666"/>
      <c r="DL61" s="666"/>
      <c r="DM61" s="666"/>
      <c r="DN61" s="666"/>
      <c r="DO61" s="666"/>
      <c r="DP61" s="666"/>
      <c r="DQ61" s="666"/>
      <c r="DR61" s="666"/>
      <c r="DS61" s="666"/>
      <c r="DT61" s="666"/>
      <c r="DU61" s="666"/>
      <c r="DV61" s="666"/>
      <c r="DW61" s="666"/>
      <c r="DX61" s="666"/>
      <c r="DY61" s="666"/>
      <c r="DZ61" s="666"/>
      <c r="EA61" s="666"/>
      <c r="EB61" s="666"/>
      <c r="EC61" s="666"/>
      <c r="ED61" s="666"/>
      <c r="EE61" s="666"/>
      <c r="EF61" s="666"/>
      <c r="EG61" s="666"/>
      <c r="EH61" s="666"/>
      <c r="EI61" s="666"/>
      <c r="EJ61" s="666"/>
      <c r="EK61" s="666"/>
      <c r="EL61" s="666"/>
      <c r="EM61" s="666"/>
      <c r="EN61" s="666"/>
      <c r="EO61" s="666"/>
      <c r="EP61" s="666"/>
      <c r="EQ61" s="666"/>
      <c r="ER61" s="666"/>
      <c r="ES61" s="666"/>
      <c r="ET61" s="666"/>
      <c r="EU61" s="666"/>
      <c r="EV61" s="666"/>
      <c r="EW61" s="666"/>
      <c r="EX61" s="666"/>
      <c r="EY61" s="666"/>
      <c r="EZ61" s="666"/>
      <c r="FA61" s="666"/>
      <c r="FB61" s="666"/>
      <c r="FC61" s="666"/>
      <c r="FD61" s="666"/>
      <c r="FE61" s="666"/>
      <c r="FF61" s="666"/>
      <c r="FG61" s="666"/>
      <c r="FH61" s="666"/>
      <c r="FI61" s="666"/>
      <c r="FJ61" s="666"/>
      <c r="FK61" s="666"/>
      <c r="FL61" s="666"/>
      <c r="FM61" s="666"/>
      <c r="FN61" s="666"/>
      <c r="FO61" s="666"/>
      <c r="FP61" s="666"/>
      <c r="FQ61" s="666"/>
      <c r="FR61" s="666"/>
      <c r="FS61" s="666"/>
      <c r="FT61" s="666"/>
      <c r="FU61" s="666"/>
      <c r="FV61" s="666"/>
      <c r="FW61" s="666"/>
      <c r="FX61" s="666"/>
      <c r="FY61" s="666"/>
      <c r="FZ61" s="666"/>
      <c r="GA61" s="666"/>
      <c r="GB61" s="666"/>
      <c r="GC61" s="666"/>
      <c r="GD61" s="666"/>
      <c r="GE61" s="666"/>
      <c r="GF61" s="666"/>
      <c r="GG61" s="666"/>
      <c r="GH61" s="666"/>
      <c r="GI61" s="666"/>
      <c r="GJ61" s="666"/>
      <c r="GK61" s="666"/>
      <c r="GL61" s="666"/>
      <c r="GM61" s="666"/>
      <c r="GN61" s="666"/>
      <c r="GO61" s="666"/>
      <c r="GP61" s="666"/>
      <c r="GQ61" s="666"/>
      <c r="GR61" s="666"/>
      <c r="GS61" s="666"/>
      <c r="GT61" s="666"/>
      <c r="GU61" s="666"/>
      <c r="GV61" s="666"/>
      <c r="GW61" s="666"/>
      <c r="GX61" s="666"/>
      <c r="GY61" s="666"/>
      <c r="GZ61" s="666"/>
      <c r="HA61" s="666"/>
      <c r="HB61" s="666"/>
      <c r="HC61" s="666"/>
      <c r="HD61" s="666"/>
      <c r="HE61" s="666"/>
      <c r="HF61" s="666"/>
      <c r="HG61" s="666"/>
      <c r="HH61" s="666"/>
      <c r="HI61" s="666"/>
      <c r="HJ61" s="666"/>
      <c r="HK61" s="666"/>
      <c r="HL61" s="666"/>
      <c r="HM61" s="666"/>
      <c r="HN61" s="666"/>
      <c r="HO61" s="666"/>
      <c r="HP61" s="666"/>
      <c r="HQ61" s="666"/>
      <c r="HR61" s="666"/>
      <c r="HS61" s="666"/>
      <c r="HT61" s="666"/>
      <c r="HU61" s="666"/>
      <c r="HV61" s="666"/>
      <c r="HW61" s="666"/>
      <c r="HX61" s="666"/>
      <c r="HY61" s="666"/>
      <c r="HZ61" s="666"/>
      <c r="IA61" s="666"/>
      <c r="IB61" s="666"/>
      <c r="IC61" s="666"/>
      <c r="ID61" s="666"/>
      <c r="IE61" s="666"/>
      <c r="IF61" s="666"/>
      <c r="IG61" s="666"/>
      <c r="IH61" s="666"/>
      <c r="II61" s="666"/>
      <c r="IJ61" s="666"/>
      <c r="IK61" s="666"/>
      <c r="IL61" s="666"/>
      <c r="IM61" s="666"/>
      <c r="IN61" s="666"/>
      <c r="IO61" s="666"/>
      <c r="IP61" s="666"/>
      <c r="IQ61" s="666"/>
      <c r="IR61" s="666"/>
      <c r="IS61" s="666"/>
      <c r="IT61" s="666"/>
      <c r="IU61" s="666"/>
      <c r="IV61" s="666"/>
      <c r="IW61" s="666"/>
      <c r="IX61" s="666"/>
      <c r="IY61" s="666"/>
      <c r="IZ61" s="666"/>
      <c r="JA61" s="666"/>
      <c r="JB61" s="666"/>
      <c r="JC61" s="666"/>
      <c r="JD61" s="666"/>
      <c r="JE61" s="666"/>
      <c r="JF61" s="666"/>
      <c r="JG61" s="666"/>
      <c r="JH61" s="666"/>
      <c r="JI61" s="666"/>
      <c r="JJ61" s="666"/>
      <c r="JK61" s="666"/>
      <c r="JL61" s="666"/>
      <c r="JM61" s="666"/>
      <c r="JN61" s="666"/>
      <c r="JO61" s="666"/>
      <c r="JP61" s="666"/>
      <c r="JQ61" s="666"/>
      <c r="JR61" s="666"/>
      <c r="JS61" s="666"/>
      <c r="JT61" s="666"/>
      <c r="JU61" s="666"/>
      <c r="JV61" s="666"/>
      <c r="JW61" s="666"/>
      <c r="JX61" s="666"/>
      <c r="JY61" s="666"/>
      <c r="JZ61" s="666"/>
      <c r="KA61" s="666"/>
      <c r="KB61" s="666"/>
      <c r="KC61" s="666"/>
      <c r="KD61" s="666"/>
      <c r="KE61" s="666"/>
      <c r="KF61" s="666"/>
      <c r="KG61" s="666"/>
      <c r="KH61" s="666"/>
      <c r="KI61" s="666"/>
      <c r="KJ61" s="666"/>
      <c r="KK61" s="666"/>
      <c r="KL61" s="666"/>
      <c r="KM61" s="666"/>
      <c r="KN61" s="666"/>
      <c r="KO61" s="666"/>
      <c r="KP61" s="666"/>
      <c r="KQ61" s="666"/>
      <c r="KR61" s="666"/>
      <c r="KS61" s="666"/>
      <c r="KT61" s="666"/>
      <c r="KU61" s="666"/>
      <c r="KV61" s="666"/>
      <c r="KW61" s="666"/>
      <c r="KX61" s="666"/>
      <c r="KY61" s="666"/>
      <c r="KZ61" s="666"/>
      <c r="LA61" s="666"/>
      <c r="LB61" s="666"/>
      <c r="LC61" s="666"/>
      <c r="LD61" s="666"/>
      <c r="LE61" s="666"/>
      <c r="LF61" s="666"/>
      <c r="LG61" s="666"/>
      <c r="LH61" s="666"/>
      <c r="LI61" s="666"/>
      <c r="LJ61" s="666"/>
      <c r="LK61" s="666"/>
      <c r="LL61" s="666"/>
      <c r="LM61" s="666"/>
      <c r="LN61" s="666"/>
      <c r="LO61" s="666"/>
      <c r="LP61" s="666"/>
      <c r="LQ61" s="666"/>
      <c r="LR61" s="666"/>
      <c r="LS61" s="666"/>
      <c r="LT61" s="666"/>
      <c r="LU61" s="666"/>
      <c r="LV61" s="666"/>
      <c r="LW61" s="666"/>
      <c r="LX61" s="666"/>
      <c r="LY61" s="666"/>
      <c r="LZ61" s="666"/>
      <c r="MA61" s="666"/>
      <c r="MB61" s="666"/>
      <c r="MC61" s="666"/>
      <c r="MD61" s="666"/>
      <c r="ME61" s="666"/>
      <c r="MF61" s="666"/>
      <c r="MG61" s="666"/>
      <c r="MH61" s="666"/>
      <c r="MI61" s="666"/>
      <c r="MJ61" s="666"/>
      <c r="MK61" s="666"/>
      <c r="ML61" s="666"/>
      <c r="MM61" s="666"/>
      <c r="MN61" s="666"/>
      <c r="MO61" s="666"/>
      <c r="MP61" s="666"/>
      <c r="MQ61" s="666"/>
      <c r="MR61" s="666"/>
      <c r="MS61" s="666"/>
      <c r="MT61" s="666"/>
    </row>
    <row r="62" spans="1:358" ht="15.6">
      <c r="A62" s="579"/>
      <c r="B62" s="50"/>
      <c r="C62" s="9"/>
      <c r="D62" s="9"/>
      <c r="E62" s="9"/>
      <c r="F62" s="9"/>
      <c r="G62" s="13"/>
      <c r="H62" s="589"/>
      <c r="I62" s="50"/>
      <c r="J62" s="50"/>
      <c r="K62" s="58"/>
      <c r="L62" s="9"/>
      <c r="M62" s="9"/>
      <c r="N62" s="9"/>
      <c r="O62" s="9"/>
      <c r="P62" s="141"/>
      <c r="Z62" s="323"/>
      <c r="AA62" s="309"/>
      <c r="AB62" s="465"/>
      <c r="AE62" s="323"/>
      <c r="AG62" s="323"/>
      <c r="AN62" s="309"/>
      <c r="AO62" s="230"/>
    </row>
    <row r="63" spans="1:358" s="163" customFormat="1" ht="3.75" customHeight="1">
      <c r="A63" s="574"/>
      <c r="B63" s="13"/>
      <c r="C63" s="13"/>
      <c r="D63" s="13"/>
      <c r="E63" s="13"/>
      <c r="F63" s="13"/>
      <c r="G63" s="13"/>
      <c r="H63" s="583"/>
      <c r="I63" s="13"/>
      <c r="J63" s="13"/>
      <c r="K63" s="515"/>
      <c r="L63" s="13"/>
      <c r="M63" s="13"/>
      <c r="N63" s="13"/>
      <c r="O63" s="13"/>
      <c r="P63" s="519"/>
      <c r="Q63" s="516"/>
      <c r="R63" s="517"/>
      <c r="S63" s="516"/>
      <c r="T63" s="517"/>
      <c r="U63" s="516"/>
      <c r="V63" s="517"/>
      <c r="W63" s="516"/>
      <c r="X63" s="517"/>
      <c r="Y63" s="516"/>
      <c r="Z63" s="518"/>
      <c r="AA63" s="520"/>
      <c r="AB63" s="520"/>
      <c r="AD63" s="516"/>
      <c r="AE63" s="518"/>
      <c r="AF63" s="516"/>
      <c r="AG63" s="518"/>
      <c r="AH63" s="516"/>
      <c r="AI63" s="517"/>
      <c r="AJ63" s="516"/>
      <c r="AK63" s="517"/>
      <c r="AL63" s="516"/>
      <c r="AM63" s="517"/>
      <c r="AN63" s="520"/>
      <c r="AO63" s="521"/>
      <c r="AQ63" s="538"/>
      <c r="AR63" s="538"/>
      <c r="AS63" s="538"/>
      <c r="AT63" s="538"/>
    </row>
    <row r="64" spans="1:358" s="158" customFormat="1" ht="15.6">
      <c r="A64" s="605">
        <v>21</v>
      </c>
      <c r="B64" s="409">
        <v>42</v>
      </c>
      <c r="C64" s="409" t="s">
        <v>648</v>
      </c>
      <c r="D64" s="409"/>
      <c r="E64" s="409" t="s">
        <v>650</v>
      </c>
      <c r="F64" s="409"/>
      <c r="G64" s="632"/>
      <c r="H64" s="663" t="s">
        <v>951</v>
      </c>
      <c r="I64" s="409"/>
      <c r="J64" s="409"/>
      <c r="K64" s="556"/>
      <c r="L64" s="409"/>
      <c r="M64" s="409"/>
      <c r="N64" s="409"/>
      <c r="O64" s="409"/>
      <c r="P64" s="557"/>
      <c r="Q64" s="437">
        <v>753958</v>
      </c>
      <c r="R64" s="458">
        <v>14227.54</v>
      </c>
      <c r="S64" s="842">
        <v>753842</v>
      </c>
      <c r="T64" s="844">
        <v>607</v>
      </c>
      <c r="U64" s="435"/>
      <c r="V64" s="463"/>
      <c r="W64" s="454"/>
      <c r="X64" s="536"/>
      <c r="Y64" s="846">
        <v>753958</v>
      </c>
      <c r="Z64" s="861">
        <v>9582.34</v>
      </c>
      <c r="AA64" s="464"/>
      <c r="AB64" s="465">
        <f>Z64+V64+T64+R64</f>
        <v>24416.880000000001</v>
      </c>
      <c r="AC64" s="666"/>
      <c r="AD64" s="439"/>
      <c r="AE64" s="627"/>
      <c r="AF64" s="439"/>
      <c r="AG64" s="627"/>
      <c r="AH64" s="435"/>
      <c r="AI64" s="463"/>
      <c r="AJ64" s="433"/>
      <c r="AK64" s="490"/>
      <c r="AL64" s="433"/>
      <c r="AM64" s="490"/>
      <c r="AN64" s="464"/>
      <c r="AO64" s="465"/>
      <c r="AP64" s="666"/>
      <c r="AQ64" s="439"/>
      <c r="AR64" s="534"/>
      <c r="AS64" s="671"/>
      <c r="AT64" s="672"/>
      <c r="AU64" s="666"/>
      <c r="AV64" s="666"/>
      <c r="AW64" s="666"/>
      <c r="AX64" s="666"/>
      <c r="AY64" s="666"/>
      <c r="AZ64" s="666"/>
      <c r="BA64" s="666"/>
      <c r="BB64" s="666"/>
      <c r="BC64" s="666"/>
      <c r="BD64" s="666"/>
      <c r="BE64" s="666"/>
      <c r="BF64" s="666"/>
      <c r="BG64" s="666"/>
      <c r="BH64" s="666"/>
      <c r="BI64" s="666"/>
      <c r="BJ64" s="666"/>
      <c r="BK64" s="666"/>
      <c r="BL64" s="666"/>
      <c r="BM64" s="666"/>
      <c r="BN64" s="666"/>
      <c r="BO64" s="666"/>
      <c r="BP64" s="666"/>
      <c r="BQ64" s="666"/>
      <c r="BR64" s="666"/>
      <c r="BS64" s="666"/>
      <c r="BT64" s="666"/>
      <c r="BU64" s="666"/>
      <c r="BV64" s="666"/>
      <c r="BW64" s="666"/>
      <c r="BX64" s="666"/>
      <c r="BY64" s="666"/>
      <c r="BZ64" s="666"/>
      <c r="CA64" s="666"/>
      <c r="CB64" s="666"/>
      <c r="CC64" s="666"/>
      <c r="CD64" s="666"/>
      <c r="CE64" s="666"/>
      <c r="CF64" s="666"/>
      <c r="CG64" s="666"/>
      <c r="CH64" s="666"/>
      <c r="CI64" s="666"/>
      <c r="CJ64" s="666"/>
      <c r="CK64" s="666"/>
      <c r="CL64" s="666"/>
      <c r="CM64" s="666"/>
      <c r="CN64" s="666"/>
      <c r="CO64" s="666"/>
      <c r="CP64" s="666"/>
      <c r="CQ64" s="666"/>
      <c r="CR64" s="666"/>
      <c r="CS64" s="666"/>
      <c r="CT64" s="666"/>
      <c r="CU64" s="666"/>
      <c r="CV64" s="666"/>
      <c r="CW64" s="666"/>
      <c r="CX64" s="666"/>
      <c r="CY64" s="666"/>
      <c r="CZ64" s="666"/>
      <c r="DA64" s="666"/>
      <c r="DB64" s="666"/>
      <c r="DC64" s="666"/>
      <c r="DD64" s="666"/>
      <c r="DE64" s="666"/>
      <c r="DF64" s="666"/>
      <c r="DG64" s="666"/>
      <c r="DH64" s="666"/>
      <c r="DI64" s="666"/>
      <c r="DJ64" s="666"/>
      <c r="DK64" s="666"/>
      <c r="DL64" s="666"/>
      <c r="DM64" s="666"/>
      <c r="DN64" s="666"/>
      <c r="DO64" s="666"/>
      <c r="DP64" s="666"/>
      <c r="DQ64" s="666"/>
      <c r="DR64" s="666"/>
      <c r="DS64" s="666"/>
      <c r="DT64" s="666"/>
      <c r="DU64" s="666"/>
      <c r="DV64" s="666"/>
      <c r="DW64" s="666"/>
      <c r="DX64" s="666"/>
      <c r="DY64" s="666"/>
      <c r="DZ64" s="666"/>
      <c r="EA64" s="666"/>
      <c r="EB64" s="666"/>
      <c r="EC64" s="666"/>
      <c r="ED64" s="666"/>
      <c r="EE64" s="666"/>
      <c r="EF64" s="666"/>
      <c r="EG64" s="666"/>
      <c r="EH64" s="666"/>
      <c r="EI64" s="666"/>
      <c r="EJ64" s="666"/>
      <c r="EK64" s="666"/>
      <c r="EL64" s="666"/>
      <c r="EM64" s="666"/>
      <c r="EN64" s="666"/>
      <c r="EO64" s="666"/>
      <c r="EP64" s="666"/>
      <c r="EQ64" s="666"/>
      <c r="ER64" s="666"/>
      <c r="ES64" s="666"/>
      <c r="ET64" s="666"/>
      <c r="EU64" s="666"/>
      <c r="EV64" s="666"/>
      <c r="EW64" s="666"/>
      <c r="EX64" s="666"/>
      <c r="EY64" s="666"/>
      <c r="EZ64" s="666"/>
      <c r="FA64" s="666"/>
      <c r="FB64" s="666"/>
      <c r="FC64" s="666"/>
      <c r="FD64" s="666"/>
      <c r="FE64" s="666"/>
      <c r="FF64" s="666"/>
      <c r="FG64" s="666"/>
      <c r="FH64" s="666"/>
      <c r="FI64" s="666"/>
      <c r="FJ64" s="666"/>
      <c r="FK64" s="666"/>
      <c r="FL64" s="666"/>
      <c r="FM64" s="666"/>
      <c r="FN64" s="666"/>
      <c r="FO64" s="666"/>
      <c r="FP64" s="666"/>
      <c r="FQ64" s="666"/>
      <c r="FR64" s="666"/>
      <c r="FS64" s="666"/>
      <c r="FT64" s="666"/>
      <c r="FU64" s="666"/>
      <c r="FV64" s="666"/>
      <c r="FW64" s="666"/>
      <c r="FX64" s="666"/>
      <c r="FY64" s="666"/>
      <c r="FZ64" s="666"/>
      <c r="GA64" s="666"/>
      <c r="GB64" s="666"/>
      <c r="GC64" s="666"/>
      <c r="GD64" s="666"/>
      <c r="GE64" s="666"/>
      <c r="GF64" s="666"/>
      <c r="GG64" s="666"/>
      <c r="GH64" s="666"/>
      <c r="GI64" s="666"/>
      <c r="GJ64" s="666"/>
      <c r="GK64" s="666"/>
      <c r="GL64" s="666"/>
      <c r="GM64" s="666"/>
      <c r="GN64" s="666"/>
      <c r="GO64" s="666"/>
      <c r="GP64" s="666"/>
      <c r="GQ64" s="666"/>
      <c r="GR64" s="666"/>
      <c r="GS64" s="666"/>
      <c r="GT64" s="666"/>
      <c r="GU64" s="666"/>
      <c r="GV64" s="666"/>
      <c r="GW64" s="666"/>
      <c r="GX64" s="666"/>
      <c r="GY64" s="666"/>
      <c r="GZ64" s="666"/>
      <c r="HA64" s="666"/>
      <c r="HB64" s="666"/>
      <c r="HC64" s="666"/>
      <c r="HD64" s="666"/>
      <c r="HE64" s="666"/>
      <c r="HF64" s="666"/>
      <c r="HG64" s="666"/>
      <c r="HH64" s="666"/>
      <c r="HI64" s="666"/>
      <c r="HJ64" s="666"/>
      <c r="HK64" s="666"/>
      <c r="HL64" s="666"/>
      <c r="HM64" s="666"/>
      <c r="HN64" s="666"/>
      <c r="HO64" s="666"/>
      <c r="HP64" s="666"/>
      <c r="HQ64" s="666"/>
      <c r="HR64" s="666"/>
      <c r="HS64" s="666"/>
      <c r="HT64" s="666"/>
      <c r="HU64" s="666"/>
      <c r="HV64" s="666"/>
      <c r="HW64" s="666"/>
      <c r="HX64" s="666"/>
      <c r="HY64" s="666"/>
      <c r="HZ64" s="666"/>
      <c r="IA64" s="666"/>
      <c r="IB64" s="666"/>
      <c r="IC64" s="666"/>
      <c r="ID64" s="666"/>
      <c r="IE64" s="666"/>
      <c r="IF64" s="666"/>
      <c r="IG64" s="666"/>
      <c r="IH64" s="666"/>
      <c r="II64" s="666"/>
      <c r="IJ64" s="666"/>
      <c r="IK64" s="666"/>
      <c r="IL64" s="666"/>
      <c r="IM64" s="666"/>
      <c r="IN64" s="666"/>
      <c r="IO64" s="666"/>
      <c r="IP64" s="666"/>
      <c r="IQ64" s="666"/>
      <c r="IR64" s="666"/>
      <c r="IS64" s="666"/>
      <c r="IT64" s="666"/>
      <c r="IU64" s="666"/>
      <c r="IV64" s="666"/>
      <c r="IW64" s="666"/>
      <c r="IX64" s="666"/>
      <c r="IY64" s="666"/>
      <c r="IZ64" s="666"/>
      <c r="JA64" s="666"/>
      <c r="JB64" s="666"/>
      <c r="JC64" s="666"/>
      <c r="JD64" s="666"/>
      <c r="JE64" s="666"/>
      <c r="JF64" s="666"/>
      <c r="JG64" s="666"/>
      <c r="JH64" s="666"/>
      <c r="JI64" s="666"/>
      <c r="JJ64" s="666"/>
      <c r="JK64" s="666"/>
      <c r="JL64" s="666"/>
      <c r="JM64" s="666"/>
      <c r="JN64" s="666"/>
      <c r="JO64" s="666"/>
      <c r="JP64" s="666"/>
      <c r="JQ64" s="666"/>
      <c r="JR64" s="666"/>
      <c r="JS64" s="666"/>
      <c r="JT64" s="666"/>
      <c r="JU64" s="666"/>
      <c r="JV64" s="666"/>
      <c r="JW64" s="666"/>
      <c r="JX64" s="666"/>
      <c r="JY64" s="666"/>
      <c r="JZ64" s="666"/>
      <c r="KA64" s="666"/>
      <c r="KB64" s="666"/>
      <c r="KC64" s="666"/>
      <c r="KD64" s="666"/>
      <c r="KE64" s="666"/>
      <c r="KF64" s="666"/>
      <c r="KG64" s="666"/>
      <c r="KH64" s="666"/>
      <c r="KI64" s="666"/>
      <c r="KJ64" s="666"/>
      <c r="KK64" s="666"/>
      <c r="KL64" s="666"/>
      <c r="KM64" s="666"/>
      <c r="KN64" s="666"/>
      <c r="KO64" s="666"/>
      <c r="KP64" s="666"/>
      <c r="KQ64" s="666"/>
      <c r="KR64" s="666"/>
      <c r="KS64" s="666"/>
      <c r="KT64" s="666"/>
      <c r="KU64" s="666"/>
      <c r="KV64" s="666"/>
      <c r="KW64" s="666"/>
      <c r="KX64" s="666"/>
      <c r="KY64" s="666"/>
      <c r="KZ64" s="666"/>
      <c r="LA64" s="666"/>
      <c r="LB64" s="666"/>
      <c r="LC64" s="666"/>
      <c r="LD64" s="666"/>
      <c r="LE64" s="666"/>
      <c r="LF64" s="666"/>
      <c r="LG64" s="666"/>
      <c r="LH64" s="666"/>
      <c r="LI64" s="666"/>
      <c r="LJ64" s="666"/>
      <c r="LK64" s="666"/>
      <c r="LL64" s="666"/>
      <c r="LM64" s="666"/>
      <c r="LN64" s="666"/>
      <c r="LO64" s="666"/>
      <c r="LP64" s="666"/>
      <c r="LQ64" s="666"/>
      <c r="LR64" s="666"/>
      <c r="LS64" s="666"/>
      <c r="LT64" s="666"/>
      <c r="LU64" s="666"/>
      <c r="LV64" s="666"/>
      <c r="LW64" s="666"/>
      <c r="LX64" s="666"/>
      <c r="LY64" s="666"/>
      <c r="LZ64" s="666"/>
      <c r="MA64" s="666"/>
      <c r="MB64" s="666"/>
      <c r="MC64" s="666"/>
      <c r="MD64" s="666"/>
      <c r="ME64" s="666"/>
      <c r="MF64" s="666"/>
      <c r="MG64" s="666"/>
      <c r="MH64" s="666"/>
      <c r="MI64" s="666"/>
      <c r="MJ64" s="666"/>
      <c r="MK64" s="666"/>
      <c r="ML64" s="666"/>
      <c r="MM64" s="666"/>
      <c r="MN64" s="666"/>
      <c r="MO64" s="666"/>
      <c r="MP64" s="666"/>
      <c r="MQ64" s="666"/>
      <c r="MR64" s="666"/>
      <c r="MS64" s="666"/>
      <c r="MT64" s="666"/>
    </row>
    <row r="65" spans="1:358" ht="15.6">
      <c r="A65" s="579"/>
      <c r="B65" s="50"/>
      <c r="C65" s="9"/>
      <c r="D65" s="9"/>
      <c r="E65" s="9"/>
      <c r="F65" s="9"/>
      <c r="G65" s="13"/>
      <c r="H65" s="589"/>
      <c r="I65" s="50"/>
      <c r="J65" s="50"/>
      <c r="K65" s="58"/>
      <c r="L65" s="9"/>
      <c r="M65" s="9"/>
      <c r="N65" s="9"/>
      <c r="O65" s="9"/>
      <c r="P65" s="141"/>
      <c r="Z65" s="323"/>
      <c r="AA65" s="309"/>
      <c r="AB65" s="465"/>
      <c r="AE65" s="323"/>
      <c r="AG65" s="323"/>
      <c r="AN65" s="309"/>
      <c r="AO65" s="230"/>
    </row>
    <row r="66" spans="1:358" s="163" customFormat="1" ht="3.75" customHeight="1">
      <c r="A66" s="574"/>
      <c r="B66" s="13"/>
      <c r="C66" s="13"/>
      <c r="D66" s="13"/>
      <c r="E66" s="13"/>
      <c r="F66" s="13"/>
      <c r="G66" s="13"/>
      <c r="H66" s="583"/>
      <c r="I66" s="13"/>
      <c r="J66" s="13"/>
      <c r="K66" s="515"/>
      <c r="L66" s="13"/>
      <c r="M66" s="13"/>
      <c r="N66" s="13"/>
      <c r="O66" s="13"/>
      <c r="P66" s="519"/>
      <c r="Q66" s="516"/>
      <c r="R66" s="517"/>
      <c r="S66" s="516"/>
      <c r="T66" s="517"/>
      <c r="U66" s="516"/>
      <c r="V66" s="517"/>
      <c r="W66" s="516"/>
      <c r="X66" s="517"/>
      <c r="Y66" s="516"/>
      <c r="Z66" s="518"/>
      <c r="AA66" s="520"/>
      <c r="AB66" s="520"/>
      <c r="AD66" s="516"/>
      <c r="AE66" s="518"/>
      <c r="AF66" s="516"/>
      <c r="AG66" s="518"/>
      <c r="AH66" s="516"/>
      <c r="AI66" s="517"/>
      <c r="AJ66" s="516"/>
      <c r="AK66" s="517"/>
      <c r="AL66" s="516"/>
      <c r="AM66" s="517"/>
      <c r="AN66" s="520"/>
      <c r="AO66" s="521"/>
      <c r="AQ66" s="538"/>
      <c r="AR66" s="538"/>
      <c r="AS66" s="538"/>
      <c r="AT66" s="538"/>
    </row>
    <row r="67" spans="1:358" s="158" customFormat="1" ht="15.6">
      <c r="A67" s="605">
        <v>22</v>
      </c>
      <c r="B67" s="409">
        <v>42</v>
      </c>
      <c r="C67" s="409" t="s">
        <v>647</v>
      </c>
      <c r="D67" s="409"/>
      <c r="E67" s="409" t="s">
        <v>650</v>
      </c>
      <c r="F67" s="409"/>
      <c r="G67" s="632"/>
      <c r="H67" s="663" t="s">
        <v>952</v>
      </c>
      <c r="I67" s="409"/>
      <c r="J67" s="409"/>
      <c r="K67" s="556"/>
      <c r="L67" s="409"/>
      <c r="M67" s="409"/>
      <c r="N67" s="409"/>
      <c r="O67" s="409"/>
      <c r="P67" s="557"/>
      <c r="Q67" s="437">
        <v>753973</v>
      </c>
      <c r="R67" s="458">
        <v>14227.54</v>
      </c>
      <c r="S67" s="842">
        <v>753876</v>
      </c>
      <c r="T67" s="844">
        <v>1229.9000000000001</v>
      </c>
      <c r="U67" s="435"/>
      <c r="V67" s="463"/>
      <c r="W67" s="454"/>
      <c r="X67" s="536"/>
      <c r="Y67" s="846">
        <v>753973</v>
      </c>
      <c r="Z67" s="861">
        <v>9582.34</v>
      </c>
      <c r="AA67" s="464"/>
      <c r="AB67" s="465">
        <f t="shared" si="0"/>
        <v>25039.78</v>
      </c>
      <c r="AC67" s="666"/>
      <c r="AD67" s="439"/>
      <c r="AE67" s="627"/>
      <c r="AF67" s="439"/>
      <c r="AG67" s="627"/>
      <c r="AH67" s="435"/>
      <c r="AI67" s="463"/>
      <c r="AJ67" s="433"/>
      <c r="AK67" s="490"/>
      <c r="AL67" s="433"/>
      <c r="AM67" s="490"/>
      <c r="AN67" s="464"/>
      <c r="AO67" s="465"/>
      <c r="AP67" s="666"/>
      <c r="AQ67" s="439"/>
      <c r="AR67" s="534"/>
      <c r="AS67" s="671"/>
      <c r="AT67" s="672"/>
      <c r="AU67" s="666"/>
      <c r="AV67" s="666"/>
      <c r="AW67" s="666"/>
      <c r="AX67" s="666"/>
      <c r="AY67" s="666"/>
      <c r="AZ67" s="666"/>
      <c r="BA67" s="666"/>
      <c r="BB67" s="666"/>
      <c r="BC67" s="666"/>
      <c r="BD67" s="666"/>
      <c r="BE67" s="666"/>
      <c r="BF67" s="666"/>
      <c r="BG67" s="666"/>
      <c r="BH67" s="666"/>
      <c r="BI67" s="666"/>
      <c r="BJ67" s="666"/>
      <c r="BK67" s="666"/>
      <c r="BL67" s="666"/>
      <c r="BM67" s="666"/>
      <c r="BN67" s="666"/>
      <c r="BO67" s="666"/>
      <c r="BP67" s="666"/>
      <c r="BQ67" s="666"/>
      <c r="BR67" s="666"/>
      <c r="BS67" s="666"/>
      <c r="BT67" s="666"/>
      <c r="BU67" s="666"/>
      <c r="BV67" s="666"/>
      <c r="BW67" s="666"/>
      <c r="BX67" s="666"/>
      <c r="BY67" s="666"/>
      <c r="BZ67" s="666"/>
      <c r="CA67" s="666"/>
      <c r="CB67" s="666"/>
      <c r="CC67" s="666"/>
      <c r="CD67" s="666"/>
      <c r="CE67" s="666"/>
      <c r="CF67" s="666"/>
      <c r="CG67" s="666"/>
      <c r="CH67" s="666"/>
      <c r="CI67" s="666"/>
      <c r="CJ67" s="666"/>
      <c r="CK67" s="666"/>
      <c r="CL67" s="666"/>
      <c r="CM67" s="666"/>
      <c r="CN67" s="666"/>
      <c r="CO67" s="666"/>
      <c r="CP67" s="666"/>
      <c r="CQ67" s="666"/>
      <c r="CR67" s="666"/>
      <c r="CS67" s="666"/>
      <c r="CT67" s="666"/>
      <c r="CU67" s="666"/>
      <c r="CV67" s="666"/>
      <c r="CW67" s="666"/>
      <c r="CX67" s="666"/>
      <c r="CY67" s="666"/>
      <c r="CZ67" s="666"/>
      <c r="DA67" s="666"/>
      <c r="DB67" s="666"/>
      <c r="DC67" s="666"/>
      <c r="DD67" s="666"/>
      <c r="DE67" s="666"/>
      <c r="DF67" s="666"/>
      <c r="DG67" s="666"/>
      <c r="DH67" s="666"/>
      <c r="DI67" s="666"/>
      <c r="DJ67" s="666"/>
      <c r="DK67" s="666"/>
      <c r="DL67" s="666"/>
      <c r="DM67" s="666"/>
      <c r="DN67" s="666"/>
      <c r="DO67" s="666"/>
      <c r="DP67" s="666"/>
      <c r="DQ67" s="666"/>
      <c r="DR67" s="666"/>
      <c r="DS67" s="666"/>
      <c r="DT67" s="666"/>
      <c r="DU67" s="666"/>
      <c r="DV67" s="666"/>
      <c r="DW67" s="666"/>
      <c r="DX67" s="666"/>
      <c r="DY67" s="666"/>
      <c r="DZ67" s="666"/>
      <c r="EA67" s="666"/>
      <c r="EB67" s="666"/>
      <c r="EC67" s="666"/>
      <c r="ED67" s="666"/>
      <c r="EE67" s="666"/>
      <c r="EF67" s="666"/>
      <c r="EG67" s="666"/>
      <c r="EH67" s="666"/>
      <c r="EI67" s="666"/>
      <c r="EJ67" s="666"/>
      <c r="EK67" s="666"/>
      <c r="EL67" s="666"/>
      <c r="EM67" s="666"/>
      <c r="EN67" s="666"/>
      <c r="EO67" s="666"/>
      <c r="EP67" s="666"/>
      <c r="EQ67" s="666"/>
      <c r="ER67" s="666"/>
      <c r="ES67" s="666"/>
      <c r="ET67" s="666"/>
      <c r="EU67" s="666"/>
      <c r="EV67" s="666"/>
      <c r="EW67" s="666"/>
      <c r="EX67" s="666"/>
      <c r="EY67" s="666"/>
      <c r="EZ67" s="666"/>
      <c r="FA67" s="666"/>
      <c r="FB67" s="666"/>
      <c r="FC67" s="666"/>
      <c r="FD67" s="666"/>
      <c r="FE67" s="666"/>
      <c r="FF67" s="666"/>
      <c r="FG67" s="666"/>
      <c r="FH67" s="666"/>
      <c r="FI67" s="666"/>
      <c r="FJ67" s="666"/>
      <c r="FK67" s="666"/>
      <c r="FL67" s="666"/>
      <c r="FM67" s="666"/>
      <c r="FN67" s="666"/>
      <c r="FO67" s="666"/>
      <c r="FP67" s="666"/>
      <c r="FQ67" s="666"/>
      <c r="FR67" s="666"/>
      <c r="FS67" s="666"/>
      <c r="FT67" s="666"/>
      <c r="FU67" s="666"/>
      <c r="FV67" s="666"/>
      <c r="FW67" s="666"/>
      <c r="FX67" s="666"/>
      <c r="FY67" s="666"/>
      <c r="FZ67" s="666"/>
      <c r="GA67" s="666"/>
      <c r="GB67" s="666"/>
      <c r="GC67" s="666"/>
      <c r="GD67" s="666"/>
      <c r="GE67" s="666"/>
      <c r="GF67" s="666"/>
      <c r="GG67" s="666"/>
      <c r="GH67" s="666"/>
      <c r="GI67" s="666"/>
      <c r="GJ67" s="666"/>
      <c r="GK67" s="666"/>
      <c r="GL67" s="666"/>
      <c r="GM67" s="666"/>
      <c r="GN67" s="666"/>
      <c r="GO67" s="666"/>
      <c r="GP67" s="666"/>
      <c r="GQ67" s="666"/>
      <c r="GR67" s="666"/>
      <c r="GS67" s="666"/>
      <c r="GT67" s="666"/>
      <c r="GU67" s="666"/>
      <c r="GV67" s="666"/>
      <c r="GW67" s="666"/>
      <c r="GX67" s="666"/>
      <c r="GY67" s="666"/>
      <c r="GZ67" s="666"/>
      <c r="HA67" s="666"/>
      <c r="HB67" s="666"/>
      <c r="HC67" s="666"/>
      <c r="HD67" s="666"/>
      <c r="HE67" s="666"/>
      <c r="HF67" s="666"/>
      <c r="HG67" s="666"/>
      <c r="HH67" s="666"/>
      <c r="HI67" s="666"/>
      <c r="HJ67" s="666"/>
      <c r="HK67" s="666"/>
      <c r="HL67" s="666"/>
      <c r="HM67" s="666"/>
      <c r="HN67" s="666"/>
      <c r="HO67" s="666"/>
      <c r="HP67" s="666"/>
      <c r="HQ67" s="666"/>
      <c r="HR67" s="666"/>
      <c r="HS67" s="666"/>
      <c r="HT67" s="666"/>
      <c r="HU67" s="666"/>
      <c r="HV67" s="666"/>
      <c r="HW67" s="666"/>
      <c r="HX67" s="666"/>
      <c r="HY67" s="666"/>
      <c r="HZ67" s="666"/>
      <c r="IA67" s="666"/>
      <c r="IB67" s="666"/>
      <c r="IC67" s="666"/>
      <c r="ID67" s="666"/>
      <c r="IE67" s="666"/>
      <c r="IF67" s="666"/>
      <c r="IG67" s="666"/>
      <c r="IH67" s="666"/>
      <c r="II67" s="666"/>
      <c r="IJ67" s="666"/>
      <c r="IK67" s="666"/>
      <c r="IL67" s="666"/>
      <c r="IM67" s="666"/>
      <c r="IN67" s="666"/>
      <c r="IO67" s="666"/>
      <c r="IP67" s="666"/>
      <c r="IQ67" s="666"/>
      <c r="IR67" s="666"/>
      <c r="IS67" s="666"/>
      <c r="IT67" s="666"/>
      <c r="IU67" s="666"/>
      <c r="IV67" s="666"/>
      <c r="IW67" s="666"/>
      <c r="IX67" s="666"/>
      <c r="IY67" s="666"/>
      <c r="IZ67" s="666"/>
      <c r="JA67" s="666"/>
      <c r="JB67" s="666"/>
      <c r="JC67" s="666"/>
      <c r="JD67" s="666"/>
      <c r="JE67" s="666"/>
      <c r="JF67" s="666"/>
      <c r="JG67" s="666"/>
      <c r="JH67" s="666"/>
      <c r="JI67" s="666"/>
      <c r="JJ67" s="666"/>
      <c r="JK67" s="666"/>
      <c r="JL67" s="666"/>
      <c r="JM67" s="666"/>
      <c r="JN67" s="666"/>
      <c r="JO67" s="666"/>
      <c r="JP67" s="666"/>
      <c r="JQ67" s="666"/>
      <c r="JR67" s="666"/>
      <c r="JS67" s="666"/>
      <c r="JT67" s="666"/>
      <c r="JU67" s="666"/>
      <c r="JV67" s="666"/>
      <c r="JW67" s="666"/>
      <c r="JX67" s="666"/>
      <c r="JY67" s="666"/>
      <c r="JZ67" s="666"/>
      <c r="KA67" s="666"/>
      <c r="KB67" s="666"/>
      <c r="KC67" s="666"/>
      <c r="KD67" s="666"/>
      <c r="KE67" s="666"/>
      <c r="KF67" s="666"/>
      <c r="KG67" s="666"/>
      <c r="KH67" s="666"/>
      <c r="KI67" s="666"/>
      <c r="KJ67" s="666"/>
      <c r="KK67" s="666"/>
      <c r="KL67" s="666"/>
      <c r="KM67" s="666"/>
      <c r="KN67" s="666"/>
      <c r="KO67" s="666"/>
      <c r="KP67" s="666"/>
      <c r="KQ67" s="666"/>
      <c r="KR67" s="666"/>
      <c r="KS67" s="666"/>
      <c r="KT67" s="666"/>
      <c r="KU67" s="666"/>
      <c r="KV67" s="666"/>
      <c r="KW67" s="666"/>
      <c r="KX67" s="666"/>
      <c r="KY67" s="666"/>
      <c r="KZ67" s="666"/>
      <c r="LA67" s="666"/>
      <c r="LB67" s="666"/>
      <c r="LC67" s="666"/>
      <c r="LD67" s="666"/>
      <c r="LE67" s="666"/>
      <c r="LF67" s="666"/>
      <c r="LG67" s="666"/>
      <c r="LH67" s="666"/>
      <c r="LI67" s="666"/>
      <c r="LJ67" s="666"/>
      <c r="LK67" s="666"/>
      <c r="LL67" s="666"/>
      <c r="LM67" s="666"/>
      <c r="LN67" s="666"/>
      <c r="LO67" s="666"/>
      <c r="LP67" s="666"/>
      <c r="LQ67" s="666"/>
      <c r="LR67" s="666"/>
      <c r="LS67" s="666"/>
      <c r="LT67" s="666"/>
      <c r="LU67" s="666"/>
      <c r="LV67" s="666"/>
      <c r="LW67" s="666"/>
      <c r="LX67" s="666"/>
      <c r="LY67" s="666"/>
      <c r="LZ67" s="666"/>
      <c r="MA67" s="666"/>
      <c r="MB67" s="666"/>
      <c r="MC67" s="666"/>
      <c r="MD67" s="666"/>
      <c r="ME67" s="666"/>
      <c r="MF67" s="666"/>
      <c r="MG67" s="666"/>
      <c r="MH67" s="666"/>
      <c r="MI67" s="666"/>
      <c r="MJ67" s="666"/>
      <c r="MK67" s="666"/>
      <c r="ML67" s="666"/>
      <c r="MM67" s="666"/>
      <c r="MN67" s="666"/>
      <c r="MO67" s="666"/>
      <c r="MP67" s="666"/>
      <c r="MQ67" s="666"/>
      <c r="MR67" s="666"/>
      <c r="MS67" s="666"/>
      <c r="MT67" s="666"/>
    </row>
    <row r="68" spans="1:358" ht="15.6">
      <c r="A68" s="579"/>
      <c r="B68" s="50"/>
      <c r="C68" s="9"/>
      <c r="D68" s="9"/>
      <c r="E68" s="9"/>
      <c r="F68" s="9"/>
      <c r="G68" s="13"/>
      <c r="H68" s="589"/>
      <c r="I68" s="50"/>
      <c r="J68" s="50"/>
      <c r="K68" s="58"/>
      <c r="L68" s="9"/>
      <c r="M68" s="9"/>
      <c r="N68" s="9"/>
      <c r="O68" s="9"/>
      <c r="P68" s="141"/>
      <c r="Z68" s="323"/>
      <c r="AA68" s="309"/>
      <c r="AB68" s="465"/>
      <c r="AE68" s="323"/>
      <c r="AG68" s="323"/>
      <c r="AN68" s="309"/>
      <c r="AO68" s="230"/>
    </row>
    <row r="69" spans="1:358" s="163" customFormat="1" ht="3.75" customHeight="1">
      <c r="A69" s="574"/>
      <c r="B69" s="13"/>
      <c r="C69" s="13"/>
      <c r="D69" s="13"/>
      <c r="E69" s="13"/>
      <c r="F69" s="13"/>
      <c r="G69" s="13"/>
      <c r="H69" s="583"/>
      <c r="I69" s="13"/>
      <c r="J69" s="13"/>
      <c r="K69" s="515"/>
      <c r="L69" s="13"/>
      <c r="M69" s="13"/>
      <c r="N69" s="13"/>
      <c r="O69" s="13"/>
      <c r="P69" s="519"/>
      <c r="Q69" s="516"/>
      <c r="R69" s="517"/>
      <c r="S69" s="516"/>
      <c r="T69" s="517"/>
      <c r="U69" s="516"/>
      <c r="V69" s="517"/>
      <c r="W69" s="516"/>
      <c r="X69" s="517"/>
      <c r="Y69" s="516"/>
      <c r="Z69" s="518"/>
      <c r="AA69" s="520"/>
      <c r="AB69" s="520"/>
      <c r="AD69" s="516"/>
      <c r="AE69" s="518"/>
      <c r="AF69" s="516"/>
      <c r="AG69" s="518"/>
      <c r="AH69" s="516"/>
      <c r="AI69" s="517"/>
      <c r="AJ69" s="516"/>
      <c r="AK69" s="517"/>
      <c r="AL69" s="516"/>
      <c r="AM69" s="517"/>
      <c r="AN69" s="520"/>
      <c r="AO69" s="521"/>
      <c r="AQ69" s="538"/>
      <c r="AR69" s="538"/>
      <c r="AS69" s="538"/>
      <c r="AT69" s="538"/>
    </row>
    <row r="70" spans="1:358" s="158" customFormat="1" ht="15.6">
      <c r="A70" s="605">
        <v>23</v>
      </c>
      <c r="B70" s="409">
        <v>41</v>
      </c>
      <c r="C70" s="409" t="s">
        <v>648</v>
      </c>
      <c r="D70" s="409"/>
      <c r="E70" s="409" t="s">
        <v>650</v>
      </c>
      <c r="F70" s="409"/>
      <c r="G70" s="632"/>
      <c r="H70" s="663" t="s">
        <v>953</v>
      </c>
      <c r="I70" s="409"/>
      <c r="J70" s="409"/>
      <c r="K70" s="556"/>
      <c r="L70" s="409"/>
      <c r="M70" s="409"/>
      <c r="N70" s="409"/>
      <c r="O70" s="409"/>
      <c r="P70" s="557"/>
      <c r="Q70" s="437">
        <v>475488</v>
      </c>
      <c r="R70" s="458">
        <v>14813.32</v>
      </c>
      <c r="S70" s="842">
        <v>475301</v>
      </c>
      <c r="T70" s="844">
        <v>606.97</v>
      </c>
      <c r="U70" s="435"/>
      <c r="V70" s="463"/>
      <c r="W70" s="454"/>
      <c r="X70" s="536"/>
      <c r="Y70" s="846">
        <v>475488</v>
      </c>
      <c r="Z70" s="861">
        <v>9555.4699999999993</v>
      </c>
      <c r="AA70" s="464"/>
      <c r="AB70" s="465">
        <f t="shared" ref="AB70:AB88" si="1">Z70+V70+T70+R70</f>
        <v>24975.759999999998</v>
      </c>
      <c r="AC70" s="666"/>
      <c r="AD70" s="439"/>
      <c r="AE70" s="627"/>
      <c r="AF70" s="439"/>
      <c r="AG70" s="627"/>
      <c r="AH70" s="435"/>
      <c r="AI70" s="463"/>
      <c r="AJ70" s="433"/>
      <c r="AK70" s="490"/>
      <c r="AL70" s="433"/>
      <c r="AM70" s="490"/>
      <c r="AN70" s="464"/>
      <c r="AO70" s="465"/>
      <c r="AP70" s="666"/>
      <c r="AQ70" s="439"/>
      <c r="AR70" s="534"/>
      <c r="AS70" s="671"/>
      <c r="AT70" s="672"/>
      <c r="AU70" s="666"/>
      <c r="AV70" s="666"/>
      <c r="AW70" s="666"/>
      <c r="AX70" s="666"/>
      <c r="AY70" s="666"/>
      <c r="AZ70" s="666"/>
      <c r="BA70" s="666"/>
      <c r="BB70" s="666"/>
      <c r="BC70" s="666"/>
      <c r="BD70" s="666"/>
      <c r="BE70" s="666"/>
      <c r="BF70" s="666"/>
      <c r="BG70" s="666"/>
      <c r="BH70" s="666"/>
      <c r="BI70" s="666"/>
      <c r="BJ70" s="666"/>
      <c r="BK70" s="666"/>
      <c r="BL70" s="666"/>
      <c r="BM70" s="666"/>
      <c r="BN70" s="666"/>
      <c r="BO70" s="666"/>
      <c r="BP70" s="666"/>
      <c r="BQ70" s="666"/>
      <c r="BR70" s="666"/>
      <c r="BS70" s="666"/>
      <c r="BT70" s="666"/>
      <c r="BU70" s="666"/>
      <c r="BV70" s="666"/>
      <c r="BW70" s="666"/>
      <c r="BX70" s="666"/>
      <c r="BY70" s="666"/>
      <c r="BZ70" s="666"/>
      <c r="CA70" s="666"/>
      <c r="CB70" s="666"/>
      <c r="CC70" s="666"/>
      <c r="CD70" s="666"/>
      <c r="CE70" s="666"/>
      <c r="CF70" s="666"/>
      <c r="CG70" s="666"/>
      <c r="CH70" s="666"/>
      <c r="CI70" s="666"/>
      <c r="CJ70" s="666"/>
      <c r="CK70" s="666"/>
      <c r="CL70" s="666"/>
      <c r="CM70" s="666"/>
      <c r="CN70" s="666"/>
      <c r="CO70" s="666"/>
      <c r="CP70" s="666"/>
      <c r="CQ70" s="666"/>
      <c r="CR70" s="666"/>
      <c r="CS70" s="666"/>
      <c r="CT70" s="666"/>
      <c r="CU70" s="666"/>
      <c r="CV70" s="666"/>
      <c r="CW70" s="666"/>
      <c r="CX70" s="666"/>
      <c r="CY70" s="666"/>
      <c r="CZ70" s="666"/>
      <c r="DA70" s="666"/>
      <c r="DB70" s="666"/>
      <c r="DC70" s="666"/>
      <c r="DD70" s="666"/>
      <c r="DE70" s="666"/>
      <c r="DF70" s="666"/>
      <c r="DG70" s="666"/>
      <c r="DH70" s="666"/>
      <c r="DI70" s="666"/>
      <c r="DJ70" s="666"/>
      <c r="DK70" s="666"/>
      <c r="DL70" s="666"/>
      <c r="DM70" s="666"/>
      <c r="DN70" s="666"/>
      <c r="DO70" s="666"/>
      <c r="DP70" s="666"/>
      <c r="DQ70" s="666"/>
      <c r="DR70" s="666"/>
      <c r="DS70" s="666"/>
      <c r="DT70" s="666"/>
      <c r="DU70" s="666"/>
      <c r="DV70" s="666"/>
      <c r="DW70" s="666"/>
      <c r="DX70" s="666"/>
      <c r="DY70" s="666"/>
      <c r="DZ70" s="666"/>
      <c r="EA70" s="666"/>
      <c r="EB70" s="666"/>
      <c r="EC70" s="666"/>
      <c r="ED70" s="666"/>
      <c r="EE70" s="666"/>
      <c r="EF70" s="666"/>
      <c r="EG70" s="666"/>
      <c r="EH70" s="666"/>
      <c r="EI70" s="666"/>
      <c r="EJ70" s="666"/>
      <c r="EK70" s="666"/>
      <c r="EL70" s="666"/>
      <c r="EM70" s="666"/>
      <c r="EN70" s="666"/>
      <c r="EO70" s="666"/>
      <c r="EP70" s="666"/>
      <c r="EQ70" s="666"/>
      <c r="ER70" s="666"/>
      <c r="ES70" s="666"/>
      <c r="ET70" s="666"/>
      <c r="EU70" s="666"/>
      <c r="EV70" s="666"/>
      <c r="EW70" s="666"/>
      <c r="EX70" s="666"/>
      <c r="EY70" s="666"/>
      <c r="EZ70" s="666"/>
      <c r="FA70" s="666"/>
      <c r="FB70" s="666"/>
      <c r="FC70" s="666"/>
      <c r="FD70" s="666"/>
      <c r="FE70" s="666"/>
      <c r="FF70" s="666"/>
      <c r="FG70" s="666"/>
      <c r="FH70" s="666"/>
      <c r="FI70" s="666"/>
      <c r="FJ70" s="666"/>
      <c r="FK70" s="666"/>
      <c r="FL70" s="666"/>
      <c r="FM70" s="666"/>
      <c r="FN70" s="666"/>
      <c r="FO70" s="666"/>
      <c r="FP70" s="666"/>
      <c r="FQ70" s="666"/>
      <c r="FR70" s="666"/>
      <c r="FS70" s="666"/>
      <c r="FT70" s="666"/>
      <c r="FU70" s="666"/>
      <c r="FV70" s="666"/>
      <c r="FW70" s="666"/>
      <c r="FX70" s="666"/>
      <c r="FY70" s="666"/>
      <c r="FZ70" s="666"/>
      <c r="GA70" s="666"/>
      <c r="GB70" s="666"/>
      <c r="GC70" s="666"/>
      <c r="GD70" s="666"/>
      <c r="GE70" s="666"/>
      <c r="GF70" s="666"/>
      <c r="GG70" s="666"/>
      <c r="GH70" s="666"/>
      <c r="GI70" s="666"/>
      <c r="GJ70" s="666"/>
      <c r="GK70" s="666"/>
      <c r="GL70" s="666"/>
      <c r="GM70" s="666"/>
      <c r="GN70" s="666"/>
      <c r="GO70" s="666"/>
      <c r="GP70" s="666"/>
      <c r="GQ70" s="666"/>
      <c r="GR70" s="666"/>
      <c r="GS70" s="666"/>
      <c r="GT70" s="666"/>
      <c r="GU70" s="666"/>
      <c r="GV70" s="666"/>
      <c r="GW70" s="666"/>
      <c r="GX70" s="666"/>
      <c r="GY70" s="666"/>
      <c r="GZ70" s="666"/>
      <c r="HA70" s="666"/>
      <c r="HB70" s="666"/>
      <c r="HC70" s="666"/>
      <c r="HD70" s="666"/>
      <c r="HE70" s="666"/>
      <c r="HF70" s="666"/>
      <c r="HG70" s="666"/>
      <c r="HH70" s="666"/>
      <c r="HI70" s="666"/>
      <c r="HJ70" s="666"/>
      <c r="HK70" s="666"/>
      <c r="HL70" s="666"/>
      <c r="HM70" s="666"/>
      <c r="HN70" s="666"/>
      <c r="HO70" s="666"/>
      <c r="HP70" s="666"/>
      <c r="HQ70" s="666"/>
      <c r="HR70" s="666"/>
      <c r="HS70" s="666"/>
      <c r="HT70" s="666"/>
      <c r="HU70" s="666"/>
      <c r="HV70" s="666"/>
      <c r="HW70" s="666"/>
      <c r="HX70" s="666"/>
      <c r="HY70" s="666"/>
      <c r="HZ70" s="666"/>
      <c r="IA70" s="666"/>
      <c r="IB70" s="666"/>
      <c r="IC70" s="666"/>
      <c r="ID70" s="666"/>
      <c r="IE70" s="666"/>
      <c r="IF70" s="666"/>
      <c r="IG70" s="666"/>
      <c r="IH70" s="666"/>
      <c r="II70" s="666"/>
      <c r="IJ70" s="666"/>
      <c r="IK70" s="666"/>
      <c r="IL70" s="666"/>
      <c r="IM70" s="666"/>
      <c r="IN70" s="666"/>
      <c r="IO70" s="666"/>
      <c r="IP70" s="666"/>
      <c r="IQ70" s="666"/>
      <c r="IR70" s="666"/>
      <c r="IS70" s="666"/>
      <c r="IT70" s="666"/>
      <c r="IU70" s="666"/>
      <c r="IV70" s="666"/>
      <c r="IW70" s="666"/>
      <c r="IX70" s="666"/>
      <c r="IY70" s="666"/>
      <c r="IZ70" s="666"/>
      <c r="JA70" s="666"/>
      <c r="JB70" s="666"/>
      <c r="JC70" s="666"/>
      <c r="JD70" s="666"/>
      <c r="JE70" s="666"/>
      <c r="JF70" s="666"/>
      <c r="JG70" s="666"/>
      <c r="JH70" s="666"/>
      <c r="JI70" s="666"/>
      <c r="JJ70" s="666"/>
      <c r="JK70" s="666"/>
      <c r="JL70" s="666"/>
      <c r="JM70" s="666"/>
      <c r="JN70" s="666"/>
      <c r="JO70" s="666"/>
      <c r="JP70" s="666"/>
      <c r="JQ70" s="666"/>
      <c r="JR70" s="666"/>
      <c r="JS70" s="666"/>
      <c r="JT70" s="666"/>
      <c r="JU70" s="666"/>
      <c r="JV70" s="666"/>
      <c r="JW70" s="666"/>
      <c r="JX70" s="666"/>
      <c r="JY70" s="666"/>
      <c r="JZ70" s="666"/>
      <c r="KA70" s="666"/>
      <c r="KB70" s="666"/>
      <c r="KC70" s="666"/>
      <c r="KD70" s="666"/>
      <c r="KE70" s="666"/>
      <c r="KF70" s="666"/>
      <c r="KG70" s="666"/>
      <c r="KH70" s="666"/>
      <c r="KI70" s="666"/>
      <c r="KJ70" s="666"/>
      <c r="KK70" s="666"/>
      <c r="KL70" s="666"/>
      <c r="KM70" s="666"/>
      <c r="KN70" s="666"/>
      <c r="KO70" s="666"/>
      <c r="KP70" s="666"/>
      <c r="KQ70" s="666"/>
      <c r="KR70" s="666"/>
      <c r="KS70" s="666"/>
      <c r="KT70" s="666"/>
      <c r="KU70" s="666"/>
      <c r="KV70" s="666"/>
      <c r="KW70" s="666"/>
      <c r="KX70" s="666"/>
      <c r="KY70" s="666"/>
      <c r="KZ70" s="666"/>
      <c r="LA70" s="666"/>
      <c r="LB70" s="666"/>
      <c r="LC70" s="666"/>
      <c r="LD70" s="666"/>
      <c r="LE70" s="666"/>
      <c r="LF70" s="666"/>
      <c r="LG70" s="666"/>
      <c r="LH70" s="666"/>
      <c r="LI70" s="666"/>
      <c r="LJ70" s="666"/>
      <c r="LK70" s="666"/>
      <c r="LL70" s="666"/>
      <c r="LM70" s="666"/>
      <c r="LN70" s="666"/>
      <c r="LO70" s="666"/>
      <c r="LP70" s="666"/>
      <c r="LQ70" s="666"/>
      <c r="LR70" s="666"/>
      <c r="LS70" s="666"/>
      <c r="LT70" s="666"/>
      <c r="LU70" s="666"/>
      <c r="LV70" s="666"/>
      <c r="LW70" s="666"/>
      <c r="LX70" s="666"/>
      <c r="LY70" s="666"/>
      <c r="LZ70" s="666"/>
      <c r="MA70" s="666"/>
      <c r="MB70" s="666"/>
      <c r="MC70" s="666"/>
      <c r="MD70" s="666"/>
      <c r="ME70" s="666"/>
      <c r="MF70" s="666"/>
      <c r="MG70" s="666"/>
      <c r="MH70" s="666"/>
      <c r="MI70" s="666"/>
      <c r="MJ70" s="666"/>
      <c r="MK70" s="666"/>
      <c r="ML70" s="666"/>
      <c r="MM70" s="666"/>
      <c r="MN70" s="666"/>
      <c r="MO70" s="666"/>
      <c r="MP70" s="666"/>
      <c r="MQ70" s="666"/>
      <c r="MR70" s="666"/>
      <c r="MS70" s="666"/>
      <c r="MT70" s="666"/>
    </row>
    <row r="71" spans="1:358" ht="15.6">
      <c r="A71" s="579"/>
      <c r="B71" s="50"/>
      <c r="C71" s="9"/>
      <c r="D71" s="9"/>
      <c r="E71" s="9"/>
      <c r="F71" s="9"/>
      <c r="G71" s="13"/>
      <c r="H71" s="589"/>
      <c r="I71" s="50"/>
      <c r="J71" s="50"/>
      <c r="K71" s="58"/>
      <c r="L71" s="9"/>
      <c r="M71" s="9"/>
      <c r="N71" s="9"/>
      <c r="O71" s="9"/>
      <c r="P71" s="141"/>
      <c r="Z71" s="323"/>
      <c r="AA71" s="309"/>
      <c r="AB71" s="465"/>
      <c r="AE71" s="323"/>
      <c r="AG71" s="323"/>
      <c r="AN71" s="309"/>
      <c r="AO71" s="230"/>
    </row>
    <row r="72" spans="1:358" s="163" customFormat="1" ht="3.75" customHeight="1">
      <c r="A72" s="574"/>
      <c r="B72" s="13"/>
      <c r="C72" s="13"/>
      <c r="D72" s="13"/>
      <c r="E72" s="13"/>
      <c r="F72" s="13"/>
      <c r="G72" s="13"/>
      <c r="H72" s="583"/>
      <c r="I72" s="13"/>
      <c r="J72" s="13"/>
      <c r="K72" s="515"/>
      <c r="L72" s="13"/>
      <c r="M72" s="13"/>
      <c r="N72" s="13"/>
      <c r="O72" s="13"/>
      <c r="P72" s="519"/>
      <c r="Q72" s="516"/>
      <c r="R72" s="517"/>
      <c r="S72" s="516"/>
      <c r="T72" s="517"/>
      <c r="U72" s="516"/>
      <c r="V72" s="517"/>
      <c r="W72" s="516"/>
      <c r="X72" s="517"/>
      <c r="Y72" s="516"/>
      <c r="Z72" s="518"/>
      <c r="AA72" s="520"/>
      <c r="AB72" s="520"/>
      <c r="AD72" s="516"/>
      <c r="AE72" s="518"/>
      <c r="AF72" s="516"/>
      <c r="AG72" s="518"/>
      <c r="AH72" s="516"/>
      <c r="AI72" s="517"/>
      <c r="AJ72" s="516"/>
      <c r="AK72" s="517"/>
      <c r="AL72" s="516"/>
      <c r="AM72" s="517"/>
      <c r="AN72" s="520"/>
      <c r="AO72" s="521"/>
      <c r="AQ72" s="538"/>
      <c r="AR72" s="538"/>
      <c r="AS72" s="538"/>
      <c r="AT72" s="538"/>
    </row>
    <row r="73" spans="1:358" s="158" customFormat="1" ht="15.6">
      <c r="A73" s="605">
        <v>24</v>
      </c>
      <c r="B73" s="409">
        <v>42</v>
      </c>
      <c r="C73" s="409" t="s">
        <v>688</v>
      </c>
      <c r="D73" s="409"/>
      <c r="E73" s="409" t="s">
        <v>650</v>
      </c>
      <c r="F73" s="409"/>
      <c r="G73" s="632"/>
      <c r="H73" s="663" t="s">
        <v>954</v>
      </c>
      <c r="I73" s="409"/>
      <c r="J73" s="409"/>
      <c r="K73" s="556"/>
      <c r="L73" s="409"/>
      <c r="M73" s="409"/>
      <c r="N73" s="409"/>
      <c r="O73" s="409"/>
      <c r="P73" s="557"/>
      <c r="Q73" s="437">
        <v>475512</v>
      </c>
      <c r="R73" s="458">
        <v>14075.73</v>
      </c>
      <c r="S73" s="842">
        <v>475364</v>
      </c>
      <c r="T73" s="844">
        <v>3675.57</v>
      </c>
      <c r="U73" s="435"/>
      <c r="V73" s="463"/>
      <c r="W73" s="454"/>
      <c r="X73" s="536"/>
      <c r="Y73" s="846">
        <v>475512</v>
      </c>
      <c r="Z73" s="861">
        <v>9582.34</v>
      </c>
      <c r="AA73" s="464">
        <v>475512</v>
      </c>
      <c r="AB73" s="465">
        <f t="shared" si="1"/>
        <v>27333.64</v>
      </c>
      <c r="AC73" s="666"/>
      <c r="AD73" s="439"/>
      <c r="AE73" s="627"/>
      <c r="AF73" s="439"/>
      <c r="AG73" s="627"/>
      <c r="AH73" s="435"/>
      <c r="AI73" s="463"/>
      <c r="AJ73" s="433"/>
      <c r="AK73" s="490"/>
      <c r="AL73" s="433"/>
      <c r="AM73" s="490"/>
      <c r="AN73" s="464"/>
      <c r="AO73" s="465"/>
      <c r="AP73" s="666"/>
      <c r="AQ73" s="439"/>
      <c r="AR73" s="534"/>
      <c r="AS73" s="671"/>
      <c r="AT73" s="672"/>
      <c r="AU73" s="666"/>
      <c r="AV73" s="666"/>
      <c r="AW73" s="666"/>
      <c r="AX73" s="666"/>
      <c r="AY73" s="666"/>
      <c r="AZ73" s="666"/>
      <c r="BA73" s="666"/>
      <c r="BB73" s="666"/>
      <c r="BC73" s="666"/>
      <c r="BD73" s="666"/>
      <c r="BE73" s="666"/>
      <c r="BF73" s="666"/>
      <c r="BG73" s="666"/>
      <c r="BH73" s="666"/>
      <c r="BI73" s="666"/>
      <c r="BJ73" s="666"/>
      <c r="BK73" s="666"/>
      <c r="BL73" s="666"/>
      <c r="BM73" s="666"/>
      <c r="BN73" s="666"/>
      <c r="BO73" s="666"/>
      <c r="BP73" s="666"/>
      <c r="BQ73" s="666"/>
      <c r="BR73" s="666"/>
      <c r="BS73" s="666"/>
      <c r="BT73" s="666"/>
      <c r="BU73" s="666"/>
      <c r="BV73" s="666"/>
      <c r="BW73" s="666"/>
      <c r="BX73" s="666"/>
      <c r="BY73" s="666"/>
      <c r="BZ73" s="666"/>
      <c r="CA73" s="666"/>
      <c r="CB73" s="666"/>
      <c r="CC73" s="666"/>
      <c r="CD73" s="666"/>
      <c r="CE73" s="666"/>
      <c r="CF73" s="666"/>
      <c r="CG73" s="666"/>
      <c r="CH73" s="666"/>
      <c r="CI73" s="666"/>
      <c r="CJ73" s="666"/>
      <c r="CK73" s="666"/>
      <c r="CL73" s="666"/>
      <c r="CM73" s="666"/>
      <c r="CN73" s="666"/>
      <c r="CO73" s="666"/>
      <c r="CP73" s="666"/>
      <c r="CQ73" s="666"/>
      <c r="CR73" s="666"/>
      <c r="CS73" s="666"/>
      <c r="CT73" s="666"/>
      <c r="CU73" s="666"/>
      <c r="CV73" s="666"/>
      <c r="CW73" s="666"/>
      <c r="CX73" s="666"/>
      <c r="CY73" s="666"/>
      <c r="CZ73" s="666"/>
      <c r="DA73" s="666"/>
      <c r="DB73" s="666"/>
      <c r="DC73" s="666"/>
      <c r="DD73" s="666"/>
      <c r="DE73" s="666"/>
      <c r="DF73" s="666"/>
      <c r="DG73" s="666"/>
      <c r="DH73" s="666"/>
      <c r="DI73" s="666"/>
      <c r="DJ73" s="666"/>
      <c r="DK73" s="666"/>
      <c r="DL73" s="666"/>
      <c r="DM73" s="666"/>
      <c r="DN73" s="666"/>
      <c r="DO73" s="666"/>
      <c r="DP73" s="666"/>
      <c r="DQ73" s="666"/>
      <c r="DR73" s="666"/>
      <c r="DS73" s="666"/>
      <c r="DT73" s="666"/>
      <c r="DU73" s="666"/>
      <c r="DV73" s="666"/>
      <c r="DW73" s="666"/>
      <c r="DX73" s="666"/>
      <c r="DY73" s="666"/>
      <c r="DZ73" s="666"/>
      <c r="EA73" s="666"/>
      <c r="EB73" s="666"/>
      <c r="EC73" s="666"/>
      <c r="ED73" s="666"/>
      <c r="EE73" s="666"/>
      <c r="EF73" s="666"/>
      <c r="EG73" s="666"/>
      <c r="EH73" s="666"/>
      <c r="EI73" s="666"/>
      <c r="EJ73" s="666"/>
      <c r="EK73" s="666"/>
      <c r="EL73" s="666"/>
      <c r="EM73" s="666"/>
      <c r="EN73" s="666"/>
      <c r="EO73" s="666"/>
      <c r="EP73" s="666"/>
      <c r="EQ73" s="666"/>
      <c r="ER73" s="666"/>
      <c r="ES73" s="666"/>
      <c r="ET73" s="666"/>
      <c r="EU73" s="666"/>
      <c r="EV73" s="666"/>
      <c r="EW73" s="666"/>
      <c r="EX73" s="666"/>
      <c r="EY73" s="666"/>
      <c r="EZ73" s="666"/>
      <c r="FA73" s="666"/>
      <c r="FB73" s="666"/>
      <c r="FC73" s="666"/>
      <c r="FD73" s="666"/>
      <c r="FE73" s="666"/>
      <c r="FF73" s="666"/>
      <c r="FG73" s="666"/>
      <c r="FH73" s="666"/>
      <c r="FI73" s="666"/>
      <c r="FJ73" s="666"/>
      <c r="FK73" s="666"/>
      <c r="FL73" s="666"/>
      <c r="FM73" s="666"/>
      <c r="FN73" s="666"/>
      <c r="FO73" s="666"/>
      <c r="FP73" s="666"/>
      <c r="FQ73" s="666"/>
      <c r="FR73" s="666"/>
      <c r="FS73" s="666"/>
      <c r="FT73" s="666"/>
      <c r="FU73" s="666"/>
      <c r="FV73" s="666"/>
      <c r="FW73" s="666"/>
      <c r="FX73" s="666"/>
      <c r="FY73" s="666"/>
      <c r="FZ73" s="666"/>
      <c r="GA73" s="666"/>
      <c r="GB73" s="666"/>
      <c r="GC73" s="666"/>
      <c r="GD73" s="666"/>
      <c r="GE73" s="666"/>
      <c r="GF73" s="666"/>
      <c r="GG73" s="666"/>
      <c r="GH73" s="666"/>
      <c r="GI73" s="666"/>
      <c r="GJ73" s="666"/>
      <c r="GK73" s="666"/>
      <c r="GL73" s="666"/>
      <c r="GM73" s="666"/>
      <c r="GN73" s="666"/>
      <c r="GO73" s="666"/>
      <c r="GP73" s="666"/>
      <c r="GQ73" s="666"/>
      <c r="GR73" s="666"/>
      <c r="GS73" s="666"/>
      <c r="GT73" s="666"/>
      <c r="GU73" s="666"/>
      <c r="GV73" s="666"/>
      <c r="GW73" s="666"/>
      <c r="GX73" s="666"/>
      <c r="GY73" s="666"/>
      <c r="GZ73" s="666"/>
      <c r="HA73" s="666"/>
      <c r="HB73" s="666"/>
      <c r="HC73" s="666"/>
      <c r="HD73" s="666"/>
      <c r="HE73" s="666"/>
      <c r="HF73" s="666"/>
      <c r="HG73" s="666"/>
      <c r="HH73" s="666"/>
      <c r="HI73" s="666"/>
      <c r="HJ73" s="666"/>
      <c r="HK73" s="666"/>
      <c r="HL73" s="666"/>
      <c r="HM73" s="666"/>
      <c r="HN73" s="666"/>
      <c r="HO73" s="666"/>
      <c r="HP73" s="666"/>
      <c r="HQ73" s="666"/>
      <c r="HR73" s="666"/>
      <c r="HS73" s="666"/>
      <c r="HT73" s="666"/>
      <c r="HU73" s="666"/>
      <c r="HV73" s="666"/>
      <c r="HW73" s="666"/>
      <c r="HX73" s="666"/>
      <c r="HY73" s="666"/>
      <c r="HZ73" s="666"/>
      <c r="IA73" s="666"/>
      <c r="IB73" s="666"/>
      <c r="IC73" s="666"/>
      <c r="ID73" s="666"/>
      <c r="IE73" s="666"/>
      <c r="IF73" s="666"/>
      <c r="IG73" s="666"/>
      <c r="IH73" s="666"/>
      <c r="II73" s="666"/>
      <c r="IJ73" s="666"/>
      <c r="IK73" s="666"/>
      <c r="IL73" s="666"/>
      <c r="IM73" s="666"/>
      <c r="IN73" s="666"/>
      <c r="IO73" s="666"/>
      <c r="IP73" s="666"/>
      <c r="IQ73" s="666"/>
      <c r="IR73" s="666"/>
      <c r="IS73" s="666"/>
      <c r="IT73" s="666"/>
      <c r="IU73" s="666"/>
      <c r="IV73" s="666"/>
      <c r="IW73" s="666"/>
      <c r="IX73" s="666"/>
      <c r="IY73" s="666"/>
      <c r="IZ73" s="666"/>
      <c r="JA73" s="666"/>
      <c r="JB73" s="666"/>
      <c r="JC73" s="666"/>
      <c r="JD73" s="666"/>
      <c r="JE73" s="666"/>
      <c r="JF73" s="666"/>
      <c r="JG73" s="666"/>
      <c r="JH73" s="666"/>
      <c r="JI73" s="666"/>
      <c r="JJ73" s="666"/>
      <c r="JK73" s="666"/>
      <c r="JL73" s="666"/>
      <c r="JM73" s="666"/>
      <c r="JN73" s="666"/>
      <c r="JO73" s="666"/>
      <c r="JP73" s="666"/>
      <c r="JQ73" s="666"/>
      <c r="JR73" s="666"/>
      <c r="JS73" s="666"/>
      <c r="JT73" s="666"/>
      <c r="JU73" s="666"/>
      <c r="JV73" s="666"/>
      <c r="JW73" s="666"/>
      <c r="JX73" s="666"/>
      <c r="JY73" s="666"/>
      <c r="JZ73" s="666"/>
      <c r="KA73" s="666"/>
      <c r="KB73" s="666"/>
      <c r="KC73" s="666"/>
      <c r="KD73" s="666"/>
      <c r="KE73" s="666"/>
      <c r="KF73" s="666"/>
      <c r="KG73" s="666"/>
      <c r="KH73" s="666"/>
      <c r="KI73" s="666"/>
      <c r="KJ73" s="666"/>
      <c r="KK73" s="666"/>
      <c r="KL73" s="666"/>
      <c r="KM73" s="666"/>
      <c r="KN73" s="666"/>
      <c r="KO73" s="666"/>
      <c r="KP73" s="666"/>
      <c r="KQ73" s="666"/>
      <c r="KR73" s="666"/>
      <c r="KS73" s="666"/>
      <c r="KT73" s="666"/>
      <c r="KU73" s="666"/>
      <c r="KV73" s="666"/>
      <c r="KW73" s="666"/>
      <c r="KX73" s="666"/>
      <c r="KY73" s="666"/>
      <c r="KZ73" s="666"/>
      <c r="LA73" s="666"/>
      <c r="LB73" s="666"/>
      <c r="LC73" s="666"/>
      <c r="LD73" s="666"/>
      <c r="LE73" s="666"/>
      <c r="LF73" s="666"/>
      <c r="LG73" s="666"/>
      <c r="LH73" s="666"/>
      <c r="LI73" s="666"/>
      <c r="LJ73" s="666"/>
      <c r="LK73" s="666"/>
      <c r="LL73" s="666"/>
      <c r="LM73" s="666"/>
      <c r="LN73" s="666"/>
      <c r="LO73" s="666"/>
      <c r="LP73" s="666"/>
      <c r="LQ73" s="666"/>
      <c r="LR73" s="666"/>
      <c r="LS73" s="666"/>
      <c r="LT73" s="666"/>
      <c r="LU73" s="666"/>
      <c r="LV73" s="666"/>
      <c r="LW73" s="666"/>
      <c r="LX73" s="666"/>
      <c r="LY73" s="666"/>
      <c r="LZ73" s="666"/>
      <c r="MA73" s="666"/>
      <c r="MB73" s="666"/>
      <c r="MC73" s="666"/>
      <c r="MD73" s="666"/>
      <c r="ME73" s="666"/>
      <c r="MF73" s="666"/>
      <c r="MG73" s="666"/>
      <c r="MH73" s="666"/>
      <c r="MI73" s="666"/>
      <c r="MJ73" s="666"/>
      <c r="MK73" s="666"/>
      <c r="ML73" s="666"/>
      <c r="MM73" s="666"/>
      <c r="MN73" s="666"/>
      <c r="MO73" s="666"/>
      <c r="MP73" s="666"/>
      <c r="MQ73" s="666"/>
      <c r="MR73" s="666"/>
      <c r="MS73" s="666"/>
      <c r="MT73" s="666"/>
    </row>
    <row r="74" spans="1:358" ht="15.6">
      <c r="A74" s="579"/>
      <c r="B74" s="50"/>
      <c r="C74" s="9"/>
      <c r="D74" s="9"/>
      <c r="E74" s="9"/>
      <c r="F74" s="9"/>
      <c r="G74" s="13"/>
      <c r="H74" s="589"/>
      <c r="I74" s="50"/>
      <c r="J74" s="50"/>
      <c r="K74" s="58"/>
      <c r="L74" s="9"/>
      <c r="M74" s="9"/>
      <c r="N74" s="9"/>
      <c r="O74" s="9"/>
      <c r="P74" s="141"/>
      <c r="Z74" s="323"/>
      <c r="AA74" s="309"/>
      <c r="AB74" s="465"/>
      <c r="AE74" s="323"/>
      <c r="AG74" s="323"/>
      <c r="AN74" s="309"/>
      <c r="AO74" s="230"/>
    </row>
    <row r="75" spans="1:358" s="163" customFormat="1" ht="3.75" customHeight="1">
      <c r="A75" s="574"/>
      <c r="B75" s="13"/>
      <c r="C75" s="13"/>
      <c r="D75" s="13"/>
      <c r="E75" s="13"/>
      <c r="F75" s="13"/>
      <c r="G75" s="13"/>
      <c r="H75" s="583"/>
      <c r="I75" s="13"/>
      <c r="J75" s="13"/>
      <c r="K75" s="515"/>
      <c r="L75" s="13"/>
      <c r="M75" s="13"/>
      <c r="N75" s="13"/>
      <c r="O75" s="13"/>
      <c r="P75" s="519"/>
      <c r="Q75" s="516"/>
      <c r="R75" s="517"/>
      <c r="S75" s="516"/>
      <c r="T75" s="517"/>
      <c r="U75" s="516"/>
      <c r="V75" s="517"/>
      <c r="W75" s="516"/>
      <c r="X75" s="517"/>
      <c r="Y75" s="516"/>
      <c r="Z75" s="518"/>
      <c r="AA75" s="520"/>
      <c r="AB75" s="520"/>
      <c r="AD75" s="516"/>
      <c r="AE75" s="518"/>
      <c r="AF75" s="516"/>
      <c r="AG75" s="518"/>
      <c r="AH75" s="516"/>
      <c r="AI75" s="517"/>
      <c r="AJ75" s="516"/>
      <c r="AK75" s="517"/>
      <c r="AL75" s="516"/>
      <c r="AM75" s="517"/>
      <c r="AN75" s="520"/>
      <c r="AO75" s="521"/>
      <c r="AQ75" s="538"/>
      <c r="AR75" s="538"/>
      <c r="AS75" s="538"/>
      <c r="AT75" s="538"/>
    </row>
    <row r="76" spans="1:358" s="158" customFormat="1" ht="15.6">
      <c r="A76" s="605">
        <v>25</v>
      </c>
      <c r="B76" s="409">
        <v>45</v>
      </c>
      <c r="C76" s="409" t="s">
        <v>647</v>
      </c>
      <c r="D76" s="409"/>
      <c r="E76" s="409" t="s">
        <v>650</v>
      </c>
      <c r="F76" s="409"/>
      <c r="G76" s="632"/>
      <c r="H76" s="663" t="s">
        <v>955</v>
      </c>
      <c r="I76" s="409"/>
      <c r="J76" s="409"/>
      <c r="K76" s="556"/>
      <c r="L76" s="409"/>
      <c r="M76" s="409"/>
      <c r="N76" s="409"/>
      <c r="O76" s="409"/>
      <c r="P76" s="557"/>
      <c r="Q76" s="840">
        <v>474265</v>
      </c>
      <c r="R76" s="845">
        <v>14202.55</v>
      </c>
      <c r="S76" s="857">
        <v>474158</v>
      </c>
      <c r="T76" s="858">
        <v>766.86</v>
      </c>
      <c r="U76" s="435"/>
      <c r="V76" s="463"/>
      <c r="W76" s="454"/>
      <c r="X76" s="536"/>
      <c r="Y76" s="439">
        <v>474265</v>
      </c>
      <c r="Z76" s="440">
        <v>9563.51</v>
      </c>
      <c r="AA76" s="464">
        <f>Q76</f>
        <v>474265</v>
      </c>
      <c r="AB76" s="465">
        <f t="shared" si="1"/>
        <v>24532.92</v>
      </c>
      <c r="AC76" s="666"/>
      <c r="AD76" s="439"/>
      <c r="AE76" s="627"/>
      <c r="AF76" s="439"/>
      <c r="AG76" s="627"/>
      <c r="AH76" s="435"/>
      <c r="AI76" s="463"/>
      <c r="AJ76" s="433"/>
      <c r="AK76" s="490"/>
      <c r="AL76" s="433"/>
      <c r="AM76" s="490"/>
      <c r="AN76" s="464"/>
      <c r="AO76" s="465"/>
      <c r="AP76" s="666"/>
      <c r="AQ76" s="439"/>
      <c r="AR76" s="534"/>
      <c r="AS76" s="671"/>
      <c r="AT76" s="672"/>
      <c r="AU76" s="666"/>
      <c r="AV76" s="666"/>
      <c r="AW76" s="666"/>
      <c r="AX76" s="666"/>
      <c r="AY76" s="666"/>
      <c r="AZ76" s="666"/>
      <c r="BA76" s="666"/>
      <c r="BB76" s="666"/>
      <c r="BC76" s="666"/>
      <c r="BD76" s="666"/>
      <c r="BE76" s="666"/>
      <c r="BF76" s="666"/>
      <c r="BG76" s="666"/>
      <c r="BH76" s="666"/>
      <c r="BI76" s="666"/>
      <c r="BJ76" s="666"/>
      <c r="BK76" s="666"/>
      <c r="BL76" s="666"/>
      <c r="BM76" s="666"/>
      <c r="BN76" s="666"/>
      <c r="BO76" s="666"/>
      <c r="BP76" s="666"/>
      <c r="BQ76" s="666"/>
      <c r="BR76" s="666"/>
      <c r="BS76" s="666"/>
      <c r="BT76" s="666"/>
      <c r="BU76" s="666"/>
      <c r="BV76" s="666"/>
      <c r="BW76" s="666"/>
      <c r="BX76" s="666"/>
      <c r="BY76" s="666"/>
      <c r="BZ76" s="666"/>
      <c r="CA76" s="666"/>
      <c r="CB76" s="666"/>
      <c r="CC76" s="666"/>
      <c r="CD76" s="666"/>
      <c r="CE76" s="666"/>
      <c r="CF76" s="666"/>
      <c r="CG76" s="666"/>
      <c r="CH76" s="666"/>
      <c r="CI76" s="666"/>
      <c r="CJ76" s="666"/>
      <c r="CK76" s="666"/>
      <c r="CL76" s="666"/>
      <c r="CM76" s="666"/>
      <c r="CN76" s="666"/>
      <c r="CO76" s="666"/>
      <c r="CP76" s="666"/>
      <c r="CQ76" s="666"/>
      <c r="CR76" s="666"/>
      <c r="CS76" s="666"/>
      <c r="CT76" s="666"/>
      <c r="CU76" s="666"/>
      <c r="CV76" s="666"/>
      <c r="CW76" s="666"/>
      <c r="CX76" s="666"/>
      <c r="CY76" s="666"/>
      <c r="CZ76" s="666"/>
      <c r="DA76" s="666"/>
      <c r="DB76" s="666"/>
      <c r="DC76" s="666"/>
      <c r="DD76" s="666"/>
      <c r="DE76" s="666"/>
      <c r="DF76" s="666"/>
      <c r="DG76" s="666"/>
      <c r="DH76" s="666"/>
      <c r="DI76" s="666"/>
      <c r="DJ76" s="666"/>
      <c r="DK76" s="666"/>
      <c r="DL76" s="666"/>
      <c r="DM76" s="666"/>
      <c r="DN76" s="666"/>
      <c r="DO76" s="666"/>
      <c r="DP76" s="666"/>
      <c r="DQ76" s="666"/>
      <c r="DR76" s="666"/>
      <c r="DS76" s="666"/>
      <c r="DT76" s="666"/>
      <c r="DU76" s="666"/>
      <c r="DV76" s="666"/>
      <c r="DW76" s="666"/>
      <c r="DX76" s="666"/>
      <c r="DY76" s="666"/>
      <c r="DZ76" s="666"/>
      <c r="EA76" s="666"/>
      <c r="EB76" s="666"/>
      <c r="EC76" s="666"/>
      <c r="ED76" s="666"/>
      <c r="EE76" s="666"/>
      <c r="EF76" s="666"/>
      <c r="EG76" s="666"/>
      <c r="EH76" s="666"/>
      <c r="EI76" s="666"/>
      <c r="EJ76" s="666"/>
      <c r="EK76" s="666"/>
      <c r="EL76" s="666"/>
      <c r="EM76" s="666"/>
      <c r="EN76" s="666"/>
      <c r="EO76" s="666"/>
      <c r="EP76" s="666"/>
      <c r="EQ76" s="666"/>
      <c r="ER76" s="666"/>
      <c r="ES76" s="666"/>
      <c r="ET76" s="666"/>
      <c r="EU76" s="666"/>
      <c r="EV76" s="666"/>
      <c r="EW76" s="666"/>
      <c r="EX76" s="666"/>
      <c r="EY76" s="666"/>
      <c r="EZ76" s="666"/>
      <c r="FA76" s="666"/>
      <c r="FB76" s="666"/>
      <c r="FC76" s="666"/>
      <c r="FD76" s="666"/>
      <c r="FE76" s="666"/>
      <c r="FF76" s="666"/>
      <c r="FG76" s="666"/>
      <c r="FH76" s="666"/>
      <c r="FI76" s="666"/>
      <c r="FJ76" s="666"/>
      <c r="FK76" s="666"/>
      <c r="FL76" s="666"/>
      <c r="FM76" s="666"/>
      <c r="FN76" s="666"/>
      <c r="FO76" s="666"/>
      <c r="FP76" s="666"/>
      <c r="FQ76" s="666"/>
      <c r="FR76" s="666"/>
      <c r="FS76" s="666"/>
      <c r="FT76" s="666"/>
      <c r="FU76" s="666"/>
      <c r="FV76" s="666"/>
      <c r="FW76" s="666"/>
      <c r="FX76" s="666"/>
      <c r="FY76" s="666"/>
      <c r="FZ76" s="666"/>
      <c r="GA76" s="666"/>
      <c r="GB76" s="666"/>
      <c r="GC76" s="666"/>
      <c r="GD76" s="666"/>
      <c r="GE76" s="666"/>
      <c r="GF76" s="666"/>
      <c r="GG76" s="666"/>
      <c r="GH76" s="666"/>
      <c r="GI76" s="666"/>
      <c r="GJ76" s="666"/>
      <c r="GK76" s="666"/>
      <c r="GL76" s="666"/>
      <c r="GM76" s="666"/>
      <c r="GN76" s="666"/>
      <c r="GO76" s="666"/>
      <c r="GP76" s="666"/>
      <c r="GQ76" s="666"/>
      <c r="GR76" s="666"/>
      <c r="GS76" s="666"/>
      <c r="GT76" s="666"/>
      <c r="GU76" s="666"/>
      <c r="GV76" s="666"/>
      <c r="GW76" s="666"/>
      <c r="GX76" s="666"/>
      <c r="GY76" s="666"/>
      <c r="GZ76" s="666"/>
      <c r="HA76" s="666"/>
      <c r="HB76" s="666"/>
      <c r="HC76" s="666"/>
      <c r="HD76" s="666"/>
      <c r="HE76" s="666"/>
      <c r="HF76" s="666"/>
      <c r="HG76" s="666"/>
      <c r="HH76" s="666"/>
      <c r="HI76" s="666"/>
      <c r="HJ76" s="666"/>
      <c r="HK76" s="666"/>
      <c r="HL76" s="666"/>
      <c r="HM76" s="666"/>
      <c r="HN76" s="666"/>
      <c r="HO76" s="666"/>
      <c r="HP76" s="666"/>
      <c r="HQ76" s="666"/>
      <c r="HR76" s="666"/>
      <c r="HS76" s="666"/>
      <c r="HT76" s="666"/>
      <c r="HU76" s="666"/>
      <c r="HV76" s="666"/>
      <c r="HW76" s="666"/>
      <c r="HX76" s="666"/>
      <c r="HY76" s="666"/>
      <c r="HZ76" s="666"/>
      <c r="IA76" s="666"/>
      <c r="IB76" s="666"/>
      <c r="IC76" s="666"/>
      <c r="ID76" s="666"/>
      <c r="IE76" s="666"/>
      <c r="IF76" s="666"/>
      <c r="IG76" s="666"/>
      <c r="IH76" s="666"/>
      <c r="II76" s="666"/>
      <c r="IJ76" s="666"/>
      <c r="IK76" s="666"/>
      <c r="IL76" s="666"/>
      <c r="IM76" s="666"/>
      <c r="IN76" s="666"/>
      <c r="IO76" s="666"/>
      <c r="IP76" s="666"/>
      <c r="IQ76" s="666"/>
      <c r="IR76" s="666"/>
      <c r="IS76" s="666"/>
      <c r="IT76" s="666"/>
      <c r="IU76" s="666"/>
      <c r="IV76" s="666"/>
      <c r="IW76" s="666"/>
      <c r="IX76" s="666"/>
      <c r="IY76" s="666"/>
      <c r="IZ76" s="666"/>
      <c r="JA76" s="666"/>
      <c r="JB76" s="666"/>
      <c r="JC76" s="666"/>
      <c r="JD76" s="666"/>
      <c r="JE76" s="666"/>
      <c r="JF76" s="666"/>
      <c r="JG76" s="666"/>
      <c r="JH76" s="666"/>
      <c r="JI76" s="666"/>
      <c r="JJ76" s="666"/>
      <c r="JK76" s="666"/>
      <c r="JL76" s="666"/>
      <c r="JM76" s="666"/>
      <c r="JN76" s="666"/>
      <c r="JO76" s="666"/>
      <c r="JP76" s="666"/>
      <c r="JQ76" s="666"/>
      <c r="JR76" s="666"/>
      <c r="JS76" s="666"/>
      <c r="JT76" s="666"/>
      <c r="JU76" s="666"/>
      <c r="JV76" s="666"/>
      <c r="JW76" s="666"/>
      <c r="JX76" s="666"/>
      <c r="JY76" s="666"/>
      <c r="JZ76" s="666"/>
      <c r="KA76" s="666"/>
      <c r="KB76" s="666"/>
      <c r="KC76" s="666"/>
      <c r="KD76" s="666"/>
      <c r="KE76" s="666"/>
      <c r="KF76" s="666"/>
      <c r="KG76" s="666"/>
      <c r="KH76" s="666"/>
      <c r="KI76" s="666"/>
      <c r="KJ76" s="666"/>
      <c r="KK76" s="666"/>
      <c r="KL76" s="666"/>
      <c r="KM76" s="666"/>
      <c r="KN76" s="666"/>
      <c r="KO76" s="666"/>
      <c r="KP76" s="666"/>
      <c r="KQ76" s="666"/>
      <c r="KR76" s="666"/>
      <c r="KS76" s="666"/>
      <c r="KT76" s="666"/>
      <c r="KU76" s="666"/>
      <c r="KV76" s="666"/>
      <c r="KW76" s="666"/>
      <c r="KX76" s="666"/>
      <c r="KY76" s="666"/>
      <c r="KZ76" s="666"/>
      <c r="LA76" s="666"/>
      <c r="LB76" s="666"/>
      <c r="LC76" s="666"/>
      <c r="LD76" s="666"/>
      <c r="LE76" s="666"/>
      <c r="LF76" s="666"/>
      <c r="LG76" s="666"/>
      <c r="LH76" s="666"/>
      <c r="LI76" s="666"/>
      <c r="LJ76" s="666"/>
      <c r="LK76" s="666"/>
      <c r="LL76" s="666"/>
      <c r="LM76" s="666"/>
      <c r="LN76" s="666"/>
      <c r="LO76" s="666"/>
      <c r="LP76" s="666"/>
      <c r="LQ76" s="666"/>
      <c r="LR76" s="666"/>
      <c r="LS76" s="666"/>
      <c r="LT76" s="666"/>
      <c r="LU76" s="666"/>
      <c r="LV76" s="666"/>
      <c r="LW76" s="666"/>
      <c r="LX76" s="666"/>
      <c r="LY76" s="666"/>
      <c r="LZ76" s="666"/>
      <c r="MA76" s="666"/>
      <c r="MB76" s="666"/>
      <c r="MC76" s="666"/>
      <c r="MD76" s="666"/>
      <c r="ME76" s="666"/>
      <c r="MF76" s="666"/>
      <c r="MG76" s="666"/>
      <c r="MH76" s="666"/>
      <c r="MI76" s="666"/>
      <c r="MJ76" s="666"/>
      <c r="MK76" s="666"/>
      <c r="ML76" s="666"/>
      <c r="MM76" s="666"/>
      <c r="MN76" s="666"/>
      <c r="MO76" s="666"/>
      <c r="MP76" s="666"/>
      <c r="MQ76" s="666"/>
      <c r="MR76" s="666"/>
      <c r="MS76" s="666"/>
      <c r="MT76" s="666"/>
    </row>
    <row r="77" spans="1:358" ht="15.6">
      <c r="A77" s="579"/>
      <c r="B77" s="50"/>
      <c r="C77" s="9"/>
      <c r="D77" s="9"/>
      <c r="E77" s="9"/>
      <c r="F77" s="9"/>
      <c r="G77" s="13"/>
      <c r="H77" s="589"/>
      <c r="I77" s="50"/>
      <c r="J77" s="50"/>
      <c r="K77" s="58"/>
      <c r="L77" s="9"/>
      <c r="M77" s="9"/>
      <c r="N77" s="9"/>
      <c r="O77" s="9"/>
      <c r="P77" s="141"/>
      <c r="Z77" s="323"/>
      <c r="AA77" s="309"/>
      <c r="AB77" s="465"/>
      <c r="AE77" s="323"/>
      <c r="AG77" s="323"/>
      <c r="AN77" s="309"/>
      <c r="AO77" s="230"/>
    </row>
    <row r="78" spans="1:358" s="163" customFormat="1" ht="3.75" customHeight="1">
      <c r="A78" s="574"/>
      <c r="B78" s="13"/>
      <c r="C78" s="13"/>
      <c r="D78" s="13"/>
      <c r="E78" s="13"/>
      <c r="F78" s="13"/>
      <c r="G78" s="13"/>
      <c r="H78" s="583"/>
      <c r="I78" s="13"/>
      <c r="J78" s="13"/>
      <c r="K78" s="515"/>
      <c r="L78" s="13"/>
      <c r="M78" s="13"/>
      <c r="N78" s="13"/>
      <c r="O78" s="13"/>
      <c r="P78" s="519"/>
      <c r="Q78" s="516"/>
      <c r="R78" s="517"/>
      <c r="S78" s="516"/>
      <c r="T78" s="517"/>
      <c r="U78" s="516"/>
      <c r="V78" s="517"/>
      <c r="W78" s="516"/>
      <c r="X78" s="517"/>
      <c r="Y78" s="516"/>
      <c r="Z78" s="518"/>
      <c r="AA78" s="520"/>
      <c r="AB78" s="520"/>
      <c r="AD78" s="516"/>
      <c r="AE78" s="518"/>
      <c r="AF78" s="516"/>
      <c r="AG78" s="518"/>
      <c r="AH78" s="516"/>
      <c r="AI78" s="517"/>
      <c r="AJ78" s="516"/>
      <c r="AK78" s="517"/>
      <c r="AL78" s="516"/>
      <c r="AM78" s="517"/>
      <c r="AN78" s="520"/>
      <c r="AO78" s="521"/>
      <c r="AQ78" s="538"/>
      <c r="AR78" s="538"/>
      <c r="AS78" s="538"/>
      <c r="AT78" s="538"/>
    </row>
    <row r="79" spans="1:358" s="158" customFormat="1" ht="15.6">
      <c r="A79" s="605">
        <v>26</v>
      </c>
      <c r="B79" s="409">
        <v>41</v>
      </c>
      <c r="C79" s="409" t="s">
        <v>649</v>
      </c>
      <c r="D79" s="409"/>
      <c r="E79" s="409" t="s">
        <v>650</v>
      </c>
      <c r="F79" s="409"/>
      <c r="G79" s="632"/>
      <c r="H79" s="663" t="s">
        <v>956</v>
      </c>
      <c r="I79" s="409"/>
      <c r="J79" s="409"/>
      <c r="K79" s="556"/>
      <c r="L79" s="409"/>
      <c r="M79" s="409"/>
      <c r="N79" s="409"/>
      <c r="O79" s="409"/>
      <c r="P79" s="557"/>
      <c r="Q79" s="840">
        <v>474302</v>
      </c>
      <c r="R79" s="845">
        <v>14813.32</v>
      </c>
      <c r="S79" s="842">
        <v>474189</v>
      </c>
      <c r="T79" s="844">
        <v>3204.42</v>
      </c>
      <c r="U79" s="435"/>
      <c r="V79" s="463"/>
      <c r="W79" s="454"/>
      <c r="X79" s="536"/>
      <c r="Y79" s="439">
        <v>474302</v>
      </c>
      <c r="Z79" s="510">
        <v>9555.4699999999993</v>
      </c>
      <c r="AA79" s="464">
        <v>474302</v>
      </c>
      <c r="AB79" s="465">
        <f>Z79+V79+T79+R79</f>
        <v>27573.21</v>
      </c>
      <c r="AC79" s="666"/>
      <c r="AD79" s="439"/>
      <c r="AE79" s="627"/>
      <c r="AF79" s="439"/>
      <c r="AG79" s="627"/>
      <c r="AH79" s="435"/>
      <c r="AI79" s="463"/>
      <c r="AJ79" s="433"/>
      <c r="AK79" s="490"/>
      <c r="AL79" s="433"/>
      <c r="AM79" s="490"/>
      <c r="AN79" s="464"/>
      <c r="AO79" s="465"/>
      <c r="AP79" s="666"/>
      <c r="AQ79" s="439"/>
      <c r="AR79" s="534"/>
      <c r="AS79" s="671"/>
      <c r="AT79" s="672"/>
      <c r="AU79" s="666"/>
      <c r="AV79" s="666"/>
      <c r="AW79" s="666"/>
      <c r="AX79" s="666"/>
      <c r="AY79" s="666"/>
      <c r="AZ79" s="666"/>
      <c r="BA79" s="666"/>
      <c r="BB79" s="666"/>
      <c r="BC79" s="666"/>
      <c r="BD79" s="666"/>
      <c r="BE79" s="666"/>
      <c r="BF79" s="666"/>
      <c r="BG79" s="666"/>
      <c r="BH79" s="666"/>
      <c r="BI79" s="666"/>
      <c r="BJ79" s="666"/>
      <c r="BK79" s="666"/>
      <c r="BL79" s="666"/>
      <c r="BM79" s="666"/>
      <c r="BN79" s="666"/>
      <c r="BO79" s="666"/>
      <c r="BP79" s="666"/>
      <c r="BQ79" s="666"/>
      <c r="BR79" s="666"/>
      <c r="BS79" s="666"/>
      <c r="BT79" s="666"/>
      <c r="BU79" s="666"/>
      <c r="BV79" s="666"/>
      <c r="BW79" s="666"/>
      <c r="BX79" s="666"/>
      <c r="BY79" s="666"/>
      <c r="BZ79" s="666"/>
      <c r="CA79" s="666"/>
      <c r="CB79" s="666"/>
      <c r="CC79" s="666"/>
      <c r="CD79" s="666"/>
      <c r="CE79" s="666"/>
      <c r="CF79" s="666"/>
      <c r="CG79" s="666"/>
      <c r="CH79" s="666"/>
      <c r="CI79" s="666"/>
      <c r="CJ79" s="666"/>
      <c r="CK79" s="666"/>
      <c r="CL79" s="666"/>
      <c r="CM79" s="666"/>
      <c r="CN79" s="666"/>
      <c r="CO79" s="666"/>
      <c r="CP79" s="666"/>
      <c r="CQ79" s="666"/>
      <c r="CR79" s="666"/>
      <c r="CS79" s="666"/>
      <c r="CT79" s="666"/>
      <c r="CU79" s="666"/>
      <c r="CV79" s="666"/>
      <c r="CW79" s="666"/>
      <c r="CX79" s="666"/>
      <c r="CY79" s="666"/>
      <c r="CZ79" s="666"/>
      <c r="DA79" s="666"/>
      <c r="DB79" s="666"/>
      <c r="DC79" s="666"/>
      <c r="DD79" s="666"/>
      <c r="DE79" s="666"/>
      <c r="DF79" s="666"/>
      <c r="DG79" s="666"/>
      <c r="DH79" s="666"/>
      <c r="DI79" s="666"/>
      <c r="DJ79" s="666"/>
      <c r="DK79" s="666"/>
      <c r="DL79" s="666"/>
      <c r="DM79" s="666"/>
      <c r="DN79" s="666"/>
      <c r="DO79" s="666"/>
      <c r="DP79" s="666"/>
      <c r="DQ79" s="666"/>
      <c r="DR79" s="666"/>
      <c r="DS79" s="666"/>
      <c r="DT79" s="666"/>
      <c r="DU79" s="666"/>
      <c r="DV79" s="666"/>
      <c r="DW79" s="666"/>
      <c r="DX79" s="666"/>
      <c r="DY79" s="666"/>
      <c r="DZ79" s="666"/>
      <c r="EA79" s="666"/>
      <c r="EB79" s="666"/>
      <c r="EC79" s="666"/>
      <c r="ED79" s="666"/>
      <c r="EE79" s="666"/>
      <c r="EF79" s="666"/>
      <c r="EG79" s="666"/>
      <c r="EH79" s="666"/>
      <c r="EI79" s="666"/>
      <c r="EJ79" s="666"/>
      <c r="EK79" s="666"/>
      <c r="EL79" s="666"/>
      <c r="EM79" s="666"/>
      <c r="EN79" s="666"/>
      <c r="EO79" s="666"/>
      <c r="EP79" s="666"/>
      <c r="EQ79" s="666"/>
      <c r="ER79" s="666"/>
      <c r="ES79" s="666"/>
      <c r="ET79" s="666"/>
      <c r="EU79" s="666"/>
      <c r="EV79" s="666"/>
      <c r="EW79" s="666"/>
      <c r="EX79" s="666"/>
      <c r="EY79" s="666"/>
      <c r="EZ79" s="666"/>
      <c r="FA79" s="666"/>
      <c r="FB79" s="666"/>
      <c r="FC79" s="666"/>
      <c r="FD79" s="666"/>
      <c r="FE79" s="666"/>
      <c r="FF79" s="666"/>
      <c r="FG79" s="666"/>
      <c r="FH79" s="666"/>
      <c r="FI79" s="666"/>
      <c r="FJ79" s="666"/>
      <c r="FK79" s="666"/>
      <c r="FL79" s="666"/>
      <c r="FM79" s="666"/>
      <c r="FN79" s="666"/>
      <c r="FO79" s="666"/>
      <c r="FP79" s="666"/>
      <c r="FQ79" s="666"/>
      <c r="FR79" s="666"/>
      <c r="FS79" s="666"/>
      <c r="FT79" s="666"/>
      <c r="FU79" s="666"/>
      <c r="FV79" s="666"/>
      <c r="FW79" s="666"/>
      <c r="FX79" s="666"/>
      <c r="FY79" s="666"/>
      <c r="FZ79" s="666"/>
      <c r="GA79" s="666"/>
      <c r="GB79" s="666"/>
      <c r="GC79" s="666"/>
      <c r="GD79" s="666"/>
      <c r="GE79" s="666"/>
      <c r="GF79" s="666"/>
      <c r="GG79" s="666"/>
      <c r="GH79" s="666"/>
      <c r="GI79" s="666"/>
      <c r="GJ79" s="666"/>
      <c r="GK79" s="666"/>
      <c r="GL79" s="666"/>
      <c r="GM79" s="666"/>
      <c r="GN79" s="666"/>
      <c r="GO79" s="666"/>
      <c r="GP79" s="666"/>
      <c r="GQ79" s="666"/>
      <c r="GR79" s="666"/>
      <c r="GS79" s="666"/>
      <c r="GT79" s="666"/>
      <c r="GU79" s="666"/>
      <c r="GV79" s="666"/>
      <c r="GW79" s="666"/>
      <c r="GX79" s="666"/>
      <c r="GY79" s="666"/>
      <c r="GZ79" s="666"/>
      <c r="HA79" s="666"/>
      <c r="HB79" s="666"/>
      <c r="HC79" s="666"/>
      <c r="HD79" s="666"/>
      <c r="HE79" s="666"/>
      <c r="HF79" s="666"/>
      <c r="HG79" s="666"/>
      <c r="HH79" s="666"/>
      <c r="HI79" s="666"/>
      <c r="HJ79" s="666"/>
      <c r="HK79" s="666"/>
      <c r="HL79" s="666"/>
      <c r="HM79" s="666"/>
      <c r="HN79" s="666"/>
      <c r="HO79" s="666"/>
      <c r="HP79" s="666"/>
      <c r="HQ79" s="666"/>
      <c r="HR79" s="666"/>
      <c r="HS79" s="666"/>
      <c r="HT79" s="666"/>
      <c r="HU79" s="666"/>
      <c r="HV79" s="666"/>
      <c r="HW79" s="666"/>
      <c r="HX79" s="666"/>
      <c r="HY79" s="666"/>
      <c r="HZ79" s="666"/>
      <c r="IA79" s="666"/>
      <c r="IB79" s="666"/>
      <c r="IC79" s="666"/>
      <c r="ID79" s="666"/>
      <c r="IE79" s="666"/>
      <c r="IF79" s="666"/>
      <c r="IG79" s="666"/>
      <c r="IH79" s="666"/>
      <c r="II79" s="666"/>
      <c r="IJ79" s="666"/>
      <c r="IK79" s="666"/>
      <c r="IL79" s="666"/>
      <c r="IM79" s="666"/>
      <c r="IN79" s="666"/>
      <c r="IO79" s="666"/>
      <c r="IP79" s="666"/>
      <c r="IQ79" s="666"/>
      <c r="IR79" s="666"/>
      <c r="IS79" s="666"/>
      <c r="IT79" s="666"/>
      <c r="IU79" s="666"/>
      <c r="IV79" s="666"/>
      <c r="IW79" s="666"/>
      <c r="IX79" s="666"/>
      <c r="IY79" s="666"/>
      <c r="IZ79" s="666"/>
      <c r="JA79" s="666"/>
      <c r="JB79" s="666"/>
      <c r="JC79" s="666"/>
      <c r="JD79" s="666"/>
      <c r="JE79" s="666"/>
      <c r="JF79" s="666"/>
      <c r="JG79" s="666"/>
      <c r="JH79" s="666"/>
      <c r="JI79" s="666"/>
      <c r="JJ79" s="666"/>
      <c r="JK79" s="666"/>
      <c r="JL79" s="666"/>
      <c r="JM79" s="666"/>
      <c r="JN79" s="666"/>
      <c r="JO79" s="666"/>
      <c r="JP79" s="666"/>
      <c r="JQ79" s="666"/>
      <c r="JR79" s="666"/>
      <c r="JS79" s="666"/>
      <c r="JT79" s="666"/>
      <c r="JU79" s="666"/>
      <c r="JV79" s="666"/>
      <c r="JW79" s="666"/>
      <c r="JX79" s="666"/>
      <c r="JY79" s="666"/>
      <c r="JZ79" s="666"/>
      <c r="KA79" s="666"/>
      <c r="KB79" s="666"/>
      <c r="KC79" s="666"/>
      <c r="KD79" s="666"/>
      <c r="KE79" s="666"/>
      <c r="KF79" s="666"/>
      <c r="KG79" s="666"/>
      <c r="KH79" s="666"/>
      <c r="KI79" s="666"/>
      <c r="KJ79" s="666"/>
      <c r="KK79" s="666"/>
      <c r="KL79" s="666"/>
      <c r="KM79" s="666"/>
      <c r="KN79" s="666"/>
      <c r="KO79" s="666"/>
      <c r="KP79" s="666"/>
      <c r="KQ79" s="666"/>
      <c r="KR79" s="666"/>
      <c r="KS79" s="666"/>
      <c r="KT79" s="666"/>
      <c r="KU79" s="666"/>
      <c r="KV79" s="666"/>
      <c r="KW79" s="666"/>
      <c r="KX79" s="666"/>
      <c r="KY79" s="666"/>
      <c r="KZ79" s="666"/>
      <c r="LA79" s="666"/>
      <c r="LB79" s="666"/>
      <c r="LC79" s="666"/>
      <c r="LD79" s="666"/>
      <c r="LE79" s="666"/>
      <c r="LF79" s="666"/>
      <c r="LG79" s="666"/>
      <c r="LH79" s="666"/>
      <c r="LI79" s="666"/>
      <c r="LJ79" s="666"/>
      <c r="LK79" s="666"/>
      <c r="LL79" s="666"/>
      <c r="LM79" s="666"/>
      <c r="LN79" s="666"/>
      <c r="LO79" s="666"/>
      <c r="LP79" s="666"/>
      <c r="LQ79" s="666"/>
      <c r="LR79" s="666"/>
      <c r="LS79" s="666"/>
      <c r="LT79" s="666"/>
      <c r="LU79" s="666"/>
      <c r="LV79" s="666"/>
      <c r="LW79" s="666"/>
      <c r="LX79" s="666"/>
      <c r="LY79" s="666"/>
      <c r="LZ79" s="666"/>
      <c r="MA79" s="666"/>
      <c r="MB79" s="666"/>
      <c r="MC79" s="666"/>
      <c r="MD79" s="666"/>
      <c r="ME79" s="666"/>
      <c r="MF79" s="666"/>
      <c r="MG79" s="666"/>
      <c r="MH79" s="666"/>
      <c r="MI79" s="666"/>
      <c r="MJ79" s="666"/>
      <c r="MK79" s="666"/>
      <c r="ML79" s="666"/>
      <c r="MM79" s="666"/>
      <c r="MN79" s="666"/>
      <c r="MO79" s="666"/>
      <c r="MP79" s="666"/>
      <c r="MQ79" s="666"/>
      <c r="MR79" s="666"/>
      <c r="MS79" s="666"/>
      <c r="MT79" s="666"/>
    </row>
    <row r="80" spans="1:358" ht="15.6">
      <c r="A80" s="579"/>
      <c r="B80" s="50"/>
      <c r="C80" s="9"/>
      <c r="D80" s="9"/>
      <c r="E80" s="9"/>
      <c r="F80" s="9"/>
      <c r="G80" s="13"/>
      <c r="H80" s="589"/>
      <c r="I80" s="50"/>
      <c r="J80" s="50"/>
      <c r="K80" s="58"/>
      <c r="L80" s="9"/>
      <c r="M80" s="9"/>
      <c r="N80" s="9"/>
      <c r="O80" s="9"/>
      <c r="P80" s="141"/>
      <c r="Z80" s="323"/>
      <c r="AA80" s="309"/>
      <c r="AB80" s="465"/>
      <c r="AE80" s="323"/>
      <c r="AG80" s="323"/>
      <c r="AN80" s="309"/>
      <c r="AO80" s="230"/>
    </row>
    <row r="81" spans="1:358" s="163" customFormat="1" ht="3.75" customHeight="1">
      <c r="A81" s="574"/>
      <c r="B81" s="13"/>
      <c r="C81" s="13"/>
      <c r="D81" s="13"/>
      <c r="E81" s="13"/>
      <c r="F81" s="13"/>
      <c r="G81" s="13"/>
      <c r="H81" s="583"/>
      <c r="I81" s="13"/>
      <c r="J81" s="13"/>
      <c r="K81" s="515"/>
      <c r="L81" s="13"/>
      <c r="M81" s="13"/>
      <c r="N81" s="13"/>
      <c r="O81" s="13"/>
      <c r="P81" s="519"/>
      <c r="Q81" s="516"/>
      <c r="R81" s="517"/>
      <c r="S81" s="516"/>
      <c r="T81" s="517"/>
      <c r="U81" s="516"/>
      <c r="V81" s="517"/>
      <c r="W81" s="516"/>
      <c r="X81" s="517"/>
      <c r="Y81" s="516"/>
      <c r="Z81" s="518"/>
      <c r="AA81" s="520"/>
      <c r="AB81" s="520"/>
      <c r="AD81" s="516"/>
      <c r="AE81" s="518"/>
      <c r="AF81" s="516"/>
      <c r="AG81" s="518"/>
      <c r="AH81" s="516"/>
      <c r="AI81" s="517"/>
      <c r="AJ81" s="516"/>
      <c r="AK81" s="517"/>
      <c r="AL81" s="516"/>
      <c r="AM81" s="517"/>
      <c r="AN81" s="520"/>
      <c r="AO81" s="521"/>
      <c r="AQ81" s="538"/>
      <c r="AR81" s="538"/>
      <c r="AS81" s="538"/>
      <c r="AT81" s="538"/>
    </row>
    <row r="82" spans="1:358" s="158" customFormat="1" ht="15.6">
      <c r="A82" s="605">
        <v>27</v>
      </c>
      <c r="B82" s="409">
        <v>42</v>
      </c>
      <c r="C82" s="409" t="s">
        <v>648</v>
      </c>
      <c r="D82" s="409"/>
      <c r="E82" s="409" t="s">
        <v>650</v>
      </c>
      <c r="F82" s="409"/>
      <c r="G82" s="632"/>
      <c r="H82" s="663" t="s">
        <v>957</v>
      </c>
      <c r="I82" s="409"/>
      <c r="J82" s="409"/>
      <c r="K82" s="556"/>
      <c r="L82" s="409"/>
      <c r="M82" s="409"/>
      <c r="N82" s="409"/>
      <c r="O82" s="409"/>
      <c r="P82" s="557"/>
      <c r="Q82" s="437">
        <v>466166</v>
      </c>
      <c r="R82" s="458">
        <v>13692.01</v>
      </c>
      <c r="S82" s="842">
        <v>466052</v>
      </c>
      <c r="T82" s="844">
        <v>607</v>
      </c>
      <c r="U82" s="435"/>
      <c r="V82" s="463"/>
      <c r="W82" s="454"/>
      <c r="X82" s="536"/>
      <c r="Y82" s="853">
        <v>466166</v>
      </c>
      <c r="Z82" s="856">
        <v>9586.9</v>
      </c>
      <c r="AA82" s="464">
        <f>Q82</f>
        <v>466166</v>
      </c>
      <c r="AB82" s="465">
        <f>Z82+V82+T82+R82</f>
        <v>23885.91</v>
      </c>
      <c r="AC82" s="666"/>
      <c r="AD82" s="439"/>
      <c r="AE82" s="627"/>
      <c r="AF82" s="439"/>
      <c r="AG82" s="627"/>
      <c r="AH82" s="435"/>
      <c r="AI82" s="463"/>
      <c r="AJ82" s="433"/>
      <c r="AK82" s="490"/>
      <c r="AL82" s="433"/>
      <c r="AM82" s="490"/>
      <c r="AN82" s="464"/>
      <c r="AO82" s="465"/>
      <c r="AP82" s="666"/>
      <c r="AQ82" s="439"/>
      <c r="AR82" s="534"/>
      <c r="AS82" s="671"/>
      <c r="AT82" s="672"/>
      <c r="AU82" s="666"/>
      <c r="AV82" s="666"/>
      <c r="AW82" s="666"/>
      <c r="AX82" s="666"/>
      <c r="AY82" s="666"/>
      <c r="AZ82" s="666"/>
      <c r="BA82" s="666"/>
      <c r="BB82" s="666"/>
      <c r="BC82" s="666"/>
      <c r="BD82" s="666"/>
      <c r="BE82" s="666"/>
      <c r="BF82" s="666"/>
      <c r="BG82" s="666"/>
      <c r="BH82" s="666"/>
      <c r="BI82" s="666"/>
      <c r="BJ82" s="666"/>
      <c r="BK82" s="666"/>
      <c r="BL82" s="666"/>
      <c r="BM82" s="666"/>
      <c r="BN82" s="666"/>
      <c r="BO82" s="666"/>
      <c r="BP82" s="666"/>
      <c r="BQ82" s="666"/>
      <c r="BR82" s="666"/>
      <c r="BS82" s="666"/>
      <c r="BT82" s="666"/>
      <c r="BU82" s="666"/>
      <c r="BV82" s="666"/>
      <c r="BW82" s="666"/>
      <c r="BX82" s="666"/>
      <c r="BY82" s="666"/>
      <c r="BZ82" s="666"/>
      <c r="CA82" s="666"/>
      <c r="CB82" s="666"/>
      <c r="CC82" s="666"/>
      <c r="CD82" s="666"/>
      <c r="CE82" s="666"/>
      <c r="CF82" s="666"/>
      <c r="CG82" s="666"/>
      <c r="CH82" s="666"/>
      <c r="CI82" s="666"/>
      <c r="CJ82" s="666"/>
      <c r="CK82" s="666"/>
      <c r="CL82" s="666"/>
      <c r="CM82" s="666"/>
      <c r="CN82" s="666"/>
      <c r="CO82" s="666"/>
      <c r="CP82" s="666"/>
      <c r="CQ82" s="666"/>
      <c r="CR82" s="666"/>
      <c r="CS82" s="666"/>
      <c r="CT82" s="666"/>
      <c r="CU82" s="666"/>
      <c r="CV82" s="666"/>
      <c r="CW82" s="666"/>
      <c r="CX82" s="666"/>
      <c r="CY82" s="666"/>
      <c r="CZ82" s="666"/>
      <c r="DA82" s="666"/>
      <c r="DB82" s="666"/>
      <c r="DC82" s="666"/>
      <c r="DD82" s="666"/>
      <c r="DE82" s="666"/>
      <c r="DF82" s="666"/>
      <c r="DG82" s="666"/>
      <c r="DH82" s="666"/>
      <c r="DI82" s="666"/>
      <c r="DJ82" s="666"/>
      <c r="DK82" s="666"/>
      <c r="DL82" s="666"/>
      <c r="DM82" s="666"/>
      <c r="DN82" s="666"/>
      <c r="DO82" s="666"/>
      <c r="DP82" s="666"/>
      <c r="DQ82" s="666"/>
      <c r="DR82" s="666"/>
      <c r="DS82" s="666"/>
      <c r="DT82" s="666"/>
      <c r="DU82" s="666"/>
      <c r="DV82" s="666"/>
      <c r="DW82" s="666"/>
      <c r="DX82" s="666"/>
      <c r="DY82" s="666"/>
      <c r="DZ82" s="666"/>
      <c r="EA82" s="666"/>
      <c r="EB82" s="666"/>
      <c r="EC82" s="666"/>
      <c r="ED82" s="666"/>
      <c r="EE82" s="666"/>
      <c r="EF82" s="666"/>
      <c r="EG82" s="666"/>
      <c r="EH82" s="666"/>
      <c r="EI82" s="666"/>
      <c r="EJ82" s="666"/>
      <c r="EK82" s="666"/>
      <c r="EL82" s="666"/>
      <c r="EM82" s="666"/>
      <c r="EN82" s="666"/>
      <c r="EO82" s="666"/>
      <c r="EP82" s="666"/>
      <c r="EQ82" s="666"/>
      <c r="ER82" s="666"/>
      <c r="ES82" s="666"/>
      <c r="ET82" s="666"/>
      <c r="EU82" s="666"/>
      <c r="EV82" s="666"/>
      <c r="EW82" s="666"/>
      <c r="EX82" s="666"/>
      <c r="EY82" s="666"/>
      <c r="EZ82" s="666"/>
      <c r="FA82" s="666"/>
      <c r="FB82" s="666"/>
      <c r="FC82" s="666"/>
      <c r="FD82" s="666"/>
      <c r="FE82" s="666"/>
      <c r="FF82" s="666"/>
      <c r="FG82" s="666"/>
      <c r="FH82" s="666"/>
      <c r="FI82" s="666"/>
      <c r="FJ82" s="666"/>
      <c r="FK82" s="666"/>
      <c r="FL82" s="666"/>
      <c r="FM82" s="666"/>
      <c r="FN82" s="666"/>
      <c r="FO82" s="666"/>
      <c r="FP82" s="666"/>
      <c r="FQ82" s="666"/>
      <c r="FR82" s="666"/>
      <c r="FS82" s="666"/>
      <c r="FT82" s="666"/>
      <c r="FU82" s="666"/>
      <c r="FV82" s="666"/>
      <c r="FW82" s="666"/>
      <c r="FX82" s="666"/>
      <c r="FY82" s="666"/>
      <c r="FZ82" s="666"/>
      <c r="GA82" s="666"/>
      <c r="GB82" s="666"/>
      <c r="GC82" s="666"/>
      <c r="GD82" s="666"/>
      <c r="GE82" s="666"/>
      <c r="GF82" s="666"/>
      <c r="GG82" s="666"/>
      <c r="GH82" s="666"/>
      <c r="GI82" s="666"/>
      <c r="GJ82" s="666"/>
      <c r="GK82" s="666"/>
      <c r="GL82" s="666"/>
      <c r="GM82" s="666"/>
      <c r="GN82" s="666"/>
      <c r="GO82" s="666"/>
      <c r="GP82" s="666"/>
      <c r="GQ82" s="666"/>
      <c r="GR82" s="666"/>
      <c r="GS82" s="666"/>
      <c r="GT82" s="666"/>
      <c r="GU82" s="666"/>
      <c r="GV82" s="666"/>
      <c r="GW82" s="666"/>
      <c r="GX82" s="666"/>
      <c r="GY82" s="666"/>
      <c r="GZ82" s="666"/>
      <c r="HA82" s="666"/>
      <c r="HB82" s="666"/>
      <c r="HC82" s="666"/>
      <c r="HD82" s="666"/>
      <c r="HE82" s="666"/>
      <c r="HF82" s="666"/>
      <c r="HG82" s="666"/>
      <c r="HH82" s="666"/>
      <c r="HI82" s="666"/>
      <c r="HJ82" s="666"/>
      <c r="HK82" s="666"/>
      <c r="HL82" s="666"/>
      <c r="HM82" s="666"/>
      <c r="HN82" s="666"/>
      <c r="HO82" s="666"/>
      <c r="HP82" s="666"/>
      <c r="HQ82" s="666"/>
      <c r="HR82" s="666"/>
      <c r="HS82" s="666"/>
      <c r="HT82" s="666"/>
      <c r="HU82" s="666"/>
      <c r="HV82" s="666"/>
      <c r="HW82" s="666"/>
      <c r="HX82" s="666"/>
      <c r="HY82" s="666"/>
      <c r="HZ82" s="666"/>
      <c r="IA82" s="666"/>
      <c r="IB82" s="666"/>
      <c r="IC82" s="666"/>
      <c r="ID82" s="666"/>
      <c r="IE82" s="666"/>
      <c r="IF82" s="666"/>
      <c r="IG82" s="666"/>
      <c r="IH82" s="666"/>
      <c r="II82" s="666"/>
      <c r="IJ82" s="666"/>
      <c r="IK82" s="666"/>
      <c r="IL82" s="666"/>
      <c r="IM82" s="666"/>
      <c r="IN82" s="666"/>
      <c r="IO82" s="666"/>
      <c r="IP82" s="666"/>
      <c r="IQ82" s="666"/>
      <c r="IR82" s="666"/>
      <c r="IS82" s="666"/>
      <c r="IT82" s="666"/>
      <c r="IU82" s="666"/>
      <c r="IV82" s="666"/>
      <c r="IW82" s="666"/>
      <c r="IX82" s="666"/>
      <c r="IY82" s="666"/>
      <c r="IZ82" s="666"/>
      <c r="JA82" s="666"/>
      <c r="JB82" s="666"/>
      <c r="JC82" s="666"/>
      <c r="JD82" s="666"/>
      <c r="JE82" s="666"/>
      <c r="JF82" s="666"/>
      <c r="JG82" s="666"/>
      <c r="JH82" s="666"/>
      <c r="JI82" s="666"/>
      <c r="JJ82" s="666"/>
      <c r="JK82" s="666"/>
      <c r="JL82" s="666"/>
      <c r="JM82" s="666"/>
      <c r="JN82" s="666"/>
      <c r="JO82" s="666"/>
      <c r="JP82" s="666"/>
      <c r="JQ82" s="666"/>
      <c r="JR82" s="666"/>
      <c r="JS82" s="666"/>
      <c r="JT82" s="666"/>
      <c r="JU82" s="666"/>
      <c r="JV82" s="666"/>
      <c r="JW82" s="666"/>
      <c r="JX82" s="666"/>
      <c r="JY82" s="666"/>
      <c r="JZ82" s="666"/>
      <c r="KA82" s="666"/>
      <c r="KB82" s="666"/>
      <c r="KC82" s="666"/>
      <c r="KD82" s="666"/>
      <c r="KE82" s="666"/>
      <c r="KF82" s="666"/>
      <c r="KG82" s="666"/>
      <c r="KH82" s="666"/>
      <c r="KI82" s="666"/>
      <c r="KJ82" s="666"/>
      <c r="KK82" s="666"/>
      <c r="KL82" s="666"/>
      <c r="KM82" s="666"/>
      <c r="KN82" s="666"/>
      <c r="KO82" s="666"/>
      <c r="KP82" s="666"/>
      <c r="KQ82" s="666"/>
      <c r="KR82" s="666"/>
      <c r="KS82" s="666"/>
      <c r="KT82" s="666"/>
      <c r="KU82" s="666"/>
      <c r="KV82" s="666"/>
      <c r="KW82" s="666"/>
      <c r="KX82" s="666"/>
      <c r="KY82" s="666"/>
      <c r="KZ82" s="666"/>
      <c r="LA82" s="666"/>
      <c r="LB82" s="666"/>
      <c r="LC82" s="666"/>
      <c r="LD82" s="666"/>
      <c r="LE82" s="666"/>
      <c r="LF82" s="666"/>
      <c r="LG82" s="666"/>
      <c r="LH82" s="666"/>
      <c r="LI82" s="666"/>
      <c r="LJ82" s="666"/>
      <c r="LK82" s="666"/>
      <c r="LL82" s="666"/>
      <c r="LM82" s="666"/>
      <c r="LN82" s="666"/>
      <c r="LO82" s="666"/>
      <c r="LP82" s="666"/>
      <c r="LQ82" s="666"/>
      <c r="LR82" s="666"/>
      <c r="LS82" s="666"/>
      <c r="LT82" s="666"/>
      <c r="LU82" s="666"/>
      <c r="LV82" s="666"/>
      <c r="LW82" s="666"/>
      <c r="LX82" s="666"/>
      <c r="LY82" s="666"/>
      <c r="LZ82" s="666"/>
      <c r="MA82" s="666"/>
      <c r="MB82" s="666"/>
      <c r="MC82" s="666"/>
      <c r="MD82" s="666"/>
      <c r="ME82" s="666"/>
      <c r="MF82" s="666"/>
      <c r="MG82" s="666"/>
      <c r="MH82" s="666"/>
      <c r="MI82" s="666"/>
      <c r="MJ82" s="666"/>
      <c r="MK82" s="666"/>
      <c r="ML82" s="666"/>
      <c r="MM82" s="666"/>
      <c r="MN82" s="666"/>
      <c r="MO82" s="666"/>
      <c r="MP82" s="666"/>
      <c r="MQ82" s="666"/>
      <c r="MR82" s="666"/>
      <c r="MS82" s="666"/>
      <c r="MT82" s="666"/>
    </row>
    <row r="83" spans="1:358" ht="15.6">
      <c r="A83" s="579"/>
      <c r="B83" s="50"/>
      <c r="C83" s="9"/>
      <c r="D83" s="9"/>
      <c r="E83" s="9"/>
      <c r="F83" s="9"/>
      <c r="G83" s="13"/>
      <c r="H83" s="589"/>
      <c r="I83" s="50"/>
      <c r="J83" s="50"/>
      <c r="K83" s="58"/>
      <c r="L83" s="9"/>
      <c r="M83" s="9"/>
      <c r="N83" s="9"/>
      <c r="O83" s="9"/>
      <c r="P83" s="141"/>
      <c r="Z83" s="323"/>
      <c r="AA83" s="309"/>
      <c r="AB83" s="465"/>
      <c r="AE83" s="323"/>
      <c r="AG83" s="323"/>
      <c r="AN83" s="309"/>
      <c r="AO83" s="230"/>
    </row>
    <row r="84" spans="1:358" s="163" customFormat="1" ht="3.75" customHeight="1">
      <c r="A84" s="574"/>
      <c r="B84" s="13"/>
      <c r="C84" s="13"/>
      <c r="D84" s="13"/>
      <c r="E84" s="13"/>
      <c r="F84" s="13"/>
      <c r="G84" s="13"/>
      <c r="H84" s="583"/>
      <c r="I84" s="13"/>
      <c r="J84" s="13"/>
      <c r="K84" s="515"/>
      <c r="L84" s="13"/>
      <c r="M84" s="13"/>
      <c r="N84" s="13"/>
      <c r="O84" s="13"/>
      <c r="P84" s="519"/>
      <c r="Q84" s="516"/>
      <c r="R84" s="517"/>
      <c r="S84" s="516"/>
      <c r="T84" s="517"/>
      <c r="U84" s="516"/>
      <c r="V84" s="517"/>
      <c r="W84" s="516"/>
      <c r="X84" s="517"/>
      <c r="Y84" s="516"/>
      <c r="Z84" s="518"/>
      <c r="AA84" s="520"/>
      <c r="AB84" s="520"/>
      <c r="AD84" s="516"/>
      <c r="AE84" s="518"/>
      <c r="AF84" s="516"/>
      <c r="AG84" s="518"/>
      <c r="AH84" s="516"/>
      <c r="AI84" s="517"/>
      <c r="AJ84" s="516"/>
      <c r="AK84" s="517"/>
      <c r="AL84" s="516"/>
      <c r="AM84" s="517"/>
      <c r="AN84" s="520"/>
      <c r="AO84" s="521"/>
      <c r="AQ84" s="538"/>
      <c r="AR84" s="538"/>
      <c r="AS84" s="538"/>
      <c r="AT84" s="538"/>
    </row>
    <row r="85" spans="1:358" s="158" customFormat="1" ht="15.6">
      <c r="A85" s="605">
        <v>28</v>
      </c>
      <c r="B85" s="409">
        <v>45</v>
      </c>
      <c r="C85" s="409" t="s">
        <v>688</v>
      </c>
      <c r="D85" s="409"/>
      <c r="E85" s="409" t="s">
        <v>650</v>
      </c>
      <c r="F85" s="409"/>
      <c r="G85" s="632"/>
      <c r="H85" s="663" t="s">
        <v>958</v>
      </c>
      <c r="I85" s="409"/>
      <c r="J85" s="409"/>
      <c r="K85" s="556"/>
      <c r="L85" s="409"/>
      <c r="M85" s="409"/>
      <c r="N85" s="409"/>
      <c r="O85" s="409"/>
      <c r="P85" s="557"/>
      <c r="Q85" s="437">
        <v>453165</v>
      </c>
      <c r="R85" s="458">
        <v>13834.38</v>
      </c>
      <c r="S85" s="842">
        <v>453041</v>
      </c>
      <c r="T85" s="844">
        <v>1744.11</v>
      </c>
      <c r="U85" s="435"/>
      <c r="V85" s="463"/>
      <c r="W85" s="454"/>
      <c r="X85" s="536"/>
      <c r="Y85" s="853">
        <v>453165</v>
      </c>
      <c r="Z85" s="856">
        <v>9568.07</v>
      </c>
      <c r="AA85" s="464">
        <f>Q85</f>
        <v>453165</v>
      </c>
      <c r="AB85" s="465">
        <f t="shared" si="1"/>
        <v>25146.559999999998</v>
      </c>
      <c r="AC85" s="666"/>
      <c r="AD85" s="439"/>
      <c r="AE85" s="627"/>
      <c r="AF85" s="439"/>
      <c r="AG85" s="627"/>
      <c r="AH85" s="435"/>
      <c r="AI85" s="463"/>
      <c r="AJ85" s="433"/>
      <c r="AK85" s="490"/>
      <c r="AL85" s="433"/>
      <c r="AM85" s="490"/>
      <c r="AN85" s="464"/>
      <c r="AO85" s="465"/>
      <c r="AP85" s="666"/>
      <c r="AQ85" s="439"/>
      <c r="AR85" s="534"/>
      <c r="AS85" s="671"/>
      <c r="AT85" s="672"/>
      <c r="AU85" s="666"/>
      <c r="AV85" s="666"/>
      <c r="AW85" s="666"/>
      <c r="AX85" s="666"/>
      <c r="AY85" s="666"/>
      <c r="AZ85" s="666"/>
      <c r="BA85" s="666"/>
      <c r="BB85" s="666"/>
      <c r="BC85" s="666"/>
      <c r="BD85" s="666"/>
      <c r="BE85" s="666"/>
      <c r="BF85" s="666"/>
      <c r="BG85" s="666"/>
      <c r="BH85" s="666"/>
      <c r="BI85" s="666"/>
      <c r="BJ85" s="666"/>
      <c r="BK85" s="666"/>
      <c r="BL85" s="666"/>
      <c r="BM85" s="666"/>
      <c r="BN85" s="666"/>
      <c r="BO85" s="666"/>
      <c r="BP85" s="666"/>
      <c r="BQ85" s="666"/>
      <c r="BR85" s="666"/>
      <c r="BS85" s="666"/>
      <c r="BT85" s="666"/>
      <c r="BU85" s="666"/>
      <c r="BV85" s="666"/>
      <c r="BW85" s="666"/>
      <c r="BX85" s="666"/>
      <c r="BY85" s="666"/>
      <c r="BZ85" s="666"/>
      <c r="CA85" s="666"/>
      <c r="CB85" s="666"/>
      <c r="CC85" s="666"/>
      <c r="CD85" s="666"/>
      <c r="CE85" s="666"/>
      <c r="CF85" s="666"/>
      <c r="CG85" s="666"/>
      <c r="CH85" s="666"/>
      <c r="CI85" s="666"/>
      <c r="CJ85" s="666"/>
      <c r="CK85" s="666"/>
      <c r="CL85" s="666"/>
      <c r="CM85" s="666"/>
      <c r="CN85" s="666"/>
      <c r="CO85" s="666"/>
      <c r="CP85" s="666"/>
      <c r="CQ85" s="666"/>
      <c r="CR85" s="666"/>
      <c r="CS85" s="666"/>
      <c r="CT85" s="666"/>
      <c r="CU85" s="666"/>
      <c r="CV85" s="666"/>
      <c r="CW85" s="666"/>
      <c r="CX85" s="666"/>
      <c r="CY85" s="666"/>
      <c r="CZ85" s="666"/>
      <c r="DA85" s="666"/>
      <c r="DB85" s="666"/>
      <c r="DC85" s="666"/>
      <c r="DD85" s="666"/>
      <c r="DE85" s="666"/>
      <c r="DF85" s="666"/>
      <c r="DG85" s="666"/>
      <c r="DH85" s="666"/>
      <c r="DI85" s="666"/>
      <c r="DJ85" s="666"/>
      <c r="DK85" s="666"/>
      <c r="DL85" s="666"/>
      <c r="DM85" s="666"/>
      <c r="DN85" s="666"/>
      <c r="DO85" s="666"/>
      <c r="DP85" s="666"/>
      <c r="DQ85" s="666"/>
      <c r="DR85" s="666"/>
      <c r="DS85" s="666"/>
      <c r="DT85" s="666"/>
      <c r="DU85" s="666"/>
      <c r="DV85" s="666"/>
      <c r="DW85" s="666"/>
      <c r="DX85" s="666"/>
      <c r="DY85" s="666"/>
      <c r="DZ85" s="666"/>
      <c r="EA85" s="666"/>
      <c r="EB85" s="666"/>
      <c r="EC85" s="666"/>
      <c r="ED85" s="666"/>
      <c r="EE85" s="666"/>
      <c r="EF85" s="666"/>
      <c r="EG85" s="666"/>
      <c r="EH85" s="666"/>
      <c r="EI85" s="666"/>
      <c r="EJ85" s="666"/>
      <c r="EK85" s="666"/>
      <c r="EL85" s="666"/>
      <c r="EM85" s="666"/>
      <c r="EN85" s="666"/>
      <c r="EO85" s="666"/>
      <c r="EP85" s="666"/>
      <c r="EQ85" s="666"/>
      <c r="ER85" s="666"/>
      <c r="ES85" s="666"/>
      <c r="ET85" s="666"/>
      <c r="EU85" s="666"/>
      <c r="EV85" s="666"/>
      <c r="EW85" s="666"/>
      <c r="EX85" s="666"/>
      <c r="EY85" s="666"/>
      <c r="EZ85" s="666"/>
      <c r="FA85" s="666"/>
      <c r="FB85" s="666"/>
      <c r="FC85" s="666"/>
      <c r="FD85" s="666"/>
      <c r="FE85" s="666"/>
      <c r="FF85" s="666"/>
      <c r="FG85" s="666"/>
      <c r="FH85" s="666"/>
      <c r="FI85" s="666"/>
      <c r="FJ85" s="666"/>
      <c r="FK85" s="666"/>
      <c r="FL85" s="666"/>
      <c r="FM85" s="666"/>
      <c r="FN85" s="666"/>
      <c r="FO85" s="666"/>
      <c r="FP85" s="666"/>
      <c r="FQ85" s="666"/>
      <c r="FR85" s="666"/>
      <c r="FS85" s="666"/>
      <c r="FT85" s="666"/>
      <c r="FU85" s="666"/>
      <c r="FV85" s="666"/>
      <c r="FW85" s="666"/>
      <c r="FX85" s="666"/>
      <c r="FY85" s="666"/>
      <c r="FZ85" s="666"/>
      <c r="GA85" s="666"/>
      <c r="GB85" s="666"/>
      <c r="GC85" s="666"/>
      <c r="GD85" s="666"/>
      <c r="GE85" s="666"/>
      <c r="GF85" s="666"/>
      <c r="GG85" s="666"/>
      <c r="GH85" s="666"/>
      <c r="GI85" s="666"/>
      <c r="GJ85" s="666"/>
      <c r="GK85" s="666"/>
      <c r="GL85" s="666"/>
      <c r="GM85" s="666"/>
      <c r="GN85" s="666"/>
      <c r="GO85" s="666"/>
      <c r="GP85" s="666"/>
      <c r="GQ85" s="666"/>
      <c r="GR85" s="666"/>
      <c r="GS85" s="666"/>
      <c r="GT85" s="666"/>
      <c r="GU85" s="666"/>
      <c r="GV85" s="666"/>
      <c r="GW85" s="666"/>
      <c r="GX85" s="666"/>
      <c r="GY85" s="666"/>
      <c r="GZ85" s="666"/>
      <c r="HA85" s="666"/>
      <c r="HB85" s="666"/>
      <c r="HC85" s="666"/>
      <c r="HD85" s="666"/>
      <c r="HE85" s="666"/>
      <c r="HF85" s="666"/>
      <c r="HG85" s="666"/>
      <c r="HH85" s="666"/>
      <c r="HI85" s="666"/>
      <c r="HJ85" s="666"/>
      <c r="HK85" s="666"/>
      <c r="HL85" s="666"/>
      <c r="HM85" s="666"/>
      <c r="HN85" s="666"/>
      <c r="HO85" s="666"/>
      <c r="HP85" s="666"/>
      <c r="HQ85" s="666"/>
      <c r="HR85" s="666"/>
      <c r="HS85" s="666"/>
      <c r="HT85" s="666"/>
      <c r="HU85" s="666"/>
      <c r="HV85" s="666"/>
      <c r="HW85" s="666"/>
      <c r="HX85" s="666"/>
      <c r="HY85" s="666"/>
      <c r="HZ85" s="666"/>
      <c r="IA85" s="666"/>
      <c r="IB85" s="666"/>
      <c r="IC85" s="666"/>
      <c r="ID85" s="666"/>
      <c r="IE85" s="666"/>
      <c r="IF85" s="666"/>
      <c r="IG85" s="666"/>
      <c r="IH85" s="666"/>
      <c r="II85" s="666"/>
      <c r="IJ85" s="666"/>
      <c r="IK85" s="666"/>
      <c r="IL85" s="666"/>
      <c r="IM85" s="666"/>
      <c r="IN85" s="666"/>
      <c r="IO85" s="666"/>
      <c r="IP85" s="666"/>
      <c r="IQ85" s="666"/>
      <c r="IR85" s="666"/>
      <c r="IS85" s="666"/>
      <c r="IT85" s="666"/>
      <c r="IU85" s="666"/>
      <c r="IV85" s="666"/>
      <c r="IW85" s="666"/>
      <c r="IX85" s="666"/>
      <c r="IY85" s="666"/>
      <c r="IZ85" s="666"/>
      <c r="JA85" s="666"/>
      <c r="JB85" s="666"/>
      <c r="JC85" s="666"/>
      <c r="JD85" s="666"/>
      <c r="JE85" s="666"/>
      <c r="JF85" s="666"/>
      <c r="JG85" s="666"/>
      <c r="JH85" s="666"/>
      <c r="JI85" s="666"/>
      <c r="JJ85" s="666"/>
      <c r="JK85" s="666"/>
      <c r="JL85" s="666"/>
      <c r="JM85" s="666"/>
      <c r="JN85" s="666"/>
      <c r="JO85" s="666"/>
      <c r="JP85" s="666"/>
      <c r="JQ85" s="666"/>
      <c r="JR85" s="666"/>
      <c r="JS85" s="666"/>
      <c r="JT85" s="666"/>
      <c r="JU85" s="666"/>
      <c r="JV85" s="666"/>
      <c r="JW85" s="666"/>
      <c r="JX85" s="666"/>
      <c r="JY85" s="666"/>
      <c r="JZ85" s="666"/>
      <c r="KA85" s="666"/>
      <c r="KB85" s="666"/>
      <c r="KC85" s="666"/>
      <c r="KD85" s="666"/>
      <c r="KE85" s="666"/>
      <c r="KF85" s="666"/>
      <c r="KG85" s="666"/>
      <c r="KH85" s="666"/>
      <c r="KI85" s="666"/>
      <c r="KJ85" s="666"/>
      <c r="KK85" s="666"/>
      <c r="KL85" s="666"/>
      <c r="KM85" s="666"/>
      <c r="KN85" s="666"/>
      <c r="KO85" s="666"/>
      <c r="KP85" s="666"/>
      <c r="KQ85" s="666"/>
      <c r="KR85" s="666"/>
      <c r="KS85" s="666"/>
      <c r="KT85" s="666"/>
      <c r="KU85" s="666"/>
      <c r="KV85" s="666"/>
      <c r="KW85" s="666"/>
      <c r="KX85" s="666"/>
      <c r="KY85" s="666"/>
      <c r="KZ85" s="666"/>
      <c r="LA85" s="666"/>
      <c r="LB85" s="666"/>
      <c r="LC85" s="666"/>
      <c r="LD85" s="666"/>
      <c r="LE85" s="666"/>
      <c r="LF85" s="666"/>
      <c r="LG85" s="666"/>
      <c r="LH85" s="666"/>
      <c r="LI85" s="666"/>
      <c r="LJ85" s="666"/>
      <c r="LK85" s="666"/>
      <c r="LL85" s="666"/>
      <c r="LM85" s="666"/>
      <c r="LN85" s="666"/>
      <c r="LO85" s="666"/>
      <c r="LP85" s="666"/>
      <c r="LQ85" s="666"/>
      <c r="LR85" s="666"/>
      <c r="LS85" s="666"/>
      <c r="LT85" s="666"/>
      <c r="LU85" s="666"/>
      <c r="LV85" s="666"/>
      <c r="LW85" s="666"/>
      <c r="LX85" s="666"/>
      <c r="LY85" s="666"/>
      <c r="LZ85" s="666"/>
      <c r="MA85" s="666"/>
      <c r="MB85" s="666"/>
      <c r="MC85" s="666"/>
      <c r="MD85" s="666"/>
      <c r="ME85" s="666"/>
      <c r="MF85" s="666"/>
      <c r="MG85" s="666"/>
      <c r="MH85" s="666"/>
      <c r="MI85" s="666"/>
      <c r="MJ85" s="666"/>
      <c r="MK85" s="666"/>
      <c r="ML85" s="666"/>
      <c r="MM85" s="666"/>
      <c r="MN85" s="666"/>
      <c r="MO85" s="666"/>
      <c r="MP85" s="666"/>
      <c r="MQ85" s="666"/>
      <c r="MR85" s="666"/>
      <c r="MS85" s="666"/>
      <c r="MT85" s="666"/>
    </row>
    <row r="86" spans="1:358" ht="15.6">
      <c r="A86" s="579"/>
      <c r="B86" s="50"/>
      <c r="C86" s="9"/>
      <c r="D86" s="9"/>
      <c r="E86" s="9"/>
      <c r="F86" s="9"/>
      <c r="G86" s="13"/>
      <c r="H86" s="589"/>
      <c r="I86" s="50"/>
      <c r="J86" s="50"/>
      <c r="K86" s="58"/>
      <c r="L86" s="9"/>
      <c r="M86" s="9"/>
      <c r="N86" s="9"/>
      <c r="O86" s="9"/>
      <c r="P86" s="141"/>
      <c r="Z86" s="323"/>
      <c r="AA86" s="309"/>
      <c r="AB86" s="465"/>
      <c r="AE86" s="323"/>
      <c r="AG86" s="323"/>
      <c r="AN86" s="309"/>
      <c r="AO86" s="230"/>
    </row>
    <row r="87" spans="1:358" s="163" customFormat="1" ht="3.75" customHeight="1">
      <c r="A87" s="574"/>
      <c r="B87" s="13"/>
      <c r="C87" s="13"/>
      <c r="D87" s="13"/>
      <c r="E87" s="13"/>
      <c r="F87" s="13"/>
      <c r="G87" s="13"/>
      <c r="H87" s="583"/>
      <c r="I87" s="13"/>
      <c r="J87" s="13"/>
      <c r="K87" s="515"/>
      <c r="L87" s="13"/>
      <c r="M87" s="13"/>
      <c r="N87" s="13"/>
      <c r="O87" s="13"/>
      <c r="P87" s="519"/>
      <c r="Q87" s="516"/>
      <c r="R87" s="517"/>
      <c r="S87" s="516"/>
      <c r="T87" s="517"/>
      <c r="U87" s="516"/>
      <c r="V87" s="517"/>
      <c r="W87" s="516"/>
      <c r="X87" s="517"/>
      <c r="Y87" s="516"/>
      <c r="Z87" s="518"/>
      <c r="AA87" s="520"/>
      <c r="AB87" s="520"/>
      <c r="AD87" s="516"/>
      <c r="AE87" s="518"/>
      <c r="AF87" s="516"/>
      <c r="AG87" s="518"/>
      <c r="AH87" s="516"/>
      <c r="AI87" s="517"/>
      <c r="AJ87" s="516"/>
      <c r="AK87" s="517"/>
      <c r="AL87" s="516"/>
      <c r="AM87" s="517"/>
      <c r="AN87" s="520"/>
      <c r="AO87" s="521"/>
      <c r="AQ87" s="538"/>
      <c r="AR87" s="538"/>
      <c r="AS87" s="538"/>
      <c r="AT87" s="538"/>
    </row>
    <row r="88" spans="1:358" s="158" customFormat="1" ht="15.6">
      <c r="A88" s="605">
        <v>29</v>
      </c>
      <c r="B88" s="409">
        <v>41</v>
      </c>
      <c r="C88" s="409" t="s">
        <v>647</v>
      </c>
      <c r="D88" s="409"/>
      <c r="E88" s="409" t="s">
        <v>650</v>
      </c>
      <c r="F88" s="409"/>
      <c r="G88" s="632"/>
      <c r="H88" s="663" t="s">
        <v>959</v>
      </c>
      <c r="I88" s="409"/>
      <c r="J88" s="409"/>
      <c r="K88" s="556"/>
      <c r="L88" s="409"/>
      <c r="M88" s="409"/>
      <c r="N88" s="409"/>
      <c r="O88" s="409"/>
      <c r="P88" s="557"/>
      <c r="Q88" s="437">
        <v>453179</v>
      </c>
      <c r="R88" s="458">
        <v>14439.18</v>
      </c>
      <c r="S88" s="842">
        <v>453074</v>
      </c>
      <c r="T88" s="844">
        <v>1499.55</v>
      </c>
      <c r="U88" s="435"/>
      <c r="V88" s="463"/>
      <c r="W88" s="454"/>
      <c r="X88" s="536"/>
      <c r="Y88" s="846">
        <v>453179</v>
      </c>
      <c r="Z88" s="852">
        <v>9560.0300000000007</v>
      </c>
      <c r="AA88" s="464">
        <f>Q88</f>
        <v>453179</v>
      </c>
      <c r="AB88" s="465">
        <f t="shared" si="1"/>
        <v>25498.760000000002</v>
      </c>
      <c r="AC88" s="666"/>
      <c r="AD88" s="439"/>
      <c r="AE88" s="627"/>
      <c r="AF88" s="439"/>
      <c r="AG88" s="627"/>
      <c r="AH88" s="435"/>
      <c r="AI88" s="463"/>
      <c r="AJ88" s="433"/>
      <c r="AK88" s="490"/>
      <c r="AL88" s="433"/>
      <c r="AM88" s="490"/>
      <c r="AN88" s="464"/>
      <c r="AO88" s="465"/>
      <c r="AP88" s="666"/>
      <c r="AQ88" s="439"/>
      <c r="AR88" s="534"/>
      <c r="AS88" s="671"/>
      <c r="AT88" s="672"/>
      <c r="AU88" s="666"/>
      <c r="AV88" s="666"/>
      <c r="AW88" s="666"/>
      <c r="AX88" s="666"/>
      <c r="AY88" s="666"/>
      <c r="AZ88" s="666"/>
      <c r="BA88" s="666"/>
      <c r="BB88" s="666"/>
      <c r="BC88" s="666"/>
      <c r="BD88" s="666"/>
      <c r="BE88" s="666"/>
      <c r="BF88" s="666"/>
      <c r="BG88" s="666"/>
      <c r="BH88" s="666"/>
      <c r="BI88" s="666"/>
      <c r="BJ88" s="666"/>
      <c r="BK88" s="666"/>
      <c r="BL88" s="666"/>
      <c r="BM88" s="666"/>
      <c r="BN88" s="666"/>
      <c r="BO88" s="666"/>
      <c r="BP88" s="666"/>
      <c r="BQ88" s="666"/>
      <c r="BR88" s="666"/>
      <c r="BS88" s="666"/>
      <c r="BT88" s="666"/>
      <c r="BU88" s="666"/>
      <c r="BV88" s="666"/>
      <c r="BW88" s="666"/>
      <c r="BX88" s="666"/>
      <c r="BY88" s="666"/>
      <c r="BZ88" s="666"/>
      <c r="CA88" s="666"/>
      <c r="CB88" s="666"/>
      <c r="CC88" s="666"/>
      <c r="CD88" s="666"/>
      <c r="CE88" s="666"/>
      <c r="CF88" s="666"/>
      <c r="CG88" s="666"/>
      <c r="CH88" s="666"/>
      <c r="CI88" s="666"/>
      <c r="CJ88" s="666"/>
      <c r="CK88" s="666"/>
      <c r="CL88" s="666"/>
      <c r="CM88" s="666"/>
      <c r="CN88" s="666"/>
      <c r="CO88" s="666"/>
      <c r="CP88" s="666"/>
      <c r="CQ88" s="666"/>
      <c r="CR88" s="666"/>
      <c r="CS88" s="666"/>
      <c r="CT88" s="666"/>
      <c r="CU88" s="666"/>
      <c r="CV88" s="666"/>
      <c r="CW88" s="666"/>
      <c r="CX88" s="666"/>
      <c r="CY88" s="666"/>
      <c r="CZ88" s="666"/>
      <c r="DA88" s="666"/>
      <c r="DB88" s="666"/>
      <c r="DC88" s="666"/>
      <c r="DD88" s="666"/>
      <c r="DE88" s="666"/>
      <c r="DF88" s="666"/>
      <c r="DG88" s="666"/>
      <c r="DH88" s="666"/>
      <c r="DI88" s="666"/>
      <c r="DJ88" s="666"/>
      <c r="DK88" s="666"/>
      <c r="DL88" s="666"/>
      <c r="DM88" s="666"/>
      <c r="DN88" s="666"/>
      <c r="DO88" s="666"/>
      <c r="DP88" s="666"/>
      <c r="DQ88" s="666"/>
      <c r="DR88" s="666"/>
      <c r="DS88" s="666"/>
      <c r="DT88" s="666"/>
      <c r="DU88" s="666"/>
      <c r="DV88" s="666"/>
      <c r="DW88" s="666"/>
      <c r="DX88" s="666"/>
      <c r="DY88" s="666"/>
      <c r="DZ88" s="666"/>
      <c r="EA88" s="666"/>
      <c r="EB88" s="666"/>
      <c r="EC88" s="666"/>
      <c r="ED88" s="666"/>
      <c r="EE88" s="666"/>
      <c r="EF88" s="666"/>
      <c r="EG88" s="666"/>
      <c r="EH88" s="666"/>
      <c r="EI88" s="666"/>
      <c r="EJ88" s="666"/>
      <c r="EK88" s="666"/>
      <c r="EL88" s="666"/>
      <c r="EM88" s="666"/>
      <c r="EN88" s="666"/>
      <c r="EO88" s="666"/>
      <c r="EP88" s="666"/>
      <c r="EQ88" s="666"/>
      <c r="ER88" s="666"/>
      <c r="ES88" s="666"/>
      <c r="ET88" s="666"/>
      <c r="EU88" s="666"/>
      <c r="EV88" s="666"/>
      <c r="EW88" s="666"/>
      <c r="EX88" s="666"/>
      <c r="EY88" s="666"/>
      <c r="EZ88" s="666"/>
      <c r="FA88" s="666"/>
      <c r="FB88" s="666"/>
      <c r="FC88" s="666"/>
      <c r="FD88" s="666"/>
      <c r="FE88" s="666"/>
      <c r="FF88" s="666"/>
      <c r="FG88" s="666"/>
      <c r="FH88" s="666"/>
      <c r="FI88" s="666"/>
      <c r="FJ88" s="666"/>
      <c r="FK88" s="666"/>
      <c r="FL88" s="666"/>
      <c r="FM88" s="666"/>
      <c r="FN88" s="666"/>
      <c r="FO88" s="666"/>
      <c r="FP88" s="666"/>
      <c r="FQ88" s="666"/>
      <c r="FR88" s="666"/>
      <c r="FS88" s="666"/>
      <c r="FT88" s="666"/>
      <c r="FU88" s="666"/>
      <c r="FV88" s="666"/>
      <c r="FW88" s="666"/>
      <c r="FX88" s="666"/>
      <c r="FY88" s="666"/>
      <c r="FZ88" s="666"/>
      <c r="GA88" s="666"/>
      <c r="GB88" s="666"/>
      <c r="GC88" s="666"/>
      <c r="GD88" s="666"/>
      <c r="GE88" s="666"/>
      <c r="GF88" s="666"/>
      <c r="GG88" s="666"/>
      <c r="GH88" s="666"/>
      <c r="GI88" s="666"/>
      <c r="GJ88" s="666"/>
      <c r="GK88" s="666"/>
      <c r="GL88" s="666"/>
      <c r="GM88" s="666"/>
      <c r="GN88" s="666"/>
      <c r="GO88" s="666"/>
      <c r="GP88" s="666"/>
      <c r="GQ88" s="666"/>
      <c r="GR88" s="666"/>
      <c r="GS88" s="666"/>
      <c r="GT88" s="666"/>
      <c r="GU88" s="666"/>
      <c r="GV88" s="666"/>
      <c r="GW88" s="666"/>
      <c r="GX88" s="666"/>
      <c r="GY88" s="666"/>
      <c r="GZ88" s="666"/>
      <c r="HA88" s="666"/>
      <c r="HB88" s="666"/>
      <c r="HC88" s="666"/>
      <c r="HD88" s="666"/>
      <c r="HE88" s="666"/>
      <c r="HF88" s="666"/>
      <c r="HG88" s="666"/>
      <c r="HH88" s="666"/>
      <c r="HI88" s="666"/>
      <c r="HJ88" s="666"/>
      <c r="HK88" s="666"/>
      <c r="HL88" s="666"/>
      <c r="HM88" s="666"/>
      <c r="HN88" s="666"/>
      <c r="HO88" s="666"/>
      <c r="HP88" s="666"/>
      <c r="HQ88" s="666"/>
      <c r="HR88" s="666"/>
      <c r="HS88" s="666"/>
      <c r="HT88" s="666"/>
      <c r="HU88" s="666"/>
      <c r="HV88" s="666"/>
      <c r="HW88" s="666"/>
      <c r="HX88" s="666"/>
      <c r="HY88" s="666"/>
      <c r="HZ88" s="666"/>
      <c r="IA88" s="666"/>
      <c r="IB88" s="666"/>
      <c r="IC88" s="666"/>
      <c r="ID88" s="666"/>
      <c r="IE88" s="666"/>
      <c r="IF88" s="666"/>
      <c r="IG88" s="666"/>
      <c r="IH88" s="666"/>
      <c r="II88" s="666"/>
      <c r="IJ88" s="666"/>
      <c r="IK88" s="666"/>
      <c r="IL88" s="666"/>
      <c r="IM88" s="666"/>
      <c r="IN88" s="666"/>
      <c r="IO88" s="666"/>
      <c r="IP88" s="666"/>
      <c r="IQ88" s="666"/>
      <c r="IR88" s="666"/>
      <c r="IS88" s="666"/>
      <c r="IT88" s="666"/>
      <c r="IU88" s="666"/>
      <c r="IV88" s="666"/>
      <c r="IW88" s="666"/>
      <c r="IX88" s="666"/>
      <c r="IY88" s="666"/>
      <c r="IZ88" s="666"/>
      <c r="JA88" s="666"/>
      <c r="JB88" s="666"/>
      <c r="JC88" s="666"/>
      <c r="JD88" s="666"/>
      <c r="JE88" s="666"/>
      <c r="JF88" s="666"/>
      <c r="JG88" s="666"/>
      <c r="JH88" s="666"/>
      <c r="JI88" s="666"/>
      <c r="JJ88" s="666"/>
      <c r="JK88" s="666"/>
      <c r="JL88" s="666"/>
      <c r="JM88" s="666"/>
      <c r="JN88" s="666"/>
      <c r="JO88" s="666"/>
      <c r="JP88" s="666"/>
      <c r="JQ88" s="666"/>
      <c r="JR88" s="666"/>
      <c r="JS88" s="666"/>
      <c r="JT88" s="666"/>
      <c r="JU88" s="666"/>
      <c r="JV88" s="666"/>
      <c r="JW88" s="666"/>
      <c r="JX88" s="666"/>
      <c r="JY88" s="666"/>
      <c r="JZ88" s="666"/>
      <c r="KA88" s="666"/>
      <c r="KB88" s="666"/>
      <c r="KC88" s="666"/>
      <c r="KD88" s="666"/>
      <c r="KE88" s="666"/>
      <c r="KF88" s="666"/>
      <c r="KG88" s="666"/>
      <c r="KH88" s="666"/>
      <c r="KI88" s="666"/>
      <c r="KJ88" s="666"/>
      <c r="KK88" s="666"/>
      <c r="KL88" s="666"/>
      <c r="KM88" s="666"/>
      <c r="KN88" s="666"/>
      <c r="KO88" s="666"/>
      <c r="KP88" s="666"/>
      <c r="KQ88" s="666"/>
      <c r="KR88" s="666"/>
      <c r="KS88" s="666"/>
      <c r="KT88" s="666"/>
      <c r="KU88" s="666"/>
      <c r="KV88" s="666"/>
      <c r="KW88" s="666"/>
      <c r="KX88" s="666"/>
      <c r="KY88" s="666"/>
      <c r="KZ88" s="666"/>
      <c r="LA88" s="666"/>
      <c r="LB88" s="666"/>
      <c r="LC88" s="666"/>
      <c r="LD88" s="666"/>
      <c r="LE88" s="666"/>
      <c r="LF88" s="666"/>
      <c r="LG88" s="666"/>
      <c r="LH88" s="666"/>
      <c r="LI88" s="666"/>
      <c r="LJ88" s="666"/>
      <c r="LK88" s="666"/>
      <c r="LL88" s="666"/>
      <c r="LM88" s="666"/>
      <c r="LN88" s="666"/>
      <c r="LO88" s="666"/>
      <c r="LP88" s="666"/>
      <c r="LQ88" s="666"/>
      <c r="LR88" s="666"/>
      <c r="LS88" s="666"/>
      <c r="LT88" s="666"/>
      <c r="LU88" s="666"/>
      <c r="LV88" s="666"/>
      <c r="LW88" s="666"/>
      <c r="LX88" s="666"/>
      <c r="LY88" s="666"/>
      <c r="LZ88" s="666"/>
      <c r="MA88" s="666"/>
      <c r="MB88" s="666"/>
      <c r="MC88" s="666"/>
      <c r="MD88" s="666"/>
      <c r="ME88" s="666"/>
      <c r="MF88" s="666"/>
      <c r="MG88" s="666"/>
      <c r="MH88" s="666"/>
      <c r="MI88" s="666"/>
      <c r="MJ88" s="666"/>
      <c r="MK88" s="666"/>
      <c r="ML88" s="666"/>
      <c r="MM88" s="666"/>
      <c r="MN88" s="666"/>
      <c r="MO88" s="666"/>
      <c r="MP88" s="666"/>
      <c r="MQ88" s="666"/>
      <c r="MR88" s="666"/>
      <c r="MS88" s="666"/>
      <c r="MT88" s="666"/>
    </row>
    <row r="89" spans="1:358" ht="15.6">
      <c r="A89" s="579"/>
      <c r="B89" s="50"/>
      <c r="C89" s="9"/>
      <c r="D89" s="9"/>
      <c r="E89" s="9"/>
      <c r="F89" s="9"/>
      <c r="G89" s="13"/>
      <c r="H89" s="589"/>
      <c r="I89" s="50"/>
      <c r="J89" s="50"/>
      <c r="K89" s="58"/>
      <c r="L89" s="9"/>
      <c r="M89" s="9"/>
      <c r="N89" s="9"/>
      <c r="O89" s="9"/>
      <c r="P89" s="141"/>
      <c r="Z89" s="323"/>
      <c r="AA89" s="309"/>
      <c r="AB89" s="465"/>
      <c r="AE89" s="323"/>
      <c r="AG89" s="323"/>
      <c r="AN89" s="309"/>
      <c r="AO89" s="230"/>
    </row>
    <row r="90" spans="1:358" s="163" customFormat="1" ht="3.75" customHeight="1">
      <c r="A90" s="574">
        <v>3</v>
      </c>
      <c r="B90" s="13"/>
      <c r="C90" s="13"/>
      <c r="D90" s="13"/>
      <c r="E90" s="13"/>
      <c r="F90" s="13"/>
      <c r="G90" s="13"/>
      <c r="H90" s="583"/>
      <c r="I90" s="13"/>
      <c r="J90" s="13"/>
      <c r="K90" s="515"/>
      <c r="L90" s="13"/>
      <c r="M90" s="13"/>
      <c r="N90" s="13"/>
      <c r="O90" s="13"/>
      <c r="P90" s="519"/>
      <c r="Q90" s="516"/>
      <c r="R90" s="517"/>
      <c r="S90" s="516"/>
      <c r="T90" s="517"/>
      <c r="U90" s="516"/>
      <c r="V90" s="517"/>
      <c r="W90" s="516"/>
      <c r="X90" s="517"/>
      <c r="Y90" s="516"/>
      <c r="Z90" s="518"/>
      <c r="AA90" s="520"/>
      <c r="AB90" s="520"/>
      <c r="AD90" s="516"/>
      <c r="AE90" s="518"/>
      <c r="AF90" s="516"/>
      <c r="AG90" s="518"/>
      <c r="AH90" s="516"/>
      <c r="AI90" s="517"/>
      <c r="AJ90" s="516"/>
      <c r="AK90" s="517"/>
      <c r="AL90" s="516"/>
      <c r="AM90" s="517"/>
      <c r="AN90" s="520"/>
      <c r="AO90" s="521"/>
      <c r="AQ90" s="538"/>
      <c r="AR90" s="538"/>
      <c r="AS90" s="538"/>
      <c r="AT90" s="538"/>
    </row>
    <row r="91" spans="1:358" s="158" customFormat="1" ht="15.6">
      <c r="A91" s="605">
        <v>30</v>
      </c>
      <c r="B91" s="409">
        <v>42</v>
      </c>
      <c r="C91" s="409" t="s">
        <v>649</v>
      </c>
      <c r="D91" s="409"/>
      <c r="E91" s="409" t="s">
        <v>650</v>
      </c>
      <c r="F91" s="409"/>
      <c r="G91" s="632"/>
      <c r="H91" s="663" t="s">
        <v>960</v>
      </c>
      <c r="I91" s="409"/>
      <c r="J91" s="409"/>
      <c r="K91" s="556"/>
      <c r="L91" s="409"/>
      <c r="M91" s="409"/>
      <c r="N91" s="409"/>
      <c r="O91" s="409"/>
      <c r="P91" s="557"/>
      <c r="Q91" s="437">
        <v>253644</v>
      </c>
      <c r="R91" s="458">
        <v>13692.01</v>
      </c>
      <c r="S91" s="842">
        <v>253614</v>
      </c>
      <c r="T91" s="844">
        <v>3052.8</v>
      </c>
      <c r="U91" s="435"/>
      <c r="V91" s="463"/>
      <c r="W91" s="454"/>
      <c r="X91" s="536"/>
      <c r="Y91" s="853">
        <v>253644</v>
      </c>
      <c r="Z91" s="856">
        <v>9568.07</v>
      </c>
      <c r="AA91" s="464">
        <f>Q91</f>
        <v>253644</v>
      </c>
      <c r="AB91" s="465">
        <f>Z91+V91+T91+R91</f>
        <v>26312.879999999997</v>
      </c>
      <c r="AC91" s="666"/>
      <c r="AD91" s="439"/>
      <c r="AE91" s="627"/>
      <c r="AF91" s="439"/>
      <c r="AG91" s="627"/>
      <c r="AH91" s="435"/>
      <c r="AI91" s="463"/>
      <c r="AJ91" s="433"/>
      <c r="AK91" s="490"/>
      <c r="AL91" s="433"/>
      <c r="AM91" s="490"/>
      <c r="AN91" s="464"/>
      <c r="AO91" s="465">
        <f>AM91+AK91+AI91+AE91</f>
        <v>0</v>
      </c>
      <c r="AP91" s="666"/>
      <c r="AQ91" s="439"/>
      <c r="AR91" s="534"/>
      <c r="AS91" s="671"/>
      <c r="AT91" s="672"/>
      <c r="AU91" s="666"/>
      <c r="AV91" s="666"/>
      <c r="AW91" s="666"/>
      <c r="AX91" s="666"/>
      <c r="AY91" s="666"/>
      <c r="AZ91" s="666"/>
      <c r="BA91" s="666"/>
      <c r="BB91" s="666"/>
      <c r="BC91" s="666"/>
      <c r="BD91" s="666"/>
      <c r="BE91" s="666"/>
      <c r="BF91" s="666"/>
      <c r="BG91" s="666"/>
      <c r="BH91" s="666"/>
      <c r="BI91" s="666"/>
      <c r="BJ91" s="666"/>
      <c r="BK91" s="666"/>
      <c r="BL91" s="666"/>
      <c r="BM91" s="666"/>
      <c r="BN91" s="666"/>
      <c r="BO91" s="666"/>
      <c r="BP91" s="666"/>
      <c r="BQ91" s="666"/>
      <c r="BR91" s="666"/>
      <c r="BS91" s="666"/>
      <c r="BT91" s="666"/>
      <c r="BU91" s="666"/>
      <c r="BV91" s="666"/>
      <c r="BW91" s="666"/>
      <c r="BX91" s="666"/>
      <c r="BY91" s="666"/>
      <c r="BZ91" s="666"/>
      <c r="CA91" s="666"/>
      <c r="CB91" s="666"/>
      <c r="CC91" s="666"/>
      <c r="CD91" s="666"/>
      <c r="CE91" s="666"/>
      <c r="CF91" s="666"/>
      <c r="CG91" s="666"/>
      <c r="CH91" s="666"/>
      <c r="CI91" s="666"/>
      <c r="CJ91" s="666"/>
      <c r="CK91" s="666"/>
      <c r="CL91" s="666"/>
      <c r="CM91" s="666"/>
      <c r="CN91" s="666"/>
      <c r="CO91" s="666"/>
      <c r="CP91" s="666"/>
      <c r="CQ91" s="666"/>
      <c r="CR91" s="666"/>
      <c r="CS91" s="666"/>
      <c r="CT91" s="666"/>
      <c r="CU91" s="666"/>
      <c r="CV91" s="666"/>
      <c r="CW91" s="666"/>
      <c r="CX91" s="666"/>
      <c r="CY91" s="666"/>
      <c r="CZ91" s="666"/>
      <c r="DA91" s="666"/>
      <c r="DB91" s="666"/>
      <c r="DC91" s="666"/>
      <c r="DD91" s="666"/>
      <c r="DE91" s="666"/>
      <c r="DF91" s="666"/>
      <c r="DG91" s="666"/>
      <c r="DH91" s="666"/>
      <c r="DI91" s="666"/>
      <c r="DJ91" s="666"/>
      <c r="DK91" s="666"/>
      <c r="DL91" s="666"/>
      <c r="DM91" s="666"/>
      <c r="DN91" s="666"/>
      <c r="DO91" s="666"/>
      <c r="DP91" s="666"/>
      <c r="DQ91" s="666"/>
      <c r="DR91" s="666"/>
      <c r="DS91" s="666"/>
      <c r="DT91" s="666"/>
      <c r="DU91" s="666"/>
      <c r="DV91" s="666"/>
      <c r="DW91" s="666"/>
      <c r="DX91" s="666"/>
      <c r="DY91" s="666"/>
      <c r="DZ91" s="666"/>
      <c r="EA91" s="666"/>
      <c r="EB91" s="666"/>
      <c r="EC91" s="666"/>
      <c r="ED91" s="666"/>
      <c r="EE91" s="666"/>
      <c r="EF91" s="666"/>
      <c r="EG91" s="666"/>
      <c r="EH91" s="666"/>
      <c r="EI91" s="666"/>
      <c r="EJ91" s="666"/>
      <c r="EK91" s="666"/>
      <c r="EL91" s="666"/>
      <c r="EM91" s="666"/>
      <c r="EN91" s="666"/>
      <c r="EO91" s="666"/>
      <c r="EP91" s="666"/>
      <c r="EQ91" s="666"/>
      <c r="ER91" s="666"/>
      <c r="ES91" s="666"/>
      <c r="ET91" s="666"/>
      <c r="EU91" s="666"/>
      <c r="EV91" s="666"/>
      <c r="EW91" s="666"/>
      <c r="EX91" s="666"/>
      <c r="EY91" s="666"/>
      <c r="EZ91" s="666"/>
      <c r="FA91" s="666"/>
      <c r="FB91" s="666"/>
      <c r="FC91" s="666"/>
      <c r="FD91" s="666"/>
      <c r="FE91" s="666"/>
      <c r="FF91" s="666"/>
      <c r="FG91" s="666"/>
      <c r="FH91" s="666"/>
      <c r="FI91" s="666"/>
      <c r="FJ91" s="666"/>
      <c r="FK91" s="666"/>
      <c r="FL91" s="666"/>
      <c r="FM91" s="666"/>
      <c r="FN91" s="666"/>
      <c r="FO91" s="666"/>
      <c r="FP91" s="666"/>
      <c r="FQ91" s="666"/>
      <c r="FR91" s="666"/>
      <c r="FS91" s="666"/>
      <c r="FT91" s="666"/>
      <c r="FU91" s="666"/>
      <c r="FV91" s="666"/>
      <c r="FW91" s="666"/>
      <c r="FX91" s="666"/>
      <c r="FY91" s="666"/>
      <c r="FZ91" s="666"/>
      <c r="GA91" s="666"/>
      <c r="GB91" s="666"/>
      <c r="GC91" s="666"/>
      <c r="GD91" s="666"/>
      <c r="GE91" s="666"/>
      <c r="GF91" s="666"/>
      <c r="GG91" s="666"/>
      <c r="GH91" s="666"/>
      <c r="GI91" s="666"/>
      <c r="GJ91" s="666"/>
      <c r="GK91" s="666"/>
      <c r="GL91" s="666"/>
      <c r="GM91" s="666"/>
      <c r="GN91" s="666"/>
      <c r="GO91" s="666"/>
      <c r="GP91" s="666"/>
      <c r="GQ91" s="666"/>
      <c r="GR91" s="666"/>
      <c r="GS91" s="666"/>
      <c r="GT91" s="666"/>
      <c r="GU91" s="666"/>
      <c r="GV91" s="666"/>
      <c r="GW91" s="666"/>
      <c r="GX91" s="666"/>
      <c r="GY91" s="666"/>
      <c r="GZ91" s="666"/>
      <c r="HA91" s="666"/>
      <c r="HB91" s="666"/>
      <c r="HC91" s="666"/>
      <c r="HD91" s="666"/>
      <c r="HE91" s="666"/>
      <c r="HF91" s="666"/>
      <c r="HG91" s="666"/>
      <c r="HH91" s="666"/>
      <c r="HI91" s="666"/>
      <c r="HJ91" s="666"/>
      <c r="HK91" s="666"/>
      <c r="HL91" s="666"/>
      <c r="HM91" s="666"/>
      <c r="HN91" s="666"/>
      <c r="HO91" s="666"/>
      <c r="HP91" s="666"/>
      <c r="HQ91" s="666"/>
      <c r="HR91" s="666"/>
      <c r="HS91" s="666"/>
      <c r="HT91" s="666"/>
      <c r="HU91" s="666"/>
      <c r="HV91" s="666"/>
      <c r="HW91" s="666"/>
      <c r="HX91" s="666"/>
      <c r="HY91" s="666"/>
      <c r="HZ91" s="666"/>
      <c r="IA91" s="666"/>
      <c r="IB91" s="666"/>
      <c r="IC91" s="666"/>
      <c r="ID91" s="666"/>
      <c r="IE91" s="666"/>
      <c r="IF91" s="666"/>
      <c r="IG91" s="666"/>
      <c r="IH91" s="666"/>
      <c r="II91" s="666"/>
      <c r="IJ91" s="666"/>
      <c r="IK91" s="666"/>
      <c r="IL91" s="666"/>
      <c r="IM91" s="666"/>
      <c r="IN91" s="666"/>
      <c r="IO91" s="666"/>
      <c r="IP91" s="666"/>
      <c r="IQ91" s="666"/>
      <c r="IR91" s="666"/>
      <c r="IS91" s="666"/>
      <c r="IT91" s="666"/>
      <c r="IU91" s="666"/>
      <c r="IV91" s="666"/>
      <c r="IW91" s="666"/>
      <c r="IX91" s="666"/>
      <c r="IY91" s="666"/>
      <c r="IZ91" s="666"/>
      <c r="JA91" s="666"/>
      <c r="JB91" s="666"/>
      <c r="JC91" s="666"/>
      <c r="JD91" s="666"/>
      <c r="JE91" s="666"/>
      <c r="JF91" s="666"/>
      <c r="JG91" s="666"/>
      <c r="JH91" s="666"/>
      <c r="JI91" s="666"/>
      <c r="JJ91" s="666"/>
      <c r="JK91" s="666"/>
      <c r="JL91" s="666"/>
      <c r="JM91" s="666"/>
      <c r="JN91" s="666"/>
      <c r="JO91" s="666"/>
      <c r="JP91" s="666"/>
      <c r="JQ91" s="666"/>
      <c r="JR91" s="666"/>
      <c r="JS91" s="666"/>
      <c r="JT91" s="666"/>
      <c r="JU91" s="666"/>
      <c r="JV91" s="666"/>
      <c r="JW91" s="666"/>
      <c r="JX91" s="666"/>
      <c r="JY91" s="666"/>
      <c r="JZ91" s="666"/>
      <c r="KA91" s="666"/>
      <c r="KB91" s="666"/>
      <c r="KC91" s="666"/>
      <c r="KD91" s="666"/>
      <c r="KE91" s="666"/>
      <c r="KF91" s="666"/>
      <c r="KG91" s="666"/>
      <c r="KH91" s="666"/>
      <c r="KI91" s="666"/>
      <c r="KJ91" s="666"/>
      <c r="KK91" s="666"/>
      <c r="KL91" s="666"/>
      <c r="KM91" s="666"/>
      <c r="KN91" s="666"/>
      <c r="KO91" s="666"/>
      <c r="KP91" s="666"/>
      <c r="KQ91" s="666"/>
      <c r="KR91" s="666"/>
      <c r="KS91" s="666"/>
      <c r="KT91" s="666"/>
      <c r="KU91" s="666"/>
      <c r="KV91" s="666"/>
      <c r="KW91" s="666"/>
      <c r="KX91" s="666"/>
      <c r="KY91" s="666"/>
      <c r="KZ91" s="666"/>
      <c r="LA91" s="666"/>
      <c r="LB91" s="666"/>
      <c r="LC91" s="666"/>
      <c r="LD91" s="666"/>
      <c r="LE91" s="666"/>
      <c r="LF91" s="666"/>
      <c r="LG91" s="666"/>
      <c r="LH91" s="666"/>
      <c r="LI91" s="666"/>
      <c r="LJ91" s="666"/>
      <c r="LK91" s="666"/>
      <c r="LL91" s="666"/>
      <c r="LM91" s="666"/>
      <c r="LN91" s="666"/>
      <c r="LO91" s="666"/>
      <c r="LP91" s="666"/>
      <c r="LQ91" s="666"/>
      <c r="LR91" s="666"/>
      <c r="LS91" s="666"/>
      <c r="LT91" s="666"/>
      <c r="LU91" s="666"/>
      <c r="LV91" s="666"/>
      <c r="LW91" s="666"/>
      <c r="LX91" s="666"/>
      <c r="LY91" s="666"/>
      <c r="LZ91" s="666"/>
      <c r="MA91" s="666"/>
      <c r="MB91" s="666"/>
      <c r="MC91" s="666"/>
      <c r="MD91" s="666"/>
      <c r="ME91" s="666"/>
      <c r="MF91" s="666"/>
      <c r="MG91" s="666"/>
      <c r="MH91" s="666"/>
      <c r="MI91" s="666"/>
      <c r="MJ91" s="666"/>
      <c r="MK91" s="666"/>
      <c r="ML91" s="666"/>
      <c r="MM91" s="666"/>
      <c r="MN91" s="666"/>
      <c r="MO91" s="666"/>
      <c r="MP91" s="666"/>
      <c r="MQ91" s="666"/>
      <c r="MR91" s="666"/>
      <c r="MS91" s="666"/>
      <c r="MT91" s="666"/>
    </row>
    <row r="92" spans="1:358" ht="15.6">
      <c r="A92" s="579"/>
      <c r="B92" s="50"/>
      <c r="C92" s="9"/>
      <c r="D92" s="9"/>
      <c r="E92" s="9"/>
      <c r="F92" s="9"/>
      <c r="G92" s="13"/>
      <c r="H92" s="589"/>
      <c r="I92" s="50"/>
      <c r="J92" s="50"/>
      <c r="K92" s="58"/>
      <c r="L92" s="9"/>
      <c r="M92" s="9"/>
      <c r="N92" s="9"/>
      <c r="O92" s="9"/>
      <c r="P92" s="141"/>
      <c r="Z92" s="323"/>
      <c r="AA92" s="309"/>
      <c r="AB92" s="230"/>
      <c r="AE92" s="323"/>
      <c r="AG92" s="323"/>
      <c r="AN92" s="309"/>
      <c r="AO92" s="230"/>
    </row>
    <row r="93" spans="1:358" s="163" customFormat="1" ht="3.75" customHeight="1">
      <c r="A93" s="574"/>
      <c r="B93" s="13"/>
      <c r="C93" s="13"/>
      <c r="D93" s="13"/>
      <c r="E93" s="13"/>
      <c r="F93" s="13"/>
      <c r="G93" s="13"/>
      <c r="H93" s="583"/>
      <c r="I93" s="13"/>
      <c r="J93" s="13"/>
      <c r="K93" s="515"/>
      <c r="L93" s="13"/>
      <c r="M93" s="13"/>
      <c r="N93" s="13"/>
      <c r="O93" s="13"/>
      <c r="P93" s="519"/>
      <c r="Q93" s="516"/>
      <c r="R93" s="517"/>
      <c r="S93" s="516"/>
      <c r="T93" s="517"/>
      <c r="U93" s="516"/>
      <c r="V93" s="517"/>
      <c r="W93" s="516"/>
      <c r="X93" s="517"/>
      <c r="Y93" s="516"/>
      <c r="Z93" s="518"/>
      <c r="AA93" s="520"/>
      <c r="AB93" s="521"/>
      <c r="AD93" s="516"/>
      <c r="AE93" s="518"/>
      <c r="AF93" s="516"/>
      <c r="AG93" s="518"/>
      <c r="AH93" s="516"/>
      <c r="AI93" s="517"/>
      <c r="AJ93" s="516"/>
      <c r="AK93" s="517"/>
      <c r="AL93" s="516"/>
      <c r="AM93" s="517"/>
      <c r="AN93" s="520"/>
      <c r="AO93" s="521"/>
      <c r="AQ93" s="538"/>
      <c r="AR93" s="538"/>
      <c r="AS93" s="538"/>
      <c r="AT93" s="538"/>
    </row>
    <row r="94" spans="1:358" s="158" customFormat="1" ht="15.6">
      <c r="A94" s="605">
        <v>31</v>
      </c>
      <c r="B94" s="409">
        <v>45</v>
      </c>
      <c r="C94" s="409" t="s">
        <v>648</v>
      </c>
      <c r="D94" s="409"/>
      <c r="E94" s="409" t="s">
        <v>650</v>
      </c>
      <c r="F94" s="409"/>
      <c r="G94" s="632"/>
      <c r="H94" s="663" t="s">
        <v>961</v>
      </c>
      <c r="I94" s="409"/>
      <c r="J94" s="409"/>
      <c r="K94" s="556"/>
      <c r="L94" s="409"/>
      <c r="M94" s="409"/>
      <c r="N94" s="409"/>
      <c r="O94" s="409"/>
      <c r="P94" s="557"/>
      <c r="Q94" s="854">
        <v>230144</v>
      </c>
      <c r="R94" s="855">
        <v>13551.3</v>
      </c>
      <c r="S94" s="842">
        <v>229908</v>
      </c>
      <c r="T94" s="844">
        <v>607</v>
      </c>
      <c r="U94" s="435"/>
      <c r="V94" s="463"/>
      <c r="W94" s="454"/>
      <c r="X94" s="536"/>
      <c r="Y94" s="439">
        <v>230144</v>
      </c>
      <c r="Z94" s="510">
        <v>9568.07</v>
      </c>
      <c r="AA94" s="464">
        <f>Q94</f>
        <v>230144</v>
      </c>
      <c r="AB94" s="465">
        <f>Z94+V94+T94+R94</f>
        <v>23726.37</v>
      </c>
      <c r="AC94" s="666"/>
      <c r="AD94" s="439"/>
      <c r="AE94" s="627"/>
      <c r="AF94" s="439"/>
      <c r="AG94" s="627"/>
      <c r="AH94" s="435"/>
      <c r="AI94" s="463"/>
      <c r="AJ94" s="433"/>
      <c r="AK94" s="490"/>
      <c r="AL94" s="433"/>
      <c r="AM94" s="490"/>
      <c r="AN94" s="464"/>
      <c r="AO94" s="465">
        <f>AM94+AK94+AI94+AE94</f>
        <v>0</v>
      </c>
      <c r="AP94" s="666"/>
      <c r="AQ94" s="439"/>
      <c r="AR94" s="534"/>
      <c r="AS94" s="671"/>
      <c r="AT94" s="672"/>
      <c r="AU94" s="666"/>
      <c r="AV94" s="666"/>
      <c r="AW94" s="666"/>
      <c r="AX94" s="666"/>
      <c r="AY94" s="666"/>
      <c r="AZ94" s="666"/>
      <c r="BA94" s="666"/>
      <c r="BB94" s="666"/>
      <c r="BC94" s="666"/>
      <c r="BD94" s="666"/>
      <c r="BE94" s="666"/>
      <c r="BF94" s="666"/>
      <c r="BG94" s="666"/>
      <c r="BH94" s="666"/>
      <c r="BI94" s="666"/>
      <c r="BJ94" s="666"/>
      <c r="BK94" s="666"/>
      <c r="BL94" s="666"/>
      <c r="BM94" s="666"/>
      <c r="BN94" s="666"/>
      <c r="BO94" s="666"/>
      <c r="BP94" s="666"/>
      <c r="BQ94" s="666"/>
      <c r="BR94" s="666"/>
      <c r="BS94" s="666"/>
      <c r="BT94" s="666"/>
      <c r="BU94" s="666"/>
      <c r="BV94" s="666"/>
      <c r="BW94" s="666"/>
      <c r="BX94" s="666"/>
      <c r="BY94" s="666"/>
      <c r="BZ94" s="666"/>
      <c r="CA94" s="666"/>
      <c r="CB94" s="666"/>
      <c r="CC94" s="666"/>
      <c r="CD94" s="666"/>
      <c r="CE94" s="666"/>
      <c r="CF94" s="666"/>
      <c r="CG94" s="666"/>
      <c r="CH94" s="666"/>
      <c r="CI94" s="666"/>
      <c r="CJ94" s="666"/>
      <c r="CK94" s="666"/>
      <c r="CL94" s="666"/>
      <c r="CM94" s="666"/>
      <c r="CN94" s="666"/>
      <c r="CO94" s="666"/>
      <c r="CP94" s="666"/>
      <c r="CQ94" s="666"/>
      <c r="CR94" s="666"/>
      <c r="CS94" s="666"/>
      <c r="CT94" s="666"/>
      <c r="CU94" s="666"/>
      <c r="CV94" s="666"/>
      <c r="CW94" s="666"/>
      <c r="CX94" s="666"/>
      <c r="CY94" s="666"/>
      <c r="CZ94" s="666"/>
      <c r="DA94" s="666"/>
      <c r="DB94" s="666"/>
      <c r="DC94" s="666"/>
      <c r="DD94" s="666"/>
      <c r="DE94" s="666"/>
      <c r="DF94" s="666"/>
      <c r="DG94" s="666"/>
      <c r="DH94" s="666"/>
      <c r="DI94" s="666"/>
      <c r="DJ94" s="666"/>
      <c r="DK94" s="666"/>
      <c r="DL94" s="666"/>
      <c r="DM94" s="666"/>
      <c r="DN94" s="666"/>
      <c r="DO94" s="666"/>
      <c r="DP94" s="666"/>
      <c r="DQ94" s="666"/>
      <c r="DR94" s="666"/>
      <c r="DS94" s="666"/>
      <c r="DT94" s="666"/>
      <c r="DU94" s="666"/>
      <c r="DV94" s="666"/>
      <c r="DW94" s="666"/>
      <c r="DX94" s="666"/>
      <c r="DY94" s="666"/>
      <c r="DZ94" s="666"/>
      <c r="EA94" s="666"/>
      <c r="EB94" s="666"/>
      <c r="EC94" s="666"/>
      <c r="ED94" s="666"/>
      <c r="EE94" s="666"/>
      <c r="EF94" s="666"/>
      <c r="EG94" s="666"/>
      <c r="EH94" s="666"/>
      <c r="EI94" s="666"/>
      <c r="EJ94" s="666"/>
      <c r="EK94" s="666"/>
      <c r="EL94" s="666"/>
      <c r="EM94" s="666"/>
      <c r="EN94" s="666"/>
      <c r="EO94" s="666"/>
      <c r="EP94" s="666"/>
      <c r="EQ94" s="666"/>
      <c r="ER94" s="666"/>
      <c r="ES94" s="666"/>
      <c r="ET94" s="666"/>
      <c r="EU94" s="666"/>
      <c r="EV94" s="666"/>
      <c r="EW94" s="666"/>
      <c r="EX94" s="666"/>
      <c r="EY94" s="666"/>
      <c r="EZ94" s="666"/>
      <c r="FA94" s="666"/>
      <c r="FB94" s="666"/>
      <c r="FC94" s="666"/>
      <c r="FD94" s="666"/>
      <c r="FE94" s="666"/>
      <c r="FF94" s="666"/>
      <c r="FG94" s="666"/>
      <c r="FH94" s="666"/>
      <c r="FI94" s="666"/>
      <c r="FJ94" s="666"/>
      <c r="FK94" s="666"/>
      <c r="FL94" s="666"/>
      <c r="FM94" s="666"/>
      <c r="FN94" s="666"/>
      <c r="FO94" s="666"/>
      <c r="FP94" s="666"/>
      <c r="FQ94" s="666"/>
      <c r="FR94" s="666"/>
      <c r="FS94" s="666"/>
      <c r="FT94" s="666"/>
      <c r="FU94" s="666"/>
      <c r="FV94" s="666"/>
      <c r="FW94" s="666"/>
      <c r="FX94" s="666"/>
      <c r="FY94" s="666"/>
      <c r="FZ94" s="666"/>
      <c r="GA94" s="666"/>
      <c r="GB94" s="666"/>
      <c r="GC94" s="666"/>
      <c r="GD94" s="666"/>
      <c r="GE94" s="666"/>
      <c r="GF94" s="666"/>
      <c r="GG94" s="666"/>
      <c r="GH94" s="666"/>
      <c r="GI94" s="666"/>
      <c r="GJ94" s="666"/>
      <c r="GK94" s="666"/>
      <c r="GL94" s="666"/>
      <c r="GM94" s="666"/>
      <c r="GN94" s="666"/>
      <c r="GO94" s="666"/>
      <c r="GP94" s="666"/>
      <c r="GQ94" s="666"/>
      <c r="GR94" s="666"/>
      <c r="GS94" s="666"/>
      <c r="GT94" s="666"/>
      <c r="GU94" s="666"/>
      <c r="GV94" s="666"/>
      <c r="GW94" s="666"/>
      <c r="GX94" s="666"/>
      <c r="GY94" s="666"/>
      <c r="GZ94" s="666"/>
      <c r="HA94" s="666"/>
      <c r="HB94" s="666"/>
      <c r="HC94" s="666"/>
      <c r="HD94" s="666"/>
      <c r="HE94" s="666"/>
      <c r="HF94" s="666"/>
      <c r="HG94" s="666"/>
      <c r="HH94" s="666"/>
      <c r="HI94" s="666"/>
      <c r="HJ94" s="666"/>
      <c r="HK94" s="666"/>
      <c r="HL94" s="666"/>
      <c r="HM94" s="666"/>
      <c r="HN94" s="666"/>
      <c r="HO94" s="666"/>
      <c r="HP94" s="666"/>
      <c r="HQ94" s="666"/>
      <c r="HR94" s="666"/>
      <c r="HS94" s="666"/>
      <c r="HT94" s="666"/>
      <c r="HU94" s="666"/>
      <c r="HV94" s="666"/>
      <c r="HW94" s="666"/>
      <c r="HX94" s="666"/>
      <c r="HY94" s="666"/>
      <c r="HZ94" s="666"/>
      <c r="IA94" s="666"/>
      <c r="IB94" s="666"/>
      <c r="IC94" s="666"/>
      <c r="ID94" s="666"/>
      <c r="IE94" s="666"/>
      <c r="IF94" s="666"/>
      <c r="IG94" s="666"/>
      <c r="IH94" s="666"/>
      <c r="II94" s="666"/>
      <c r="IJ94" s="666"/>
      <c r="IK94" s="666"/>
      <c r="IL94" s="666"/>
      <c r="IM94" s="666"/>
      <c r="IN94" s="666"/>
      <c r="IO94" s="666"/>
      <c r="IP94" s="666"/>
      <c r="IQ94" s="666"/>
      <c r="IR94" s="666"/>
      <c r="IS94" s="666"/>
      <c r="IT94" s="666"/>
      <c r="IU94" s="666"/>
      <c r="IV94" s="666"/>
      <c r="IW94" s="666"/>
      <c r="IX94" s="666"/>
      <c r="IY94" s="666"/>
      <c r="IZ94" s="666"/>
      <c r="JA94" s="666"/>
      <c r="JB94" s="666"/>
      <c r="JC94" s="666"/>
      <c r="JD94" s="666"/>
      <c r="JE94" s="666"/>
      <c r="JF94" s="666"/>
      <c r="JG94" s="666"/>
      <c r="JH94" s="666"/>
      <c r="JI94" s="666"/>
      <c r="JJ94" s="666"/>
      <c r="JK94" s="666"/>
      <c r="JL94" s="666"/>
      <c r="JM94" s="666"/>
      <c r="JN94" s="666"/>
      <c r="JO94" s="666"/>
      <c r="JP94" s="666"/>
      <c r="JQ94" s="666"/>
      <c r="JR94" s="666"/>
      <c r="JS94" s="666"/>
      <c r="JT94" s="666"/>
      <c r="JU94" s="666"/>
      <c r="JV94" s="666"/>
      <c r="JW94" s="666"/>
      <c r="JX94" s="666"/>
      <c r="JY94" s="666"/>
      <c r="JZ94" s="666"/>
      <c r="KA94" s="666"/>
      <c r="KB94" s="666"/>
      <c r="KC94" s="666"/>
      <c r="KD94" s="666"/>
      <c r="KE94" s="666"/>
      <c r="KF94" s="666"/>
      <c r="KG94" s="666"/>
      <c r="KH94" s="666"/>
      <c r="KI94" s="666"/>
      <c r="KJ94" s="666"/>
      <c r="KK94" s="666"/>
      <c r="KL94" s="666"/>
      <c r="KM94" s="666"/>
      <c r="KN94" s="666"/>
      <c r="KO94" s="666"/>
      <c r="KP94" s="666"/>
      <c r="KQ94" s="666"/>
      <c r="KR94" s="666"/>
      <c r="KS94" s="666"/>
      <c r="KT94" s="666"/>
      <c r="KU94" s="666"/>
      <c r="KV94" s="666"/>
      <c r="KW94" s="666"/>
      <c r="KX94" s="666"/>
      <c r="KY94" s="666"/>
      <c r="KZ94" s="666"/>
      <c r="LA94" s="666"/>
      <c r="LB94" s="666"/>
      <c r="LC94" s="666"/>
      <c r="LD94" s="666"/>
      <c r="LE94" s="666"/>
      <c r="LF94" s="666"/>
      <c r="LG94" s="666"/>
      <c r="LH94" s="666"/>
      <c r="LI94" s="666"/>
      <c r="LJ94" s="666"/>
      <c r="LK94" s="666"/>
      <c r="LL94" s="666"/>
      <c r="LM94" s="666"/>
      <c r="LN94" s="666"/>
      <c r="LO94" s="666"/>
      <c r="LP94" s="666"/>
      <c r="LQ94" s="666"/>
      <c r="LR94" s="666"/>
      <c r="LS94" s="666"/>
      <c r="LT94" s="666"/>
      <c r="LU94" s="666"/>
      <c r="LV94" s="666"/>
      <c r="LW94" s="666"/>
      <c r="LX94" s="666"/>
      <c r="LY94" s="666"/>
      <c r="LZ94" s="666"/>
      <c r="MA94" s="666"/>
      <c r="MB94" s="666"/>
      <c r="MC94" s="666"/>
      <c r="MD94" s="666"/>
      <c r="ME94" s="666"/>
      <c r="MF94" s="666"/>
      <c r="MG94" s="666"/>
      <c r="MH94" s="666"/>
      <c r="MI94" s="666"/>
      <c r="MJ94" s="666"/>
      <c r="MK94" s="666"/>
      <c r="ML94" s="666"/>
      <c r="MM94" s="666"/>
      <c r="MN94" s="666"/>
      <c r="MO94" s="666"/>
      <c r="MP94" s="666"/>
      <c r="MQ94" s="666"/>
      <c r="MR94" s="666"/>
      <c r="MS94" s="666"/>
      <c r="MT94" s="666"/>
    </row>
    <row r="95" spans="1:358" ht="15.6">
      <c r="A95" s="579"/>
      <c r="B95" s="50"/>
      <c r="C95" s="9"/>
      <c r="D95" s="9"/>
      <c r="E95" s="9"/>
      <c r="F95" s="9"/>
      <c r="G95" s="13"/>
      <c r="H95" s="589"/>
      <c r="I95" s="50"/>
      <c r="J95" s="50"/>
      <c r="K95" s="58"/>
      <c r="L95" s="9"/>
      <c r="M95" s="9"/>
      <c r="N95" s="9"/>
      <c r="O95" s="9"/>
      <c r="P95" s="141"/>
      <c r="Z95" s="323"/>
      <c r="AA95" s="309"/>
      <c r="AB95" s="230"/>
      <c r="AE95" s="323"/>
      <c r="AG95" s="323"/>
      <c r="AN95" s="309"/>
      <c r="AO95" s="230"/>
    </row>
    <row r="96" spans="1:358" s="163" customFormat="1" ht="3.75" customHeight="1">
      <c r="A96" s="574"/>
      <c r="B96" s="13"/>
      <c r="C96" s="13"/>
      <c r="D96" s="13"/>
      <c r="E96" s="13"/>
      <c r="F96" s="13"/>
      <c r="G96" s="13"/>
      <c r="H96" s="583"/>
      <c r="I96" s="13"/>
      <c r="J96" s="13"/>
      <c r="K96" s="515"/>
      <c r="L96" s="13"/>
      <c r="M96" s="13"/>
      <c r="N96" s="13"/>
      <c r="O96" s="13"/>
      <c r="P96" s="519"/>
      <c r="Q96" s="516"/>
      <c r="R96" s="517"/>
      <c r="S96" s="516"/>
      <c r="T96" s="517"/>
      <c r="U96" s="516"/>
      <c r="V96" s="517"/>
      <c r="W96" s="516"/>
      <c r="X96" s="517"/>
      <c r="Y96" s="516"/>
      <c r="Z96" s="518"/>
      <c r="AA96" s="520"/>
      <c r="AB96" s="521"/>
      <c r="AD96" s="516"/>
      <c r="AE96" s="518"/>
      <c r="AF96" s="516"/>
      <c r="AG96" s="518"/>
      <c r="AH96" s="516"/>
      <c r="AI96" s="517"/>
      <c r="AJ96" s="516"/>
      <c r="AK96" s="517"/>
      <c r="AL96" s="516"/>
      <c r="AM96" s="517"/>
      <c r="AN96" s="520"/>
      <c r="AO96" s="521"/>
      <c r="AQ96" s="538"/>
      <c r="AR96" s="538"/>
      <c r="AS96" s="538"/>
      <c r="AT96" s="538"/>
    </row>
    <row r="97" spans="1:358" s="158" customFormat="1" ht="15.6">
      <c r="A97" s="605">
        <v>32</v>
      </c>
      <c r="B97" s="409">
        <v>41</v>
      </c>
      <c r="C97" s="409" t="s">
        <v>649</v>
      </c>
      <c r="D97" s="409"/>
      <c r="E97" s="409" t="s">
        <v>650</v>
      </c>
      <c r="F97" s="409"/>
      <c r="G97" s="632"/>
      <c r="H97" s="663" t="s">
        <v>962</v>
      </c>
      <c r="I97" s="409"/>
      <c r="J97" s="409"/>
      <c r="K97" s="556"/>
      <c r="L97" s="409"/>
      <c r="M97" s="409"/>
      <c r="N97" s="409"/>
      <c r="O97" s="409"/>
      <c r="P97" s="557"/>
      <c r="Q97" s="437">
        <v>230156</v>
      </c>
      <c r="R97" s="458">
        <v>14104.66</v>
      </c>
      <c r="S97" s="842">
        <v>229941</v>
      </c>
      <c r="T97" s="844">
        <v>3204.42</v>
      </c>
      <c r="U97" s="435"/>
      <c r="V97" s="463"/>
      <c r="W97" s="454"/>
      <c r="X97" s="536"/>
      <c r="Y97" s="853">
        <v>230156</v>
      </c>
      <c r="Z97" s="851">
        <v>9560.0300000000007</v>
      </c>
      <c r="AA97" s="464">
        <f>Q97</f>
        <v>230156</v>
      </c>
      <c r="AB97" s="465">
        <f>Z97+V97+T97+R97</f>
        <v>26869.11</v>
      </c>
      <c r="AC97" s="666"/>
      <c r="AD97" s="439"/>
      <c r="AE97" s="627"/>
      <c r="AF97" s="439"/>
      <c r="AG97" s="627"/>
      <c r="AH97" s="435"/>
      <c r="AI97" s="463"/>
      <c r="AJ97" s="433"/>
      <c r="AK97" s="490"/>
      <c r="AL97" s="433"/>
      <c r="AM97" s="490"/>
      <c r="AN97" s="464"/>
      <c r="AO97" s="465">
        <f>AM97+AK97+AI97+AE97</f>
        <v>0</v>
      </c>
      <c r="AP97" s="666"/>
      <c r="AQ97" s="439"/>
      <c r="AR97" s="534"/>
      <c r="AS97" s="671"/>
      <c r="AT97" s="672"/>
      <c r="AU97" s="666"/>
      <c r="AV97" s="666"/>
      <c r="AW97" s="666"/>
      <c r="AX97" s="666"/>
      <c r="AY97" s="666"/>
      <c r="AZ97" s="666"/>
      <c r="BA97" s="666"/>
      <c r="BB97" s="666"/>
      <c r="BC97" s="666"/>
      <c r="BD97" s="666"/>
      <c r="BE97" s="666"/>
      <c r="BF97" s="666"/>
      <c r="BG97" s="666"/>
      <c r="BH97" s="666"/>
      <c r="BI97" s="666"/>
      <c r="BJ97" s="666"/>
      <c r="BK97" s="666"/>
      <c r="BL97" s="666"/>
      <c r="BM97" s="666"/>
      <c r="BN97" s="666"/>
      <c r="BO97" s="666"/>
      <c r="BP97" s="666"/>
      <c r="BQ97" s="666"/>
      <c r="BR97" s="666"/>
      <c r="BS97" s="666"/>
      <c r="BT97" s="666"/>
      <c r="BU97" s="666"/>
      <c r="BV97" s="666"/>
      <c r="BW97" s="666"/>
      <c r="BX97" s="666"/>
      <c r="BY97" s="666"/>
      <c r="BZ97" s="666"/>
      <c r="CA97" s="666"/>
      <c r="CB97" s="666"/>
      <c r="CC97" s="666"/>
      <c r="CD97" s="666"/>
      <c r="CE97" s="666"/>
      <c r="CF97" s="666"/>
      <c r="CG97" s="666"/>
      <c r="CH97" s="666"/>
      <c r="CI97" s="666"/>
      <c r="CJ97" s="666"/>
      <c r="CK97" s="666"/>
      <c r="CL97" s="666"/>
      <c r="CM97" s="666"/>
      <c r="CN97" s="666"/>
      <c r="CO97" s="666"/>
      <c r="CP97" s="666"/>
      <c r="CQ97" s="666"/>
      <c r="CR97" s="666"/>
      <c r="CS97" s="666"/>
      <c r="CT97" s="666"/>
      <c r="CU97" s="666"/>
      <c r="CV97" s="666"/>
      <c r="CW97" s="666"/>
      <c r="CX97" s="666"/>
      <c r="CY97" s="666"/>
      <c r="CZ97" s="666"/>
      <c r="DA97" s="666"/>
      <c r="DB97" s="666"/>
      <c r="DC97" s="666"/>
      <c r="DD97" s="666"/>
      <c r="DE97" s="666"/>
      <c r="DF97" s="666"/>
      <c r="DG97" s="666"/>
      <c r="DH97" s="666"/>
      <c r="DI97" s="666"/>
      <c r="DJ97" s="666"/>
      <c r="DK97" s="666"/>
      <c r="DL97" s="666"/>
      <c r="DM97" s="666"/>
      <c r="DN97" s="666"/>
      <c r="DO97" s="666"/>
      <c r="DP97" s="666"/>
      <c r="DQ97" s="666"/>
      <c r="DR97" s="666"/>
      <c r="DS97" s="666"/>
      <c r="DT97" s="666"/>
      <c r="DU97" s="666"/>
      <c r="DV97" s="666"/>
      <c r="DW97" s="666"/>
      <c r="DX97" s="666"/>
      <c r="DY97" s="666"/>
      <c r="DZ97" s="666"/>
      <c r="EA97" s="666"/>
      <c r="EB97" s="666"/>
      <c r="EC97" s="666"/>
      <c r="ED97" s="666"/>
      <c r="EE97" s="666"/>
      <c r="EF97" s="666"/>
      <c r="EG97" s="666"/>
      <c r="EH97" s="666"/>
      <c r="EI97" s="666"/>
      <c r="EJ97" s="666"/>
      <c r="EK97" s="666"/>
      <c r="EL97" s="666"/>
      <c r="EM97" s="666"/>
      <c r="EN97" s="666"/>
      <c r="EO97" s="666"/>
      <c r="EP97" s="666"/>
      <c r="EQ97" s="666"/>
      <c r="ER97" s="666"/>
      <c r="ES97" s="666"/>
      <c r="ET97" s="666"/>
      <c r="EU97" s="666"/>
      <c r="EV97" s="666"/>
      <c r="EW97" s="666"/>
      <c r="EX97" s="666"/>
      <c r="EY97" s="666"/>
      <c r="EZ97" s="666"/>
      <c r="FA97" s="666"/>
      <c r="FB97" s="666"/>
      <c r="FC97" s="666"/>
      <c r="FD97" s="666"/>
      <c r="FE97" s="666"/>
      <c r="FF97" s="666"/>
      <c r="FG97" s="666"/>
      <c r="FH97" s="666"/>
      <c r="FI97" s="666"/>
      <c r="FJ97" s="666"/>
      <c r="FK97" s="666"/>
      <c r="FL97" s="666"/>
      <c r="FM97" s="666"/>
      <c r="FN97" s="666"/>
      <c r="FO97" s="666"/>
      <c r="FP97" s="666"/>
      <c r="FQ97" s="666"/>
      <c r="FR97" s="666"/>
      <c r="FS97" s="666"/>
      <c r="FT97" s="666"/>
      <c r="FU97" s="666"/>
      <c r="FV97" s="666"/>
      <c r="FW97" s="666"/>
      <c r="FX97" s="666"/>
      <c r="FY97" s="666"/>
      <c r="FZ97" s="666"/>
      <c r="GA97" s="666"/>
      <c r="GB97" s="666"/>
      <c r="GC97" s="666"/>
      <c r="GD97" s="666"/>
      <c r="GE97" s="666"/>
      <c r="GF97" s="666"/>
      <c r="GG97" s="666"/>
      <c r="GH97" s="666"/>
      <c r="GI97" s="666"/>
      <c r="GJ97" s="666"/>
      <c r="GK97" s="666"/>
      <c r="GL97" s="666"/>
      <c r="GM97" s="666"/>
      <c r="GN97" s="666"/>
      <c r="GO97" s="666"/>
      <c r="GP97" s="666"/>
      <c r="GQ97" s="666"/>
      <c r="GR97" s="666"/>
      <c r="GS97" s="666"/>
      <c r="GT97" s="666"/>
      <c r="GU97" s="666"/>
      <c r="GV97" s="666"/>
      <c r="GW97" s="666"/>
      <c r="GX97" s="666"/>
      <c r="GY97" s="666"/>
      <c r="GZ97" s="666"/>
      <c r="HA97" s="666"/>
      <c r="HB97" s="666"/>
      <c r="HC97" s="666"/>
      <c r="HD97" s="666"/>
      <c r="HE97" s="666"/>
      <c r="HF97" s="666"/>
      <c r="HG97" s="666"/>
      <c r="HH97" s="666"/>
      <c r="HI97" s="666"/>
      <c r="HJ97" s="666"/>
      <c r="HK97" s="666"/>
      <c r="HL97" s="666"/>
      <c r="HM97" s="666"/>
      <c r="HN97" s="666"/>
      <c r="HO97" s="666"/>
      <c r="HP97" s="666"/>
      <c r="HQ97" s="666"/>
      <c r="HR97" s="666"/>
      <c r="HS97" s="666"/>
      <c r="HT97" s="666"/>
      <c r="HU97" s="666"/>
      <c r="HV97" s="666"/>
      <c r="HW97" s="666"/>
      <c r="HX97" s="666"/>
      <c r="HY97" s="666"/>
      <c r="HZ97" s="666"/>
      <c r="IA97" s="666"/>
      <c r="IB97" s="666"/>
      <c r="IC97" s="666"/>
      <c r="ID97" s="666"/>
      <c r="IE97" s="666"/>
      <c r="IF97" s="666"/>
      <c r="IG97" s="666"/>
      <c r="IH97" s="666"/>
      <c r="II97" s="666"/>
      <c r="IJ97" s="666"/>
      <c r="IK97" s="666"/>
      <c r="IL97" s="666"/>
      <c r="IM97" s="666"/>
      <c r="IN97" s="666"/>
      <c r="IO97" s="666"/>
      <c r="IP97" s="666"/>
      <c r="IQ97" s="666"/>
      <c r="IR97" s="666"/>
      <c r="IS97" s="666"/>
      <c r="IT97" s="666"/>
      <c r="IU97" s="666"/>
      <c r="IV97" s="666"/>
      <c r="IW97" s="666"/>
      <c r="IX97" s="666"/>
      <c r="IY97" s="666"/>
      <c r="IZ97" s="666"/>
      <c r="JA97" s="666"/>
      <c r="JB97" s="666"/>
      <c r="JC97" s="666"/>
      <c r="JD97" s="666"/>
      <c r="JE97" s="666"/>
      <c r="JF97" s="666"/>
      <c r="JG97" s="666"/>
      <c r="JH97" s="666"/>
      <c r="JI97" s="666"/>
      <c r="JJ97" s="666"/>
      <c r="JK97" s="666"/>
      <c r="JL97" s="666"/>
      <c r="JM97" s="666"/>
      <c r="JN97" s="666"/>
      <c r="JO97" s="666"/>
      <c r="JP97" s="666"/>
      <c r="JQ97" s="666"/>
      <c r="JR97" s="666"/>
      <c r="JS97" s="666"/>
      <c r="JT97" s="666"/>
      <c r="JU97" s="666"/>
      <c r="JV97" s="666"/>
      <c r="JW97" s="666"/>
      <c r="JX97" s="666"/>
      <c r="JY97" s="666"/>
      <c r="JZ97" s="666"/>
      <c r="KA97" s="666"/>
      <c r="KB97" s="666"/>
      <c r="KC97" s="666"/>
      <c r="KD97" s="666"/>
      <c r="KE97" s="666"/>
      <c r="KF97" s="666"/>
      <c r="KG97" s="666"/>
      <c r="KH97" s="666"/>
      <c r="KI97" s="666"/>
      <c r="KJ97" s="666"/>
      <c r="KK97" s="666"/>
      <c r="KL97" s="666"/>
      <c r="KM97" s="666"/>
      <c r="KN97" s="666"/>
      <c r="KO97" s="666"/>
      <c r="KP97" s="666"/>
      <c r="KQ97" s="666"/>
      <c r="KR97" s="666"/>
      <c r="KS97" s="666"/>
      <c r="KT97" s="666"/>
      <c r="KU97" s="666"/>
      <c r="KV97" s="666"/>
      <c r="KW97" s="666"/>
      <c r="KX97" s="666"/>
      <c r="KY97" s="666"/>
      <c r="KZ97" s="666"/>
      <c r="LA97" s="666"/>
      <c r="LB97" s="666"/>
      <c r="LC97" s="666"/>
      <c r="LD97" s="666"/>
      <c r="LE97" s="666"/>
      <c r="LF97" s="666"/>
      <c r="LG97" s="666"/>
      <c r="LH97" s="666"/>
      <c r="LI97" s="666"/>
      <c r="LJ97" s="666"/>
      <c r="LK97" s="666"/>
      <c r="LL97" s="666"/>
      <c r="LM97" s="666"/>
      <c r="LN97" s="666"/>
      <c r="LO97" s="666"/>
      <c r="LP97" s="666"/>
      <c r="LQ97" s="666"/>
      <c r="LR97" s="666"/>
      <c r="LS97" s="666"/>
      <c r="LT97" s="666"/>
      <c r="LU97" s="666"/>
      <c r="LV97" s="666"/>
      <c r="LW97" s="666"/>
      <c r="LX97" s="666"/>
      <c r="LY97" s="666"/>
      <c r="LZ97" s="666"/>
      <c r="MA97" s="666"/>
      <c r="MB97" s="666"/>
      <c r="MC97" s="666"/>
      <c r="MD97" s="666"/>
      <c r="ME97" s="666"/>
      <c r="MF97" s="666"/>
      <c r="MG97" s="666"/>
      <c r="MH97" s="666"/>
      <c r="MI97" s="666"/>
      <c r="MJ97" s="666"/>
      <c r="MK97" s="666"/>
      <c r="ML97" s="666"/>
      <c r="MM97" s="666"/>
      <c r="MN97" s="666"/>
      <c r="MO97" s="666"/>
      <c r="MP97" s="666"/>
      <c r="MQ97" s="666"/>
      <c r="MR97" s="666"/>
      <c r="MS97" s="666"/>
      <c r="MT97" s="666"/>
    </row>
    <row r="98" spans="1:358" ht="15.6">
      <c r="A98" s="579"/>
      <c r="B98" s="50"/>
      <c r="C98" s="9"/>
      <c r="D98" s="9"/>
      <c r="E98" s="9"/>
      <c r="F98" s="9"/>
      <c r="G98" s="13"/>
      <c r="H98" s="589"/>
      <c r="I98" s="50"/>
      <c r="J98" s="50"/>
      <c r="K98" s="58"/>
      <c r="L98" s="9"/>
      <c r="M98" s="9"/>
      <c r="N98" s="9"/>
      <c r="O98" s="9"/>
      <c r="P98" s="141"/>
      <c r="Z98" s="323"/>
      <c r="AA98" s="309"/>
      <c r="AB98" s="230"/>
      <c r="AE98" s="323"/>
      <c r="AG98" s="323"/>
      <c r="AN98" s="309"/>
      <c r="AO98" s="230"/>
    </row>
    <row r="99" spans="1:358" s="163" customFormat="1" ht="3.75" customHeight="1">
      <c r="A99" s="574"/>
      <c r="B99" s="13"/>
      <c r="C99" s="13"/>
      <c r="D99" s="13"/>
      <c r="E99" s="13"/>
      <c r="F99" s="13"/>
      <c r="G99" s="13"/>
      <c r="H99" s="583"/>
      <c r="I99" s="13"/>
      <c r="J99" s="13"/>
      <c r="K99" s="515"/>
      <c r="L99" s="13"/>
      <c r="M99" s="13"/>
      <c r="N99" s="13"/>
      <c r="O99" s="13"/>
      <c r="P99" s="519"/>
      <c r="Q99" s="516"/>
      <c r="R99" s="517"/>
      <c r="S99" s="516"/>
      <c r="T99" s="517"/>
      <c r="U99" s="516"/>
      <c r="V99" s="517"/>
      <c r="W99" s="516"/>
      <c r="X99" s="517"/>
      <c r="Y99" s="516"/>
      <c r="Z99" s="518"/>
      <c r="AA99" s="520"/>
      <c r="AB99" s="521"/>
      <c r="AD99" s="516"/>
      <c r="AE99" s="518"/>
      <c r="AF99" s="516"/>
      <c r="AG99" s="518"/>
      <c r="AH99" s="516"/>
      <c r="AI99" s="517"/>
      <c r="AJ99" s="516"/>
      <c r="AK99" s="517"/>
      <c r="AL99" s="516"/>
      <c r="AM99" s="517"/>
      <c r="AN99" s="520"/>
      <c r="AO99" s="521"/>
      <c r="AQ99" s="538"/>
      <c r="AR99" s="538"/>
      <c r="AS99" s="538"/>
      <c r="AT99" s="538"/>
    </row>
    <row r="100" spans="1:358" s="158" customFormat="1" ht="15.6">
      <c r="A100" s="605">
        <v>33</v>
      </c>
      <c r="B100" s="409">
        <v>42</v>
      </c>
      <c r="C100" s="409" t="s">
        <v>647</v>
      </c>
      <c r="D100" s="409"/>
      <c r="E100" s="409" t="s">
        <v>650</v>
      </c>
      <c r="F100" s="409"/>
      <c r="G100" s="632"/>
      <c r="H100" s="663" t="s">
        <v>963</v>
      </c>
      <c r="I100" s="409"/>
      <c r="J100" s="409"/>
      <c r="K100" s="556"/>
      <c r="L100" s="409"/>
      <c r="M100" s="409"/>
      <c r="N100" s="409"/>
      <c r="O100" s="409"/>
      <c r="P100" s="557"/>
      <c r="Q100" s="437">
        <v>230168</v>
      </c>
      <c r="R100" s="458">
        <v>13397.26</v>
      </c>
      <c r="S100" s="842">
        <v>229973</v>
      </c>
      <c r="T100" s="844">
        <v>1229.9000000000001</v>
      </c>
      <c r="U100" s="435"/>
      <c r="V100" s="463"/>
      <c r="W100" s="454"/>
      <c r="X100" s="536"/>
      <c r="Y100" s="439">
        <v>230168</v>
      </c>
      <c r="Z100" s="440">
        <v>9586.9</v>
      </c>
      <c r="AA100" s="464">
        <f>Q100</f>
        <v>230168</v>
      </c>
      <c r="AB100" s="465">
        <f>Z100+V100+T100+R100</f>
        <v>24214.059999999998</v>
      </c>
      <c r="AC100" s="666"/>
      <c r="AD100" s="439"/>
      <c r="AE100" s="627"/>
      <c r="AF100" s="439"/>
      <c r="AG100" s="627"/>
      <c r="AH100" s="435"/>
      <c r="AI100" s="463"/>
      <c r="AJ100" s="433"/>
      <c r="AK100" s="490"/>
      <c r="AL100" s="433"/>
      <c r="AM100" s="490"/>
      <c r="AN100" s="464"/>
      <c r="AO100" s="465">
        <f>AM100+AK100+AI100+AE100</f>
        <v>0</v>
      </c>
      <c r="AP100" s="666"/>
      <c r="AQ100" s="439"/>
      <c r="AR100" s="534"/>
      <c r="AS100" s="671"/>
      <c r="AT100" s="672"/>
      <c r="AU100" s="666"/>
      <c r="AV100" s="666"/>
      <c r="AW100" s="666"/>
      <c r="AX100" s="666"/>
      <c r="AY100" s="666"/>
      <c r="AZ100" s="666"/>
      <c r="BA100" s="666"/>
      <c r="BB100" s="666"/>
      <c r="BC100" s="666"/>
      <c r="BD100" s="666"/>
      <c r="BE100" s="666"/>
      <c r="BF100" s="666"/>
      <c r="BG100" s="666"/>
      <c r="BH100" s="666"/>
      <c r="BI100" s="666"/>
      <c r="BJ100" s="666"/>
      <c r="BK100" s="666"/>
      <c r="BL100" s="666"/>
      <c r="BM100" s="666"/>
      <c r="BN100" s="666"/>
      <c r="BO100" s="666"/>
      <c r="BP100" s="666"/>
      <c r="BQ100" s="666"/>
      <c r="BR100" s="666"/>
      <c r="BS100" s="666"/>
      <c r="BT100" s="666"/>
      <c r="BU100" s="666"/>
      <c r="BV100" s="666"/>
      <c r="BW100" s="666"/>
      <c r="BX100" s="666"/>
      <c r="BY100" s="666"/>
      <c r="BZ100" s="666"/>
      <c r="CA100" s="666"/>
      <c r="CB100" s="666"/>
      <c r="CC100" s="666"/>
      <c r="CD100" s="666"/>
      <c r="CE100" s="666"/>
      <c r="CF100" s="666"/>
      <c r="CG100" s="666"/>
      <c r="CH100" s="666"/>
      <c r="CI100" s="666"/>
      <c r="CJ100" s="666"/>
      <c r="CK100" s="666"/>
      <c r="CL100" s="666"/>
      <c r="CM100" s="666"/>
      <c r="CN100" s="666"/>
      <c r="CO100" s="666"/>
      <c r="CP100" s="666"/>
      <c r="CQ100" s="666"/>
      <c r="CR100" s="666"/>
      <c r="CS100" s="666"/>
      <c r="CT100" s="666"/>
      <c r="CU100" s="666"/>
      <c r="CV100" s="666"/>
      <c r="CW100" s="666"/>
      <c r="CX100" s="666"/>
      <c r="CY100" s="666"/>
      <c r="CZ100" s="666"/>
      <c r="DA100" s="666"/>
      <c r="DB100" s="666"/>
      <c r="DC100" s="666"/>
      <c r="DD100" s="666"/>
      <c r="DE100" s="666"/>
      <c r="DF100" s="666"/>
      <c r="DG100" s="666"/>
      <c r="DH100" s="666"/>
      <c r="DI100" s="666"/>
      <c r="DJ100" s="666"/>
      <c r="DK100" s="666"/>
      <c r="DL100" s="666"/>
      <c r="DM100" s="666"/>
      <c r="DN100" s="666"/>
      <c r="DO100" s="666"/>
      <c r="DP100" s="666"/>
      <c r="DQ100" s="666"/>
      <c r="DR100" s="666"/>
      <c r="DS100" s="666"/>
      <c r="DT100" s="666"/>
      <c r="DU100" s="666"/>
      <c r="DV100" s="666"/>
      <c r="DW100" s="666"/>
      <c r="DX100" s="666"/>
      <c r="DY100" s="666"/>
      <c r="DZ100" s="666"/>
      <c r="EA100" s="666"/>
      <c r="EB100" s="666"/>
      <c r="EC100" s="666"/>
      <c r="ED100" s="666"/>
      <c r="EE100" s="666"/>
      <c r="EF100" s="666"/>
      <c r="EG100" s="666"/>
      <c r="EH100" s="666"/>
      <c r="EI100" s="666"/>
      <c r="EJ100" s="666"/>
      <c r="EK100" s="666"/>
      <c r="EL100" s="666"/>
      <c r="EM100" s="666"/>
      <c r="EN100" s="666"/>
      <c r="EO100" s="666"/>
      <c r="EP100" s="666"/>
      <c r="EQ100" s="666"/>
      <c r="ER100" s="666"/>
      <c r="ES100" s="666"/>
      <c r="ET100" s="666"/>
      <c r="EU100" s="666"/>
      <c r="EV100" s="666"/>
      <c r="EW100" s="666"/>
      <c r="EX100" s="666"/>
      <c r="EY100" s="666"/>
      <c r="EZ100" s="666"/>
      <c r="FA100" s="666"/>
      <c r="FB100" s="666"/>
      <c r="FC100" s="666"/>
      <c r="FD100" s="666"/>
      <c r="FE100" s="666"/>
      <c r="FF100" s="666"/>
      <c r="FG100" s="666"/>
      <c r="FH100" s="666"/>
      <c r="FI100" s="666"/>
      <c r="FJ100" s="666"/>
      <c r="FK100" s="666"/>
      <c r="FL100" s="666"/>
      <c r="FM100" s="666"/>
      <c r="FN100" s="666"/>
      <c r="FO100" s="666"/>
      <c r="FP100" s="666"/>
      <c r="FQ100" s="666"/>
      <c r="FR100" s="666"/>
      <c r="FS100" s="666"/>
      <c r="FT100" s="666"/>
      <c r="FU100" s="666"/>
      <c r="FV100" s="666"/>
      <c r="FW100" s="666"/>
      <c r="FX100" s="666"/>
      <c r="FY100" s="666"/>
      <c r="FZ100" s="666"/>
      <c r="GA100" s="666"/>
      <c r="GB100" s="666"/>
      <c r="GC100" s="666"/>
      <c r="GD100" s="666"/>
      <c r="GE100" s="666"/>
      <c r="GF100" s="666"/>
      <c r="GG100" s="666"/>
      <c r="GH100" s="666"/>
      <c r="GI100" s="666"/>
      <c r="GJ100" s="666"/>
      <c r="GK100" s="666"/>
      <c r="GL100" s="666"/>
      <c r="GM100" s="666"/>
      <c r="GN100" s="666"/>
      <c r="GO100" s="666"/>
      <c r="GP100" s="666"/>
      <c r="GQ100" s="666"/>
      <c r="GR100" s="666"/>
      <c r="GS100" s="666"/>
      <c r="GT100" s="666"/>
      <c r="GU100" s="666"/>
      <c r="GV100" s="666"/>
      <c r="GW100" s="666"/>
      <c r="GX100" s="666"/>
      <c r="GY100" s="666"/>
      <c r="GZ100" s="666"/>
      <c r="HA100" s="666"/>
      <c r="HB100" s="666"/>
      <c r="HC100" s="666"/>
      <c r="HD100" s="666"/>
      <c r="HE100" s="666"/>
      <c r="HF100" s="666"/>
      <c r="HG100" s="666"/>
      <c r="HH100" s="666"/>
      <c r="HI100" s="666"/>
      <c r="HJ100" s="666"/>
      <c r="HK100" s="666"/>
      <c r="HL100" s="666"/>
      <c r="HM100" s="666"/>
      <c r="HN100" s="666"/>
      <c r="HO100" s="666"/>
      <c r="HP100" s="666"/>
      <c r="HQ100" s="666"/>
      <c r="HR100" s="666"/>
      <c r="HS100" s="666"/>
      <c r="HT100" s="666"/>
      <c r="HU100" s="666"/>
      <c r="HV100" s="666"/>
      <c r="HW100" s="666"/>
      <c r="HX100" s="666"/>
      <c r="HY100" s="666"/>
      <c r="HZ100" s="666"/>
      <c r="IA100" s="666"/>
      <c r="IB100" s="666"/>
      <c r="IC100" s="666"/>
      <c r="ID100" s="666"/>
      <c r="IE100" s="666"/>
      <c r="IF100" s="666"/>
      <c r="IG100" s="666"/>
      <c r="IH100" s="666"/>
      <c r="II100" s="666"/>
      <c r="IJ100" s="666"/>
      <c r="IK100" s="666"/>
      <c r="IL100" s="666"/>
      <c r="IM100" s="666"/>
      <c r="IN100" s="666"/>
      <c r="IO100" s="666"/>
      <c r="IP100" s="666"/>
      <c r="IQ100" s="666"/>
      <c r="IR100" s="666"/>
      <c r="IS100" s="666"/>
      <c r="IT100" s="666"/>
      <c r="IU100" s="666"/>
      <c r="IV100" s="666"/>
      <c r="IW100" s="666"/>
      <c r="IX100" s="666"/>
      <c r="IY100" s="666"/>
      <c r="IZ100" s="666"/>
      <c r="JA100" s="666"/>
      <c r="JB100" s="666"/>
      <c r="JC100" s="666"/>
      <c r="JD100" s="666"/>
      <c r="JE100" s="666"/>
      <c r="JF100" s="666"/>
      <c r="JG100" s="666"/>
      <c r="JH100" s="666"/>
      <c r="JI100" s="666"/>
      <c r="JJ100" s="666"/>
      <c r="JK100" s="666"/>
      <c r="JL100" s="666"/>
      <c r="JM100" s="666"/>
      <c r="JN100" s="666"/>
      <c r="JO100" s="666"/>
      <c r="JP100" s="666"/>
      <c r="JQ100" s="666"/>
      <c r="JR100" s="666"/>
      <c r="JS100" s="666"/>
      <c r="JT100" s="666"/>
      <c r="JU100" s="666"/>
      <c r="JV100" s="666"/>
      <c r="JW100" s="666"/>
      <c r="JX100" s="666"/>
      <c r="JY100" s="666"/>
      <c r="JZ100" s="666"/>
      <c r="KA100" s="666"/>
      <c r="KB100" s="666"/>
      <c r="KC100" s="666"/>
      <c r="KD100" s="666"/>
      <c r="KE100" s="666"/>
      <c r="KF100" s="666"/>
      <c r="KG100" s="666"/>
      <c r="KH100" s="666"/>
      <c r="KI100" s="666"/>
      <c r="KJ100" s="666"/>
      <c r="KK100" s="666"/>
      <c r="KL100" s="666"/>
      <c r="KM100" s="666"/>
      <c r="KN100" s="666"/>
      <c r="KO100" s="666"/>
      <c r="KP100" s="666"/>
      <c r="KQ100" s="666"/>
      <c r="KR100" s="666"/>
      <c r="KS100" s="666"/>
      <c r="KT100" s="666"/>
      <c r="KU100" s="666"/>
      <c r="KV100" s="666"/>
      <c r="KW100" s="666"/>
      <c r="KX100" s="666"/>
      <c r="KY100" s="666"/>
      <c r="KZ100" s="666"/>
      <c r="LA100" s="666"/>
      <c r="LB100" s="666"/>
      <c r="LC100" s="666"/>
      <c r="LD100" s="666"/>
      <c r="LE100" s="666"/>
      <c r="LF100" s="666"/>
      <c r="LG100" s="666"/>
      <c r="LH100" s="666"/>
      <c r="LI100" s="666"/>
      <c r="LJ100" s="666"/>
      <c r="LK100" s="666"/>
      <c r="LL100" s="666"/>
      <c r="LM100" s="666"/>
      <c r="LN100" s="666"/>
      <c r="LO100" s="666"/>
      <c r="LP100" s="666"/>
      <c r="LQ100" s="666"/>
      <c r="LR100" s="666"/>
      <c r="LS100" s="666"/>
      <c r="LT100" s="666"/>
      <c r="LU100" s="666"/>
      <c r="LV100" s="666"/>
      <c r="LW100" s="666"/>
      <c r="LX100" s="666"/>
      <c r="LY100" s="666"/>
      <c r="LZ100" s="666"/>
      <c r="MA100" s="666"/>
      <c r="MB100" s="666"/>
      <c r="MC100" s="666"/>
      <c r="MD100" s="666"/>
      <c r="ME100" s="666"/>
      <c r="MF100" s="666"/>
      <c r="MG100" s="666"/>
      <c r="MH100" s="666"/>
      <c r="MI100" s="666"/>
      <c r="MJ100" s="666"/>
      <c r="MK100" s="666"/>
      <c r="ML100" s="666"/>
      <c r="MM100" s="666"/>
      <c r="MN100" s="666"/>
      <c r="MO100" s="666"/>
      <c r="MP100" s="666"/>
      <c r="MQ100" s="666"/>
      <c r="MR100" s="666"/>
      <c r="MS100" s="666"/>
      <c r="MT100" s="666"/>
    </row>
    <row r="101" spans="1:358" ht="15.6">
      <c r="A101" s="579"/>
      <c r="B101" s="50"/>
      <c r="C101" s="9"/>
      <c r="D101" s="9"/>
      <c r="E101" s="9"/>
      <c r="F101" s="9"/>
      <c r="G101" s="13"/>
      <c r="H101" s="589"/>
      <c r="I101" s="50"/>
      <c r="J101" s="50"/>
      <c r="K101" s="58"/>
      <c r="L101" s="9"/>
      <c r="M101" s="9"/>
      <c r="N101" s="9"/>
      <c r="O101" s="9"/>
      <c r="P101" s="141"/>
      <c r="Z101" s="323"/>
      <c r="AA101" s="309"/>
      <c r="AB101" s="230"/>
      <c r="AE101" s="323"/>
      <c r="AG101" s="323"/>
      <c r="AN101" s="309"/>
      <c r="AO101" s="230"/>
    </row>
    <row r="102" spans="1:358" s="163" customFormat="1" ht="3.75" customHeight="1">
      <c r="A102" s="574"/>
      <c r="B102" s="13"/>
      <c r="C102" s="13"/>
      <c r="D102" s="13"/>
      <c r="E102" s="13"/>
      <c r="F102" s="13"/>
      <c r="G102" s="13"/>
      <c r="H102" s="583"/>
      <c r="I102" s="13"/>
      <c r="J102" s="13"/>
      <c r="K102" s="515"/>
      <c r="L102" s="13"/>
      <c r="M102" s="13"/>
      <c r="N102" s="13"/>
      <c r="O102" s="13"/>
      <c r="P102" s="519"/>
      <c r="Q102" s="516"/>
      <c r="R102" s="517"/>
      <c r="S102" s="516"/>
      <c r="T102" s="517"/>
      <c r="U102" s="516"/>
      <c r="V102" s="517"/>
      <c r="W102" s="516"/>
      <c r="X102" s="517"/>
      <c r="Y102" s="516"/>
      <c r="Z102" s="518"/>
      <c r="AA102" s="520"/>
      <c r="AB102" s="521"/>
      <c r="AD102" s="516"/>
      <c r="AE102" s="518"/>
      <c r="AF102" s="516"/>
      <c r="AG102" s="518"/>
      <c r="AH102" s="516"/>
      <c r="AI102" s="517"/>
      <c r="AJ102" s="516"/>
      <c r="AK102" s="517"/>
      <c r="AL102" s="516"/>
      <c r="AM102" s="517"/>
      <c r="AN102" s="520"/>
      <c r="AO102" s="521"/>
      <c r="AQ102" s="538"/>
      <c r="AR102" s="538"/>
      <c r="AS102" s="538"/>
      <c r="AT102" s="538"/>
    </row>
    <row r="103" spans="1:358" s="158" customFormat="1" ht="15.6">
      <c r="A103" s="605">
        <v>34</v>
      </c>
      <c r="B103" s="409">
        <v>45</v>
      </c>
      <c r="C103" s="409" t="s">
        <v>649</v>
      </c>
      <c r="D103" s="409"/>
      <c r="E103" s="409" t="s">
        <v>650</v>
      </c>
      <c r="F103" s="409"/>
      <c r="G103" s="632"/>
      <c r="H103" s="663" t="s">
        <v>964</v>
      </c>
      <c r="I103" s="409"/>
      <c r="J103" s="409"/>
      <c r="K103" s="556"/>
      <c r="L103" s="409"/>
      <c r="M103" s="409"/>
      <c r="N103" s="409"/>
      <c r="O103" s="409"/>
      <c r="P103" s="557"/>
      <c r="Q103" s="840">
        <v>230180</v>
      </c>
      <c r="R103" s="845">
        <v>13551.3</v>
      </c>
      <c r="S103" s="842">
        <v>230010</v>
      </c>
      <c r="T103" s="844">
        <v>2511.7199999999998</v>
      </c>
      <c r="U103" s="435"/>
      <c r="V103" s="463"/>
      <c r="W103" s="454"/>
      <c r="X103" s="536"/>
      <c r="Y103" s="439">
        <v>230180</v>
      </c>
      <c r="Z103" s="510">
        <v>9568.07</v>
      </c>
      <c r="AA103" s="464">
        <f>Q103</f>
        <v>230180</v>
      </c>
      <c r="AB103" s="465">
        <f>T103+R103+Z103</f>
        <v>25631.089999999997</v>
      </c>
      <c r="AC103" s="666"/>
      <c r="AD103" s="439"/>
      <c r="AE103" s="627"/>
      <c r="AF103" s="439"/>
      <c r="AG103" s="627"/>
      <c r="AH103" s="435"/>
      <c r="AI103" s="463"/>
      <c r="AJ103" s="433"/>
      <c r="AK103" s="490"/>
      <c r="AL103" s="433"/>
      <c r="AM103" s="490"/>
      <c r="AN103" s="464"/>
      <c r="AO103" s="465">
        <v>9568.07</v>
      </c>
      <c r="AP103" s="666"/>
      <c r="AQ103" s="439"/>
      <c r="AR103" s="534"/>
      <c r="AS103" s="671"/>
      <c r="AT103" s="672"/>
      <c r="AU103" s="666"/>
      <c r="AV103" s="666"/>
      <c r="AW103" s="666"/>
      <c r="AX103" s="666"/>
      <c r="AY103" s="666"/>
      <c r="AZ103" s="666"/>
      <c r="BA103" s="666"/>
      <c r="BB103" s="666"/>
      <c r="BC103" s="666"/>
      <c r="BD103" s="666"/>
      <c r="BE103" s="666"/>
      <c r="BF103" s="666"/>
      <c r="BG103" s="666"/>
      <c r="BH103" s="666"/>
      <c r="BI103" s="666"/>
      <c r="BJ103" s="666"/>
      <c r="BK103" s="666"/>
      <c r="BL103" s="666"/>
      <c r="BM103" s="666"/>
      <c r="BN103" s="666"/>
      <c r="BO103" s="666"/>
      <c r="BP103" s="666"/>
      <c r="BQ103" s="666"/>
      <c r="BR103" s="666"/>
      <c r="BS103" s="666"/>
      <c r="BT103" s="666"/>
      <c r="BU103" s="666"/>
      <c r="BV103" s="666"/>
      <c r="BW103" s="666"/>
      <c r="BX103" s="666"/>
      <c r="BY103" s="666"/>
      <c r="BZ103" s="666"/>
      <c r="CA103" s="666"/>
      <c r="CB103" s="666"/>
      <c r="CC103" s="666"/>
      <c r="CD103" s="666"/>
      <c r="CE103" s="666"/>
      <c r="CF103" s="666"/>
      <c r="CG103" s="666"/>
      <c r="CH103" s="666"/>
      <c r="CI103" s="666"/>
      <c r="CJ103" s="666"/>
      <c r="CK103" s="666"/>
      <c r="CL103" s="666"/>
      <c r="CM103" s="666"/>
      <c r="CN103" s="666"/>
      <c r="CO103" s="666"/>
      <c r="CP103" s="666"/>
      <c r="CQ103" s="666"/>
      <c r="CR103" s="666"/>
      <c r="CS103" s="666"/>
      <c r="CT103" s="666"/>
      <c r="CU103" s="666"/>
      <c r="CV103" s="666"/>
      <c r="CW103" s="666"/>
      <c r="CX103" s="666"/>
      <c r="CY103" s="666"/>
      <c r="CZ103" s="666"/>
      <c r="DA103" s="666"/>
      <c r="DB103" s="666"/>
      <c r="DC103" s="666"/>
      <c r="DD103" s="666"/>
      <c r="DE103" s="666"/>
      <c r="DF103" s="666"/>
      <c r="DG103" s="666"/>
      <c r="DH103" s="666"/>
      <c r="DI103" s="666"/>
      <c r="DJ103" s="666"/>
      <c r="DK103" s="666"/>
      <c r="DL103" s="666"/>
      <c r="DM103" s="666"/>
      <c r="DN103" s="666"/>
      <c r="DO103" s="666"/>
      <c r="DP103" s="666"/>
      <c r="DQ103" s="666"/>
      <c r="DR103" s="666"/>
      <c r="DS103" s="666"/>
      <c r="DT103" s="666"/>
      <c r="DU103" s="666"/>
      <c r="DV103" s="666"/>
      <c r="DW103" s="666"/>
      <c r="DX103" s="666"/>
      <c r="DY103" s="666"/>
      <c r="DZ103" s="666"/>
      <c r="EA103" s="666"/>
      <c r="EB103" s="666"/>
      <c r="EC103" s="666"/>
      <c r="ED103" s="666"/>
      <c r="EE103" s="666"/>
      <c r="EF103" s="666"/>
      <c r="EG103" s="666"/>
      <c r="EH103" s="666"/>
      <c r="EI103" s="666"/>
      <c r="EJ103" s="666"/>
      <c r="EK103" s="666"/>
      <c r="EL103" s="666"/>
      <c r="EM103" s="666"/>
      <c r="EN103" s="666"/>
      <c r="EO103" s="666"/>
      <c r="EP103" s="666"/>
      <c r="EQ103" s="666"/>
      <c r="ER103" s="666"/>
      <c r="ES103" s="666"/>
      <c r="ET103" s="666"/>
      <c r="EU103" s="666"/>
      <c r="EV103" s="666"/>
      <c r="EW103" s="666"/>
      <c r="EX103" s="666"/>
      <c r="EY103" s="666"/>
      <c r="EZ103" s="666"/>
      <c r="FA103" s="666"/>
      <c r="FB103" s="666"/>
      <c r="FC103" s="666"/>
      <c r="FD103" s="666"/>
      <c r="FE103" s="666"/>
      <c r="FF103" s="666"/>
      <c r="FG103" s="666"/>
      <c r="FH103" s="666"/>
      <c r="FI103" s="666"/>
      <c r="FJ103" s="666"/>
      <c r="FK103" s="666"/>
      <c r="FL103" s="666"/>
      <c r="FM103" s="666"/>
      <c r="FN103" s="666"/>
      <c r="FO103" s="666"/>
      <c r="FP103" s="666"/>
      <c r="FQ103" s="666"/>
      <c r="FR103" s="666"/>
      <c r="FS103" s="666"/>
      <c r="FT103" s="666"/>
      <c r="FU103" s="666"/>
      <c r="FV103" s="666"/>
      <c r="FW103" s="666"/>
      <c r="FX103" s="666"/>
      <c r="FY103" s="666"/>
      <c r="FZ103" s="666"/>
      <c r="GA103" s="666"/>
      <c r="GB103" s="666"/>
      <c r="GC103" s="666"/>
      <c r="GD103" s="666"/>
      <c r="GE103" s="666"/>
      <c r="GF103" s="666"/>
      <c r="GG103" s="666"/>
      <c r="GH103" s="666"/>
      <c r="GI103" s="666"/>
      <c r="GJ103" s="666"/>
      <c r="GK103" s="666"/>
      <c r="GL103" s="666"/>
      <c r="GM103" s="666"/>
      <c r="GN103" s="666"/>
      <c r="GO103" s="666"/>
      <c r="GP103" s="666"/>
      <c r="GQ103" s="666"/>
      <c r="GR103" s="666"/>
      <c r="GS103" s="666"/>
      <c r="GT103" s="666"/>
      <c r="GU103" s="666"/>
      <c r="GV103" s="666"/>
      <c r="GW103" s="666"/>
      <c r="GX103" s="666"/>
      <c r="GY103" s="666"/>
      <c r="GZ103" s="666"/>
      <c r="HA103" s="666"/>
      <c r="HB103" s="666"/>
      <c r="HC103" s="666"/>
      <c r="HD103" s="666"/>
      <c r="HE103" s="666"/>
      <c r="HF103" s="666"/>
      <c r="HG103" s="666"/>
      <c r="HH103" s="666"/>
      <c r="HI103" s="666"/>
      <c r="HJ103" s="666"/>
      <c r="HK103" s="666"/>
      <c r="HL103" s="666"/>
      <c r="HM103" s="666"/>
      <c r="HN103" s="666"/>
      <c r="HO103" s="666"/>
      <c r="HP103" s="666"/>
      <c r="HQ103" s="666"/>
      <c r="HR103" s="666"/>
      <c r="HS103" s="666"/>
      <c r="HT103" s="666"/>
      <c r="HU103" s="666"/>
      <c r="HV103" s="666"/>
      <c r="HW103" s="666"/>
      <c r="HX103" s="666"/>
      <c r="HY103" s="666"/>
      <c r="HZ103" s="666"/>
      <c r="IA103" s="666"/>
      <c r="IB103" s="666"/>
      <c r="IC103" s="666"/>
      <c r="ID103" s="666"/>
      <c r="IE103" s="666"/>
      <c r="IF103" s="666"/>
      <c r="IG103" s="666"/>
      <c r="IH103" s="666"/>
      <c r="II103" s="666"/>
      <c r="IJ103" s="666"/>
      <c r="IK103" s="666"/>
      <c r="IL103" s="666"/>
      <c r="IM103" s="666"/>
      <c r="IN103" s="666"/>
      <c r="IO103" s="666"/>
      <c r="IP103" s="666"/>
      <c r="IQ103" s="666"/>
      <c r="IR103" s="666"/>
      <c r="IS103" s="666"/>
      <c r="IT103" s="666"/>
      <c r="IU103" s="666"/>
      <c r="IV103" s="666"/>
      <c r="IW103" s="666"/>
      <c r="IX103" s="666"/>
      <c r="IY103" s="666"/>
      <c r="IZ103" s="666"/>
      <c r="JA103" s="666"/>
      <c r="JB103" s="666"/>
      <c r="JC103" s="666"/>
      <c r="JD103" s="666"/>
      <c r="JE103" s="666"/>
      <c r="JF103" s="666"/>
      <c r="JG103" s="666"/>
      <c r="JH103" s="666"/>
      <c r="JI103" s="666"/>
      <c r="JJ103" s="666"/>
      <c r="JK103" s="666"/>
      <c r="JL103" s="666"/>
      <c r="JM103" s="666"/>
      <c r="JN103" s="666"/>
      <c r="JO103" s="666"/>
      <c r="JP103" s="666"/>
      <c r="JQ103" s="666"/>
      <c r="JR103" s="666"/>
      <c r="JS103" s="666"/>
      <c r="JT103" s="666"/>
      <c r="JU103" s="666"/>
      <c r="JV103" s="666"/>
      <c r="JW103" s="666"/>
      <c r="JX103" s="666"/>
      <c r="JY103" s="666"/>
      <c r="JZ103" s="666"/>
      <c r="KA103" s="666"/>
      <c r="KB103" s="666"/>
      <c r="KC103" s="666"/>
      <c r="KD103" s="666"/>
      <c r="KE103" s="666"/>
      <c r="KF103" s="666"/>
      <c r="KG103" s="666"/>
      <c r="KH103" s="666"/>
      <c r="KI103" s="666"/>
      <c r="KJ103" s="666"/>
      <c r="KK103" s="666"/>
      <c r="KL103" s="666"/>
      <c r="KM103" s="666"/>
      <c r="KN103" s="666"/>
      <c r="KO103" s="666"/>
      <c r="KP103" s="666"/>
      <c r="KQ103" s="666"/>
      <c r="KR103" s="666"/>
      <c r="KS103" s="666"/>
      <c r="KT103" s="666"/>
      <c r="KU103" s="666"/>
      <c r="KV103" s="666"/>
      <c r="KW103" s="666"/>
      <c r="KX103" s="666"/>
      <c r="KY103" s="666"/>
      <c r="KZ103" s="666"/>
      <c r="LA103" s="666"/>
      <c r="LB103" s="666"/>
      <c r="LC103" s="666"/>
      <c r="LD103" s="666"/>
      <c r="LE103" s="666"/>
      <c r="LF103" s="666"/>
      <c r="LG103" s="666"/>
      <c r="LH103" s="666"/>
      <c r="LI103" s="666"/>
      <c r="LJ103" s="666"/>
      <c r="LK103" s="666"/>
      <c r="LL103" s="666"/>
      <c r="LM103" s="666"/>
      <c r="LN103" s="666"/>
      <c r="LO103" s="666"/>
      <c r="LP103" s="666"/>
      <c r="LQ103" s="666"/>
      <c r="LR103" s="666"/>
      <c r="LS103" s="666"/>
      <c r="LT103" s="666"/>
      <c r="LU103" s="666"/>
      <c r="LV103" s="666"/>
      <c r="LW103" s="666"/>
      <c r="LX103" s="666"/>
      <c r="LY103" s="666"/>
      <c r="LZ103" s="666"/>
      <c r="MA103" s="666"/>
      <c r="MB103" s="666"/>
      <c r="MC103" s="666"/>
      <c r="MD103" s="666"/>
      <c r="ME103" s="666"/>
      <c r="MF103" s="666"/>
      <c r="MG103" s="666"/>
      <c r="MH103" s="666"/>
      <c r="MI103" s="666"/>
      <c r="MJ103" s="666"/>
      <c r="MK103" s="666"/>
      <c r="ML103" s="666"/>
      <c r="MM103" s="666"/>
      <c r="MN103" s="666"/>
      <c r="MO103" s="666"/>
      <c r="MP103" s="666"/>
      <c r="MQ103" s="666"/>
      <c r="MR103" s="666"/>
      <c r="MS103" s="666"/>
      <c r="MT103" s="666"/>
    </row>
    <row r="104" spans="1:358" ht="15.6">
      <c r="A104" s="579"/>
      <c r="B104" s="50"/>
      <c r="C104" s="9"/>
      <c r="D104" s="9"/>
      <c r="E104" s="9"/>
      <c r="F104" s="9"/>
      <c r="G104" s="13"/>
      <c r="H104" s="589"/>
      <c r="I104" s="50"/>
      <c r="J104" s="50"/>
      <c r="K104" s="58"/>
      <c r="L104" s="9"/>
      <c r="M104" s="9"/>
      <c r="N104" s="9"/>
      <c r="O104" s="9"/>
      <c r="P104" s="141"/>
      <c r="Z104" s="323"/>
      <c r="AA104" s="309"/>
      <c r="AB104" s="230"/>
      <c r="AE104" s="323"/>
      <c r="AG104" s="323"/>
      <c r="AN104" s="309"/>
      <c r="AO104" s="230"/>
    </row>
    <row r="105" spans="1:358" s="163" customFormat="1" ht="3.75" customHeight="1">
      <c r="A105" s="574"/>
      <c r="B105" s="13"/>
      <c r="C105" s="13"/>
      <c r="D105" s="13"/>
      <c r="E105" s="13"/>
      <c r="F105" s="13"/>
      <c r="G105" s="13"/>
      <c r="H105" s="583"/>
      <c r="I105" s="13"/>
      <c r="J105" s="13"/>
      <c r="K105" s="515"/>
      <c r="L105" s="13"/>
      <c r="M105" s="13"/>
      <c r="N105" s="13"/>
      <c r="O105" s="13"/>
      <c r="P105" s="519"/>
      <c r="Q105" s="516"/>
      <c r="R105" s="517"/>
      <c r="S105" s="516"/>
      <c r="T105" s="517"/>
      <c r="U105" s="516"/>
      <c r="V105" s="517"/>
      <c r="W105" s="516"/>
      <c r="X105" s="517"/>
      <c r="Y105" s="516"/>
      <c r="Z105" s="518"/>
      <c r="AA105" s="520"/>
      <c r="AB105" s="521"/>
      <c r="AD105" s="516"/>
      <c r="AE105" s="518"/>
      <c r="AF105" s="516"/>
      <c r="AG105" s="518"/>
      <c r="AH105" s="516"/>
      <c r="AI105" s="517"/>
      <c r="AJ105" s="516"/>
      <c r="AK105" s="517"/>
      <c r="AL105" s="516"/>
      <c r="AM105" s="517"/>
      <c r="AN105" s="520"/>
      <c r="AO105" s="521"/>
      <c r="AQ105" s="538"/>
      <c r="AR105" s="538"/>
      <c r="AS105" s="538"/>
      <c r="AT105" s="538"/>
    </row>
    <row r="106" spans="1:358" s="158" customFormat="1" ht="15.6">
      <c r="A106" s="605">
        <v>35</v>
      </c>
      <c r="B106" s="409">
        <v>41</v>
      </c>
      <c r="C106" s="409" t="s">
        <v>688</v>
      </c>
      <c r="D106" s="409"/>
      <c r="E106" s="409" t="s">
        <v>650</v>
      </c>
      <c r="F106" s="409"/>
      <c r="G106" s="632"/>
      <c r="H106" s="663" t="s">
        <v>965</v>
      </c>
      <c r="I106" s="409"/>
      <c r="J106" s="409"/>
      <c r="K106" s="556"/>
      <c r="L106" s="409"/>
      <c r="M106" s="409"/>
      <c r="N106" s="409"/>
      <c r="O106" s="409"/>
      <c r="P106" s="557"/>
      <c r="Q106" s="840">
        <v>230194</v>
      </c>
      <c r="R106" s="845">
        <v>14104.66</v>
      </c>
      <c r="S106" s="842">
        <v>230042</v>
      </c>
      <c r="T106" s="844">
        <v>701.64</v>
      </c>
      <c r="U106" s="435"/>
      <c r="V106" s="463"/>
      <c r="W106" s="454"/>
      <c r="X106" s="536"/>
      <c r="Y106" s="439">
        <v>230184</v>
      </c>
      <c r="Z106" s="440">
        <v>9560.0300000000007</v>
      </c>
      <c r="AA106" s="464">
        <f>Q106</f>
        <v>230194</v>
      </c>
      <c r="AB106" s="465">
        <f>T106+R106+Z106+V106</f>
        <v>24366.33</v>
      </c>
      <c r="AC106" s="666"/>
      <c r="AD106" s="439"/>
      <c r="AE106" s="627"/>
      <c r="AF106" s="439"/>
      <c r="AG106" s="627"/>
      <c r="AH106" s="435"/>
      <c r="AI106" s="463"/>
      <c r="AJ106" s="433"/>
      <c r="AK106" s="490"/>
      <c r="AL106" s="433"/>
      <c r="AM106" s="490"/>
      <c r="AN106" s="464"/>
      <c r="AO106" s="465">
        <f>AE106</f>
        <v>0</v>
      </c>
      <c r="AP106" s="666"/>
      <c r="AQ106" s="439"/>
      <c r="AR106" s="534"/>
      <c r="AS106" s="671"/>
      <c r="AT106" s="672"/>
      <c r="AU106" s="666"/>
      <c r="AV106" s="666"/>
      <c r="AW106" s="666"/>
      <c r="AX106" s="666"/>
      <c r="AY106" s="666"/>
      <c r="AZ106" s="666"/>
      <c r="BA106" s="666"/>
      <c r="BB106" s="666"/>
      <c r="BC106" s="666"/>
      <c r="BD106" s="666"/>
      <c r="BE106" s="666"/>
      <c r="BF106" s="666"/>
      <c r="BG106" s="666"/>
      <c r="BH106" s="666"/>
      <c r="BI106" s="666"/>
      <c r="BJ106" s="666"/>
      <c r="BK106" s="666"/>
      <c r="BL106" s="666"/>
      <c r="BM106" s="666"/>
      <c r="BN106" s="666"/>
      <c r="BO106" s="666"/>
      <c r="BP106" s="666"/>
      <c r="BQ106" s="666"/>
      <c r="BR106" s="666"/>
      <c r="BS106" s="666"/>
      <c r="BT106" s="666"/>
      <c r="BU106" s="666"/>
      <c r="BV106" s="666"/>
      <c r="BW106" s="666"/>
      <c r="BX106" s="666"/>
      <c r="BY106" s="666"/>
      <c r="BZ106" s="666"/>
      <c r="CA106" s="666"/>
      <c r="CB106" s="666"/>
      <c r="CC106" s="666"/>
      <c r="CD106" s="666"/>
      <c r="CE106" s="666"/>
      <c r="CF106" s="666"/>
      <c r="CG106" s="666"/>
      <c r="CH106" s="666"/>
      <c r="CI106" s="666"/>
      <c r="CJ106" s="666"/>
      <c r="CK106" s="666"/>
      <c r="CL106" s="666"/>
      <c r="CM106" s="666"/>
      <c r="CN106" s="666"/>
      <c r="CO106" s="666"/>
      <c r="CP106" s="666"/>
      <c r="CQ106" s="666"/>
      <c r="CR106" s="666"/>
      <c r="CS106" s="666"/>
      <c r="CT106" s="666"/>
      <c r="CU106" s="666"/>
      <c r="CV106" s="666"/>
      <c r="CW106" s="666"/>
      <c r="CX106" s="666"/>
      <c r="CY106" s="666"/>
      <c r="CZ106" s="666"/>
      <c r="DA106" s="666"/>
      <c r="DB106" s="666"/>
      <c r="DC106" s="666"/>
      <c r="DD106" s="666"/>
      <c r="DE106" s="666"/>
      <c r="DF106" s="666"/>
      <c r="DG106" s="666"/>
      <c r="DH106" s="666"/>
      <c r="DI106" s="666"/>
      <c r="DJ106" s="666"/>
      <c r="DK106" s="666"/>
      <c r="DL106" s="666"/>
      <c r="DM106" s="666"/>
      <c r="DN106" s="666"/>
      <c r="DO106" s="666"/>
      <c r="DP106" s="666"/>
      <c r="DQ106" s="666"/>
      <c r="DR106" s="666"/>
      <c r="DS106" s="666"/>
      <c r="DT106" s="666"/>
      <c r="DU106" s="666"/>
      <c r="DV106" s="666"/>
      <c r="DW106" s="666"/>
      <c r="DX106" s="666"/>
      <c r="DY106" s="666"/>
      <c r="DZ106" s="666"/>
      <c r="EA106" s="666"/>
      <c r="EB106" s="666"/>
      <c r="EC106" s="666"/>
      <c r="ED106" s="666"/>
      <c r="EE106" s="666"/>
      <c r="EF106" s="666"/>
      <c r="EG106" s="666"/>
      <c r="EH106" s="666"/>
      <c r="EI106" s="666"/>
      <c r="EJ106" s="666"/>
      <c r="EK106" s="666"/>
      <c r="EL106" s="666"/>
      <c r="EM106" s="666"/>
      <c r="EN106" s="666"/>
      <c r="EO106" s="666"/>
      <c r="EP106" s="666"/>
      <c r="EQ106" s="666"/>
      <c r="ER106" s="666"/>
      <c r="ES106" s="666"/>
      <c r="ET106" s="666"/>
      <c r="EU106" s="666"/>
      <c r="EV106" s="666"/>
      <c r="EW106" s="666"/>
      <c r="EX106" s="666"/>
      <c r="EY106" s="666"/>
      <c r="EZ106" s="666"/>
      <c r="FA106" s="666"/>
      <c r="FB106" s="666"/>
      <c r="FC106" s="666"/>
      <c r="FD106" s="666"/>
      <c r="FE106" s="666"/>
      <c r="FF106" s="666"/>
      <c r="FG106" s="666"/>
      <c r="FH106" s="666"/>
      <c r="FI106" s="666"/>
      <c r="FJ106" s="666"/>
      <c r="FK106" s="666"/>
      <c r="FL106" s="666"/>
      <c r="FM106" s="666"/>
      <c r="FN106" s="666"/>
      <c r="FO106" s="666"/>
      <c r="FP106" s="666"/>
      <c r="FQ106" s="666"/>
      <c r="FR106" s="666"/>
      <c r="FS106" s="666"/>
      <c r="FT106" s="666"/>
      <c r="FU106" s="666"/>
      <c r="FV106" s="666"/>
      <c r="FW106" s="666"/>
      <c r="FX106" s="666"/>
      <c r="FY106" s="666"/>
      <c r="FZ106" s="666"/>
      <c r="GA106" s="666"/>
      <c r="GB106" s="666"/>
      <c r="GC106" s="666"/>
      <c r="GD106" s="666"/>
      <c r="GE106" s="666"/>
      <c r="GF106" s="666"/>
      <c r="GG106" s="666"/>
      <c r="GH106" s="666"/>
      <c r="GI106" s="666"/>
      <c r="GJ106" s="666"/>
      <c r="GK106" s="666"/>
      <c r="GL106" s="666"/>
      <c r="GM106" s="666"/>
      <c r="GN106" s="666"/>
      <c r="GO106" s="666"/>
      <c r="GP106" s="666"/>
      <c r="GQ106" s="666"/>
      <c r="GR106" s="666"/>
      <c r="GS106" s="666"/>
      <c r="GT106" s="666"/>
      <c r="GU106" s="666"/>
      <c r="GV106" s="666"/>
      <c r="GW106" s="666"/>
      <c r="GX106" s="666"/>
      <c r="GY106" s="666"/>
      <c r="GZ106" s="666"/>
      <c r="HA106" s="666"/>
      <c r="HB106" s="666"/>
      <c r="HC106" s="666"/>
      <c r="HD106" s="666"/>
      <c r="HE106" s="666"/>
      <c r="HF106" s="666"/>
      <c r="HG106" s="666"/>
      <c r="HH106" s="666"/>
      <c r="HI106" s="666"/>
      <c r="HJ106" s="666"/>
      <c r="HK106" s="666"/>
      <c r="HL106" s="666"/>
      <c r="HM106" s="666"/>
      <c r="HN106" s="666"/>
      <c r="HO106" s="666"/>
      <c r="HP106" s="666"/>
      <c r="HQ106" s="666"/>
      <c r="HR106" s="666"/>
      <c r="HS106" s="666"/>
      <c r="HT106" s="666"/>
      <c r="HU106" s="666"/>
      <c r="HV106" s="666"/>
      <c r="HW106" s="666"/>
      <c r="HX106" s="666"/>
      <c r="HY106" s="666"/>
      <c r="HZ106" s="666"/>
      <c r="IA106" s="666"/>
      <c r="IB106" s="666"/>
      <c r="IC106" s="666"/>
      <c r="ID106" s="666"/>
      <c r="IE106" s="666"/>
      <c r="IF106" s="666"/>
      <c r="IG106" s="666"/>
      <c r="IH106" s="666"/>
      <c r="II106" s="666"/>
      <c r="IJ106" s="666"/>
      <c r="IK106" s="666"/>
      <c r="IL106" s="666"/>
      <c r="IM106" s="666"/>
      <c r="IN106" s="666"/>
      <c r="IO106" s="666"/>
      <c r="IP106" s="666"/>
      <c r="IQ106" s="666"/>
      <c r="IR106" s="666"/>
      <c r="IS106" s="666"/>
      <c r="IT106" s="666"/>
      <c r="IU106" s="666"/>
      <c r="IV106" s="666"/>
      <c r="IW106" s="666"/>
      <c r="IX106" s="666"/>
      <c r="IY106" s="666"/>
      <c r="IZ106" s="666"/>
      <c r="JA106" s="666"/>
      <c r="JB106" s="666"/>
      <c r="JC106" s="666"/>
      <c r="JD106" s="666"/>
      <c r="JE106" s="666"/>
      <c r="JF106" s="666"/>
      <c r="JG106" s="666"/>
      <c r="JH106" s="666"/>
      <c r="JI106" s="666"/>
      <c r="JJ106" s="666"/>
      <c r="JK106" s="666"/>
      <c r="JL106" s="666"/>
      <c r="JM106" s="666"/>
      <c r="JN106" s="666"/>
      <c r="JO106" s="666"/>
      <c r="JP106" s="666"/>
      <c r="JQ106" s="666"/>
      <c r="JR106" s="666"/>
      <c r="JS106" s="666"/>
      <c r="JT106" s="666"/>
      <c r="JU106" s="666"/>
      <c r="JV106" s="666"/>
      <c r="JW106" s="666"/>
      <c r="JX106" s="666"/>
      <c r="JY106" s="666"/>
      <c r="JZ106" s="666"/>
      <c r="KA106" s="666"/>
      <c r="KB106" s="666"/>
      <c r="KC106" s="666"/>
      <c r="KD106" s="666"/>
      <c r="KE106" s="666"/>
      <c r="KF106" s="666"/>
      <c r="KG106" s="666"/>
      <c r="KH106" s="666"/>
      <c r="KI106" s="666"/>
      <c r="KJ106" s="666"/>
      <c r="KK106" s="666"/>
      <c r="KL106" s="666"/>
      <c r="KM106" s="666"/>
      <c r="KN106" s="666"/>
      <c r="KO106" s="666"/>
      <c r="KP106" s="666"/>
      <c r="KQ106" s="666"/>
      <c r="KR106" s="666"/>
      <c r="KS106" s="666"/>
      <c r="KT106" s="666"/>
      <c r="KU106" s="666"/>
      <c r="KV106" s="666"/>
      <c r="KW106" s="666"/>
      <c r="KX106" s="666"/>
      <c r="KY106" s="666"/>
      <c r="KZ106" s="666"/>
      <c r="LA106" s="666"/>
      <c r="LB106" s="666"/>
      <c r="LC106" s="666"/>
      <c r="LD106" s="666"/>
      <c r="LE106" s="666"/>
      <c r="LF106" s="666"/>
      <c r="LG106" s="666"/>
      <c r="LH106" s="666"/>
      <c r="LI106" s="666"/>
      <c r="LJ106" s="666"/>
      <c r="LK106" s="666"/>
      <c r="LL106" s="666"/>
      <c r="LM106" s="666"/>
      <c r="LN106" s="666"/>
      <c r="LO106" s="666"/>
      <c r="LP106" s="666"/>
      <c r="LQ106" s="666"/>
      <c r="LR106" s="666"/>
      <c r="LS106" s="666"/>
      <c r="LT106" s="666"/>
      <c r="LU106" s="666"/>
      <c r="LV106" s="666"/>
      <c r="LW106" s="666"/>
      <c r="LX106" s="666"/>
      <c r="LY106" s="666"/>
      <c r="LZ106" s="666"/>
      <c r="MA106" s="666"/>
      <c r="MB106" s="666"/>
      <c r="MC106" s="666"/>
      <c r="MD106" s="666"/>
      <c r="ME106" s="666"/>
      <c r="MF106" s="666"/>
      <c r="MG106" s="666"/>
      <c r="MH106" s="666"/>
      <c r="MI106" s="666"/>
      <c r="MJ106" s="666"/>
      <c r="MK106" s="666"/>
      <c r="ML106" s="666"/>
      <c r="MM106" s="666"/>
      <c r="MN106" s="666"/>
      <c r="MO106" s="666"/>
      <c r="MP106" s="666"/>
      <c r="MQ106" s="666"/>
      <c r="MR106" s="666"/>
      <c r="MS106" s="666"/>
      <c r="MT106" s="666"/>
    </row>
    <row r="107" spans="1:358" ht="15.6" hidden="1">
      <c r="A107" s="579"/>
      <c r="B107" s="50"/>
      <c r="C107" s="9"/>
      <c r="D107" s="9"/>
      <c r="E107" s="9"/>
      <c r="F107" s="9"/>
      <c r="G107" s="13"/>
      <c r="H107" s="589"/>
      <c r="I107" s="50"/>
      <c r="J107" s="50"/>
      <c r="K107" s="58"/>
      <c r="L107" s="9"/>
      <c r="M107" s="9"/>
      <c r="N107" s="9"/>
      <c r="O107" s="9"/>
      <c r="P107" s="141"/>
      <c r="Z107" s="323"/>
      <c r="AA107" s="309"/>
      <c r="AB107" s="230"/>
      <c r="AE107" s="323"/>
      <c r="AG107" s="323"/>
      <c r="AN107" s="309"/>
      <c r="AO107" s="230"/>
    </row>
    <row r="108" spans="1:358" s="163" customFormat="1" ht="3.75" hidden="1" customHeight="1">
      <c r="A108" s="574"/>
      <c r="B108" s="13"/>
      <c r="C108" s="13"/>
      <c r="D108" s="13"/>
      <c r="E108" s="13"/>
      <c r="F108" s="13"/>
      <c r="G108" s="13"/>
      <c r="H108" s="583"/>
      <c r="I108" s="13"/>
      <c r="J108" s="13"/>
      <c r="K108" s="515"/>
      <c r="L108" s="13"/>
      <c r="M108" s="13"/>
      <c r="N108" s="13"/>
      <c r="O108" s="13"/>
      <c r="P108" s="519"/>
      <c r="Q108" s="516"/>
      <c r="R108" s="517"/>
      <c r="S108" s="516"/>
      <c r="T108" s="517"/>
      <c r="U108" s="516"/>
      <c r="V108" s="517"/>
      <c r="W108" s="516"/>
      <c r="X108" s="517"/>
      <c r="Y108" s="516"/>
      <c r="Z108" s="518"/>
      <c r="AA108" s="520"/>
      <c r="AB108" s="521"/>
      <c r="AD108" s="516"/>
      <c r="AE108" s="518"/>
      <c r="AF108" s="516"/>
      <c r="AG108" s="518"/>
      <c r="AH108" s="516"/>
      <c r="AI108" s="517"/>
      <c r="AJ108" s="516"/>
      <c r="AK108" s="517"/>
      <c r="AL108" s="516"/>
      <c r="AM108" s="517"/>
      <c r="AN108" s="520"/>
      <c r="AO108" s="521"/>
      <c r="AQ108" s="538"/>
      <c r="AR108" s="538"/>
      <c r="AS108" s="538"/>
      <c r="AT108" s="538"/>
    </row>
    <row r="109" spans="1:358" s="158" customFormat="1" ht="15.6" hidden="1">
      <c r="A109" s="605">
        <v>36</v>
      </c>
      <c r="B109" s="409">
        <v>45</v>
      </c>
      <c r="C109" s="409" t="s">
        <v>648</v>
      </c>
      <c r="D109" s="409"/>
      <c r="E109" s="409" t="s">
        <v>650</v>
      </c>
      <c r="F109" s="409"/>
      <c r="G109" s="632"/>
      <c r="H109" s="663" t="s">
        <v>966</v>
      </c>
      <c r="I109" s="409"/>
      <c r="J109" s="409"/>
      <c r="K109" s="556"/>
      <c r="L109" s="409"/>
      <c r="M109" s="409"/>
      <c r="N109" s="409"/>
      <c r="O109" s="409"/>
      <c r="P109" s="557"/>
      <c r="Q109" s="437">
        <v>753988</v>
      </c>
      <c r="R109" s="458">
        <v>14350.62</v>
      </c>
      <c r="S109" s="842">
        <v>753909</v>
      </c>
      <c r="T109" s="844">
        <v>607</v>
      </c>
      <c r="U109" s="435"/>
      <c r="V109" s="463"/>
      <c r="W109" s="454"/>
      <c r="X109" s="536"/>
      <c r="Y109" s="846">
        <v>753988</v>
      </c>
      <c r="Z109" s="861">
        <v>9563.51</v>
      </c>
      <c r="AA109" s="464">
        <f>Q109</f>
        <v>753988</v>
      </c>
      <c r="AB109" s="465">
        <f>Z109+V109+T109+R109</f>
        <v>24521.13</v>
      </c>
      <c r="AC109" s="666"/>
      <c r="AD109" s="439"/>
      <c r="AE109" s="627"/>
      <c r="AF109" s="439"/>
      <c r="AG109" s="627"/>
      <c r="AH109" s="435"/>
      <c r="AI109" s="463"/>
      <c r="AJ109" s="433"/>
      <c r="AK109" s="490"/>
      <c r="AL109" s="433"/>
      <c r="AM109" s="490"/>
      <c r="AN109" s="464"/>
      <c r="AO109" s="465">
        <f>AM109+AK109+AI109+AE109</f>
        <v>0</v>
      </c>
      <c r="AP109" s="666"/>
      <c r="AQ109" s="439"/>
      <c r="AR109" s="534"/>
      <c r="AS109" s="671"/>
      <c r="AT109" s="672"/>
      <c r="AU109" s="666"/>
      <c r="AV109" s="666"/>
      <c r="AW109" s="666"/>
      <c r="AX109" s="666"/>
      <c r="AY109" s="666"/>
      <c r="AZ109" s="666"/>
      <c r="BA109" s="666"/>
      <c r="BB109" s="666"/>
      <c r="BC109" s="666"/>
      <c r="BD109" s="666"/>
      <c r="BE109" s="666"/>
      <c r="BF109" s="666"/>
      <c r="BG109" s="666"/>
      <c r="BH109" s="666"/>
      <c r="BI109" s="666"/>
      <c r="BJ109" s="666"/>
      <c r="BK109" s="666"/>
      <c r="BL109" s="666"/>
      <c r="BM109" s="666"/>
      <c r="BN109" s="666"/>
      <c r="BO109" s="666"/>
      <c r="BP109" s="666"/>
      <c r="BQ109" s="666"/>
      <c r="BR109" s="666"/>
      <c r="BS109" s="666"/>
      <c r="BT109" s="666"/>
      <c r="BU109" s="666"/>
      <c r="BV109" s="666"/>
      <c r="BW109" s="666"/>
      <c r="BX109" s="666"/>
      <c r="BY109" s="666"/>
      <c r="BZ109" s="666"/>
      <c r="CA109" s="666"/>
      <c r="CB109" s="666"/>
      <c r="CC109" s="666"/>
      <c r="CD109" s="666"/>
      <c r="CE109" s="666"/>
      <c r="CF109" s="666"/>
      <c r="CG109" s="666"/>
      <c r="CH109" s="666"/>
      <c r="CI109" s="666"/>
      <c r="CJ109" s="666"/>
      <c r="CK109" s="666"/>
      <c r="CL109" s="666"/>
      <c r="CM109" s="666"/>
      <c r="CN109" s="666"/>
      <c r="CO109" s="666"/>
      <c r="CP109" s="666"/>
      <c r="CQ109" s="666"/>
      <c r="CR109" s="666"/>
      <c r="CS109" s="666"/>
      <c r="CT109" s="666"/>
      <c r="CU109" s="666"/>
      <c r="CV109" s="666"/>
      <c r="CW109" s="666"/>
      <c r="CX109" s="666"/>
      <c r="CY109" s="666"/>
      <c r="CZ109" s="666"/>
      <c r="DA109" s="666"/>
      <c r="DB109" s="666"/>
      <c r="DC109" s="666"/>
      <c r="DD109" s="666"/>
      <c r="DE109" s="666"/>
      <c r="DF109" s="666"/>
      <c r="DG109" s="666"/>
      <c r="DH109" s="666"/>
      <c r="DI109" s="666"/>
      <c r="DJ109" s="666"/>
      <c r="DK109" s="666"/>
      <c r="DL109" s="666"/>
      <c r="DM109" s="666"/>
      <c r="DN109" s="666"/>
      <c r="DO109" s="666"/>
      <c r="DP109" s="666"/>
      <c r="DQ109" s="666"/>
      <c r="DR109" s="666"/>
      <c r="DS109" s="666"/>
      <c r="DT109" s="666"/>
      <c r="DU109" s="666"/>
      <c r="DV109" s="666"/>
      <c r="DW109" s="666"/>
      <c r="DX109" s="666"/>
      <c r="DY109" s="666"/>
      <c r="DZ109" s="666"/>
      <c r="EA109" s="666"/>
      <c r="EB109" s="666"/>
      <c r="EC109" s="666"/>
      <c r="ED109" s="666"/>
      <c r="EE109" s="666"/>
      <c r="EF109" s="666"/>
      <c r="EG109" s="666"/>
      <c r="EH109" s="666"/>
      <c r="EI109" s="666"/>
      <c r="EJ109" s="666"/>
      <c r="EK109" s="666"/>
      <c r="EL109" s="666"/>
      <c r="EM109" s="666"/>
      <c r="EN109" s="666"/>
      <c r="EO109" s="666"/>
      <c r="EP109" s="666"/>
      <c r="EQ109" s="666"/>
      <c r="ER109" s="666"/>
      <c r="ES109" s="666"/>
      <c r="ET109" s="666"/>
      <c r="EU109" s="666"/>
      <c r="EV109" s="666"/>
      <c r="EW109" s="666"/>
      <c r="EX109" s="666"/>
      <c r="EY109" s="666"/>
      <c r="EZ109" s="666"/>
      <c r="FA109" s="666"/>
      <c r="FB109" s="666"/>
      <c r="FC109" s="666"/>
      <c r="FD109" s="666"/>
      <c r="FE109" s="666"/>
      <c r="FF109" s="666"/>
      <c r="FG109" s="666"/>
      <c r="FH109" s="666"/>
      <c r="FI109" s="666"/>
      <c r="FJ109" s="666"/>
      <c r="FK109" s="666"/>
      <c r="FL109" s="666"/>
      <c r="FM109" s="666"/>
      <c r="FN109" s="666"/>
      <c r="FO109" s="666"/>
      <c r="FP109" s="666"/>
      <c r="FQ109" s="666"/>
      <c r="FR109" s="666"/>
      <c r="FS109" s="666"/>
      <c r="FT109" s="666"/>
      <c r="FU109" s="666"/>
      <c r="FV109" s="666"/>
      <c r="FW109" s="666"/>
      <c r="FX109" s="666"/>
      <c r="FY109" s="666"/>
      <c r="FZ109" s="666"/>
      <c r="GA109" s="666"/>
      <c r="GB109" s="666"/>
      <c r="GC109" s="666"/>
      <c r="GD109" s="666"/>
      <c r="GE109" s="666"/>
      <c r="GF109" s="666"/>
      <c r="GG109" s="666"/>
      <c r="GH109" s="666"/>
      <c r="GI109" s="666"/>
      <c r="GJ109" s="666"/>
      <c r="GK109" s="666"/>
      <c r="GL109" s="666"/>
      <c r="GM109" s="666"/>
      <c r="GN109" s="666"/>
      <c r="GO109" s="666"/>
      <c r="GP109" s="666"/>
      <c r="GQ109" s="666"/>
      <c r="GR109" s="666"/>
      <c r="GS109" s="666"/>
      <c r="GT109" s="666"/>
      <c r="GU109" s="666"/>
      <c r="GV109" s="666"/>
      <c r="GW109" s="666"/>
      <c r="GX109" s="666"/>
      <c r="GY109" s="666"/>
      <c r="GZ109" s="666"/>
      <c r="HA109" s="666"/>
      <c r="HB109" s="666"/>
      <c r="HC109" s="666"/>
      <c r="HD109" s="666"/>
      <c r="HE109" s="666"/>
      <c r="HF109" s="666"/>
      <c r="HG109" s="666"/>
      <c r="HH109" s="666"/>
      <c r="HI109" s="666"/>
      <c r="HJ109" s="666"/>
      <c r="HK109" s="666"/>
      <c r="HL109" s="666"/>
      <c r="HM109" s="666"/>
      <c r="HN109" s="666"/>
      <c r="HO109" s="666"/>
      <c r="HP109" s="666"/>
      <c r="HQ109" s="666"/>
      <c r="HR109" s="666"/>
      <c r="HS109" s="666"/>
      <c r="HT109" s="666"/>
      <c r="HU109" s="666"/>
      <c r="HV109" s="666"/>
      <c r="HW109" s="666"/>
      <c r="HX109" s="666"/>
      <c r="HY109" s="666"/>
      <c r="HZ109" s="666"/>
      <c r="IA109" s="666"/>
      <c r="IB109" s="666"/>
      <c r="IC109" s="666"/>
      <c r="ID109" s="666"/>
      <c r="IE109" s="666"/>
      <c r="IF109" s="666"/>
      <c r="IG109" s="666"/>
      <c r="IH109" s="666"/>
      <c r="II109" s="666"/>
      <c r="IJ109" s="666"/>
      <c r="IK109" s="666"/>
      <c r="IL109" s="666"/>
      <c r="IM109" s="666"/>
      <c r="IN109" s="666"/>
      <c r="IO109" s="666"/>
      <c r="IP109" s="666"/>
      <c r="IQ109" s="666"/>
      <c r="IR109" s="666"/>
      <c r="IS109" s="666"/>
      <c r="IT109" s="666"/>
      <c r="IU109" s="666"/>
      <c r="IV109" s="666"/>
      <c r="IW109" s="666"/>
      <c r="IX109" s="666"/>
      <c r="IY109" s="666"/>
      <c r="IZ109" s="666"/>
      <c r="JA109" s="666"/>
      <c r="JB109" s="666"/>
      <c r="JC109" s="666"/>
      <c r="JD109" s="666"/>
      <c r="JE109" s="666"/>
      <c r="JF109" s="666"/>
      <c r="JG109" s="666"/>
      <c r="JH109" s="666"/>
      <c r="JI109" s="666"/>
      <c r="JJ109" s="666"/>
      <c r="JK109" s="666"/>
      <c r="JL109" s="666"/>
      <c r="JM109" s="666"/>
      <c r="JN109" s="666"/>
      <c r="JO109" s="666"/>
      <c r="JP109" s="666"/>
      <c r="JQ109" s="666"/>
      <c r="JR109" s="666"/>
      <c r="JS109" s="666"/>
      <c r="JT109" s="666"/>
      <c r="JU109" s="666"/>
      <c r="JV109" s="666"/>
      <c r="JW109" s="666"/>
      <c r="JX109" s="666"/>
      <c r="JY109" s="666"/>
      <c r="JZ109" s="666"/>
      <c r="KA109" s="666"/>
      <c r="KB109" s="666"/>
      <c r="KC109" s="666"/>
      <c r="KD109" s="666"/>
      <c r="KE109" s="666"/>
      <c r="KF109" s="666"/>
      <c r="KG109" s="666"/>
      <c r="KH109" s="666"/>
      <c r="KI109" s="666"/>
      <c r="KJ109" s="666"/>
      <c r="KK109" s="666"/>
      <c r="KL109" s="666"/>
      <c r="KM109" s="666"/>
      <c r="KN109" s="666"/>
      <c r="KO109" s="666"/>
      <c r="KP109" s="666"/>
      <c r="KQ109" s="666"/>
      <c r="KR109" s="666"/>
      <c r="KS109" s="666"/>
      <c r="KT109" s="666"/>
      <c r="KU109" s="666"/>
      <c r="KV109" s="666"/>
      <c r="KW109" s="666"/>
      <c r="KX109" s="666"/>
      <c r="KY109" s="666"/>
      <c r="KZ109" s="666"/>
      <c r="LA109" s="666"/>
      <c r="LB109" s="666"/>
      <c r="LC109" s="666"/>
      <c r="LD109" s="666"/>
      <c r="LE109" s="666"/>
      <c r="LF109" s="666"/>
      <c r="LG109" s="666"/>
      <c r="LH109" s="666"/>
      <c r="LI109" s="666"/>
      <c r="LJ109" s="666"/>
      <c r="LK109" s="666"/>
      <c r="LL109" s="666"/>
      <c r="LM109" s="666"/>
      <c r="LN109" s="666"/>
      <c r="LO109" s="666"/>
      <c r="LP109" s="666"/>
      <c r="LQ109" s="666"/>
      <c r="LR109" s="666"/>
      <c r="LS109" s="666"/>
      <c r="LT109" s="666"/>
      <c r="LU109" s="666"/>
      <c r="LV109" s="666"/>
      <c r="LW109" s="666"/>
      <c r="LX109" s="666"/>
      <c r="LY109" s="666"/>
      <c r="LZ109" s="666"/>
      <c r="MA109" s="666"/>
      <c r="MB109" s="666"/>
      <c r="MC109" s="666"/>
      <c r="MD109" s="666"/>
      <c r="ME109" s="666"/>
      <c r="MF109" s="666"/>
      <c r="MG109" s="666"/>
      <c r="MH109" s="666"/>
      <c r="MI109" s="666"/>
      <c r="MJ109" s="666"/>
      <c r="MK109" s="666"/>
      <c r="ML109" s="666"/>
      <c r="MM109" s="666"/>
      <c r="MN109" s="666"/>
      <c r="MO109" s="666"/>
      <c r="MP109" s="666"/>
      <c r="MQ109" s="666"/>
      <c r="MR109" s="666"/>
      <c r="MS109" s="666"/>
      <c r="MT109" s="666"/>
    </row>
    <row r="110" spans="1:358" ht="15.6" hidden="1">
      <c r="A110" s="579"/>
      <c r="B110" s="50"/>
      <c r="C110" s="9"/>
      <c r="D110" s="9"/>
      <c r="E110" s="9"/>
      <c r="F110" s="9"/>
      <c r="G110" s="13"/>
      <c r="H110" s="589"/>
      <c r="I110" s="50"/>
      <c r="J110" s="50"/>
      <c r="K110" s="58"/>
      <c r="L110" s="9"/>
      <c r="M110" s="9"/>
      <c r="N110" s="9"/>
      <c r="O110" s="9"/>
      <c r="P110" s="141"/>
      <c r="Z110" s="323"/>
      <c r="AA110" s="309"/>
      <c r="AB110" s="230"/>
      <c r="AE110" s="323"/>
      <c r="AG110" s="323"/>
      <c r="AN110" s="309"/>
      <c r="AO110" s="230"/>
    </row>
    <row r="111" spans="1:358" s="163" customFormat="1" ht="3.75" customHeight="1">
      <c r="A111" s="574"/>
      <c r="B111" s="13"/>
      <c r="C111" s="13"/>
      <c r="D111" s="13"/>
      <c r="E111" s="13"/>
      <c r="F111" s="13"/>
      <c r="G111" s="13"/>
      <c r="H111" s="583"/>
      <c r="I111" s="13"/>
      <c r="J111" s="13"/>
      <c r="K111" s="515"/>
      <c r="L111" s="13"/>
      <c r="M111" s="13"/>
      <c r="N111" s="13"/>
      <c r="O111" s="13"/>
      <c r="P111" s="519"/>
      <c r="Q111" s="516"/>
      <c r="R111" s="517"/>
      <c r="S111" s="516"/>
      <c r="T111" s="517"/>
      <c r="U111" s="516"/>
      <c r="V111" s="517"/>
      <c r="W111" s="516"/>
      <c r="X111" s="517"/>
      <c r="Y111" s="516"/>
      <c r="Z111" s="518"/>
      <c r="AA111" s="520"/>
      <c r="AB111" s="521"/>
      <c r="AD111" s="516"/>
      <c r="AE111" s="518"/>
      <c r="AF111" s="516"/>
      <c r="AG111" s="518"/>
      <c r="AH111" s="516"/>
      <c r="AI111" s="517"/>
      <c r="AJ111" s="516"/>
      <c r="AK111" s="517"/>
      <c r="AL111" s="516"/>
      <c r="AM111" s="517"/>
      <c r="AN111" s="520"/>
      <c r="AO111" s="521"/>
      <c r="AQ111" s="538"/>
      <c r="AR111" s="538"/>
      <c r="AS111" s="538"/>
      <c r="AT111" s="538"/>
    </row>
  </sheetData>
  <autoFilter ref="B2:C110" xr:uid="{36CF9988-E26F-4BE6-91DA-446A1D8B7CBF}">
    <filterColumn colId="0">
      <filters>
        <filter val="41"/>
      </filters>
    </filterColumn>
    <filterColumn colId="1">
      <filters>
        <filter val="D"/>
      </filters>
    </filterColumn>
  </autoFilter>
  <conditionalFormatting sqref="D3:D150">
    <cfRule type="expression" dxfId="791" priority="1">
      <formula>B3=45</formula>
    </cfRule>
    <cfRule type="expression" dxfId="790" priority="2">
      <formula>B3=42</formula>
    </cfRule>
    <cfRule type="expression" dxfId="789" priority="3">
      <formula>B3=41</formula>
    </cfRule>
  </conditionalFormatting>
  <pageMargins left="0.7" right="0.7" top="0.75" bottom="0.75" header="0.3" footer="0.3"/>
  <pageSetup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073A-E02D-43BA-90C7-FECAB1DE6AA8}">
  <dimension ref="A1:MK282"/>
  <sheetViews>
    <sheetView zoomScale="80" zoomScaleNormal="80" workbookViewId="0">
      <selection activeCell="W37" sqref="W37"/>
    </sheetView>
  </sheetViews>
  <sheetFormatPr defaultColWidth="8.85546875" defaultRowHeight="15.6"/>
  <cols>
    <col min="1" max="1" width="21" style="580" bestFit="1" customWidth="1"/>
    <col min="2" max="2" width="15.140625" style="5" bestFit="1" customWidth="1"/>
    <col min="3" max="3" width="5.5703125" style="5" bestFit="1" customWidth="1"/>
    <col min="4" max="4" width="10.28515625" style="5" bestFit="1" customWidth="1"/>
    <col min="5" max="9" width="5.28515625" style="5" customWidth="1"/>
    <col min="10" max="10" width="9.42578125" style="5" bestFit="1" customWidth="1"/>
    <col min="11" max="11" width="0.7109375" style="5" customWidth="1"/>
    <col min="12" max="12" width="24.5703125" style="594" customWidth="1"/>
    <col min="13" max="14" width="4.7109375" style="5" hidden="1" customWidth="1"/>
    <col min="15" max="15" width="6.5703125" style="96" hidden="1" customWidth="1"/>
    <col min="16" max="16" width="11.5703125" style="5" hidden="1" customWidth="1"/>
    <col min="17" max="19" width="10.85546875" style="5" hidden="1" customWidth="1"/>
    <col min="20" max="20" width="12.7109375" style="5" hidden="1" customWidth="1"/>
    <col min="21" max="21" width="18.140625" style="234" customWidth="1"/>
    <col min="22" max="22" width="16.7109375" style="325" customWidth="1"/>
    <col min="23" max="23" width="18.140625" style="234" customWidth="1"/>
    <col min="24" max="24" width="16.7109375" style="325" customWidth="1"/>
    <col min="25" max="25" width="19.140625" style="187" customWidth="1"/>
    <col min="26" max="26" width="17.5703125" style="348" customWidth="1"/>
    <col min="27" max="27" width="17.7109375" style="269" customWidth="1"/>
    <col min="28" max="28" width="19" style="351" bestFit="1" customWidth="1"/>
    <col min="29" max="29" width="21.42578125" style="282" hidden="1" customWidth="1"/>
    <col min="30" max="30" width="19" style="315" hidden="1" customWidth="1"/>
    <col min="31" max="31" width="16.7109375" style="219" customWidth="1"/>
    <col min="32" max="32" width="17.140625" style="247" bestFit="1" customWidth="1"/>
    <col min="33" max="33" width="16.7109375" style="219" customWidth="1"/>
    <col min="34" max="34" width="17.140625" style="247" bestFit="1" customWidth="1"/>
    <col min="35" max="35" width="20" style="343" customWidth="1"/>
    <col min="36" max="36" width="19" style="344" bestFit="1" customWidth="1"/>
    <col min="37" max="37" width="9.140625" style="163"/>
    <col min="38" max="349" width="8.85546875" style="163"/>
    <col min="350" max="16384" width="8.85546875" style="5"/>
  </cols>
  <sheetData>
    <row r="1" spans="1:349">
      <c r="A1" s="572" t="s">
        <v>967</v>
      </c>
      <c r="B1" s="523"/>
      <c r="C1" s="523" t="s">
        <v>915</v>
      </c>
      <c r="D1" s="524" t="s">
        <v>968</v>
      </c>
      <c r="E1" s="525" t="s">
        <v>969</v>
      </c>
      <c r="F1" s="523"/>
      <c r="G1" s="24"/>
      <c r="H1" s="24"/>
      <c r="I1" s="24"/>
      <c r="J1" s="24"/>
      <c r="K1" s="24"/>
      <c r="L1" s="581"/>
      <c r="M1" s="24"/>
      <c r="N1" s="24"/>
      <c r="O1" s="94"/>
      <c r="P1" s="24"/>
      <c r="Q1" s="24"/>
      <c r="R1" s="24"/>
      <c r="S1" s="24"/>
      <c r="T1" s="24"/>
      <c r="U1" s="294"/>
      <c r="V1" s="297"/>
      <c r="W1" s="294"/>
      <c r="X1" s="297"/>
      <c r="Y1" s="294"/>
      <c r="Z1" s="297"/>
      <c r="AA1" s="294"/>
      <c r="AB1" s="297"/>
      <c r="AC1" s="294"/>
      <c r="AD1" s="297"/>
      <c r="AE1" s="294"/>
      <c r="AF1" s="294"/>
      <c r="AG1" s="294"/>
      <c r="AH1" s="294"/>
      <c r="AI1" s="295"/>
      <c r="AJ1" s="299"/>
      <c r="AK1" s="294"/>
    </row>
    <row r="2" spans="1:349" s="81" customFormat="1" ht="138" customHeight="1">
      <c r="A2" s="573" t="s">
        <v>612</v>
      </c>
      <c r="B2" s="101" t="s">
        <v>613</v>
      </c>
      <c r="C2" s="101" t="s">
        <v>614</v>
      </c>
      <c r="D2" s="89" t="s">
        <v>970</v>
      </c>
      <c r="E2" s="89" t="s">
        <v>617</v>
      </c>
      <c r="F2" s="89" t="s">
        <v>284</v>
      </c>
      <c r="G2" s="89" t="s">
        <v>338</v>
      </c>
      <c r="H2" s="89" t="s">
        <v>352</v>
      </c>
      <c r="I2" s="89" t="s">
        <v>107</v>
      </c>
      <c r="J2" s="89" t="s">
        <v>111</v>
      </c>
      <c r="K2" s="91" t="s">
        <v>289</v>
      </c>
      <c r="L2" s="582" t="s">
        <v>971</v>
      </c>
      <c r="M2" s="89" t="s">
        <v>621</v>
      </c>
      <c r="N2" s="89" t="s">
        <v>622</v>
      </c>
      <c r="O2" s="95" t="s">
        <v>624</v>
      </c>
      <c r="P2" s="93" t="s">
        <v>918</v>
      </c>
      <c r="Q2" s="89" t="s">
        <v>626</v>
      </c>
      <c r="R2" s="89" t="s">
        <v>919</v>
      </c>
      <c r="S2" s="89" t="s">
        <v>920</v>
      </c>
      <c r="T2" s="165" t="s">
        <v>630</v>
      </c>
      <c r="U2" s="300" t="s">
        <v>972</v>
      </c>
      <c r="V2" s="324" t="s">
        <v>922</v>
      </c>
      <c r="W2" s="300" t="s">
        <v>973</v>
      </c>
      <c r="X2" s="324" t="s">
        <v>974</v>
      </c>
      <c r="Y2" s="331" t="s">
        <v>975</v>
      </c>
      <c r="Z2" s="347" t="s">
        <v>924</v>
      </c>
      <c r="AA2" s="331" t="s">
        <v>976</v>
      </c>
      <c r="AB2" s="347" t="s">
        <v>977</v>
      </c>
      <c r="AC2" s="352" t="s">
        <v>927</v>
      </c>
      <c r="AD2" s="353" t="s">
        <v>928</v>
      </c>
      <c r="AE2" s="333" t="s">
        <v>978</v>
      </c>
      <c r="AF2" s="334" t="s">
        <v>642</v>
      </c>
      <c r="AG2" s="333" t="s">
        <v>979</v>
      </c>
      <c r="AH2" s="334" t="s">
        <v>980</v>
      </c>
      <c r="AI2" s="863" t="s">
        <v>981</v>
      </c>
      <c r="AJ2" s="232" t="s">
        <v>644</v>
      </c>
      <c r="AK2" s="522"/>
    </row>
    <row r="3" spans="1:349" s="158" customFormat="1" ht="15.75">
      <c r="A3" s="645">
        <v>1460</v>
      </c>
      <c r="B3" s="644">
        <v>769</v>
      </c>
      <c r="C3" s="644" t="s">
        <v>982</v>
      </c>
      <c r="D3" s="644"/>
      <c r="E3" s="644"/>
      <c r="F3" s="409"/>
      <c r="G3" s="644"/>
      <c r="H3" s="644"/>
      <c r="I3" s="644"/>
      <c r="J3" s="644"/>
      <c r="K3" s="864"/>
      <c r="L3" s="815" t="s">
        <v>983</v>
      </c>
      <c r="M3" s="529"/>
      <c r="N3" s="541"/>
      <c r="O3" s="865"/>
      <c r="P3" s="541"/>
      <c r="Q3" s="541"/>
      <c r="R3" s="541"/>
      <c r="S3" s="541"/>
      <c r="T3" s="866"/>
      <c r="U3" s="840">
        <v>1874354</v>
      </c>
      <c r="V3" s="845">
        <v>22504</v>
      </c>
      <c r="W3" s="462"/>
      <c r="X3" s="909"/>
      <c r="Y3" s="842">
        <v>1874217</v>
      </c>
      <c r="Z3" s="844">
        <v>2991.2</v>
      </c>
      <c r="AA3" s="511"/>
      <c r="AB3" s="917"/>
      <c r="AC3" s="910"/>
      <c r="AD3" s="911"/>
      <c r="AE3" s="512">
        <v>1874354</v>
      </c>
      <c r="AF3" s="878">
        <v>7458.22</v>
      </c>
      <c r="AG3" s="512"/>
      <c r="AH3" s="878"/>
      <c r="AI3" s="464">
        <f>U3</f>
        <v>1874354</v>
      </c>
      <c r="AJ3" s="465">
        <f>V3+AF3+AB3+X3+Z3</f>
        <v>32953.42</v>
      </c>
      <c r="AK3" s="666"/>
      <c r="AL3" s="666"/>
      <c r="AM3" s="666"/>
      <c r="AN3" s="666"/>
      <c r="AO3" s="666"/>
      <c r="AP3" s="666"/>
      <c r="AQ3" s="666"/>
      <c r="AR3" s="666"/>
      <c r="AS3" s="666"/>
      <c r="AT3" s="666"/>
      <c r="AU3" s="666"/>
      <c r="AV3" s="666"/>
      <c r="AW3" s="666"/>
      <c r="AX3" s="666"/>
      <c r="AY3" s="666"/>
      <c r="AZ3" s="666"/>
      <c r="BA3" s="666"/>
      <c r="BB3" s="666"/>
      <c r="BC3" s="666"/>
      <c r="BD3" s="666"/>
      <c r="BE3" s="666"/>
      <c r="BF3" s="666"/>
      <c r="BG3" s="666"/>
      <c r="BH3" s="666"/>
      <c r="BI3" s="666"/>
      <c r="BJ3" s="666"/>
      <c r="BK3" s="666"/>
      <c r="BL3" s="666"/>
      <c r="BM3" s="666"/>
      <c r="BN3" s="666"/>
      <c r="BO3" s="666"/>
      <c r="BP3" s="666"/>
      <c r="BQ3" s="666"/>
      <c r="BR3" s="666"/>
      <c r="BS3" s="666"/>
      <c r="BT3" s="666"/>
      <c r="BU3" s="666"/>
      <c r="BV3" s="666"/>
      <c r="BW3" s="666"/>
      <c r="BX3" s="666"/>
      <c r="BY3" s="666"/>
      <c r="BZ3" s="666"/>
      <c r="CA3" s="666"/>
      <c r="CB3" s="666"/>
      <c r="CC3" s="666"/>
      <c r="CD3" s="666"/>
      <c r="CE3" s="666"/>
      <c r="CF3" s="666"/>
      <c r="CG3" s="666"/>
      <c r="CH3" s="666"/>
      <c r="CI3" s="666"/>
      <c r="CJ3" s="666"/>
      <c r="CK3" s="666"/>
      <c r="CL3" s="666"/>
      <c r="CM3" s="666"/>
      <c r="CN3" s="666"/>
      <c r="CO3" s="666"/>
      <c r="CP3" s="666"/>
      <c r="CQ3" s="666"/>
      <c r="CR3" s="666"/>
      <c r="CS3" s="666"/>
      <c r="CT3" s="666"/>
      <c r="CU3" s="666"/>
      <c r="CV3" s="666"/>
      <c r="CW3" s="666"/>
      <c r="CX3" s="666"/>
      <c r="CY3" s="666"/>
      <c r="CZ3" s="666"/>
      <c r="DA3" s="666"/>
      <c r="DB3" s="666"/>
      <c r="DC3" s="666"/>
      <c r="DD3" s="666"/>
      <c r="DE3" s="666"/>
      <c r="DF3" s="666"/>
      <c r="DG3" s="666"/>
      <c r="DH3" s="666"/>
      <c r="DI3" s="666"/>
      <c r="DJ3" s="666"/>
      <c r="DK3" s="666"/>
      <c r="DL3" s="666"/>
      <c r="DM3" s="666"/>
      <c r="DN3" s="666"/>
      <c r="DO3" s="666"/>
      <c r="DP3" s="666"/>
      <c r="DQ3" s="666"/>
      <c r="DR3" s="666"/>
      <c r="DS3" s="666"/>
      <c r="DT3" s="666"/>
      <c r="DU3" s="666"/>
      <c r="DV3" s="666"/>
      <c r="DW3" s="666"/>
      <c r="DX3" s="666"/>
      <c r="DY3" s="666"/>
      <c r="DZ3" s="666"/>
      <c r="EA3" s="666"/>
      <c r="EB3" s="666"/>
      <c r="EC3" s="666"/>
      <c r="ED3" s="666"/>
      <c r="EE3" s="666"/>
      <c r="EF3" s="666"/>
      <c r="EG3" s="666"/>
      <c r="EH3" s="666"/>
      <c r="EI3" s="666"/>
      <c r="EJ3" s="666"/>
      <c r="EK3" s="666"/>
      <c r="EL3" s="666"/>
      <c r="EM3" s="666"/>
      <c r="EN3" s="666"/>
      <c r="EO3" s="666"/>
      <c r="EP3" s="666"/>
      <c r="EQ3" s="666"/>
      <c r="ER3" s="666"/>
      <c r="ES3" s="666"/>
      <c r="ET3" s="666"/>
      <c r="EU3" s="666"/>
      <c r="EV3" s="666"/>
      <c r="EW3" s="666"/>
      <c r="EX3" s="666"/>
      <c r="EY3" s="666"/>
      <c r="EZ3" s="666"/>
      <c r="FA3" s="666"/>
      <c r="FB3" s="666"/>
      <c r="FC3" s="666"/>
      <c r="FD3" s="666"/>
      <c r="FE3" s="666"/>
      <c r="FF3" s="666"/>
      <c r="FG3" s="666"/>
      <c r="FH3" s="666"/>
      <c r="FI3" s="666"/>
      <c r="FJ3" s="666"/>
      <c r="FK3" s="666"/>
      <c r="FL3" s="666"/>
      <c r="FM3" s="666"/>
      <c r="FN3" s="666"/>
      <c r="FO3" s="666"/>
      <c r="FP3" s="666"/>
      <c r="FQ3" s="666"/>
      <c r="FR3" s="666"/>
      <c r="FS3" s="666"/>
      <c r="FT3" s="666"/>
      <c r="FU3" s="666"/>
      <c r="FV3" s="666"/>
      <c r="FW3" s="666"/>
      <c r="FX3" s="666"/>
      <c r="FY3" s="666"/>
      <c r="FZ3" s="666"/>
      <c r="GA3" s="666"/>
      <c r="GB3" s="666"/>
      <c r="GC3" s="666"/>
      <c r="GD3" s="666"/>
      <c r="GE3" s="666"/>
      <c r="GF3" s="666"/>
      <c r="GG3" s="666"/>
      <c r="GH3" s="666"/>
      <c r="GI3" s="666"/>
      <c r="GJ3" s="666"/>
      <c r="GK3" s="666"/>
      <c r="GL3" s="666"/>
      <c r="GM3" s="666"/>
      <c r="GN3" s="666"/>
      <c r="GO3" s="666"/>
      <c r="GP3" s="666"/>
      <c r="GQ3" s="666"/>
      <c r="GR3" s="666"/>
      <c r="GS3" s="666"/>
      <c r="GT3" s="666"/>
      <c r="GU3" s="666"/>
      <c r="GV3" s="666"/>
      <c r="GW3" s="666"/>
      <c r="GX3" s="666"/>
      <c r="GY3" s="666"/>
      <c r="GZ3" s="666"/>
      <c r="HA3" s="666"/>
      <c r="HB3" s="666"/>
      <c r="HC3" s="666"/>
      <c r="HD3" s="666"/>
      <c r="HE3" s="666"/>
      <c r="HF3" s="666"/>
      <c r="HG3" s="666"/>
      <c r="HH3" s="666"/>
      <c r="HI3" s="666"/>
      <c r="HJ3" s="666"/>
      <c r="HK3" s="666"/>
      <c r="HL3" s="666"/>
      <c r="HM3" s="666"/>
      <c r="HN3" s="666"/>
      <c r="HO3" s="666"/>
      <c r="HP3" s="666"/>
      <c r="HQ3" s="666"/>
      <c r="HR3" s="666"/>
      <c r="HS3" s="666"/>
      <c r="HT3" s="666"/>
      <c r="HU3" s="666"/>
      <c r="HV3" s="666"/>
      <c r="HW3" s="666"/>
      <c r="HX3" s="666"/>
      <c r="HY3" s="666"/>
      <c r="HZ3" s="666"/>
      <c r="IA3" s="666"/>
      <c r="IB3" s="666"/>
      <c r="IC3" s="666"/>
      <c r="ID3" s="666"/>
      <c r="IE3" s="666"/>
      <c r="IF3" s="666"/>
      <c r="IG3" s="666"/>
      <c r="IH3" s="666"/>
      <c r="II3" s="666"/>
      <c r="IJ3" s="666"/>
      <c r="IK3" s="666"/>
      <c r="IL3" s="666"/>
      <c r="IM3" s="666"/>
      <c r="IN3" s="666"/>
      <c r="IO3" s="666"/>
      <c r="IP3" s="666"/>
      <c r="IQ3" s="666"/>
      <c r="IR3" s="666"/>
      <c r="IS3" s="666"/>
      <c r="IT3" s="666"/>
      <c r="IU3" s="666"/>
      <c r="IV3" s="666"/>
      <c r="IW3" s="666"/>
      <c r="IX3" s="666"/>
      <c r="IY3" s="666"/>
      <c r="IZ3" s="666"/>
      <c r="JA3" s="666"/>
      <c r="JB3" s="666"/>
      <c r="JC3" s="666"/>
      <c r="JD3" s="666"/>
      <c r="JE3" s="666"/>
      <c r="JF3" s="666"/>
      <c r="JG3" s="666"/>
      <c r="JH3" s="666"/>
      <c r="JI3" s="666"/>
      <c r="JJ3" s="666"/>
      <c r="JK3" s="666"/>
      <c r="JL3" s="666"/>
      <c r="JM3" s="666"/>
      <c r="JN3" s="666"/>
      <c r="JO3" s="666"/>
      <c r="JP3" s="666"/>
      <c r="JQ3" s="666"/>
      <c r="JR3" s="666"/>
      <c r="JS3" s="666"/>
      <c r="JT3" s="666"/>
      <c r="JU3" s="666"/>
      <c r="JV3" s="666"/>
      <c r="JW3" s="666"/>
      <c r="JX3" s="666"/>
      <c r="JY3" s="666"/>
      <c r="JZ3" s="666"/>
      <c r="KA3" s="666"/>
      <c r="KB3" s="666"/>
      <c r="KC3" s="666"/>
      <c r="KD3" s="666"/>
      <c r="KE3" s="666"/>
      <c r="KF3" s="666"/>
      <c r="KG3" s="666"/>
      <c r="KH3" s="666"/>
      <c r="KI3" s="666"/>
      <c r="KJ3" s="666"/>
      <c r="KK3" s="666"/>
      <c r="KL3" s="666"/>
      <c r="KM3" s="666"/>
      <c r="KN3" s="666"/>
      <c r="KO3" s="666"/>
      <c r="KP3" s="666"/>
      <c r="KQ3" s="666"/>
      <c r="KR3" s="666"/>
      <c r="KS3" s="666"/>
      <c r="KT3" s="666"/>
      <c r="KU3" s="666"/>
      <c r="KV3" s="666"/>
      <c r="KW3" s="666"/>
      <c r="KX3" s="666"/>
      <c r="KY3" s="666"/>
      <c r="KZ3" s="666"/>
      <c r="LA3" s="666"/>
      <c r="LB3" s="666"/>
      <c r="LC3" s="666"/>
      <c r="LD3" s="666"/>
      <c r="LE3" s="666"/>
      <c r="LF3" s="666"/>
      <c r="LG3" s="666"/>
      <c r="LH3" s="666"/>
      <c r="LI3" s="666"/>
      <c r="LJ3" s="666"/>
      <c r="LK3" s="666"/>
      <c r="LL3" s="666"/>
      <c r="LM3" s="666"/>
      <c r="LN3" s="666"/>
      <c r="LO3" s="666"/>
      <c r="LP3" s="666"/>
      <c r="LQ3" s="666"/>
      <c r="LR3" s="666"/>
      <c r="LS3" s="666"/>
      <c r="LT3" s="666"/>
      <c r="LU3" s="666"/>
      <c r="LV3" s="666"/>
      <c r="LW3" s="666"/>
      <c r="LX3" s="666"/>
      <c r="LY3" s="666"/>
      <c r="LZ3" s="666"/>
      <c r="MA3" s="666"/>
      <c r="MB3" s="666"/>
      <c r="MC3" s="666"/>
      <c r="MD3" s="666"/>
      <c r="ME3" s="666"/>
      <c r="MF3" s="666"/>
      <c r="MG3" s="666"/>
      <c r="MH3" s="666"/>
      <c r="MI3" s="666"/>
      <c r="MJ3" s="666"/>
      <c r="MK3" s="666"/>
    </row>
    <row r="4" spans="1:349" s="158" customFormat="1">
      <c r="A4" s="606"/>
      <c r="B4" s="528"/>
      <c r="C4" s="528"/>
      <c r="D4" s="528"/>
      <c r="E4" s="528"/>
      <c r="F4" s="528"/>
      <c r="G4" s="528"/>
      <c r="H4" s="528"/>
      <c r="I4" s="528"/>
      <c r="J4" s="528"/>
      <c r="K4" s="632"/>
      <c r="L4" s="667"/>
      <c r="M4" s="409"/>
      <c r="N4" s="409"/>
      <c r="O4" s="556"/>
      <c r="P4" s="409"/>
      <c r="Q4" s="409"/>
      <c r="R4" s="409"/>
      <c r="S4" s="409"/>
      <c r="T4" s="557"/>
      <c r="U4" s="918"/>
      <c r="V4" s="919"/>
      <c r="W4" s="918"/>
      <c r="X4" s="919"/>
      <c r="Y4" s="842"/>
      <c r="Z4" s="844"/>
      <c r="AA4" s="920"/>
      <c r="AB4" s="628"/>
      <c r="AC4" s="887"/>
      <c r="AD4" s="888"/>
      <c r="AE4" s="889"/>
      <c r="AF4" s="921"/>
      <c r="AG4" s="889"/>
      <c r="AH4" s="921"/>
      <c r="AI4" s="464"/>
      <c r="AJ4" s="465"/>
      <c r="AK4" s="666"/>
      <c r="AL4" s="666"/>
      <c r="AM4" s="666"/>
      <c r="AN4" s="666"/>
      <c r="AO4" s="666"/>
      <c r="AP4" s="666"/>
      <c r="AQ4" s="666"/>
      <c r="AR4" s="666"/>
      <c r="AS4" s="666"/>
      <c r="AT4" s="666"/>
      <c r="AU4" s="666"/>
      <c r="AV4" s="666"/>
      <c r="AW4" s="666"/>
      <c r="AX4" s="666"/>
      <c r="AY4" s="666"/>
      <c r="AZ4" s="666"/>
      <c r="BA4" s="666"/>
      <c r="BB4" s="666"/>
      <c r="BC4" s="666"/>
      <c r="BD4" s="666"/>
      <c r="BE4" s="666"/>
      <c r="BF4" s="666"/>
      <c r="BG4" s="666"/>
      <c r="BH4" s="666"/>
      <c r="BI4" s="666"/>
      <c r="BJ4" s="666"/>
      <c r="BK4" s="666"/>
      <c r="BL4" s="666"/>
      <c r="BM4" s="666"/>
      <c r="BN4" s="666"/>
      <c r="BO4" s="666"/>
      <c r="BP4" s="666"/>
      <c r="BQ4" s="666"/>
      <c r="BR4" s="666"/>
      <c r="BS4" s="666"/>
      <c r="BT4" s="666"/>
      <c r="BU4" s="666"/>
      <c r="BV4" s="666"/>
      <c r="BW4" s="666"/>
      <c r="BX4" s="666"/>
      <c r="BY4" s="666"/>
      <c r="BZ4" s="666"/>
      <c r="CA4" s="666"/>
      <c r="CB4" s="666"/>
      <c r="CC4" s="666"/>
      <c r="CD4" s="666"/>
      <c r="CE4" s="666"/>
      <c r="CF4" s="666"/>
      <c r="CG4" s="666"/>
      <c r="CH4" s="666"/>
      <c r="CI4" s="666"/>
      <c r="CJ4" s="666"/>
      <c r="CK4" s="666"/>
      <c r="CL4" s="666"/>
      <c r="CM4" s="666"/>
      <c r="CN4" s="666"/>
      <c r="CO4" s="666"/>
      <c r="CP4" s="666"/>
      <c r="CQ4" s="666"/>
      <c r="CR4" s="666"/>
      <c r="CS4" s="666"/>
      <c r="CT4" s="666"/>
      <c r="CU4" s="666"/>
      <c r="CV4" s="666"/>
      <c r="CW4" s="666"/>
      <c r="CX4" s="666"/>
      <c r="CY4" s="666"/>
      <c r="CZ4" s="666"/>
      <c r="DA4" s="666"/>
      <c r="DB4" s="666"/>
      <c r="DC4" s="666"/>
      <c r="DD4" s="666"/>
      <c r="DE4" s="666"/>
      <c r="DF4" s="666"/>
      <c r="DG4" s="666"/>
      <c r="DH4" s="666"/>
      <c r="DI4" s="666"/>
      <c r="DJ4" s="666"/>
      <c r="DK4" s="666"/>
      <c r="DL4" s="666"/>
      <c r="DM4" s="666"/>
      <c r="DN4" s="666"/>
      <c r="DO4" s="666"/>
      <c r="DP4" s="666"/>
      <c r="DQ4" s="666"/>
      <c r="DR4" s="666"/>
      <c r="DS4" s="666"/>
      <c r="DT4" s="666"/>
      <c r="DU4" s="666"/>
      <c r="DV4" s="666"/>
      <c r="DW4" s="666"/>
      <c r="DX4" s="666"/>
      <c r="DY4" s="666"/>
      <c r="DZ4" s="666"/>
      <c r="EA4" s="666"/>
      <c r="EB4" s="666"/>
      <c r="EC4" s="666"/>
      <c r="ED4" s="666"/>
      <c r="EE4" s="666"/>
      <c r="EF4" s="666"/>
      <c r="EG4" s="666"/>
      <c r="EH4" s="666"/>
      <c r="EI4" s="666"/>
      <c r="EJ4" s="666"/>
      <c r="EK4" s="666"/>
      <c r="EL4" s="666"/>
      <c r="EM4" s="666"/>
      <c r="EN4" s="666"/>
      <c r="EO4" s="666"/>
      <c r="EP4" s="666"/>
      <c r="EQ4" s="666"/>
      <c r="ER4" s="666"/>
      <c r="ES4" s="666"/>
      <c r="ET4" s="666"/>
      <c r="EU4" s="666"/>
      <c r="EV4" s="666"/>
      <c r="EW4" s="666"/>
      <c r="EX4" s="666"/>
      <c r="EY4" s="666"/>
      <c r="EZ4" s="666"/>
      <c r="FA4" s="666"/>
      <c r="FB4" s="666"/>
      <c r="FC4" s="666"/>
      <c r="FD4" s="666"/>
      <c r="FE4" s="666"/>
      <c r="FF4" s="666"/>
      <c r="FG4" s="666"/>
      <c r="FH4" s="666"/>
      <c r="FI4" s="666"/>
      <c r="FJ4" s="666"/>
      <c r="FK4" s="666"/>
      <c r="FL4" s="666"/>
      <c r="FM4" s="666"/>
      <c r="FN4" s="666"/>
      <c r="FO4" s="666"/>
      <c r="FP4" s="666"/>
      <c r="FQ4" s="666"/>
      <c r="FR4" s="666"/>
      <c r="FS4" s="666"/>
      <c r="FT4" s="666"/>
      <c r="FU4" s="666"/>
      <c r="FV4" s="666"/>
      <c r="FW4" s="666"/>
      <c r="FX4" s="666"/>
      <c r="FY4" s="666"/>
      <c r="FZ4" s="666"/>
      <c r="GA4" s="666"/>
      <c r="GB4" s="666"/>
      <c r="GC4" s="666"/>
      <c r="GD4" s="666"/>
      <c r="GE4" s="666"/>
      <c r="GF4" s="666"/>
      <c r="GG4" s="666"/>
      <c r="GH4" s="666"/>
      <c r="GI4" s="666"/>
      <c r="GJ4" s="666"/>
      <c r="GK4" s="666"/>
      <c r="GL4" s="666"/>
      <c r="GM4" s="666"/>
      <c r="GN4" s="666"/>
      <c r="GO4" s="666"/>
      <c r="GP4" s="666"/>
      <c r="GQ4" s="666"/>
      <c r="GR4" s="666"/>
      <c r="GS4" s="666"/>
      <c r="GT4" s="666"/>
      <c r="GU4" s="666"/>
      <c r="GV4" s="666"/>
      <c r="GW4" s="666"/>
      <c r="GX4" s="666"/>
      <c r="GY4" s="666"/>
      <c r="GZ4" s="666"/>
      <c r="HA4" s="666"/>
      <c r="HB4" s="666"/>
      <c r="HC4" s="666"/>
      <c r="HD4" s="666"/>
      <c r="HE4" s="666"/>
      <c r="HF4" s="666"/>
      <c r="HG4" s="666"/>
      <c r="HH4" s="666"/>
      <c r="HI4" s="666"/>
      <c r="HJ4" s="666"/>
      <c r="HK4" s="666"/>
      <c r="HL4" s="666"/>
      <c r="HM4" s="666"/>
      <c r="HN4" s="666"/>
      <c r="HO4" s="666"/>
      <c r="HP4" s="666"/>
      <c r="HQ4" s="666"/>
      <c r="HR4" s="666"/>
      <c r="HS4" s="666"/>
      <c r="HT4" s="666"/>
      <c r="HU4" s="666"/>
      <c r="HV4" s="666"/>
      <c r="HW4" s="666"/>
      <c r="HX4" s="666"/>
      <c r="HY4" s="666"/>
      <c r="HZ4" s="666"/>
      <c r="IA4" s="666"/>
      <c r="IB4" s="666"/>
      <c r="IC4" s="666"/>
      <c r="ID4" s="666"/>
      <c r="IE4" s="666"/>
      <c r="IF4" s="666"/>
      <c r="IG4" s="666"/>
      <c r="IH4" s="666"/>
      <c r="II4" s="666"/>
      <c r="IJ4" s="666"/>
      <c r="IK4" s="666"/>
      <c r="IL4" s="666"/>
      <c r="IM4" s="666"/>
      <c r="IN4" s="666"/>
      <c r="IO4" s="666"/>
      <c r="IP4" s="666"/>
      <c r="IQ4" s="666"/>
      <c r="IR4" s="666"/>
      <c r="IS4" s="666"/>
      <c r="IT4" s="666"/>
      <c r="IU4" s="666"/>
      <c r="IV4" s="666"/>
      <c r="IW4" s="666"/>
      <c r="IX4" s="666"/>
      <c r="IY4" s="666"/>
      <c r="IZ4" s="666"/>
      <c r="JA4" s="666"/>
      <c r="JB4" s="666"/>
      <c r="JC4" s="666"/>
      <c r="JD4" s="666"/>
      <c r="JE4" s="666"/>
      <c r="JF4" s="666"/>
      <c r="JG4" s="666"/>
      <c r="JH4" s="666"/>
      <c r="JI4" s="666"/>
      <c r="JJ4" s="666"/>
      <c r="JK4" s="666"/>
      <c r="JL4" s="666"/>
      <c r="JM4" s="666"/>
      <c r="JN4" s="666"/>
      <c r="JO4" s="666"/>
      <c r="JP4" s="666"/>
      <c r="JQ4" s="666"/>
      <c r="JR4" s="666"/>
      <c r="JS4" s="666"/>
      <c r="JT4" s="666"/>
      <c r="JU4" s="666"/>
      <c r="JV4" s="666"/>
      <c r="JW4" s="666"/>
      <c r="JX4" s="666"/>
      <c r="JY4" s="666"/>
      <c r="JZ4" s="666"/>
      <c r="KA4" s="666"/>
      <c r="KB4" s="666"/>
      <c r="KC4" s="666"/>
      <c r="KD4" s="666"/>
      <c r="KE4" s="666"/>
      <c r="KF4" s="666"/>
      <c r="KG4" s="666"/>
      <c r="KH4" s="666"/>
      <c r="KI4" s="666"/>
      <c r="KJ4" s="666"/>
      <c r="KK4" s="666"/>
      <c r="KL4" s="666"/>
      <c r="KM4" s="666"/>
      <c r="KN4" s="666"/>
      <c r="KO4" s="666"/>
      <c r="KP4" s="666"/>
      <c r="KQ4" s="666"/>
      <c r="KR4" s="666"/>
      <c r="KS4" s="666"/>
      <c r="KT4" s="666"/>
      <c r="KU4" s="666"/>
      <c r="KV4" s="666"/>
      <c r="KW4" s="666"/>
      <c r="KX4" s="666"/>
      <c r="KY4" s="666"/>
      <c r="KZ4" s="666"/>
      <c r="LA4" s="666"/>
      <c r="LB4" s="666"/>
      <c r="LC4" s="666"/>
      <c r="LD4" s="666"/>
      <c r="LE4" s="666"/>
      <c r="LF4" s="666"/>
      <c r="LG4" s="666"/>
      <c r="LH4" s="666"/>
      <c r="LI4" s="666"/>
      <c r="LJ4" s="666"/>
      <c r="LK4" s="666"/>
      <c r="LL4" s="666"/>
      <c r="LM4" s="666"/>
      <c r="LN4" s="666"/>
      <c r="LO4" s="666"/>
      <c r="LP4" s="666"/>
      <c r="LQ4" s="666"/>
      <c r="LR4" s="666"/>
      <c r="LS4" s="666"/>
      <c r="LT4" s="666"/>
      <c r="LU4" s="666"/>
      <c r="LV4" s="666"/>
      <c r="LW4" s="666"/>
      <c r="LX4" s="666"/>
      <c r="LY4" s="666"/>
      <c r="LZ4" s="666"/>
      <c r="MA4" s="666"/>
      <c r="MB4" s="666"/>
      <c r="MC4" s="666"/>
      <c r="MD4" s="666"/>
      <c r="ME4" s="666"/>
      <c r="MF4" s="666"/>
      <c r="MG4" s="666"/>
      <c r="MH4" s="666"/>
      <c r="MI4" s="666"/>
      <c r="MJ4" s="666"/>
      <c r="MK4" s="666"/>
    </row>
    <row r="5" spans="1:349" s="163" customFormat="1" ht="3.75" customHeight="1">
      <c r="A5" s="574"/>
      <c r="B5" s="13"/>
      <c r="C5" s="13"/>
      <c r="D5" s="13"/>
      <c r="E5" s="13"/>
      <c r="F5" s="13"/>
      <c r="G5" s="13"/>
      <c r="H5" s="13"/>
      <c r="I5" s="13"/>
      <c r="J5" s="13"/>
      <c r="K5" s="13"/>
      <c r="L5" s="583">
        <f t="shared" ref="L5" si="0">A5</f>
        <v>0</v>
      </c>
      <c r="M5" s="13"/>
      <c r="N5" s="13"/>
      <c r="O5" s="515"/>
      <c r="P5" s="13"/>
      <c r="Q5" s="13"/>
      <c r="R5" s="13"/>
      <c r="S5" s="13"/>
      <c r="T5" s="519"/>
      <c r="U5" s="516"/>
      <c r="V5" s="517"/>
      <c r="W5" s="516"/>
      <c r="X5" s="517"/>
      <c r="Y5" s="516"/>
      <c r="Z5" s="517"/>
      <c r="AA5" s="516"/>
      <c r="AB5" s="517"/>
      <c r="AC5" s="516"/>
      <c r="AD5" s="517"/>
      <c r="AE5" s="516"/>
      <c r="AF5" s="518"/>
      <c r="AG5" s="516"/>
      <c r="AH5" s="518"/>
      <c r="AI5" s="520"/>
      <c r="AJ5" s="521"/>
    </row>
    <row r="6" spans="1:349" s="158" customFormat="1" ht="15.75">
      <c r="A6" s="645">
        <v>1461</v>
      </c>
      <c r="B6" s="644">
        <v>770</v>
      </c>
      <c r="C6" s="644" t="s">
        <v>982</v>
      </c>
      <c r="D6" s="644"/>
      <c r="E6" s="644"/>
      <c r="F6" s="409"/>
      <c r="G6" s="644"/>
      <c r="H6" s="644"/>
      <c r="I6" s="644"/>
      <c r="J6" s="644"/>
      <c r="K6" s="864"/>
      <c r="L6" s="815" t="s">
        <v>984</v>
      </c>
      <c r="M6" s="529"/>
      <c r="N6" s="541"/>
      <c r="O6" s="865"/>
      <c r="P6" s="541"/>
      <c r="Q6" s="541"/>
      <c r="R6" s="541"/>
      <c r="S6" s="541"/>
      <c r="T6" s="866"/>
      <c r="U6" s="840">
        <v>1874369</v>
      </c>
      <c r="V6" s="845">
        <v>22471.88</v>
      </c>
      <c r="W6" s="462"/>
      <c r="X6" s="909"/>
      <c r="Y6" s="842">
        <v>1874248</v>
      </c>
      <c r="Z6" s="844">
        <v>2544.81</v>
      </c>
      <c r="AA6" s="511"/>
      <c r="AB6" s="917"/>
      <c r="AC6" s="910"/>
      <c r="AD6" s="911"/>
      <c r="AE6" s="512">
        <v>1874369</v>
      </c>
      <c r="AF6" s="878">
        <v>6995.77</v>
      </c>
      <c r="AG6" s="512"/>
      <c r="AH6" s="878"/>
      <c r="AI6" s="464">
        <f>U6</f>
        <v>1874369</v>
      </c>
      <c r="AJ6" s="465">
        <f>V6+AF6+AB6+X6+Z6</f>
        <v>32012.460000000003</v>
      </c>
      <c r="AK6" s="666"/>
      <c r="AL6" s="666"/>
      <c r="AM6" s="666"/>
      <c r="AN6" s="666"/>
      <c r="AO6" s="666"/>
      <c r="AP6" s="666"/>
      <c r="AQ6" s="666"/>
      <c r="AR6" s="666"/>
      <c r="AS6" s="666"/>
      <c r="AT6" s="666"/>
      <c r="AU6" s="666"/>
      <c r="AV6" s="666"/>
      <c r="AW6" s="666"/>
      <c r="AX6" s="666"/>
      <c r="AY6" s="666"/>
      <c r="AZ6" s="666"/>
      <c r="BA6" s="666"/>
      <c r="BB6" s="666"/>
      <c r="BC6" s="666"/>
      <c r="BD6" s="666"/>
      <c r="BE6" s="666"/>
      <c r="BF6" s="666"/>
      <c r="BG6" s="666"/>
      <c r="BH6" s="666"/>
      <c r="BI6" s="666"/>
      <c r="BJ6" s="666"/>
      <c r="BK6" s="666"/>
      <c r="BL6" s="666"/>
      <c r="BM6" s="666"/>
      <c r="BN6" s="666"/>
      <c r="BO6" s="666"/>
      <c r="BP6" s="666"/>
      <c r="BQ6" s="666"/>
      <c r="BR6" s="666"/>
      <c r="BS6" s="666"/>
      <c r="BT6" s="666"/>
      <c r="BU6" s="666"/>
      <c r="BV6" s="666"/>
      <c r="BW6" s="666"/>
      <c r="BX6" s="666"/>
      <c r="BY6" s="666"/>
      <c r="BZ6" s="666"/>
      <c r="CA6" s="666"/>
      <c r="CB6" s="666"/>
      <c r="CC6" s="666"/>
      <c r="CD6" s="666"/>
      <c r="CE6" s="666"/>
      <c r="CF6" s="666"/>
      <c r="CG6" s="666"/>
      <c r="CH6" s="666"/>
      <c r="CI6" s="666"/>
      <c r="CJ6" s="666"/>
      <c r="CK6" s="666"/>
      <c r="CL6" s="666"/>
      <c r="CM6" s="666"/>
      <c r="CN6" s="666"/>
      <c r="CO6" s="666"/>
      <c r="CP6" s="666"/>
      <c r="CQ6" s="666"/>
      <c r="CR6" s="666"/>
      <c r="CS6" s="666"/>
      <c r="CT6" s="666"/>
      <c r="CU6" s="666"/>
      <c r="CV6" s="666"/>
      <c r="CW6" s="666"/>
      <c r="CX6" s="666"/>
      <c r="CY6" s="666"/>
      <c r="CZ6" s="666"/>
      <c r="DA6" s="666"/>
      <c r="DB6" s="666"/>
      <c r="DC6" s="666"/>
      <c r="DD6" s="666"/>
      <c r="DE6" s="666"/>
      <c r="DF6" s="666"/>
      <c r="DG6" s="666"/>
      <c r="DH6" s="666"/>
      <c r="DI6" s="666"/>
      <c r="DJ6" s="666"/>
      <c r="DK6" s="666"/>
      <c r="DL6" s="666"/>
      <c r="DM6" s="666"/>
      <c r="DN6" s="666"/>
      <c r="DO6" s="666"/>
      <c r="DP6" s="666"/>
      <c r="DQ6" s="666"/>
      <c r="DR6" s="666"/>
      <c r="DS6" s="666"/>
      <c r="DT6" s="666"/>
      <c r="DU6" s="666"/>
      <c r="DV6" s="666"/>
      <c r="DW6" s="666"/>
      <c r="DX6" s="666"/>
      <c r="DY6" s="666"/>
      <c r="DZ6" s="666"/>
      <c r="EA6" s="666"/>
      <c r="EB6" s="666"/>
      <c r="EC6" s="666"/>
      <c r="ED6" s="666"/>
      <c r="EE6" s="666"/>
      <c r="EF6" s="666"/>
      <c r="EG6" s="666"/>
      <c r="EH6" s="666"/>
      <c r="EI6" s="666"/>
      <c r="EJ6" s="666"/>
      <c r="EK6" s="666"/>
      <c r="EL6" s="666"/>
      <c r="EM6" s="666"/>
      <c r="EN6" s="666"/>
      <c r="EO6" s="666"/>
      <c r="EP6" s="666"/>
      <c r="EQ6" s="666"/>
      <c r="ER6" s="666"/>
      <c r="ES6" s="666"/>
      <c r="ET6" s="666"/>
      <c r="EU6" s="666"/>
      <c r="EV6" s="666"/>
      <c r="EW6" s="666"/>
      <c r="EX6" s="666"/>
      <c r="EY6" s="666"/>
      <c r="EZ6" s="666"/>
      <c r="FA6" s="666"/>
      <c r="FB6" s="666"/>
      <c r="FC6" s="666"/>
      <c r="FD6" s="666"/>
      <c r="FE6" s="666"/>
      <c r="FF6" s="666"/>
      <c r="FG6" s="666"/>
      <c r="FH6" s="666"/>
      <c r="FI6" s="666"/>
      <c r="FJ6" s="666"/>
      <c r="FK6" s="666"/>
      <c r="FL6" s="666"/>
      <c r="FM6" s="666"/>
      <c r="FN6" s="666"/>
      <c r="FO6" s="666"/>
      <c r="FP6" s="666"/>
      <c r="FQ6" s="666"/>
      <c r="FR6" s="666"/>
      <c r="FS6" s="666"/>
      <c r="FT6" s="666"/>
      <c r="FU6" s="666"/>
      <c r="FV6" s="666"/>
      <c r="FW6" s="666"/>
      <c r="FX6" s="666"/>
      <c r="FY6" s="666"/>
      <c r="FZ6" s="666"/>
      <c r="GA6" s="666"/>
      <c r="GB6" s="666"/>
      <c r="GC6" s="666"/>
      <c r="GD6" s="666"/>
      <c r="GE6" s="666"/>
      <c r="GF6" s="666"/>
      <c r="GG6" s="666"/>
      <c r="GH6" s="666"/>
      <c r="GI6" s="666"/>
      <c r="GJ6" s="666"/>
      <c r="GK6" s="666"/>
      <c r="GL6" s="666"/>
      <c r="GM6" s="666"/>
      <c r="GN6" s="666"/>
      <c r="GO6" s="666"/>
      <c r="GP6" s="666"/>
      <c r="GQ6" s="666"/>
      <c r="GR6" s="666"/>
      <c r="GS6" s="666"/>
      <c r="GT6" s="666"/>
      <c r="GU6" s="666"/>
      <c r="GV6" s="666"/>
      <c r="GW6" s="666"/>
      <c r="GX6" s="666"/>
      <c r="GY6" s="666"/>
      <c r="GZ6" s="666"/>
      <c r="HA6" s="666"/>
      <c r="HB6" s="666"/>
      <c r="HC6" s="666"/>
      <c r="HD6" s="666"/>
      <c r="HE6" s="666"/>
      <c r="HF6" s="666"/>
      <c r="HG6" s="666"/>
      <c r="HH6" s="666"/>
      <c r="HI6" s="666"/>
      <c r="HJ6" s="666"/>
      <c r="HK6" s="666"/>
      <c r="HL6" s="666"/>
      <c r="HM6" s="666"/>
      <c r="HN6" s="666"/>
      <c r="HO6" s="666"/>
      <c r="HP6" s="666"/>
      <c r="HQ6" s="666"/>
      <c r="HR6" s="666"/>
      <c r="HS6" s="666"/>
      <c r="HT6" s="666"/>
      <c r="HU6" s="666"/>
      <c r="HV6" s="666"/>
      <c r="HW6" s="666"/>
      <c r="HX6" s="666"/>
      <c r="HY6" s="666"/>
      <c r="HZ6" s="666"/>
      <c r="IA6" s="666"/>
      <c r="IB6" s="666"/>
      <c r="IC6" s="666"/>
      <c r="ID6" s="666"/>
      <c r="IE6" s="666"/>
      <c r="IF6" s="666"/>
      <c r="IG6" s="666"/>
      <c r="IH6" s="666"/>
      <c r="II6" s="666"/>
      <c r="IJ6" s="666"/>
      <c r="IK6" s="666"/>
      <c r="IL6" s="666"/>
      <c r="IM6" s="666"/>
      <c r="IN6" s="666"/>
      <c r="IO6" s="666"/>
      <c r="IP6" s="666"/>
      <c r="IQ6" s="666"/>
      <c r="IR6" s="666"/>
      <c r="IS6" s="666"/>
      <c r="IT6" s="666"/>
      <c r="IU6" s="666"/>
      <c r="IV6" s="666"/>
      <c r="IW6" s="666"/>
      <c r="IX6" s="666"/>
      <c r="IY6" s="666"/>
      <c r="IZ6" s="666"/>
      <c r="JA6" s="666"/>
      <c r="JB6" s="666"/>
      <c r="JC6" s="666"/>
      <c r="JD6" s="666"/>
      <c r="JE6" s="666"/>
      <c r="JF6" s="666"/>
      <c r="JG6" s="666"/>
      <c r="JH6" s="666"/>
      <c r="JI6" s="666"/>
      <c r="JJ6" s="666"/>
      <c r="JK6" s="666"/>
      <c r="JL6" s="666"/>
      <c r="JM6" s="666"/>
      <c r="JN6" s="666"/>
      <c r="JO6" s="666"/>
      <c r="JP6" s="666"/>
      <c r="JQ6" s="666"/>
      <c r="JR6" s="666"/>
      <c r="JS6" s="666"/>
      <c r="JT6" s="666"/>
      <c r="JU6" s="666"/>
      <c r="JV6" s="666"/>
      <c r="JW6" s="666"/>
      <c r="JX6" s="666"/>
      <c r="JY6" s="666"/>
      <c r="JZ6" s="666"/>
      <c r="KA6" s="666"/>
      <c r="KB6" s="666"/>
      <c r="KC6" s="666"/>
      <c r="KD6" s="666"/>
      <c r="KE6" s="666"/>
      <c r="KF6" s="666"/>
      <c r="KG6" s="666"/>
      <c r="KH6" s="666"/>
      <c r="KI6" s="666"/>
      <c r="KJ6" s="666"/>
      <c r="KK6" s="666"/>
      <c r="KL6" s="666"/>
      <c r="KM6" s="666"/>
      <c r="KN6" s="666"/>
      <c r="KO6" s="666"/>
      <c r="KP6" s="666"/>
      <c r="KQ6" s="666"/>
      <c r="KR6" s="666"/>
      <c r="KS6" s="666"/>
      <c r="KT6" s="666"/>
      <c r="KU6" s="666"/>
      <c r="KV6" s="666"/>
      <c r="KW6" s="666"/>
      <c r="KX6" s="666"/>
      <c r="KY6" s="666"/>
      <c r="KZ6" s="666"/>
      <c r="LA6" s="666"/>
      <c r="LB6" s="666"/>
      <c r="LC6" s="666"/>
      <c r="LD6" s="666"/>
      <c r="LE6" s="666"/>
      <c r="LF6" s="666"/>
      <c r="LG6" s="666"/>
      <c r="LH6" s="666"/>
      <c r="LI6" s="666"/>
      <c r="LJ6" s="666"/>
      <c r="LK6" s="666"/>
      <c r="LL6" s="666"/>
      <c r="LM6" s="666"/>
      <c r="LN6" s="666"/>
      <c r="LO6" s="666"/>
      <c r="LP6" s="666"/>
      <c r="LQ6" s="666"/>
      <c r="LR6" s="666"/>
      <c r="LS6" s="666"/>
      <c r="LT6" s="666"/>
      <c r="LU6" s="666"/>
      <c r="LV6" s="666"/>
      <c r="LW6" s="666"/>
      <c r="LX6" s="666"/>
      <c r="LY6" s="666"/>
      <c r="LZ6" s="666"/>
      <c r="MA6" s="666"/>
      <c r="MB6" s="666"/>
      <c r="MC6" s="666"/>
      <c r="MD6" s="666"/>
      <c r="ME6" s="666"/>
      <c r="MF6" s="666"/>
      <c r="MG6" s="666"/>
      <c r="MH6" s="666"/>
      <c r="MI6" s="666"/>
      <c r="MJ6" s="666"/>
      <c r="MK6" s="666"/>
    </row>
    <row r="7" spans="1:349" s="158" customFormat="1">
      <c r="A7" s="606"/>
      <c r="B7" s="528"/>
      <c r="C7" s="528"/>
      <c r="D7" s="528"/>
      <c r="E7" s="528"/>
      <c r="F7" s="528"/>
      <c r="G7" s="528"/>
      <c r="H7" s="528"/>
      <c r="I7" s="528"/>
      <c r="J7" s="528"/>
      <c r="K7" s="632"/>
      <c r="L7" s="667"/>
      <c r="M7" s="409"/>
      <c r="N7" s="409"/>
      <c r="O7" s="556"/>
      <c r="P7" s="409"/>
      <c r="Q7" s="409"/>
      <c r="R7" s="409"/>
      <c r="S7" s="409"/>
      <c r="T7" s="557"/>
      <c r="U7" s="918"/>
      <c r="V7" s="919"/>
      <c r="W7" s="918"/>
      <c r="X7" s="919"/>
      <c r="Y7" s="842"/>
      <c r="Z7" s="844"/>
      <c r="AA7" s="920"/>
      <c r="AB7" s="628"/>
      <c r="AC7" s="887"/>
      <c r="AD7" s="888"/>
      <c r="AE7" s="889"/>
      <c r="AF7" s="921"/>
      <c r="AG7" s="889"/>
      <c r="AH7" s="921"/>
      <c r="AI7" s="464"/>
      <c r="AJ7" s="465"/>
      <c r="AK7" s="666"/>
      <c r="AL7" s="666"/>
      <c r="AM7" s="666"/>
      <c r="AN7" s="666"/>
      <c r="AO7" s="666"/>
      <c r="AP7" s="666"/>
      <c r="AQ7" s="666"/>
      <c r="AR7" s="666"/>
      <c r="AS7" s="666"/>
      <c r="AT7" s="666"/>
      <c r="AU7" s="666"/>
      <c r="AV7" s="666"/>
      <c r="AW7" s="666"/>
      <c r="AX7" s="666"/>
      <c r="AY7" s="666"/>
      <c r="AZ7" s="666"/>
      <c r="BA7" s="666"/>
      <c r="BB7" s="666"/>
      <c r="BC7" s="666"/>
      <c r="BD7" s="666"/>
      <c r="BE7" s="666"/>
      <c r="BF7" s="666"/>
      <c r="BG7" s="666"/>
      <c r="BH7" s="666"/>
      <c r="BI7" s="666"/>
      <c r="BJ7" s="666"/>
      <c r="BK7" s="666"/>
      <c r="BL7" s="666"/>
      <c r="BM7" s="666"/>
      <c r="BN7" s="666"/>
      <c r="BO7" s="666"/>
      <c r="BP7" s="666"/>
      <c r="BQ7" s="666"/>
      <c r="BR7" s="666"/>
      <c r="BS7" s="666"/>
      <c r="BT7" s="666"/>
      <c r="BU7" s="666"/>
      <c r="BV7" s="666"/>
      <c r="BW7" s="666"/>
      <c r="BX7" s="666"/>
      <c r="BY7" s="666"/>
      <c r="BZ7" s="666"/>
      <c r="CA7" s="666"/>
      <c r="CB7" s="666"/>
      <c r="CC7" s="666"/>
      <c r="CD7" s="666"/>
      <c r="CE7" s="666"/>
      <c r="CF7" s="666"/>
      <c r="CG7" s="666"/>
      <c r="CH7" s="666"/>
      <c r="CI7" s="666"/>
      <c r="CJ7" s="666"/>
      <c r="CK7" s="666"/>
      <c r="CL7" s="666"/>
      <c r="CM7" s="666"/>
      <c r="CN7" s="666"/>
      <c r="CO7" s="666"/>
      <c r="CP7" s="666"/>
      <c r="CQ7" s="666"/>
      <c r="CR7" s="666"/>
      <c r="CS7" s="666"/>
      <c r="CT7" s="666"/>
      <c r="CU7" s="666"/>
      <c r="CV7" s="666"/>
      <c r="CW7" s="666"/>
      <c r="CX7" s="666"/>
      <c r="CY7" s="666"/>
      <c r="CZ7" s="666"/>
      <c r="DA7" s="666"/>
      <c r="DB7" s="666"/>
      <c r="DC7" s="666"/>
      <c r="DD7" s="666"/>
      <c r="DE7" s="666"/>
      <c r="DF7" s="666"/>
      <c r="DG7" s="666"/>
      <c r="DH7" s="666"/>
      <c r="DI7" s="666"/>
      <c r="DJ7" s="666"/>
      <c r="DK7" s="666"/>
      <c r="DL7" s="666"/>
      <c r="DM7" s="666"/>
      <c r="DN7" s="666"/>
      <c r="DO7" s="666"/>
      <c r="DP7" s="666"/>
      <c r="DQ7" s="666"/>
      <c r="DR7" s="666"/>
      <c r="DS7" s="666"/>
      <c r="DT7" s="666"/>
      <c r="DU7" s="666"/>
      <c r="DV7" s="666"/>
      <c r="DW7" s="666"/>
      <c r="DX7" s="666"/>
      <c r="DY7" s="666"/>
      <c r="DZ7" s="666"/>
      <c r="EA7" s="666"/>
      <c r="EB7" s="666"/>
      <c r="EC7" s="666"/>
      <c r="ED7" s="666"/>
      <c r="EE7" s="666"/>
      <c r="EF7" s="666"/>
      <c r="EG7" s="666"/>
      <c r="EH7" s="666"/>
      <c r="EI7" s="666"/>
      <c r="EJ7" s="666"/>
      <c r="EK7" s="666"/>
      <c r="EL7" s="666"/>
      <c r="EM7" s="666"/>
      <c r="EN7" s="666"/>
      <c r="EO7" s="666"/>
      <c r="EP7" s="666"/>
      <c r="EQ7" s="666"/>
      <c r="ER7" s="666"/>
      <c r="ES7" s="666"/>
      <c r="ET7" s="666"/>
      <c r="EU7" s="666"/>
      <c r="EV7" s="666"/>
      <c r="EW7" s="666"/>
      <c r="EX7" s="666"/>
      <c r="EY7" s="666"/>
      <c r="EZ7" s="666"/>
      <c r="FA7" s="666"/>
      <c r="FB7" s="666"/>
      <c r="FC7" s="666"/>
      <c r="FD7" s="666"/>
      <c r="FE7" s="666"/>
      <c r="FF7" s="666"/>
      <c r="FG7" s="666"/>
      <c r="FH7" s="666"/>
      <c r="FI7" s="666"/>
      <c r="FJ7" s="666"/>
      <c r="FK7" s="666"/>
      <c r="FL7" s="666"/>
      <c r="FM7" s="666"/>
      <c r="FN7" s="666"/>
      <c r="FO7" s="666"/>
      <c r="FP7" s="666"/>
      <c r="FQ7" s="666"/>
      <c r="FR7" s="666"/>
      <c r="FS7" s="666"/>
      <c r="FT7" s="666"/>
      <c r="FU7" s="666"/>
      <c r="FV7" s="666"/>
      <c r="FW7" s="666"/>
      <c r="FX7" s="666"/>
      <c r="FY7" s="666"/>
      <c r="FZ7" s="666"/>
      <c r="GA7" s="666"/>
      <c r="GB7" s="666"/>
      <c r="GC7" s="666"/>
      <c r="GD7" s="666"/>
      <c r="GE7" s="666"/>
      <c r="GF7" s="666"/>
      <c r="GG7" s="666"/>
      <c r="GH7" s="666"/>
      <c r="GI7" s="666"/>
      <c r="GJ7" s="666"/>
      <c r="GK7" s="666"/>
      <c r="GL7" s="666"/>
      <c r="GM7" s="666"/>
      <c r="GN7" s="666"/>
      <c r="GO7" s="666"/>
      <c r="GP7" s="666"/>
      <c r="GQ7" s="666"/>
      <c r="GR7" s="666"/>
      <c r="GS7" s="666"/>
      <c r="GT7" s="666"/>
      <c r="GU7" s="666"/>
      <c r="GV7" s="666"/>
      <c r="GW7" s="666"/>
      <c r="GX7" s="666"/>
      <c r="GY7" s="666"/>
      <c r="GZ7" s="666"/>
      <c r="HA7" s="666"/>
      <c r="HB7" s="666"/>
      <c r="HC7" s="666"/>
      <c r="HD7" s="666"/>
      <c r="HE7" s="666"/>
      <c r="HF7" s="666"/>
      <c r="HG7" s="666"/>
      <c r="HH7" s="666"/>
      <c r="HI7" s="666"/>
      <c r="HJ7" s="666"/>
      <c r="HK7" s="666"/>
      <c r="HL7" s="666"/>
      <c r="HM7" s="666"/>
      <c r="HN7" s="666"/>
      <c r="HO7" s="666"/>
      <c r="HP7" s="666"/>
      <c r="HQ7" s="666"/>
      <c r="HR7" s="666"/>
      <c r="HS7" s="666"/>
      <c r="HT7" s="666"/>
      <c r="HU7" s="666"/>
      <c r="HV7" s="666"/>
      <c r="HW7" s="666"/>
      <c r="HX7" s="666"/>
      <c r="HY7" s="666"/>
      <c r="HZ7" s="666"/>
      <c r="IA7" s="666"/>
      <c r="IB7" s="666"/>
      <c r="IC7" s="666"/>
      <c r="ID7" s="666"/>
      <c r="IE7" s="666"/>
      <c r="IF7" s="666"/>
      <c r="IG7" s="666"/>
      <c r="IH7" s="666"/>
      <c r="II7" s="666"/>
      <c r="IJ7" s="666"/>
      <c r="IK7" s="666"/>
      <c r="IL7" s="666"/>
      <c r="IM7" s="666"/>
      <c r="IN7" s="666"/>
      <c r="IO7" s="666"/>
      <c r="IP7" s="666"/>
      <c r="IQ7" s="666"/>
      <c r="IR7" s="666"/>
      <c r="IS7" s="666"/>
      <c r="IT7" s="666"/>
      <c r="IU7" s="666"/>
      <c r="IV7" s="666"/>
      <c r="IW7" s="666"/>
      <c r="IX7" s="666"/>
      <c r="IY7" s="666"/>
      <c r="IZ7" s="666"/>
      <c r="JA7" s="666"/>
      <c r="JB7" s="666"/>
      <c r="JC7" s="666"/>
      <c r="JD7" s="666"/>
      <c r="JE7" s="666"/>
      <c r="JF7" s="666"/>
      <c r="JG7" s="666"/>
      <c r="JH7" s="666"/>
      <c r="JI7" s="666"/>
      <c r="JJ7" s="666"/>
      <c r="JK7" s="666"/>
      <c r="JL7" s="666"/>
      <c r="JM7" s="666"/>
      <c r="JN7" s="666"/>
      <c r="JO7" s="666"/>
      <c r="JP7" s="666"/>
      <c r="JQ7" s="666"/>
      <c r="JR7" s="666"/>
      <c r="JS7" s="666"/>
      <c r="JT7" s="666"/>
      <c r="JU7" s="666"/>
      <c r="JV7" s="666"/>
      <c r="JW7" s="666"/>
      <c r="JX7" s="666"/>
      <c r="JY7" s="666"/>
      <c r="JZ7" s="666"/>
      <c r="KA7" s="666"/>
      <c r="KB7" s="666"/>
      <c r="KC7" s="666"/>
      <c r="KD7" s="666"/>
      <c r="KE7" s="666"/>
      <c r="KF7" s="666"/>
      <c r="KG7" s="666"/>
      <c r="KH7" s="666"/>
      <c r="KI7" s="666"/>
      <c r="KJ7" s="666"/>
      <c r="KK7" s="666"/>
      <c r="KL7" s="666"/>
      <c r="KM7" s="666"/>
      <c r="KN7" s="666"/>
      <c r="KO7" s="666"/>
      <c r="KP7" s="666"/>
      <c r="KQ7" s="666"/>
      <c r="KR7" s="666"/>
      <c r="KS7" s="666"/>
      <c r="KT7" s="666"/>
      <c r="KU7" s="666"/>
      <c r="KV7" s="666"/>
      <c r="KW7" s="666"/>
      <c r="KX7" s="666"/>
      <c r="KY7" s="666"/>
      <c r="KZ7" s="666"/>
      <c r="LA7" s="666"/>
      <c r="LB7" s="666"/>
      <c r="LC7" s="666"/>
      <c r="LD7" s="666"/>
      <c r="LE7" s="666"/>
      <c r="LF7" s="666"/>
      <c r="LG7" s="666"/>
      <c r="LH7" s="666"/>
      <c r="LI7" s="666"/>
      <c r="LJ7" s="666"/>
      <c r="LK7" s="666"/>
      <c r="LL7" s="666"/>
      <c r="LM7" s="666"/>
      <c r="LN7" s="666"/>
      <c r="LO7" s="666"/>
      <c r="LP7" s="666"/>
      <c r="LQ7" s="666"/>
      <c r="LR7" s="666"/>
      <c r="LS7" s="666"/>
      <c r="LT7" s="666"/>
      <c r="LU7" s="666"/>
      <c r="LV7" s="666"/>
      <c r="LW7" s="666"/>
      <c r="LX7" s="666"/>
      <c r="LY7" s="666"/>
      <c r="LZ7" s="666"/>
      <c r="MA7" s="666"/>
      <c r="MB7" s="666"/>
      <c r="MC7" s="666"/>
      <c r="MD7" s="666"/>
      <c r="ME7" s="666"/>
      <c r="MF7" s="666"/>
      <c r="MG7" s="666"/>
      <c r="MH7" s="666"/>
      <c r="MI7" s="666"/>
      <c r="MJ7" s="666"/>
      <c r="MK7" s="666"/>
    </row>
    <row r="8" spans="1:349" s="163" customFormat="1" ht="3.75" customHeight="1">
      <c r="A8" s="574"/>
      <c r="B8" s="13"/>
      <c r="C8" s="13"/>
      <c r="D8" s="13"/>
      <c r="E8" s="13"/>
      <c r="F8" s="13"/>
      <c r="G8" s="13"/>
      <c r="H8" s="13"/>
      <c r="I8" s="13"/>
      <c r="J8" s="13"/>
      <c r="K8" s="13"/>
      <c r="L8" s="583">
        <f t="shared" ref="L8" si="1">A8</f>
        <v>0</v>
      </c>
      <c r="M8" s="13"/>
      <c r="N8" s="13"/>
      <c r="O8" s="515"/>
      <c r="P8" s="13"/>
      <c r="Q8" s="13"/>
      <c r="R8" s="13"/>
      <c r="S8" s="13"/>
      <c r="T8" s="519"/>
      <c r="U8" s="516"/>
      <c r="V8" s="517"/>
      <c r="W8" s="516"/>
      <c r="X8" s="517"/>
      <c r="Y8" s="516"/>
      <c r="Z8" s="517"/>
      <c r="AA8" s="516"/>
      <c r="AB8" s="517"/>
      <c r="AC8" s="516"/>
      <c r="AD8" s="517"/>
      <c r="AE8" s="516"/>
      <c r="AF8" s="518"/>
      <c r="AG8" s="516"/>
      <c r="AH8" s="518"/>
      <c r="AI8" s="520"/>
      <c r="AJ8" s="521"/>
    </row>
    <row r="9" spans="1:349" s="158" customFormat="1" ht="15.75">
      <c r="A9" s="645">
        <v>1462</v>
      </c>
      <c r="B9" s="644">
        <v>769</v>
      </c>
      <c r="C9" s="644" t="s">
        <v>985</v>
      </c>
      <c r="D9" s="644"/>
      <c r="E9" s="644"/>
      <c r="F9" s="409"/>
      <c r="G9" s="644"/>
      <c r="H9" s="644"/>
      <c r="I9" s="644"/>
      <c r="J9" s="644"/>
      <c r="K9" s="864"/>
      <c r="L9" s="815" t="s">
        <v>986</v>
      </c>
      <c r="M9" s="529"/>
      <c r="N9" s="541"/>
      <c r="O9" s="865"/>
      <c r="P9" s="541"/>
      <c r="Q9" s="541"/>
      <c r="R9" s="541"/>
      <c r="S9" s="541"/>
      <c r="T9" s="866"/>
      <c r="U9" s="840">
        <v>1874384</v>
      </c>
      <c r="V9" s="845">
        <v>22504</v>
      </c>
      <c r="W9" s="462"/>
      <c r="X9" s="909"/>
      <c r="Y9" s="842">
        <v>1874279</v>
      </c>
      <c r="Z9" s="844">
        <v>4034.88</v>
      </c>
      <c r="AA9" s="511"/>
      <c r="AB9" s="917"/>
      <c r="AC9" s="910"/>
      <c r="AD9" s="911"/>
      <c r="AE9" s="512">
        <v>1874384</v>
      </c>
      <c r="AF9" s="878">
        <v>7458.22</v>
      </c>
      <c r="AG9" s="512"/>
      <c r="AH9" s="878"/>
      <c r="AI9" s="464">
        <f>U9</f>
        <v>1874384</v>
      </c>
      <c r="AJ9" s="465">
        <f>V9+AF9+AB9+X9+Z9</f>
        <v>33997.1</v>
      </c>
      <c r="AK9" s="666"/>
      <c r="AL9" s="666"/>
      <c r="AM9" s="666"/>
      <c r="AN9" s="666"/>
      <c r="AO9" s="666"/>
      <c r="AP9" s="666"/>
      <c r="AQ9" s="666"/>
      <c r="AR9" s="666"/>
      <c r="AS9" s="666"/>
      <c r="AT9" s="666"/>
      <c r="AU9" s="666"/>
      <c r="AV9" s="666"/>
      <c r="AW9" s="666"/>
      <c r="AX9" s="666"/>
      <c r="AY9" s="666"/>
      <c r="AZ9" s="666"/>
      <c r="BA9" s="666"/>
      <c r="BB9" s="666"/>
      <c r="BC9" s="666"/>
      <c r="BD9" s="666"/>
      <c r="BE9" s="666"/>
      <c r="BF9" s="666"/>
      <c r="BG9" s="666"/>
      <c r="BH9" s="666"/>
      <c r="BI9" s="666"/>
      <c r="BJ9" s="666"/>
      <c r="BK9" s="666"/>
      <c r="BL9" s="666"/>
      <c r="BM9" s="666"/>
      <c r="BN9" s="666"/>
      <c r="BO9" s="666"/>
      <c r="BP9" s="666"/>
      <c r="BQ9" s="666"/>
      <c r="BR9" s="666"/>
      <c r="BS9" s="666"/>
      <c r="BT9" s="666"/>
      <c r="BU9" s="666"/>
      <c r="BV9" s="666"/>
      <c r="BW9" s="666"/>
      <c r="BX9" s="666"/>
      <c r="BY9" s="666"/>
      <c r="BZ9" s="666"/>
      <c r="CA9" s="666"/>
      <c r="CB9" s="666"/>
      <c r="CC9" s="666"/>
      <c r="CD9" s="666"/>
      <c r="CE9" s="666"/>
      <c r="CF9" s="666"/>
      <c r="CG9" s="666"/>
      <c r="CH9" s="666"/>
      <c r="CI9" s="666"/>
      <c r="CJ9" s="666"/>
      <c r="CK9" s="666"/>
      <c r="CL9" s="666"/>
      <c r="CM9" s="666"/>
      <c r="CN9" s="666"/>
      <c r="CO9" s="666"/>
      <c r="CP9" s="666"/>
      <c r="CQ9" s="666"/>
      <c r="CR9" s="666"/>
      <c r="CS9" s="666"/>
      <c r="CT9" s="666"/>
      <c r="CU9" s="666"/>
      <c r="CV9" s="666"/>
      <c r="CW9" s="666"/>
      <c r="CX9" s="666"/>
      <c r="CY9" s="666"/>
      <c r="CZ9" s="666"/>
      <c r="DA9" s="666"/>
      <c r="DB9" s="666"/>
      <c r="DC9" s="666"/>
      <c r="DD9" s="666"/>
      <c r="DE9" s="666"/>
      <c r="DF9" s="666"/>
      <c r="DG9" s="666"/>
      <c r="DH9" s="666"/>
      <c r="DI9" s="666"/>
      <c r="DJ9" s="666"/>
      <c r="DK9" s="666"/>
      <c r="DL9" s="666"/>
      <c r="DM9" s="666"/>
      <c r="DN9" s="666"/>
      <c r="DO9" s="666"/>
      <c r="DP9" s="666"/>
      <c r="DQ9" s="666"/>
      <c r="DR9" s="666"/>
      <c r="DS9" s="666"/>
      <c r="DT9" s="666"/>
      <c r="DU9" s="666"/>
      <c r="DV9" s="666"/>
      <c r="DW9" s="666"/>
      <c r="DX9" s="666"/>
      <c r="DY9" s="666"/>
      <c r="DZ9" s="666"/>
      <c r="EA9" s="666"/>
      <c r="EB9" s="666"/>
      <c r="EC9" s="666"/>
      <c r="ED9" s="666"/>
      <c r="EE9" s="666"/>
      <c r="EF9" s="666"/>
      <c r="EG9" s="666"/>
      <c r="EH9" s="666"/>
      <c r="EI9" s="666"/>
      <c r="EJ9" s="666"/>
      <c r="EK9" s="666"/>
      <c r="EL9" s="666"/>
      <c r="EM9" s="666"/>
      <c r="EN9" s="666"/>
      <c r="EO9" s="666"/>
      <c r="EP9" s="666"/>
      <c r="EQ9" s="666"/>
      <c r="ER9" s="666"/>
      <c r="ES9" s="666"/>
      <c r="ET9" s="666"/>
      <c r="EU9" s="666"/>
      <c r="EV9" s="666"/>
      <c r="EW9" s="666"/>
      <c r="EX9" s="666"/>
      <c r="EY9" s="666"/>
      <c r="EZ9" s="666"/>
      <c r="FA9" s="666"/>
      <c r="FB9" s="666"/>
      <c r="FC9" s="666"/>
      <c r="FD9" s="666"/>
      <c r="FE9" s="666"/>
      <c r="FF9" s="666"/>
      <c r="FG9" s="666"/>
      <c r="FH9" s="666"/>
      <c r="FI9" s="666"/>
      <c r="FJ9" s="666"/>
      <c r="FK9" s="666"/>
      <c r="FL9" s="666"/>
      <c r="FM9" s="666"/>
      <c r="FN9" s="666"/>
      <c r="FO9" s="666"/>
      <c r="FP9" s="666"/>
      <c r="FQ9" s="666"/>
      <c r="FR9" s="666"/>
      <c r="FS9" s="666"/>
      <c r="FT9" s="666"/>
      <c r="FU9" s="666"/>
      <c r="FV9" s="666"/>
      <c r="FW9" s="666"/>
      <c r="FX9" s="666"/>
      <c r="FY9" s="666"/>
      <c r="FZ9" s="666"/>
      <c r="GA9" s="666"/>
      <c r="GB9" s="666"/>
      <c r="GC9" s="666"/>
      <c r="GD9" s="666"/>
      <c r="GE9" s="666"/>
      <c r="GF9" s="666"/>
      <c r="GG9" s="666"/>
      <c r="GH9" s="666"/>
      <c r="GI9" s="666"/>
      <c r="GJ9" s="666"/>
      <c r="GK9" s="666"/>
      <c r="GL9" s="666"/>
      <c r="GM9" s="666"/>
      <c r="GN9" s="666"/>
      <c r="GO9" s="666"/>
      <c r="GP9" s="666"/>
      <c r="GQ9" s="666"/>
      <c r="GR9" s="666"/>
      <c r="GS9" s="666"/>
      <c r="GT9" s="666"/>
      <c r="GU9" s="666"/>
      <c r="GV9" s="666"/>
      <c r="GW9" s="666"/>
      <c r="GX9" s="666"/>
      <c r="GY9" s="666"/>
      <c r="GZ9" s="666"/>
      <c r="HA9" s="666"/>
      <c r="HB9" s="666"/>
      <c r="HC9" s="666"/>
      <c r="HD9" s="666"/>
      <c r="HE9" s="666"/>
      <c r="HF9" s="666"/>
      <c r="HG9" s="666"/>
      <c r="HH9" s="666"/>
      <c r="HI9" s="666"/>
      <c r="HJ9" s="666"/>
      <c r="HK9" s="666"/>
      <c r="HL9" s="666"/>
      <c r="HM9" s="666"/>
      <c r="HN9" s="666"/>
      <c r="HO9" s="666"/>
      <c r="HP9" s="666"/>
      <c r="HQ9" s="666"/>
      <c r="HR9" s="666"/>
      <c r="HS9" s="666"/>
      <c r="HT9" s="666"/>
      <c r="HU9" s="666"/>
      <c r="HV9" s="666"/>
      <c r="HW9" s="666"/>
      <c r="HX9" s="666"/>
      <c r="HY9" s="666"/>
      <c r="HZ9" s="666"/>
      <c r="IA9" s="666"/>
      <c r="IB9" s="666"/>
      <c r="IC9" s="666"/>
      <c r="ID9" s="666"/>
      <c r="IE9" s="666"/>
      <c r="IF9" s="666"/>
      <c r="IG9" s="666"/>
      <c r="IH9" s="666"/>
      <c r="II9" s="666"/>
      <c r="IJ9" s="666"/>
      <c r="IK9" s="666"/>
      <c r="IL9" s="666"/>
      <c r="IM9" s="666"/>
      <c r="IN9" s="666"/>
      <c r="IO9" s="666"/>
      <c r="IP9" s="666"/>
      <c r="IQ9" s="666"/>
      <c r="IR9" s="666"/>
      <c r="IS9" s="666"/>
      <c r="IT9" s="666"/>
      <c r="IU9" s="666"/>
      <c r="IV9" s="666"/>
      <c r="IW9" s="666"/>
      <c r="IX9" s="666"/>
      <c r="IY9" s="666"/>
      <c r="IZ9" s="666"/>
      <c r="JA9" s="666"/>
      <c r="JB9" s="666"/>
      <c r="JC9" s="666"/>
      <c r="JD9" s="666"/>
      <c r="JE9" s="666"/>
      <c r="JF9" s="666"/>
      <c r="JG9" s="666"/>
      <c r="JH9" s="666"/>
      <c r="JI9" s="666"/>
      <c r="JJ9" s="666"/>
      <c r="JK9" s="666"/>
      <c r="JL9" s="666"/>
      <c r="JM9" s="666"/>
      <c r="JN9" s="666"/>
      <c r="JO9" s="666"/>
      <c r="JP9" s="666"/>
      <c r="JQ9" s="666"/>
      <c r="JR9" s="666"/>
      <c r="JS9" s="666"/>
      <c r="JT9" s="666"/>
      <c r="JU9" s="666"/>
      <c r="JV9" s="666"/>
      <c r="JW9" s="666"/>
      <c r="JX9" s="666"/>
      <c r="JY9" s="666"/>
      <c r="JZ9" s="666"/>
      <c r="KA9" s="666"/>
      <c r="KB9" s="666"/>
      <c r="KC9" s="666"/>
      <c r="KD9" s="666"/>
      <c r="KE9" s="666"/>
      <c r="KF9" s="666"/>
      <c r="KG9" s="666"/>
      <c r="KH9" s="666"/>
      <c r="KI9" s="666"/>
      <c r="KJ9" s="666"/>
      <c r="KK9" s="666"/>
      <c r="KL9" s="666"/>
      <c r="KM9" s="666"/>
      <c r="KN9" s="666"/>
      <c r="KO9" s="666"/>
      <c r="KP9" s="666"/>
      <c r="KQ9" s="666"/>
      <c r="KR9" s="666"/>
      <c r="KS9" s="666"/>
      <c r="KT9" s="666"/>
      <c r="KU9" s="666"/>
      <c r="KV9" s="666"/>
      <c r="KW9" s="666"/>
      <c r="KX9" s="666"/>
      <c r="KY9" s="666"/>
      <c r="KZ9" s="666"/>
      <c r="LA9" s="666"/>
      <c r="LB9" s="666"/>
      <c r="LC9" s="666"/>
      <c r="LD9" s="666"/>
      <c r="LE9" s="666"/>
      <c r="LF9" s="666"/>
      <c r="LG9" s="666"/>
      <c r="LH9" s="666"/>
      <c r="LI9" s="666"/>
      <c r="LJ9" s="666"/>
      <c r="LK9" s="666"/>
      <c r="LL9" s="666"/>
      <c r="LM9" s="666"/>
      <c r="LN9" s="666"/>
      <c r="LO9" s="666"/>
      <c r="LP9" s="666"/>
      <c r="LQ9" s="666"/>
      <c r="LR9" s="666"/>
      <c r="LS9" s="666"/>
      <c r="LT9" s="666"/>
      <c r="LU9" s="666"/>
      <c r="LV9" s="666"/>
      <c r="LW9" s="666"/>
      <c r="LX9" s="666"/>
      <c r="LY9" s="666"/>
      <c r="LZ9" s="666"/>
      <c r="MA9" s="666"/>
      <c r="MB9" s="666"/>
      <c r="MC9" s="666"/>
      <c r="MD9" s="666"/>
      <c r="ME9" s="666"/>
      <c r="MF9" s="666"/>
      <c r="MG9" s="666"/>
      <c r="MH9" s="666"/>
      <c r="MI9" s="666"/>
      <c r="MJ9" s="666"/>
      <c r="MK9" s="666"/>
    </row>
    <row r="10" spans="1:349" s="158" customFormat="1">
      <c r="A10" s="606"/>
      <c r="B10" s="528"/>
      <c r="C10" s="528"/>
      <c r="D10" s="528"/>
      <c r="E10" s="528"/>
      <c r="F10" s="528"/>
      <c r="G10" s="528"/>
      <c r="H10" s="528"/>
      <c r="I10" s="528"/>
      <c r="J10" s="528"/>
      <c r="K10" s="632"/>
      <c r="L10" s="667"/>
      <c r="M10" s="409"/>
      <c r="N10" s="409"/>
      <c r="O10" s="556"/>
      <c r="P10" s="409"/>
      <c r="Q10" s="409"/>
      <c r="R10" s="409"/>
      <c r="S10" s="409"/>
      <c r="T10" s="557"/>
      <c r="U10" s="918"/>
      <c r="V10" s="919"/>
      <c r="W10" s="918"/>
      <c r="X10" s="919"/>
      <c r="Y10" s="842"/>
      <c r="Z10" s="844"/>
      <c r="AA10" s="920"/>
      <c r="AB10" s="628"/>
      <c r="AC10" s="887"/>
      <c r="AD10" s="888"/>
      <c r="AE10" s="889"/>
      <c r="AF10" s="921"/>
      <c r="AG10" s="889"/>
      <c r="AH10" s="921"/>
      <c r="AI10" s="464"/>
      <c r="AJ10" s="465"/>
      <c r="AK10" s="666"/>
      <c r="AL10" s="666"/>
      <c r="AM10" s="666"/>
      <c r="AN10" s="666"/>
      <c r="AO10" s="666"/>
      <c r="AP10" s="666"/>
      <c r="AQ10" s="666"/>
      <c r="AR10" s="666"/>
      <c r="AS10" s="666"/>
      <c r="AT10" s="666"/>
      <c r="AU10" s="666"/>
      <c r="AV10" s="666"/>
      <c r="AW10" s="666"/>
      <c r="AX10" s="666"/>
      <c r="AY10" s="666"/>
      <c r="AZ10" s="666"/>
      <c r="BA10" s="666"/>
      <c r="BB10" s="666"/>
      <c r="BC10" s="666"/>
      <c r="BD10" s="666"/>
      <c r="BE10" s="666"/>
      <c r="BF10" s="666"/>
      <c r="BG10" s="666"/>
      <c r="BH10" s="666"/>
      <c r="BI10" s="666"/>
      <c r="BJ10" s="666"/>
      <c r="BK10" s="666"/>
      <c r="BL10" s="666"/>
      <c r="BM10" s="666"/>
      <c r="BN10" s="666"/>
      <c r="BO10" s="666"/>
      <c r="BP10" s="666"/>
      <c r="BQ10" s="666"/>
      <c r="BR10" s="666"/>
      <c r="BS10" s="666"/>
      <c r="BT10" s="666"/>
      <c r="BU10" s="666"/>
      <c r="BV10" s="666"/>
      <c r="BW10" s="666"/>
      <c r="BX10" s="666"/>
      <c r="BY10" s="666"/>
      <c r="BZ10" s="666"/>
      <c r="CA10" s="666"/>
      <c r="CB10" s="666"/>
      <c r="CC10" s="666"/>
      <c r="CD10" s="666"/>
      <c r="CE10" s="666"/>
      <c r="CF10" s="666"/>
      <c r="CG10" s="666"/>
      <c r="CH10" s="666"/>
      <c r="CI10" s="666"/>
      <c r="CJ10" s="666"/>
      <c r="CK10" s="666"/>
      <c r="CL10" s="666"/>
      <c r="CM10" s="666"/>
      <c r="CN10" s="666"/>
      <c r="CO10" s="666"/>
      <c r="CP10" s="666"/>
      <c r="CQ10" s="666"/>
      <c r="CR10" s="666"/>
      <c r="CS10" s="666"/>
      <c r="CT10" s="666"/>
      <c r="CU10" s="666"/>
      <c r="CV10" s="666"/>
      <c r="CW10" s="666"/>
      <c r="CX10" s="666"/>
      <c r="CY10" s="666"/>
      <c r="CZ10" s="666"/>
      <c r="DA10" s="666"/>
      <c r="DB10" s="666"/>
      <c r="DC10" s="666"/>
      <c r="DD10" s="666"/>
      <c r="DE10" s="666"/>
      <c r="DF10" s="666"/>
      <c r="DG10" s="666"/>
      <c r="DH10" s="666"/>
      <c r="DI10" s="666"/>
      <c r="DJ10" s="666"/>
      <c r="DK10" s="666"/>
      <c r="DL10" s="666"/>
      <c r="DM10" s="666"/>
      <c r="DN10" s="666"/>
      <c r="DO10" s="666"/>
      <c r="DP10" s="666"/>
      <c r="DQ10" s="666"/>
      <c r="DR10" s="666"/>
      <c r="DS10" s="666"/>
      <c r="DT10" s="666"/>
      <c r="DU10" s="666"/>
      <c r="DV10" s="666"/>
      <c r="DW10" s="666"/>
      <c r="DX10" s="666"/>
      <c r="DY10" s="666"/>
      <c r="DZ10" s="666"/>
      <c r="EA10" s="666"/>
      <c r="EB10" s="666"/>
      <c r="EC10" s="666"/>
      <c r="ED10" s="666"/>
      <c r="EE10" s="666"/>
      <c r="EF10" s="666"/>
      <c r="EG10" s="666"/>
      <c r="EH10" s="666"/>
      <c r="EI10" s="666"/>
      <c r="EJ10" s="666"/>
      <c r="EK10" s="666"/>
      <c r="EL10" s="666"/>
      <c r="EM10" s="666"/>
      <c r="EN10" s="666"/>
      <c r="EO10" s="666"/>
      <c r="EP10" s="666"/>
      <c r="EQ10" s="666"/>
      <c r="ER10" s="666"/>
      <c r="ES10" s="666"/>
      <c r="ET10" s="666"/>
      <c r="EU10" s="666"/>
      <c r="EV10" s="666"/>
      <c r="EW10" s="666"/>
      <c r="EX10" s="666"/>
      <c r="EY10" s="666"/>
      <c r="EZ10" s="666"/>
      <c r="FA10" s="666"/>
      <c r="FB10" s="666"/>
      <c r="FC10" s="666"/>
      <c r="FD10" s="666"/>
      <c r="FE10" s="666"/>
      <c r="FF10" s="666"/>
      <c r="FG10" s="666"/>
      <c r="FH10" s="666"/>
      <c r="FI10" s="666"/>
      <c r="FJ10" s="666"/>
      <c r="FK10" s="666"/>
      <c r="FL10" s="666"/>
      <c r="FM10" s="666"/>
      <c r="FN10" s="666"/>
      <c r="FO10" s="666"/>
      <c r="FP10" s="666"/>
      <c r="FQ10" s="666"/>
      <c r="FR10" s="666"/>
      <c r="FS10" s="666"/>
      <c r="FT10" s="666"/>
      <c r="FU10" s="666"/>
      <c r="FV10" s="666"/>
      <c r="FW10" s="666"/>
      <c r="FX10" s="666"/>
      <c r="FY10" s="666"/>
      <c r="FZ10" s="666"/>
      <c r="GA10" s="666"/>
      <c r="GB10" s="666"/>
      <c r="GC10" s="666"/>
      <c r="GD10" s="666"/>
      <c r="GE10" s="666"/>
      <c r="GF10" s="666"/>
      <c r="GG10" s="666"/>
      <c r="GH10" s="666"/>
      <c r="GI10" s="666"/>
      <c r="GJ10" s="666"/>
      <c r="GK10" s="666"/>
      <c r="GL10" s="666"/>
      <c r="GM10" s="666"/>
      <c r="GN10" s="666"/>
      <c r="GO10" s="666"/>
      <c r="GP10" s="666"/>
      <c r="GQ10" s="666"/>
      <c r="GR10" s="666"/>
      <c r="GS10" s="666"/>
      <c r="GT10" s="666"/>
      <c r="GU10" s="666"/>
      <c r="GV10" s="666"/>
      <c r="GW10" s="666"/>
      <c r="GX10" s="666"/>
      <c r="GY10" s="666"/>
      <c r="GZ10" s="666"/>
      <c r="HA10" s="666"/>
      <c r="HB10" s="666"/>
      <c r="HC10" s="666"/>
      <c r="HD10" s="666"/>
      <c r="HE10" s="666"/>
      <c r="HF10" s="666"/>
      <c r="HG10" s="666"/>
      <c r="HH10" s="666"/>
      <c r="HI10" s="666"/>
      <c r="HJ10" s="666"/>
      <c r="HK10" s="666"/>
      <c r="HL10" s="666"/>
      <c r="HM10" s="666"/>
      <c r="HN10" s="666"/>
      <c r="HO10" s="666"/>
      <c r="HP10" s="666"/>
      <c r="HQ10" s="666"/>
      <c r="HR10" s="666"/>
      <c r="HS10" s="666"/>
      <c r="HT10" s="666"/>
      <c r="HU10" s="666"/>
      <c r="HV10" s="666"/>
      <c r="HW10" s="666"/>
      <c r="HX10" s="666"/>
      <c r="HY10" s="666"/>
      <c r="HZ10" s="666"/>
      <c r="IA10" s="666"/>
      <c r="IB10" s="666"/>
      <c r="IC10" s="666"/>
      <c r="ID10" s="666"/>
      <c r="IE10" s="666"/>
      <c r="IF10" s="666"/>
      <c r="IG10" s="666"/>
      <c r="IH10" s="666"/>
      <c r="II10" s="666"/>
      <c r="IJ10" s="666"/>
      <c r="IK10" s="666"/>
      <c r="IL10" s="666"/>
      <c r="IM10" s="666"/>
      <c r="IN10" s="666"/>
      <c r="IO10" s="666"/>
      <c r="IP10" s="666"/>
      <c r="IQ10" s="666"/>
      <c r="IR10" s="666"/>
      <c r="IS10" s="666"/>
      <c r="IT10" s="666"/>
      <c r="IU10" s="666"/>
      <c r="IV10" s="666"/>
      <c r="IW10" s="666"/>
      <c r="IX10" s="666"/>
      <c r="IY10" s="666"/>
      <c r="IZ10" s="666"/>
      <c r="JA10" s="666"/>
      <c r="JB10" s="666"/>
      <c r="JC10" s="666"/>
      <c r="JD10" s="666"/>
      <c r="JE10" s="666"/>
      <c r="JF10" s="666"/>
      <c r="JG10" s="666"/>
      <c r="JH10" s="666"/>
      <c r="JI10" s="666"/>
      <c r="JJ10" s="666"/>
      <c r="JK10" s="666"/>
      <c r="JL10" s="666"/>
      <c r="JM10" s="666"/>
      <c r="JN10" s="666"/>
      <c r="JO10" s="666"/>
      <c r="JP10" s="666"/>
      <c r="JQ10" s="666"/>
      <c r="JR10" s="666"/>
      <c r="JS10" s="666"/>
      <c r="JT10" s="666"/>
      <c r="JU10" s="666"/>
      <c r="JV10" s="666"/>
      <c r="JW10" s="666"/>
      <c r="JX10" s="666"/>
      <c r="JY10" s="666"/>
      <c r="JZ10" s="666"/>
      <c r="KA10" s="666"/>
      <c r="KB10" s="666"/>
      <c r="KC10" s="666"/>
      <c r="KD10" s="666"/>
      <c r="KE10" s="666"/>
      <c r="KF10" s="666"/>
      <c r="KG10" s="666"/>
      <c r="KH10" s="666"/>
      <c r="KI10" s="666"/>
      <c r="KJ10" s="666"/>
      <c r="KK10" s="666"/>
      <c r="KL10" s="666"/>
      <c r="KM10" s="666"/>
      <c r="KN10" s="666"/>
      <c r="KO10" s="666"/>
      <c r="KP10" s="666"/>
      <c r="KQ10" s="666"/>
      <c r="KR10" s="666"/>
      <c r="KS10" s="666"/>
      <c r="KT10" s="666"/>
      <c r="KU10" s="666"/>
      <c r="KV10" s="666"/>
      <c r="KW10" s="666"/>
      <c r="KX10" s="666"/>
      <c r="KY10" s="666"/>
      <c r="KZ10" s="666"/>
      <c r="LA10" s="666"/>
      <c r="LB10" s="666"/>
      <c r="LC10" s="666"/>
      <c r="LD10" s="666"/>
      <c r="LE10" s="666"/>
      <c r="LF10" s="666"/>
      <c r="LG10" s="666"/>
      <c r="LH10" s="666"/>
      <c r="LI10" s="666"/>
      <c r="LJ10" s="666"/>
      <c r="LK10" s="666"/>
      <c r="LL10" s="666"/>
      <c r="LM10" s="666"/>
      <c r="LN10" s="666"/>
      <c r="LO10" s="666"/>
      <c r="LP10" s="666"/>
      <c r="LQ10" s="666"/>
      <c r="LR10" s="666"/>
      <c r="LS10" s="666"/>
      <c r="LT10" s="666"/>
      <c r="LU10" s="666"/>
      <c r="LV10" s="666"/>
      <c r="LW10" s="666"/>
      <c r="LX10" s="666"/>
      <c r="LY10" s="666"/>
      <c r="LZ10" s="666"/>
      <c r="MA10" s="666"/>
      <c r="MB10" s="666"/>
      <c r="MC10" s="666"/>
      <c r="MD10" s="666"/>
      <c r="ME10" s="666"/>
      <c r="MF10" s="666"/>
      <c r="MG10" s="666"/>
      <c r="MH10" s="666"/>
      <c r="MI10" s="666"/>
      <c r="MJ10" s="666"/>
      <c r="MK10" s="666"/>
    </row>
    <row r="11" spans="1:349" s="163" customFormat="1" ht="3.75" customHeight="1">
      <c r="A11" s="574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583"/>
      <c r="M11" s="13"/>
      <c r="N11" s="13"/>
      <c r="O11" s="515"/>
      <c r="P11" s="13"/>
      <c r="Q11" s="13"/>
      <c r="R11" s="13"/>
      <c r="S11" s="13"/>
      <c r="T11" s="519"/>
      <c r="U11" s="516"/>
      <c r="V11" s="517"/>
      <c r="W11" s="516"/>
      <c r="X11" s="517"/>
      <c r="Y11" s="516"/>
      <c r="Z11" s="517"/>
      <c r="AA11" s="516"/>
      <c r="AB11" s="517"/>
      <c r="AC11" s="516"/>
      <c r="AD11" s="517"/>
      <c r="AE11" s="516"/>
      <c r="AF11" s="518"/>
      <c r="AG11" s="516"/>
      <c r="AH11" s="518"/>
      <c r="AI11" s="520"/>
      <c r="AJ11" s="521"/>
    </row>
    <row r="12" spans="1:349" s="158" customFormat="1" ht="15.75">
      <c r="A12" s="645">
        <v>1463</v>
      </c>
      <c r="B12" s="644">
        <v>770</v>
      </c>
      <c r="C12" s="644" t="s">
        <v>985</v>
      </c>
      <c r="D12" s="644"/>
      <c r="E12" s="644"/>
      <c r="F12" s="409"/>
      <c r="G12" s="644"/>
      <c r="H12" s="644"/>
      <c r="I12" s="644"/>
      <c r="J12" s="644"/>
      <c r="K12" s="864"/>
      <c r="L12" s="815" t="s">
        <v>987</v>
      </c>
      <c r="M12" s="529"/>
      <c r="N12" s="541"/>
      <c r="O12" s="865"/>
      <c r="P12" s="541"/>
      <c r="Q12" s="541"/>
      <c r="R12" s="541"/>
      <c r="S12" s="541"/>
      <c r="T12" s="866"/>
      <c r="U12" s="840">
        <v>1874399</v>
      </c>
      <c r="V12" s="845">
        <v>22471.88</v>
      </c>
      <c r="W12" s="462"/>
      <c r="X12" s="909"/>
      <c r="Y12" s="842">
        <v>1874310</v>
      </c>
      <c r="Z12" s="844">
        <v>3491.25</v>
      </c>
      <c r="AA12" s="511"/>
      <c r="AB12" s="917"/>
      <c r="AC12" s="910"/>
      <c r="AD12" s="911"/>
      <c r="AE12" s="512">
        <v>1874399</v>
      </c>
      <c r="AF12" s="878">
        <v>6995.77</v>
      </c>
      <c r="AG12" s="512"/>
      <c r="AH12" s="878"/>
      <c r="AI12" s="464">
        <f>U12</f>
        <v>1874399</v>
      </c>
      <c r="AJ12" s="465">
        <f>V12+AF12+AB12+X12+Z12</f>
        <v>32958.9</v>
      </c>
      <c r="AK12" s="666"/>
      <c r="AL12" s="666"/>
      <c r="AM12" s="666"/>
      <c r="AN12" s="666"/>
      <c r="AO12" s="666"/>
      <c r="AP12" s="666"/>
      <c r="AQ12" s="666"/>
      <c r="AR12" s="666"/>
      <c r="AS12" s="666"/>
      <c r="AT12" s="666"/>
      <c r="AU12" s="666"/>
      <c r="AV12" s="666"/>
      <c r="AW12" s="666"/>
      <c r="AX12" s="666"/>
      <c r="AY12" s="666"/>
      <c r="AZ12" s="666"/>
      <c r="BA12" s="666"/>
      <c r="BB12" s="666"/>
      <c r="BC12" s="666"/>
      <c r="BD12" s="666"/>
      <c r="BE12" s="666"/>
      <c r="BF12" s="666"/>
      <c r="BG12" s="666"/>
      <c r="BH12" s="666"/>
      <c r="BI12" s="666"/>
      <c r="BJ12" s="666"/>
      <c r="BK12" s="666"/>
      <c r="BL12" s="666"/>
      <c r="BM12" s="666"/>
      <c r="BN12" s="666"/>
      <c r="BO12" s="666"/>
      <c r="BP12" s="666"/>
      <c r="BQ12" s="666"/>
      <c r="BR12" s="666"/>
      <c r="BS12" s="666"/>
      <c r="BT12" s="666"/>
      <c r="BU12" s="666"/>
      <c r="BV12" s="666"/>
      <c r="BW12" s="666"/>
      <c r="BX12" s="666"/>
      <c r="BY12" s="666"/>
      <c r="BZ12" s="666"/>
      <c r="CA12" s="666"/>
      <c r="CB12" s="666"/>
      <c r="CC12" s="666"/>
      <c r="CD12" s="666"/>
      <c r="CE12" s="666"/>
      <c r="CF12" s="666"/>
      <c r="CG12" s="666"/>
      <c r="CH12" s="666"/>
      <c r="CI12" s="666"/>
      <c r="CJ12" s="666"/>
      <c r="CK12" s="666"/>
      <c r="CL12" s="666"/>
      <c r="CM12" s="666"/>
      <c r="CN12" s="666"/>
      <c r="CO12" s="666"/>
      <c r="CP12" s="666"/>
      <c r="CQ12" s="666"/>
      <c r="CR12" s="666"/>
      <c r="CS12" s="666"/>
      <c r="CT12" s="666"/>
      <c r="CU12" s="666"/>
      <c r="CV12" s="666"/>
      <c r="CW12" s="666"/>
      <c r="CX12" s="666"/>
      <c r="CY12" s="666"/>
      <c r="CZ12" s="666"/>
      <c r="DA12" s="666"/>
      <c r="DB12" s="666"/>
      <c r="DC12" s="666"/>
      <c r="DD12" s="666"/>
      <c r="DE12" s="666"/>
      <c r="DF12" s="666"/>
      <c r="DG12" s="666"/>
      <c r="DH12" s="666"/>
      <c r="DI12" s="666"/>
      <c r="DJ12" s="666"/>
      <c r="DK12" s="666"/>
      <c r="DL12" s="666"/>
      <c r="DM12" s="666"/>
      <c r="DN12" s="666"/>
      <c r="DO12" s="666"/>
      <c r="DP12" s="666"/>
      <c r="DQ12" s="666"/>
      <c r="DR12" s="666"/>
      <c r="DS12" s="666"/>
      <c r="DT12" s="666"/>
      <c r="DU12" s="666"/>
      <c r="DV12" s="666"/>
      <c r="DW12" s="666"/>
      <c r="DX12" s="666"/>
      <c r="DY12" s="666"/>
      <c r="DZ12" s="666"/>
      <c r="EA12" s="666"/>
      <c r="EB12" s="666"/>
      <c r="EC12" s="666"/>
      <c r="ED12" s="666"/>
      <c r="EE12" s="666"/>
      <c r="EF12" s="666"/>
      <c r="EG12" s="666"/>
      <c r="EH12" s="666"/>
      <c r="EI12" s="666"/>
      <c r="EJ12" s="666"/>
      <c r="EK12" s="666"/>
      <c r="EL12" s="666"/>
      <c r="EM12" s="666"/>
      <c r="EN12" s="666"/>
      <c r="EO12" s="666"/>
      <c r="EP12" s="666"/>
      <c r="EQ12" s="666"/>
      <c r="ER12" s="666"/>
      <c r="ES12" s="666"/>
      <c r="ET12" s="666"/>
      <c r="EU12" s="666"/>
      <c r="EV12" s="666"/>
      <c r="EW12" s="666"/>
      <c r="EX12" s="666"/>
      <c r="EY12" s="666"/>
      <c r="EZ12" s="666"/>
      <c r="FA12" s="666"/>
      <c r="FB12" s="666"/>
      <c r="FC12" s="666"/>
      <c r="FD12" s="666"/>
      <c r="FE12" s="666"/>
      <c r="FF12" s="666"/>
      <c r="FG12" s="666"/>
      <c r="FH12" s="666"/>
      <c r="FI12" s="666"/>
      <c r="FJ12" s="666"/>
      <c r="FK12" s="666"/>
      <c r="FL12" s="666"/>
      <c r="FM12" s="666"/>
      <c r="FN12" s="666"/>
      <c r="FO12" s="666"/>
      <c r="FP12" s="666"/>
      <c r="FQ12" s="666"/>
      <c r="FR12" s="666"/>
      <c r="FS12" s="666"/>
      <c r="FT12" s="666"/>
      <c r="FU12" s="666"/>
      <c r="FV12" s="666"/>
      <c r="FW12" s="666"/>
      <c r="FX12" s="666"/>
      <c r="FY12" s="666"/>
      <c r="FZ12" s="666"/>
      <c r="GA12" s="666"/>
      <c r="GB12" s="666"/>
      <c r="GC12" s="666"/>
      <c r="GD12" s="666"/>
      <c r="GE12" s="666"/>
      <c r="GF12" s="666"/>
      <c r="GG12" s="666"/>
      <c r="GH12" s="666"/>
      <c r="GI12" s="666"/>
      <c r="GJ12" s="666"/>
      <c r="GK12" s="666"/>
      <c r="GL12" s="666"/>
      <c r="GM12" s="666"/>
      <c r="GN12" s="666"/>
      <c r="GO12" s="666"/>
      <c r="GP12" s="666"/>
      <c r="GQ12" s="666"/>
      <c r="GR12" s="666"/>
      <c r="GS12" s="666"/>
      <c r="GT12" s="666"/>
      <c r="GU12" s="666"/>
      <c r="GV12" s="666"/>
      <c r="GW12" s="666"/>
      <c r="GX12" s="666"/>
      <c r="GY12" s="666"/>
      <c r="GZ12" s="666"/>
      <c r="HA12" s="666"/>
      <c r="HB12" s="666"/>
      <c r="HC12" s="666"/>
      <c r="HD12" s="666"/>
      <c r="HE12" s="666"/>
      <c r="HF12" s="666"/>
      <c r="HG12" s="666"/>
      <c r="HH12" s="666"/>
      <c r="HI12" s="666"/>
      <c r="HJ12" s="666"/>
      <c r="HK12" s="666"/>
      <c r="HL12" s="666"/>
      <c r="HM12" s="666"/>
      <c r="HN12" s="666"/>
      <c r="HO12" s="666"/>
      <c r="HP12" s="666"/>
      <c r="HQ12" s="666"/>
      <c r="HR12" s="666"/>
      <c r="HS12" s="666"/>
      <c r="HT12" s="666"/>
      <c r="HU12" s="666"/>
      <c r="HV12" s="666"/>
      <c r="HW12" s="666"/>
      <c r="HX12" s="666"/>
      <c r="HY12" s="666"/>
      <c r="HZ12" s="666"/>
      <c r="IA12" s="666"/>
      <c r="IB12" s="666"/>
      <c r="IC12" s="666"/>
      <c r="ID12" s="666"/>
      <c r="IE12" s="666"/>
      <c r="IF12" s="666"/>
      <c r="IG12" s="666"/>
      <c r="IH12" s="666"/>
      <c r="II12" s="666"/>
      <c r="IJ12" s="666"/>
      <c r="IK12" s="666"/>
      <c r="IL12" s="666"/>
      <c r="IM12" s="666"/>
      <c r="IN12" s="666"/>
      <c r="IO12" s="666"/>
      <c r="IP12" s="666"/>
      <c r="IQ12" s="666"/>
      <c r="IR12" s="666"/>
      <c r="IS12" s="666"/>
      <c r="IT12" s="666"/>
      <c r="IU12" s="666"/>
      <c r="IV12" s="666"/>
      <c r="IW12" s="666"/>
      <c r="IX12" s="666"/>
      <c r="IY12" s="666"/>
      <c r="IZ12" s="666"/>
      <c r="JA12" s="666"/>
      <c r="JB12" s="666"/>
      <c r="JC12" s="666"/>
      <c r="JD12" s="666"/>
      <c r="JE12" s="666"/>
      <c r="JF12" s="666"/>
      <c r="JG12" s="666"/>
      <c r="JH12" s="666"/>
      <c r="JI12" s="666"/>
      <c r="JJ12" s="666"/>
      <c r="JK12" s="666"/>
      <c r="JL12" s="666"/>
      <c r="JM12" s="666"/>
      <c r="JN12" s="666"/>
      <c r="JO12" s="666"/>
      <c r="JP12" s="666"/>
      <c r="JQ12" s="666"/>
      <c r="JR12" s="666"/>
      <c r="JS12" s="666"/>
      <c r="JT12" s="666"/>
      <c r="JU12" s="666"/>
      <c r="JV12" s="666"/>
      <c r="JW12" s="666"/>
      <c r="JX12" s="666"/>
      <c r="JY12" s="666"/>
      <c r="JZ12" s="666"/>
      <c r="KA12" s="666"/>
      <c r="KB12" s="666"/>
      <c r="KC12" s="666"/>
      <c r="KD12" s="666"/>
      <c r="KE12" s="666"/>
      <c r="KF12" s="666"/>
      <c r="KG12" s="666"/>
      <c r="KH12" s="666"/>
      <c r="KI12" s="666"/>
      <c r="KJ12" s="666"/>
      <c r="KK12" s="666"/>
      <c r="KL12" s="666"/>
      <c r="KM12" s="666"/>
      <c r="KN12" s="666"/>
      <c r="KO12" s="666"/>
      <c r="KP12" s="666"/>
      <c r="KQ12" s="666"/>
      <c r="KR12" s="666"/>
      <c r="KS12" s="666"/>
      <c r="KT12" s="666"/>
      <c r="KU12" s="666"/>
      <c r="KV12" s="666"/>
      <c r="KW12" s="666"/>
      <c r="KX12" s="666"/>
      <c r="KY12" s="666"/>
      <c r="KZ12" s="666"/>
      <c r="LA12" s="666"/>
      <c r="LB12" s="666"/>
      <c r="LC12" s="666"/>
      <c r="LD12" s="666"/>
      <c r="LE12" s="666"/>
      <c r="LF12" s="666"/>
      <c r="LG12" s="666"/>
      <c r="LH12" s="666"/>
      <c r="LI12" s="666"/>
      <c r="LJ12" s="666"/>
      <c r="LK12" s="666"/>
      <c r="LL12" s="666"/>
      <c r="LM12" s="666"/>
      <c r="LN12" s="666"/>
      <c r="LO12" s="666"/>
      <c r="LP12" s="666"/>
      <c r="LQ12" s="666"/>
      <c r="LR12" s="666"/>
      <c r="LS12" s="666"/>
      <c r="LT12" s="666"/>
      <c r="LU12" s="666"/>
      <c r="LV12" s="666"/>
      <c r="LW12" s="666"/>
      <c r="LX12" s="666"/>
      <c r="LY12" s="666"/>
      <c r="LZ12" s="666"/>
      <c r="MA12" s="666"/>
      <c r="MB12" s="666"/>
      <c r="MC12" s="666"/>
      <c r="MD12" s="666"/>
      <c r="ME12" s="666"/>
      <c r="MF12" s="666"/>
      <c r="MG12" s="666"/>
      <c r="MH12" s="666"/>
      <c r="MI12" s="666"/>
      <c r="MJ12" s="666"/>
      <c r="MK12" s="666"/>
    </row>
    <row r="13" spans="1:349" s="158" customFormat="1">
      <c r="A13" s="606"/>
      <c r="B13" s="528"/>
      <c r="C13" s="528"/>
      <c r="D13" s="528"/>
      <c r="E13" s="528"/>
      <c r="F13" s="528"/>
      <c r="G13" s="528"/>
      <c r="H13" s="528"/>
      <c r="I13" s="528"/>
      <c r="J13" s="528"/>
      <c r="K13" s="632"/>
      <c r="L13" s="667"/>
      <c r="M13" s="409"/>
      <c r="N13" s="409"/>
      <c r="O13" s="556"/>
      <c r="P13" s="409"/>
      <c r="Q13" s="409"/>
      <c r="R13" s="409"/>
      <c r="S13" s="409"/>
      <c r="T13" s="557"/>
      <c r="U13" s="918"/>
      <c r="V13" s="919"/>
      <c r="W13" s="918"/>
      <c r="X13" s="919"/>
      <c r="Y13" s="842"/>
      <c r="Z13" s="844"/>
      <c r="AA13" s="920"/>
      <c r="AB13" s="628"/>
      <c r="AC13" s="887"/>
      <c r="AD13" s="888"/>
      <c r="AE13" s="889"/>
      <c r="AF13" s="921"/>
      <c r="AG13" s="889"/>
      <c r="AH13" s="921"/>
      <c r="AI13" s="464"/>
      <c r="AJ13" s="465"/>
      <c r="AK13" s="666"/>
      <c r="AL13" s="666"/>
      <c r="AM13" s="666"/>
      <c r="AN13" s="666"/>
      <c r="AO13" s="666"/>
      <c r="AP13" s="666"/>
      <c r="AQ13" s="666"/>
      <c r="AR13" s="666"/>
      <c r="AS13" s="666"/>
      <c r="AT13" s="666"/>
      <c r="AU13" s="666"/>
      <c r="AV13" s="666"/>
      <c r="AW13" s="666"/>
      <c r="AX13" s="666"/>
      <c r="AY13" s="666"/>
      <c r="AZ13" s="666"/>
      <c r="BA13" s="666"/>
      <c r="BB13" s="666"/>
      <c r="BC13" s="666"/>
      <c r="BD13" s="666"/>
      <c r="BE13" s="666"/>
      <c r="BF13" s="666"/>
      <c r="BG13" s="666"/>
      <c r="BH13" s="666"/>
      <c r="BI13" s="666"/>
      <c r="BJ13" s="666"/>
      <c r="BK13" s="666"/>
      <c r="BL13" s="666"/>
      <c r="BM13" s="666"/>
      <c r="BN13" s="666"/>
      <c r="BO13" s="666"/>
      <c r="BP13" s="666"/>
      <c r="BQ13" s="666"/>
      <c r="BR13" s="666"/>
      <c r="BS13" s="666"/>
      <c r="BT13" s="666"/>
      <c r="BU13" s="666"/>
      <c r="BV13" s="666"/>
      <c r="BW13" s="666"/>
      <c r="BX13" s="666"/>
      <c r="BY13" s="666"/>
      <c r="BZ13" s="666"/>
      <c r="CA13" s="666"/>
      <c r="CB13" s="666"/>
      <c r="CC13" s="666"/>
      <c r="CD13" s="666"/>
      <c r="CE13" s="666"/>
      <c r="CF13" s="666"/>
      <c r="CG13" s="666"/>
      <c r="CH13" s="666"/>
      <c r="CI13" s="666"/>
      <c r="CJ13" s="666"/>
      <c r="CK13" s="666"/>
      <c r="CL13" s="666"/>
      <c r="CM13" s="666"/>
      <c r="CN13" s="666"/>
      <c r="CO13" s="666"/>
      <c r="CP13" s="666"/>
      <c r="CQ13" s="666"/>
      <c r="CR13" s="666"/>
      <c r="CS13" s="666"/>
      <c r="CT13" s="666"/>
      <c r="CU13" s="666"/>
      <c r="CV13" s="666"/>
      <c r="CW13" s="666"/>
      <c r="CX13" s="666"/>
      <c r="CY13" s="666"/>
      <c r="CZ13" s="666"/>
      <c r="DA13" s="666"/>
      <c r="DB13" s="666"/>
      <c r="DC13" s="666"/>
      <c r="DD13" s="666"/>
      <c r="DE13" s="666"/>
      <c r="DF13" s="666"/>
      <c r="DG13" s="666"/>
      <c r="DH13" s="666"/>
      <c r="DI13" s="666"/>
      <c r="DJ13" s="666"/>
      <c r="DK13" s="666"/>
      <c r="DL13" s="666"/>
      <c r="DM13" s="666"/>
      <c r="DN13" s="666"/>
      <c r="DO13" s="666"/>
      <c r="DP13" s="666"/>
      <c r="DQ13" s="666"/>
      <c r="DR13" s="666"/>
      <c r="DS13" s="666"/>
      <c r="DT13" s="666"/>
      <c r="DU13" s="666"/>
      <c r="DV13" s="666"/>
      <c r="DW13" s="666"/>
      <c r="DX13" s="666"/>
      <c r="DY13" s="666"/>
      <c r="DZ13" s="666"/>
      <c r="EA13" s="666"/>
      <c r="EB13" s="666"/>
      <c r="EC13" s="666"/>
      <c r="ED13" s="666"/>
      <c r="EE13" s="666"/>
      <c r="EF13" s="666"/>
      <c r="EG13" s="666"/>
      <c r="EH13" s="666"/>
      <c r="EI13" s="666"/>
      <c r="EJ13" s="666"/>
      <c r="EK13" s="666"/>
      <c r="EL13" s="666"/>
      <c r="EM13" s="666"/>
      <c r="EN13" s="666"/>
      <c r="EO13" s="666"/>
      <c r="EP13" s="666"/>
      <c r="EQ13" s="666"/>
      <c r="ER13" s="666"/>
      <c r="ES13" s="666"/>
      <c r="ET13" s="666"/>
      <c r="EU13" s="666"/>
      <c r="EV13" s="666"/>
      <c r="EW13" s="666"/>
      <c r="EX13" s="666"/>
      <c r="EY13" s="666"/>
      <c r="EZ13" s="666"/>
      <c r="FA13" s="666"/>
      <c r="FB13" s="666"/>
      <c r="FC13" s="666"/>
      <c r="FD13" s="666"/>
      <c r="FE13" s="666"/>
      <c r="FF13" s="666"/>
      <c r="FG13" s="666"/>
      <c r="FH13" s="666"/>
      <c r="FI13" s="666"/>
      <c r="FJ13" s="666"/>
      <c r="FK13" s="666"/>
      <c r="FL13" s="666"/>
      <c r="FM13" s="666"/>
      <c r="FN13" s="666"/>
      <c r="FO13" s="666"/>
      <c r="FP13" s="666"/>
      <c r="FQ13" s="666"/>
      <c r="FR13" s="666"/>
      <c r="FS13" s="666"/>
      <c r="FT13" s="666"/>
      <c r="FU13" s="666"/>
      <c r="FV13" s="666"/>
      <c r="FW13" s="666"/>
      <c r="FX13" s="666"/>
      <c r="FY13" s="666"/>
      <c r="FZ13" s="666"/>
      <c r="GA13" s="666"/>
      <c r="GB13" s="666"/>
      <c r="GC13" s="666"/>
      <c r="GD13" s="666"/>
      <c r="GE13" s="666"/>
      <c r="GF13" s="666"/>
      <c r="GG13" s="666"/>
      <c r="GH13" s="666"/>
      <c r="GI13" s="666"/>
      <c r="GJ13" s="666"/>
      <c r="GK13" s="666"/>
      <c r="GL13" s="666"/>
      <c r="GM13" s="666"/>
      <c r="GN13" s="666"/>
      <c r="GO13" s="666"/>
      <c r="GP13" s="666"/>
      <c r="GQ13" s="666"/>
      <c r="GR13" s="666"/>
      <c r="GS13" s="666"/>
      <c r="GT13" s="666"/>
      <c r="GU13" s="666"/>
      <c r="GV13" s="666"/>
      <c r="GW13" s="666"/>
      <c r="GX13" s="666"/>
      <c r="GY13" s="666"/>
      <c r="GZ13" s="666"/>
      <c r="HA13" s="666"/>
      <c r="HB13" s="666"/>
      <c r="HC13" s="666"/>
      <c r="HD13" s="666"/>
      <c r="HE13" s="666"/>
      <c r="HF13" s="666"/>
      <c r="HG13" s="666"/>
      <c r="HH13" s="666"/>
      <c r="HI13" s="666"/>
      <c r="HJ13" s="666"/>
      <c r="HK13" s="666"/>
      <c r="HL13" s="666"/>
      <c r="HM13" s="666"/>
      <c r="HN13" s="666"/>
      <c r="HO13" s="666"/>
      <c r="HP13" s="666"/>
      <c r="HQ13" s="666"/>
      <c r="HR13" s="666"/>
      <c r="HS13" s="666"/>
      <c r="HT13" s="666"/>
      <c r="HU13" s="666"/>
      <c r="HV13" s="666"/>
      <c r="HW13" s="666"/>
      <c r="HX13" s="666"/>
      <c r="HY13" s="666"/>
      <c r="HZ13" s="666"/>
      <c r="IA13" s="666"/>
      <c r="IB13" s="666"/>
      <c r="IC13" s="666"/>
      <c r="ID13" s="666"/>
      <c r="IE13" s="666"/>
      <c r="IF13" s="666"/>
      <c r="IG13" s="666"/>
      <c r="IH13" s="666"/>
      <c r="II13" s="666"/>
      <c r="IJ13" s="666"/>
      <c r="IK13" s="666"/>
      <c r="IL13" s="666"/>
      <c r="IM13" s="666"/>
      <c r="IN13" s="666"/>
      <c r="IO13" s="666"/>
      <c r="IP13" s="666"/>
      <c r="IQ13" s="666"/>
      <c r="IR13" s="666"/>
      <c r="IS13" s="666"/>
      <c r="IT13" s="666"/>
      <c r="IU13" s="666"/>
      <c r="IV13" s="666"/>
      <c r="IW13" s="666"/>
      <c r="IX13" s="666"/>
      <c r="IY13" s="666"/>
      <c r="IZ13" s="666"/>
      <c r="JA13" s="666"/>
      <c r="JB13" s="666"/>
      <c r="JC13" s="666"/>
      <c r="JD13" s="666"/>
      <c r="JE13" s="666"/>
      <c r="JF13" s="666"/>
      <c r="JG13" s="666"/>
      <c r="JH13" s="666"/>
      <c r="JI13" s="666"/>
      <c r="JJ13" s="666"/>
      <c r="JK13" s="666"/>
      <c r="JL13" s="666"/>
      <c r="JM13" s="666"/>
      <c r="JN13" s="666"/>
      <c r="JO13" s="666"/>
      <c r="JP13" s="666"/>
      <c r="JQ13" s="666"/>
      <c r="JR13" s="666"/>
      <c r="JS13" s="666"/>
      <c r="JT13" s="666"/>
      <c r="JU13" s="666"/>
      <c r="JV13" s="666"/>
      <c r="JW13" s="666"/>
      <c r="JX13" s="666"/>
      <c r="JY13" s="666"/>
      <c r="JZ13" s="666"/>
      <c r="KA13" s="666"/>
      <c r="KB13" s="666"/>
      <c r="KC13" s="666"/>
      <c r="KD13" s="666"/>
      <c r="KE13" s="666"/>
      <c r="KF13" s="666"/>
      <c r="KG13" s="666"/>
      <c r="KH13" s="666"/>
      <c r="KI13" s="666"/>
      <c r="KJ13" s="666"/>
      <c r="KK13" s="666"/>
      <c r="KL13" s="666"/>
      <c r="KM13" s="666"/>
      <c r="KN13" s="666"/>
      <c r="KO13" s="666"/>
      <c r="KP13" s="666"/>
      <c r="KQ13" s="666"/>
      <c r="KR13" s="666"/>
      <c r="KS13" s="666"/>
      <c r="KT13" s="666"/>
      <c r="KU13" s="666"/>
      <c r="KV13" s="666"/>
      <c r="KW13" s="666"/>
      <c r="KX13" s="666"/>
      <c r="KY13" s="666"/>
      <c r="KZ13" s="666"/>
      <c r="LA13" s="666"/>
      <c r="LB13" s="666"/>
      <c r="LC13" s="666"/>
      <c r="LD13" s="666"/>
      <c r="LE13" s="666"/>
      <c r="LF13" s="666"/>
      <c r="LG13" s="666"/>
      <c r="LH13" s="666"/>
      <c r="LI13" s="666"/>
      <c r="LJ13" s="666"/>
      <c r="LK13" s="666"/>
      <c r="LL13" s="666"/>
      <c r="LM13" s="666"/>
      <c r="LN13" s="666"/>
      <c r="LO13" s="666"/>
      <c r="LP13" s="666"/>
      <c r="LQ13" s="666"/>
      <c r="LR13" s="666"/>
      <c r="LS13" s="666"/>
      <c r="LT13" s="666"/>
      <c r="LU13" s="666"/>
      <c r="LV13" s="666"/>
      <c r="LW13" s="666"/>
      <c r="LX13" s="666"/>
      <c r="LY13" s="666"/>
      <c r="LZ13" s="666"/>
      <c r="MA13" s="666"/>
      <c r="MB13" s="666"/>
      <c r="MC13" s="666"/>
      <c r="MD13" s="666"/>
      <c r="ME13" s="666"/>
      <c r="MF13" s="666"/>
      <c r="MG13" s="666"/>
      <c r="MH13" s="666"/>
      <c r="MI13" s="666"/>
      <c r="MJ13" s="666"/>
      <c r="MK13" s="666"/>
    </row>
    <row r="14" spans="1:349" s="666" customFormat="1" ht="4.5" customHeight="1">
      <c r="A14" s="922"/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923"/>
      <c r="M14" s="632"/>
      <c r="N14" s="632"/>
      <c r="O14" s="924"/>
      <c r="P14" s="632"/>
      <c r="Q14" s="632"/>
      <c r="R14" s="632"/>
      <c r="S14" s="632"/>
      <c r="T14" s="925"/>
      <c r="U14" s="926"/>
      <c r="V14" s="927"/>
      <c r="W14" s="926"/>
      <c r="X14" s="927"/>
      <c r="Y14" s="928"/>
      <c r="Z14" s="929"/>
      <c r="AA14" s="926"/>
      <c r="AB14" s="927"/>
      <c r="AC14" s="926"/>
      <c r="AD14" s="927"/>
      <c r="AE14" s="926"/>
      <c r="AF14" s="930"/>
      <c r="AG14" s="926"/>
      <c r="AH14" s="930"/>
      <c r="AI14" s="558"/>
      <c r="AJ14" s="559"/>
    </row>
    <row r="15" spans="1:349" s="158" customFormat="1">
      <c r="A15" s="645">
        <v>1464</v>
      </c>
      <c r="B15" s="644">
        <v>769</v>
      </c>
      <c r="C15" s="644" t="s">
        <v>988</v>
      </c>
      <c r="D15" s="644"/>
      <c r="E15" s="644"/>
      <c r="F15" s="409"/>
      <c r="G15" s="644"/>
      <c r="H15" s="644"/>
      <c r="I15" s="644"/>
      <c r="J15" s="644"/>
      <c r="K15" s="864"/>
      <c r="L15" s="815" t="s">
        <v>989</v>
      </c>
      <c r="M15" s="529"/>
      <c r="N15" s="541"/>
      <c r="O15" s="865"/>
      <c r="P15" s="541"/>
      <c r="Q15" s="541"/>
      <c r="R15" s="541"/>
      <c r="S15" s="541"/>
      <c r="T15" s="866"/>
      <c r="U15" s="840">
        <v>1258303</v>
      </c>
      <c r="V15" s="845">
        <v>14077.48</v>
      </c>
      <c r="W15" s="840">
        <v>1169257</v>
      </c>
      <c r="X15" s="845">
        <v>8785.9599999999991</v>
      </c>
      <c r="Y15" s="842">
        <v>1169166</v>
      </c>
      <c r="Z15" s="844">
        <v>44.07</v>
      </c>
      <c r="AA15" s="511"/>
      <c r="AB15" s="917"/>
      <c r="AC15" s="910"/>
      <c r="AD15" s="911"/>
      <c r="AE15" s="512">
        <v>1258303</v>
      </c>
      <c r="AF15" s="878">
        <v>7192.28</v>
      </c>
      <c r="AG15" s="512"/>
      <c r="AH15" s="878"/>
      <c r="AI15" s="464">
        <f>U15</f>
        <v>1258303</v>
      </c>
      <c r="AJ15" s="465">
        <f>V15+AF15+AB15+X15+Z15</f>
        <v>30099.789999999997</v>
      </c>
      <c r="AK15" s="666"/>
      <c r="AL15" s="666"/>
      <c r="AM15" s="666"/>
      <c r="AN15" s="666"/>
      <c r="AO15" s="666"/>
      <c r="AP15" s="666"/>
      <c r="AQ15" s="666"/>
      <c r="AR15" s="666"/>
      <c r="AS15" s="666"/>
      <c r="AT15" s="666"/>
      <c r="AU15" s="666"/>
      <c r="AV15" s="666"/>
      <c r="AW15" s="666"/>
      <c r="AX15" s="666"/>
      <c r="AY15" s="666"/>
      <c r="AZ15" s="666"/>
      <c r="BA15" s="666"/>
      <c r="BB15" s="666"/>
      <c r="BC15" s="666"/>
      <c r="BD15" s="666"/>
      <c r="BE15" s="666"/>
      <c r="BF15" s="666"/>
      <c r="BG15" s="666"/>
      <c r="BH15" s="666"/>
      <c r="BI15" s="666"/>
      <c r="BJ15" s="666"/>
      <c r="BK15" s="666"/>
      <c r="BL15" s="666"/>
      <c r="BM15" s="666"/>
      <c r="BN15" s="666"/>
      <c r="BO15" s="666"/>
      <c r="BP15" s="666"/>
      <c r="BQ15" s="666"/>
      <c r="BR15" s="666"/>
      <c r="BS15" s="666"/>
      <c r="BT15" s="666"/>
      <c r="BU15" s="666"/>
      <c r="BV15" s="666"/>
      <c r="BW15" s="666"/>
      <c r="BX15" s="666"/>
      <c r="BY15" s="666"/>
      <c r="BZ15" s="666"/>
      <c r="CA15" s="666"/>
      <c r="CB15" s="666"/>
      <c r="CC15" s="666"/>
      <c r="CD15" s="666"/>
      <c r="CE15" s="666"/>
      <c r="CF15" s="666"/>
      <c r="CG15" s="666"/>
      <c r="CH15" s="666"/>
      <c r="CI15" s="666"/>
      <c r="CJ15" s="666"/>
      <c r="CK15" s="666"/>
      <c r="CL15" s="666"/>
      <c r="CM15" s="666"/>
      <c r="CN15" s="666"/>
      <c r="CO15" s="666"/>
      <c r="CP15" s="666"/>
      <c r="CQ15" s="666"/>
      <c r="CR15" s="666"/>
      <c r="CS15" s="666"/>
      <c r="CT15" s="666"/>
      <c r="CU15" s="666"/>
      <c r="CV15" s="666"/>
      <c r="CW15" s="666"/>
      <c r="CX15" s="666"/>
      <c r="CY15" s="666"/>
      <c r="CZ15" s="666"/>
      <c r="DA15" s="666"/>
      <c r="DB15" s="666"/>
      <c r="DC15" s="666"/>
      <c r="DD15" s="666"/>
      <c r="DE15" s="666"/>
      <c r="DF15" s="666"/>
      <c r="DG15" s="666"/>
      <c r="DH15" s="666"/>
      <c r="DI15" s="666"/>
      <c r="DJ15" s="666"/>
      <c r="DK15" s="666"/>
      <c r="DL15" s="666"/>
      <c r="DM15" s="666"/>
      <c r="DN15" s="666"/>
      <c r="DO15" s="666"/>
      <c r="DP15" s="666"/>
      <c r="DQ15" s="666"/>
      <c r="DR15" s="666"/>
      <c r="DS15" s="666"/>
      <c r="DT15" s="666"/>
      <c r="DU15" s="666"/>
      <c r="DV15" s="666"/>
      <c r="DW15" s="666"/>
      <c r="DX15" s="666"/>
      <c r="DY15" s="666"/>
      <c r="DZ15" s="666"/>
      <c r="EA15" s="666"/>
      <c r="EB15" s="666"/>
      <c r="EC15" s="666"/>
      <c r="ED15" s="666"/>
      <c r="EE15" s="666"/>
      <c r="EF15" s="666"/>
      <c r="EG15" s="666"/>
      <c r="EH15" s="666"/>
      <c r="EI15" s="666"/>
      <c r="EJ15" s="666"/>
      <c r="EK15" s="666"/>
      <c r="EL15" s="666"/>
      <c r="EM15" s="666"/>
      <c r="EN15" s="666"/>
      <c r="EO15" s="666"/>
      <c r="EP15" s="666"/>
      <c r="EQ15" s="666"/>
      <c r="ER15" s="666"/>
      <c r="ES15" s="666"/>
      <c r="ET15" s="666"/>
      <c r="EU15" s="666"/>
      <c r="EV15" s="666"/>
      <c r="EW15" s="666"/>
      <c r="EX15" s="666"/>
      <c r="EY15" s="666"/>
      <c r="EZ15" s="666"/>
      <c r="FA15" s="666"/>
      <c r="FB15" s="666"/>
      <c r="FC15" s="666"/>
      <c r="FD15" s="666"/>
      <c r="FE15" s="666"/>
      <c r="FF15" s="666"/>
      <c r="FG15" s="666"/>
      <c r="FH15" s="666"/>
      <c r="FI15" s="666"/>
      <c r="FJ15" s="666"/>
      <c r="FK15" s="666"/>
      <c r="FL15" s="666"/>
      <c r="FM15" s="666"/>
      <c r="FN15" s="666"/>
      <c r="FO15" s="666"/>
      <c r="FP15" s="666"/>
      <c r="FQ15" s="666"/>
      <c r="FR15" s="666"/>
      <c r="FS15" s="666"/>
      <c r="FT15" s="666"/>
      <c r="FU15" s="666"/>
      <c r="FV15" s="666"/>
      <c r="FW15" s="666"/>
      <c r="FX15" s="666"/>
      <c r="FY15" s="666"/>
      <c r="FZ15" s="666"/>
      <c r="GA15" s="666"/>
      <c r="GB15" s="666"/>
      <c r="GC15" s="666"/>
      <c r="GD15" s="666"/>
      <c r="GE15" s="666"/>
      <c r="GF15" s="666"/>
      <c r="GG15" s="666"/>
      <c r="GH15" s="666"/>
      <c r="GI15" s="666"/>
      <c r="GJ15" s="666"/>
      <c r="GK15" s="666"/>
      <c r="GL15" s="666"/>
      <c r="GM15" s="666"/>
      <c r="GN15" s="666"/>
      <c r="GO15" s="666"/>
      <c r="GP15" s="666"/>
      <c r="GQ15" s="666"/>
      <c r="GR15" s="666"/>
      <c r="GS15" s="666"/>
      <c r="GT15" s="666"/>
      <c r="GU15" s="666"/>
      <c r="GV15" s="666"/>
      <c r="GW15" s="666"/>
      <c r="GX15" s="666"/>
      <c r="GY15" s="666"/>
      <c r="GZ15" s="666"/>
      <c r="HA15" s="666"/>
      <c r="HB15" s="666"/>
      <c r="HC15" s="666"/>
      <c r="HD15" s="666"/>
      <c r="HE15" s="666"/>
      <c r="HF15" s="666"/>
      <c r="HG15" s="666"/>
      <c r="HH15" s="666"/>
      <c r="HI15" s="666"/>
      <c r="HJ15" s="666"/>
      <c r="HK15" s="666"/>
      <c r="HL15" s="666"/>
      <c r="HM15" s="666"/>
      <c r="HN15" s="666"/>
      <c r="HO15" s="666"/>
      <c r="HP15" s="666"/>
      <c r="HQ15" s="666"/>
      <c r="HR15" s="666"/>
      <c r="HS15" s="666"/>
      <c r="HT15" s="666"/>
      <c r="HU15" s="666"/>
      <c r="HV15" s="666"/>
      <c r="HW15" s="666"/>
      <c r="HX15" s="666"/>
      <c r="HY15" s="666"/>
      <c r="HZ15" s="666"/>
      <c r="IA15" s="666"/>
      <c r="IB15" s="666"/>
      <c r="IC15" s="666"/>
      <c r="ID15" s="666"/>
      <c r="IE15" s="666"/>
      <c r="IF15" s="666"/>
      <c r="IG15" s="666"/>
      <c r="IH15" s="666"/>
      <c r="II15" s="666"/>
      <c r="IJ15" s="666"/>
      <c r="IK15" s="666"/>
      <c r="IL15" s="666"/>
      <c r="IM15" s="666"/>
      <c r="IN15" s="666"/>
      <c r="IO15" s="666"/>
      <c r="IP15" s="666"/>
      <c r="IQ15" s="666"/>
      <c r="IR15" s="666"/>
      <c r="IS15" s="666"/>
      <c r="IT15" s="666"/>
      <c r="IU15" s="666"/>
      <c r="IV15" s="666"/>
      <c r="IW15" s="666"/>
      <c r="IX15" s="666"/>
      <c r="IY15" s="666"/>
      <c r="IZ15" s="666"/>
      <c r="JA15" s="666"/>
      <c r="JB15" s="666"/>
      <c r="JC15" s="666"/>
      <c r="JD15" s="666"/>
      <c r="JE15" s="666"/>
      <c r="JF15" s="666"/>
      <c r="JG15" s="666"/>
      <c r="JH15" s="666"/>
      <c r="JI15" s="666"/>
      <c r="JJ15" s="666"/>
      <c r="JK15" s="666"/>
      <c r="JL15" s="666"/>
      <c r="JM15" s="666"/>
      <c r="JN15" s="666"/>
      <c r="JO15" s="666"/>
      <c r="JP15" s="666"/>
      <c r="JQ15" s="666"/>
      <c r="JR15" s="666"/>
      <c r="JS15" s="666"/>
      <c r="JT15" s="666"/>
      <c r="JU15" s="666"/>
      <c r="JV15" s="666"/>
      <c r="JW15" s="666"/>
      <c r="JX15" s="666"/>
      <c r="JY15" s="666"/>
      <c r="JZ15" s="666"/>
      <c r="KA15" s="666"/>
      <c r="KB15" s="666"/>
      <c r="KC15" s="666"/>
      <c r="KD15" s="666"/>
      <c r="KE15" s="666"/>
      <c r="KF15" s="666"/>
      <c r="KG15" s="666"/>
      <c r="KH15" s="666"/>
      <c r="KI15" s="666"/>
      <c r="KJ15" s="666"/>
      <c r="KK15" s="666"/>
      <c r="KL15" s="666"/>
      <c r="KM15" s="666"/>
      <c r="KN15" s="666"/>
      <c r="KO15" s="666"/>
      <c r="KP15" s="666"/>
      <c r="KQ15" s="666"/>
      <c r="KR15" s="666"/>
      <c r="KS15" s="666"/>
      <c r="KT15" s="666"/>
      <c r="KU15" s="666"/>
      <c r="KV15" s="666"/>
      <c r="KW15" s="666"/>
      <c r="KX15" s="666"/>
      <c r="KY15" s="666"/>
      <c r="KZ15" s="666"/>
      <c r="LA15" s="666"/>
      <c r="LB15" s="666"/>
      <c r="LC15" s="666"/>
      <c r="LD15" s="666"/>
      <c r="LE15" s="666"/>
      <c r="LF15" s="666"/>
      <c r="LG15" s="666"/>
      <c r="LH15" s="666"/>
      <c r="LI15" s="666"/>
      <c r="LJ15" s="666"/>
      <c r="LK15" s="666"/>
      <c r="LL15" s="666"/>
      <c r="LM15" s="666"/>
      <c r="LN15" s="666"/>
      <c r="LO15" s="666"/>
      <c r="LP15" s="666"/>
      <c r="LQ15" s="666"/>
      <c r="LR15" s="666"/>
      <c r="LS15" s="666"/>
      <c r="LT15" s="666"/>
      <c r="LU15" s="666"/>
      <c r="LV15" s="666"/>
      <c r="LW15" s="666"/>
      <c r="LX15" s="666"/>
      <c r="LY15" s="666"/>
      <c r="LZ15" s="666"/>
      <c r="MA15" s="666"/>
      <c r="MB15" s="666"/>
      <c r="MC15" s="666"/>
      <c r="MD15" s="666"/>
      <c r="ME15" s="666"/>
      <c r="MF15" s="666"/>
      <c r="MG15" s="666"/>
      <c r="MH15" s="666"/>
      <c r="MI15" s="666"/>
      <c r="MJ15" s="666"/>
      <c r="MK15" s="666"/>
    </row>
    <row r="16" spans="1:349" s="158" customFormat="1">
      <c r="A16" s="606"/>
      <c r="B16" s="528"/>
      <c r="C16" s="528"/>
      <c r="D16" s="528"/>
      <c r="E16" s="528"/>
      <c r="F16" s="528"/>
      <c r="G16" s="528"/>
      <c r="H16" s="528"/>
      <c r="I16" s="528"/>
      <c r="J16" s="528"/>
      <c r="K16" s="632"/>
      <c r="L16" s="667"/>
      <c r="M16" s="409"/>
      <c r="N16" s="409"/>
      <c r="O16" s="556"/>
      <c r="P16" s="409"/>
      <c r="Q16" s="409"/>
      <c r="R16" s="409"/>
      <c r="S16" s="409"/>
      <c r="T16" s="557"/>
      <c r="U16" s="918"/>
      <c r="V16" s="919"/>
      <c r="W16" s="918"/>
      <c r="X16" s="919"/>
      <c r="Y16" s="842"/>
      <c r="Z16" s="844"/>
      <c r="AA16" s="920"/>
      <c r="AB16" s="628"/>
      <c r="AC16" s="887"/>
      <c r="AD16" s="888"/>
      <c r="AE16" s="889"/>
      <c r="AF16" s="921"/>
      <c r="AG16" s="889"/>
      <c r="AH16" s="921"/>
      <c r="AI16" s="464"/>
      <c r="AJ16" s="465"/>
      <c r="AK16" s="666"/>
      <c r="AL16" s="666"/>
      <c r="AM16" s="666"/>
      <c r="AN16" s="666"/>
      <c r="AO16" s="666"/>
      <c r="AP16" s="666"/>
      <c r="AQ16" s="666"/>
      <c r="AR16" s="666"/>
      <c r="AS16" s="666"/>
      <c r="AT16" s="666"/>
      <c r="AU16" s="666"/>
      <c r="AV16" s="666"/>
      <c r="AW16" s="666"/>
      <c r="AX16" s="666"/>
      <c r="AY16" s="666"/>
      <c r="AZ16" s="666"/>
      <c r="BA16" s="666"/>
      <c r="BB16" s="666"/>
      <c r="BC16" s="666"/>
      <c r="BD16" s="666"/>
      <c r="BE16" s="666"/>
      <c r="BF16" s="666"/>
      <c r="BG16" s="666"/>
      <c r="BH16" s="666"/>
      <c r="BI16" s="666"/>
      <c r="BJ16" s="666"/>
      <c r="BK16" s="666"/>
      <c r="BL16" s="666"/>
      <c r="BM16" s="666"/>
      <c r="BN16" s="666"/>
      <c r="BO16" s="666"/>
      <c r="BP16" s="666"/>
      <c r="BQ16" s="666"/>
      <c r="BR16" s="666"/>
      <c r="BS16" s="666"/>
      <c r="BT16" s="666"/>
      <c r="BU16" s="666"/>
      <c r="BV16" s="666"/>
      <c r="BW16" s="666"/>
      <c r="BX16" s="666"/>
      <c r="BY16" s="666"/>
      <c r="BZ16" s="666"/>
      <c r="CA16" s="666"/>
      <c r="CB16" s="666"/>
      <c r="CC16" s="666"/>
      <c r="CD16" s="666"/>
      <c r="CE16" s="666"/>
      <c r="CF16" s="666"/>
      <c r="CG16" s="666"/>
      <c r="CH16" s="666"/>
      <c r="CI16" s="666"/>
      <c r="CJ16" s="666"/>
      <c r="CK16" s="666"/>
      <c r="CL16" s="666"/>
      <c r="CM16" s="666"/>
      <c r="CN16" s="666"/>
      <c r="CO16" s="666"/>
      <c r="CP16" s="666"/>
      <c r="CQ16" s="666"/>
      <c r="CR16" s="666"/>
      <c r="CS16" s="666"/>
      <c r="CT16" s="666"/>
      <c r="CU16" s="666"/>
      <c r="CV16" s="666"/>
      <c r="CW16" s="666"/>
      <c r="CX16" s="666"/>
      <c r="CY16" s="666"/>
      <c r="CZ16" s="666"/>
      <c r="DA16" s="666"/>
      <c r="DB16" s="666"/>
      <c r="DC16" s="666"/>
      <c r="DD16" s="666"/>
      <c r="DE16" s="666"/>
      <c r="DF16" s="666"/>
      <c r="DG16" s="666"/>
      <c r="DH16" s="666"/>
      <c r="DI16" s="666"/>
      <c r="DJ16" s="666"/>
      <c r="DK16" s="666"/>
      <c r="DL16" s="666"/>
      <c r="DM16" s="666"/>
      <c r="DN16" s="666"/>
      <c r="DO16" s="666"/>
      <c r="DP16" s="666"/>
      <c r="DQ16" s="666"/>
      <c r="DR16" s="666"/>
      <c r="DS16" s="666"/>
      <c r="DT16" s="666"/>
      <c r="DU16" s="666"/>
      <c r="DV16" s="666"/>
      <c r="DW16" s="666"/>
      <c r="DX16" s="666"/>
      <c r="DY16" s="666"/>
      <c r="DZ16" s="666"/>
      <c r="EA16" s="666"/>
      <c r="EB16" s="666"/>
      <c r="EC16" s="666"/>
      <c r="ED16" s="666"/>
      <c r="EE16" s="666"/>
      <c r="EF16" s="666"/>
      <c r="EG16" s="666"/>
      <c r="EH16" s="666"/>
      <c r="EI16" s="666"/>
      <c r="EJ16" s="666"/>
      <c r="EK16" s="666"/>
      <c r="EL16" s="666"/>
      <c r="EM16" s="666"/>
      <c r="EN16" s="666"/>
      <c r="EO16" s="666"/>
      <c r="EP16" s="666"/>
      <c r="EQ16" s="666"/>
      <c r="ER16" s="666"/>
      <c r="ES16" s="666"/>
      <c r="ET16" s="666"/>
      <c r="EU16" s="666"/>
      <c r="EV16" s="666"/>
      <c r="EW16" s="666"/>
      <c r="EX16" s="666"/>
      <c r="EY16" s="666"/>
      <c r="EZ16" s="666"/>
      <c r="FA16" s="666"/>
      <c r="FB16" s="666"/>
      <c r="FC16" s="666"/>
      <c r="FD16" s="666"/>
      <c r="FE16" s="666"/>
      <c r="FF16" s="666"/>
      <c r="FG16" s="666"/>
      <c r="FH16" s="666"/>
      <c r="FI16" s="666"/>
      <c r="FJ16" s="666"/>
      <c r="FK16" s="666"/>
      <c r="FL16" s="666"/>
      <c r="FM16" s="666"/>
      <c r="FN16" s="666"/>
      <c r="FO16" s="666"/>
      <c r="FP16" s="666"/>
      <c r="FQ16" s="666"/>
      <c r="FR16" s="666"/>
      <c r="FS16" s="666"/>
      <c r="FT16" s="666"/>
      <c r="FU16" s="666"/>
      <c r="FV16" s="666"/>
      <c r="FW16" s="666"/>
      <c r="FX16" s="666"/>
      <c r="FY16" s="666"/>
      <c r="FZ16" s="666"/>
      <c r="GA16" s="666"/>
      <c r="GB16" s="666"/>
      <c r="GC16" s="666"/>
      <c r="GD16" s="666"/>
      <c r="GE16" s="666"/>
      <c r="GF16" s="666"/>
      <c r="GG16" s="666"/>
      <c r="GH16" s="666"/>
      <c r="GI16" s="666"/>
      <c r="GJ16" s="666"/>
      <c r="GK16" s="666"/>
      <c r="GL16" s="666"/>
      <c r="GM16" s="666"/>
      <c r="GN16" s="666"/>
      <c r="GO16" s="666"/>
      <c r="GP16" s="666"/>
      <c r="GQ16" s="666"/>
      <c r="GR16" s="666"/>
      <c r="GS16" s="666"/>
      <c r="GT16" s="666"/>
      <c r="GU16" s="666"/>
      <c r="GV16" s="666"/>
      <c r="GW16" s="666"/>
      <c r="GX16" s="666"/>
      <c r="GY16" s="666"/>
      <c r="GZ16" s="666"/>
      <c r="HA16" s="666"/>
      <c r="HB16" s="666"/>
      <c r="HC16" s="666"/>
      <c r="HD16" s="666"/>
      <c r="HE16" s="666"/>
      <c r="HF16" s="666"/>
      <c r="HG16" s="666"/>
      <c r="HH16" s="666"/>
      <c r="HI16" s="666"/>
      <c r="HJ16" s="666"/>
      <c r="HK16" s="666"/>
      <c r="HL16" s="666"/>
      <c r="HM16" s="666"/>
      <c r="HN16" s="666"/>
      <c r="HO16" s="666"/>
      <c r="HP16" s="666"/>
      <c r="HQ16" s="666"/>
      <c r="HR16" s="666"/>
      <c r="HS16" s="666"/>
      <c r="HT16" s="666"/>
      <c r="HU16" s="666"/>
      <c r="HV16" s="666"/>
      <c r="HW16" s="666"/>
      <c r="HX16" s="666"/>
      <c r="HY16" s="666"/>
      <c r="HZ16" s="666"/>
      <c r="IA16" s="666"/>
      <c r="IB16" s="666"/>
      <c r="IC16" s="666"/>
      <c r="ID16" s="666"/>
      <c r="IE16" s="666"/>
      <c r="IF16" s="666"/>
      <c r="IG16" s="666"/>
      <c r="IH16" s="666"/>
      <c r="II16" s="666"/>
      <c r="IJ16" s="666"/>
      <c r="IK16" s="666"/>
      <c r="IL16" s="666"/>
      <c r="IM16" s="666"/>
      <c r="IN16" s="666"/>
      <c r="IO16" s="666"/>
      <c r="IP16" s="666"/>
      <c r="IQ16" s="666"/>
      <c r="IR16" s="666"/>
      <c r="IS16" s="666"/>
      <c r="IT16" s="666"/>
      <c r="IU16" s="666"/>
      <c r="IV16" s="666"/>
      <c r="IW16" s="666"/>
      <c r="IX16" s="666"/>
      <c r="IY16" s="666"/>
      <c r="IZ16" s="666"/>
      <c r="JA16" s="666"/>
      <c r="JB16" s="666"/>
      <c r="JC16" s="666"/>
      <c r="JD16" s="666"/>
      <c r="JE16" s="666"/>
      <c r="JF16" s="666"/>
      <c r="JG16" s="666"/>
      <c r="JH16" s="666"/>
      <c r="JI16" s="666"/>
      <c r="JJ16" s="666"/>
      <c r="JK16" s="666"/>
      <c r="JL16" s="666"/>
      <c r="JM16" s="666"/>
      <c r="JN16" s="666"/>
      <c r="JO16" s="666"/>
      <c r="JP16" s="666"/>
      <c r="JQ16" s="666"/>
      <c r="JR16" s="666"/>
      <c r="JS16" s="666"/>
      <c r="JT16" s="666"/>
      <c r="JU16" s="666"/>
      <c r="JV16" s="666"/>
      <c r="JW16" s="666"/>
      <c r="JX16" s="666"/>
      <c r="JY16" s="666"/>
      <c r="JZ16" s="666"/>
      <c r="KA16" s="666"/>
      <c r="KB16" s="666"/>
      <c r="KC16" s="666"/>
      <c r="KD16" s="666"/>
      <c r="KE16" s="666"/>
      <c r="KF16" s="666"/>
      <c r="KG16" s="666"/>
      <c r="KH16" s="666"/>
      <c r="KI16" s="666"/>
      <c r="KJ16" s="666"/>
      <c r="KK16" s="666"/>
      <c r="KL16" s="666"/>
      <c r="KM16" s="666"/>
      <c r="KN16" s="666"/>
      <c r="KO16" s="666"/>
      <c r="KP16" s="666"/>
      <c r="KQ16" s="666"/>
      <c r="KR16" s="666"/>
      <c r="KS16" s="666"/>
      <c r="KT16" s="666"/>
      <c r="KU16" s="666"/>
      <c r="KV16" s="666"/>
      <c r="KW16" s="666"/>
      <c r="KX16" s="666"/>
      <c r="KY16" s="666"/>
      <c r="KZ16" s="666"/>
      <c r="LA16" s="666"/>
      <c r="LB16" s="666"/>
      <c r="LC16" s="666"/>
      <c r="LD16" s="666"/>
      <c r="LE16" s="666"/>
      <c r="LF16" s="666"/>
      <c r="LG16" s="666"/>
      <c r="LH16" s="666"/>
      <c r="LI16" s="666"/>
      <c r="LJ16" s="666"/>
      <c r="LK16" s="666"/>
      <c r="LL16" s="666"/>
      <c r="LM16" s="666"/>
      <c r="LN16" s="666"/>
      <c r="LO16" s="666"/>
      <c r="LP16" s="666"/>
      <c r="LQ16" s="666"/>
      <c r="LR16" s="666"/>
      <c r="LS16" s="666"/>
      <c r="LT16" s="666"/>
      <c r="LU16" s="666"/>
      <c r="LV16" s="666"/>
      <c r="LW16" s="666"/>
      <c r="LX16" s="666"/>
      <c r="LY16" s="666"/>
      <c r="LZ16" s="666"/>
      <c r="MA16" s="666"/>
      <c r="MB16" s="666"/>
      <c r="MC16" s="666"/>
      <c r="MD16" s="666"/>
      <c r="ME16" s="666"/>
      <c r="MF16" s="666"/>
      <c r="MG16" s="666"/>
      <c r="MH16" s="666"/>
      <c r="MI16" s="666"/>
      <c r="MJ16" s="666"/>
      <c r="MK16" s="666"/>
    </row>
    <row r="17" spans="1:349" s="666" customFormat="1" ht="4.5" customHeight="1">
      <c r="A17" s="922"/>
      <c r="B17" s="632"/>
      <c r="C17" s="632"/>
      <c r="D17" s="632"/>
      <c r="E17" s="632"/>
      <c r="F17" s="632"/>
      <c r="G17" s="632"/>
      <c r="H17" s="632"/>
      <c r="I17" s="632"/>
      <c r="J17" s="632"/>
      <c r="K17" s="632"/>
      <c r="L17" s="923"/>
      <c r="M17" s="632"/>
      <c r="N17" s="632"/>
      <c r="O17" s="924"/>
      <c r="P17" s="632"/>
      <c r="Q17" s="632"/>
      <c r="R17" s="632"/>
      <c r="S17" s="632"/>
      <c r="T17" s="925"/>
      <c r="U17" s="926"/>
      <c r="V17" s="927"/>
      <c r="W17" s="926"/>
      <c r="X17" s="927"/>
      <c r="Y17" s="928"/>
      <c r="Z17" s="929"/>
      <c r="AA17" s="926"/>
      <c r="AB17" s="927"/>
      <c r="AC17" s="926"/>
      <c r="AD17" s="927"/>
      <c r="AE17" s="926"/>
      <c r="AF17" s="930"/>
      <c r="AG17" s="926"/>
      <c r="AH17" s="930"/>
      <c r="AI17" s="558"/>
      <c r="AJ17" s="559"/>
    </row>
    <row r="18" spans="1:349" s="666" customFormat="1" hidden="1">
      <c r="A18" s="607">
        <v>1465</v>
      </c>
      <c r="B18" s="651">
        <v>770</v>
      </c>
      <c r="C18" s="651" t="s">
        <v>988</v>
      </c>
      <c r="D18" s="651"/>
      <c r="E18" s="651"/>
      <c r="F18" s="409"/>
      <c r="G18" s="651"/>
      <c r="H18" s="651"/>
      <c r="I18" s="651"/>
      <c r="J18" s="651"/>
      <c r="K18" s="632"/>
      <c r="L18" s="867" t="s">
        <v>990</v>
      </c>
      <c r="M18" s="651"/>
      <c r="N18" s="651"/>
      <c r="O18" s="868"/>
      <c r="P18" s="651"/>
      <c r="Q18" s="651"/>
      <c r="R18" s="651"/>
      <c r="S18" s="651"/>
      <c r="T18" s="869"/>
      <c r="U18" s="840">
        <v>1258306</v>
      </c>
      <c r="V18" s="845">
        <v>13661.97</v>
      </c>
      <c r="W18" s="840">
        <v>1169272</v>
      </c>
      <c r="X18" s="845">
        <v>9141.94</v>
      </c>
      <c r="Y18" s="842">
        <v>1169194</v>
      </c>
      <c r="Z18" s="844">
        <v>1217.1199999999999</v>
      </c>
      <c r="AA18" s="511"/>
      <c r="AB18" s="917"/>
      <c r="AC18" s="910"/>
      <c r="AD18" s="911"/>
      <c r="AE18" s="512">
        <v>1258306</v>
      </c>
      <c r="AF18" s="878">
        <v>6753.34</v>
      </c>
      <c r="AG18" s="512"/>
      <c r="AH18" s="878"/>
      <c r="AI18" s="464">
        <f>U18</f>
        <v>1258306</v>
      </c>
      <c r="AJ18" s="465">
        <f>AF18+V18+AB18+Z18+X18</f>
        <v>30774.369999999995</v>
      </c>
    </row>
    <row r="19" spans="1:349" s="107" customFormat="1" hidden="1">
      <c r="A19" s="575"/>
      <c r="B19" s="37"/>
      <c r="C19" s="37"/>
      <c r="D19" s="37"/>
      <c r="E19" s="37"/>
      <c r="F19" s="37"/>
      <c r="G19" s="37"/>
      <c r="H19" s="37"/>
      <c r="I19" s="37"/>
      <c r="J19" s="37"/>
      <c r="K19" s="13"/>
      <c r="L19" s="585"/>
      <c r="M19" s="37"/>
      <c r="N19" s="37"/>
      <c r="O19" s="106"/>
      <c r="P19" s="37"/>
      <c r="Q19" s="37"/>
      <c r="R19" s="37"/>
      <c r="S19" s="37"/>
      <c r="T19" s="310"/>
      <c r="U19" s="233"/>
      <c r="V19" s="325"/>
      <c r="W19" s="233"/>
      <c r="X19" s="325"/>
      <c r="Y19" s="857"/>
      <c r="Z19" s="858"/>
      <c r="AA19" s="187"/>
      <c r="AB19" s="348"/>
      <c r="AC19" s="282"/>
      <c r="AD19" s="315"/>
      <c r="AE19" s="219"/>
      <c r="AF19" s="225"/>
      <c r="AG19" s="219"/>
      <c r="AH19" s="225"/>
      <c r="AI19" s="309"/>
      <c r="AJ19" s="230"/>
      <c r="AK19" s="163"/>
    </row>
    <row r="20" spans="1:349" s="158" customFormat="1">
      <c r="A20" s="645">
        <v>1473</v>
      </c>
      <c r="B20" s="644">
        <v>770</v>
      </c>
      <c r="C20" s="644" t="s">
        <v>985</v>
      </c>
      <c r="D20" s="644"/>
      <c r="E20" s="644"/>
      <c r="F20" s="409"/>
      <c r="G20" s="644"/>
      <c r="H20" s="644"/>
      <c r="I20" s="644"/>
      <c r="J20" s="644" t="s">
        <v>650</v>
      </c>
      <c r="K20" s="864"/>
      <c r="L20" s="815" t="s">
        <v>991</v>
      </c>
      <c r="M20" s="529"/>
      <c r="N20" s="541"/>
      <c r="O20" s="865"/>
      <c r="P20" s="541"/>
      <c r="Q20" s="541"/>
      <c r="R20" s="541"/>
      <c r="S20" s="541"/>
      <c r="T20" s="866"/>
      <c r="U20" s="462">
        <v>1132063</v>
      </c>
      <c r="V20" s="909">
        <v>8785.9599999999991</v>
      </c>
      <c r="W20" s="840">
        <v>1198645</v>
      </c>
      <c r="X20" s="845">
        <v>14077.48</v>
      </c>
      <c r="Y20" s="842">
        <v>893879</v>
      </c>
      <c r="Z20" s="844">
        <v>3340.7</v>
      </c>
      <c r="AA20" s="842">
        <v>1195967</v>
      </c>
      <c r="AB20" s="844">
        <v>165.78</v>
      </c>
      <c r="AC20" s="887"/>
      <c r="AD20" s="888"/>
      <c r="AE20" s="512">
        <v>1198645</v>
      </c>
      <c r="AF20" s="878">
        <v>7192.28</v>
      </c>
      <c r="AG20" s="889"/>
      <c r="AH20" s="890"/>
      <c r="AI20" s="464">
        <f>U20</f>
        <v>1132063</v>
      </c>
      <c r="AJ20" s="465">
        <f>V20+AF20+AB20+X20+Z21</f>
        <v>34211.4</v>
      </c>
      <c r="AK20" s="666"/>
      <c r="AL20" s="666"/>
      <c r="AM20" s="666"/>
      <c r="AN20" s="666"/>
      <c r="AO20" s="666"/>
      <c r="AP20" s="666"/>
      <c r="AQ20" s="666"/>
      <c r="AR20" s="666"/>
      <c r="AS20" s="666"/>
      <c r="AT20" s="666"/>
      <c r="AU20" s="666"/>
      <c r="AV20" s="666"/>
      <c r="AW20" s="666"/>
      <c r="AX20" s="666"/>
      <c r="AY20" s="666"/>
      <c r="AZ20" s="666"/>
      <c r="BA20" s="666"/>
      <c r="BB20" s="666"/>
      <c r="BC20" s="666"/>
      <c r="BD20" s="666"/>
      <c r="BE20" s="666"/>
      <c r="BF20" s="666"/>
      <c r="BG20" s="666"/>
      <c r="BH20" s="666"/>
      <c r="BI20" s="666"/>
      <c r="BJ20" s="666"/>
      <c r="BK20" s="666"/>
      <c r="BL20" s="666"/>
      <c r="BM20" s="666"/>
      <c r="BN20" s="666"/>
      <c r="BO20" s="666"/>
      <c r="BP20" s="666"/>
      <c r="BQ20" s="666"/>
      <c r="BR20" s="666"/>
      <c r="BS20" s="666"/>
      <c r="BT20" s="666"/>
      <c r="BU20" s="666"/>
      <c r="BV20" s="666"/>
      <c r="BW20" s="666"/>
      <c r="BX20" s="666"/>
      <c r="BY20" s="666"/>
      <c r="BZ20" s="666"/>
      <c r="CA20" s="666"/>
      <c r="CB20" s="666"/>
      <c r="CC20" s="666"/>
      <c r="CD20" s="666"/>
      <c r="CE20" s="666"/>
      <c r="CF20" s="666"/>
      <c r="CG20" s="666"/>
      <c r="CH20" s="666"/>
      <c r="CI20" s="666"/>
      <c r="CJ20" s="666"/>
      <c r="CK20" s="666"/>
      <c r="CL20" s="666"/>
      <c r="CM20" s="666"/>
      <c r="CN20" s="666"/>
      <c r="CO20" s="666"/>
      <c r="CP20" s="666"/>
      <c r="CQ20" s="666"/>
      <c r="CR20" s="666"/>
      <c r="CS20" s="666"/>
      <c r="CT20" s="666"/>
      <c r="CU20" s="666"/>
      <c r="CV20" s="666"/>
      <c r="CW20" s="666"/>
      <c r="CX20" s="666"/>
      <c r="CY20" s="666"/>
      <c r="CZ20" s="666"/>
      <c r="DA20" s="666"/>
      <c r="DB20" s="666"/>
      <c r="DC20" s="666"/>
      <c r="DD20" s="666"/>
      <c r="DE20" s="666"/>
      <c r="DF20" s="666"/>
      <c r="DG20" s="666"/>
      <c r="DH20" s="666"/>
      <c r="DI20" s="666"/>
      <c r="DJ20" s="666"/>
      <c r="DK20" s="666"/>
      <c r="DL20" s="666"/>
      <c r="DM20" s="666"/>
      <c r="DN20" s="666"/>
      <c r="DO20" s="666"/>
      <c r="DP20" s="666"/>
      <c r="DQ20" s="666"/>
      <c r="DR20" s="666"/>
      <c r="DS20" s="666"/>
      <c r="DT20" s="666"/>
      <c r="DU20" s="666"/>
      <c r="DV20" s="666"/>
      <c r="DW20" s="666"/>
      <c r="DX20" s="666"/>
      <c r="DY20" s="666"/>
      <c r="DZ20" s="666"/>
      <c r="EA20" s="666"/>
      <c r="EB20" s="666"/>
      <c r="EC20" s="666"/>
      <c r="ED20" s="666"/>
      <c r="EE20" s="666"/>
      <c r="EF20" s="666"/>
      <c r="EG20" s="666"/>
      <c r="EH20" s="666"/>
      <c r="EI20" s="666"/>
      <c r="EJ20" s="666"/>
      <c r="EK20" s="666"/>
      <c r="EL20" s="666"/>
      <c r="EM20" s="666"/>
      <c r="EN20" s="666"/>
      <c r="EO20" s="666"/>
      <c r="EP20" s="666"/>
      <c r="EQ20" s="666"/>
      <c r="ER20" s="666"/>
      <c r="ES20" s="666"/>
      <c r="ET20" s="666"/>
      <c r="EU20" s="666"/>
      <c r="EV20" s="666"/>
      <c r="EW20" s="666"/>
      <c r="EX20" s="666"/>
      <c r="EY20" s="666"/>
      <c r="EZ20" s="666"/>
      <c r="FA20" s="666"/>
      <c r="FB20" s="666"/>
      <c r="FC20" s="666"/>
      <c r="FD20" s="666"/>
      <c r="FE20" s="666"/>
      <c r="FF20" s="666"/>
      <c r="FG20" s="666"/>
      <c r="FH20" s="666"/>
      <c r="FI20" s="666"/>
      <c r="FJ20" s="666"/>
      <c r="FK20" s="666"/>
      <c r="FL20" s="666"/>
      <c r="FM20" s="666"/>
      <c r="FN20" s="666"/>
      <c r="FO20" s="666"/>
      <c r="FP20" s="666"/>
      <c r="FQ20" s="666"/>
      <c r="FR20" s="666"/>
      <c r="FS20" s="666"/>
      <c r="FT20" s="666"/>
      <c r="FU20" s="666"/>
      <c r="FV20" s="666"/>
      <c r="FW20" s="666"/>
      <c r="FX20" s="666"/>
      <c r="FY20" s="666"/>
      <c r="FZ20" s="666"/>
      <c r="GA20" s="666"/>
      <c r="GB20" s="666"/>
      <c r="GC20" s="666"/>
      <c r="GD20" s="666"/>
      <c r="GE20" s="666"/>
      <c r="GF20" s="666"/>
      <c r="GG20" s="666"/>
      <c r="GH20" s="666"/>
      <c r="GI20" s="666"/>
      <c r="GJ20" s="666"/>
      <c r="GK20" s="666"/>
      <c r="GL20" s="666"/>
      <c r="GM20" s="666"/>
      <c r="GN20" s="666"/>
      <c r="GO20" s="666"/>
      <c r="GP20" s="666"/>
      <c r="GQ20" s="666"/>
      <c r="GR20" s="666"/>
      <c r="GS20" s="666"/>
      <c r="GT20" s="666"/>
      <c r="GU20" s="666"/>
      <c r="GV20" s="666"/>
      <c r="GW20" s="666"/>
      <c r="GX20" s="666"/>
      <c r="GY20" s="666"/>
      <c r="GZ20" s="666"/>
      <c r="HA20" s="666"/>
      <c r="HB20" s="666"/>
      <c r="HC20" s="666"/>
      <c r="HD20" s="666"/>
      <c r="HE20" s="666"/>
      <c r="HF20" s="666"/>
      <c r="HG20" s="666"/>
      <c r="HH20" s="666"/>
      <c r="HI20" s="666"/>
      <c r="HJ20" s="666"/>
      <c r="HK20" s="666"/>
      <c r="HL20" s="666"/>
      <c r="HM20" s="666"/>
      <c r="HN20" s="666"/>
      <c r="HO20" s="666"/>
      <c r="HP20" s="666"/>
      <c r="HQ20" s="666"/>
      <c r="HR20" s="666"/>
      <c r="HS20" s="666"/>
      <c r="HT20" s="666"/>
      <c r="HU20" s="666"/>
      <c r="HV20" s="666"/>
      <c r="HW20" s="666"/>
      <c r="HX20" s="666"/>
      <c r="HY20" s="666"/>
      <c r="HZ20" s="666"/>
      <c r="IA20" s="666"/>
      <c r="IB20" s="666"/>
      <c r="IC20" s="666"/>
      <c r="ID20" s="666"/>
      <c r="IE20" s="666"/>
      <c r="IF20" s="666"/>
      <c r="IG20" s="666"/>
      <c r="IH20" s="666"/>
      <c r="II20" s="666"/>
      <c r="IJ20" s="666"/>
      <c r="IK20" s="666"/>
      <c r="IL20" s="666"/>
      <c r="IM20" s="666"/>
      <c r="IN20" s="666"/>
      <c r="IO20" s="666"/>
      <c r="IP20" s="666"/>
      <c r="IQ20" s="666"/>
      <c r="IR20" s="666"/>
      <c r="IS20" s="666"/>
      <c r="IT20" s="666"/>
      <c r="IU20" s="666"/>
      <c r="IV20" s="666"/>
      <c r="IW20" s="666"/>
      <c r="IX20" s="666"/>
      <c r="IY20" s="666"/>
      <c r="IZ20" s="666"/>
      <c r="JA20" s="666"/>
      <c r="JB20" s="666"/>
      <c r="JC20" s="666"/>
      <c r="JD20" s="666"/>
      <c r="JE20" s="666"/>
      <c r="JF20" s="666"/>
      <c r="JG20" s="666"/>
      <c r="JH20" s="666"/>
      <c r="JI20" s="666"/>
      <c r="JJ20" s="666"/>
      <c r="JK20" s="666"/>
      <c r="JL20" s="666"/>
      <c r="JM20" s="666"/>
      <c r="JN20" s="666"/>
      <c r="JO20" s="666"/>
      <c r="JP20" s="666"/>
      <c r="JQ20" s="666"/>
      <c r="JR20" s="666"/>
      <c r="JS20" s="666"/>
      <c r="JT20" s="666"/>
      <c r="JU20" s="666"/>
      <c r="JV20" s="666"/>
      <c r="JW20" s="666"/>
      <c r="JX20" s="666"/>
      <c r="JY20" s="666"/>
      <c r="JZ20" s="666"/>
      <c r="KA20" s="666"/>
      <c r="KB20" s="666"/>
      <c r="KC20" s="666"/>
      <c r="KD20" s="666"/>
      <c r="KE20" s="666"/>
      <c r="KF20" s="666"/>
      <c r="KG20" s="666"/>
      <c r="KH20" s="666"/>
      <c r="KI20" s="666"/>
      <c r="KJ20" s="666"/>
      <c r="KK20" s="666"/>
      <c r="KL20" s="666"/>
      <c r="KM20" s="666"/>
      <c r="KN20" s="666"/>
      <c r="KO20" s="666"/>
      <c r="KP20" s="666"/>
      <c r="KQ20" s="666"/>
      <c r="KR20" s="666"/>
      <c r="KS20" s="666"/>
      <c r="KT20" s="666"/>
      <c r="KU20" s="666"/>
      <c r="KV20" s="666"/>
      <c r="KW20" s="666"/>
      <c r="KX20" s="666"/>
      <c r="KY20" s="666"/>
      <c r="KZ20" s="666"/>
      <c r="LA20" s="666"/>
      <c r="LB20" s="666"/>
      <c r="LC20" s="666"/>
      <c r="LD20" s="666"/>
      <c r="LE20" s="666"/>
      <c r="LF20" s="666"/>
      <c r="LG20" s="666"/>
      <c r="LH20" s="666"/>
      <c r="LI20" s="666"/>
      <c r="LJ20" s="666"/>
      <c r="LK20" s="666"/>
      <c r="LL20" s="666"/>
      <c r="LM20" s="666"/>
      <c r="LN20" s="666"/>
      <c r="LO20" s="666"/>
      <c r="LP20" s="666"/>
      <c r="LQ20" s="666"/>
      <c r="LR20" s="666"/>
      <c r="LS20" s="666"/>
      <c r="LT20" s="666"/>
      <c r="LU20" s="666"/>
      <c r="LV20" s="666"/>
      <c r="LW20" s="666"/>
      <c r="LX20" s="666"/>
      <c r="LY20" s="666"/>
      <c r="LZ20" s="666"/>
      <c r="MA20" s="666"/>
      <c r="MB20" s="666"/>
      <c r="MC20" s="666"/>
      <c r="MD20" s="666"/>
      <c r="ME20" s="666"/>
      <c r="MF20" s="666"/>
      <c r="MG20" s="666"/>
      <c r="MH20" s="666"/>
      <c r="MI20" s="666"/>
      <c r="MJ20" s="666"/>
      <c r="MK20" s="666"/>
    </row>
    <row r="21" spans="1:349">
      <c r="A21" s="575"/>
      <c r="B21" s="37"/>
      <c r="C21" s="37"/>
      <c r="D21" s="37"/>
      <c r="E21" s="37"/>
      <c r="F21" s="37"/>
      <c r="G21" s="37"/>
      <c r="H21" s="37"/>
      <c r="I21" s="37"/>
      <c r="J21" s="37"/>
      <c r="K21" s="13"/>
      <c r="L21" s="585"/>
      <c r="M21" s="7"/>
      <c r="N21" s="7"/>
      <c r="O21" s="57"/>
      <c r="P21" s="7"/>
      <c r="Q21" s="7"/>
      <c r="R21" s="7"/>
      <c r="S21" s="7"/>
      <c r="T21" s="103"/>
      <c r="U21" s="891"/>
      <c r="V21" s="892"/>
      <c r="W21" s="891"/>
      <c r="X21" s="892"/>
      <c r="Y21" s="857">
        <v>1130813</v>
      </c>
      <c r="Z21" s="858">
        <v>3989.9</v>
      </c>
      <c r="AA21" s="893"/>
      <c r="AB21" s="540"/>
      <c r="AC21" s="894"/>
      <c r="AD21" s="895"/>
      <c r="AE21" s="896"/>
      <c r="AF21" s="897"/>
      <c r="AG21" s="896"/>
      <c r="AH21" s="897"/>
      <c r="AI21" s="309"/>
      <c r="AJ21" s="230"/>
    </row>
    <row r="22" spans="1:349" s="163" customFormat="1" ht="4.5" customHeight="1">
      <c r="A22" s="57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583"/>
      <c r="M22" s="13"/>
      <c r="N22" s="13"/>
      <c r="O22" s="515"/>
      <c r="P22" s="13"/>
      <c r="Q22" s="13"/>
      <c r="R22" s="13"/>
      <c r="S22" s="13"/>
      <c r="T22" s="519"/>
      <c r="U22" s="898"/>
      <c r="V22" s="899"/>
      <c r="W22" s="898"/>
      <c r="X22" s="899"/>
      <c r="Y22" s="901"/>
      <c r="Z22" s="902"/>
      <c r="AA22" s="898"/>
      <c r="AB22" s="899"/>
      <c r="AC22" s="898"/>
      <c r="AD22" s="899"/>
      <c r="AE22" s="898"/>
      <c r="AF22" s="900"/>
      <c r="AG22" s="898"/>
      <c r="AH22" s="900"/>
      <c r="AI22" s="520"/>
      <c r="AJ22" s="521"/>
    </row>
    <row r="23" spans="1:349" s="666" customFormat="1">
      <c r="A23" s="607">
        <v>1474</v>
      </c>
      <c r="B23" s="651">
        <v>769</v>
      </c>
      <c r="C23" s="651" t="s">
        <v>985</v>
      </c>
      <c r="D23" s="651"/>
      <c r="E23" s="651"/>
      <c r="F23" s="409"/>
      <c r="G23" s="651"/>
      <c r="H23" s="651"/>
      <c r="I23" s="651"/>
      <c r="J23" s="651" t="s">
        <v>650</v>
      </c>
      <c r="K23" s="632"/>
      <c r="L23" s="867" t="s">
        <v>992</v>
      </c>
      <c r="M23" s="651"/>
      <c r="N23" s="651"/>
      <c r="O23" s="868"/>
      <c r="P23" s="651"/>
      <c r="Q23" s="651"/>
      <c r="R23" s="651"/>
      <c r="S23" s="651"/>
      <c r="T23" s="869"/>
      <c r="U23" s="462">
        <v>1198653</v>
      </c>
      <c r="V23" s="909">
        <v>13661.97</v>
      </c>
      <c r="W23" s="840">
        <v>1132077</v>
      </c>
      <c r="X23" s="845">
        <v>9141.94</v>
      </c>
      <c r="Y23" s="842">
        <v>893939</v>
      </c>
      <c r="Z23" s="844">
        <v>3795.39</v>
      </c>
      <c r="AA23" s="842">
        <v>1195990</v>
      </c>
      <c r="AB23" s="844">
        <v>137.78</v>
      </c>
      <c r="AC23" s="910"/>
      <c r="AD23" s="911"/>
      <c r="AE23" s="846">
        <v>1198653</v>
      </c>
      <c r="AF23" s="861">
        <v>6753.34</v>
      </c>
      <c r="AG23" s="889"/>
      <c r="AH23" s="890"/>
      <c r="AI23" s="464">
        <f>U23</f>
        <v>1198653</v>
      </c>
      <c r="AJ23" s="465">
        <f>AF23+V23+AB23+Z24+X23</f>
        <v>33044.07</v>
      </c>
    </row>
    <row r="24" spans="1:349" s="107" customFormat="1">
      <c r="A24" s="575"/>
      <c r="B24" s="37"/>
      <c r="C24" s="37"/>
      <c r="D24" s="37"/>
      <c r="E24" s="37"/>
      <c r="F24" s="37"/>
      <c r="G24" s="37"/>
      <c r="H24" s="37"/>
      <c r="I24" s="37"/>
      <c r="J24" s="37"/>
      <c r="K24" s="13"/>
      <c r="L24" s="585"/>
      <c r="M24" s="37"/>
      <c r="N24" s="37"/>
      <c r="O24" s="106"/>
      <c r="P24" s="37"/>
      <c r="Q24" s="37"/>
      <c r="R24" s="37"/>
      <c r="S24" s="37"/>
      <c r="T24" s="310"/>
      <c r="U24" s="233"/>
      <c r="V24" s="325"/>
      <c r="W24" s="233"/>
      <c r="X24" s="325"/>
      <c r="Y24" s="857">
        <v>1130845</v>
      </c>
      <c r="Z24" s="858">
        <v>3349.04</v>
      </c>
      <c r="AA24" s="187"/>
      <c r="AB24" s="348"/>
      <c r="AC24" s="282"/>
      <c r="AD24" s="315"/>
      <c r="AE24" s="219"/>
      <c r="AF24" s="225"/>
      <c r="AG24" s="219"/>
      <c r="AH24" s="225"/>
      <c r="AI24" s="309"/>
      <c r="AJ24" s="230"/>
      <c r="AK24" s="163"/>
    </row>
    <row r="25" spans="1:349" s="163" customFormat="1" ht="3.75" customHeight="1">
      <c r="A25" s="57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583"/>
      <c r="M25" s="13"/>
      <c r="N25" s="13"/>
      <c r="O25" s="515"/>
      <c r="P25" s="13"/>
      <c r="Q25" s="13"/>
      <c r="R25" s="13"/>
      <c r="S25" s="13"/>
      <c r="T25" s="519"/>
      <c r="U25" s="516"/>
      <c r="V25" s="517"/>
      <c r="W25" s="516"/>
      <c r="X25" s="517"/>
      <c r="Y25" s="516"/>
      <c r="Z25" s="517"/>
      <c r="AA25" s="516"/>
      <c r="AB25" s="517"/>
      <c r="AC25" s="516"/>
      <c r="AD25" s="517"/>
      <c r="AE25" s="516"/>
      <c r="AF25" s="518"/>
      <c r="AG25" s="516"/>
      <c r="AH25" s="518"/>
      <c r="AI25" s="520"/>
      <c r="AJ25" s="521"/>
    </row>
    <row r="26" spans="1:349" s="818" customFormat="1">
      <c r="A26" s="605">
        <v>1520</v>
      </c>
      <c r="B26" s="409">
        <v>770</v>
      </c>
      <c r="C26" s="409" t="s">
        <v>982</v>
      </c>
      <c r="D26" s="409"/>
      <c r="E26" s="409"/>
      <c r="F26" s="409"/>
      <c r="G26" s="409"/>
      <c r="H26" s="409" t="s">
        <v>650</v>
      </c>
      <c r="I26" s="409"/>
      <c r="J26" s="409" t="s">
        <v>650</v>
      </c>
      <c r="K26" s="632"/>
      <c r="L26" s="815" t="s">
        <v>993</v>
      </c>
      <c r="M26" s="528"/>
      <c r="N26" s="528"/>
      <c r="O26" s="816"/>
      <c r="P26" s="528"/>
      <c r="Q26" s="528"/>
      <c r="R26" s="528"/>
      <c r="S26" s="528"/>
      <c r="T26" s="817"/>
      <c r="U26" s="462">
        <v>990172</v>
      </c>
      <c r="V26" s="458">
        <v>13249.82</v>
      </c>
      <c r="W26" s="840">
        <v>1081833</v>
      </c>
      <c r="X26" s="845">
        <v>9141.94</v>
      </c>
      <c r="Y26" s="842">
        <v>890299</v>
      </c>
      <c r="Z26" s="844">
        <v>2666.79</v>
      </c>
      <c r="AA26" s="433"/>
      <c r="AB26" s="490"/>
      <c r="AC26" s="454"/>
      <c r="AD26" s="536"/>
      <c r="AE26" s="846">
        <v>990172</v>
      </c>
      <c r="AF26" s="861">
        <v>6701.44</v>
      </c>
      <c r="AG26" s="439"/>
      <c r="AH26" s="440"/>
      <c r="AI26" s="464">
        <f>U26</f>
        <v>990172</v>
      </c>
      <c r="AJ26" s="465">
        <f>AF26+AB26+Z26+V26+X26</f>
        <v>31759.989999999998</v>
      </c>
      <c r="AK26" s="666"/>
    </row>
    <row r="27" spans="1:349">
      <c r="A27" s="575"/>
      <c r="B27" s="37"/>
      <c r="C27" s="37"/>
      <c r="D27" s="37"/>
      <c r="E27" s="37"/>
      <c r="F27" s="37"/>
      <c r="G27" s="37"/>
      <c r="H27" s="37"/>
      <c r="I27" s="37"/>
      <c r="J27" s="37"/>
      <c r="K27" s="13"/>
      <c r="L27" s="587"/>
      <c r="M27" s="7"/>
      <c r="N27" s="7"/>
      <c r="O27" s="57"/>
      <c r="P27" s="7"/>
      <c r="Q27" s="7"/>
      <c r="R27" s="98"/>
      <c r="S27" s="98"/>
      <c r="T27" s="103"/>
      <c r="U27" s="233"/>
      <c r="W27" s="233"/>
      <c r="AA27" s="187"/>
      <c r="AB27" s="348"/>
      <c r="AF27" s="225"/>
      <c r="AH27" s="225"/>
      <c r="AI27" s="309"/>
      <c r="AJ27" s="230"/>
    </row>
    <row r="28" spans="1:349" s="163" customFormat="1" ht="3.75" customHeight="1">
      <c r="A28" s="57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583"/>
      <c r="M28" s="13"/>
      <c r="N28" s="13"/>
      <c r="O28" s="515"/>
      <c r="P28" s="13"/>
      <c r="Q28" s="13"/>
      <c r="R28" s="13"/>
      <c r="S28" s="13"/>
      <c r="T28" s="519"/>
      <c r="U28" s="516"/>
      <c r="V28" s="517"/>
      <c r="W28" s="516"/>
      <c r="X28" s="517"/>
      <c r="Y28" s="516"/>
      <c r="Z28" s="517"/>
      <c r="AA28" s="516"/>
      <c r="AB28" s="517"/>
      <c r="AC28" s="516"/>
      <c r="AD28" s="517"/>
      <c r="AE28" s="516"/>
      <c r="AF28" s="518"/>
      <c r="AG28" s="516"/>
      <c r="AH28" s="518"/>
      <c r="AI28" s="520"/>
      <c r="AJ28" s="521"/>
    </row>
    <row r="29" spans="1:349" s="818" customFormat="1">
      <c r="A29" s="605">
        <v>1521</v>
      </c>
      <c r="B29" s="409">
        <v>769</v>
      </c>
      <c r="C29" s="409" t="s">
        <v>982</v>
      </c>
      <c r="D29" s="409"/>
      <c r="E29" s="158"/>
      <c r="F29" s="409"/>
      <c r="G29" s="409"/>
      <c r="H29" s="409"/>
      <c r="I29" s="409"/>
      <c r="J29" s="409" t="s">
        <v>650</v>
      </c>
      <c r="K29" s="632"/>
      <c r="L29" s="815" t="s">
        <v>994</v>
      </c>
      <c r="M29" s="528"/>
      <c r="N29" s="528"/>
      <c r="O29" s="816"/>
      <c r="P29" s="528"/>
      <c r="Q29" s="528"/>
      <c r="R29" s="528"/>
      <c r="S29" s="528"/>
      <c r="T29" s="817"/>
      <c r="U29" s="462">
        <v>990182</v>
      </c>
      <c r="V29" s="458">
        <v>13591.07</v>
      </c>
      <c r="W29" s="840">
        <v>1081834</v>
      </c>
      <c r="X29" s="845">
        <v>8785.9599999999991</v>
      </c>
      <c r="Y29" s="842">
        <v>890334</v>
      </c>
      <c r="Z29" s="844">
        <v>2998.9</v>
      </c>
      <c r="AA29" s="433"/>
      <c r="AB29" s="490"/>
      <c r="AC29" s="454"/>
      <c r="AD29" s="536"/>
      <c r="AE29" s="846">
        <v>990182</v>
      </c>
      <c r="AF29" s="861">
        <v>7140.38</v>
      </c>
      <c r="AG29" s="439"/>
      <c r="AH29" s="440"/>
      <c r="AI29" s="464">
        <f>U29</f>
        <v>990182</v>
      </c>
      <c r="AJ29" s="465">
        <f>AF29+AB29+Z29+V29+X29</f>
        <v>32516.309999999998</v>
      </c>
      <c r="AK29" s="666"/>
    </row>
    <row r="30" spans="1:349">
      <c r="A30" s="575"/>
      <c r="B30" s="37"/>
      <c r="C30" s="37"/>
      <c r="D30" s="37"/>
      <c r="E30" s="37"/>
      <c r="F30" s="37"/>
      <c r="G30" s="37"/>
      <c r="H30" s="37"/>
      <c r="I30" s="37"/>
      <c r="J30" s="37"/>
      <c r="K30" s="13"/>
      <c r="L30" s="587"/>
      <c r="M30" s="7"/>
      <c r="N30" s="7"/>
      <c r="O30" s="57"/>
      <c r="P30" s="7"/>
      <c r="Q30" s="7"/>
      <c r="R30" s="98"/>
      <c r="S30" s="98"/>
      <c r="T30" s="103"/>
      <c r="U30" s="233"/>
      <c r="W30" s="233"/>
      <c r="AA30" s="187"/>
      <c r="AB30" s="348"/>
      <c r="AF30" s="225"/>
      <c r="AH30" s="225"/>
      <c r="AI30" s="309"/>
      <c r="AJ30" s="230"/>
    </row>
    <row r="31" spans="1:349" s="163" customFormat="1" ht="3.75" customHeight="1">
      <c r="A31" s="57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583"/>
      <c r="M31" s="13"/>
      <c r="N31" s="13"/>
      <c r="O31" s="515"/>
      <c r="P31" s="13"/>
      <c r="Q31" s="13"/>
      <c r="R31" s="13"/>
      <c r="S31" s="13"/>
      <c r="T31" s="519"/>
      <c r="U31" s="516"/>
      <c r="V31" s="517"/>
      <c r="W31" s="516"/>
      <c r="X31" s="517"/>
      <c r="Y31" s="516"/>
      <c r="Z31" s="517"/>
      <c r="AA31" s="516"/>
      <c r="AB31" s="517"/>
      <c r="AC31" s="516"/>
      <c r="AD31" s="517"/>
      <c r="AE31" s="516"/>
      <c r="AF31" s="518"/>
      <c r="AG31" s="516"/>
      <c r="AH31" s="518"/>
      <c r="AI31" s="520"/>
      <c r="AJ31" s="521"/>
    </row>
    <row r="32" spans="1:349" s="158" customFormat="1">
      <c r="A32" s="605">
        <v>1522</v>
      </c>
      <c r="B32" s="409">
        <v>768</v>
      </c>
      <c r="C32" s="409" t="s">
        <v>648</v>
      </c>
      <c r="D32" s="409"/>
      <c r="E32" s="409"/>
      <c r="F32" s="409" t="s">
        <v>650</v>
      </c>
      <c r="G32" s="409"/>
      <c r="H32" s="409"/>
      <c r="I32" s="409"/>
      <c r="J32" s="409"/>
      <c r="K32" s="632"/>
      <c r="L32" s="815" t="s">
        <v>995</v>
      </c>
      <c r="M32" s="528"/>
      <c r="N32" s="528"/>
      <c r="O32" s="816"/>
      <c r="P32" s="528"/>
      <c r="Q32" s="528"/>
      <c r="R32" s="528"/>
      <c r="S32" s="528"/>
      <c r="T32" s="817"/>
      <c r="U32" s="840">
        <v>990204</v>
      </c>
      <c r="V32" s="845">
        <v>18177.12</v>
      </c>
      <c r="W32" s="840">
        <v>946318</v>
      </c>
      <c r="X32" s="845">
        <v>6635.49</v>
      </c>
      <c r="Y32" s="842">
        <v>946013</v>
      </c>
      <c r="Z32" s="844">
        <v>581.91999999999996</v>
      </c>
      <c r="AA32" s="842">
        <v>1081835</v>
      </c>
      <c r="AB32" s="844">
        <v>10397.81</v>
      </c>
      <c r="AC32" s="454"/>
      <c r="AD32" s="536"/>
      <c r="AE32" s="439">
        <v>946318</v>
      </c>
      <c r="AF32" s="440">
        <v>1250.3399999999999</v>
      </c>
      <c r="AG32" s="846">
        <v>990204</v>
      </c>
      <c r="AH32" s="861">
        <v>9946.9599999999991</v>
      </c>
      <c r="AI32" s="464">
        <f>U32</f>
        <v>990204</v>
      </c>
      <c r="AJ32" s="465">
        <f>AH32+AF32+AD32+AB32+Z32+X32+V32</f>
        <v>46989.64</v>
      </c>
      <c r="AK32" s="666"/>
      <c r="AL32" s="818"/>
      <c r="AM32" s="818"/>
      <c r="AN32" s="818"/>
      <c r="AO32" s="818"/>
      <c r="AP32" s="818"/>
      <c r="AQ32" s="818"/>
      <c r="AR32" s="818"/>
      <c r="AS32" s="818"/>
      <c r="AT32" s="818"/>
      <c r="AU32" s="818"/>
      <c r="AV32" s="818"/>
      <c r="AW32" s="818"/>
      <c r="AX32" s="818"/>
      <c r="AY32" s="818"/>
      <c r="AZ32" s="818"/>
      <c r="BA32" s="818"/>
      <c r="BB32" s="818"/>
      <c r="BC32" s="818"/>
      <c r="BD32" s="818"/>
      <c r="BE32" s="818"/>
      <c r="BF32" s="818"/>
      <c r="BG32" s="818"/>
      <c r="BH32" s="818"/>
      <c r="BI32" s="818"/>
      <c r="BJ32" s="818"/>
      <c r="BK32" s="818"/>
      <c r="BL32" s="818"/>
      <c r="BM32" s="818"/>
      <c r="BN32" s="818"/>
      <c r="BO32" s="818"/>
      <c r="BP32" s="818"/>
      <c r="BQ32" s="818"/>
      <c r="BR32" s="818"/>
      <c r="BS32" s="818"/>
      <c r="BT32" s="818"/>
      <c r="BU32" s="818"/>
      <c r="BV32" s="818"/>
      <c r="BW32" s="818"/>
      <c r="BX32" s="818"/>
      <c r="BY32" s="818"/>
      <c r="BZ32" s="818"/>
      <c r="CA32" s="818"/>
      <c r="CB32" s="818"/>
      <c r="CC32" s="818"/>
      <c r="CD32" s="818"/>
      <c r="CE32" s="818"/>
      <c r="CF32" s="818"/>
      <c r="CG32" s="818"/>
      <c r="CH32" s="818"/>
      <c r="CI32" s="818"/>
      <c r="CJ32" s="818"/>
      <c r="CK32" s="818"/>
      <c r="CL32" s="818"/>
      <c r="CM32" s="818"/>
      <c r="CN32" s="818"/>
      <c r="CO32" s="818"/>
      <c r="CP32" s="818"/>
      <c r="CQ32" s="818"/>
      <c r="CR32" s="818"/>
      <c r="CS32" s="818"/>
      <c r="CT32" s="818"/>
      <c r="CU32" s="818"/>
      <c r="CV32" s="818"/>
      <c r="CW32" s="818"/>
      <c r="CX32" s="818"/>
      <c r="CY32" s="818"/>
      <c r="CZ32" s="818"/>
      <c r="DA32" s="818"/>
      <c r="DB32" s="818"/>
      <c r="DC32" s="818"/>
      <c r="DD32" s="818"/>
      <c r="DE32" s="818"/>
      <c r="DF32" s="818"/>
      <c r="DG32" s="818"/>
      <c r="DH32" s="818"/>
      <c r="DI32" s="818"/>
      <c r="DJ32" s="818"/>
      <c r="DK32" s="818"/>
      <c r="DL32" s="818"/>
      <c r="DM32" s="818"/>
      <c r="DN32" s="818"/>
      <c r="DO32" s="818"/>
      <c r="DP32" s="818"/>
      <c r="DQ32" s="818"/>
      <c r="DR32" s="818"/>
      <c r="DS32" s="818"/>
      <c r="DT32" s="818"/>
      <c r="DU32" s="818"/>
      <c r="DV32" s="818"/>
      <c r="DW32" s="818"/>
      <c r="DX32" s="818"/>
      <c r="DY32" s="818"/>
      <c r="DZ32" s="818"/>
      <c r="EA32" s="818"/>
      <c r="EB32" s="818"/>
      <c r="EC32" s="818"/>
      <c r="ED32" s="818"/>
      <c r="EE32" s="818"/>
      <c r="EF32" s="818"/>
      <c r="EG32" s="818"/>
      <c r="EH32" s="818"/>
      <c r="EI32" s="818"/>
      <c r="EJ32" s="818"/>
      <c r="EK32" s="818"/>
      <c r="EL32" s="818"/>
      <c r="EM32" s="818"/>
      <c r="EN32" s="818"/>
      <c r="EO32" s="818"/>
      <c r="EP32" s="818"/>
      <c r="EQ32" s="818"/>
      <c r="ER32" s="818"/>
      <c r="ES32" s="818"/>
      <c r="ET32" s="818"/>
      <c r="EU32" s="818"/>
      <c r="EV32" s="818"/>
      <c r="EW32" s="818"/>
      <c r="EX32" s="818"/>
      <c r="EY32" s="818"/>
      <c r="EZ32" s="818"/>
      <c r="FA32" s="818"/>
      <c r="FB32" s="818"/>
      <c r="FC32" s="818"/>
      <c r="FD32" s="818"/>
      <c r="FE32" s="818"/>
      <c r="FF32" s="818"/>
      <c r="FG32" s="818"/>
      <c r="FH32" s="818"/>
      <c r="FI32" s="818"/>
      <c r="FJ32" s="818"/>
      <c r="FK32" s="818"/>
      <c r="FL32" s="818"/>
      <c r="FM32" s="818"/>
      <c r="FN32" s="818"/>
      <c r="FO32" s="818"/>
      <c r="FP32" s="818"/>
      <c r="FQ32" s="818"/>
      <c r="FR32" s="818"/>
      <c r="FS32" s="818"/>
      <c r="FT32" s="818"/>
      <c r="FU32" s="818"/>
      <c r="FV32" s="818"/>
      <c r="FW32" s="818"/>
      <c r="FX32" s="818"/>
      <c r="FY32" s="818"/>
      <c r="FZ32" s="818"/>
      <c r="GA32" s="818"/>
      <c r="GB32" s="818"/>
      <c r="GC32" s="818"/>
      <c r="GD32" s="818"/>
      <c r="GE32" s="818"/>
      <c r="GF32" s="818"/>
      <c r="GG32" s="818"/>
      <c r="GH32" s="818"/>
      <c r="GI32" s="818"/>
      <c r="GJ32" s="818"/>
      <c r="GK32" s="818"/>
      <c r="GL32" s="818"/>
      <c r="GM32" s="818"/>
      <c r="GN32" s="818"/>
      <c r="GO32" s="818"/>
      <c r="GP32" s="818"/>
      <c r="GQ32" s="818"/>
      <c r="GR32" s="818"/>
      <c r="GS32" s="818"/>
      <c r="GT32" s="818"/>
      <c r="GU32" s="818"/>
      <c r="GV32" s="818"/>
      <c r="GW32" s="818"/>
      <c r="GX32" s="818"/>
      <c r="GY32" s="818"/>
      <c r="GZ32" s="818"/>
      <c r="HA32" s="818"/>
      <c r="HB32" s="818"/>
      <c r="HC32" s="818"/>
      <c r="HD32" s="818"/>
      <c r="HE32" s="818"/>
      <c r="HF32" s="818"/>
      <c r="HG32" s="818"/>
      <c r="HH32" s="818"/>
      <c r="HI32" s="818"/>
      <c r="HJ32" s="818"/>
      <c r="HK32" s="818"/>
      <c r="HL32" s="818"/>
      <c r="HM32" s="818"/>
      <c r="HN32" s="818"/>
      <c r="HO32" s="818"/>
      <c r="HP32" s="818"/>
      <c r="HQ32" s="818"/>
      <c r="HR32" s="818"/>
      <c r="HS32" s="818"/>
      <c r="HT32" s="818"/>
      <c r="HU32" s="818"/>
      <c r="HV32" s="818"/>
      <c r="HW32" s="818"/>
      <c r="HX32" s="818"/>
      <c r="HY32" s="818"/>
      <c r="HZ32" s="818"/>
      <c r="IA32" s="818"/>
      <c r="IB32" s="818"/>
      <c r="IC32" s="818"/>
      <c r="ID32" s="818"/>
      <c r="IE32" s="818"/>
      <c r="IF32" s="818"/>
      <c r="IG32" s="818"/>
      <c r="IH32" s="818"/>
      <c r="II32" s="818"/>
      <c r="IJ32" s="818"/>
      <c r="IK32" s="818"/>
      <c r="IL32" s="818"/>
      <c r="IM32" s="818"/>
      <c r="IN32" s="818"/>
      <c r="IO32" s="818"/>
      <c r="IP32" s="818"/>
      <c r="IQ32" s="818"/>
      <c r="IR32" s="818"/>
      <c r="IS32" s="818"/>
      <c r="IT32" s="818"/>
      <c r="IU32" s="818"/>
      <c r="IV32" s="818"/>
      <c r="IW32" s="818"/>
      <c r="IX32" s="818"/>
      <c r="IY32" s="818"/>
      <c r="IZ32" s="818"/>
      <c r="JA32" s="818"/>
      <c r="JB32" s="818"/>
      <c r="JC32" s="818"/>
      <c r="JD32" s="818"/>
      <c r="JE32" s="818"/>
      <c r="JF32" s="818"/>
      <c r="JG32" s="818"/>
      <c r="JH32" s="818"/>
      <c r="JI32" s="818"/>
      <c r="JJ32" s="818"/>
      <c r="JK32" s="818"/>
      <c r="JL32" s="818"/>
      <c r="JM32" s="818"/>
      <c r="JN32" s="818"/>
      <c r="JO32" s="818"/>
      <c r="JP32" s="818"/>
      <c r="JQ32" s="818"/>
      <c r="JR32" s="818"/>
      <c r="JS32" s="818"/>
      <c r="JT32" s="818"/>
      <c r="JU32" s="818"/>
      <c r="JV32" s="818"/>
      <c r="JW32" s="818"/>
      <c r="JX32" s="818"/>
      <c r="JY32" s="818"/>
      <c r="JZ32" s="818"/>
      <c r="KA32" s="818"/>
      <c r="KB32" s="818"/>
      <c r="KC32" s="818"/>
      <c r="KD32" s="818"/>
      <c r="KE32" s="818"/>
      <c r="KF32" s="818"/>
      <c r="KG32" s="818"/>
      <c r="KH32" s="818"/>
      <c r="KI32" s="818"/>
      <c r="KJ32" s="818"/>
      <c r="KK32" s="818"/>
      <c r="KL32" s="818"/>
      <c r="KM32" s="818"/>
      <c r="KN32" s="818"/>
      <c r="KO32" s="818"/>
      <c r="KP32" s="818"/>
      <c r="KQ32" s="818"/>
      <c r="KR32" s="818"/>
      <c r="KS32" s="818"/>
      <c r="KT32" s="818"/>
      <c r="KU32" s="818"/>
      <c r="KV32" s="818"/>
      <c r="KW32" s="818"/>
      <c r="KX32" s="818"/>
      <c r="KY32" s="818"/>
      <c r="KZ32" s="818"/>
      <c r="LA32" s="818"/>
      <c r="LB32" s="818"/>
      <c r="LC32" s="818"/>
      <c r="LD32" s="818"/>
      <c r="LE32" s="818"/>
      <c r="LF32" s="818"/>
      <c r="LG32" s="818"/>
      <c r="LH32" s="818"/>
      <c r="LI32" s="818"/>
      <c r="LJ32" s="818"/>
      <c r="LK32" s="818"/>
      <c r="LL32" s="818"/>
      <c r="LM32" s="818"/>
      <c r="LN32" s="818"/>
      <c r="LO32" s="818"/>
      <c r="LP32" s="818"/>
      <c r="LQ32" s="818"/>
      <c r="LR32" s="818"/>
      <c r="LS32" s="818"/>
      <c r="LT32" s="818"/>
      <c r="LU32" s="818"/>
      <c r="LV32" s="818"/>
      <c r="LW32" s="818"/>
      <c r="LX32" s="818"/>
      <c r="LY32" s="818"/>
      <c r="LZ32" s="818"/>
      <c r="MA32" s="818"/>
      <c r="MB32" s="818"/>
      <c r="MC32" s="818"/>
      <c r="MD32" s="818"/>
      <c r="ME32" s="818"/>
      <c r="MF32" s="818"/>
      <c r="MG32" s="818"/>
      <c r="MH32" s="818"/>
      <c r="MI32" s="818"/>
      <c r="MJ32" s="818"/>
      <c r="MK32" s="818"/>
    </row>
    <row r="33" spans="1:349" s="107" customFormat="1">
      <c r="A33" s="575"/>
      <c r="B33" s="37"/>
      <c r="C33" s="37"/>
      <c r="D33" s="37"/>
      <c r="E33" s="37"/>
      <c r="F33" s="37"/>
      <c r="G33" s="37"/>
      <c r="H33" s="37"/>
      <c r="I33" s="37"/>
      <c r="J33" s="37"/>
      <c r="K33" s="13"/>
      <c r="L33" s="587"/>
      <c r="M33" s="7"/>
      <c r="N33" s="7"/>
      <c r="O33" s="57"/>
      <c r="P33" s="7"/>
      <c r="Q33" s="7"/>
      <c r="R33" s="98"/>
      <c r="S33" s="98"/>
      <c r="T33" s="103"/>
      <c r="U33" s="233"/>
      <c r="V33" s="325"/>
      <c r="W33" s="233"/>
      <c r="X33" s="325"/>
      <c r="Y33" s="187"/>
      <c r="Z33" s="348"/>
      <c r="AA33" s="187"/>
      <c r="AB33" s="348"/>
      <c r="AC33" s="282"/>
      <c r="AD33" s="315"/>
      <c r="AE33" s="219"/>
      <c r="AF33" s="225"/>
      <c r="AG33" s="219"/>
      <c r="AH33" s="225"/>
      <c r="AI33" s="309"/>
      <c r="AJ33" s="230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  <c r="CY33" s="163"/>
      <c r="CZ33" s="163"/>
      <c r="DA33" s="163"/>
      <c r="DB33" s="163"/>
      <c r="DC33" s="163"/>
      <c r="DD33" s="163"/>
      <c r="DE33" s="163"/>
      <c r="DF33" s="163"/>
      <c r="DG33" s="163"/>
      <c r="DH33" s="163"/>
      <c r="DI33" s="163"/>
      <c r="DJ33" s="163"/>
      <c r="DK33" s="163"/>
      <c r="DL33" s="163"/>
      <c r="DM33" s="163"/>
      <c r="DN33" s="163"/>
      <c r="DO33" s="163"/>
      <c r="DP33" s="163"/>
      <c r="DQ33" s="163"/>
      <c r="DR33" s="163"/>
      <c r="DS33" s="163"/>
      <c r="DT33" s="163"/>
      <c r="DU33" s="163"/>
      <c r="DV33" s="163"/>
      <c r="DW33" s="163"/>
      <c r="DX33" s="163"/>
      <c r="DY33" s="163"/>
      <c r="DZ33" s="163"/>
      <c r="EA33" s="163"/>
      <c r="EB33" s="163"/>
      <c r="EC33" s="163"/>
      <c r="ED33" s="163"/>
      <c r="EE33" s="163"/>
      <c r="EF33" s="163"/>
      <c r="EG33" s="163"/>
      <c r="EH33" s="163"/>
      <c r="EI33" s="163"/>
      <c r="EJ33" s="163"/>
      <c r="EK33" s="163"/>
      <c r="EL33" s="163"/>
      <c r="EM33" s="163"/>
      <c r="EN33" s="163"/>
      <c r="EO33" s="163"/>
      <c r="EP33" s="163"/>
      <c r="EQ33" s="163"/>
      <c r="ER33" s="163"/>
      <c r="ES33" s="163"/>
      <c r="ET33" s="163"/>
      <c r="EU33" s="163"/>
      <c r="EV33" s="163"/>
      <c r="EW33" s="163"/>
      <c r="EX33" s="163"/>
      <c r="EY33" s="163"/>
      <c r="EZ33" s="163"/>
      <c r="FA33" s="163"/>
      <c r="FB33" s="163"/>
      <c r="FC33" s="163"/>
      <c r="FD33" s="163"/>
      <c r="FE33" s="163"/>
      <c r="FF33" s="163"/>
      <c r="FG33" s="163"/>
      <c r="FH33" s="163"/>
      <c r="FI33" s="163"/>
      <c r="FJ33" s="163"/>
      <c r="FK33" s="163"/>
      <c r="FL33" s="163"/>
      <c r="FM33" s="163"/>
      <c r="FN33" s="163"/>
      <c r="FO33" s="163"/>
      <c r="FP33" s="163"/>
      <c r="FQ33" s="163"/>
      <c r="FR33" s="163"/>
      <c r="FS33" s="163"/>
      <c r="FT33" s="163"/>
      <c r="FU33" s="163"/>
      <c r="FV33" s="163"/>
      <c r="FW33" s="163"/>
      <c r="FX33" s="163"/>
      <c r="FY33" s="163"/>
      <c r="FZ33" s="163"/>
      <c r="GA33" s="163"/>
      <c r="GB33" s="163"/>
      <c r="GC33" s="163"/>
      <c r="GD33" s="163"/>
      <c r="GE33" s="163"/>
      <c r="GF33" s="163"/>
      <c r="GG33" s="163"/>
      <c r="GH33" s="163"/>
      <c r="GI33" s="163"/>
      <c r="GJ33" s="163"/>
      <c r="GK33" s="163"/>
      <c r="GL33" s="163"/>
      <c r="GM33" s="163"/>
      <c r="GN33" s="163"/>
      <c r="GO33" s="163"/>
      <c r="GP33" s="163"/>
      <c r="GQ33" s="163"/>
      <c r="GR33" s="163"/>
      <c r="GS33" s="163"/>
      <c r="GT33" s="163"/>
      <c r="GU33" s="163"/>
      <c r="GV33" s="163"/>
      <c r="GW33" s="163"/>
      <c r="GX33" s="163"/>
      <c r="GY33" s="163"/>
      <c r="GZ33" s="163"/>
      <c r="HA33" s="163"/>
      <c r="HB33" s="163"/>
      <c r="HC33" s="163"/>
      <c r="HD33" s="163"/>
      <c r="HE33" s="163"/>
      <c r="HF33" s="163"/>
      <c r="HG33" s="163"/>
      <c r="HH33" s="163"/>
      <c r="HI33" s="163"/>
      <c r="HJ33" s="163"/>
      <c r="HK33" s="163"/>
      <c r="HL33" s="163"/>
      <c r="HM33" s="163"/>
      <c r="HN33" s="163"/>
      <c r="HO33" s="163"/>
      <c r="HP33" s="163"/>
      <c r="HQ33" s="163"/>
      <c r="HR33" s="163"/>
      <c r="HS33" s="163"/>
      <c r="HT33" s="163"/>
      <c r="HU33" s="163"/>
      <c r="HV33" s="163"/>
      <c r="HW33" s="163"/>
      <c r="HX33" s="163"/>
      <c r="HY33" s="163"/>
      <c r="HZ33" s="163"/>
      <c r="IA33" s="163"/>
      <c r="IB33" s="163"/>
      <c r="IC33" s="163"/>
      <c r="ID33" s="163"/>
      <c r="IE33" s="163"/>
      <c r="IF33" s="163"/>
      <c r="IG33" s="163"/>
      <c r="IH33" s="163"/>
      <c r="II33" s="163"/>
      <c r="IJ33" s="163"/>
      <c r="IK33" s="163"/>
      <c r="IL33" s="163"/>
      <c r="IM33" s="163"/>
      <c r="IN33" s="163"/>
      <c r="IO33" s="163"/>
      <c r="IP33" s="163"/>
      <c r="IQ33" s="163"/>
      <c r="IR33" s="163"/>
      <c r="IS33" s="163"/>
      <c r="IT33" s="163"/>
      <c r="IU33" s="163"/>
      <c r="IV33" s="163"/>
      <c r="IW33" s="163"/>
      <c r="IX33" s="163"/>
      <c r="IY33" s="163"/>
      <c r="IZ33" s="163"/>
      <c r="JA33" s="163"/>
      <c r="JB33" s="163"/>
      <c r="JC33" s="163"/>
      <c r="JD33" s="163"/>
      <c r="JE33" s="163"/>
      <c r="JF33" s="163"/>
      <c r="JG33" s="163"/>
      <c r="JH33" s="163"/>
      <c r="JI33" s="163"/>
      <c r="JJ33" s="163"/>
      <c r="JK33" s="163"/>
      <c r="JL33" s="163"/>
      <c r="JM33" s="163"/>
      <c r="JN33" s="163"/>
      <c r="JO33" s="163"/>
      <c r="JP33" s="163"/>
      <c r="JQ33" s="163"/>
      <c r="JR33" s="163"/>
      <c r="JS33" s="163"/>
      <c r="JT33" s="163"/>
      <c r="JU33" s="163"/>
      <c r="JV33" s="163"/>
      <c r="JW33" s="163"/>
      <c r="JX33" s="163"/>
      <c r="JY33" s="163"/>
      <c r="JZ33" s="163"/>
      <c r="KA33" s="163"/>
      <c r="KB33" s="163"/>
      <c r="KC33" s="163"/>
      <c r="KD33" s="163"/>
      <c r="KE33" s="163"/>
      <c r="KF33" s="163"/>
      <c r="KG33" s="163"/>
      <c r="KH33" s="163"/>
      <c r="KI33" s="163"/>
      <c r="KJ33" s="163"/>
      <c r="KK33" s="163"/>
      <c r="KL33" s="163"/>
      <c r="KM33" s="163"/>
      <c r="KN33" s="163"/>
      <c r="KO33" s="163"/>
      <c r="KP33" s="163"/>
      <c r="KQ33" s="163"/>
      <c r="KR33" s="163"/>
      <c r="KS33" s="163"/>
      <c r="KT33" s="163"/>
      <c r="KU33" s="163"/>
      <c r="KV33" s="163"/>
      <c r="KW33" s="163"/>
      <c r="KX33" s="163"/>
      <c r="KY33" s="163"/>
      <c r="KZ33" s="163"/>
      <c r="LA33" s="163"/>
      <c r="LB33" s="163"/>
      <c r="LC33" s="163"/>
      <c r="LD33" s="163"/>
      <c r="LE33" s="163"/>
      <c r="LF33" s="163"/>
      <c r="LG33" s="163"/>
      <c r="LH33" s="163"/>
      <c r="LI33" s="163"/>
      <c r="LJ33" s="163"/>
      <c r="LK33" s="163"/>
      <c r="LL33" s="163"/>
      <c r="LM33" s="163"/>
      <c r="LN33" s="163"/>
      <c r="LO33" s="163"/>
      <c r="LP33" s="163"/>
      <c r="LQ33" s="163"/>
      <c r="LR33" s="163"/>
      <c r="LS33" s="163"/>
      <c r="LT33" s="163"/>
      <c r="LU33" s="163"/>
      <c r="LV33" s="163"/>
      <c r="LW33" s="163"/>
      <c r="LX33" s="163"/>
      <c r="LY33" s="163"/>
      <c r="LZ33" s="163"/>
      <c r="MA33" s="163"/>
      <c r="MB33" s="163"/>
      <c r="MC33" s="163"/>
      <c r="MD33" s="163"/>
      <c r="ME33" s="163"/>
      <c r="MF33" s="163"/>
      <c r="MG33" s="163"/>
      <c r="MH33" s="163"/>
      <c r="MI33" s="163"/>
      <c r="MJ33" s="163"/>
      <c r="MK33" s="163"/>
    </row>
    <row r="34" spans="1:349" s="163" customFormat="1" ht="3.75" customHeight="1">
      <c r="A34" s="57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583"/>
      <c r="M34" s="13"/>
      <c r="N34" s="13"/>
      <c r="O34" s="515"/>
      <c r="P34" s="13"/>
      <c r="Q34" s="13"/>
      <c r="R34" s="13"/>
      <c r="S34" s="13"/>
      <c r="T34" s="519"/>
      <c r="U34" s="516"/>
      <c r="V34" s="517"/>
      <c r="W34" s="516"/>
      <c r="X34" s="517"/>
      <c r="Y34" s="516"/>
      <c r="Z34" s="517"/>
      <c r="AA34" s="516"/>
      <c r="AB34" s="517"/>
      <c r="AC34" s="516"/>
      <c r="AD34" s="517"/>
      <c r="AE34" s="516"/>
      <c r="AF34" s="518"/>
      <c r="AG34" s="516"/>
      <c r="AH34" s="518"/>
      <c r="AI34" s="520"/>
      <c r="AJ34" s="521"/>
    </row>
    <row r="35" spans="1:349" s="158" customFormat="1">
      <c r="A35" s="605">
        <v>1523</v>
      </c>
      <c r="B35" s="409">
        <v>767</v>
      </c>
      <c r="C35" s="409" t="s">
        <v>648</v>
      </c>
      <c r="D35" s="409"/>
      <c r="F35" s="409" t="s">
        <v>650</v>
      </c>
      <c r="G35" s="409"/>
      <c r="H35" s="409"/>
      <c r="I35" s="409"/>
      <c r="J35" s="409"/>
      <c r="K35" s="632"/>
      <c r="L35" s="815" t="s">
        <v>996</v>
      </c>
      <c r="M35" s="528"/>
      <c r="N35" s="528"/>
      <c r="O35" s="816"/>
      <c r="P35" s="528"/>
      <c r="Q35" s="528"/>
      <c r="R35" s="528"/>
      <c r="S35" s="528"/>
      <c r="T35" s="817"/>
      <c r="U35" s="462">
        <v>990221</v>
      </c>
      <c r="V35" s="458">
        <v>20338.03</v>
      </c>
      <c r="W35" s="840">
        <v>946335</v>
      </c>
      <c r="X35" s="845">
        <v>6830.15</v>
      </c>
      <c r="Y35" s="842">
        <v>1081836</v>
      </c>
      <c r="Z35" s="844">
        <v>10697.9</v>
      </c>
      <c r="AA35" s="842">
        <v>946086</v>
      </c>
      <c r="AB35" s="844">
        <v>581.91999999999996</v>
      </c>
      <c r="AC35" s="454"/>
      <c r="AD35" s="536"/>
      <c r="AE35" s="846">
        <v>946335</v>
      </c>
      <c r="AF35" s="861">
        <v>1250.3399999999999</v>
      </c>
      <c r="AG35" s="846">
        <v>990221</v>
      </c>
      <c r="AH35" s="861">
        <v>9929.68</v>
      </c>
      <c r="AI35" s="464">
        <f>U35</f>
        <v>990221</v>
      </c>
      <c r="AJ35" s="465">
        <f>AH35+AF35+AD35+AB35+Z35+X35+V35</f>
        <v>49628.02</v>
      </c>
      <c r="AK35" s="666"/>
      <c r="AL35" s="818"/>
      <c r="AM35" s="818"/>
      <c r="AN35" s="818"/>
      <c r="AO35" s="818"/>
      <c r="AP35" s="818"/>
      <c r="AQ35" s="818"/>
      <c r="AR35" s="818"/>
      <c r="AS35" s="818"/>
      <c r="AT35" s="818"/>
      <c r="AU35" s="818"/>
      <c r="AV35" s="818"/>
      <c r="AW35" s="818"/>
      <c r="AX35" s="818"/>
      <c r="AY35" s="818"/>
      <c r="AZ35" s="818"/>
      <c r="BA35" s="818"/>
      <c r="BB35" s="818"/>
      <c r="BC35" s="818"/>
      <c r="BD35" s="818"/>
      <c r="BE35" s="818"/>
      <c r="BF35" s="818"/>
      <c r="BG35" s="818"/>
      <c r="BH35" s="818"/>
      <c r="BI35" s="818"/>
      <c r="BJ35" s="818"/>
      <c r="BK35" s="818"/>
      <c r="BL35" s="818"/>
      <c r="BM35" s="818"/>
      <c r="BN35" s="818"/>
      <c r="BO35" s="818"/>
      <c r="BP35" s="818"/>
      <c r="BQ35" s="818"/>
      <c r="BR35" s="818"/>
      <c r="BS35" s="818"/>
      <c r="BT35" s="818"/>
      <c r="BU35" s="818"/>
      <c r="BV35" s="818"/>
      <c r="BW35" s="818"/>
      <c r="BX35" s="818"/>
      <c r="BY35" s="818"/>
      <c r="BZ35" s="818"/>
      <c r="CA35" s="818"/>
      <c r="CB35" s="818"/>
      <c r="CC35" s="818"/>
      <c r="CD35" s="818"/>
      <c r="CE35" s="818"/>
      <c r="CF35" s="818"/>
      <c r="CG35" s="818"/>
      <c r="CH35" s="818"/>
      <c r="CI35" s="818"/>
      <c r="CJ35" s="818"/>
      <c r="CK35" s="818"/>
      <c r="CL35" s="818"/>
      <c r="CM35" s="818"/>
      <c r="CN35" s="818"/>
      <c r="CO35" s="818"/>
      <c r="CP35" s="818"/>
      <c r="CQ35" s="818"/>
      <c r="CR35" s="818"/>
      <c r="CS35" s="818"/>
      <c r="CT35" s="818"/>
      <c r="CU35" s="818"/>
      <c r="CV35" s="818"/>
      <c r="CW35" s="818"/>
      <c r="CX35" s="818"/>
      <c r="CY35" s="818"/>
      <c r="CZ35" s="818"/>
      <c r="DA35" s="818"/>
      <c r="DB35" s="818"/>
      <c r="DC35" s="818"/>
      <c r="DD35" s="818"/>
      <c r="DE35" s="818"/>
      <c r="DF35" s="818"/>
      <c r="DG35" s="818"/>
      <c r="DH35" s="818"/>
      <c r="DI35" s="818"/>
      <c r="DJ35" s="818"/>
      <c r="DK35" s="818"/>
      <c r="DL35" s="818"/>
      <c r="DM35" s="818"/>
      <c r="DN35" s="818"/>
      <c r="DO35" s="818"/>
      <c r="DP35" s="818"/>
      <c r="DQ35" s="818"/>
      <c r="DR35" s="818"/>
      <c r="DS35" s="818"/>
      <c r="DT35" s="818"/>
      <c r="DU35" s="818"/>
      <c r="DV35" s="818"/>
      <c r="DW35" s="818"/>
      <c r="DX35" s="818"/>
      <c r="DY35" s="818"/>
      <c r="DZ35" s="818"/>
      <c r="EA35" s="818"/>
      <c r="EB35" s="818"/>
      <c r="EC35" s="818"/>
      <c r="ED35" s="818"/>
      <c r="EE35" s="818"/>
      <c r="EF35" s="818"/>
      <c r="EG35" s="818"/>
      <c r="EH35" s="818"/>
      <c r="EI35" s="818"/>
      <c r="EJ35" s="818"/>
      <c r="EK35" s="818"/>
      <c r="EL35" s="818"/>
      <c r="EM35" s="818"/>
      <c r="EN35" s="818"/>
      <c r="EO35" s="818"/>
      <c r="EP35" s="818"/>
      <c r="EQ35" s="818"/>
      <c r="ER35" s="818"/>
      <c r="ES35" s="818"/>
      <c r="ET35" s="818"/>
      <c r="EU35" s="818"/>
      <c r="EV35" s="818"/>
      <c r="EW35" s="818"/>
      <c r="EX35" s="818"/>
      <c r="EY35" s="818"/>
      <c r="EZ35" s="818"/>
      <c r="FA35" s="818"/>
      <c r="FB35" s="818"/>
      <c r="FC35" s="818"/>
      <c r="FD35" s="818"/>
      <c r="FE35" s="818"/>
      <c r="FF35" s="818"/>
      <c r="FG35" s="818"/>
      <c r="FH35" s="818"/>
      <c r="FI35" s="818"/>
      <c r="FJ35" s="818"/>
      <c r="FK35" s="818"/>
      <c r="FL35" s="818"/>
      <c r="FM35" s="818"/>
      <c r="FN35" s="818"/>
      <c r="FO35" s="818"/>
      <c r="FP35" s="818"/>
      <c r="FQ35" s="818"/>
      <c r="FR35" s="818"/>
      <c r="FS35" s="818"/>
      <c r="FT35" s="818"/>
      <c r="FU35" s="818"/>
      <c r="FV35" s="818"/>
      <c r="FW35" s="818"/>
      <c r="FX35" s="818"/>
      <c r="FY35" s="818"/>
      <c r="FZ35" s="818"/>
      <c r="GA35" s="818"/>
      <c r="GB35" s="818"/>
      <c r="GC35" s="818"/>
      <c r="GD35" s="818"/>
      <c r="GE35" s="818"/>
      <c r="GF35" s="818"/>
      <c r="GG35" s="818"/>
      <c r="GH35" s="818"/>
      <c r="GI35" s="818"/>
      <c r="GJ35" s="818"/>
      <c r="GK35" s="818"/>
      <c r="GL35" s="818"/>
      <c r="GM35" s="818"/>
      <c r="GN35" s="818"/>
      <c r="GO35" s="818"/>
      <c r="GP35" s="818"/>
      <c r="GQ35" s="818"/>
      <c r="GR35" s="818"/>
      <c r="GS35" s="818"/>
      <c r="GT35" s="818"/>
      <c r="GU35" s="818"/>
      <c r="GV35" s="818"/>
      <c r="GW35" s="818"/>
      <c r="GX35" s="818"/>
      <c r="GY35" s="818"/>
      <c r="GZ35" s="818"/>
      <c r="HA35" s="818"/>
      <c r="HB35" s="818"/>
      <c r="HC35" s="818"/>
      <c r="HD35" s="818"/>
      <c r="HE35" s="818"/>
      <c r="HF35" s="818"/>
      <c r="HG35" s="818"/>
      <c r="HH35" s="818"/>
      <c r="HI35" s="818"/>
      <c r="HJ35" s="818"/>
      <c r="HK35" s="818"/>
      <c r="HL35" s="818"/>
      <c r="HM35" s="818"/>
      <c r="HN35" s="818"/>
      <c r="HO35" s="818"/>
      <c r="HP35" s="818"/>
      <c r="HQ35" s="818"/>
      <c r="HR35" s="818"/>
      <c r="HS35" s="818"/>
      <c r="HT35" s="818"/>
      <c r="HU35" s="818"/>
      <c r="HV35" s="818"/>
      <c r="HW35" s="818"/>
      <c r="HX35" s="818"/>
      <c r="HY35" s="818"/>
      <c r="HZ35" s="818"/>
      <c r="IA35" s="818"/>
      <c r="IB35" s="818"/>
      <c r="IC35" s="818"/>
      <c r="ID35" s="818"/>
      <c r="IE35" s="818"/>
      <c r="IF35" s="818"/>
      <c r="IG35" s="818"/>
      <c r="IH35" s="818"/>
      <c r="II35" s="818"/>
      <c r="IJ35" s="818"/>
      <c r="IK35" s="818"/>
      <c r="IL35" s="818"/>
      <c r="IM35" s="818"/>
      <c r="IN35" s="818"/>
      <c r="IO35" s="818"/>
      <c r="IP35" s="818"/>
      <c r="IQ35" s="818"/>
      <c r="IR35" s="818"/>
      <c r="IS35" s="818"/>
      <c r="IT35" s="818"/>
      <c r="IU35" s="818"/>
      <c r="IV35" s="818"/>
      <c r="IW35" s="818"/>
      <c r="IX35" s="818"/>
      <c r="IY35" s="818"/>
      <c r="IZ35" s="818"/>
      <c r="JA35" s="818"/>
      <c r="JB35" s="818"/>
      <c r="JC35" s="818"/>
      <c r="JD35" s="818"/>
      <c r="JE35" s="818"/>
      <c r="JF35" s="818"/>
      <c r="JG35" s="818"/>
      <c r="JH35" s="818"/>
      <c r="JI35" s="818"/>
      <c r="JJ35" s="818"/>
      <c r="JK35" s="818"/>
      <c r="JL35" s="818"/>
      <c r="JM35" s="818"/>
      <c r="JN35" s="818"/>
      <c r="JO35" s="818"/>
      <c r="JP35" s="818"/>
      <c r="JQ35" s="818"/>
      <c r="JR35" s="818"/>
      <c r="JS35" s="818"/>
      <c r="JT35" s="818"/>
      <c r="JU35" s="818"/>
      <c r="JV35" s="818"/>
      <c r="JW35" s="818"/>
      <c r="JX35" s="818"/>
      <c r="JY35" s="818"/>
      <c r="JZ35" s="818"/>
      <c r="KA35" s="818"/>
      <c r="KB35" s="818"/>
      <c r="KC35" s="818"/>
      <c r="KD35" s="818"/>
      <c r="KE35" s="818"/>
      <c r="KF35" s="818"/>
      <c r="KG35" s="818"/>
      <c r="KH35" s="818"/>
      <c r="KI35" s="818"/>
      <c r="KJ35" s="818"/>
      <c r="KK35" s="818"/>
      <c r="KL35" s="818"/>
      <c r="KM35" s="818"/>
      <c r="KN35" s="818"/>
      <c r="KO35" s="818"/>
      <c r="KP35" s="818"/>
      <c r="KQ35" s="818"/>
      <c r="KR35" s="818"/>
      <c r="KS35" s="818"/>
      <c r="KT35" s="818"/>
      <c r="KU35" s="818"/>
      <c r="KV35" s="818"/>
      <c r="KW35" s="818"/>
      <c r="KX35" s="818"/>
      <c r="KY35" s="818"/>
      <c r="KZ35" s="818"/>
      <c r="LA35" s="818"/>
      <c r="LB35" s="818"/>
      <c r="LC35" s="818"/>
      <c r="LD35" s="818"/>
      <c r="LE35" s="818"/>
      <c r="LF35" s="818"/>
      <c r="LG35" s="818"/>
      <c r="LH35" s="818"/>
      <c r="LI35" s="818"/>
      <c r="LJ35" s="818"/>
      <c r="LK35" s="818"/>
      <c r="LL35" s="818"/>
      <c r="LM35" s="818"/>
      <c r="LN35" s="818"/>
      <c r="LO35" s="818"/>
      <c r="LP35" s="818"/>
      <c r="LQ35" s="818"/>
      <c r="LR35" s="818"/>
      <c r="LS35" s="818"/>
      <c r="LT35" s="818"/>
      <c r="LU35" s="818"/>
      <c r="LV35" s="818"/>
      <c r="LW35" s="818"/>
      <c r="LX35" s="818"/>
      <c r="LY35" s="818"/>
      <c r="LZ35" s="818"/>
      <c r="MA35" s="818"/>
      <c r="MB35" s="818"/>
      <c r="MC35" s="818"/>
      <c r="MD35" s="818"/>
      <c r="ME35" s="818"/>
      <c r="MF35" s="818"/>
      <c r="MG35" s="818"/>
      <c r="MH35" s="818"/>
      <c r="MI35" s="818"/>
      <c r="MJ35" s="818"/>
      <c r="MK35" s="818"/>
    </row>
    <row r="36" spans="1:349">
      <c r="A36" s="575"/>
      <c r="B36" s="37"/>
      <c r="C36" s="37"/>
      <c r="D36" s="37"/>
      <c r="E36" s="37"/>
      <c r="F36" s="37"/>
      <c r="G36" s="37"/>
      <c r="H36" s="37"/>
      <c r="I36" s="37"/>
      <c r="J36" s="37"/>
      <c r="K36" s="13"/>
      <c r="L36" s="587"/>
      <c r="M36" s="7"/>
      <c r="N36" s="7"/>
      <c r="O36" s="57"/>
      <c r="P36" s="7"/>
      <c r="Q36" s="7"/>
      <c r="R36" s="98"/>
      <c r="S36" s="98"/>
      <c r="T36" s="103"/>
      <c r="U36" s="233"/>
      <c r="W36" s="233"/>
      <c r="AA36" s="187"/>
      <c r="AB36" s="348"/>
      <c r="AF36" s="225"/>
      <c r="AH36" s="225"/>
      <c r="AI36" s="309"/>
      <c r="AJ36" s="230"/>
    </row>
    <row r="37" spans="1:349" s="163" customFormat="1" ht="3.75" customHeight="1">
      <c r="A37" s="595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583"/>
      <c r="M37" s="13"/>
      <c r="N37" s="13"/>
      <c r="O37" s="515"/>
      <c r="P37" s="13"/>
      <c r="Q37" s="13"/>
      <c r="R37" s="13"/>
      <c r="S37" s="13"/>
      <c r="T37" s="519"/>
      <c r="U37" s="516"/>
      <c r="V37" s="517"/>
      <c r="W37" s="516"/>
      <c r="X37" s="517"/>
      <c r="Y37" s="516"/>
      <c r="Z37" s="517"/>
      <c r="AA37" s="516"/>
      <c r="AB37" s="517"/>
      <c r="AC37" s="516"/>
      <c r="AD37" s="517"/>
      <c r="AE37" s="516"/>
      <c r="AF37" s="518"/>
      <c r="AG37" s="516"/>
      <c r="AH37" s="518"/>
      <c r="AI37" s="520"/>
      <c r="AJ37" s="521"/>
    </row>
    <row r="38" spans="1:349">
      <c r="A38" s="576"/>
      <c r="B38" s="7"/>
      <c r="C38" s="7"/>
      <c r="D38" s="7"/>
      <c r="E38" s="7"/>
      <c r="F38" s="7"/>
      <c r="G38" s="7"/>
      <c r="H38" s="7"/>
      <c r="I38" s="7"/>
      <c r="J38" s="7"/>
      <c r="K38" s="13"/>
      <c r="L38" s="588"/>
      <c r="M38" s="7"/>
      <c r="N38" s="7"/>
      <c r="O38" s="57"/>
      <c r="P38" s="7"/>
      <c r="Q38" s="7"/>
      <c r="R38" s="7"/>
      <c r="S38" s="7"/>
      <c r="T38" s="103"/>
      <c r="AA38" s="187"/>
      <c r="AB38" s="348"/>
      <c r="AF38" s="225"/>
      <c r="AH38" s="225"/>
      <c r="AI38" s="309"/>
      <c r="AJ38" s="230"/>
    </row>
    <row r="39" spans="1:349">
      <c r="A39" s="575"/>
      <c r="B39" s="37"/>
      <c r="C39" s="9"/>
      <c r="D39" s="9"/>
      <c r="E39" s="9"/>
      <c r="F39" s="9"/>
      <c r="G39" s="9"/>
      <c r="H39" s="9"/>
      <c r="I39" s="9"/>
      <c r="J39" s="9"/>
      <c r="K39" s="13"/>
      <c r="L39" s="585"/>
      <c r="M39" s="9"/>
      <c r="N39" s="9"/>
      <c r="O39" s="58"/>
      <c r="P39" s="9"/>
      <c r="Q39" s="9"/>
      <c r="R39" s="9"/>
      <c r="S39" s="9"/>
      <c r="T39" s="141"/>
      <c r="AA39" s="187"/>
      <c r="AB39" s="348"/>
      <c r="AF39" s="225"/>
      <c r="AH39" s="225"/>
      <c r="AI39" s="309"/>
      <c r="AJ39" s="230"/>
    </row>
    <row r="40" spans="1:349" s="163" customFormat="1" ht="3.75" customHeight="1">
      <c r="A40" s="57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583"/>
      <c r="M40" s="13"/>
      <c r="N40" s="13"/>
      <c r="O40" s="515"/>
      <c r="P40" s="13"/>
      <c r="Q40" s="13"/>
      <c r="R40" s="13"/>
      <c r="S40" s="13"/>
      <c r="T40" s="519"/>
      <c r="U40" s="516"/>
      <c r="V40" s="517"/>
      <c r="W40" s="516"/>
      <c r="X40" s="517"/>
      <c r="Y40" s="516"/>
      <c r="Z40" s="517"/>
      <c r="AA40" s="516"/>
      <c r="AB40" s="517"/>
      <c r="AC40" s="516"/>
      <c r="AD40" s="517"/>
      <c r="AE40" s="516"/>
      <c r="AF40" s="518"/>
      <c r="AG40" s="516"/>
      <c r="AH40" s="518"/>
      <c r="AI40" s="520"/>
      <c r="AJ40" s="521"/>
    </row>
    <row r="41" spans="1:349" s="107" customFormat="1">
      <c r="A41" s="576"/>
      <c r="B41" s="7"/>
      <c r="C41" s="7"/>
      <c r="D41" s="7"/>
      <c r="E41" s="7"/>
      <c r="F41" s="7"/>
      <c r="G41" s="7"/>
      <c r="H41" s="7"/>
      <c r="I41" s="7"/>
      <c r="J41" s="7"/>
      <c r="K41" s="13"/>
      <c r="L41" s="588"/>
      <c r="M41" s="43"/>
      <c r="N41" s="37"/>
      <c r="O41" s="106"/>
      <c r="P41" s="37"/>
      <c r="Q41" s="40"/>
      <c r="R41" s="40"/>
      <c r="S41" s="40"/>
      <c r="T41" s="311"/>
      <c r="U41" s="234"/>
      <c r="V41" s="325"/>
      <c r="W41" s="234"/>
      <c r="X41" s="325"/>
      <c r="Y41" s="187"/>
      <c r="Z41" s="348"/>
      <c r="AA41" s="187"/>
      <c r="AB41" s="348"/>
      <c r="AC41" s="282"/>
      <c r="AD41" s="315"/>
      <c r="AE41" s="219"/>
      <c r="AF41" s="225"/>
      <c r="AG41" s="219"/>
      <c r="AH41" s="225"/>
      <c r="AI41" s="309"/>
      <c r="AJ41" s="230"/>
      <c r="AK41" s="163"/>
    </row>
    <row r="42" spans="1:349" s="163" customFormat="1">
      <c r="A42" s="575"/>
      <c r="B42" s="37"/>
      <c r="C42" s="37"/>
      <c r="D42" s="37"/>
      <c r="E42" s="37"/>
      <c r="F42" s="37"/>
      <c r="G42" s="37"/>
      <c r="H42" s="37"/>
      <c r="I42" s="37"/>
      <c r="J42" s="37"/>
      <c r="K42" s="13"/>
      <c r="L42" s="585"/>
      <c r="M42" s="308"/>
      <c r="N42" s="145"/>
      <c r="O42" s="162"/>
      <c r="P42" s="98"/>
      <c r="Q42" s="98"/>
      <c r="R42" s="98"/>
      <c r="S42" s="98"/>
      <c r="T42" s="312"/>
      <c r="U42" s="234"/>
      <c r="V42" s="325"/>
      <c r="W42" s="234"/>
      <c r="X42" s="325"/>
      <c r="Y42" s="187"/>
      <c r="Z42" s="348"/>
      <c r="AA42" s="187"/>
      <c r="AB42" s="348"/>
      <c r="AC42" s="282"/>
      <c r="AD42" s="315"/>
      <c r="AE42" s="219"/>
      <c r="AF42" s="225"/>
      <c r="AG42" s="219"/>
      <c r="AH42" s="225"/>
      <c r="AI42" s="309"/>
      <c r="AJ42" s="230"/>
    </row>
    <row r="43" spans="1:349" s="163" customFormat="1" ht="3.75" customHeight="1">
      <c r="A43" s="57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583"/>
      <c r="M43" s="13"/>
      <c r="N43" s="13"/>
      <c r="O43" s="515"/>
      <c r="P43" s="13"/>
      <c r="Q43" s="13"/>
      <c r="R43" s="13"/>
      <c r="S43" s="13"/>
      <c r="T43" s="519"/>
      <c r="U43" s="516"/>
      <c r="V43" s="517"/>
      <c r="W43" s="516"/>
      <c r="X43" s="517"/>
      <c r="Y43" s="516"/>
      <c r="Z43" s="517"/>
      <c r="AA43" s="516"/>
      <c r="AB43" s="517"/>
      <c r="AC43" s="516"/>
      <c r="AD43" s="517"/>
      <c r="AE43" s="516"/>
      <c r="AF43" s="518"/>
      <c r="AG43" s="516"/>
      <c r="AH43" s="518"/>
      <c r="AI43" s="520"/>
      <c r="AJ43" s="521"/>
    </row>
    <row r="44" spans="1:349">
      <c r="A44" s="576"/>
      <c r="B44" s="7"/>
      <c r="C44" s="7"/>
      <c r="D44" s="7"/>
      <c r="E44" s="7"/>
      <c r="F44" s="7"/>
      <c r="G44" s="7"/>
      <c r="H44" s="7"/>
      <c r="I44" s="7"/>
      <c r="J44" s="7"/>
      <c r="K44" s="13"/>
      <c r="L44" s="588"/>
      <c r="M44" s="31"/>
      <c r="N44" s="7"/>
      <c r="O44" s="57"/>
      <c r="P44" s="7"/>
      <c r="Q44" s="31"/>
      <c r="R44" s="31"/>
      <c r="S44" s="31"/>
      <c r="T44" s="169"/>
      <c r="AA44" s="187"/>
      <c r="AB44" s="348"/>
      <c r="AF44" s="225"/>
      <c r="AH44" s="225"/>
      <c r="AI44" s="309"/>
      <c r="AJ44" s="230"/>
    </row>
    <row r="45" spans="1:349">
      <c r="A45" s="575"/>
      <c r="B45" s="37"/>
      <c r="C45" s="37"/>
      <c r="D45" s="37"/>
      <c r="E45" s="37"/>
      <c r="F45" s="37"/>
      <c r="G45" s="37"/>
      <c r="H45" s="37"/>
      <c r="I45" s="37"/>
      <c r="J45" s="37"/>
      <c r="K45" s="13"/>
      <c r="L45" s="585"/>
      <c r="M45" s="50"/>
      <c r="N45" s="37"/>
      <c r="O45" s="58"/>
      <c r="P45" s="9"/>
      <c r="Q45" s="32"/>
      <c r="R45" s="32"/>
      <c r="S45" s="32"/>
      <c r="T45" s="168"/>
      <c r="AA45" s="187"/>
      <c r="AB45" s="348"/>
      <c r="AF45" s="225"/>
      <c r="AH45" s="225"/>
      <c r="AI45" s="309"/>
      <c r="AJ45" s="230"/>
    </row>
    <row r="46" spans="1:349" s="163" customFormat="1" ht="3.75" customHeight="1">
      <c r="A46" s="57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583"/>
      <c r="M46" s="13"/>
      <c r="N46" s="13"/>
      <c r="O46" s="515"/>
      <c r="P46" s="13"/>
      <c r="Q46" s="13"/>
      <c r="R46" s="13"/>
      <c r="S46" s="13"/>
      <c r="T46" s="519"/>
      <c r="U46" s="516"/>
      <c r="V46" s="517"/>
      <c r="W46" s="516"/>
      <c r="X46" s="517"/>
      <c r="Y46" s="516"/>
      <c r="Z46" s="517"/>
      <c r="AA46" s="516"/>
      <c r="AB46" s="517"/>
      <c r="AC46" s="516"/>
      <c r="AD46" s="517"/>
      <c r="AE46" s="516"/>
      <c r="AF46" s="518"/>
      <c r="AG46" s="516"/>
      <c r="AH46" s="518"/>
      <c r="AI46" s="520"/>
      <c r="AJ46" s="521"/>
    </row>
    <row r="47" spans="1:349" s="163" customFormat="1">
      <c r="A47" s="576"/>
      <c r="B47" s="98"/>
      <c r="C47" s="98"/>
      <c r="D47" s="98"/>
      <c r="E47" s="98"/>
      <c r="F47" s="98"/>
      <c r="G47" s="98"/>
      <c r="H47" s="98"/>
      <c r="I47" s="98"/>
      <c r="J47" s="98"/>
      <c r="K47" s="13"/>
      <c r="L47" s="588"/>
      <c r="M47" s="98"/>
      <c r="N47" s="98"/>
      <c r="O47" s="162"/>
      <c r="P47" s="98"/>
      <c r="Q47" s="98"/>
      <c r="R47" s="98"/>
      <c r="S47" s="98"/>
      <c r="T47" s="346"/>
      <c r="U47" s="234"/>
      <c r="V47" s="325"/>
      <c r="W47" s="234"/>
      <c r="X47" s="325"/>
      <c r="Y47" s="187"/>
      <c r="Z47" s="348"/>
      <c r="AA47" s="187"/>
      <c r="AB47" s="348"/>
      <c r="AC47" s="282"/>
      <c r="AD47" s="315"/>
      <c r="AE47" s="219"/>
      <c r="AF47" s="225"/>
      <c r="AG47" s="219"/>
      <c r="AH47" s="225"/>
      <c r="AI47" s="309"/>
      <c r="AJ47" s="230"/>
    </row>
    <row r="48" spans="1:349" s="107" customFormat="1">
      <c r="A48" s="575"/>
      <c r="B48" s="37"/>
      <c r="C48" s="37"/>
      <c r="D48" s="37"/>
      <c r="E48" s="37"/>
      <c r="F48" s="37"/>
      <c r="G48" s="37"/>
      <c r="H48" s="37"/>
      <c r="I48" s="37"/>
      <c r="J48" s="37"/>
      <c r="K48" s="13"/>
      <c r="L48" s="585"/>
      <c r="M48" s="37"/>
      <c r="N48" s="37"/>
      <c r="O48" s="106"/>
      <c r="P48" s="37"/>
      <c r="Q48" s="37"/>
      <c r="R48" s="37"/>
      <c r="S48" s="37"/>
      <c r="T48" s="310"/>
      <c r="U48" s="233"/>
      <c r="V48" s="325"/>
      <c r="W48" s="233"/>
      <c r="X48" s="325"/>
      <c r="Y48" s="187"/>
      <c r="Z48" s="348"/>
      <c r="AA48" s="187"/>
      <c r="AB48" s="348"/>
      <c r="AC48" s="282"/>
      <c r="AD48" s="315"/>
      <c r="AE48" s="219"/>
      <c r="AF48" s="225"/>
      <c r="AG48" s="219"/>
      <c r="AH48" s="225"/>
      <c r="AI48" s="309"/>
      <c r="AJ48" s="230"/>
      <c r="AK48" s="163"/>
    </row>
    <row r="49" spans="1:36" s="163" customFormat="1" ht="3.75" customHeight="1">
      <c r="A49" s="57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583"/>
      <c r="M49" s="13"/>
      <c r="N49" s="13"/>
      <c r="O49" s="515"/>
      <c r="P49" s="13"/>
      <c r="Q49" s="13"/>
      <c r="R49" s="13"/>
      <c r="S49" s="13"/>
      <c r="T49" s="519"/>
      <c r="U49" s="516"/>
      <c r="V49" s="517"/>
      <c r="W49" s="516"/>
      <c r="X49" s="517"/>
      <c r="Y49" s="516"/>
      <c r="Z49" s="517"/>
      <c r="AA49" s="516"/>
      <c r="AB49" s="517"/>
      <c r="AC49" s="516"/>
      <c r="AD49" s="517"/>
      <c r="AE49" s="516"/>
      <c r="AF49" s="518"/>
      <c r="AG49" s="516"/>
      <c r="AH49" s="518"/>
      <c r="AI49" s="520"/>
      <c r="AJ49" s="521"/>
    </row>
    <row r="50" spans="1:36">
      <c r="A50" s="577"/>
      <c r="B50" s="7"/>
      <c r="C50" s="7"/>
      <c r="D50" s="7"/>
      <c r="E50" s="7"/>
      <c r="F50" s="7"/>
      <c r="G50" s="7"/>
      <c r="H50" s="7"/>
      <c r="I50" s="7"/>
      <c r="J50" s="7"/>
      <c r="K50" s="13"/>
      <c r="L50" s="588"/>
      <c r="M50" s="7"/>
      <c r="N50" s="7"/>
      <c r="O50" s="57"/>
      <c r="P50" s="7"/>
      <c r="Q50" s="7"/>
      <c r="R50" s="7"/>
      <c r="S50" s="7"/>
      <c r="T50" s="103"/>
      <c r="Z50" s="540"/>
      <c r="AA50" s="187"/>
      <c r="AB50" s="348"/>
      <c r="AF50" s="323"/>
      <c r="AH50" s="323"/>
      <c r="AI50" s="309"/>
      <c r="AJ50" s="230"/>
    </row>
    <row r="51" spans="1:36">
      <c r="A51" s="578"/>
      <c r="B51" s="9"/>
      <c r="C51" s="9"/>
      <c r="D51" s="9"/>
      <c r="E51" s="9"/>
      <c r="F51" s="9"/>
      <c r="G51" s="9"/>
      <c r="H51" s="9"/>
      <c r="I51" s="9"/>
      <c r="J51" s="9"/>
      <c r="K51" s="13"/>
      <c r="L51" s="589"/>
      <c r="M51" s="50"/>
      <c r="N51" s="50"/>
      <c r="O51" s="58"/>
      <c r="P51" s="9"/>
      <c r="Q51" s="9"/>
      <c r="R51" s="9"/>
      <c r="S51" s="9"/>
      <c r="T51" s="141"/>
      <c r="Z51" s="540"/>
      <c r="AA51" s="187"/>
      <c r="AB51" s="348"/>
      <c r="AF51" s="323"/>
      <c r="AH51" s="323"/>
      <c r="AI51" s="309"/>
      <c r="AJ51" s="230"/>
    </row>
    <row r="52" spans="1:36" s="163" customFormat="1" ht="3.75" customHeight="1">
      <c r="A52" s="57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583"/>
      <c r="M52" s="13"/>
      <c r="N52" s="13"/>
      <c r="O52" s="515"/>
      <c r="P52" s="13"/>
      <c r="Q52" s="13"/>
      <c r="R52" s="13"/>
      <c r="S52" s="13"/>
      <c r="T52" s="519"/>
      <c r="U52" s="516"/>
      <c r="V52" s="517"/>
      <c r="W52" s="516"/>
      <c r="X52" s="517"/>
      <c r="Y52" s="516"/>
      <c r="Z52" s="517"/>
      <c r="AA52" s="516"/>
      <c r="AB52" s="517"/>
      <c r="AC52" s="516"/>
      <c r="AD52" s="517"/>
      <c r="AE52" s="516"/>
      <c r="AF52" s="518"/>
      <c r="AG52" s="516"/>
      <c r="AH52" s="518"/>
      <c r="AI52" s="520"/>
      <c r="AJ52" s="521"/>
    </row>
    <row r="53" spans="1:36">
      <c r="A53" s="577"/>
      <c r="B53" s="7"/>
      <c r="C53" s="7"/>
      <c r="D53" s="7"/>
      <c r="E53" s="98"/>
      <c r="F53" s="98"/>
      <c r="G53" s="98"/>
      <c r="H53" s="98"/>
      <c r="I53" s="7"/>
      <c r="J53" s="7"/>
      <c r="K53" s="13"/>
      <c r="L53" s="590"/>
      <c r="M53" s="31"/>
      <c r="N53" s="7"/>
      <c r="O53" s="57"/>
      <c r="P53" s="7"/>
      <c r="Q53" s="31"/>
      <c r="R53" s="31"/>
      <c r="S53" s="31"/>
      <c r="T53" s="169"/>
      <c r="AA53" s="187"/>
      <c r="AB53" s="348"/>
      <c r="AF53" s="225"/>
      <c r="AH53" s="225"/>
      <c r="AI53" s="309"/>
      <c r="AJ53" s="230"/>
    </row>
    <row r="54" spans="1:36">
      <c r="A54" s="575"/>
      <c r="B54" s="37"/>
      <c r="C54" s="37"/>
      <c r="D54" s="37"/>
      <c r="E54" s="37"/>
      <c r="F54" s="37"/>
      <c r="G54" s="37"/>
      <c r="H54" s="37"/>
      <c r="I54" s="37"/>
      <c r="J54" s="37"/>
      <c r="K54" s="13"/>
      <c r="L54" s="591"/>
      <c r="M54" s="9"/>
      <c r="N54" s="50"/>
      <c r="O54" s="58"/>
      <c r="P54" s="9"/>
      <c r="Q54" s="9"/>
      <c r="R54" s="9"/>
      <c r="S54" s="9"/>
      <c r="T54" s="141"/>
      <c r="AA54" s="187"/>
      <c r="AB54" s="348"/>
      <c r="AF54" s="225"/>
      <c r="AH54" s="225"/>
      <c r="AI54" s="309"/>
      <c r="AJ54" s="230"/>
    </row>
    <row r="55" spans="1:36" s="163" customFormat="1" ht="3.75" customHeight="1">
      <c r="A55" s="57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583"/>
      <c r="M55" s="13"/>
      <c r="N55" s="13"/>
      <c r="O55" s="515"/>
      <c r="P55" s="13"/>
      <c r="Q55" s="13"/>
      <c r="R55" s="13"/>
      <c r="S55" s="13"/>
      <c r="T55" s="519"/>
      <c r="U55" s="516"/>
      <c r="V55" s="517"/>
      <c r="W55" s="516"/>
      <c r="X55" s="517"/>
      <c r="Y55" s="516"/>
      <c r="Z55" s="517"/>
      <c r="AA55" s="516"/>
      <c r="AB55" s="517"/>
      <c r="AC55" s="516"/>
      <c r="AD55" s="517"/>
      <c r="AE55" s="516"/>
      <c r="AF55" s="518"/>
      <c r="AG55" s="516"/>
      <c r="AH55" s="518"/>
      <c r="AI55" s="520"/>
      <c r="AJ55" s="521"/>
    </row>
    <row r="56" spans="1:36">
      <c r="A56" s="577"/>
      <c r="B56" s="7"/>
      <c r="C56" s="7"/>
      <c r="D56" s="7"/>
      <c r="E56" s="7"/>
      <c r="F56" s="98"/>
      <c r="G56" s="98"/>
      <c r="H56" s="98"/>
      <c r="I56" s="98"/>
      <c r="J56" s="98"/>
      <c r="K56" s="13"/>
      <c r="L56" s="588"/>
      <c r="M56" s="7"/>
      <c r="N56" s="7"/>
      <c r="O56" s="57"/>
      <c r="P56" s="7"/>
      <c r="Q56" s="7"/>
      <c r="R56" s="7"/>
      <c r="S56" s="7"/>
      <c r="T56" s="103"/>
      <c r="AA56" s="187"/>
      <c r="AB56" s="348"/>
      <c r="AF56" s="323"/>
      <c r="AH56" s="323"/>
      <c r="AI56" s="309"/>
      <c r="AJ56" s="230"/>
    </row>
    <row r="57" spans="1:36">
      <c r="A57" s="9"/>
      <c r="B57" s="9"/>
      <c r="C57" s="9"/>
      <c r="D57" s="37"/>
      <c r="E57" s="37"/>
      <c r="F57" s="37"/>
      <c r="G57" s="37"/>
      <c r="H57" s="37"/>
      <c r="I57" s="37"/>
      <c r="J57" s="37"/>
      <c r="K57" s="13"/>
      <c r="L57" s="589"/>
      <c r="M57" s="50"/>
      <c r="N57" s="50"/>
      <c r="O57" s="58"/>
      <c r="P57" s="9"/>
      <c r="Q57" s="9"/>
      <c r="R57" s="9"/>
      <c r="S57" s="9"/>
      <c r="T57" s="141"/>
      <c r="AA57" s="187"/>
      <c r="AB57" s="348"/>
      <c r="AF57" s="323"/>
      <c r="AH57" s="323"/>
      <c r="AI57" s="309"/>
      <c r="AJ57" s="230"/>
    </row>
    <row r="58" spans="1:36" s="163" customFormat="1" ht="3.75" customHeight="1">
      <c r="A58" s="57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583"/>
      <c r="M58" s="13"/>
      <c r="N58" s="13"/>
      <c r="O58" s="515"/>
      <c r="P58" s="13"/>
      <c r="Q58" s="13"/>
      <c r="R58" s="13"/>
      <c r="S58" s="13"/>
      <c r="T58" s="519"/>
      <c r="U58" s="516"/>
      <c r="V58" s="517"/>
      <c r="W58" s="516"/>
      <c r="X58" s="517"/>
      <c r="Y58" s="516"/>
      <c r="Z58" s="517"/>
      <c r="AA58" s="516"/>
      <c r="AB58" s="517"/>
      <c r="AC58" s="516"/>
      <c r="AD58" s="517"/>
      <c r="AE58" s="516"/>
      <c r="AF58" s="518"/>
      <c r="AG58" s="516"/>
      <c r="AH58" s="518"/>
      <c r="AI58" s="520"/>
      <c r="AJ58" s="521"/>
    </row>
    <row r="59" spans="1:36">
      <c r="A59" s="576"/>
      <c r="B59" s="7"/>
      <c r="C59" s="7"/>
      <c r="D59" s="7"/>
      <c r="E59" s="98"/>
      <c r="F59" s="98"/>
      <c r="G59" s="98"/>
      <c r="H59" s="98"/>
      <c r="I59" s="98"/>
      <c r="J59" s="98"/>
      <c r="K59" s="13"/>
      <c r="L59" s="588"/>
      <c r="M59" s="50"/>
      <c r="N59" s="37"/>
      <c r="O59" s="58"/>
      <c r="P59" s="9"/>
      <c r="Q59" s="32"/>
      <c r="R59" s="32"/>
      <c r="S59" s="32"/>
      <c r="T59" s="168"/>
      <c r="AA59" s="187"/>
      <c r="AB59" s="348"/>
      <c r="AE59" s="862"/>
      <c r="AF59" s="225"/>
      <c r="AG59" s="862"/>
      <c r="AH59" s="225"/>
      <c r="AI59" s="309"/>
      <c r="AJ59" s="230"/>
    </row>
    <row r="60" spans="1:36">
      <c r="A60" s="687"/>
      <c r="B60" s="37"/>
      <c r="C60" s="37"/>
      <c r="D60" s="37"/>
      <c r="E60" s="37"/>
      <c r="F60" s="37"/>
      <c r="G60" s="37"/>
      <c r="H60" s="37"/>
      <c r="I60" s="37"/>
      <c r="J60" s="37"/>
      <c r="K60" s="13"/>
      <c r="L60" s="592"/>
      <c r="M60" s="31"/>
      <c r="N60" s="7"/>
      <c r="O60" s="57"/>
      <c r="P60" s="7"/>
      <c r="Q60" s="31"/>
      <c r="R60" s="31"/>
      <c r="S60" s="31"/>
      <c r="T60" s="169"/>
      <c r="Z60" s="513"/>
      <c r="AA60" s="187"/>
      <c r="AB60" s="348"/>
      <c r="AF60" s="225"/>
      <c r="AH60" s="225"/>
      <c r="AI60" s="309"/>
      <c r="AJ60" s="230"/>
    </row>
    <row r="61" spans="1:36" s="163" customFormat="1" ht="3.75" customHeight="1">
      <c r="A61" s="57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583"/>
      <c r="M61" s="13"/>
      <c r="N61" s="13"/>
      <c r="O61" s="515"/>
      <c r="P61" s="13"/>
      <c r="Q61" s="13"/>
      <c r="R61" s="13"/>
      <c r="S61" s="13"/>
      <c r="T61" s="519"/>
      <c r="U61" s="516"/>
      <c r="V61" s="517"/>
      <c r="W61" s="516"/>
      <c r="X61" s="517"/>
      <c r="Y61" s="516"/>
      <c r="Z61" s="517"/>
      <c r="AA61" s="516"/>
      <c r="AB61" s="517"/>
      <c r="AC61" s="516"/>
      <c r="AD61" s="517"/>
      <c r="AE61" s="516"/>
      <c r="AF61" s="518"/>
      <c r="AG61" s="516"/>
      <c r="AH61" s="518"/>
      <c r="AI61" s="520"/>
      <c r="AJ61" s="521"/>
    </row>
    <row r="62" spans="1:36">
      <c r="A62" s="577"/>
      <c r="B62" s="7"/>
      <c r="C62" s="7"/>
      <c r="D62" s="7"/>
      <c r="E62" s="7"/>
      <c r="F62" s="7"/>
      <c r="G62" s="7"/>
      <c r="H62" s="7"/>
      <c r="I62" s="7"/>
      <c r="J62" s="98"/>
      <c r="K62" s="13"/>
      <c r="L62" s="590"/>
      <c r="M62" s="7"/>
      <c r="N62" s="7"/>
      <c r="O62" s="57"/>
      <c r="P62" s="7"/>
      <c r="Q62" s="7"/>
      <c r="R62" s="7"/>
      <c r="S62" s="7"/>
      <c r="T62" s="103"/>
      <c r="AA62" s="187"/>
      <c r="AB62" s="348"/>
      <c r="AF62" s="225"/>
      <c r="AH62" s="225"/>
      <c r="AI62" s="309"/>
      <c r="AJ62" s="230"/>
    </row>
    <row r="63" spans="1:36">
      <c r="A63" s="578"/>
      <c r="B63" s="37"/>
      <c r="C63" s="37"/>
      <c r="D63" s="37"/>
      <c r="E63" s="37"/>
      <c r="F63" s="37"/>
      <c r="G63" s="37"/>
      <c r="H63" s="37"/>
      <c r="I63" s="37"/>
      <c r="J63" s="37"/>
      <c r="K63" s="13"/>
      <c r="L63" s="591"/>
      <c r="M63" s="50"/>
      <c r="N63" s="50"/>
      <c r="O63" s="58"/>
      <c r="P63" s="9"/>
      <c r="Q63" s="9"/>
      <c r="R63" s="9"/>
      <c r="S63" s="9"/>
      <c r="T63" s="141"/>
      <c r="AA63" s="187"/>
      <c r="AB63" s="348"/>
      <c r="AF63" s="225"/>
      <c r="AH63" s="225"/>
      <c r="AI63" s="309"/>
      <c r="AJ63" s="230"/>
    </row>
    <row r="64" spans="1:36" s="163" customFormat="1" ht="3.75" customHeight="1">
      <c r="A64" s="57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583"/>
      <c r="M64" s="13"/>
      <c r="N64" s="13"/>
      <c r="O64" s="515"/>
      <c r="P64" s="13"/>
      <c r="Q64" s="13"/>
      <c r="R64" s="13"/>
      <c r="S64" s="13"/>
      <c r="T64" s="519"/>
      <c r="U64" s="516"/>
      <c r="V64" s="517"/>
      <c r="W64" s="516"/>
      <c r="X64" s="517"/>
      <c r="Y64" s="516"/>
      <c r="Z64" s="517"/>
      <c r="AA64" s="516"/>
      <c r="AB64" s="517"/>
      <c r="AC64" s="516"/>
      <c r="AD64" s="517"/>
      <c r="AE64" s="516"/>
      <c r="AF64" s="518"/>
      <c r="AG64" s="516"/>
      <c r="AH64" s="518"/>
      <c r="AI64" s="520"/>
      <c r="AJ64" s="521"/>
    </row>
    <row r="65" spans="1:36">
      <c r="A65" s="576"/>
      <c r="B65" s="7"/>
      <c r="C65" s="7"/>
      <c r="D65" s="7"/>
      <c r="E65" s="7"/>
      <c r="F65" s="7"/>
      <c r="G65" s="7"/>
      <c r="H65" s="7"/>
      <c r="I65" s="7"/>
      <c r="J65" s="7"/>
      <c r="K65" s="13"/>
      <c r="L65" s="588"/>
      <c r="M65" s="50"/>
      <c r="N65" s="50"/>
      <c r="O65" s="58"/>
      <c r="P65" s="9"/>
      <c r="Q65" s="9"/>
      <c r="R65" s="9"/>
      <c r="S65" s="9"/>
      <c r="T65" s="141"/>
      <c r="AA65" s="187"/>
      <c r="AB65" s="348"/>
      <c r="AF65" s="225"/>
      <c r="AH65" s="225"/>
      <c r="AI65" s="309"/>
      <c r="AJ65" s="230"/>
    </row>
    <row r="66" spans="1:36">
      <c r="A66" s="577"/>
      <c r="B66" s="7"/>
      <c r="C66" s="7"/>
      <c r="D66" s="98"/>
      <c r="E66" s="7"/>
      <c r="F66" s="7"/>
      <c r="G66" s="7"/>
      <c r="H66" s="7"/>
      <c r="I66" s="7"/>
      <c r="J66" s="7"/>
      <c r="K66" s="13"/>
      <c r="L66" s="590"/>
      <c r="M66" s="7"/>
      <c r="N66" s="7"/>
      <c r="O66" s="57"/>
      <c r="P66" s="7"/>
      <c r="Q66" s="7"/>
      <c r="R66" s="7"/>
      <c r="S66" s="7"/>
      <c r="T66" s="103"/>
      <c r="AA66" s="187"/>
      <c r="AB66" s="348"/>
      <c r="AF66" s="225"/>
      <c r="AH66" s="225"/>
      <c r="AI66" s="309"/>
      <c r="AJ66" s="230"/>
    </row>
    <row r="67" spans="1:36" s="163" customFormat="1" ht="3.75" customHeight="1">
      <c r="A67" s="57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583">
        <f t="shared" ref="L67" si="2">A67</f>
        <v>0</v>
      </c>
      <c r="M67" s="13"/>
      <c r="N67" s="13"/>
      <c r="O67" s="515"/>
      <c r="P67" s="13"/>
      <c r="Q67" s="13"/>
      <c r="R67" s="13"/>
      <c r="S67" s="13"/>
      <c r="T67" s="519"/>
      <c r="U67" s="516"/>
      <c r="V67" s="517"/>
      <c r="W67" s="516"/>
      <c r="X67" s="517"/>
      <c r="Y67" s="516"/>
      <c r="Z67" s="517"/>
      <c r="AA67" s="516"/>
      <c r="AB67" s="517"/>
      <c r="AC67" s="516"/>
      <c r="AD67" s="517"/>
      <c r="AE67" s="516"/>
      <c r="AF67" s="518"/>
      <c r="AG67" s="516"/>
      <c r="AH67" s="518"/>
      <c r="AI67" s="520"/>
      <c r="AJ67" s="521"/>
    </row>
    <row r="68" spans="1:36">
      <c r="A68" s="577"/>
      <c r="B68" s="7"/>
      <c r="C68" s="7"/>
      <c r="D68" s="7"/>
      <c r="E68" s="7"/>
      <c r="F68" s="7"/>
      <c r="G68" s="7"/>
      <c r="H68" s="7"/>
      <c r="I68" s="7"/>
      <c r="J68" s="7"/>
      <c r="K68" s="13"/>
      <c r="L68" s="593"/>
      <c r="M68" s="7"/>
      <c r="N68" s="7"/>
      <c r="O68" s="57"/>
      <c r="P68" s="7"/>
      <c r="Q68" s="7"/>
      <c r="R68" s="7"/>
      <c r="S68" s="7"/>
      <c r="T68" s="103"/>
      <c r="AA68" s="187"/>
      <c r="AB68" s="348"/>
      <c r="AF68" s="225"/>
      <c r="AH68" s="225"/>
      <c r="AI68" s="309"/>
      <c r="AJ68" s="230"/>
    </row>
    <row r="69" spans="1:36">
      <c r="A69" s="57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50"/>
      <c r="N69" s="50"/>
      <c r="O69" s="58"/>
      <c r="P69" s="9"/>
      <c r="Q69" s="9"/>
      <c r="R69" s="9"/>
      <c r="S69" s="9"/>
      <c r="T69" s="141"/>
      <c r="AA69" s="187"/>
      <c r="AB69" s="348"/>
      <c r="AF69" s="225"/>
      <c r="AH69" s="225"/>
      <c r="AI69" s="309"/>
      <c r="AJ69" s="230"/>
    </row>
    <row r="70" spans="1:36" s="163" customFormat="1" ht="3.75" customHeight="1">
      <c r="A70" s="57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583">
        <f t="shared" ref="L70:L103" si="3">A70</f>
        <v>0</v>
      </c>
      <c r="M70" s="13"/>
      <c r="N70" s="13"/>
      <c r="O70" s="515"/>
      <c r="P70" s="13"/>
      <c r="Q70" s="13"/>
      <c r="R70" s="13"/>
      <c r="S70" s="13"/>
      <c r="T70" s="519"/>
      <c r="U70" s="516"/>
      <c r="V70" s="517"/>
      <c r="W70" s="516"/>
      <c r="X70" s="517"/>
      <c r="Y70" s="516"/>
      <c r="Z70" s="517"/>
      <c r="AA70" s="516"/>
      <c r="AB70" s="517"/>
      <c r="AC70" s="516"/>
      <c r="AD70" s="517"/>
      <c r="AE70" s="516"/>
      <c r="AF70" s="518"/>
      <c r="AG70" s="516"/>
      <c r="AH70" s="518"/>
      <c r="AI70" s="520"/>
      <c r="AJ70" s="521"/>
    </row>
    <row r="71" spans="1:36">
      <c r="A71" s="576"/>
      <c r="B71" s="7"/>
      <c r="C71" s="7"/>
      <c r="D71" s="7"/>
      <c r="E71" s="7"/>
      <c r="F71" s="7"/>
      <c r="G71" s="7"/>
      <c r="H71" s="7"/>
      <c r="I71" s="7"/>
      <c r="J71" s="7"/>
      <c r="K71" s="13"/>
      <c r="L71" s="588"/>
      <c r="M71" s="7"/>
      <c r="N71" s="7"/>
      <c r="O71" s="57"/>
      <c r="P71" s="7"/>
      <c r="Q71" s="7"/>
      <c r="R71" s="7"/>
      <c r="S71" s="7"/>
      <c r="T71" s="103"/>
      <c r="AA71" s="187"/>
      <c r="AB71" s="348"/>
      <c r="AF71" s="323"/>
      <c r="AH71" s="323"/>
      <c r="AI71" s="309"/>
      <c r="AJ71" s="230"/>
    </row>
    <row r="72" spans="1:36">
      <c r="A72" s="579"/>
      <c r="B72" s="50"/>
      <c r="C72" s="9"/>
      <c r="D72" s="9"/>
      <c r="E72" s="9"/>
      <c r="F72" s="9"/>
      <c r="G72" s="9"/>
      <c r="H72" s="9"/>
      <c r="I72" s="9"/>
      <c r="J72" s="9"/>
      <c r="K72" s="13"/>
      <c r="L72" s="589"/>
      <c r="M72" s="50"/>
      <c r="N72" s="50"/>
      <c r="O72" s="58"/>
      <c r="P72" s="9"/>
      <c r="Q72" s="9"/>
      <c r="R72" s="9"/>
      <c r="S72" s="9"/>
      <c r="T72" s="141"/>
      <c r="AA72" s="187"/>
      <c r="AB72" s="348"/>
      <c r="AF72" s="323"/>
      <c r="AH72" s="323"/>
      <c r="AI72" s="309"/>
      <c r="AJ72" s="230"/>
    </row>
    <row r="73" spans="1:36" s="163" customFormat="1" ht="3.75" customHeight="1">
      <c r="A73" s="57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583"/>
      <c r="M73" s="13"/>
      <c r="N73" s="13"/>
      <c r="O73" s="515"/>
      <c r="P73" s="13"/>
      <c r="Q73" s="13"/>
      <c r="R73" s="13"/>
      <c r="S73" s="13"/>
      <c r="T73" s="519"/>
      <c r="U73" s="516"/>
      <c r="V73" s="517"/>
      <c r="W73" s="516"/>
      <c r="X73" s="517"/>
      <c r="Y73" s="516"/>
      <c r="Z73" s="517"/>
      <c r="AA73" s="516"/>
      <c r="AB73" s="517"/>
      <c r="AC73" s="516"/>
      <c r="AD73" s="517"/>
      <c r="AE73" s="516"/>
      <c r="AF73" s="518"/>
      <c r="AG73" s="516"/>
      <c r="AH73" s="518"/>
      <c r="AI73" s="520"/>
      <c r="AJ73" s="521"/>
    </row>
    <row r="74" spans="1:36">
      <c r="A74" s="576"/>
      <c r="B74" s="7"/>
      <c r="C74" s="7"/>
      <c r="D74" s="7"/>
      <c r="E74" s="7"/>
      <c r="F74" s="7"/>
      <c r="G74" s="7"/>
      <c r="H74" s="7"/>
      <c r="I74" s="7"/>
      <c r="J74" s="7"/>
      <c r="K74" s="13"/>
      <c r="L74" s="588"/>
      <c r="M74" s="7"/>
      <c r="N74" s="7"/>
      <c r="O74" s="57"/>
      <c r="P74" s="7"/>
      <c r="Q74" s="7"/>
      <c r="R74" s="7"/>
      <c r="S74" s="7"/>
      <c r="T74" s="103"/>
      <c r="AA74" s="187"/>
      <c r="AB74" s="348"/>
      <c r="AF74" s="323"/>
      <c r="AH74" s="323"/>
      <c r="AI74" s="309"/>
      <c r="AJ74" s="230"/>
    </row>
    <row r="75" spans="1:36">
      <c r="A75" s="579"/>
      <c r="B75" s="50"/>
      <c r="C75" s="9"/>
      <c r="D75" s="9"/>
      <c r="E75" s="9"/>
      <c r="F75" s="9"/>
      <c r="G75" s="9"/>
      <c r="H75" s="9"/>
      <c r="I75" s="9"/>
      <c r="J75" s="9"/>
      <c r="K75" s="13"/>
      <c r="L75" s="589"/>
      <c r="M75" s="50"/>
      <c r="N75" s="50"/>
      <c r="O75" s="58"/>
      <c r="P75" s="9"/>
      <c r="Q75" s="9"/>
      <c r="R75" s="9"/>
      <c r="S75" s="9"/>
      <c r="T75" s="141"/>
      <c r="AA75" s="187"/>
      <c r="AB75" s="348"/>
      <c r="AF75" s="323"/>
      <c r="AH75" s="323"/>
      <c r="AI75" s="309"/>
      <c r="AJ75" s="230"/>
    </row>
    <row r="76" spans="1:36" s="163" customFormat="1" ht="3.75" customHeight="1">
      <c r="A76" s="57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583">
        <f t="shared" si="3"/>
        <v>0</v>
      </c>
      <c r="M76" s="13"/>
      <c r="N76" s="13"/>
      <c r="O76" s="515"/>
      <c r="P76" s="13"/>
      <c r="Q76" s="13"/>
      <c r="R76" s="13"/>
      <c r="S76" s="13"/>
      <c r="T76" s="519"/>
      <c r="U76" s="516"/>
      <c r="V76" s="517"/>
      <c r="W76" s="516"/>
      <c r="X76" s="517"/>
      <c r="Y76" s="516"/>
      <c r="Z76" s="517"/>
      <c r="AA76" s="516"/>
      <c r="AB76" s="517"/>
      <c r="AC76" s="516"/>
      <c r="AD76" s="517"/>
      <c r="AE76" s="516"/>
      <c r="AF76" s="518"/>
      <c r="AG76" s="516"/>
      <c r="AH76" s="518"/>
      <c r="AI76" s="520"/>
      <c r="AJ76" s="521"/>
    </row>
    <row r="77" spans="1:36">
      <c r="A77" s="576"/>
      <c r="B77" s="7"/>
      <c r="C77" s="7"/>
      <c r="D77" s="7"/>
      <c r="E77" s="7"/>
      <c r="F77" s="7"/>
      <c r="G77" s="7"/>
      <c r="H77" s="7"/>
      <c r="I77" s="7"/>
      <c r="J77" s="7"/>
      <c r="K77" s="13"/>
      <c r="L77" s="588"/>
      <c r="M77" s="7"/>
      <c r="N77" s="7"/>
      <c r="O77" s="57"/>
      <c r="P77" s="7"/>
      <c r="Q77" s="7"/>
      <c r="R77" s="7"/>
      <c r="S77" s="7"/>
      <c r="T77" s="103"/>
      <c r="AA77" s="187"/>
      <c r="AB77" s="348"/>
      <c r="AF77" s="323"/>
      <c r="AH77" s="323"/>
      <c r="AI77" s="309"/>
      <c r="AJ77" s="230"/>
    </row>
    <row r="78" spans="1:36">
      <c r="A78" s="579"/>
      <c r="B78" s="50"/>
      <c r="C78" s="9"/>
      <c r="D78" s="9"/>
      <c r="E78" s="9"/>
      <c r="F78" s="9"/>
      <c r="G78" s="9"/>
      <c r="H78" s="9"/>
      <c r="I78" s="9"/>
      <c r="J78" s="9"/>
      <c r="K78" s="13"/>
      <c r="L78" s="589"/>
      <c r="M78" s="50"/>
      <c r="N78" s="50"/>
      <c r="O78" s="58"/>
      <c r="P78" s="9"/>
      <c r="Q78" s="9"/>
      <c r="R78" s="9"/>
      <c r="S78" s="9"/>
      <c r="T78" s="141"/>
      <c r="AA78" s="187"/>
      <c r="AB78" s="348"/>
      <c r="AF78" s="323"/>
      <c r="AH78" s="323"/>
      <c r="AI78" s="309"/>
      <c r="AJ78" s="230"/>
    </row>
    <row r="79" spans="1:36" s="163" customFormat="1" ht="3.75" customHeight="1">
      <c r="A79" s="57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583"/>
      <c r="M79" s="13"/>
      <c r="N79" s="13"/>
      <c r="O79" s="515"/>
      <c r="P79" s="13"/>
      <c r="Q79" s="13"/>
      <c r="R79" s="13"/>
      <c r="S79" s="13"/>
      <c r="T79" s="519"/>
      <c r="U79" s="516"/>
      <c r="V79" s="517"/>
      <c r="W79" s="516"/>
      <c r="X79" s="517"/>
      <c r="Y79" s="516"/>
      <c r="Z79" s="517"/>
      <c r="AA79" s="516"/>
      <c r="AB79" s="517"/>
      <c r="AC79" s="516"/>
      <c r="AD79" s="517"/>
      <c r="AE79" s="516"/>
      <c r="AF79" s="518"/>
      <c r="AG79" s="516"/>
      <c r="AH79" s="518"/>
      <c r="AI79" s="520"/>
      <c r="AJ79" s="521"/>
    </row>
    <row r="80" spans="1:36">
      <c r="A80" s="576"/>
      <c r="B80" s="7"/>
      <c r="C80" s="7"/>
      <c r="D80" s="7"/>
      <c r="E80" s="7"/>
      <c r="F80" s="7"/>
      <c r="G80" s="7"/>
      <c r="H80" s="7"/>
      <c r="I80" s="7"/>
      <c r="J80" s="7"/>
      <c r="K80" s="13"/>
      <c r="L80" s="588"/>
      <c r="M80" s="7"/>
      <c r="N80" s="7"/>
      <c r="O80" s="57"/>
      <c r="P80" s="7"/>
      <c r="Q80" s="7"/>
      <c r="R80" s="7"/>
      <c r="S80" s="7"/>
      <c r="T80" s="103"/>
      <c r="AA80" s="187"/>
      <c r="AB80" s="348"/>
      <c r="AF80" s="323"/>
      <c r="AH80" s="323"/>
      <c r="AI80" s="309"/>
      <c r="AJ80" s="230"/>
    </row>
    <row r="81" spans="1:36">
      <c r="A81" s="579"/>
      <c r="B81" s="50"/>
      <c r="C81" s="9"/>
      <c r="D81" s="9"/>
      <c r="E81" s="9"/>
      <c r="F81" s="9"/>
      <c r="G81" s="9"/>
      <c r="H81" s="9"/>
      <c r="I81" s="9"/>
      <c r="J81" s="9"/>
      <c r="K81" s="13"/>
      <c r="L81" s="589"/>
      <c r="M81" s="50"/>
      <c r="N81" s="50"/>
      <c r="O81" s="58"/>
      <c r="P81" s="9"/>
      <c r="Q81" s="9"/>
      <c r="R81" s="9"/>
      <c r="S81" s="9"/>
      <c r="T81" s="141"/>
      <c r="AA81" s="187"/>
      <c r="AB81" s="348"/>
      <c r="AF81" s="323"/>
      <c r="AH81" s="323"/>
      <c r="AI81" s="309"/>
      <c r="AJ81" s="230"/>
    </row>
    <row r="82" spans="1:36" s="163" customFormat="1" ht="3.75" customHeight="1">
      <c r="A82" s="57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583"/>
      <c r="M82" s="13"/>
      <c r="N82" s="13"/>
      <c r="O82" s="515"/>
      <c r="P82" s="13"/>
      <c r="Q82" s="13"/>
      <c r="R82" s="13"/>
      <c r="S82" s="13"/>
      <c r="T82" s="519"/>
      <c r="U82" s="516"/>
      <c r="V82" s="517"/>
      <c r="W82" s="516"/>
      <c r="X82" s="517"/>
      <c r="Y82" s="516"/>
      <c r="Z82" s="517"/>
      <c r="AA82" s="516"/>
      <c r="AB82" s="517"/>
      <c r="AC82" s="516"/>
      <c r="AD82" s="517"/>
      <c r="AE82" s="516"/>
      <c r="AF82" s="518"/>
      <c r="AG82" s="516"/>
      <c r="AH82" s="518"/>
      <c r="AI82" s="520"/>
      <c r="AJ82" s="521"/>
    </row>
    <row r="83" spans="1:36">
      <c r="A83" s="576"/>
      <c r="B83" s="7"/>
      <c r="C83" s="7"/>
      <c r="D83" s="7"/>
      <c r="E83" s="7"/>
      <c r="F83" s="7"/>
      <c r="G83" s="7"/>
      <c r="H83" s="7"/>
      <c r="I83" s="7"/>
      <c r="J83" s="7"/>
      <c r="K83" s="13"/>
      <c r="L83" s="588"/>
      <c r="M83" s="7"/>
      <c r="N83" s="7"/>
      <c r="O83" s="57"/>
      <c r="P83" s="7"/>
      <c r="Q83" s="7"/>
      <c r="R83" s="7"/>
      <c r="S83" s="7"/>
      <c r="T83" s="103"/>
      <c r="AA83" s="187"/>
      <c r="AB83" s="348"/>
      <c r="AF83" s="323"/>
      <c r="AH83" s="323"/>
      <c r="AI83" s="309"/>
      <c r="AJ83" s="230"/>
    </row>
    <row r="84" spans="1:36">
      <c r="A84" s="579"/>
      <c r="B84" s="50"/>
      <c r="C84" s="9"/>
      <c r="D84" s="9"/>
      <c r="E84" s="9"/>
      <c r="F84" s="9"/>
      <c r="G84" s="9"/>
      <c r="H84" s="9"/>
      <c r="I84" s="9"/>
      <c r="J84" s="9"/>
      <c r="K84" s="13"/>
      <c r="L84" s="589"/>
      <c r="M84" s="50"/>
      <c r="N84" s="50"/>
      <c r="O84" s="58"/>
      <c r="P84" s="9"/>
      <c r="Q84" s="9"/>
      <c r="R84" s="9"/>
      <c r="S84" s="9"/>
      <c r="T84" s="141"/>
      <c r="AA84" s="187"/>
      <c r="AB84" s="348"/>
      <c r="AF84" s="323"/>
      <c r="AH84" s="323"/>
      <c r="AI84" s="309"/>
      <c r="AJ84" s="230"/>
    </row>
    <row r="85" spans="1:36" s="163" customFormat="1" ht="3.75" customHeight="1">
      <c r="A85" s="57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583">
        <f t="shared" si="3"/>
        <v>0</v>
      </c>
      <c r="M85" s="13"/>
      <c r="N85" s="13"/>
      <c r="O85" s="515"/>
      <c r="P85" s="13"/>
      <c r="Q85" s="13"/>
      <c r="R85" s="13"/>
      <c r="S85" s="13"/>
      <c r="T85" s="519"/>
      <c r="U85" s="516"/>
      <c r="V85" s="517"/>
      <c r="W85" s="516"/>
      <c r="X85" s="517"/>
      <c r="Y85" s="516"/>
      <c r="Z85" s="517"/>
      <c r="AA85" s="516"/>
      <c r="AB85" s="517"/>
      <c r="AC85" s="516"/>
      <c r="AD85" s="517"/>
      <c r="AE85" s="516"/>
      <c r="AF85" s="518"/>
      <c r="AG85" s="516"/>
      <c r="AH85" s="518"/>
      <c r="AI85" s="520"/>
      <c r="AJ85" s="521"/>
    </row>
    <row r="86" spans="1:36">
      <c r="A86" s="576"/>
      <c r="B86" s="7"/>
      <c r="C86" s="7"/>
      <c r="D86" s="7"/>
      <c r="E86" s="7"/>
      <c r="F86" s="7"/>
      <c r="G86" s="7"/>
      <c r="H86" s="7"/>
      <c r="I86" s="7"/>
      <c r="J86" s="7"/>
      <c r="K86" s="13"/>
      <c r="L86" s="588"/>
      <c r="M86" s="7"/>
      <c r="N86" s="7"/>
      <c r="O86" s="57"/>
      <c r="P86" s="7"/>
      <c r="Q86" s="7"/>
      <c r="R86" s="7"/>
      <c r="S86" s="7"/>
      <c r="T86" s="103"/>
      <c r="AA86" s="187"/>
      <c r="AB86" s="348"/>
      <c r="AF86" s="323"/>
      <c r="AH86" s="323"/>
      <c r="AI86" s="309"/>
      <c r="AJ86" s="230"/>
    </row>
    <row r="87" spans="1:36">
      <c r="A87" s="579"/>
      <c r="B87" s="50"/>
      <c r="C87" s="9"/>
      <c r="D87" s="9"/>
      <c r="E87" s="9"/>
      <c r="F87" s="9"/>
      <c r="G87" s="9"/>
      <c r="H87" s="9"/>
      <c r="I87" s="9"/>
      <c r="J87" s="9"/>
      <c r="K87" s="13"/>
      <c r="L87" s="589"/>
      <c r="M87" s="50"/>
      <c r="N87" s="50"/>
      <c r="O87" s="58"/>
      <c r="P87" s="9"/>
      <c r="Q87" s="9"/>
      <c r="R87" s="9"/>
      <c r="S87" s="9"/>
      <c r="T87" s="141"/>
      <c r="AA87" s="187"/>
      <c r="AB87" s="348"/>
      <c r="AF87" s="323"/>
      <c r="AH87" s="323"/>
      <c r="AI87" s="309"/>
      <c r="AJ87" s="230"/>
    </row>
    <row r="88" spans="1:36" s="163" customFormat="1" ht="3.75" customHeight="1">
      <c r="A88" s="57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583"/>
      <c r="M88" s="13"/>
      <c r="N88" s="13"/>
      <c r="O88" s="515"/>
      <c r="P88" s="13"/>
      <c r="Q88" s="13"/>
      <c r="R88" s="13"/>
      <c r="S88" s="13"/>
      <c r="T88" s="519"/>
      <c r="U88" s="516"/>
      <c r="V88" s="517"/>
      <c r="W88" s="516"/>
      <c r="X88" s="517"/>
      <c r="Y88" s="516"/>
      <c r="Z88" s="517"/>
      <c r="AA88" s="516"/>
      <c r="AB88" s="517"/>
      <c r="AC88" s="516"/>
      <c r="AD88" s="517"/>
      <c r="AE88" s="516"/>
      <c r="AF88" s="518"/>
      <c r="AG88" s="516"/>
      <c r="AH88" s="518"/>
      <c r="AI88" s="520"/>
      <c r="AJ88" s="521"/>
    </row>
    <row r="89" spans="1:36">
      <c r="A89" s="576"/>
      <c r="B89" s="7"/>
      <c r="C89" s="7"/>
      <c r="D89" s="7"/>
      <c r="E89" s="7"/>
      <c r="F89" s="7"/>
      <c r="G89" s="7"/>
      <c r="H89" s="7"/>
      <c r="I89" s="7"/>
      <c r="J89" s="7"/>
      <c r="K89" s="13"/>
      <c r="L89" s="588"/>
      <c r="M89" s="7"/>
      <c r="N89" s="7"/>
      <c r="O89" s="57"/>
      <c r="P89" s="7"/>
      <c r="Q89" s="7"/>
      <c r="R89" s="7"/>
      <c r="S89" s="7"/>
      <c r="T89" s="103"/>
      <c r="AA89" s="187"/>
      <c r="AB89" s="348"/>
      <c r="AF89" s="323"/>
      <c r="AH89" s="323"/>
      <c r="AI89" s="309"/>
      <c r="AJ89" s="230"/>
    </row>
    <row r="90" spans="1:36">
      <c r="A90" s="579"/>
      <c r="B90" s="50"/>
      <c r="C90" s="9"/>
      <c r="D90" s="9"/>
      <c r="E90" s="9"/>
      <c r="F90" s="9"/>
      <c r="G90" s="9"/>
      <c r="H90" s="9"/>
      <c r="I90" s="9"/>
      <c r="J90" s="9"/>
      <c r="K90" s="13"/>
      <c r="L90" s="589"/>
      <c r="M90" s="50"/>
      <c r="N90" s="50"/>
      <c r="O90" s="58"/>
      <c r="P90" s="9"/>
      <c r="Q90" s="9"/>
      <c r="R90" s="9"/>
      <c r="S90" s="9"/>
      <c r="T90" s="141"/>
      <c r="AA90" s="187"/>
      <c r="AB90" s="348"/>
      <c r="AF90" s="323"/>
      <c r="AH90" s="323"/>
      <c r="AI90" s="309"/>
      <c r="AJ90" s="230"/>
    </row>
    <row r="91" spans="1:36" s="163" customFormat="1" ht="3.75" customHeight="1">
      <c r="A91" s="57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583">
        <f t="shared" si="3"/>
        <v>0</v>
      </c>
      <c r="M91" s="13"/>
      <c r="N91" s="13"/>
      <c r="O91" s="515"/>
      <c r="P91" s="13"/>
      <c r="Q91" s="13"/>
      <c r="R91" s="13"/>
      <c r="S91" s="13"/>
      <c r="T91" s="519"/>
      <c r="U91" s="516"/>
      <c r="V91" s="517"/>
      <c r="W91" s="516"/>
      <c r="X91" s="517"/>
      <c r="Y91" s="516"/>
      <c r="Z91" s="517"/>
      <c r="AA91" s="516"/>
      <c r="AB91" s="517"/>
      <c r="AC91" s="516"/>
      <c r="AD91" s="517"/>
      <c r="AE91" s="516"/>
      <c r="AF91" s="518"/>
      <c r="AG91" s="516"/>
      <c r="AH91" s="518"/>
      <c r="AI91" s="520"/>
      <c r="AJ91" s="521"/>
    </row>
    <row r="92" spans="1:36">
      <c r="A92" s="576"/>
      <c r="B92" s="7"/>
      <c r="C92" s="7"/>
      <c r="D92" s="7"/>
      <c r="E92" s="7"/>
      <c r="F92" s="7"/>
      <c r="G92" s="7"/>
      <c r="H92" s="7"/>
      <c r="I92" s="7"/>
      <c r="J92" s="7"/>
      <c r="K92" s="13"/>
      <c r="L92" s="588"/>
      <c r="M92" s="7"/>
      <c r="N92" s="7"/>
      <c r="O92" s="57"/>
      <c r="P92" s="7"/>
      <c r="Q92" s="7"/>
      <c r="R92" s="7"/>
      <c r="S92" s="7"/>
      <c r="T92" s="103"/>
      <c r="AA92" s="187"/>
      <c r="AB92" s="348"/>
      <c r="AF92" s="323"/>
      <c r="AH92" s="323"/>
      <c r="AI92" s="309"/>
      <c r="AJ92" s="230"/>
    </row>
    <row r="93" spans="1:36">
      <c r="A93" s="579"/>
      <c r="B93" s="50"/>
      <c r="C93" s="9"/>
      <c r="D93" s="9"/>
      <c r="E93" s="9"/>
      <c r="F93" s="9"/>
      <c r="G93" s="9"/>
      <c r="H93" s="9"/>
      <c r="I93" s="9"/>
      <c r="J93" s="9"/>
      <c r="K93" s="13"/>
      <c r="L93" s="589"/>
      <c r="M93" s="50"/>
      <c r="N93" s="50"/>
      <c r="O93" s="58"/>
      <c r="P93" s="9"/>
      <c r="Q93" s="9"/>
      <c r="R93" s="9"/>
      <c r="S93" s="9"/>
      <c r="T93" s="141"/>
      <c r="AA93" s="187"/>
      <c r="AB93" s="348"/>
      <c r="AF93" s="323"/>
      <c r="AH93" s="323"/>
      <c r="AI93" s="309"/>
      <c r="AJ93" s="230"/>
    </row>
    <row r="94" spans="1:36" s="163" customFormat="1" ht="3.75" customHeight="1">
      <c r="A94" s="57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583"/>
      <c r="M94" s="13"/>
      <c r="N94" s="13"/>
      <c r="O94" s="515"/>
      <c r="P94" s="13"/>
      <c r="Q94" s="13"/>
      <c r="R94" s="13"/>
      <c r="S94" s="13"/>
      <c r="T94" s="519"/>
      <c r="U94" s="516"/>
      <c r="V94" s="517"/>
      <c r="W94" s="516"/>
      <c r="X94" s="517"/>
      <c r="Y94" s="516"/>
      <c r="Z94" s="517"/>
      <c r="AA94" s="516"/>
      <c r="AB94" s="517"/>
      <c r="AC94" s="516"/>
      <c r="AD94" s="517"/>
      <c r="AE94" s="516"/>
      <c r="AF94" s="518"/>
      <c r="AG94" s="516"/>
      <c r="AH94" s="518"/>
      <c r="AI94" s="520"/>
      <c r="AJ94" s="521"/>
    </row>
    <row r="95" spans="1:36">
      <c r="A95" s="576"/>
      <c r="B95" s="7"/>
      <c r="C95" s="7"/>
      <c r="D95" s="7"/>
      <c r="E95" s="7"/>
      <c r="F95" s="7"/>
      <c r="G95" s="7"/>
      <c r="H95" s="7"/>
      <c r="I95" s="7"/>
      <c r="J95" s="7"/>
      <c r="K95" s="13"/>
      <c r="L95" s="588"/>
      <c r="M95" s="7"/>
      <c r="N95" s="7"/>
      <c r="O95" s="57"/>
      <c r="P95" s="7"/>
      <c r="Q95" s="7"/>
      <c r="R95" s="7"/>
      <c r="S95" s="7"/>
      <c r="T95" s="103"/>
      <c r="AA95" s="187"/>
      <c r="AB95" s="348"/>
      <c r="AF95" s="323"/>
      <c r="AH95" s="323"/>
      <c r="AI95" s="309"/>
      <c r="AJ95" s="230"/>
    </row>
    <row r="96" spans="1:36">
      <c r="A96" s="579"/>
      <c r="B96" s="50"/>
      <c r="C96" s="9"/>
      <c r="D96" s="9"/>
      <c r="E96" s="9"/>
      <c r="F96" s="9"/>
      <c r="G96" s="9"/>
      <c r="H96" s="9"/>
      <c r="I96" s="9"/>
      <c r="J96" s="9"/>
      <c r="K96" s="13"/>
      <c r="L96" s="589"/>
      <c r="M96" s="50"/>
      <c r="N96" s="50"/>
      <c r="O96" s="58"/>
      <c r="P96" s="9"/>
      <c r="Q96" s="9"/>
      <c r="R96" s="9"/>
      <c r="S96" s="9"/>
      <c r="T96" s="141"/>
      <c r="AA96" s="187"/>
      <c r="AB96" s="348"/>
      <c r="AF96" s="323"/>
      <c r="AH96" s="323"/>
      <c r="AI96" s="309"/>
      <c r="AJ96" s="230"/>
    </row>
    <row r="97" spans="1:36" s="163" customFormat="1" ht="3.75" customHeight="1">
      <c r="A97" s="57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583"/>
      <c r="M97" s="13"/>
      <c r="N97" s="13"/>
      <c r="O97" s="515"/>
      <c r="P97" s="13"/>
      <c r="Q97" s="13"/>
      <c r="R97" s="13"/>
      <c r="S97" s="13"/>
      <c r="T97" s="519"/>
      <c r="U97" s="516"/>
      <c r="V97" s="517"/>
      <c r="W97" s="516"/>
      <c r="X97" s="517"/>
      <c r="Y97" s="516"/>
      <c r="Z97" s="517"/>
      <c r="AA97" s="516"/>
      <c r="AB97" s="517"/>
      <c r="AC97" s="516"/>
      <c r="AD97" s="517"/>
      <c r="AE97" s="516"/>
      <c r="AF97" s="518"/>
      <c r="AG97" s="516"/>
      <c r="AH97" s="518"/>
      <c r="AI97" s="520"/>
      <c r="AJ97" s="521"/>
    </row>
    <row r="98" spans="1:36">
      <c r="A98" s="576"/>
      <c r="B98" s="7"/>
      <c r="C98" s="7"/>
      <c r="D98" s="7"/>
      <c r="E98" s="7"/>
      <c r="F98" s="7"/>
      <c r="G98" s="7"/>
      <c r="H98" s="7"/>
      <c r="I98" s="7"/>
      <c r="J98" s="7"/>
      <c r="K98" s="13"/>
      <c r="L98" s="588"/>
      <c r="M98" s="7"/>
      <c r="N98" s="7"/>
      <c r="O98" s="57"/>
      <c r="P98" s="7"/>
      <c r="Q98" s="7"/>
      <c r="R98" s="7"/>
      <c r="S98" s="7"/>
      <c r="T98" s="103"/>
      <c r="AA98" s="187"/>
      <c r="AB98" s="348"/>
      <c r="AF98" s="323"/>
      <c r="AH98" s="323"/>
      <c r="AI98" s="309"/>
      <c r="AJ98" s="230"/>
    </row>
    <row r="99" spans="1:36">
      <c r="A99" s="579"/>
      <c r="B99" s="50"/>
      <c r="C99" s="9"/>
      <c r="D99" s="9"/>
      <c r="E99" s="9"/>
      <c r="F99" s="9"/>
      <c r="G99" s="9"/>
      <c r="H99" s="9"/>
      <c r="I99" s="9"/>
      <c r="J99" s="9"/>
      <c r="K99" s="13"/>
      <c r="L99" s="589"/>
      <c r="M99" s="50"/>
      <c r="N99" s="50"/>
      <c r="O99" s="58"/>
      <c r="P99" s="9"/>
      <c r="Q99" s="9"/>
      <c r="R99" s="9"/>
      <c r="S99" s="9"/>
      <c r="T99" s="141"/>
      <c r="AA99" s="187"/>
      <c r="AB99" s="348"/>
      <c r="AF99" s="323"/>
      <c r="AH99" s="323"/>
      <c r="AI99" s="309"/>
      <c r="AJ99" s="230"/>
    </row>
    <row r="100" spans="1:36" s="163" customFormat="1" ht="3.75" customHeight="1">
      <c r="A100" s="57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583"/>
      <c r="M100" s="13"/>
      <c r="N100" s="13"/>
      <c r="O100" s="515"/>
      <c r="P100" s="13"/>
      <c r="Q100" s="13"/>
      <c r="R100" s="13"/>
      <c r="S100" s="13"/>
      <c r="T100" s="519"/>
      <c r="U100" s="516"/>
      <c r="V100" s="517"/>
      <c r="W100" s="516"/>
      <c r="X100" s="517"/>
      <c r="Y100" s="516"/>
      <c r="Z100" s="517"/>
      <c r="AA100" s="516"/>
      <c r="AB100" s="517"/>
      <c r="AC100" s="516"/>
      <c r="AD100" s="517"/>
      <c r="AE100" s="516"/>
      <c r="AF100" s="518"/>
      <c r="AG100" s="516"/>
      <c r="AH100" s="518"/>
      <c r="AI100" s="520"/>
      <c r="AJ100" s="521"/>
    </row>
    <row r="101" spans="1:36">
      <c r="A101" s="576"/>
      <c r="B101" s="7"/>
      <c r="C101" s="7"/>
      <c r="D101" s="7"/>
      <c r="E101" s="7"/>
      <c r="F101" s="7"/>
      <c r="G101" s="7"/>
      <c r="H101" s="7"/>
      <c r="I101" s="7"/>
      <c r="J101" s="7"/>
      <c r="K101" s="13"/>
      <c r="L101" s="588"/>
      <c r="M101" s="7"/>
      <c r="N101" s="7"/>
      <c r="O101" s="57"/>
      <c r="P101" s="7"/>
      <c r="Q101" s="7"/>
      <c r="R101" s="7"/>
      <c r="S101" s="7"/>
      <c r="T101" s="103"/>
      <c r="AA101" s="187"/>
      <c r="AB101" s="348"/>
      <c r="AF101" s="323"/>
      <c r="AH101" s="323"/>
      <c r="AI101" s="309"/>
      <c r="AJ101" s="230"/>
    </row>
    <row r="102" spans="1:36">
      <c r="A102" s="579"/>
      <c r="B102" s="50"/>
      <c r="C102" s="9"/>
      <c r="D102" s="9"/>
      <c r="E102" s="9"/>
      <c r="F102" s="9"/>
      <c r="G102" s="9"/>
      <c r="H102" s="9"/>
      <c r="I102" s="9"/>
      <c r="J102" s="9"/>
      <c r="K102" s="13"/>
      <c r="L102" s="589"/>
      <c r="M102" s="50"/>
      <c r="N102" s="50"/>
      <c r="O102" s="58"/>
      <c r="P102" s="9"/>
      <c r="Q102" s="9"/>
      <c r="R102" s="9"/>
      <c r="S102" s="9"/>
      <c r="T102" s="141"/>
      <c r="AA102" s="187"/>
      <c r="AB102" s="348"/>
      <c r="AF102" s="323"/>
      <c r="AH102" s="323"/>
      <c r="AI102" s="309"/>
      <c r="AJ102" s="230"/>
    </row>
    <row r="103" spans="1:36" s="163" customFormat="1" ht="3.75" customHeight="1">
      <c r="A103" s="57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583">
        <f t="shared" si="3"/>
        <v>0</v>
      </c>
      <c r="M103" s="13"/>
      <c r="N103" s="13"/>
      <c r="O103" s="515"/>
      <c r="P103" s="13"/>
      <c r="Q103" s="13"/>
      <c r="R103" s="13"/>
      <c r="S103" s="13"/>
      <c r="T103" s="519"/>
      <c r="U103" s="516"/>
      <c r="V103" s="517"/>
      <c r="W103" s="516"/>
      <c r="X103" s="517"/>
      <c r="Y103" s="516"/>
      <c r="Z103" s="517"/>
      <c r="AA103" s="516"/>
      <c r="AB103" s="517"/>
      <c r="AC103" s="516"/>
      <c r="AD103" s="517"/>
      <c r="AE103" s="516"/>
      <c r="AF103" s="518"/>
      <c r="AG103" s="516"/>
      <c r="AH103" s="518"/>
      <c r="AI103" s="520"/>
      <c r="AJ103" s="521"/>
    </row>
    <row r="104" spans="1:36">
      <c r="A104" s="576"/>
      <c r="B104" s="7"/>
      <c r="C104" s="7"/>
      <c r="D104" s="7"/>
      <c r="E104" s="7"/>
      <c r="F104" s="7"/>
      <c r="G104" s="7"/>
      <c r="H104" s="7"/>
      <c r="I104" s="7"/>
      <c r="J104" s="7"/>
      <c r="K104" s="13"/>
      <c r="L104" s="588"/>
      <c r="M104" s="7"/>
      <c r="N104" s="7"/>
      <c r="O104" s="57"/>
      <c r="P104" s="7"/>
      <c r="Q104" s="7"/>
      <c r="R104" s="7"/>
      <c r="S104" s="7"/>
      <c r="T104" s="103"/>
      <c r="AA104" s="187"/>
      <c r="AB104" s="348"/>
      <c r="AF104" s="323"/>
      <c r="AH104" s="323"/>
      <c r="AI104" s="309"/>
      <c r="AJ104" s="230"/>
    </row>
    <row r="105" spans="1:36">
      <c r="A105" s="579"/>
      <c r="B105" s="50"/>
      <c r="C105" s="9"/>
      <c r="D105" s="9"/>
      <c r="E105" s="9"/>
      <c r="F105" s="9"/>
      <c r="G105" s="9"/>
      <c r="H105" s="9"/>
      <c r="I105" s="9"/>
      <c r="J105" s="9"/>
      <c r="K105" s="13"/>
      <c r="L105" s="589"/>
      <c r="M105" s="50"/>
      <c r="N105" s="50"/>
      <c r="O105" s="58"/>
      <c r="P105" s="9"/>
      <c r="Q105" s="9"/>
      <c r="R105" s="9"/>
      <c r="S105" s="9"/>
      <c r="T105" s="141"/>
      <c r="AA105" s="187"/>
      <c r="AB105" s="348"/>
      <c r="AF105" s="323"/>
      <c r="AH105" s="323"/>
      <c r="AI105" s="309"/>
      <c r="AJ105" s="230"/>
    </row>
    <row r="106" spans="1:36">
      <c r="AA106" s="187"/>
      <c r="AB106" s="348"/>
    </row>
    <row r="107" spans="1:36">
      <c r="AA107" s="187"/>
      <c r="AB107" s="348"/>
    </row>
    <row r="108" spans="1:36">
      <c r="AA108" s="187"/>
      <c r="AB108" s="348"/>
    </row>
    <row r="109" spans="1:36">
      <c r="AA109" s="187"/>
      <c r="AB109" s="348"/>
    </row>
    <row r="110" spans="1:36">
      <c r="AA110" s="187"/>
      <c r="AB110" s="348"/>
    </row>
    <row r="111" spans="1:36">
      <c r="AA111" s="187"/>
      <c r="AB111" s="348"/>
    </row>
    <row r="112" spans="1:36">
      <c r="AA112" s="187"/>
      <c r="AB112" s="348"/>
    </row>
    <row r="113" spans="27:28">
      <c r="AA113" s="187"/>
      <c r="AB113" s="348"/>
    </row>
    <row r="114" spans="27:28">
      <c r="AA114" s="187"/>
      <c r="AB114" s="348"/>
    </row>
    <row r="115" spans="27:28">
      <c r="AA115" s="187"/>
      <c r="AB115" s="348"/>
    </row>
    <row r="116" spans="27:28">
      <c r="AA116" s="187"/>
      <c r="AB116" s="348"/>
    </row>
    <row r="117" spans="27:28">
      <c r="AA117" s="187"/>
      <c r="AB117" s="348"/>
    </row>
    <row r="118" spans="27:28">
      <c r="AA118" s="187"/>
      <c r="AB118" s="348"/>
    </row>
    <row r="119" spans="27:28">
      <c r="AA119" s="187"/>
      <c r="AB119" s="348"/>
    </row>
    <row r="120" spans="27:28">
      <c r="AA120" s="187"/>
      <c r="AB120" s="348"/>
    </row>
    <row r="121" spans="27:28">
      <c r="AA121" s="187"/>
      <c r="AB121" s="348"/>
    </row>
    <row r="122" spans="27:28">
      <c r="AA122" s="187"/>
      <c r="AB122" s="348"/>
    </row>
    <row r="123" spans="27:28">
      <c r="AA123" s="187"/>
      <c r="AB123" s="348"/>
    </row>
    <row r="124" spans="27:28">
      <c r="AA124" s="187"/>
      <c r="AB124" s="348"/>
    </row>
    <row r="125" spans="27:28">
      <c r="AA125" s="187"/>
      <c r="AB125" s="348"/>
    </row>
    <row r="126" spans="27:28">
      <c r="AA126" s="187"/>
      <c r="AB126" s="348"/>
    </row>
    <row r="127" spans="27:28">
      <c r="AA127" s="187"/>
      <c r="AB127" s="348"/>
    </row>
    <row r="128" spans="27:28">
      <c r="AA128" s="187"/>
      <c r="AB128" s="348"/>
    </row>
    <row r="129" spans="27:28">
      <c r="AA129" s="187"/>
      <c r="AB129" s="348"/>
    </row>
    <row r="130" spans="27:28">
      <c r="AA130" s="187"/>
      <c r="AB130" s="348"/>
    </row>
    <row r="131" spans="27:28">
      <c r="AA131" s="187"/>
      <c r="AB131" s="348"/>
    </row>
    <row r="132" spans="27:28">
      <c r="AA132" s="187"/>
      <c r="AB132" s="348"/>
    </row>
    <row r="133" spans="27:28">
      <c r="AA133" s="187"/>
      <c r="AB133" s="348"/>
    </row>
    <row r="134" spans="27:28">
      <c r="AA134" s="187"/>
      <c r="AB134" s="348"/>
    </row>
    <row r="135" spans="27:28">
      <c r="AA135" s="187"/>
      <c r="AB135" s="348"/>
    </row>
    <row r="136" spans="27:28">
      <c r="AA136" s="187"/>
      <c r="AB136" s="348"/>
    </row>
    <row r="137" spans="27:28">
      <c r="AA137" s="187"/>
      <c r="AB137" s="348"/>
    </row>
    <row r="138" spans="27:28">
      <c r="AA138" s="187"/>
      <c r="AB138" s="348"/>
    </row>
    <row r="139" spans="27:28">
      <c r="AA139" s="187"/>
      <c r="AB139" s="348"/>
    </row>
    <row r="140" spans="27:28">
      <c r="AA140" s="187"/>
      <c r="AB140" s="348"/>
    </row>
    <row r="141" spans="27:28">
      <c r="AA141" s="187"/>
      <c r="AB141" s="348"/>
    </row>
    <row r="142" spans="27:28">
      <c r="AA142" s="187"/>
      <c r="AB142" s="348"/>
    </row>
    <row r="143" spans="27:28">
      <c r="AA143" s="187"/>
      <c r="AB143" s="348"/>
    </row>
    <row r="144" spans="27:28">
      <c r="AA144" s="187"/>
      <c r="AB144" s="348"/>
    </row>
    <row r="145" spans="27:28">
      <c r="AA145" s="187"/>
      <c r="AB145" s="348"/>
    </row>
    <row r="146" spans="27:28">
      <c r="AA146" s="187"/>
      <c r="AB146" s="348"/>
    </row>
    <row r="147" spans="27:28">
      <c r="AA147" s="187"/>
      <c r="AB147" s="348"/>
    </row>
    <row r="148" spans="27:28">
      <c r="AA148" s="187"/>
      <c r="AB148" s="348"/>
    </row>
    <row r="149" spans="27:28">
      <c r="AA149" s="187"/>
      <c r="AB149" s="348"/>
    </row>
    <row r="150" spans="27:28">
      <c r="AA150" s="187"/>
      <c r="AB150" s="348"/>
    </row>
    <row r="151" spans="27:28">
      <c r="AA151" s="187"/>
      <c r="AB151" s="348"/>
    </row>
    <row r="152" spans="27:28">
      <c r="AA152" s="187"/>
      <c r="AB152" s="348"/>
    </row>
    <row r="153" spans="27:28">
      <c r="AA153" s="187"/>
      <c r="AB153" s="348"/>
    </row>
    <row r="154" spans="27:28">
      <c r="AA154" s="187"/>
      <c r="AB154" s="348"/>
    </row>
    <row r="155" spans="27:28">
      <c r="AA155" s="187"/>
      <c r="AB155" s="348"/>
    </row>
    <row r="156" spans="27:28">
      <c r="AA156" s="187"/>
      <c r="AB156" s="348"/>
    </row>
    <row r="157" spans="27:28">
      <c r="AA157" s="187"/>
      <c r="AB157" s="348"/>
    </row>
    <row r="158" spans="27:28">
      <c r="AA158" s="187"/>
      <c r="AB158" s="348"/>
    </row>
    <row r="159" spans="27:28">
      <c r="AA159" s="187"/>
      <c r="AB159" s="348"/>
    </row>
    <row r="160" spans="27:28">
      <c r="AA160" s="187"/>
      <c r="AB160" s="348"/>
    </row>
    <row r="161" spans="27:28">
      <c r="AA161" s="187"/>
      <c r="AB161" s="348"/>
    </row>
    <row r="162" spans="27:28">
      <c r="AA162" s="187"/>
      <c r="AB162" s="348"/>
    </row>
    <row r="163" spans="27:28">
      <c r="AA163" s="187"/>
      <c r="AB163" s="348"/>
    </row>
    <row r="164" spans="27:28">
      <c r="AA164" s="187"/>
      <c r="AB164" s="348"/>
    </row>
    <row r="165" spans="27:28">
      <c r="AA165" s="187"/>
      <c r="AB165" s="348"/>
    </row>
    <row r="166" spans="27:28">
      <c r="AA166" s="187"/>
      <c r="AB166" s="348"/>
    </row>
    <row r="167" spans="27:28">
      <c r="AA167" s="187"/>
      <c r="AB167" s="348"/>
    </row>
    <row r="168" spans="27:28">
      <c r="AA168" s="187"/>
      <c r="AB168" s="348"/>
    </row>
    <row r="169" spans="27:28">
      <c r="AA169" s="187"/>
      <c r="AB169" s="348"/>
    </row>
    <row r="170" spans="27:28">
      <c r="AA170" s="187"/>
      <c r="AB170" s="348"/>
    </row>
    <row r="171" spans="27:28">
      <c r="AA171" s="187"/>
      <c r="AB171" s="348"/>
    </row>
    <row r="172" spans="27:28">
      <c r="AA172" s="187"/>
      <c r="AB172" s="348"/>
    </row>
    <row r="173" spans="27:28">
      <c r="AA173" s="187"/>
      <c r="AB173" s="348"/>
    </row>
    <row r="174" spans="27:28">
      <c r="AA174" s="187"/>
      <c r="AB174" s="348"/>
    </row>
    <row r="175" spans="27:28">
      <c r="AA175" s="187"/>
      <c r="AB175" s="348"/>
    </row>
    <row r="176" spans="27:28">
      <c r="AA176" s="187"/>
      <c r="AB176" s="348"/>
    </row>
    <row r="177" spans="27:28">
      <c r="AA177" s="187"/>
      <c r="AB177" s="348"/>
    </row>
    <row r="178" spans="27:28">
      <c r="AA178" s="187"/>
      <c r="AB178" s="348"/>
    </row>
    <row r="179" spans="27:28">
      <c r="AA179" s="187"/>
      <c r="AB179" s="348"/>
    </row>
    <row r="180" spans="27:28">
      <c r="AA180" s="187"/>
      <c r="AB180" s="348"/>
    </row>
    <row r="181" spans="27:28">
      <c r="AA181" s="187"/>
      <c r="AB181" s="348"/>
    </row>
    <row r="182" spans="27:28">
      <c r="AA182" s="187"/>
      <c r="AB182" s="348"/>
    </row>
    <row r="183" spans="27:28">
      <c r="AA183" s="187"/>
      <c r="AB183" s="348"/>
    </row>
    <row r="184" spans="27:28">
      <c r="AA184" s="187"/>
      <c r="AB184" s="348"/>
    </row>
    <row r="185" spans="27:28">
      <c r="AA185" s="187"/>
      <c r="AB185" s="348"/>
    </row>
    <row r="186" spans="27:28">
      <c r="AA186" s="187"/>
      <c r="AB186" s="348"/>
    </row>
    <row r="187" spans="27:28">
      <c r="AA187" s="187"/>
      <c r="AB187" s="348"/>
    </row>
    <row r="188" spans="27:28">
      <c r="AA188" s="187"/>
      <c r="AB188" s="348"/>
    </row>
    <row r="189" spans="27:28">
      <c r="AA189" s="187"/>
      <c r="AB189" s="348"/>
    </row>
    <row r="190" spans="27:28">
      <c r="AA190" s="187"/>
      <c r="AB190" s="348"/>
    </row>
    <row r="191" spans="27:28">
      <c r="AA191" s="187"/>
      <c r="AB191" s="348"/>
    </row>
    <row r="192" spans="27:28">
      <c r="AA192" s="187"/>
      <c r="AB192" s="348"/>
    </row>
    <row r="193" spans="27:28">
      <c r="AA193" s="187"/>
      <c r="AB193" s="348"/>
    </row>
    <row r="194" spans="27:28">
      <c r="AA194" s="187"/>
      <c r="AB194" s="348"/>
    </row>
    <row r="195" spans="27:28">
      <c r="AA195" s="187"/>
      <c r="AB195" s="348"/>
    </row>
    <row r="196" spans="27:28">
      <c r="AA196" s="187"/>
      <c r="AB196" s="348"/>
    </row>
    <row r="197" spans="27:28">
      <c r="AA197" s="187"/>
      <c r="AB197" s="348"/>
    </row>
    <row r="198" spans="27:28">
      <c r="AA198" s="187"/>
      <c r="AB198" s="348"/>
    </row>
    <row r="199" spans="27:28">
      <c r="AA199" s="187"/>
      <c r="AB199" s="348"/>
    </row>
    <row r="200" spans="27:28">
      <c r="AA200" s="187"/>
      <c r="AB200" s="348"/>
    </row>
    <row r="201" spans="27:28">
      <c r="AA201" s="187"/>
      <c r="AB201" s="348"/>
    </row>
    <row r="202" spans="27:28">
      <c r="AA202" s="187"/>
      <c r="AB202" s="348"/>
    </row>
    <row r="203" spans="27:28">
      <c r="AA203" s="187"/>
      <c r="AB203" s="348"/>
    </row>
    <row r="204" spans="27:28">
      <c r="AA204" s="187"/>
      <c r="AB204" s="348"/>
    </row>
    <row r="205" spans="27:28">
      <c r="AA205" s="187"/>
      <c r="AB205" s="348"/>
    </row>
    <row r="206" spans="27:28">
      <c r="AA206" s="187"/>
      <c r="AB206" s="348"/>
    </row>
    <row r="207" spans="27:28">
      <c r="AA207" s="187"/>
      <c r="AB207" s="348"/>
    </row>
    <row r="208" spans="27:28">
      <c r="AA208" s="187"/>
      <c r="AB208" s="348"/>
    </row>
    <row r="209" spans="27:28">
      <c r="AA209" s="187"/>
      <c r="AB209" s="348"/>
    </row>
    <row r="210" spans="27:28">
      <c r="AA210" s="187"/>
      <c r="AB210" s="348"/>
    </row>
    <row r="211" spans="27:28">
      <c r="AA211" s="187"/>
      <c r="AB211" s="348"/>
    </row>
    <row r="212" spans="27:28">
      <c r="AA212" s="187"/>
      <c r="AB212" s="348"/>
    </row>
    <row r="213" spans="27:28">
      <c r="AA213" s="187"/>
      <c r="AB213" s="348"/>
    </row>
    <row r="214" spans="27:28">
      <c r="AA214" s="187"/>
      <c r="AB214" s="348"/>
    </row>
    <row r="215" spans="27:28">
      <c r="AA215" s="187"/>
      <c r="AB215" s="348"/>
    </row>
    <row r="216" spans="27:28">
      <c r="AA216" s="187"/>
      <c r="AB216" s="348"/>
    </row>
    <row r="217" spans="27:28">
      <c r="AA217" s="187"/>
      <c r="AB217" s="348"/>
    </row>
    <row r="218" spans="27:28">
      <c r="AA218" s="187"/>
      <c r="AB218" s="348"/>
    </row>
    <row r="219" spans="27:28">
      <c r="AA219" s="187"/>
      <c r="AB219" s="348"/>
    </row>
    <row r="220" spans="27:28">
      <c r="AA220" s="187"/>
      <c r="AB220" s="348"/>
    </row>
    <row r="221" spans="27:28">
      <c r="AA221" s="187"/>
      <c r="AB221" s="348"/>
    </row>
    <row r="222" spans="27:28">
      <c r="AA222" s="187"/>
      <c r="AB222" s="348"/>
    </row>
    <row r="223" spans="27:28">
      <c r="AA223" s="187"/>
      <c r="AB223" s="348"/>
    </row>
    <row r="224" spans="27:28">
      <c r="AA224" s="187"/>
      <c r="AB224" s="348"/>
    </row>
    <row r="225" spans="27:28">
      <c r="AA225" s="187"/>
      <c r="AB225" s="348"/>
    </row>
    <row r="226" spans="27:28">
      <c r="AA226" s="187"/>
      <c r="AB226" s="348"/>
    </row>
    <row r="227" spans="27:28">
      <c r="AA227" s="187"/>
      <c r="AB227" s="348"/>
    </row>
    <row r="228" spans="27:28">
      <c r="AA228" s="187"/>
      <c r="AB228" s="348"/>
    </row>
    <row r="229" spans="27:28">
      <c r="AA229" s="187"/>
      <c r="AB229" s="348"/>
    </row>
    <row r="230" spans="27:28">
      <c r="AA230" s="187"/>
      <c r="AB230" s="348"/>
    </row>
    <row r="231" spans="27:28">
      <c r="AA231" s="187"/>
      <c r="AB231" s="348"/>
    </row>
    <row r="232" spans="27:28">
      <c r="AA232" s="187"/>
      <c r="AB232" s="348"/>
    </row>
    <row r="233" spans="27:28">
      <c r="AA233" s="187"/>
      <c r="AB233" s="348"/>
    </row>
    <row r="234" spans="27:28">
      <c r="AA234" s="187"/>
      <c r="AB234" s="348"/>
    </row>
    <row r="235" spans="27:28">
      <c r="AA235" s="187"/>
      <c r="AB235" s="348"/>
    </row>
    <row r="236" spans="27:28">
      <c r="AA236" s="187"/>
      <c r="AB236" s="348"/>
    </row>
    <row r="237" spans="27:28">
      <c r="AA237" s="187"/>
      <c r="AB237" s="348"/>
    </row>
    <row r="238" spans="27:28">
      <c r="AA238" s="187"/>
      <c r="AB238" s="348"/>
    </row>
    <row r="239" spans="27:28">
      <c r="AA239" s="187"/>
      <c r="AB239" s="348"/>
    </row>
    <row r="240" spans="27:28">
      <c r="AA240" s="187"/>
      <c r="AB240" s="348"/>
    </row>
    <row r="241" spans="27:28">
      <c r="AA241" s="187"/>
      <c r="AB241" s="348"/>
    </row>
    <row r="242" spans="27:28">
      <c r="AA242" s="187"/>
      <c r="AB242" s="348"/>
    </row>
    <row r="243" spans="27:28">
      <c r="AA243" s="187"/>
      <c r="AB243" s="348"/>
    </row>
    <row r="244" spans="27:28">
      <c r="AA244" s="187"/>
      <c r="AB244" s="348"/>
    </row>
    <row r="245" spans="27:28">
      <c r="AA245" s="187"/>
      <c r="AB245" s="348"/>
    </row>
    <row r="246" spans="27:28">
      <c r="AA246" s="187"/>
      <c r="AB246" s="348"/>
    </row>
    <row r="247" spans="27:28">
      <c r="AA247" s="187"/>
      <c r="AB247" s="348"/>
    </row>
    <row r="248" spans="27:28">
      <c r="AA248" s="187"/>
      <c r="AB248" s="348"/>
    </row>
    <row r="249" spans="27:28">
      <c r="AA249" s="187"/>
      <c r="AB249" s="348"/>
    </row>
    <row r="250" spans="27:28">
      <c r="AA250" s="187"/>
      <c r="AB250" s="348"/>
    </row>
    <row r="251" spans="27:28">
      <c r="AA251" s="187"/>
      <c r="AB251" s="348"/>
    </row>
    <row r="252" spans="27:28">
      <c r="AA252" s="187"/>
      <c r="AB252" s="348"/>
    </row>
    <row r="253" spans="27:28">
      <c r="AA253" s="187"/>
      <c r="AB253" s="348"/>
    </row>
    <row r="254" spans="27:28">
      <c r="AA254" s="187"/>
      <c r="AB254" s="348"/>
    </row>
    <row r="255" spans="27:28">
      <c r="AA255" s="187"/>
      <c r="AB255" s="348"/>
    </row>
    <row r="256" spans="27:28">
      <c r="AA256" s="187"/>
      <c r="AB256" s="348"/>
    </row>
    <row r="257" spans="27:28">
      <c r="AA257" s="187"/>
      <c r="AB257" s="348"/>
    </row>
    <row r="258" spans="27:28">
      <c r="AA258" s="187"/>
      <c r="AB258" s="348"/>
    </row>
    <row r="259" spans="27:28">
      <c r="AA259" s="187"/>
      <c r="AB259" s="348"/>
    </row>
    <row r="260" spans="27:28">
      <c r="AA260" s="187"/>
      <c r="AB260" s="348"/>
    </row>
    <row r="261" spans="27:28">
      <c r="AA261" s="187"/>
      <c r="AB261" s="348"/>
    </row>
    <row r="262" spans="27:28">
      <c r="AA262" s="187"/>
      <c r="AB262" s="348"/>
    </row>
    <row r="263" spans="27:28">
      <c r="AA263" s="187"/>
      <c r="AB263" s="348"/>
    </row>
    <row r="264" spans="27:28">
      <c r="AA264" s="187"/>
      <c r="AB264" s="348"/>
    </row>
    <row r="265" spans="27:28">
      <c r="AA265" s="187"/>
      <c r="AB265" s="348"/>
    </row>
    <row r="266" spans="27:28">
      <c r="AA266" s="187"/>
      <c r="AB266" s="348"/>
    </row>
    <row r="267" spans="27:28">
      <c r="AA267" s="187"/>
      <c r="AB267" s="348"/>
    </row>
    <row r="268" spans="27:28">
      <c r="AA268" s="187"/>
      <c r="AB268" s="348"/>
    </row>
    <row r="269" spans="27:28">
      <c r="AA269" s="187"/>
      <c r="AB269" s="348"/>
    </row>
    <row r="270" spans="27:28">
      <c r="AA270" s="187"/>
      <c r="AB270" s="348"/>
    </row>
    <row r="271" spans="27:28">
      <c r="AA271" s="187"/>
      <c r="AB271" s="348"/>
    </row>
    <row r="272" spans="27:28">
      <c r="AA272" s="187"/>
      <c r="AB272" s="348"/>
    </row>
    <row r="273" spans="27:28">
      <c r="AA273" s="187"/>
      <c r="AB273" s="348"/>
    </row>
    <row r="274" spans="27:28">
      <c r="AA274" s="187"/>
      <c r="AB274" s="348"/>
    </row>
    <row r="275" spans="27:28">
      <c r="AA275" s="187"/>
      <c r="AB275" s="348"/>
    </row>
    <row r="276" spans="27:28">
      <c r="AA276" s="187"/>
      <c r="AB276" s="348"/>
    </row>
    <row r="277" spans="27:28">
      <c r="AA277" s="187"/>
      <c r="AB277" s="348"/>
    </row>
    <row r="278" spans="27:28">
      <c r="AA278" s="187"/>
      <c r="AB278" s="348"/>
    </row>
    <row r="279" spans="27:28">
      <c r="AA279" s="187"/>
      <c r="AB279" s="348"/>
    </row>
    <row r="280" spans="27:28">
      <c r="AA280" s="187"/>
      <c r="AB280" s="348"/>
    </row>
    <row r="281" spans="27:28">
      <c r="AA281" s="187"/>
      <c r="AB281" s="348"/>
    </row>
    <row r="282" spans="27:28">
      <c r="AA282" s="187"/>
      <c r="AB282" s="348"/>
    </row>
  </sheetData>
  <autoFilter ref="A2:MK3" xr:uid="{4258073A-E02D-43BA-90C7-FECAB1DE6AA8}"/>
  <conditionalFormatting sqref="E3:E4">
    <cfRule type="expression" dxfId="788" priority="48">
      <formula>B3=770</formula>
    </cfRule>
    <cfRule type="expression" dxfId="787" priority="52">
      <formula>B3=769</formula>
    </cfRule>
  </conditionalFormatting>
  <conditionalFormatting sqref="E6:E7">
    <cfRule type="expression" dxfId="786" priority="35">
      <formula>B6=770</formula>
    </cfRule>
    <cfRule type="expression" dxfId="785" priority="39">
      <formula>B6=769</formula>
    </cfRule>
  </conditionalFormatting>
  <conditionalFormatting sqref="E9:E10">
    <cfRule type="expression" dxfId="784" priority="22">
      <formula>B9=770</formula>
    </cfRule>
    <cfRule type="expression" dxfId="783" priority="26">
      <formula>B9=769</formula>
    </cfRule>
  </conditionalFormatting>
  <conditionalFormatting sqref="E12:E1026">
    <cfRule type="expression" dxfId="782" priority="9">
      <formula>B12=770</formula>
    </cfRule>
    <cfRule type="expression" dxfId="781" priority="13">
      <formula>B12=769</formula>
    </cfRule>
  </conditionalFormatting>
  <conditionalFormatting sqref="F3:F4">
    <cfRule type="expression" dxfId="780" priority="47">
      <formula>B3=770</formula>
    </cfRule>
    <cfRule type="expression" dxfId="779" priority="51">
      <formula>B3=769</formula>
    </cfRule>
  </conditionalFormatting>
  <conditionalFormatting sqref="F6:F7">
    <cfRule type="expression" dxfId="778" priority="34">
      <formula>B6=770</formula>
    </cfRule>
    <cfRule type="expression" dxfId="777" priority="38">
      <formula>B6=769</formula>
    </cfRule>
  </conditionalFormatting>
  <conditionalFormatting sqref="F9:F10">
    <cfRule type="expression" dxfId="776" priority="21">
      <formula>B9=770</formula>
    </cfRule>
    <cfRule type="expression" dxfId="775" priority="25">
      <formula>B9=769</formula>
    </cfRule>
  </conditionalFormatting>
  <conditionalFormatting sqref="F12:F1026">
    <cfRule type="expression" dxfId="774" priority="8">
      <formula>B12=770</formula>
    </cfRule>
    <cfRule type="expression" dxfId="773" priority="12">
      <formula>B12=769</formula>
    </cfRule>
  </conditionalFormatting>
  <conditionalFormatting sqref="G3:G4">
    <cfRule type="expression" dxfId="772" priority="46">
      <formula>B3=770</formula>
    </cfRule>
    <cfRule type="expression" dxfId="771" priority="50">
      <formula>B3=769</formula>
    </cfRule>
  </conditionalFormatting>
  <conditionalFormatting sqref="G6:G7">
    <cfRule type="expression" dxfId="770" priority="33">
      <formula>B6=770</formula>
    </cfRule>
    <cfRule type="expression" dxfId="769" priority="37">
      <formula>B6=769</formula>
    </cfRule>
  </conditionalFormatting>
  <conditionalFormatting sqref="G9:G10">
    <cfRule type="expression" dxfId="768" priority="20">
      <formula>B9=770</formula>
    </cfRule>
    <cfRule type="expression" dxfId="767" priority="24">
      <formula>B9=769</formula>
    </cfRule>
  </conditionalFormatting>
  <conditionalFormatting sqref="G12:G1026">
    <cfRule type="expression" dxfId="766" priority="7">
      <formula>B12=770</formula>
    </cfRule>
    <cfRule type="expression" dxfId="765" priority="11">
      <formula>B12=769</formula>
    </cfRule>
  </conditionalFormatting>
  <conditionalFormatting sqref="H3:H4">
    <cfRule type="expression" dxfId="764" priority="42">
      <formula>B3=767</formula>
    </cfRule>
    <cfRule type="expression" dxfId="763" priority="45">
      <formula>B3=768</formula>
    </cfRule>
    <cfRule type="expression" dxfId="762" priority="49">
      <formula>B3=769</formula>
    </cfRule>
  </conditionalFormatting>
  <conditionalFormatting sqref="H6:H7">
    <cfRule type="expression" dxfId="761" priority="29">
      <formula>B6=767</formula>
    </cfRule>
    <cfRule type="expression" dxfId="760" priority="32">
      <formula>B6=768</formula>
    </cfRule>
    <cfRule type="expression" dxfId="759" priority="36">
      <formula>B6=769</formula>
    </cfRule>
  </conditionalFormatting>
  <conditionalFormatting sqref="H9:H10">
    <cfRule type="expression" dxfId="758" priority="16">
      <formula>B9=767</formula>
    </cfRule>
    <cfRule type="expression" dxfId="757" priority="19">
      <formula>B9=768</formula>
    </cfRule>
    <cfRule type="expression" dxfId="756" priority="23">
      <formula>B9=769</formula>
    </cfRule>
  </conditionalFormatting>
  <conditionalFormatting sqref="H12:H1026">
    <cfRule type="expression" dxfId="755" priority="3">
      <formula>B12=767</formula>
    </cfRule>
    <cfRule type="expression" dxfId="754" priority="6">
      <formula>B12=768</formula>
    </cfRule>
    <cfRule type="expression" dxfId="753" priority="10">
      <formula>B12=769</formula>
    </cfRule>
  </conditionalFormatting>
  <conditionalFormatting sqref="I3:I4">
    <cfRule type="expression" dxfId="752" priority="41">
      <formula>B3=767</formula>
    </cfRule>
    <cfRule type="expression" dxfId="751" priority="44">
      <formula>B3=768</formula>
    </cfRule>
  </conditionalFormatting>
  <conditionalFormatting sqref="I6:I7">
    <cfRule type="expression" dxfId="750" priority="28">
      <formula>B6=767</formula>
    </cfRule>
    <cfRule type="expression" dxfId="749" priority="31">
      <formula>B6=768</formula>
    </cfRule>
  </conditionalFormatting>
  <conditionalFormatting sqref="I9:I10">
    <cfRule type="expression" dxfId="748" priority="15">
      <formula>B9=767</formula>
    </cfRule>
    <cfRule type="expression" dxfId="747" priority="18">
      <formula>B9=768</formula>
    </cfRule>
  </conditionalFormatting>
  <conditionalFormatting sqref="I12:I1026">
    <cfRule type="expression" dxfId="746" priority="2">
      <formula>B12=767</formula>
    </cfRule>
    <cfRule type="expression" dxfId="745" priority="5">
      <formula>B12=768</formula>
    </cfRule>
  </conditionalFormatting>
  <conditionalFormatting sqref="J3:J4">
    <cfRule type="expression" dxfId="744" priority="40">
      <formula>B3=767</formula>
    </cfRule>
    <cfRule type="expression" dxfId="743" priority="43">
      <formula>B3=768</formula>
    </cfRule>
  </conditionalFormatting>
  <conditionalFormatting sqref="J6:J7">
    <cfRule type="expression" dxfId="742" priority="27">
      <formula>B6=767</formula>
    </cfRule>
    <cfRule type="expression" dxfId="741" priority="30">
      <formula>B6=768</formula>
    </cfRule>
  </conditionalFormatting>
  <conditionalFormatting sqref="J9:J10">
    <cfRule type="expression" dxfId="740" priority="14">
      <formula>B9=767</formula>
    </cfRule>
    <cfRule type="expression" dxfId="739" priority="17">
      <formula>B9=768</formula>
    </cfRule>
  </conditionalFormatting>
  <conditionalFormatting sqref="J12:J1026">
    <cfRule type="expression" dxfId="738" priority="1">
      <formula>B12=767</formula>
    </cfRule>
    <cfRule type="expression" dxfId="737" priority="4">
      <formula>B12=768</formula>
    </cfRule>
  </conditionalFormatting>
  <pageMargins left="0.7" right="0.7" top="0.75" bottom="0.75" header="0.3" footer="0.3"/>
  <pageSetup fitToWidth="0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A9A7-A9F8-4B07-9BBE-0B9377979196}">
  <dimension ref="A1:BV29"/>
  <sheetViews>
    <sheetView zoomScale="55" zoomScaleNormal="55" workbookViewId="0">
      <pane ySplit="2" topLeftCell="A3" activePane="bottomLeft" state="frozen"/>
      <selection pane="bottomLeft" activeCell="AP20" sqref="AP20:AQ20"/>
    </sheetView>
  </sheetViews>
  <sheetFormatPr defaultColWidth="8.85546875" defaultRowHeight="14.45"/>
  <cols>
    <col min="1" max="1" width="7.28515625" style="5" customWidth="1"/>
    <col min="2" max="2" width="4.7109375" style="5" bestFit="1" customWidth="1"/>
    <col min="3" max="3" width="8.42578125" style="5" bestFit="1" customWidth="1"/>
    <col min="4" max="4" width="10.140625" style="5" bestFit="1" customWidth="1"/>
    <col min="5" max="5" width="4.7109375" style="5" bestFit="1" customWidth="1"/>
    <col min="6" max="6" width="8.140625" style="5" customWidth="1"/>
    <col min="7" max="7" width="4.7109375" style="5" bestFit="1" customWidth="1"/>
    <col min="8" max="8" width="4.7109375" style="5" customWidth="1"/>
    <col min="9" max="9" width="4.7109375" style="5" bestFit="1" customWidth="1"/>
    <col min="10" max="10" width="4.7109375" style="5" customWidth="1"/>
    <col min="11" max="19" width="4.7109375" style="5" bestFit="1" customWidth="1"/>
    <col min="20" max="20" width="4.7109375" style="5" customWidth="1"/>
    <col min="21" max="24" width="4.7109375" style="5" bestFit="1" customWidth="1"/>
    <col min="25" max="29" width="4.7109375" style="5" customWidth="1"/>
    <col min="30" max="30" width="4.7109375" style="5" bestFit="1" customWidth="1"/>
    <col min="31" max="31" width="21.42578125" style="5" customWidth="1"/>
    <col min="32" max="32" width="16" style="5" hidden="1" customWidth="1"/>
    <col min="33" max="33" width="14.28515625" style="5" hidden="1" customWidth="1"/>
    <col min="34" max="34" width="16" style="5" hidden="1" customWidth="1"/>
    <col min="35" max="35" width="13.5703125" style="5" hidden="1" customWidth="1"/>
    <col min="36" max="36" width="12.85546875" style="5" hidden="1" customWidth="1"/>
    <col min="37" max="37" width="9.42578125" style="5" hidden="1" customWidth="1"/>
    <col min="38" max="38" width="13.7109375" style="5" hidden="1" customWidth="1"/>
    <col min="39" max="39" width="9.140625" style="5" hidden="1" customWidth="1"/>
    <col min="40" max="40" width="10.42578125" style="5" hidden="1" customWidth="1"/>
    <col min="41" max="41" width="11.42578125" style="5" hidden="1" customWidth="1"/>
    <col min="42" max="42" width="21.28515625" style="180" customWidth="1"/>
    <col min="43" max="43" width="23.42578125" style="549" bestFit="1" customWidth="1"/>
    <col min="44" max="44" width="21.28515625" style="180" customWidth="1"/>
    <col min="45" max="45" width="23.42578125" style="549" bestFit="1" customWidth="1"/>
    <col min="46" max="46" width="21.42578125" style="192" bestFit="1" customWidth="1"/>
    <col min="47" max="47" width="19" style="193" bestFit="1" customWidth="1"/>
    <col min="48" max="48" width="21.42578125" style="192" bestFit="1" customWidth="1"/>
    <col min="49" max="49" width="19" style="268" bestFit="1" customWidth="1"/>
    <col min="50" max="50" width="21.42578125" style="271" customWidth="1"/>
    <col min="51" max="51" width="19" style="544" customWidth="1"/>
    <col min="52" max="52" width="21.42578125" style="361" customWidth="1"/>
    <col min="53" max="53" width="19" style="362" customWidth="1"/>
    <col min="54" max="54" width="21.28515625" style="226" bestFit="1" customWidth="1"/>
    <col min="55" max="55" width="15.42578125" style="248" customWidth="1"/>
    <col min="56" max="56" width="23.42578125" style="355" customWidth="1"/>
    <col min="57" max="57" width="19" style="355" bestFit="1" customWidth="1"/>
    <col min="58" max="58" width="9.140625" style="5"/>
    <col min="59" max="59" width="17.42578125" style="5" customWidth="1"/>
    <col min="60" max="60" width="21.28515625" style="226" hidden="1" customWidth="1"/>
    <col min="61" max="61" width="15.42578125" style="248" hidden="1" customWidth="1"/>
    <col min="62" max="62" width="21.42578125" style="192" hidden="1" customWidth="1"/>
    <col min="63" max="63" width="19" style="268" hidden="1" customWidth="1"/>
    <col min="64" max="64" width="21.42578125" style="192" hidden="1" customWidth="1"/>
    <col min="65" max="65" width="19" style="268" hidden="1" customWidth="1"/>
    <col min="66" max="66" width="21.42578125" style="271" hidden="1" customWidth="1"/>
    <col min="67" max="67" width="19" style="272" hidden="1" customWidth="1"/>
    <col min="68" max="68" width="21.42578125" style="361" hidden="1" customWidth="1"/>
    <col min="69" max="69" width="19" style="362" hidden="1" customWidth="1"/>
    <col min="70" max="70" width="23.42578125" style="355" hidden="1" customWidth="1"/>
    <col min="71" max="71" width="19" style="355" hidden="1" customWidth="1"/>
    <col min="72" max="72" width="10.85546875" style="5" bestFit="1" customWidth="1"/>
    <col min="73" max="73" width="14.7109375" style="5" customWidth="1"/>
    <col min="74" max="16384" width="8.85546875" style="5"/>
  </cols>
  <sheetData>
    <row r="1" spans="1:72" ht="18.600000000000001">
      <c r="A1" s="1034" t="s">
        <v>997</v>
      </c>
      <c r="B1" s="1034"/>
      <c r="C1" s="1034"/>
      <c r="E1" s="5" t="s">
        <v>611</v>
      </c>
      <c r="G1" s="5" t="s">
        <v>998</v>
      </c>
      <c r="I1" s="5" t="s">
        <v>999</v>
      </c>
      <c r="K1" s="5" t="s">
        <v>1000</v>
      </c>
      <c r="AD1" s="11"/>
      <c r="AP1" s="294"/>
      <c r="AQ1" s="297"/>
      <c r="AR1" s="294"/>
      <c r="AS1" s="297"/>
      <c r="AT1" s="294"/>
      <c r="AU1" s="297"/>
      <c r="AV1" s="294"/>
      <c r="AW1" s="294"/>
      <c r="AX1" s="294"/>
      <c r="AY1" s="297"/>
      <c r="AZ1" s="294"/>
      <c r="BA1" s="294"/>
      <c r="BB1" s="294"/>
      <c r="BC1" s="294"/>
      <c r="BD1" s="295"/>
      <c r="BE1" s="295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5"/>
      <c r="BS1" s="295"/>
    </row>
    <row r="2" spans="1:72" s="81" customFormat="1" ht="95.45" customHeight="1">
      <c r="A2" s="998" t="s">
        <v>612</v>
      </c>
      <c r="B2" s="998" t="s">
        <v>613</v>
      </c>
      <c r="C2" s="998" t="s">
        <v>614</v>
      </c>
      <c r="D2" s="999" t="s">
        <v>615</v>
      </c>
      <c r="E2" s="1000" t="s">
        <v>287</v>
      </c>
      <c r="F2" s="1000" t="s">
        <v>338</v>
      </c>
      <c r="G2" s="1000" t="s">
        <v>120</v>
      </c>
      <c r="H2" s="1000" t="s">
        <v>191</v>
      </c>
      <c r="I2" s="1000" t="s">
        <v>186</v>
      </c>
      <c r="J2" s="1000" t="s">
        <v>132</v>
      </c>
      <c r="K2" s="1000" t="s">
        <v>81</v>
      </c>
      <c r="L2" s="1000" t="s">
        <v>134</v>
      </c>
      <c r="M2" s="1000" t="s">
        <v>89</v>
      </c>
      <c r="N2" s="1000" t="s">
        <v>91</v>
      </c>
      <c r="O2" s="1000" t="s">
        <v>83</v>
      </c>
      <c r="P2" s="1000" t="s">
        <v>87</v>
      </c>
      <c r="Q2" s="1000" t="s">
        <v>124</v>
      </c>
      <c r="R2" s="1000" t="s">
        <v>140</v>
      </c>
      <c r="S2" s="1000" t="s">
        <v>142</v>
      </c>
      <c r="T2" s="1000" t="s">
        <v>617</v>
      </c>
      <c r="U2" s="1000" t="s">
        <v>521</v>
      </c>
      <c r="V2" s="1000" t="s">
        <v>99</v>
      </c>
      <c r="W2" s="1000" t="s">
        <v>200</v>
      </c>
      <c r="X2" s="1000" t="s">
        <v>146</v>
      </c>
      <c r="Y2" s="1000" t="s">
        <v>105</v>
      </c>
      <c r="Z2" s="1000" t="s">
        <v>152</v>
      </c>
      <c r="AA2" s="1000" t="s">
        <v>107</v>
      </c>
      <c r="AB2" s="1000" t="s">
        <v>111</v>
      </c>
      <c r="AC2" s="1002" t="s">
        <v>619</v>
      </c>
      <c r="AD2" s="85" t="s">
        <v>289</v>
      </c>
      <c r="AE2" s="88" t="s">
        <v>620</v>
      </c>
      <c r="AF2" s="82" t="s">
        <v>621</v>
      </c>
      <c r="AG2" s="82" t="s">
        <v>622</v>
      </c>
      <c r="AH2" s="95" t="s">
        <v>623</v>
      </c>
      <c r="AI2" s="95" t="s">
        <v>624</v>
      </c>
      <c r="AJ2" s="93" t="s">
        <v>625</v>
      </c>
      <c r="AK2" s="89" t="s">
        <v>626</v>
      </c>
      <c r="AL2" s="89" t="s">
        <v>627</v>
      </c>
      <c r="AM2" s="89" t="s">
        <v>628</v>
      </c>
      <c r="AN2" s="89" t="s">
        <v>629</v>
      </c>
      <c r="AO2" s="140" t="s">
        <v>630</v>
      </c>
      <c r="AP2" s="300" t="s">
        <v>631</v>
      </c>
      <c r="AQ2" s="546" t="s">
        <v>632</v>
      </c>
      <c r="AR2" s="300" t="s">
        <v>631</v>
      </c>
      <c r="AS2" s="546" t="s">
        <v>632</v>
      </c>
      <c r="AT2" s="364" t="s">
        <v>633</v>
      </c>
      <c r="AU2" s="553" t="s">
        <v>634</v>
      </c>
      <c r="AV2" s="364" t="s">
        <v>635</v>
      </c>
      <c r="AW2" s="365" t="s">
        <v>636</v>
      </c>
      <c r="AX2" s="366" t="s">
        <v>637</v>
      </c>
      <c r="AY2" s="550" t="s">
        <v>638</v>
      </c>
      <c r="AZ2" s="368" t="s">
        <v>639</v>
      </c>
      <c r="BA2" s="369" t="s">
        <v>640</v>
      </c>
      <c r="BB2" s="333" t="s">
        <v>641</v>
      </c>
      <c r="BC2" s="334" t="s">
        <v>642</v>
      </c>
      <c r="BD2" s="370" t="s">
        <v>643</v>
      </c>
      <c r="BE2" s="371" t="s">
        <v>644</v>
      </c>
      <c r="BH2" s="333" t="s">
        <v>641</v>
      </c>
      <c r="BI2" s="334" t="s">
        <v>642</v>
      </c>
      <c r="BJ2" s="364" t="s">
        <v>633</v>
      </c>
      <c r="BK2" s="365" t="s">
        <v>634</v>
      </c>
      <c r="BL2" s="364" t="s">
        <v>635</v>
      </c>
      <c r="BM2" s="365" t="s">
        <v>636</v>
      </c>
      <c r="BN2" s="366" t="s">
        <v>637</v>
      </c>
      <c r="BO2" s="367" t="s">
        <v>638</v>
      </c>
      <c r="BP2" s="368" t="s">
        <v>639</v>
      </c>
      <c r="BQ2" s="369" t="s">
        <v>640</v>
      </c>
      <c r="BR2" s="370" t="s">
        <v>645</v>
      </c>
      <c r="BS2" s="371" t="s">
        <v>646</v>
      </c>
    </row>
    <row r="3" spans="1:72" s="158" customFormat="1">
      <c r="A3" s="410">
        <v>1</v>
      </c>
      <c r="B3" s="410">
        <v>23</v>
      </c>
      <c r="C3" s="410" t="s">
        <v>648</v>
      </c>
      <c r="D3" s="410">
        <v>2</v>
      </c>
      <c r="E3" s="410"/>
      <c r="F3" s="410"/>
      <c r="G3" s="410"/>
      <c r="H3" s="410"/>
      <c r="I3" s="410"/>
      <c r="J3" s="410"/>
      <c r="K3" s="410"/>
      <c r="L3" s="410"/>
      <c r="M3" s="410"/>
      <c r="N3" s="410" t="s">
        <v>650</v>
      </c>
      <c r="O3" s="410"/>
      <c r="P3" s="410"/>
      <c r="Q3" s="410" t="s">
        <v>650</v>
      </c>
      <c r="R3" s="410"/>
      <c r="S3" s="410"/>
      <c r="T3" s="410" t="s">
        <v>650</v>
      </c>
      <c r="U3" s="410"/>
      <c r="V3" s="410"/>
      <c r="W3" s="410" t="s">
        <v>650</v>
      </c>
      <c r="X3" s="410" t="s">
        <v>650</v>
      </c>
      <c r="Y3" s="410" t="s">
        <v>650</v>
      </c>
      <c r="Z3" s="410"/>
      <c r="AA3" s="410"/>
      <c r="AB3" s="410" t="s">
        <v>650</v>
      </c>
      <c r="AC3" s="850" t="s">
        <v>650</v>
      </c>
      <c r="AD3" s="632"/>
      <c r="AE3" s="410" t="s">
        <v>1001</v>
      </c>
      <c r="AF3" s="410"/>
      <c r="AG3" s="410"/>
      <c r="AH3" s="410"/>
      <c r="AI3" s="410"/>
      <c r="AJ3" s="410"/>
      <c r="AK3" s="410"/>
      <c r="AL3" s="410"/>
      <c r="AM3" s="410"/>
      <c r="AN3" s="410"/>
      <c r="AO3" s="656"/>
      <c r="AP3" s="437">
        <v>1704182</v>
      </c>
      <c r="AQ3" s="438">
        <v>30328.84</v>
      </c>
      <c r="AR3" s="437"/>
      <c r="AS3" s="438"/>
      <c r="AT3" s="433">
        <v>1704109</v>
      </c>
      <c r="AU3" s="434">
        <v>2901.76</v>
      </c>
      <c r="AV3" s="433">
        <v>1974834</v>
      </c>
      <c r="AW3" s="633">
        <v>72.88</v>
      </c>
      <c r="AX3" s="435">
        <v>1752007</v>
      </c>
      <c r="AY3" s="436">
        <v>484.65</v>
      </c>
      <c r="AZ3" s="441">
        <v>1724332</v>
      </c>
      <c r="BA3" s="442">
        <v>150.66999999999999</v>
      </c>
      <c r="BB3" s="439">
        <v>1704182</v>
      </c>
      <c r="BC3" s="440">
        <v>12360.45</v>
      </c>
      <c r="BD3" s="443"/>
      <c r="BE3" s="444">
        <f>BC3+AW3+AU3+AS3+AQ3+BA3+AY3</f>
        <v>46299.25</v>
      </c>
      <c r="BH3" s="439"/>
      <c r="BI3" s="440"/>
      <c r="BJ3" s="433"/>
      <c r="BK3" s="434"/>
      <c r="BL3" s="433"/>
      <c r="BM3" s="434"/>
      <c r="BN3" s="435"/>
      <c r="BO3" s="436"/>
      <c r="BP3" s="441"/>
      <c r="BQ3" s="442"/>
      <c r="BR3" s="443"/>
      <c r="BS3" s="444"/>
    </row>
    <row r="4" spans="1:72" s="158" customFormat="1" ht="15">
      <c r="A4" s="409">
        <v>2</v>
      </c>
      <c r="B4" s="409">
        <v>22</v>
      </c>
      <c r="C4" s="409" t="s">
        <v>647</v>
      </c>
      <c r="D4" s="409">
        <v>3</v>
      </c>
      <c r="E4" s="409"/>
      <c r="F4" s="409"/>
      <c r="G4" s="409"/>
      <c r="H4" s="409"/>
      <c r="I4" s="409"/>
      <c r="J4" s="409"/>
      <c r="K4" s="409"/>
      <c r="L4" s="409"/>
      <c r="M4" s="409" t="s">
        <v>650</v>
      </c>
      <c r="N4" s="409"/>
      <c r="O4" s="409"/>
      <c r="P4" s="409"/>
      <c r="Q4" s="409" t="s">
        <v>650</v>
      </c>
      <c r="R4" s="409"/>
      <c r="S4" s="409"/>
      <c r="T4" s="769" t="s">
        <v>650</v>
      </c>
      <c r="U4" s="409"/>
      <c r="V4" s="409" t="s">
        <v>650</v>
      </c>
      <c r="W4" s="409"/>
      <c r="X4" s="409"/>
      <c r="Y4" s="409"/>
      <c r="Z4" s="409"/>
      <c r="AA4" s="409"/>
      <c r="AB4" s="409" t="s">
        <v>650</v>
      </c>
      <c r="AC4" s="769" t="s">
        <v>650</v>
      </c>
      <c r="AD4" s="632"/>
      <c r="AE4" s="409" t="s">
        <v>1002</v>
      </c>
      <c r="AF4" s="409"/>
      <c r="AG4" s="409"/>
      <c r="AH4" s="409"/>
      <c r="AI4" s="409"/>
      <c r="AJ4" s="409"/>
      <c r="AK4" s="409"/>
      <c r="AL4" s="409"/>
      <c r="AM4" s="409"/>
      <c r="AN4" s="409"/>
      <c r="AO4" s="557"/>
      <c r="AP4" s="840">
        <v>1926508</v>
      </c>
      <c r="AQ4" s="841">
        <v>27436.97</v>
      </c>
      <c r="AR4" s="840">
        <v>1923662</v>
      </c>
      <c r="AS4" s="841">
        <v>485.55</v>
      </c>
      <c r="AT4" s="842">
        <v>1923670</v>
      </c>
      <c r="AU4" s="843">
        <v>1913.55</v>
      </c>
      <c r="AV4" s="433"/>
      <c r="AW4" s="633"/>
      <c r="AX4" s="435"/>
      <c r="AY4" s="436"/>
      <c r="AZ4" s="441"/>
      <c r="BA4" s="442"/>
      <c r="BB4" s="439">
        <v>1926508</v>
      </c>
      <c r="BC4" s="440">
        <v>10741.97</v>
      </c>
      <c r="BD4" s="443"/>
      <c r="BE4" s="444">
        <f>BC4+AW4+AU4+AS4+AQ4</f>
        <v>40578.04</v>
      </c>
      <c r="BH4" s="439"/>
      <c r="BI4" s="440"/>
      <c r="BJ4" s="433"/>
      <c r="BK4" s="434"/>
      <c r="BL4" s="433"/>
      <c r="BM4" s="434"/>
      <c r="BN4" s="435"/>
      <c r="BO4" s="436"/>
      <c r="BP4" s="441"/>
      <c r="BQ4" s="442"/>
      <c r="BR4" s="443"/>
      <c r="BS4" s="444"/>
    </row>
    <row r="5" spans="1:72" ht="14.25" customHeight="1">
      <c r="A5" s="9">
        <v>3</v>
      </c>
      <c r="B5" s="9">
        <v>21</v>
      </c>
      <c r="C5" s="9" t="s">
        <v>649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3"/>
      <c r="AE5" s="9"/>
      <c r="AF5" s="9"/>
      <c r="AG5" s="50"/>
      <c r="AH5" s="50"/>
      <c r="AI5" s="50"/>
      <c r="AJ5" s="50"/>
      <c r="AK5" s="50"/>
      <c r="AL5" s="9"/>
      <c r="AM5" s="9"/>
      <c r="AN5" s="9"/>
      <c r="AO5" s="141"/>
      <c r="AP5" s="234"/>
      <c r="AQ5" s="174"/>
      <c r="AR5" s="234"/>
      <c r="AS5" s="174"/>
      <c r="AT5" s="187"/>
      <c r="AU5" s="188"/>
      <c r="AV5" s="187"/>
      <c r="AW5" s="188"/>
      <c r="AX5" s="269"/>
      <c r="AY5" s="301"/>
      <c r="AZ5" s="358"/>
      <c r="BA5" s="360"/>
      <c r="BB5" s="219"/>
      <c r="BC5" s="225"/>
      <c r="BD5" s="363"/>
      <c r="BE5" s="444">
        <f t="shared" ref="BE5:BE25" si="0">BC5+AW5+AU5+AS5+AQ5</f>
        <v>0</v>
      </c>
      <c r="BH5" s="219"/>
      <c r="BI5" s="225"/>
      <c r="BJ5" s="187"/>
      <c r="BK5" s="188"/>
      <c r="BL5" s="187"/>
      <c r="BM5" s="188"/>
      <c r="BN5" s="269"/>
      <c r="BO5" s="301"/>
      <c r="BP5" s="358"/>
      <c r="BQ5" s="360"/>
      <c r="BR5" s="363"/>
      <c r="BS5" s="356"/>
    </row>
    <row r="6" spans="1:72">
      <c r="A6" s="7">
        <v>4</v>
      </c>
      <c r="B6" s="7">
        <v>22</v>
      </c>
      <c r="C6" s="7" t="s">
        <v>649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987" t="s">
        <v>1003</v>
      </c>
      <c r="AD6" s="13"/>
      <c r="AE6" s="7"/>
      <c r="AF6" s="7"/>
      <c r="AG6" s="7"/>
      <c r="AH6" s="7"/>
      <c r="AI6" s="7"/>
      <c r="AJ6" s="7"/>
      <c r="AK6" s="7"/>
      <c r="AL6" s="7"/>
      <c r="AM6" s="7"/>
      <c r="AN6" s="7"/>
      <c r="AO6" s="103"/>
      <c r="AP6" s="234"/>
      <c r="AQ6" s="174"/>
      <c r="AR6" s="234"/>
      <c r="AS6" s="174"/>
      <c r="AT6" s="187"/>
      <c r="AU6" s="188"/>
      <c r="AV6" s="187"/>
      <c r="AW6" s="267"/>
      <c r="AX6" s="269"/>
      <c r="AY6" s="301"/>
      <c r="AZ6" s="358"/>
      <c r="BA6" s="360"/>
      <c r="BB6" s="219"/>
      <c r="BC6" s="247"/>
      <c r="BD6" s="363"/>
      <c r="BE6" s="444">
        <f t="shared" si="0"/>
        <v>0</v>
      </c>
      <c r="BH6" s="219"/>
      <c r="BI6" s="302"/>
      <c r="BJ6" s="187"/>
      <c r="BK6" s="267"/>
      <c r="BL6" s="187"/>
      <c r="BM6" s="267"/>
      <c r="BN6" s="269"/>
      <c r="BO6" s="526"/>
      <c r="BP6" s="358"/>
      <c r="BQ6" s="360"/>
      <c r="BR6" s="363"/>
      <c r="BS6" s="356"/>
    </row>
    <row r="7" spans="1:72">
      <c r="A7" s="9">
        <v>5</v>
      </c>
      <c r="B7" s="9">
        <v>21</v>
      </c>
      <c r="C7" s="9" t="s">
        <v>648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3"/>
      <c r="AE7" s="9"/>
      <c r="AF7" s="9"/>
      <c r="AG7" s="9"/>
      <c r="AH7" s="9"/>
      <c r="AI7" s="9"/>
      <c r="AJ7" s="9"/>
      <c r="AK7" s="9"/>
      <c r="AL7" s="9"/>
      <c r="AM7" s="9"/>
      <c r="AN7" s="9"/>
      <c r="AO7" s="141"/>
      <c r="AP7" s="234"/>
      <c r="AQ7" s="547"/>
      <c r="AR7" s="234"/>
      <c r="AS7" s="547"/>
      <c r="AT7" s="187"/>
      <c r="AU7" s="188"/>
      <c r="AV7" s="187"/>
      <c r="AW7" s="265"/>
      <c r="AX7" s="269"/>
      <c r="AY7" s="301"/>
      <c r="AZ7" s="358"/>
      <c r="BA7" s="535"/>
      <c r="BB7" s="219"/>
      <c r="BC7" s="247"/>
      <c r="BD7" s="363"/>
      <c r="BE7" s="444">
        <f t="shared" si="0"/>
        <v>0</v>
      </c>
      <c r="BH7" s="219"/>
      <c r="BI7" s="223"/>
      <c r="BJ7" s="187"/>
      <c r="BK7" s="267"/>
      <c r="BL7" s="187"/>
      <c r="BM7" s="267"/>
      <c r="BN7" s="269"/>
      <c r="BO7" s="526"/>
      <c r="BP7" s="358"/>
      <c r="BQ7" s="535"/>
      <c r="BR7" s="363"/>
      <c r="BS7" s="356"/>
    </row>
    <row r="8" spans="1:72">
      <c r="A8" s="7">
        <v>6</v>
      </c>
      <c r="B8" s="7">
        <v>22</v>
      </c>
      <c r="C8" s="7" t="s">
        <v>648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3"/>
      <c r="AE8" s="7"/>
      <c r="AF8" s="7"/>
      <c r="AG8" s="7"/>
      <c r="AH8" s="7"/>
      <c r="AI8" s="7"/>
      <c r="AJ8" s="7"/>
      <c r="AK8" s="7"/>
      <c r="AL8" s="7"/>
      <c r="AM8" s="7"/>
      <c r="AN8" s="7"/>
      <c r="AO8" s="103"/>
      <c r="AP8" s="234"/>
      <c r="AQ8" s="548"/>
      <c r="AR8" s="234"/>
      <c r="AS8" s="548"/>
      <c r="AT8" s="187"/>
      <c r="AU8" s="188"/>
      <c r="AV8" s="187"/>
      <c r="AW8" s="265"/>
      <c r="AX8" s="269"/>
      <c r="AY8" s="301"/>
      <c r="AZ8" s="358"/>
      <c r="BA8" s="535"/>
      <c r="BB8" s="219"/>
      <c r="BC8" s="247"/>
      <c r="BD8" s="363"/>
      <c r="BE8" s="444">
        <f t="shared" si="0"/>
        <v>0</v>
      </c>
      <c r="BH8" s="219"/>
      <c r="BI8" s="302"/>
      <c r="BJ8" s="187"/>
      <c r="BK8" s="265"/>
      <c r="BL8" s="187"/>
      <c r="BM8" s="265"/>
      <c r="BN8" s="269"/>
      <c r="BO8" s="526"/>
      <c r="BP8" s="358"/>
      <c r="BQ8" s="535"/>
      <c r="BR8" s="363"/>
      <c r="BS8" s="356"/>
    </row>
    <row r="9" spans="1:72">
      <c r="A9" s="9">
        <v>7</v>
      </c>
      <c r="B9" s="9">
        <v>21</v>
      </c>
      <c r="C9" s="9" t="s">
        <v>647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3"/>
      <c r="AE9" s="9"/>
      <c r="AF9" s="9"/>
      <c r="AG9" s="9"/>
      <c r="AH9" s="9"/>
      <c r="AI9" s="9"/>
      <c r="AJ9" s="9"/>
      <c r="AK9" s="9"/>
      <c r="AL9" s="9"/>
      <c r="AM9" s="9"/>
      <c r="AN9" s="9"/>
      <c r="AO9" s="141"/>
      <c r="AP9" s="234"/>
      <c r="AQ9" s="174"/>
      <c r="AR9" s="234"/>
      <c r="AS9" s="174"/>
      <c r="AT9" s="187"/>
      <c r="AU9" s="188"/>
      <c r="AV9" s="187"/>
      <c r="AW9" s="188"/>
      <c r="AX9" s="269"/>
      <c r="AY9" s="301"/>
      <c r="AZ9" s="358"/>
      <c r="BA9" s="360"/>
      <c r="BB9" s="219"/>
      <c r="BC9" s="225"/>
      <c r="BD9" s="363"/>
      <c r="BE9" s="444">
        <f t="shared" si="0"/>
        <v>0</v>
      </c>
      <c r="BH9" s="219"/>
      <c r="BI9" s="225"/>
      <c r="BJ9" s="187"/>
      <c r="BK9" s="265"/>
      <c r="BL9" s="187"/>
      <c r="BM9" s="265"/>
      <c r="BN9" s="269"/>
      <c r="BO9" s="301"/>
      <c r="BP9" s="358"/>
      <c r="BQ9" s="360"/>
      <c r="BR9" s="363"/>
      <c r="BS9" s="356"/>
    </row>
    <row r="10" spans="1:72" ht="15" customHeight="1">
      <c r="A10" s="7">
        <v>8</v>
      </c>
      <c r="B10" s="7">
        <v>21</v>
      </c>
      <c r="C10" s="7" t="s">
        <v>649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3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103"/>
      <c r="AP10" s="234"/>
      <c r="AQ10" s="174"/>
      <c r="AR10" s="234"/>
      <c r="AS10" s="174"/>
      <c r="AT10" s="187"/>
      <c r="AU10" s="188"/>
      <c r="AV10" s="187"/>
      <c r="AW10" s="188"/>
      <c r="AX10" s="269"/>
      <c r="AY10" s="301"/>
      <c r="AZ10" s="358"/>
      <c r="BA10" s="360"/>
      <c r="BB10" s="219"/>
      <c r="BC10" s="225"/>
      <c r="BD10" s="363"/>
      <c r="BE10" s="444">
        <f t="shared" si="0"/>
        <v>0</v>
      </c>
      <c r="BH10" s="219"/>
      <c r="BI10" s="225"/>
      <c r="BJ10" s="187"/>
      <c r="BK10" s="188"/>
      <c r="BL10" s="187"/>
      <c r="BM10" s="188"/>
      <c r="BN10" s="269"/>
      <c r="BO10" s="301"/>
      <c r="BP10" s="358"/>
      <c r="BQ10" s="360"/>
      <c r="BR10" s="363"/>
      <c r="BS10" s="356"/>
      <c r="BT10" s="504"/>
    </row>
    <row r="11" spans="1:72">
      <c r="A11" s="9">
        <v>9</v>
      </c>
      <c r="B11" s="9">
        <v>22</v>
      </c>
      <c r="C11" s="9" t="s">
        <v>648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3"/>
      <c r="AE11" s="9"/>
      <c r="AF11" s="410"/>
      <c r="AG11" s="410"/>
      <c r="AH11" s="410"/>
      <c r="AI11" s="410"/>
      <c r="AJ11" s="410"/>
      <c r="AK11" s="410"/>
      <c r="AL11" s="410"/>
      <c r="AM11" s="410"/>
      <c r="AN11" s="410"/>
      <c r="AO11" s="656"/>
      <c r="AP11" s="854"/>
      <c r="AQ11" s="945"/>
      <c r="AR11" s="854"/>
      <c r="AS11" s="945"/>
      <c r="AT11" s="857"/>
      <c r="AU11" s="860"/>
      <c r="AV11" s="187"/>
      <c r="AW11" s="265"/>
      <c r="AX11" s="269"/>
      <c r="AY11" s="301"/>
      <c r="AZ11" s="358"/>
      <c r="BA11" s="359"/>
      <c r="BB11" s="219"/>
      <c r="BC11" s="302"/>
      <c r="BD11" s="363"/>
      <c r="BE11" s="444">
        <f t="shared" si="0"/>
        <v>0</v>
      </c>
      <c r="BH11" s="219"/>
      <c r="BI11" s="225"/>
      <c r="BJ11" s="187"/>
      <c r="BK11" s="265"/>
      <c r="BL11" s="187"/>
      <c r="BM11" s="265"/>
      <c r="BN11" s="269"/>
      <c r="BO11" s="270"/>
      <c r="BP11" s="358"/>
      <c r="BQ11" s="359"/>
      <c r="BR11" s="363"/>
      <c r="BS11" s="356"/>
    </row>
    <row r="12" spans="1:72">
      <c r="A12" s="7">
        <v>10</v>
      </c>
      <c r="B12" s="7">
        <v>21</v>
      </c>
      <c r="C12" s="7" t="s">
        <v>649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3"/>
      <c r="AE12" s="7"/>
      <c r="AF12" s="409"/>
      <c r="AG12" s="409"/>
      <c r="AH12" s="409"/>
      <c r="AI12" s="409"/>
      <c r="AJ12" s="409"/>
      <c r="AK12" s="409"/>
      <c r="AL12" s="409"/>
      <c r="AM12" s="409"/>
      <c r="AN12" s="409"/>
      <c r="AO12" s="557"/>
      <c r="AP12" s="234"/>
      <c r="AQ12" s="174"/>
      <c r="AR12" s="234"/>
      <c r="AS12" s="174"/>
      <c r="AT12" s="857"/>
      <c r="AU12" s="860"/>
      <c r="AV12" s="187"/>
      <c r="AW12" s="265"/>
      <c r="AX12" s="269"/>
      <c r="AY12" s="301"/>
      <c r="AZ12" s="358"/>
      <c r="BA12" s="359"/>
      <c r="BB12" s="853"/>
      <c r="BC12" s="946"/>
      <c r="BD12" s="363"/>
      <c r="BE12" s="444">
        <f t="shared" si="0"/>
        <v>0</v>
      </c>
      <c r="BH12" s="219"/>
      <c r="BI12" s="225"/>
      <c r="BJ12" s="187"/>
      <c r="BK12" s="265"/>
      <c r="BL12" s="187"/>
      <c r="BM12" s="265"/>
      <c r="BN12" s="269"/>
      <c r="BO12" s="270"/>
      <c r="BP12" s="358"/>
      <c r="BQ12" s="359"/>
      <c r="BR12" s="363"/>
      <c r="BS12" s="356"/>
    </row>
    <row r="13" spans="1:72">
      <c r="A13" s="9">
        <v>11</v>
      </c>
      <c r="B13" s="9">
        <v>22</v>
      </c>
      <c r="C13" s="9" t="s">
        <v>648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3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41"/>
      <c r="AP13" s="234"/>
      <c r="AQ13" s="174"/>
      <c r="AR13" s="234"/>
      <c r="AS13" s="174"/>
      <c r="AT13" s="857"/>
      <c r="AU13" s="860"/>
      <c r="AV13" s="187"/>
      <c r="AW13" s="265"/>
      <c r="AX13" s="269"/>
      <c r="AY13" s="301"/>
      <c r="AZ13" s="358"/>
      <c r="BA13" s="359"/>
      <c r="BB13" s="853"/>
      <c r="BC13" s="946"/>
      <c r="BD13" s="363"/>
      <c r="BE13" s="444">
        <f t="shared" si="0"/>
        <v>0</v>
      </c>
      <c r="BH13" s="219"/>
      <c r="BI13" s="225"/>
      <c r="BJ13" s="187"/>
      <c r="BK13" s="265"/>
      <c r="BL13" s="187"/>
      <c r="BM13" s="265"/>
      <c r="BN13" s="269"/>
      <c r="BO13" s="270"/>
      <c r="BP13" s="358"/>
      <c r="BQ13" s="359"/>
      <c r="BR13" s="363"/>
      <c r="BS13" s="356"/>
    </row>
    <row r="14" spans="1:72">
      <c r="A14" s="7">
        <v>12</v>
      </c>
      <c r="B14" s="7">
        <v>21</v>
      </c>
      <c r="C14" s="7" t="s">
        <v>647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3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103"/>
      <c r="AP14" s="234"/>
      <c r="AQ14" s="174"/>
      <c r="AR14" s="234"/>
      <c r="AS14" s="174"/>
      <c r="AT14" s="857"/>
      <c r="AU14" s="860"/>
      <c r="AV14" s="187"/>
      <c r="AW14" s="265"/>
      <c r="AX14" s="269"/>
      <c r="AY14" s="301"/>
      <c r="AZ14" s="358"/>
      <c r="BA14" s="359"/>
      <c r="BB14" s="853"/>
      <c r="BC14" s="946"/>
      <c r="BD14" s="363"/>
      <c r="BE14" s="444">
        <f t="shared" si="0"/>
        <v>0</v>
      </c>
      <c r="BH14" s="219"/>
      <c r="BI14" s="225"/>
      <c r="BJ14" s="187"/>
      <c r="BK14" s="265"/>
      <c r="BL14" s="187"/>
      <c r="BM14" s="265"/>
      <c r="BN14" s="269"/>
      <c r="BO14" s="270"/>
      <c r="BP14" s="358"/>
      <c r="BQ14" s="359"/>
      <c r="BR14" s="363"/>
      <c r="BS14" s="356"/>
    </row>
    <row r="15" spans="1:72">
      <c r="A15" s="9">
        <v>13</v>
      </c>
      <c r="B15" s="9">
        <v>22</v>
      </c>
      <c r="C15" s="9" t="s">
        <v>649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3"/>
      <c r="AE15" s="9"/>
      <c r="AF15" s="410"/>
      <c r="AG15" s="410"/>
      <c r="AH15" s="410"/>
      <c r="AI15" s="410"/>
      <c r="AJ15" s="410"/>
      <c r="AK15" s="410"/>
      <c r="AL15" s="410"/>
      <c r="AM15" s="410"/>
      <c r="AN15" s="410"/>
      <c r="AO15" s="656"/>
      <c r="AP15" s="233"/>
      <c r="AQ15" s="178"/>
      <c r="AR15" s="233"/>
      <c r="AS15" s="178"/>
      <c r="AT15" s="857"/>
      <c r="AU15" s="860"/>
      <c r="AV15" s="187"/>
      <c r="AW15" s="265"/>
      <c r="AX15" s="269"/>
      <c r="AY15" s="301"/>
      <c r="AZ15" s="358"/>
      <c r="BA15" s="359"/>
      <c r="BB15" s="853"/>
      <c r="BC15" s="946"/>
      <c r="BD15" s="363"/>
      <c r="BE15" s="444">
        <f t="shared" si="0"/>
        <v>0</v>
      </c>
      <c r="BH15" s="219"/>
      <c r="BI15" s="247"/>
      <c r="BJ15" s="187"/>
      <c r="BK15" s="265"/>
      <c r="BL15" s="187"/>
      <c r="BM15" s="265"/>
      <c r="BN15" s="269"/>
      <c r="BO15" s="270"/>
      <c r="BP15" s="358"/>
      <c r="BQ15" s="359"/>
      <c r="BR15" s="363"/>
      <c r="BS15" s="356"/>
    </row>
    <row r="16" spans="1:72">
      <c r="A16" s="7">
        <v>14</v>
      </c>
      <c r="B16" s="7">
        <v>21</v>
      </c>
      <c r="C16" s="7" t="s">
        <v>649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3"/>
      <c r="AE16" s="7"/>
      <c r="AF16" s="409"/>
      <c r="AG16" s="409"/>
      <c r="AH16" s="409"/>
      <c r="AI16" s="409"/>
      <c r="AJ16" s="409"/>
      <c r="AK16" s="409"/>
      <c r="AL16" s="409"/>
      <c r="AM16" s="409"/>
      <c r="AN16" s="409"/>
      <c r="AO16" s="557"/>
      <c r="AP16" s="854"/>
      <c r="AQ16" s="945"/>
      <c r="AR16" s="854"/>
      <c r="AS16" s="945"/>
      <c r="AT16" s="857"/>
      <c r="AU16" s="860"/>
      <c r="AV16" s="187"/>
      <c r="AW16" s="265"/>
      <c r="AX16" s="269"/>
      <c r="AY16" s="301"/>
      <c r="AZ16" s="358"/>
      <c r="BA16" s="359"/>
      <c r="BB16" s="322"/>
      <c r="BC16" s="947"/>
      <c r="BD16" s="363"/>
      <c r="BE16" s="444">
        <f t="shared" si="0"/>
        <v>0</v>
      </c>
      <c r="BH16" s="948"/>
      <c r="BI16" s="949"/>
      <c r="BJ16" s="614"/>
      <c r="BK16" s="950"/>
      <c r="BL16" s="614"/>
      <c r="BM16" s="950"/>
      <c r="BN16" s="951"/>
      <c r="BO16" s="952"/>
      <c r="BP16" s="358"/>
      <c r="BQ16" s="359"/>
      <c r="BR16" s="363"/>
      <c r="BS16" s="356"/>
    </row>
    <row r="17" spans="1:74">
      <c r="A17" s="9">
        <v>15</v>
      </c>
      <c r="B17" s="9">
        <v>21</v>
      </c>
      <c r="C17" s="9" t="s">
        <v>648</v>
      </c>
      <c r="D17" s="5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3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41"/>
      <c r="AP17" s="234"/>
      <c r="AQ17" s="174"/>
      <c r="AR17" s="234"/>
      <c r="AS17" s="174"/>
      <c r="AT17" s="187"/>
      <c r="AU17" s="188"/>
      <c r="AV17" s="187"/>
      <c r="AW17" s="265"/>
      <c r="AX17" s="269"/>
      <c r="AY17" s="301"/>
      <c r="AZ17" s="358"/>
      <c r="BA17" s="360"/>
      <c r="BB17" s="219"/>
      <c r="BC17" s="225"/>
      <c r="BD17" s="363"/>
      <c r="BE17" s="444">
        <f t="shared" si="0"/>
        <v>0</v>
      </c>
      <c r="BH17" s="608"/>
      <c r="BI17" s="608"/>
      <c r="BJ17" s="609"/>
      <c r="BK17" s="609"/>
      <c r="BL17" s="609"/>
      <c r="BM17" s="609"/>
      <c r="BN17" s="953"/>
      <c r="BO17" s="954"/>
      <c r="BP17" s="613"/>
      <c r="BQ17" s="360"/>
    </row>
    <row r="18" spans="1:74">
      <c r="A18" s="7">
        <v>16</v>
      </c>
      <c r="B18" s="7">
        <v>21</v>
      </c>
      <c r="C18" s="7" t="s">
        <v>647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3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103"/>
      <c r="AP18" s="234"/>
      <c r="AQ18" s="174"/>
      <c r="AR18" s="234"/>
      <c r="AS18" s="174"/>
      <c r="AT18" s="187"/>
      <c r="AU18" s="188"/>
      <c r="AV18" s="187"/>
      <c r="AW18" s="188"/>
      <c r="AX18" s="269"/>
      <c r="AY18" s="301"/>
      <c r="AZ18" s="358"/>
      <c r="BA18" s="360"/>
      <c r="BB18" s="219"/>
      <c r="BC18" s="225"/>
      <c r="BD18" s="363"/>
      <c r="BE18" s="444">
        <f t="shared" si="0"/>
        <v>0</v>
      </c>
      <c r="BH18" s="696"/>
      <c r="BI18" s="696"/>
      <c r="BJ18" s="697"/>
      <c r="BK18" s="697"/>
      <c r="BL18" s="697"/>
      <c r="BM18" s="697"/>
      <c r="BN18" s="955"/>
      <c r="BO18" s="956"/>
      <c r="BP18" s="957"/>
      <c r="BQ18" s="958"/>
    </row>
    <row r="19" spans="1:74">
      <c r="A19" s="9">
        <v>17</v>
      </c>
      <c r="B19" s="50">
        <v>22</v>
      </c>
      <c r="C19" s="50" t="s">
        <v>649</v>
      </c>
      <c r="D19" s="5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3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41"/>
      <c r="AP19" s="234"/>
      <c r="AQ19" s="174"/>
      <c r="AR19" s="234"/>
      <c r="AS19" s="174"/>
      <c r="AT19" s="187"/>
      <c r="AU19" s="598"/>
      <c r="AV19" s="187"/>
      <c r="AW19" s="265"/>
      <c r="AX19" s="710"/>
      <c r="AY19" s="713"/>
      <c r="AZ19" s="358"/>
      <c r="BA19" s="535"/>
      <c r="BB19" s="219"/>
      <c r="BC19" s="247"/>
      <c r="BD19" s="363"/>
      <c r="BE19" s="444">
        <f t="shared" si="0"/>
        <v>0</v>
      </c>
      <c r="BH19" s="718"/>
      <c r="BI19" s="760"/>
      <c r="BJ19" s="724"/>
      <c r="BK19" s="735"/>
      <c r="BL19" s="724"/>
      <c r="BM19" s="735"/>
      <c r="BN19" s="741"/>
      <c r="BO19" s="754"/>
      <c r="BP19" s="745"/>
      <c r="BQ19" s="746"/>
      <c r="BR19" s="694"/>
      <c r="BS19" s="690"/>
    </row>
    <row r="20" spans="1:74" s="158" customFormat="1" ht="15">
      <c r="A20" s="409">
        <v>22</v>
      </c>
      <c r="B20" s="409">
        <v>21</v>
      </c>
      <c r="C20" s="409" t="s">
        <v>648</v>
      </c>
      <c r="D20" s="409">
        <v>2</v>
      </c>
      <c r="E20" s="409"/>
      <c r="F20" s="409" t="s">
        <v>650</v>
      </c>
      <c r="G20" s="409" t="s">
        <v>650</v>
      </c>
      <c r="H20" s="409"/>
      <c r="I20" s="409"/>
      <c r="J20" s="409"/>
      <c r="K20" s="409"/>
      <c r="L20" s="409"/>
      <c r="M20" s="409" t="s">
        <v>289</v>
      </c>
      <c r="N20" s="409"/>
      <c r="O20" s="409"/>
      <c r="P20" s="409"/>
      <c r="Q20" s="409"/>
      <c r="R20" s="409"/>
      <c r="S20" s="409" t="s">
        <v>650</v>
      </c>
      <c r="T20" s="409" t="s">
        <v>650</v>
      </c>
      <c r="U20" s="409"/>
      <c r="V20" s="409"/>
      <c r="W20" s="409"/>
      <c r="X20" s="409"/>
      <c r="Y20" s="409" t="s">
        <v>650</v>
      </c>
      <c r="Z20" s="409"/>
      <c r="AA20" s="409"/>
      <c r="AB20" s="409" t="s">
        <v>650</v>
      </c>
      <c r="AC20" s="409" t="s">
        <v>650</v>
      </c>
      <c r="AD20" s="632"/>
      <c r="AE20" s="409" t="s">
        <v>1004</v>
      </c>
      <c r="AF20" s="409"/>
      <c r="AG20" s="409"/>
      <c r="AH20" s="409"/>
      <c r="AI20" s="409"/>
      <c r="AJ20" s="409"/>
      <c r="AK20" s="409"/>
      <c r="AL20" s="409"/>
      <c r="AM20" s="409"/>
      <c r="AN20" s="409"/>
      <c r="AO20" s="557"/>
      <c r="AP20" s="840">
        <v>1931418</v>
      </c>
      <c r="AQ20" s="841">
        <v>23503.49</v>
      </c>
      <c r="AR20" s="437"/>
      <c r="AS20" s="438"/>
      <c r="AT20" s="842">
        <v>1931306</v>
      </c>
      <c r="AU20" s="843">
        <v>1733.84</v>
      </c>
      <c r="AV20" s="842">
        <v>1931298</v>
      </c>
      <c r="AW20" s="843">
        <v>485.55</v>
      </c>
      <c r="AX20" s="435"/>
      <c r="AY20" s="436"/>
      <c r="AZ20" s="441"/>
      <c r="BA20" s="442"/>
      <c r="BB20" s="439">
        <v>1931418</v>
      </c>
      <c r="BC20" s="440">
        <v>10730.9</v>
      </c>
      <c r="BD20" s="443"/>
      <c r="BE20" s="444">
        <f>BC20+AW20+AU20+AS20+AQ20</f>
        <v>36453.78</v>
      </c>
      <c r="BH20" s="882"/>
      <c r="BI20" s="1010"/>
      <c r="BJ20" s="505"/>
      <c r="BK20" s="1011"/>
      <c r="BL20" s="505"/>
      <c r="BM20" s="1011"/>
      <c r="BN20" s="1012"/>
      <c r="BO20" s="1013"/>
      <c r="BP20" s="1014"/>
      <c r="BQ20" s="1015"/>
      <c r="BR20" s="792"/>
      <c r="BS20" s="792"/>
    </row>
    <row r="21" spans="1:74" s="158" customFormat="1" ht="15">
      <c r="A21" s="527">
        <v>23</v>
      </c>
      <c r="B21" s="527">
        <v>23</v>
      </c>
      <c r="C21" s="527" t="s">
        <v>648</v>
      </c>
      <c r="D21" s="527">
        <v>2</v>
      </c>
      <c r="E21" s="527"/>
      <c r="F21" s="527"/>
      <c r="G21" s="527"/>
      <c r="H21" s="527"/>
      <c r="I21" s="527"/>
      <c r="J21" s="527"/>
      <c r="K21" s="527"/>
      <c r="L21" s="527"/>
      <c r="M21" s="527" t="s">
        <v>650</v>
      </c>
      <c r="N21" s="527"/>
      <c r="O21" s="527"/>
      <c r="P21" s="527"/>
      <c r="Q21" s="527" t="s">
        <v>650</v>
      </c>
      <c r="R21" s="527"/>
      <c r="S21" s="527"/>
      <c r="T21" s="527" t="s">
        <v>650</v>
      </c>
      <c r="U21" s="1016" t="s">
        <v>650</v>
      </c>
      <c r="V21" s="527"/>
      <c r="W21" s="527"/>
      <c r="X21" s="527" t="s">
        <v>650</v>
      </c>
      <c r="Y21" s="527" t="s">
        <v>650</v>
      </c>
      <c r="Z21" s="527"/>
      <c r="AA21" s="527"/>
      <c r="AB21" s="527" t="s">
        <v>650</v>
      </c>
      <c r="AC21" s="805" t="s">
        <v>650</v>
      </c>
      <c r="AD21" s="527"/>
      <c r="AE21" s="527" t="s">
        <v>1005</v>
      </c>
      <c r="AF21" s="1017"/>
      <c r="AG21" s="1017"/>
      <c r="AH21" s="1017"/>
      <c r="AI21" s="1017"/>
      <c r="AJ21" s="1017"/>
      <c r="AK21" s="1017"/>
      <c r="AL21" s="1017"/>
      <c r="AM21" s="1017"/>
      <c r="AN21" s="1017"/>
      <c r="AO21" s="1018"/>
      <c r="AP21" s="840">
        <v>1719831</v>
      </c>
      <c r="AQ21" s="841">
        <v>30328.84</v>
      </c>
      <c r="AR21" s="840">
        <v>1792341</v>
      </c>
      <c r="AS21" s="841">
        <v>484.65</v>
      </c>
      <c r="AT21" s="842">
        <v>1719721</v>
      </c>
      <c r="AU21" s="843">
        <v>2082.7800000000002</v>
      </c>
      <c r="AV21" s="433"/>
      <c r="AW21" s="434"/>
      <c r="AX21" s="435"/>
      <c r="AY21" s="436"/>
      <c r="AZ21" s="441"/>
      <c r="BA21" s="442"/>
      <c r="BB21" s="439">
        <v>1926604</v>
      </c>
      <c r="BC21" s="440">
        <v>12383.43</v>
      </c>
      <c r="BD21" s="443"/>
      <c r="BE21" s="444">
        <f t="shared" si="0"/>
        <v>45279.7</v>
      </c>
      <c r="BH21" s="882"/>
      <c r="BI21" s="1010"/>
      <c r="BJ21" s="505"/>
      <c r="BK21" s="1011"/>
      <c r="BL21" s="505"/>
      <c r="BM21" s="1011"/>
      <c r="BN21" s="1012"/>
      <c r="BO21" s="1013"/>
      <c r="BP21" s="1014"/>
      <c r="BQ21" s="1015"/>
      <c r="BR21" s="792"/>
      <c r="BS21" s="792"/>
    </row>
    <row r="22" spans="1:74">
      <c r="A22" s="7">
        <v>24</v>
      </c>
      <c r="B22" s="7">
        <v>23</v>
      </c>
      <c r="C22" s="7" t="s">
        <v>648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3"/>
      <c r="AE22" s="7"/>
      <c r="AF22" s="409"/>
      <c r="AG22" s="409"/>
      <c r="AH22" s="409"/>
      <c r="AI22" s="409"/>
      <c r="AJ22" s="409"/>
      <c r="AK22" s="409"/>
      <c r="AL22" s="409"/>
      <c r="AM22" s="409"/>
      <c r="AN22" s="409"/>
      <c r="AO22" s="557"/>
      <c r="AP22" s="234"/>
      <c r="AQ22" s="174"/>
      <c r="AR22" s="234"/>
      <c r="AS22" s="174"/>
      <c r="AT22" s="857"/>
      <c r="AU22" s="860"/>
      <c r="AV22" s="187"/>
      <c r="AW22" s="265"/>
      <c r="AX22" s="269"/>
      <c r="AY22" s="301"/>
      <c r="AZ22" s="358"/>
      <c r="BA22" s="359"/>
      <c r="BB22" s="853"/>
      <c r="BC22" s="946"/>
      <c r="BD22" s="363"/>
      <c r="BE22" s="444">
        <f t="shared" si="0"/>
        <v>0</v>
      </c>
    </row>
    <row r="23" spans="1:74">
      <c r="A23" s="9">
        <v>25</v>
      </c>
      <c r="B23" s="9">
        <v>21</v>
      </c>
      <c r="C23" s="9" t="s">
        <v>688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3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41"/>
      <c r="AP23" s="234"/>
      <c r="AQ23" s="174"/>
      <c r="AR23" s="234"/>
      <c r="AS23" s="174"/>
      <c r="AT23" s="857"/>
      <c r="AU23" s="860"/>
      <c r="AV23" s="187"/>
      <c r="AW23" s="265"/>
      <c r="AX23" s="269"/>
      <c r="AY23" s="301"/>
      <c r="AZ23" s="358"/>
      <c r="BA23" s="359"/>
      <c r="BB23" s="853"/>
      <c r="BC23" s="946"/>
      <c r="BD23" s="363"/>
      <c r="BE23" s="444">
        <f t="shared" si="0"/>
        <v>0</v>
      </c>
    </row>
    <row r="24" spans="1:74">
      <c r="A24" s="7">
        <v>26</v>
      </c>
      <c r="B24" s="7">
        <v>22</v>
      </c>
      <c r="C24" s="7" t="s">
        <v>648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3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103"/>
      <c r="AP24" s="234"/>
      <c r="AQ24" s="174"/>
      <c r="AR24" s="234"/>
      <c r="AS24" s="174"/>
      <c r="AT24" s="857"/>
      <c r="AU24" s="860"/>
      <c r="AV24" s="187"/>
      <c r="AW24" s="265"/>
      <c r="AX24" s="269"/>
      <c r="AY24" s="301"/>
      <c r="AZ24" s="358"/>
      <c r="BA24" s="359"/>
      <c r="BB24" s="853"/>
      <c r="BC24" s="946"/>
      <c r="BD24" s="363"/>
      <c r="BE24" s="444">
        <f t="shared" si="0"/>
        <v>0</v>
      </c>
    </row>
    <row r="25" spans="1:74">
      <c r="A25" s="9">
        <v>27</v>
      </c>
      <c r="B25" s="9">
        <v>22</v>
      </c>
      <c r="C25" s="9" t="s">
        <v>647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3"/>
      <c r="AE25" s="9"/>
      <c r="AF25" s="410"/>
      <c r="AG25" s="410"/>
      <c r="AH25" s="410"/>
      <c r="AI25" s="410"/>
      <c r="AJ25" s="410"/>
      <c r="AK25" s="410"/>
      <c r="AL25" s="410"/>
      <c r="AM25" s="410"/>
      <c r="AN25" s="410"/>
      <c r="AO25" s="656"/>
      <c r="AP25" s="233"/>
      <c r="AQ25" s="178"/>
      <c r="AR25" s="233"/>
      <c r="AS25" s="178"/>
      <c r="AT25" s="857"/>
      <c r="AU25" s="860"/>
      <c r="AV25" s="187"/>
      <c r="AW25" s="265"/>
      <c r="AX25" s="269"/>
      <c r="AY25" s="301"/>
      <c r="AZ25" s="358"/>
      <c r="BA25" s="359"/>
      <c r="BB25" s="853"/>
      <c r="BC25" s="946"/>
      <c r="BD25" s="363"/>
      <c r="BE25" s="444">
        <f t="shared" si="0"/>
        <v>0</v>
      </c>
    </row>
    <row r="26" spans="1:74" s="158" customFormat="1">
      <c r="A26" s="409">
        <v>28</v>
      </c>
      <c r="B26" s="409">
        <v>21</v>
      </c>
      <c r="C26" s="409" t="s">
        <v>648</v>
      </c>
      <c r="D26" s="409">
        <v>3</v>
      </c>
      <c r="E26" s="409"/>
      <c r="F26" s="409"/>
      <c r="G26" s="409" t="s">
        <v>650</v>
      </c>
      <c r="H26" s="409"/>
      <c r="I26" s="409"/>
      <c r="J26" s="409"/>
      <c r="K26" s="409"/>
      <c r="L26" s="409"/>
      <c r="M26" s="409"/>
      <c r="N26" s="409"/>
      <c r="O26" s="409"/>
      <c r="P26" s="409"/>
      <c r="Q26" s="409"/>
      <c r="R26" s="409"/>
      <c r="S26" s="409" t="s">
        <v>650</v>
      </c>
      <c r="T26" s="409" t="s">
        <v>650</v>
      </c>
      <c r="U26" s="409"/>
      <c r="V26" s="409"/>
      <c r="W26" s="409"/>
      <c r="X26" s="409"/>
      <c r="Y26" s="409"/>
      <c r="Z26" s="409"/>
      <c r="AA26" s="409"/>
      <c r="AB26" s="409" t="s">
        <v>650</v>
      </c>
      <c r="AC26" s="769" t="s">
        <v>650</v>
      </c>
      <c r="AD26" s="632"/>
      <c r="AE26" s="409" t="s">
        <v>1006</v>
      </c>
      <c r="AF26" s="409"/>
      <c r="AG26" s="409"/>
      <c r="AH26" s="409"/>
      <c r="AI26" s="409"/>
      <c r="AJ26" s="409"/>
      <c r="AK26" s="409"/>
      <c r="AL26" s="409"/>
      <c r="AM26" s="409"/>
      <c r="AN26" s="409"/>
      <c r="AO26" s="557"/>
      <c r="AP26" s="462">
        <v>1704207</v>
      </c>
      <c r="AQ26" s="877">
        <v>23180.2</v>
      </c>
      <c r="AR26" s="462">
        <v>1728145</v>
      </c>
      <c r="AS26" s="877">
        <v>484.65</v>
      </c>
      <c r="AT26" s="511">
        <v>1722269</v>
      </c>
      <c r="AU26" s="1007">
        <v>2107.15</v>
      </c>
      <c r="AV26" s="433">
        <v>1704152</v>
      </c>
      <c r="AW26" s="434">
        <v>122.05</v>
      </c>
      <c r="AX26" s="435"/>
      <c r="AY26" s="436"/>
      <c r="AZ26" s="441"/>
      <c r="BA26" s="634"/>
      <c r="BB26" s="512">
        <v>1704207</v>
      </c>
      <c r="BC26" s="878">
        <v>10711.05</v>
      </c>
      <c r="BD26" s="443"/>
      <c r="BE26" s="444">
        <f>BC26+AW26+AU26+AS26+AQ26+BT26+BV26</f>
        <v>36605.1</v>
      </c>
      <c r="BG26" s="158" t="s">
        <v>1007</v>
      </c>
      <c r="BH26" s="882"/>
      <c r="BI26" s="1010"/>
      <c r="BJ26" s="505"/>
      <c r="BK26" s="1011"/>
      <c r="BL26" s="505"/>
      <c r="BM26" s="1011"/>
      <c r="BN26" s="1012"/>
      <c r="BO26" s="1013"/>
      <c r="BP26" s="1014"/>
      <c r="BQ26" s="1015"/>
      <c r="BR26" s="792"/>
      <c r="BS26" s="792"/>
      <c r="BT26" s="158">
        <v>122.05</v>
      </c>
      <c r="BU26" s="158" t="s">
        <v>1008</v>
      </c>
      <c r="BV26" s="158">
        <v>-122.05</v>
      </c>
    </row>
    <row r="27" spans="1:74" s="158" customFormat="1" ht="15">
      <c r="A27" s="410">
        <v>29</v>
      </c>
      <c r="B27" s="410">
        <v>22</v>
      </c>
      <c r="C27" s="410" t="s">
        <v>649</v>
      </c>
      <c r="D27" s="527">
        <v>3</v>
      </c>
      <c r="E27" s="410"/>
      <c r="F27" s="850" t="s">
        <v>650</v>
      </c>
      <c r="G27" s="410"/>
      <c r="H27" s="410"/>
      <c r="I27" s="410"/>
      <c r="J27" s="410"/>
      <c r="K27" s="410"/>
      <c r="L27" s="410"/>
      <c r="M27" s="410" t="s">
        <v>650</v>
      </c>
      <c r="N27" s="410"/>
      <c r="O27" s="410"/>
      <c r="P27" s="410"/>
      <c r="Q27" s="410"/>
      <c r="R27" s="410"/>
      <c r="S27" s="410" t="s">
        <v>650</v>
      </c>
      <c r="T27" s="410" t="s">
        <v>650</v>
      </c>
      <c r="U27" s="410"/>
      <c r="V27" s="410"/>
      <c r="W27" s="410" t="s">
        <v>650</v>
      </c>
      <c r="X27" s="410"/>
      <c r="Y27" s="410"/>
      <c r="Z27" s="410" t="s">
        <v>650</v>
      </c>
      <c r="AA27" s="410"/>
      <c r="AB27" s="410" t="s">
        <v>650</v>
      </c>
      <c r="AC27" s="410" t="s">
        <v>650</v>
      </c>
      <c r="AD27" s="632"/>
      <c r="AE27" s="410" t="s">
        <v>1009</v>
      </c>
      <c r="AF27" s="410"/>
      <c r="AG27" s="410"/>
      <c r="AH27" s="410"/>
      <c r="AI27" s="410"/>
      <c r="AJ27" s="410"/>
      <c r="AK27" s="410"/>
      <c r="AL27" s="410"/>
      <c r="AM27" s="410"/>
      <c r="AN27" s="410"/>
      <c r="AO27" s="656"/>
      <c r="AP27" s="840">
        <v>1931433</v>
      </c>
      <c r="AQ27" s="841">
        <v>26286.07</v>
      </c>
      <c r="AR27" s="840">
        <v>1931326</v>
      </c>
      <c r="AS27" s="841">
        <v>485.55</v>
      </c>
      <c r="AT27" s="842">
        <v>1931336</v>
      </c>
      <c r="AU27" s="843">
        <v>7419.63</v>
      </c>
      <c r="AV27" s="842" t="s">
        <v>1010</v>
      </c>
      <c r="AW27" s="843">
        <v>437.4</v>
      </c>
      <c r="AX27" s="912" t="s">
        <v>1011</v>
      </c>
      <c r="AY27" s="913">
        <v>3182.8</v>
      </c>
      <c r="AZ27" s="441"/>
      <c r="BA27" s="442"/>
      <c r="BB27" s="439">
        <v>1931433</v>
      </c>
      <c r="BC27" s="440">
        <v>10741.97</v>
      </c>
      <c r="BD27" s="443"/>
      <c r="BE27" s="444">
        <f>BC27+AW27+AU27+AS27+AQ27+AY27</f>
        <v>48553.42</v>
      </c>
      <c r="BH27" s="882"/>
      <c r="BI27" s="1010"/>
      <c r="BJ27" s="505"/>
      <c r="BK27" s="1011"/>
      <c r="BL27" s="505"/>
      <c r="BM27" s="1011"/>
      <c r="BN27" s="1012"/>
      <c r="BO27" s="1013"/>
      <c r="BP27" s="1014"/>
      <c r="BQ27" s="1015"/>
      <c r="BR27" s="792"/>
      <c r="BS27" s="792"/>
    </row>
    <row r="28" spans="1:74" s="158" customFormat="1" ht="15">
      <c r="A28" s="409">
        <v>30</v>
      </c>
      <c r="B28" s="409">
        <v>23</v>
      </c>
      <c r="C28" s="409" t="s">
        <v>647</v>
      </c>
      <c r="D28" s="409">
        <v>2</v>
      </c>
      <c r="E28" s="409"/>
      <c r="F28" s="409"/>
      <c r="G28" s="409"/>
      <c r="H28" s="409"/>
      <c r="I28" s="409"/>
      <c r="J28" s="409"/>
      <c r="K28" s="409"/>
      <c r="L28" s="409"/>
      <c r="M28" s="409" t="s">
        <v>650</v>
      </c>
      <c r="N28" s="409"/>
      <c r="O28" s="409"/>
      <c r="P28" s="409"/>
      <c r="Q28" s="409" t="s">
        <v>650</v>
      </c>
      <c r="R28" s="409"/>
      <c r="S28" s="409"/>
      <c r="T28" s="409" t="s">
        <v>650</v>
      </c>
      <c r="U28" s="409"/>
      <c r="V28" s="1005" t="s">
        <v>650</v>
      </c>
      <c r="W28" s="409"/>
      <c r="X28" s="409"/>
      <c r="Y28" s="409"/>
      <c r="Z28" s="409"/>
      <c r="AA28" s="409"/>
      <c r="AB28" s="409"/>
      <c r="AC28" s="409" t="s">
        <v>650</v>
      </c>
      <c r="AD28" s="632"/>
      <c r="AE28" s="409" t="s">
        <v>1012</v>
      </c>
      <c r="AF28" s="409"/>
      <c r="AG28" s="409"/>
      <c r="AH28" s="409"/>
      <c r="AI28" s="409"/>
      <c r="AJ28" s="409"/>
      <c r="AK28" s="409"/>
      <c r="AL28" s="409"/>
      <c r="AM28" s="409"/>
      <c r="AN28" s="409"/>
      <c r="AO28" s="557"/>
      <c r="AP28" s="840">
        <v>1926745</v>
      </c>
      <c r="AQ28" s="841">
        <v>29119.19</v>
      </c>
      <c r="AR28" s="840">
        <v>1923781</v>
      </c>
      <c r="AS28" s="841">
        <v>485.85</v>
      </c>
      <c r="AT28" s="842">
        <v>1923791</v>
      </c>
      <c r="AU28" s="843">
        <v>-1123.22</v>
      </c>
      <c r="AV28" s="433"/>
      <c r="AW28" s="434"/>
      <c r="AX28" s="435"/>
      <c r="AY28" s="436"/>
      <c r="AZ28" s="441"/>
      <c r="BA28" s="442"/>
      <c r="BB28" s="439">
        <v>1926745</v>
      </c>
      <c r="BC28" s="440">
        <v>12383.43</v>
      </c>
      <c r="BD28" s="443"/>
      <c r="BE28" s="444">
        <f>BC28+AW28+AU28+AS28+AQ28</f>
        <v>40865.25</v>
      </c>
      <c r="BH28" s="882"/>
      <c r="BI28" s="1010"/>
      <c r="BJ28" s="505"/>
      <c r="BK28" s="1011"/>
      <c r="BL28" s="505"/>
      <c r="BM28" s="1011"/>
      <c r="BN28" s="1012"/>
      <c r="BO28" s="1013"/>
      <c r="BP28" s="1014"/>
      <c r="BQ28" s="1015"/>
      <c r="BR28" s="792"/>
      <c r="BS28" s="792"/>
    </row>
    <row r="29" spans="1:74" s="158" customFormat="1" ht="15">
      <c r="A29" s="410">
        <v>31</v>
      </c>
      <c r="B29" s="527">
        <v>23</v>
      </c>
      <c r="C29" s="527" t="s">
        <v>649</v>
      </c>
      <c r="D29" s="527">
        <v>2</v>
      </c>
      <c r="E29" s="410"/>
      <c r="F29" s="410"/>
      <c r="G29" s="410"/>
      <c r="H29" s="410"/>
      <c r="I29" s="410"/>
      <c r="J29" s="410"/>
      <c r="K29" s="410"/>
      <c r="L29" s="410"/>
      <c r="M29" s="410" t="s">
        <v>650</v>
      </c>
      <c r="N29" s="410"/>
      <c r="O29" s="410"/>
      <c r="P29" s="410"/>
      <c r="Q29" s="410" t="s">
        <v>650</v>
      </c>
      <c r="R29" s="410"/>
      <c r="S29" s="410"/>
      <c r="T29" s="410" t="s">
        <v>650</v>
      </c>
      <c r="U29" s="826" t="s">
        <v>650</v>
      </c>
      <c r="V29" s="410"/>
      <c r="W29" s="410"/>
      <c r="X29" s="410" t="s">
        <v>650</v>
      </c>
      <c r="Y29" s="410" t="s">
        <v>650</v>
      </c>
      <c r="Z29" s="410"/>
      <c r="AA29" s="410"/>
      <c r="AB29" s="410" t="s">
        <v>650</v>
      </c>
      <c r="AC29" s="410" t="s">
        <v>650</v>
      </c>
      <c r="AD29" s="632"/>
      <c r="AE29" s="410" t="s">
        <v>1013</v>
      </c>
      <c r="AF29" s="410"/>
      <c r="AG29" s="410"/>
      <c r="AH29" s="410"/>
      <c r="AI29" s="410"/>
      <c r="AJ29" s="410"/>
      <c r="AK29" s="410"/>
      <c r="AL29" s="410"/>
      <c r="AM29" s="410"/>
      <c r="AN29" s="410"/>
      <c r="AO29" s="656"/>
      <c r="AP29" s="840">
        <v>1926802</v>
      </c>
      <c r="AQ29" s="841">
        <v>29119.19</v>
      </c>
      <c r="AR29" s="840">
        <v>1923811</v>
      </c>
      <c r="AS29" s="841">
        <v>485.55</v>
      </c>
      <c r="AT29" s="842">
        <v>1923821</v>
      </c>
      <c r="AU29" s="843">
        <v>2882.61</v>
      </c>
      <c r="AV29" s="433" t="s">
        <v>1014</v>
      </c>
      <c r="AW29" s="434">
        <v>694.4</v>
      </c>
      <c r="AX29" s="712" t="s">
        <v>1015</v>
      </c>
      <c r="AY29" s="714">
        <v>3597.85</v>
      </c>
      <c r="AZ29" s="441"/>
      <c r="BA29" s="491"/>
      <c r="BB29" s="439">
        <v>1926802</v>
      </c>
      <c r="BC29" s="492">
        <v>12383.43</v>
      </c>
      <c r="BD29" s="443"/>
      <c r="BE29" s="444">
        <f>BC29+AW29+AU29+AS29+AQ29+AY29</f>
        <v>49163.03</v>
      </c>
      <c r="BH29" s="882"/>
      <c r="BI29" s="1010"/>
      <c r="BJ29" s="505"/>
      <c r="BK29" s="1011"/>
      <c r="BL29" s="505"/>
      <c r="BM29" s="1011"/>
      <c r="BN29" s="1012"/>
      <c r="BO29" s="1013"/>
      <c r="BP29" s="1014"/>
      <c r="BQ29" s="1015"/>
      <c r="BR29" s="792"/>
      <c r="BS29" s="792"/>
    </row>
  </sheetData>
  <mergeCells count="1">
    <mergeCell ref="A1:C1"/>
  </mergeCells>
  <conditionalFormatting sqref="E3:E20 E22:E29">
    <cfRule type="expression" dxfId="736" priority="38">
      <formula>B3=29</formula>
    </cfRule>
    <cfRule type="expression" dxfId="735" priority="74">
      <formula>B3=639</formula>
    </cfRule>
    <cfRule type="expression" dxfId="734" priority="94">
      <formula>B3=601</formula>
    </cfRule>
  </conditionalFormatting>
  <conditionalFormatting sqref="F3:F20 F22:F53">
    <cfRule type="expression" dxfId="733" priority="37">
      <formula>B3=29</formula>
    </cfRule>
    <cfRule type="expression" dxfId="732" priority="56">
      <formula>B3=786</formula>
    </cfRule>
    <cfRule type="expression" dxfId="731" priority="104">
      <formula>B3=914</formula>
    </cfRule>
    <cfRule type="expression" dxfId="730" priority="115">
      <formula>B3=260</formula>
    </cfRule>
  </conditionalFormatting>
  <conditionalFormatting sqref="G3:G20 G22:G29">
    <cfRule type="expression" dxfId="729" priority="12">
      <formula>B3=22</formula>
    </cfRule>
    <cfRule type="expression" dxfId="728" priority="36">
      <formula>B3=29</formula>
    </cfRule>
    <cfRule type="expression" dxfId="727" priority="73">
      <formula>B3=639</formula>
    </cfRule>
    <cfRule type="expression" dxfId="726" priority="93">
      <formula>B3=601</formula>
    </cfRule>
  </conditionalFormatting>
  <conditionalFormatting sqref="G3:G20 G22:G53">
    <cfRule type="expression" dxfId="725" priority="108">
      <formula>B3=846</formula>
    </cfRule>
  </conditionalFormatting>
  <conditionalFormatting sqref="H3:H29">
    <cfRule type="expression" dxfId="724" priority="7">
      <formula>B3=21</formula>
    </cfRule>
    <cfRule type="expression" dxfId="723" priority="8">
      <formula>B3=22</formula>
    </cfRule>
  </conditionalFormatting>
  <conditionalFormatting sqref="I3:I20 I22:I29">
    <cfRule type="expression" dxfId="722" priority="9">
      <formula>B3=22</formula>
    </cfRule>
    <cfRule type="expression" dxfId="721" priority="52">
      <formula>B3=786</formula>
    </cfRule>
    <cfRule type="expression" dxfId="720" priority="71">
      <formula>B3=639</formula>
    </cfRule>
    <cfRule type="expression" dxfId="719" priority="90">
      <formula>B3=601</formula>
    </cfRule>
  </conditionalFormatting>
  <conditionalFormatting sqref="J3:J20 J22:J53">
    <cfRule type="expression" dxfId="718" priority="5">
      <formula>B3=22</formula>
    </cfRule>
    <cfRule type="expression" dxfId="717" priority="6">
      <formula>B3=21</formula>
    </cfRule>
  </conditionalFormatting>
  <conditionalFormatting sqref="K3:K20 K22:K53">
    <cfRule type="expression" dxfId="716" priority="34">
      <formula>B3=29</formula>
    </cfRule>
    <cfRule type="expression" dxfId="715" priority="113">
      <formula>B3=260</formula>
    </cfRule>
  </conditionalFormatting>
  <conditionalFormatting sqref="L3:L20 L22:L53">
    <cfRule type="expression" dxfId="714" priority="4">
      <formula>B3=23</formula>
    </cfRule>
    <cfRule type="expression" dxfId="713" priority="18">
      <formula>B3=21</formula>
    </cfRule>
    <cfRule type="expression" dxfId="712" priority="51">
      <formula>B3=786</formula>
    </cfRule>
    <cfRule type="expression" dxfId="711" priority="101">
      <formula>B3=914</formula>
    </cfRule>
  </conditionalFormatting>
  <conditionalFormatting sqref="M3:M20 M22:M53">
    <cfRule type="expression" dxfId="710" priority="100">
      <formula>B3=914</formula>
    </cfRule>
  </conditionalFormatting>
  <conditionalFormatting sqref="N3:N20 N22:N29">
    <cfRule type="expression" dxfId="709" priority="11">
      <formula>B3=22</formula>
    </cfRule>
    <cfRule type="expression" dxfId="708" priority="50">
      <formula>B3=786</formula>
    </cfRule>
    <cfRule type="expression" dxfId="707" priority="70">
      <formula>B3=639</formula>
    </cfRule>
    <cfRule type="expression" dxfId="706" priority="89">
      <formula>B3=601</formula>
    </cfRule>
  </conditionalFormatting>
  <conditionalFormatting sqref="N3:N20 N22:N53">
    <cfRule type="expression" dxfId="705" priority="98">
      <formula>B3=846</formula>
    </cfRule>
    <cfRule type="expression" dxfId="704" priority="99">
      <formula>B3=914</formula>
    </cfRule>
    <cfRule type="expression" dxfId="703" priority="112">
      <formula>B3=260</formula>
    </cfRule>
  </conditionalFormatting>
  <conditionalFormatting sqref="O3:O20 O22:O29">
    <cfRule type="expression" dxfId="702" priority="17">
      <formula>B3=21</formula>
    </cfRule>
    <cfRule type="expression" dxfId="701" priority="33">
      <formula>B3=29</formula>
    </cfRule>
    <cfRule type="expression" dxfId="700" priority="49">
      <formula>B3=786</formula>
    </cfRule>
    <cfRule type="expression" dxfId="699" priority="69">
      <formula>B3=639</formula>
    </cfRule>
  </conditionalFormatting>
  <conditionalFormatting sqref="P3:P20 P22:P29">
    <cfRule type="expression" dxfId="698" priority="10">
      <formula>B3=22</formula>
    </cfRule>
    <cfRule type="expression" dxfId="697" priority="16">
      <formula>B3=21</formula>
    </cfRule>
    <cfRule type="expression" dxfId="696" priority="48">
      <formula>B3=786</formula>
    </cfRule>
  </conditionalFormatting>
  <conditionalFormatting sqref="Q3:Q20 Q22:Q29">
    <cfRule type="expression" dxfId="695" priority="47">
      <formula>B3=786</formula>
    </cfRule>
    <cfRule type="expression" dxfId="694" priority="88">
      <formula>B3=601</formula>
    </cfRule>
  </conditionalFormatting>
  <conditionalFormatting sqref="Q3:Q20 Q22:Q53">
    <cfRule type="expression" dxfId="693" priority="97">
      <formula>B3=914</formula>
    </cfRule>
    <cfRule type="expression" dxfId="692" priority="111">
      <formula>B3=260</formula>
    </cfRule>
  </conditionalFormatting>
  <conditionalFormatting sqref="R3:R20 R22:R29">
    <cfRule type="expression" dxfId="691" priority="32">
      <formula>B3=29</formula>
    </cfRule>
    <cfRule type="expression" dxfId="690" priority="46">
      <formula>B3=786</formula>
    </cfRule>
    <cfRule type="expression" dxfId="689" priority="87">
      <formula>B3=601</formula>
    </cfRule>
  </conditionalFormatting>
  <conditionalFormatting sqref="R3:R20 R22:R53">
    <cfRule type="expression" dxfId="688" priority="96">
      <formula>B3=914</formula>
    </cfRule>
    <cfRule type="expression" dxfId="687" priority="105">
      <formula>B3=846</formula>
    </cfRule>
  </conditionalFormatting>
  <conditionalFormatting sqref="S3:T20 S22:T29">
    <cfRule type="expression" dxfId="686" priority="3">
      <formula>B3=23</formula>
    </cfRule>
    <cfRule type="expression" dxfId="685" priority="68">
      <formula>B3=639</formula>
    </cfRule>
  </conditionalFormatting>
  <conditionalFormatting sqref="U3:U20 U22:U53">
    <cfRule type="expression" dxfId="684" priority="95">
      <formula>B3=914</formula>
    </cfRule>
    <cfRule type="expression" dxfId="683" priority="110">
      <formula>B3=260</formula>
    </cfRule>
  </conditionalFormatting>
  <conditionalFormatting sqref="V3:V20 V22:V29">
    <cfRule type="expression" dxfId="682" priority="67">
      <formula>B3=639</formula>
    </cfRule>
  </conditionalFormatting>
  <conditionalFormatting sqref="W3:W20 W22:W29">
    <cfRule type="expression" dxfId="681" priority="15">
      <formula>B3=21</formula>
    </cfRule>
    <cfRule type="expression" dxfId="680" priority="31">
      <formula>B3=29</formula>
    </cfRule>
    <cfRule type="expression" dxfId="679" priority="45">
      <formula>B3=786</formula>
    </cfRule>
    <cfRule type="expression" dxfId="678" priority="66">
      <formula>B3=639</formula>
    </cfRule>
  </conditionalFormatting>
  <conditionalFormatting sqref="W3:W20 W22:W53">
    <cfRule type="expression" dxfId="677" priority="109">
      <formula>B3=260</formula>
    </cfRule>
  </conditionalFormatting>
  <conditionalFormatting sqref="X3:Y20 X22:Y29">
    <cfRule type="expression" dxfId="676" priority="14">
      <formula>B3=21</formula>
    </cfRule>
    <cfRule type="expression" dxfId="675" priority="30">
      <formula>B3=29</formula>
    </cfRule>
    <cfRule type="expression" dxfId="674" priority="65">
      <formula>B3=639</formula>
    </cfRule>
    <cfRule type="expression" dxfId="673" priority="86">
      <formula>B3=601</formula>
    </cfRule>
  </conditionalFormatting>
  <conditionalFormatting sqref="Z3:Z20 Z22:Z29">
    <cfRule type="expression" dxfId="672" priority="2">
      <formula>B3=23</formula>
    </cfRule>
    <cfRule type="expression" dxfId="671" priority="13">
      <formula>B3=21</formula>
    </cfRule>
    <cfRule type="expression" dxfId="670" priority="85">
      <formula>B3=601</formula>
    </cfRule>
  </conditionalFormatting>
  <conditionalFormatting sqref="AA3:AA20 AA22:AA29">
    <cfRule type="expression" dxfId="669" priority="1">
      <formula>B3=23</formula>
    </cfRule>
    <cfRule type="expression" dxfId="668" priority="29">
      <formula>B3=29</formula>
    </cfRule>
    <cfRule type="expression" dxfId="667" priority="44">
      <formula>B3=786</formula>
    </cfRule>
    <cfRule type="expression" dxfId="666" priority="84">
      <formula>B3=601</formula>
    </cfRule>
  </conditionalFormatting>
  <conditionalFormatting sqref="AB3:AB20 AB22:AB29">
    <cfRule type="expression" dxfId="665" priority="27">
      <formula>B3=29</formula>
    </cfRule>
  </conditionalFormatting>
  <conditionalFormatting sqref="AC3:AC20 AC22:AC29">
    <cfRule type="expression" dxfId="664" priority="28">
      <formula>B3=29</formula>
    </cfRule>
    <cfRule type="expression" dxfId="663" priority="83">
      <formula>B3=601</formula>
    </cfRule>
  </conditionalFormatting>
  <pageMargins left="0.7" right="0.7" top="0.75" bottom="0.75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B3C5-EB77-41E9-B746-89E5B4EB5517}">
  <dimension ref="A1:CD19"/>
  <sheetViews>
    <sheetView zoomScale="80" zoomScaleNormal="80" workbookViewId="0">
      <pane ySplit="2" topLeftCell="A3" activePane="bottomLeft" state="frozen"/>
      <selection pane="bottomLeft" activeCell="BO12" sqref="BO12"/>
    </sheetView>
  </sheetViews>
  <sheetFormatPr defaultColWidth="8.85546875" defaultRowHeight="15" customHeight="1"/>
  <cols>
    <col min="1" max="1" width="7.28515625" style="5" customWidth="1"/>
    <col min="2" max="2" width="4.7109375" style="5" bestFit="1" customWidth="1"/>
    <col min="3" max="3" width="8.42578125" style="5" bestFit="1" customWidth="1"/>
    <col min="4" max="4" width="10.140625" style="5" bestFit="1" customWidth="1"/>
    <col min="5" max="24" width="4.7109375" style="5" bestFit="1" customWidth="1"/>
    <col min="25" max="41" width="4.7109375" style="5" customWidth="1"/>
    <col min="42" max="42" width="4.7109375" style="5" bestFit="1" customWidth="1"/>
    <col min="43" max="43" width="20.5703125" style="5" bestFit="1" customWidth="1"/>
    <col min="44" max="45" width="4.7109375" style="5" customWidth="1"/>
    <col min="46" max="46" width="10" style="5" customWidth="1"/>
    <col min="47" max="48" width="9.28515625" style="5" customWidth="1"/>
    <col min="49" max="52" width="4.7109375" style="5" customWidth="1"/>
    <col min="53" max="53" width="9.5703125" style="5" customWidth="1"/>
    <col min="54" max="54" width="19" style="180" bestFit="1" customWidth="1"/>
    <col min="55" max="55" width="23.42578125" style="549" bestFit="1" customWidth="1"/>
    <col min="56" max="56" width="21.42578125" style="192" bestFit="1" customWidth="1"/>
    <col min="57" max="57" width="19" style="193" bestFit="1" customWidth="1"/>
    <col min="58" max="58" width="21.42578125" style="192" bestFit="1" customWidth="1"/>
    <col min="59" max="59" width="19" style="268" bestFit="1" customWidth="1"/>
    <col min="60" max="60" width="21.42578125" style="271" hidden="1" customWidth="1"/>
    <col min="61" max="61" width="19" style="544" hidden="1" customWidth="1"/>
    <col min="62" max="62" width="21.42578125" style="361" customWidth="1"/>
    <col min="63" max="63" width="19" style="362" customWidth="1"/>
    <col min="64" max="64" width="21.28515625" style="226" bestFit="1" customWidth="1"/>
    <col min="65" max="65" width="15.42578125" style="248" customWidth="1"/>
    <col min="66" max="66" width="23.42578125" style="355" customWidth="1"/>
    <col min="67" max="67" width="19" style="355" bestFit="1" customWidth="1"/>
    <col min="68" max="69" width="9.140625" style="5"/>
    <col min="70" max="70" width="21.28515625" style="226" hidden="1" customWidth="1"/>
    <col min="71" max="71" width="15.42578125" style="248" hidden="1" customWidth="1"/>
    <col min="72" max="72" width="21.42578125" style="192" hidden="1" customWidth="1"/>
    <col min="73" max="73" width="19" style="268" hidden="1" customWidth="1"/>
    <col min="74" max="74" width="21.42578125" style="192" hidden="1" customWidth="1"/>
    <col min="75" max="75" width="19" style="268" hidden="1" customWidth="1"/>
    <col min="76" max="76" width="21.42578125" style="271" hidden="1" customWidth="1"/>
    <col min="77" max="77" width="19" style="272" hidden="1" customWidth="1"/>
    <col min="78" max="78" width="21.42578125" style="361" hidden="1" customWidth="1"/>
    <col min="79" max="79" width="19" style="362" hidden="1" customWidth="1"/>
    <col min="80" max="80" width="23.42578125" style="355" hidden="1" customWidth="1"/>
    <col min="81" max="81" width="19" style="355" hidden="1" customWidth="1"/>
    <col min="82" max="82" width="10.85546875" style="5" bestFit="1" customWidth="1"/>
    <col min="83" max="16384" width="8.85546875" style="5"/>
  </cols>
  <sheetData>
    <row r="1" spans="1:82" ht="18.75">
      <c r="A1" s="1034" t="s">
        <v>1016</v>
      </c>
      <c r="B1" s="1034"/>
      <c r="C1" s="1034"/>
      <c r="E1" s="5" t="s">
        <v>611</v>
      </c>
      <c r="G1" s="5" t="s">
        <v>1017</v>
      </c>
      <c r="H1" s="5">
        <v>601</v>
      </c>
      <c r="I1" s="5">
        <v>639</v>
      </c>
      <c r="J1" s="5">
        <v>786</v>
      </c>
      <c r="AP1" s="11"/>
      <c r="BB1" s="294"/>
      <c r="BC1" s="297"/>
      <c r="BD1" s="294"/>
      <c r="BE1" s="297"/>
      <c r="BF1" s="294"/>
      <c r="BG1" s="294"/>
      <c r="BH1" s="294"/>
      <c r="BI1" s="297"/>
      <c r="BJ1" s="294"/>
      <c r="BK1" s="294"/>
      <c r="BL1" s="294"/>
      <c r="BM1" s="294"/>
      <c r="BN1" s="295"/>
      <c r="BO1" s="295"/>
      <c r="BP1" s="294"/>
      <c r="BQ1" s="294"/>
      <c r="BR1" s="294"/>
      <c r="BS1" s="294"/>
      <c r="BT1" s="294"/>
      <c r="BU1" s="294"/>
      <c r="BV1" s="294"/>
      <c r="BW1" s="294"/>
      <c r="BX1" s="294"/>
      <c r="BY1" s="294"/>
      <c r="BZ1" s="294"/>
      <c r="CA1" s="294"/>
      <c r="CB1" s="295"/>
      <c r="CC1" s="295"/>
    </row>
    <row r="2" spans="1:82" s="81" customFormat="1" ht="59.25" customHeight="1">
      <c r="A2" s="102" t="s">
        <v>612</v>
      </c>
      <c r="B2" s="102" t="s">
        <v>613</v>
      </c>
      <c r="C2" s="102" t="s">
        <v>614</v>
      </c>
      <c r="D2" s="82" t="s">
        <v>615</v>
      </c>
      <c r="E2" s="976" t="s">
        <v>287</v>
      </c>
      <c r="F2" s="977" t="s">
        <v>79</v>
      </c>
      <c r="G2" s="977" t="s">
        <v>191</v>
      </c>
      <c r="H2" s="977" t="s">
        <v>130</v>
      </c>
      <c r="I2" s="977" t="s">
        <v>130</v>
      </c>
      <c r="J2" s="977" t="s">
        <v>226</v>
      </c>
      <c r="K2" s="977" t="s">
        <v>524</v>
      </c>
      <c r="L2" s="977" t="s">
        <v>186</v>
      </c>
      <c r="M2" s="977" t="s">
        <v>132</v>
      </c>
      <c r="N2" s="977" t="s">
        <v>81</v>
      </c>
      <c r="O2" s="977" t="s">
        <v>134</v>
      </c>
      <c r="P2" s="977" t="s">
        <v>83</v>
      </c>
      <c r="Q2" s="977" t="s">
        <v>89</v>
      </c>
      <c r="R2" s="977" t="s">
        <v>93</v>
      </c>
      <c r="S2" s="977" t="s">
        <v>270</v>
      </c>
      <c r="T2" s="977" t="s">
        <v>124</v>
      </c>
      <c r="U2" s="977" t="s">
        <v>140</v>
      </c>
      <c r="V2" s="977" t="s">
        <v>142</v>
      </c>
      <c r="W2" s="977" t="s">
        <v>365</v>
      </c>
      <c r="X2" s="977" t="s">
        <v>144</v>
      </c>
      <c r="Y2" s="977" t="s">
        <v>617</v>
      </c>
      <c r="Z2" s="977" t="s">
        <v>521</v>
      </c>
      <c r="AA2" s="977" t="s">
        <v>262</v>
      </c>
      <c r="AB2" s="977" t="s">
        <v>99</v>
      </c>
      <c r="AC2" s="977" t="s">
        <v>200</v>
      </c>
      <c r="AD2" s="977" t="s">
        <v>221</v>
      </c>
      <c r="AE2" s="977" t="s">
        <v>101</v>
      </c>
      <c r="AF2" s="977" t="s">
        <v>369</v>
      </c>
      <c r="AG2" s="977" t="s">
        <v>152</v>
      </c>
      <c r="AH2" s="977" t="s">
        <v>107</v>
      </c>
      <c r="AI2" s="977" t="s">
        <v>157</v>
      </c>
      <c r="AJ2" s="977" t="s">
        <v>159</v>
      </c>
      <c r="AK2" s="977" t="s">
        <v>111</v>
      </c>
      <c r="AL2" s="977" t="s">
        <v>403</v>
      </c>
      <c r="AM2" s="977" t="s">
        <v>113</v>
      </c>
      <c r="AN2" s="977" t="s">
        <v>117</v>
      </c>
      <c r="AO2" s="977" t="s">
        <v>619</v>
      </c>
      <c r="AP2" s="85" t="s">
        <v>289</v>
      </c>
      <c r="AQ2" s="88" t="s">
        <v>620</v>
      </c>
      <c r="AR2" s="82" t="s">
        <v>621</v>
      </c>
      <c r="AS2" s="82" t="s">
        <v>622</v>
      </c>
      <c r="AT2" s="95" t="s">
        <v>623</v>
      </c>
      <c r="AU2" s="95" t="s">
        <v>624</v>
      </c>
      <c r="AV2" s="93" t="s">
        <v>625</v>
      </c>
      <c r="AW2" s="89" t="s">
        <v>626</v>
      </c>
      <c r="AX2" s="89" t="s">
        <v>627</v>
      </c>
      <c r="AY2" s="89" t="s">
        <v>628</v>
      </c>
      <c r="AZ2" s="89" t="s">
        <v>629</v>
      </c>
      <c r="BA2" s="140" t="s">
        <v>630</v>
      </c>
      <c r="BB2" s="300" t="s">
        <v>631</v>
      </c>
      <c r="BC2" s="546" t="s">
        <v>632</v>
      </c>
      <c r="BD2" s="364" t="s">
        <v>633</v>
      </c>
      <c r="BE2" s="553" t="s">
        <v>634</v>
      </c>
      <c r="BF2" s="364" t="s">
        <v>635</v>
      </c>
      <c r="BG2" s="365" t="s">
        <v>636</v>
      </c>
      <c r="BH2" s="366" t="s">
        <v>637</v>
      </c>
      <c r="BI2" s="550" t="s">
        <v>638</v>
      </c>
      <c r="BJ2" s="368" t="s">
        <v>639</v>
      </c>
      <c r="BK2" s="369" t="s">
        <v>640</v>
      </c>
      <c r="BL2" s="333" t="s">
        <v>641</v>
      </c>
      <c r="BM2" s="334" t="s">
        <v>642</v>
      </c>
      <c r="BN2" s="370" t="s">
        <v>643</v>
      </c>
      <c r="BO2" s="371" t="s">
        <v>644</v>
      </c>
      <c r="BR2" s="333" t="s">
        <v>641</v>
      </c>
      <c r="BS2" s="334" t="s">
        <v>642</v>
      </c>
      <c r="BT2" s="364" t="s">
        <v>633</v>
      </c>
      <c r="BU2" s="365" t="s">
        <v>634</v>
      </c>
      <c r="BV2" s="364" t="s">
        <v>635</v>
      </c>
      <c r="BW2" s="365" t="s">
        <v>636</v>
      </c>
      <c r="BX2" s="366" t="s">
        <v>637</v>
      </c>
      <c r="BY2" s="367" t="s">
        <v>638</v>
      </c>
      <c r="BZ2" s="368" t="s">
        <v>639</v>
      </c>
      <c r="CA2" s="369" t="s">
        <v>640</v>
      </c>
      <c r="CB2" s="370" t="s">
        <v>645</v>
      </c>
      <c r="CC2" s="371" t="s">
        <v>646</v>
      </c>
    </row>
    <row r="3" spans="1:82">
      <c r="A3" s="9">
        <v>60</v>
      </c>
      <c r="B3" s="9">
        <v>29</v>
      </c>
      <c r="C3" s="9" t="s">
        <v>648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13"/>
      <c r="AQ3" s="9"/>
      <c r="AR3" s="9"/>
      <c r="AS3" s="9"/>
      <c r="AT3" s="9"/>
      <c r="AU3" s="9"/>
      <c r="AV3" s="9"/>
      <c r="AW3" s="9"/>
      <c r="AX3" s="9"/>
      <c r="AY3" s="9"/>
      <c r="AZ3" s="9"/>
      <c r="BA3" s="141"/>
      <c r="BB3" s="234"/>
      <c r="BC3" s="174"/>
      <c r="BD3" s="187"/>
      <c r="BE3" s="188"/>
      <c r="BF3" s="187"/>
      <c r="BG3" s="265"/>
      <c r="BH3" s="269"/>
      <c r="BI3" s="301"/>
      <c r="BJ3" s="358"/>
      <c r="BK3" s="360"/>
      <c r="BL3" s="219"/>
      <c r="BM3" s="225"/>
      <c r="BN3" s="363"/>
      <c r="BO3" s="356">
        <f t="shared" ref="BO3:BO19" si="0">BM3+BG3+BE3+BC3</f>
        <v>0</v>
      </c>
      <c r="BR3" s="219"/>
      <c r="BS3" s="225"/>
      <c r="BT3" s="187"/>
      <c r="BU3" s="188"/>
      <c r="BV3" s="187"/>
      <c r="BW3" s="188"/>
      <c r="BX3" s="269"/>
      <c r="BY3" s="301"/>
      <c r="BZ3" s="358"/>
      <c r="CA3" s="360"/>
      <c r="CB3" s="363"/>
      <c r="CC3" s="356"/>
    </row>
    <row r="4" spans="1:82">
      <c r="A4" s="7">
        <v>61</v>
      </c>
      <c r="B4" s="7">
        <v>786</v>
      </c>
      <c r="C4" s="7" t="s">
        <v>688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3"/>
      <c r="AQ4" s="7"/>
      <c r="AR4" s="7"/>
      <c r="AS4" s="7"/>
      <c r="AT4" s="7"/>
      <c r="AU4" s="7"/>
      <c r="AV4" s="7"/>
      <c r="AW4" s="7"/>
      <c r="AX4" s="7"/>
      <c r="AY4" s="7"/>
      <c r="AZ4" s="7"/>
      <c r="BA4" s="103"/>
      <c r="BB4" s="234"/>
      <c r="BC4" s="174"/>
      <c r="BD4" s="187"/>
      <c r="BE4" s="188"/>
      <c r="BF4" s="187"/>
      <c r="BG4" s="265"/>
      <c r="BH4" s="269"/>
      <c r="BI4" s="301"/>
      <c r="BJ4" s="358"/>
      <c r="BK4" s="360"/>
      <c r="BL4" s="219"/>
      <c r="BM4" s="225"/>
      <c r="BN4" s="363"/>
      <c r="BO4" s="356">
        <f t="shared" si="0"/>
        <v>0</v>
      </c>
      <c r="BR4" s="219"/>
      <c r="BS4" s="225"/>
      <c r="BT4" s="187"/>
      <c r="BU4" s="188"/>
      <c r="BV4" s="187"/>
      <c r="BW4" s="188"/>
      <c r="BX4" s="269"/>
      <c r="BY4" s="301"/>
      <c r="BZ4" s="358"/>
      <c r="CA4" s="360"/>
      <c r="CB4" s="363"/>
      <c r="CC4" s="356"/>
    </row>
    <row r="5" spans="1:82" ht="14.25" customHeight="1">
      <c r="A5" s="9">
        <v>62</v>
      </c>
      <c r="B5" s="9">
        <v>639</v>
      </c>
      <c r="C5" s="9" t="s">
        <v>851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13"/>
      <c r="AQ5" s="9"/>
      <c r="AR5" s="9"/>
      <c r="AS5" s="50"/>
      <c r="AT5" s="50"/>
      <c r="AU5" s="50"/>
      <c r="AV5" s="50"/>
      <c r="AW5" s="50"/>
      <c r="AX5" s="9"/>
      <c r="AY5" s="9"/>
      <c r="AZ5" s="9"/>
      <c r="BA5" s="141"/>
      <c r="BB5" s="234"/>
      <c r="BC5" s="174"/>
      <c r="BD5" s="187"/>
      <c r="BE5" s="188"/>
      <c r="BF5" s="187"/>
      <c r="BG5" s="188"/>
      <c r="BH5" s="269"/>
      <c r="BI5" s="301"/>
      <c r="BJ5" s="358"/>
      <c r="BK5" s="360"/>
      <c r="BL5" s="219"/>
      <c r="BM5" s="225"/>
      <c r="BN5" s="363"/>
      <c r="BO5" s="356">
        <f t="shared" si="0"/>
        <v>0</v>
      </c>
      <c r="BR5" s="219"/>
      <c r="BS5" s="225"/>
      <c r="BT5" s="187"/>
      <c r="BU5" s="188"/>
      <c r="BV5" s="187"/>
      <c r="BW5" s="188"/>
      <c r="BX5" s="269"/>
      <c r="BY5" s="301"/>
      <c r="BZ5" s="358"/>
      <c r="CA5" s="360"/>
      <c r="CB5" s="363"/>
      <c r="CC5" s="356"/>
    </row>
    <row r="6" spans="1:82">
      <c r="A6" s="768">
        <v>63</v>
      </c>
      <c r="B6" s="7">
        <v>601</v>
      </c>
      <c r="C6" s="7" t="s">
        <v>688</v>
      </c>
      <c r="D6" s="7">
        <v>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1003" t="s">
        <v>650</v>
      </c>
      <c r="R6" s="7"/>
      <c r="S6" s="7"/>
      <c r="T6" s="7"/>
      <c r="U6" s="7"/>
      <c r="V6" s="1003" t="s">
        <v>650</v>
      </c>
      <c r="W6" s="7"/>
      <c r="X6" s="7"/>
      <c r="Y6" s="1003" t="s">
        <v>650</v>
      </c>
      <c r="Z6" s="7"/>
      <c r="AA6" s="7"/>
      <c r="AB6" s="7"/>
      <c r="AC6" s="1003" t="s">
        <v>650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69" t="s">
        <v>650</v>
      </c>
      <c r="AP6" s="13"/>
      <c r="AQ6" s="38" t="s">
        <v>1018</v>
      </c>
      <c r="AR6" s="7"/>
      <c r="AS6" s="7"/>
      <c r="AT6" s="7"/>
      <c r="AU6" s="7"/>
      <c r="AV6" s="7"/>
      <c r="AW6" s="7"/>
      <c r="AX6" s="7"/>
      <c r="AY6" s="7"/>
      <c r="AZ6" s="7"/>
      <c r="BA6" s="103"/>
      <c r="BB6" s="234">
        <v>1564886</v>
      </c>
      <c r="BC6" s="174">
        <v>29418.92</v>
      </c>
      <c r="BD6" s="187">
        <v>1720200</v>
      </c>
      <c r="BE6" s="188">
        <v>700</v>
      </c>
      <c r="BF6" s="187"/>
      <c r="BG6" s="267"/>
      <c r="BH6" s="269"/>
      <c r="BI6" s="301"/>
      <c r="BJ6" s="358"/>
      <c r="BK6" s="360"/>
      <c r="BL6" s="219">
        <v>1564886</v>
      </c>
      <c r="BM6" s="225">
        <v>14992.41</v>
      </c>
      <c r="BN6" s="363">
        <f>BB6</f>
        <v>1564886</v>
      </c>
      <c r="BO6" s="356">
        <f>BM6+BG6+BE6+BC6</f>
        <v>45111.33</v>
      </c>
      <c r="BR6" s="219"/>
      <c r="BS6" s="302"/>
      <c r="BT6" s="187"/>
      <c r="BU6" s="267"/>
      <c r="BV6" s="187"/>
      <c r="BW6" s="267"/>
      <c r="BX6" s="269"/>
      <c r="BY6" s="526"/>
      <c r="BZ6" s="358"/>
      <c r="CA6" s="360"/>
      <c r="CB6" s="363"/>
      <c r="CC6" s="356"/>
    </row>
    <row r="7" spans="1:82">
      <c r="A7" s="9">
        <v>64</v>
      </c>
      <c r="B7" s="9">
        <v>639</v>
      </c>
      <c r="C7" s="9" t="s">
        <v>1019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13"/>
      <c r="AQ7" s="9"/>
      <c r="AR7" s="9"/>
      <c r="AS7" s="9"/>
      <c r="AT7" s="9"/>
      <c r="AU7" s="9"/>
      <c r="AV7" s="9"/>
      <c r="AW7" s="9"/>
      <c r="AX7" s="9"/>
      <c r="AY7" s="9"/>
      <c r="AZ7" s="9"/>
      <c r="BA7" s="141"/>
      <c r="BB7" s="234"/>
      <c r="BC7" s="547"/>
      <c r="BD7" s="187"/>
      <c r="BE7" s="188"/>
      <c r="BF7" s="187"/>
      <c r="BG7" s="265"/>
      <c r="BH7" s="269"/>
      <c r="BI7" s="301"/>
      <c r="BJ7" s="358"/>
      <c r="BK7" s="535"/>
      <c r="BL7" s="219"/>
      <c r="BM7" s="225"/>
      <c r="BN7" s="363"/>
      <c r="BO7" s="356">
        <f t="shared" si="0"/>
        <v>0</v>
      </c>
      <c r="BR7" s="219"/>
      <c r="BS7" s="223"/>
      <c r="BT7" s="187"/>
      <c r="BU7" s="267"/>
      <c r="BV7" s="187"/>
      <c r="BW7" s="267"/>
      <c r="BX7" s="269"/>
      <c r="BY7" s="526"/>
      <c r="BZ7" s="358"/>
      <c r="CA7" s="535"/>
      <c r="CB7" s="363"/>
      <c r="CC7" s="356"/>
    </row>
    <row r="8" spans="1:82">
      <c r="A8" s="7">
        <v>65</v>
      </c>
      <c r="B8" s="7">
        <v>601</v>
      </c>
      <c r="C8" s="7" t="s">
        <v>851</v>
      </c>
      <c r="D8" s="7">
        <v>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 t="s">
        <v>650</v>
      </c>
      <c r="R8" s="7"/>
      <c r="S8" s="7"/>
      <c r="T8" s="7" t="s">
        <v>650</v>
      </c>
      <c r="U8" s="7"/>
      <c r="V8" s="7"/>
      <c r="W8" s="7"/>
      <c r="X8" s="7"/>
      <c r="Y8" s="7" t="s">
        <v>650</v>
      </c>
      <c r="Z8" s="7"/>
      <c r="AA8" s="7"/>
      <c r="AB8" s="7" t="s">
        <v>650</v>
      </c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 t="s">
        <v>650</v>
      </c>
      <c r="AP8" s="13"/>
      <c r="AQ8" s="7"/>
      <c r="AR8" s="7"/>
      <c r="AS8" s="7"/>
      <c r="AT8" s="7"/>
      <c r="AU8" s="7"/>
      <c r="AV8" s="7"/>
      <c r="AW8" s="7"/>
      <c r="AX8" s="7"/>
      <c r="AY8" s="7"/>
      <c r="AZ8" s="7"/>
      <c r="BA8" s="103"/>
      <c r="BB8" s="234"/>
      <c r="BC8" s="548"/>
      <c r="BD8" s="187"/>
      <c r="BE8" s="188"/>
      <c r="BF8" s="187"/>
      <c r="BG8" s="265"/>
      <c r="BH8" s="269"/>
      <c r="BI8" s="301"/>
      <c r="BJ8" s="358"/>
      <c r="BK8" s="535"/>
      <c r="BL8" s="219"/>
      <c r="BM8" s="225"/>
      <c r="BN8" s="363"/>
      <c r="BO8" s="356">
        <f t="shared" si="0"/>
        <v>0</v>
      </c>
      <c r="BR8" s="219"/>
      <c r="BS8" s="302"/>
      <c r="BT8" s="187"/>
      <c r="BU8" s="265"/>
      <c r="BV8" s="187"/>
      <c r="BW8" s="265"/>
      <c r="BX8" s="269"/>
      <c r="BY8" s="526"/>
      <c r="BZ8" s="358"/>
      <c r="CA8" s="535"/>
      <c r="CB8" s="363"/>
      <c r="CC8" s="356"/>
    </row>
    <row r="9" spans="1:82">
      <c r="A9" s="9">
        <v>66</v>
      </c>
      <c r="B9" s="9">
        <v>639</v>
      </c>
      <c r="C9" s="9" t="s">
        <v>688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13"/>
      <c r="AQ9" s="9"/>
      <c r="AR9" s="9"/>
      <c r="AS9" s="9"/>
      <c r="AT9" s="9"/>
      <c r="AU9" s="9"/>
      <c r="AV9" s="9"/>
      <c r="AW9" s="9"/>
      <c r="AX9" s="9"/>
      <c r="AY9" s="9"/>
      <c r="AZ9" s="9"/>
      <c r="BA9" s="141"/>
      <c r="BB9" s="234"/>
      <c r="BC9" s="174"/>
      <c r="BD9" s="187"/>
      <c r="BE9" s="188"/>
      <c r="BF9" s="187"/>
      <c r="BG9" s="188"/>
      <c r="BH9" s="269"/>
      <c r="BI9" s="301"/>
      <c r="BJ9" s="358"/>
      <c r="BK9" s="360"/>
      <c r="BL9" s="219"/>
      <c r="BM9" s="225"/>
      <c r="BN9" s="363"/>
      <c r="BO9" s="356">
        <f t="shared" si="0"/>
        <v>0</v>
      </c>
      <c r="BR9" s="219"/>
      <c r="BS9" s="225"/>
      <c r="BT9" s="187"/>
      <c r="BU9" s="265"/>
      <c r="BV9" s="187"/>
      <c r="BW9" s="265"/>
      <c r="BX9" s="269"/>
      <c r="BY9" s="301"/>
      <c r="BZ9" s="358"/>
      <c r="CA9" s="360"/>
      <c r="CB9" s="363"/>
      <c r="CC9" s="356"/>
    </row>
    <row r="10" spans="1:82" s="158" customFormat="1" ht="15" customHeight="1">
      <c r="A10" s="409">
        <v>67</v>
      </c>
      <c r="B10" s="409">
        <v>601</v>
      </c>
      <c r="C10" s="409" t="s">
        <v>1019</v>
      </c>
      <c r="D10" s="409">
        <v>3</v>
      </c>
      <c r="E10" s="409"/>
      <c r="F10" s="409"/>
      <c r="G10" s="409"/>
      <c r="H10" s="409"/>
      <c r="I10" s="409"/>
      <c r="J10" s="409"/>
      <c r="K10" s="409"/>
      <c r="L10" s="409"/>
      <c r="M10" s="409"/>
      <c r="N10" s="409"/>
      <c r="O10" s="409"/>
      <c r="P10" s="409"/>
      <c r="Q10" s="409" t="s">
        <v>650</v>
      </c>
      <c r="R10" s="409"/>
      <c r="S10" s="409"/>
      <c r="T10" s="409"/>
      <c r="U10" s="409"/>
      <c r="V10" s="1005" t="s">
        <v>650</v>
      </c>
      <c r="W10" s="409"/>
      <c r="X10" s="409"/>
      <c r="Y10" s="769" t="s">
        <v>650</v>
      </c>
      <c r="Z10" s="409"/>
      <c r="AA10" s="409"/>
      <c r="AB10" s="409" t="s">
        <v>650</v>
      </c>
      <c r="AC10" s="409"/>
      <c r="AD10" s="409"/>
      <c r="AE10" s="409"/>
      <c r="AF10" s="409"/>
      <c r="AG10" s="409"/>
      <c r="AH10" s="409"/>
      <c r="AI10" s="409"/>
      <c r="AJ10" s="409"/>
      <c r="AK10" s="409"/>
      <c r="AL10" s="409"/>
      <c r="AM10" s="409"/>
      <c r="AN10" s="409"/>
      <c r="AO10" s="769" t="s">
        <v>650</v>
      </c>
      <c r="AP10" s="632"/>
      <c r="AQ10" s="409" t="s">
        <v>1020</v>
      </c>
      <c r="AR10" s="409"/>
      <c r="AS10" s="409"/>
      <c r="AT10" s="409"/>
      <c r="AU10" s="409"/>
      <c r="AV10" s="409"/>
      <c r="AW10" s="409"/>
      <c r="AX10" s="409"/>
      <c r="AY10" s="409"/>
      <c r="AZ10" s="409"/>
      <c r="BA10" s="557"/>
      <c r="BB10" s="840">
        <v>1669127</v>
      </c>
      <c r="BC10" s="841">
        <v>31008.21</v>
      </c>
      <c r="BD10" s="842">
        <v>1667642</v>
      </c>
      <c r="BE10" s="843">
        <v>5483.45</v>
      </c>
      <c r="BF10" s="842">
        <v>1904599</v>
      </c>
      <c r="BG10" s="843">
        <v>139.9</v>
      </c>
      <c r="BH10" s="435"/>
      <c r="BI10" s="436"/>
      <c r="BJ10" s="936" t="s">
        <v>1021</v>
      </c>
      <c r="BK10" s="937">
        <v>749.51</v>
      </c>
      <c r="BL10" s="439">
        <v>1669127</v>
      </c>
      <c r="BM10" s="440">
        <v>14992.41</v>
      </c>
      <c r="BN10" s="443"/>
      <c r="BO10" s="444">
        <f>BM10+BG10+BE10+BC10+BK10</f>
        <v>52373.48</v>
      </c>
      <c r="BR10" s="439"/>
      <c r="BS10" s="440"/>
      <c r="BT10" s="433"/>
      <c r="BU10" s="434"/>
      <c r="BV10" s="433"/>
      <c r="BW10" s="434"/>
      <c r="BX10" s="435"/>
      <c r="BY10" s="436"/>
      <c r="BZ10" s="441"/>
      <c r="CA10" s="442"/>
      <c r="CB10" s="443"/>
      <c r="CC10" s="444"/>
      <c r="CD10" s="1006"/>
    </row>
    <row r="11" spans="1:82" s="158" customFormat="1">
      <c r="A11" s="410">
        <v>68</v>
      </c>
      <c r="B11" s="410">
        <v>601</v>
      </c>
      <c r="C11" s="410" t="s">
        <v>688</v>
      </c>
      <c r="D11" s="410">
        <v>3</v>
      </c>
      <c r="E11" s="410"/>
      <c r="F11" s="410"/>
      <c r="G11" s="410"/>
      <c r="H11" s="410"/>
      <c r="I11" s="410"/>
      <c r="J11" s="410"/>
      <c r="K11" s="410"/>
      <c r="L11" s="410"/>
      <c r="M11" s="410"/>
      <c r="N11" s="410"/>
      <c r="O11" s="410"/>
      <c r="P11" s="410"/>
      <c r="Q11" s="410" t="s">
        <v>650</v>
      </c>
      <c r="R11" s="410"/>
      <c r="S11" s="410"/>
      <c r="T11" s="410"/>
      <c r="U11" s="410"/>
      <c r="V11" s="410"/>
      <c r="W11" s="410"/>
      <c r="X11" s="410"/>
      <c r="Y11" s="410" t="s">
        <v>650</v>
      </c>
      <c r="Z11" s="410"/>
      <c r="AA11" s="410"/>
      <c r="AB11" s="410"/>
      <c r="AC11" s="410"/>
      <c r="AD11" s="410"/>
      <c r="AE11" s="410"/>
      <c r="AF11" s="410"/>
      <c r="AG11" s="410"/>
      <c r="AH11" s="410"/>
      <c r="AI11" s="410"/>
      <c r="AJ11" s="410"/>
      <c r="AK11" s="410"/>
      <c r="AL11" s="410"/>
      <c r="AM11" s="410"/>
      <c r="AN11" s="410"/>
      <c r="AO11" s="410" t="s">
        <v>650</v>
      </c>
      <c r="AP11" s="632"/>
      <c r="AQ11" s="410" t="s">
        <v>1022</v>
      </c>
      <c r="AR11" s="410"/>
      <c r="AS11" s="410"/>
      <c r="AT11" s="410"/>
      <c r="AU11" s="410"/>
      <c r="AV11" s="410"/>
      <c r="AW11" s="410"/>
      <c r="AX11" s="410"/>
      <c r="AY11" s="410"/>
      <c r="AZ11" s="410"/>
      <c r="BA11" s="656"/>
      <c r="BB11" s="462">
        <v>1669140</v>
      </c>
      <c r="BC11" s="877">
        <v>31240.34</v>
      </c>
      <c r="BD11" s="511">
        <v>1667642</v>
      </c>
      <c r="BE11" s="1007">
        <v>2095.91</v>
      </c>
      <c r="BF11" s="511">
        <v>1904606</v>
      </c>
      <c r="BG11" s="1007">
        <v>749.51</v>
      </c>
      <c r="BH11" s="532"/>
      <c r="BI11" s="1008"/>
      <c r="BJ11" s="533">
        <v>1720197</v>
      </c>
      <c r="BK11" s="1009">
        <v>139.9</v>
      </c>
      <c r="BL11" s="512">
        <v>1669140</v>
      </c>
      <c r="BM11" s="878">
        <v>14992.41</v>
      </c>
      <c r="BN11" s="443"/>
      <c r="BO11" s="444">
        <f>BM11+BG11+BE11+BC11+BK11+BQ11</f>
        <v>48468.56</v>
      </c>
      <c r="BP11" s="158">
        <v>2087476</v>
      </c>
      <c r="BQ11" s="158">
        <v>-749.51</v>
      </c>
      <c r="BR11" s="439"/>
      <c r="BS11" s="440"/>
      <c r="BT11" s="433"/>
      <c r="BU11" s="633"/>
      <c r="BV11" s="433"/>
      <c r="BW11" s="633"/>
      <c r="BX11" s="435"/>
      <c r="BY11" s="779"/>
      <c r="BZ11" s="441"/>
      <c r="CA11" s="634"/>
      <c r="CB11" s="443"/>
      <c r="CC11" s="444"/>
    </row>
    <row r="12" spans="1:82" s="158" customFormat="1">
      <c r="A12" s="409">
        <v>69</v>
      </c>
      <c r="B12" s="409">
        <v>786</v>
      </c>
      <c r="C12" s="409" t="s">
        <v>851</v>
      </c>
      <c r="D12" s="409">
        <v>3</v>
      </c>
      <c r="E12" s="409"/>
      <c r="F12" s="409"/>
      <c r="G12" s="409"/>
      <c r="H12" s="409"/>
      <c r="I12" s="409"/>
      <c r="J12" s="409"/>
      <c r="K12" s="409"/>
      <c r="L12" s="409"/>
      <c r="M12" s="409"/>
      <c r="N12" s="409"/>
      <c r="O12" s="409"/>
      <c r="P12" s="409"/>
      <c r="Q12" s="409"/>
      <c r="R12" s="409"/>
      <c r="S12" s="409"/>
      <c r="T12" s="409" t="s">
        <v>650</v>
      </c>
      <c r="U12" s="409"/>
      <c r="V12" s="409"/>
      <c r="W12" s="409"/>
      <c r="X12" s="409"/>
      <c r="Y12" s="409" t="s">
        <v>650</v>
      </c>
      <c r="Z12" s="409"/>
      <c r="AA12" s="409"/>
      <c r="AB12" s="409"/>
      <c r="AC12" s="409" t="s">
        <v>650</v>
      </c>
      <c r="AD12" s="409"/>
      <c r="AE12" s="409"/>
      <c r="AF12" s="409"/>
      <c r="AG12" s="409"/>
      <c r="AH12" s="409"/>
      <c r="AI12" s="409"/>
      <c r="AJ12" s="409" t="s">
        <v>650</v>
      </c>
      <c r="AK12" s="409" t="s">
        <v>650</v>
      </c>
      <c r="AL12" s="409"/>
      <c r="AM12" s="409"/>
      <c r="AN12" s="409"/>
      <c r="AO12" s="409" t="s">
        <v>650</v>
      </c>
      <c r="AP12" s="632"/>
      <c r="AQ12" s="409" t="s">
        <v>1023</v>
      </c>
      <c r="AR12" s="409"/>
      <c r="AS12" s="409"/>
      <c r="AT12" s="409"/>
      <c r="AU12" s="409"/>
      <c r="AV12" s="409"/>
      <c r="AW12" s="409"/>
      <c r="AX12" s="409"/>
      <c r="AY12" s="409"/>
      <c r="AZ12" s="409"/>
      <c r="BA12" s="557"/>
      <c r="BB12" s="840">
        <v>1919090</v>
      </c>
      <c r="BC12" s="841">
        <v>23822.22</v>
      </c>
      <c r="BD12" s="842">
        <v>1667642</v>
      </c>
      <c r="BE12" s="843">
        <v>3759.28</v>
      </c>
      <c r="BF12" s="842">
        <v>1919057</v>
      </c>
      <c r="BG12" s="1026">
        <v>139.9</v>
      </c>
      <c r="BH12" s="532"/>
      <c r="BI12" s="1008"/>
      <c r="BJ12" s="936" t="s">
        <v>1024</v>
      </c>
      <c r="BK12" s="941">
        <v>287.33</v>
      </c>
      <c r="BL12" s="512">
        <v>1919090</v>
      </c>
      <c r="BM12" s="878">
        <v>11497.76</v>
      </c>
      <c r="BN12" s="443"/>
      <c r="BO12" s="444">
        <f>BM12+BG12+BE12+BC12+BK12+BQ12</f>
        <v>39219.160000000003</v>
      </c>
      <c r="BP12" s="1030">
        <v>2156899</v>
      </c>
      <c r="BQ12" s="1030">
        <v>-287.33</v>
      </c>
      <c r="BR12" s="439"/>
      <c r="BS12" s="440"/>
      <c r="BT12" s="433"/>
      <c r="BU12" s="633"/>
      <c r="BV12" s="433"/>
      <c r="BW12" s="633"/>
      <c r="BX12" s="435"/>
      <c r="BY12" s="779"/>
      <c r="BZ12" s="441"/>
      <c r="CA12" s="634"/>
      <c r="CB12" s="443"/>
      <c r="CC12" s="444"/>
    </row>
    <row r="13" spans="1:82" s="158" customFormat="1">
      <c r="A13" s="410">
        <v>70</v>
      </c>
      <c r="B13" s="410">
        <v>601</v>
      </c>
      <c r="C13" s="410" t="s">
        <v>1019</v>
      </c>
      <c r="D13" s="410">
        <v>3</v>
      </c>
      <c r="E13" s="410"/>
      <c r="F13" s="410"/>
      <c r="G13" s="410"/>
      <c r="H13" s="410"/>
      <c r="I13" s="410"/>
      <c r="J13" s="410"/>
      <c r="K13" s="410"/>
      <c r="L13" s="410"/>
      <c r="M13" s="410"/>
      <c r="N13" s="410"/>
      <c r="O13" s="410"/>
      <c r="P13" s="410"/>
      <c r="Q13" s="410" t="s">
        <v>650</v>
      </c>
      <c r="R13" s="410"/>
      <c r="S13" s="410"/>
      <c r="T13" s="410"/>
      <c r="U13" s="410"/>
      <c r="V13" s="826" t="s">
        <v>650</v>
      </c>
      <c r="W13" s="410"/>
      <c r="X13" s="410"/>
      <c r="Y13" s="850" t="s">
        <v>650</v>
      </c>
      <c r="Z13" s="410"/>
      <c r="AA13" s="410"/>
      <c r="AB13" s="410" t="s">
        <v>650</v>
      </c>
      <c r="AC13" s="410"/>
      <c r="AD13" s="410"/>
      <c r="AE13" s="410"/>
      <c r="AF13" s="410"/>
      <c r="AG13" s="410"/>
      <c r="AH13" s="410"/>
      <c r="AI13" s="410"/>
      <c r="AJ13" s="410"/>
      <c r="AK13" s="410"/>
      <c r="AL13" s="410"/>
      <c r="AM13" s="410"/>
      <c r="AN13" s="410"/>
      <c r="AO13" s="410" t="s">
        <v>650</v>
      </c>
      <c r="AP13" s="632"/>
      <c r="AQ13" s="410" t="s">
        <v>1025</v>
      </c>
      <c r="AR13" s="410"/>
      <c r="AS13" s="410"/>
      <c r="AT13" s="410"/>
      <c r="AU13" s="410"/>
      <c r="AV13" s="410"/>
      <c r="AW13" s="410"/>
      <c r="AX13" s="410"/>
      <c r="AY13" s="410"/>
      <c r="AZ13" s="410"/>
      <c r="BA13" s="656"/>
      <c r="BB13" s="840">
        <v>1956393</v>
      </c>
      <c r="BC13" s="841">
        <v>29900.27</v>
      </c>
      <c r="BD13" s="842">
        <v>1667642</v>
      </c>
      <c r="BE13" s="843">
        <v>6232.96</v>
      </c>
      <c r="BF13" s="511"/>
      <c r="BG13" s="1021"/>
      <c r="BH13" s="532"/>
      <c r="BI13" s="1008"/>
      <c r="BJ13" s="936">
        <v>1955376</v>
      </c>
      <c r="BK13" s="941">
        <v>139.9</v>
      </c>
      <c r="BL13" s="512">
        <v>1956393</v>
      </c>
      <c r="BM13" s="878">
        <v>14992.41</v>
      </c>
      <c r="BN13" s="443"/>
      <c r="BO13" s="444">
        <f>BM13+BG13+BE13+BC13+BK13</f>
        <v>51265.54</v>
      </c>
      <c r="BR13" s="439"/>
      <c r="BS13" s="440"/>
      <c r="BT13" s="433"/>
      <c r="BU13" s="633"/>
      <c r="BV13" s="433"/>
      <c r="BW13" s="633"/>
      <c r="BX13" s="435"/>
      <c r="BY13" s="779"/>
      <c r="BZ13" s="441"/>
      <c r="CA13" s="634"/>
      <c r="CB13" s="443"/>
      <c r="CC13" s="444"/>
    </row>
    <row r="14" spans="1:82">
      <c r="A14" s="7">
        <v>71</v>
      </c>
      <c r="B14" s="7">
        <v>601</v>
      </c>
      <c r="C14" s="7" t="s">
        <v>851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13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103"/>
      <c r="BB14" s="234"/>
      <c r="BC14" s="174"/>
      <c r="BD14" s="857"/>
      <c r="BE14" s="860"/>
      <c r="BF14" s="187"/>
      <c r="BG14" s="265"/>
      <c r="BH14" s="269"/>
      <c r="BI14" s="301"/>
      <c r="BJ14" s="358"/>
      <c r="BK14" s="359"/>
      <c r="BL14" s="853"/>
      <c r="BM14" s="851"/>
      <c r="BN14" s="363"/>
      <c r="BO14" s="356">
        <f t="shared" si="0"/>
        <v>0</v>
      </c>
      <c r="BR14" s="219"/>
      <c r="BS14" s="225"/>
      <c r="BT14" s="187"/>
      <c r="BU14" s="265"/>
      <c r="BV14" s="187"/>
      <c r="BW14" s="265"/>
      <c r="BX14" s="269"/>
      <c r="BY14" s="270"/>
      <c r="BZ14" s="358"/>
      <c r="CA14" s="359"/>
      <c r="CB14" s="363"/>
      <c r="CC14" s="356"/>
    </row>
    <row r="15" spans="1:82">
      <c r="A15" s="9">
        <v>72</v>
      </c>
      <c r="B15" s="9">
        <v>639</v>
      </c>
      <c r="C15" s="9" t="s">
        <v>1019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13"/>
      <c r="AQ15" s="9"/>
      <c r="AR15" s="410"/>
      <c r="AS15" s="410"/>
      <c r="AT15" s="410"/>
      <c r="AU15" s="410"/>
      <c r="AV15" s="410"/>
      <c r="AW15" s="410"/>
      <c r="AX15" s="410"/>
      <c r="AY15" s="410"/>
      <c r="AZ15" s="410"/>
      <c r="BA15" s="656"/>
      <c r="BB15" s="233"/>
      <c r="BC15" s="178"/>
      <c r="BD15" s="857"/>
      <c r="BE15" s="860"/>
      <c r="BF15" s="187"/>
      <c r="BG15" s="265"/>
      <c r="BH15" s="269"/>
      <c r="BI15" s="301"/>
      <c r="BJ15" s="358"/>
      <c r="BK15" s="359"/>
      <c r="BL15" s="853"/>
      <c r="BM15" s="851"/>
      <c r="BN15" s="363"/>
      <c r="BO15" s="356">
        <f t="shared" si="0"/>
        <v>0</v>
      </c>
      <c r="BR15" s="219"/>
      <c r="BS15" s="247"/>
      <c r="BT15" s="187"/>
      <c r="BU15" s="265"/>
      <c r="BV15" s="187"/>
      <c r="BW15" s="265"/>
      <c r="BX15" s="269"/>
      <c r="BY15" s="270"/>
      <c r="BZ15" s="358"/>
      <c r="CA15" s="359"/>
      <c r="CB15" s="363"/>
      <c r="CC15" s="356"/>
    </row>
    <row r="16" spans="1:82">
      <c r="A16" s="7">
        <v>73</v>
      </c>
      <c r="B16" s="7">
        <v>786</v>
      </c>
      <c r="C16" s="7" t="s">
        <v>688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13"/>
      <c r="AQ16" s="7"/>
      <c r="AR16" s="409"/>
      <c r="AS16" s="409"/>
      <c r="AT16" s="409"/>
      <c r="AU16" s="409"/>
      <c r="AV16" s="409"/>
      <c r="AW16" s="409"/>
      <c r="AX16" s="409"/>
      <c r="AY16" s="409"/>
      <c r="AZ16" s="409"/>
      <c r="BA16" s="557"/>
      <c r="BB16" s="854"/>
      <c r="BC16" s="945"/>
      <c r="BD16" s="857"/>
      <c r="BE16" s="860"/>
      <c r="BF16" s="187"/>
      <c r="BG16" s="265"/>
      <c r="BH16" s="269"/>
      <c r="BI16" s="301"/>
      <c r="BJ16" s="358"/>
      <c r="BK16" s="359"/>
      <c r="BL16" s="322"/>
      <c r="BM16" s="947"/>
      <c r="BN16" s="363"/>
      <c r="BO16" s="356">
        <f t="shared" si="0"/>
        <v>0</v>
      </c>
      <c r="BR16" s="948"/>
      <c r="BS16" s="949"/>
      <c r="BT16" s="614"/>
      <c r="BU16" s="950"/>
      <c r="BV16" s="614"/>
      <c r="BW16" s="950"/>
      <c r="BX16" s="951"/>
      <c r="BY16" s="952"/>
      <c r="BZ16" s="358"/>
      <c r="CA16" s="359"/>
      <c r="CB16" s="363"/>
      <c r="CC16" s="356"/>
    </row>
    <row r="17" spans="1:81">
      <c r="A17" s="9">
        <v>74</v>
      </c>
      <c r="B17" s="9">
        <v>601</v>
      </c>
      <c r="C17" s="9" t="s">
        <v>851</v>
      </c>
      <c r="D17" s="5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13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141"/>
      <c r="BB17" s="234"/>
      <c r="BC17" s="174"/>
      <c r="BD17" s="187"/>
      <c r="BE17" s="188"/>
      <c r="BF17" s="187"/>
      <c r="BG17" s="265"/>
      <c r="BH17" s="269"/>
      <c r="BI17" s="301"/>
      <c r="BJ17" s="358"/>
      <c r="BK17" s="360"/>
      <c r="BL17" s="219"/>
      <c r="BM17" s="225"/>
      <c r="BN17" s="363"/>
      <c r="BO17" s="356">
        <f t="shared" si="0"/>
        <v>0</v>
      </c>
      <c r="BR17" s="608"/>
      <c r="BS17" s="608"/>
      <c r="BT17" s="609"/>
      <c r="BU17" s="609"/>
      <c r="BV17" s="609"/>
      <c r="BW17" s="609"/>
      <c r="BX17" s="953"/>
      <c r="BY17" s="954"/>
      <c r="BZ17" s="613"/>
      <c r="CA17" s="360"/>
    </row>
    <row r="18" spans="1:81">
      <c r="A18" s="7">
        <v>75</v>
      </c>
      <c r="B18" s="7">
        <v>639</v>
      </c>
      <c r="C18" s="7" t="s">
        <v>1019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13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103"/>
      <c r="BB18" s="234"/>
      <c r="BC18" s="174"/>
      <c r="BD18" s="187"/>
      <c r="BE18" s="188"/>
      <c r="BF18" s="187"/>
      <c r="BG18" s="188"/>
      <c r="BH18" s="269"/>
      <c r="BI18" s="301"/>
      <c r="BJ18" s="358"/>
      <c r="BK18" s="360"/>
      <c r="BL18" s="219"/>
      <c r="BM18" s="225"/>
      <c r="BN18" s="363"/>
      <c r="BO18" s="356">
        <f t="shared" si="0"/>
        <v>0</v>
      </c>
      <c r="BR18" s="696"/>
      <c r="BS18" s="696"/>
      <c r="BT18" s="697"/>
      <c r="BU18" s="697"/>
      <c r="BV18" s="697"/>
      <c r="BW18" s="697"/>
      <c r="BX18" s="955"/>
      <c r="BY18" s="956"/>
      <c r="BZ18" s="957"/>
      <c r="CA18" s="958"/>
    </row>
    <row r="19" spans="1:81">
      <c r="A19" s="9">
        <v>76</v>
      </c>
      <c r="B19" s="50">
        <v>29</v>
      </c>
      <c r="C19" s="50" t="s">
        <v>851</v>
      </c>
      <c r="D19" s="5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13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141"/>
      <c r="BB19" s="234"/>
      <c r="BC19" s="174"/>
      <c r="BD19" s="187"/>
      <c r="BE19" s="598"/>
      <c r="BF19" s="187"/>
      <c r="BG19" s="265"/>
      <c r="BH19" s="710"/>
      <c r="BI19" s="713"/>
      <c r="BJ19" s="358"/>
      <c r="BK19" s="535"/>
      <c r="BL19" s="219"/>
      <c r="BM19" s="225"/>
      <c r="BN19" s="363"/>
      <c r="BO19" s="356">
        <f t="shared" si="0"/>
        <v>0</v>
      </c>
      <c r="BR19" s="718"/>
      <c r="BS19" s="760"/>
      <c r="BT19" s="724"/>
      <c r="BU19" s="735"/>
      <c r="BV19" s="724"/>
      <c r="BW19" s="735"/>
      <c r="BX19" s="741"/>
      <c r="BY19" s="754"/>
      <c r="BZ19" s="745"/>
      <c r="CA19" s="746"/>
      <c r="CB19" s="694"/>
      <c r="CC19" s="690"/>
    </row>
  </sheetData>
  <mergeCells count="1">
    <mergeCell ref="A1:C1"/>
  </mergeCells>
  <conditionalFormatting sqref="E3:E19">
    <cfRule type="expression" dxfId="662" priority="20">
      <formula>B3=29</formula>
    </cfRule>
    <cfRule type="expression" dxfId="661" priority="56">
      <formula>B3=639</formula>
    </cfRule>
    <cfRule type="expression" dxfId="660" priority="76">
      <formula>B3=601</formula>
    </cfRule>
  </conditionalFormatting>
  <conditionalFormatting sqref="F3:F57">
    <cfRule type="expression" dxfId="659" priority="19">
      <formula>B3=29</formula>
    </cfRule>
    <cfRule type="expression" dxfId="658" priority="38">
      <formula>B3=786</formula>
    </cfRule>
    <cfRule type="expression" dxfId="657" priority="86">
      <formula>B3=914</formula>
    </cfRule>
    <cfRule type="expression" dxfId="656" priority="97">
      <formula>B3=260</formula>
    </cfRule>
  </conditionalFormatting>
  <conditionalFormatting sqref="G3:G19">
    <cfRule type="expression" dxfId="655" priority="18">
      <formula>B3=29</formula>
    </cfRule>
    <cfRule type="expression" dxfId="654" priority="55">
      <formula>B3=639</formula>
    </cfRule>
    <cfRule type="expression" dxfId="653" priority="75">
      <formula>B3=601</formula>
    </cfRule>
  </conditionalFormatting>
  <conditionalFormatting sqref="G3:G57">
    <cfRule type="expression" dxfId="652" priority="90">
      <formula>B3=846</formula>
    </cfRule>
  </conditionalFormatting>
  <conditionalFormatting sqref="H3:H19">
    <cfRule type="expression" dxfId="651" priority="37">
      <formula>B3=786</formula>
    </cfRule>
    <cfRule type="expression" dxfId="650" priority="74">
      <formula>B3=601</formula>
    </cfRule>
  </conditionalFormatting>
  <conditionalFormatting sqref="H3:H57">
    <cfRule type="expression" dxfId="649" priority="96">
      <formula>B3=260</formula>
    </cfRule>
  </conditionalFormatting>
  <conditionalFormatting sqref="I3:I19">
    <cfRule type="expression" dxfId="648" priority="36">
      <formula>B3=786</formula>
    </cfRule>
    <cfRule type="expression" dxfId="647" priority="73">
      <formula>B3=601</formula>
    </cfRule>
  </conditionalFormatting>
  <conditionalFormatting sqref="I3:I57">
    <cfRule type="expression" dxfId="646" priority="85">
      <formula>B3=914</formula>
    </cfRule>
    <cfRule type="expression" dxfId="645" priority="89">
      <formula>B3=846</formula>
    </cfRule>
  </conditionalFormatting>
  <conditionalFormatting sqref="J3:J19">
    <cfRule type="expression" dxfId="644" priority="17">
      <formula>B3=29</formula>
    </cfRule>
    <cfRule type="expression" dxfId="643" priority="35">
      <formula>B3=786</formula>
    </cfRule>
    <cfRule type="expression" dxfId="642" priority="54">
      <formula>B3=639</formula>
    </cfRule>
  </conditionalFormatting>
  <conditionalFormatting sqref="J3:J57">
    <cfRule type="expression" dxfId="641" priority="84">
      <formula>B3=914</formula>
    </cfRule>
    <cfRule type="expression" dxfId="640" priority="88">
      <formula>B3=846</formula>
    </cfRule>
  </conditionalFormatting>
  <conditionalFormatting sqref="K3:K19">
    <cfRule type="expression" dxfId="639" priority="34">
      <formula>B3=786</formula>
    </cfRule>
    <cfRule type="expression" dxfId="638" priority="53">
      <formula>B3=639</formula>
    </cfRule>
    <cfRule type="expression" dxfId="637" priority="72">
      <formula>B3=601</formula>
    </cfRule>
  </conditionalFormatting>
  <conditionalFormatting sqref="L3:L57">
    <cfRule type="expression" dxfId="636" priority="16">
      <formula>B3=29</formula>
    </cfRule>
    <cfRule type="expression" dxfId="635" priority="95">
      <formula>B3=260</formula>
    </cfRule>
  </conditionalFormatting>
  <conditionalFormatting sqref="M3:M57">
    <cfRule type="expression" dxfId="634" priority="33">
      <formula>B3=786</formula>
    </cfRule>
    <cfRule type="expression" dxfId="633" priority="83">
      <formula>B3=914</formula>
    </cfRule>
  </conditionalFormatting>
  <conditionalFormatting sqref="N3:N57">
    <cfRule type="expression" dxfId="632" priority="82">
      <formula>B3=914</formula>
    </cfRule>
  </conditionalFormatting>
  <conditionalFormatting sqref="O3:O19">
    <cfRule type="expression" dxfId="631" priority="32">
      <formula>B3=786</formula>
    </cfRule>
    <cfRule type="expression" dxfId="630" priority="52">
      <formula>B3=639</formula>
    </cfRule>
    <cfRule type="expression" dxfId="629" priority="71">
      <formula>B3=601</formula>
    </cfRule>
  </conditionalFormatting>
  <conditionalFormatting sqref="O3:O57">
    <cfRule type="expression" dxfId="628" priority="80">
      <formula>B3=846</formula>
    </cfRule>
    <cfRule type="expression" dxfId="627" priority="81">
      <formula>B3=914</formula>
    </cfRule>
    <cfRule type="expression" dxfId="626" priority="94">
      <formula>B3=260</formula>
    </cfRule>
  </conditionalFormatting>
  <conditionalFormatting sqref="P3:P19">
    <cfRule type="expression" dxfId="625" priority="15">
      <formula>B3=29</formula>
    </cfRule>
    <cfRule type="expression" dxfId="624" priority="31">
      <formula>B3=786</formula>
    </cfRule>
    <cfRule type="expression" dxfId="623" priority="51">
      <formula>B3=639</formula>
    </cfRule>
  </conditionalFormatting>
  <conditionalFormatting sqref="Q3:Q19">
    <cfRule type="expression" dxfId="622" priority="30">
      <formula>B3=786</formula>
    </cfRule>
  </conditionalFormatting>
  <conditionalFormatting sqref="R3:R19">
    <cfRule type="expression" dxfId="621" priority="29">
      <formula>B3=786</formula>
    </cfRule>
    <cfRule type="expression" dxfId="620" priority="70">
      <formula>B3=601</formula>
    </cfRule>
  </conditionalFormatting>
  <conditionalFormatting sqref="R3:R57">
    <cfRule type="expression" dxfId="619" priority="79">
      <formula>B3=914</formula>
    </cfRule>
    <cfRule type="expression" dxfId="618" priority="93">
      <formula>B3=260</formula>
    </cfRule>
  </conditionalFormatting>
  <conditionalFormatting sqref="S3:S19">
    <cfRule type="expression" dxfId="617" priority="14">
      <formula>B3=29</formula>
    </cfRule>
    <cfRule type="expression" dxfId="616" priority="28">
      <formula>B3=786</formula>
    </cfRule>
    <cfRule type="expression" dxfId="615" priority="69">
      <formula>B3=601</formula>
    </cfRule>
  </conditionalFormatting>
  <conditionalFormatting sqref="S3:S57">
    <cfRule type="expression" dxfId="614" priority="78">
      <formula>B3=914</formula>
    </cfRule>
    <cfRule type="expression" dxfId="613" priority="87">
      <formula>B3=846</formula>
    </cfRule>
  </conditionalFormatting>
  <conditionalFormatting sqref="T3:T19">
    <cfRule type="expression" dxfId="612" priority="50">
      <formula>B3=639</formula>
    </cfRule>
  </conditionalFormatting>
  <conditionalFormatting sqref="U3:U57">
    <cfRule type="expression" dxfId="611" priority="77">
      <formula>B3=914</formula>
    </cfRule>
    <cfRule type="expression" dxfId="610" priority="92">
      <formula>B3=260</formula>
    </cfRule>
  </conditionalFormatting>
  <conditionalFormatting sqref="V3:V19">
    <cfRule type="expression" dxfId="609" priority="49">
      <formula>B3=639</formula>
    </cfRule>
  </conditionalFormatting>
  <conditionalFormatting sqref="W3:W19">
    <cfRule type="expression" dxfId="608" priority="13">
      <formula>B3=29</formula>
    </cfRule>
    <cfRule type="expression" dxfId="607" priority="27">
      <formula>B3=786</formula>
    </cfRule>
    <cfRule type="expression" dxfId="606" priority="48">
      <formula>B3=639</formula>
    </cfRule>
  </conditionalFormatting>
  <conditionalFormatting sqref="W3:W57">
    <cfRule type="expression" dxfId="605" priority="91">
      <formula>B3=260</formula>
    </cfRule>
  </conditionalFormatting>
  <conditionalFormatting sqref="X3:Y19">
    <cfRule type="expression" dxfId="604" priority="12">
      <formula>B3=29</formula>
    </cfRule>
    <cfRule type="expression" dxfId="603" priority="47">
      <formula>B3=639</formula>
    </cfRule>
    <cfRule type="expression" dxfId="602" priority="68">
      <formula>B3=601</formula>
    </cfRule>
  </conditionalFormatting>
  <conditionalFormatting sqref="Z3:Z19">
    <cfRule type="expression" dxfId="601" priority="67">
      <formula>B3=601</formula>
    </cfRule>
  </conditionalFormatting>
  <conditionalFormatting sqref="AA3:AA19">
    <cfRule type="expression" dxfId="600" priority="11">
      <formula>B3=29</formula>
    </cfRule>
    <cfRule type="expression" dxfId="599" priority="26">
      <formula>B3=786</formula>
    </cfRule>
    <cfRule type="expression" dxfId="598" priority="66">
      <formula>B3=601</formula>
    </cfRule>
  </conditionalFormatting>
  <conditionalFormatting sqref="AB3:AB19">
    <cfRule type="expression" dxfId="597" priority="9">
      <formula>B3=29</formula>
    </cfRule>
  </conditionalFormatting>
  <conditionalFormatting sqref="AC3:AC19">
    <cfRule type="expression" dxfId="596" priority="10">
      <formula>B3=29</formula>
    </cfRule>
  </conditionalFormatting>
  <conditionalFormatting sqref="AD3:AD19">
    <cfRule type="expression" dxfId="595" priority="8">
      <formula>B3=29</formula>
    </cfRule>
    <cfRule type="expression" dxfId="594" priority="45">
      <formula>B3=639</formula>
    </cfRule>
  </conditionalFormatting>
  <conditionalFormatting sqref="AE3:AE19">
    <cfRule type="expression" dxfId="593" priority="25">
      <formula>B3=786</formula>
    </cfRule>
    <cfRule type="expression" dxfId="592" priority="64">
      <formula>B3=601</formula>
    </cfRule>
  </conditionalFormatting>
  <conditionalFormatting sqref="AF3:AF19">
    <cfRule type="expression" dxfId="591" priority="7">
      <formula>B3=29</formula>
    </cfRule>
    <cfRule type="expression" dxfId="590" priority="63">
      <formula>B3=601</formula>
    </cfRule>
  </conditionalFormatting>
  <conditionalFormatting sqref="AG3:AG19">
    <cfRule type="expression" dxfId="589" priority="6">
      <formula>B3=29</formula>
    </cfRule>
    <cfRule type="expression" dxfId="588" priority="24">
      <formula>B3=786</formula>
    </cfRule>
    <cfRule type="expression" dxfId="587" priority="62">
      <formula>B3=601</formula>
    </cfRule>
  </conditionalFormatting>
  <conditionalFormatting sqref="AI3:AI19">
    <cfRule type="expression" dxfId="586" priority="23">
      <formula>B3=786</formula>
    </cfRule>
    <cfRule type="expression" dxfId="585" priority="44">
      <formula>B3=639</formula>
    </cfRule>
    <cfRule type="expression" dxfId="584" priority="61">
      <formula>B3=601</formula>
    </cfRule>
  </conditionalFormatting>
  <conditionalFormatting sqref="AJ3:AJ19">
    <cfRule type="expression" dxfId="583" priority="43">
      <formula>B3=639</formula>
    </cfRule>
    <cfRule type="expression" dxfId="582" priority="60">
      <formula>B3=601</formula>
    </cfRule>
  </conditionalFormatting>
  <conditionalFormatting sqref="AK3:AK19">
    <cfRule type="expression" dxfId="581" priority="5">
      <formula>B3=29</formula>
    </cfRule>
    <cfRule type="expression" dxfId="580" priority="42">
      <formula>B3=639</formula>
    </cfRule>
    <cfRule type="expression" dxfId="579" priority="59">
      <formula>B3=601</formula>
    </cfRule>
  </conditionalFormatting>
  <conditionalFormatting sqref="AL3:AL19">
    <cfRule type="expression" dxfId="578" priority="22">
      <formula>B3=786</formula>
    </cfRule>
    <cfRule type="expression" dxfId="577" priority="41">
      <formula>B3=639</formula>
    </cfRule>
    <cfRule type="expression" dxfId="576" priority="58">
      <formula>B3=601</formula>
    </cfRule>
  </conditionalFormatting>
  <conditionalFormatting sqref="AM3:AM19">
    <cfRule type="expression" dxfId="575" priority="4">
      <formula>B3=29</formula>
    </cfRule>
    <cfRule type="expression" dxfId="574" priority="40">
      <formula>B3=639</formula>
    </cfRule>
  </conditionalFormatting>
  <conditionalFormatting sqref="AN3:AN19">
    <cfRule type="expression" dxfId="573" priority="21">
      <formula>B3=786</formula>
    </cfRule>
    <cfRule type="expression" dxfId="572" priority="39">
      <formula>B3=639</formula>
    </cfRule>
    <cfRule type="expression" dxfId="571" priority="57">
      <formula>B3=601</formula>
    </cfRule>
  </conditionalFormatting>
  <conditionalFormatting sqref="AO3:AO19">
    <cfRule type="expression" dxfId="570" priority="1">
      <formula>S3=29</formula>
    </cfRule>
    <cfRule type="expression" dxfId="569" priority="2">
      <formula>S3=639</formula>
    </cfRule>
    <cfRule type="expression" dxfId="568" priority="3">
      <formula>S3=601</formula>
    </cfRule>
  </conditionalFormatting>
  <pageMargins left="0.7" right="0.7" top="0.75" bottom="0.75" header="0.3" footer="0.3"/>
  <pageSetup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7BDD-374D-45B6-AE60-3B307013B91A}">
  <dimension ref="A1:BS68"/>
  <sheetViews>
    <sheetView zoomScale="70" zoomScaleNormal="70" workbookViewId="0">
      <pane ySplit="2" topLeftCell="A4" activePane="bottomLeft" state="frozen"/>
      <selection pane="bottomLeft" activeCell="A4" sqref="A4"/>
    </sheetView>
  </sheetViews>
  <sheetFormatPr defaultColWidth="8.85546875" defaultRowHeight="14.45"/>
  <cols>
    <col min="1" max="1" width="28" style="5" customWidth="1"/>
    <col min="2" max="2" width="8.85546875" style="5"/>
    <col min="3" max="3" width="5.28515625" style="5" bestFit="1" customWidth="1"/>
    <col min="4" max="13" width="5.28515625" style="5" customWidth="1"/>
    <col min="14" max="14" width="9.140625" style="5" bestFit="1" customWidth="1"/>
    <col min="15" max="15" width="9.140625" style="5" customWidth="1"/>
    <col min="16" max="18" width="6.140625" bestFit="1" customWidth="1"/>
    <col min="19" max="19" width="7.42578125" style="5" bestFit="1" customWidth="1"/>
    <col min="20" max="20" width="5.42578125" style="5" bestFit="1" customWidth="1"/>
    <col min="21" max="22" width="6.28515625" style="5" bestFit="1" customWidth="1"/>
    <col min="23" max="28" width="8.28515625" style="5" bestFit="1" customWidth="1"/>
    <col min="29" max="29" width="11.42578125" style="5" bestFit="1" customWidth="1"/>
    <col min="30" max="31" width="12.140625" style="5" bestFit="1" customWidth="1"/>
    <col min="32" max="32" width="6.85546875" bestFit="1" customWidth="1"/>
    <col min="33" max="34" width="8.28515625" style="5" bestFit="1" customWidth="1"/>
    <col min="35" max="35" width="8.85546875" style="5" bestFit="1" customWidth="1"/>
    <col min="36" max="37" width="9" style="5" bestFit="1" customWidth="1"/>
    <col min="38" max="38" width="8.5703125" style="5" customWidth="1"/>
    <col min="39" max="39" width="10.7109375" style="5" bestFit="1" customWidth="1"/>
    <col min="40" max="40" width="9.42578125" style="5" bestFit="1" customWidth="1"/>
    <col min="41" max="41" width="10" style="5" bestFit="1" customWidth="1"/>
    <col min="42" max="42" width="10.28515625" bestFit="1" customWidth="1"/>
    <col min="43" max="43" width="0.7109375" style="11" customWidth="1"/>
    <col min="44" max="44" width="24.85546875" style="5" bestFit="1" customWidth="1"/>
    <col min="45" max="46" width="4.7109375" style="5" hidden="1" customWidth="1"/>
    <col min="47" max="47" width="6.5703125" style="96" hidden="1" customWidth="1"/>
    <col min="48" max="48" width="11.5703125" style="5" hidden="1" customWidth="1"/>
    <col min="49" max="51" width="10.85546875" style="5" hidden="1" customWidth="1"/>
    <col min="52" max="52" width="12.7109375" style="5" hidden="1" customWidth="1"/>
    <col min="53" max="53" width="27" style="234" bestFit="1" customWidth="1"/>
    <col min="54" max="54" width="26.28515625" style="174" bestFit="1" customWidth="1"/>
    <col min="55" max="55" width="27" style="192" bestFit="1" customWidth="1"/>
    <col min="56" max="56" width="26.28515625" style="193" bestFit="1" customWidth="1"/>
    <col min="57" max="57" width="27" style="204" bestFit="1" customWidth="1"/>
    <col min="58" max="58" width="27" style="205" bestFit="1" customWidth="1"/>
    <col min="59" max="59" width="21.42578125" style="287" bestFit="1" customWidth="1"/>
    <col min="60" max="60" width="19" style="288" bestFit="1" customWidth="1"/>
    <col min="61" max="61" width="28.7109375" style="226" bestFit="1" customWidth="1"/>
    <col min="62" max="62" width="17.140625" style="248" bestFit="1" customWidth="1"/>
    <col min="63" max="63" width="25.7109375" style="254" bestFit="1" customWidth="1"/>
    <col min="64" max="64" width="19" style="255" bestFit="1" customWidth="1"/>
    <col min="65" max="65" width="9.140625" style="5"/>
    <col min="66" max="66" width="27" style="192" bestFit="1" customWidth="1"/>
    <col min="67" max="67" width="26.28515625" style="193" bestFit="1" customWidth="1"/>
    <col min="68" max="68" width="28.7109375" style="226" bestFit="1" customWidth="1"/>
    <col min="69" max="69" width="17.140625" style="248" bestFit="1" customWidth="1"/>
    <col min="70" max="70" width="25.7109375" style="254" bestFit="1" customWidth="1"/>
    <col min="71" max="71" width="19" style="255" bestFit="1" customWidth="1"/>
    <col min="72" max="16384" width="8.85546875" style="5"/>
  </cols>
  <sheetData>
    <row r="1" spans="1:71" ht="18.600000000000001">
      <c r="A1" s="22" t="s">
        <v>1026</v>
      </c>
      <c r="B1" s="23"/>
      <c r="C1" s="23"/>
      <c r="D1" s="24"/>
      <c r="E1" s="1035" t="s">
        <v>915</v>
      </c>
      <c r="F1" s="1036"/>
      <c r="G1" s="1037" t="s">
        <v>1027</v>
      </c>
      <c r="H1" s="1037"/>
      <c r="I1" s="1037"/>
      <c r="J1" s="1037"/>
      <c r="K1" s="1037"/>
      <c r="L1" s="1037"/>
      <c r="M1" s="1037"/>
      <c r="N1" s="158"/>
      <c r="O1" s="158"/>
      <c r="P1" s="24" t="s">
        <v>810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94"/>
      <c r="AV1" s="24"/>
      <c r="AW1" s="24"/>
      <c r="AX1" s="24"/>
      <c r="AY1" s="24"/>
      <c r="AZ1" s="24"/>
      <c r="BA1" s="296"/>
      <c r="BB1" s="430"/>
      <c r="BC1" s="294"/>
      <c r="BD1" s="297"/>
      <c r="BE1" s="294"/>
      <c r="BF1" s="294"/>
      <c r="BG1" s="294"/>
      <c r="BH1" s="297"/>
      <c r="BI1" s="294"/>
      <c r="BJ1" s="294"/>
      <c r="BK1" s="295"/>
      <c r="BL1" s="299"/>
      <c r="BN1" s="294"/>
      <c r="BO1" s="297"/>
      <c r="BP1" s="294"/>
      <c r="BQ1" s="294"/>
      <c r="BR1" s="295"/>
      <c r="BS1" s="299"/>
    </row>
    <row r="2" spans="1:71" s="81" customFormat="1" ht="138" customHeight="1">
      <c r="A2" s="104" t="s">
        <v>612</v>
      </c>
      <c r="B2" s="101" t="s">
        <v>613</v>
      </c>
      <c r="C2" s="101" t="s">
        <v>614</v>
      </c>
      <c r="D2" s="89" t="s">
        <v>615</v>
      </c>
      <c r="E2" s="92" t="s">
        <v>89</v>
      </c>
      <c r="F2" s="92" t="s">
        <v>365</v>
      </c>
      <c r="G2" s="92" t="s">
        <v>617</v>
      </c>
      <c r="H2" s="92" t="s">
        <v>79</v>
      </c>
      <c r="I2" s="92" t="s">
        <v>656</v>
      </c>
      <c r="J2" s="92" t="s">
        <v>186</v>
      </c>
      <c r="K2" s="92" t="s">
        <v>132</v>
      </c>
      <c r="L2" s="92" t="s">
        <v>208</v>
      </c>
      <c r="M2" s="92" t="s">
        <v>81</v>
      </c>
      <c r="N2" s="92" t="s">
        <v>210</v>
      </c>
      <c r="O2" s="92" t="s">
        <v>134</v>
      </c>
      <c r="P2" s="89" t="s">
        <v>356</v>
      </c>
      <c r="Q2" s="89" t="s">
        <v>191</v>
      </c>
      <c r="R2" s="89" t="s">
        <v>226</v>
      </c>
      <c r="S2" s="89" t="s">
        <v>144</v>
      </c>
      <c r="T2" s="89" t="s">
        <v>124</v>
      </c>
      <c r="U2" s="89" t="s">
        <v>140</v>
      </c>
      <c r="V2" s="89" t="s">
        <v>142</v>
      </c>
      <c r="W2" s="89" t="s">
        <v>195</v>
      </c>
      <c r="X2" s="89" t="s">
        <v>197</v>
      </c>
      <c r="Y2" s="89" t="s">
        <v>99</v>
      </c>
      <c r="Z2" s="89" t="s">
        <v>200</v>
      </c>
      <c r="AA2" s="89" t="s">
        <v>202</v>
      </c>
      <c r="AB2" s="89" t="s">
        <v>221</v>
      </c>
      <c r="AC2" s="89" t="s">
        <v>1028</v>
      </c>
      <c r="AD2" s="89" t="s">
        <v>1029</v>
      </c>
      <c r="AE2" s="89" t="s">
        <v>1030</v>
      </c>
      <c r="AF2" s="89" t="s">
        <v>146</v>
      </c>
      <c r="AG2" s="92" t="s">
        <v>99</v>
      </c>
      <c r="AH2" s="90" t="s">
        <v>200</v>
      </c>
      <c r="AI2" s="89" t="s">
        <v>369</v>
      </c>
      <c r="AJ2" s="89" t="s">
        <v>152</v>
      </c>
      <c r="AK2" s="89" t="s">
        <v>107</v>
      </c>
      <c r="AL2" s="90" t="s">
        <v>159</v>
      </c>
      <c r="AM2" s="89" t="s">
        <v>298</v>
      </c>
      <c r="AN2" s="89" t="s">
        <v>111</v>
      </c>
      <c r="AO2" s="89" t="s">
        <v>274</v>
      </c>
      <c r="AP2" s="89" t="s">
        <v>161</v>
      </c>
      <c r="AQ2" s="91" t="s">
        <v>289</v>
      </c>
      <c r="AR2" s="88" t="s">
        <v>612</v>
      </c>
      <c r="AS2" s="89" t="s">
        <v>621</v>
      </c>
      <c r="AT2" s="89" t="s">
        <v>622</v>
      </c>
      <c r="AU2" s="95" t="s">
        <v>624</v>
      </c>
      <c r="AV2" s="93" t="s">
        <v>918</v>
      </c>
      <c r="AW2" s="89" t="s">
        <v>626</v>
      </c>
      <c r="AX2" s="89" t="s">
        <v>919</v>
      </c>
      <c r="AY2" s="89" t="s">
        <v>920</v>
      </c>
      <c r="AZ2" s="165" t="s">
        <v>630</v>
      </c>
      <c r="BA2" s="427" t="s">
        <v>658</v>
      </c>
      <c r="BB2" s="428" t="s">
        <v>922</v>
      </c>
      <c r="BC2" s="429" t="s">
        <v>1031</v>
      </c>
      <c r="BD2" s="182" t="s">
        <v>1032</v>
      </c>
      <c r="BE2" s="194" t="s">
        <v>665</v>
      </c>
      <c r="BF2" s="256" t="s">
        <v>666</v>
      </c>
      <c r="BG2" s="278" t="s">
        <v>1033</v>
      </c>
      <c r="BH2" s="279" t="s">
        <v>1034</v>
      </c>
      <c r="BI2" s="217" t="s">
        <v>641</v>
      </c>
      <c r="BJ2" s="257" t="s">
        <v>669</v>
      </c>
      <c r="BK2" s="258" t="s">
        <v>1035</v>
      </c>
      <c r="BL2" s="232" t="s">
        <v>644</v>
      </c>
      <c r="BN2" s="429" t="s">
        <v>1031</v>
      </c>
      <c r="BO2" s="182" t="s">
        <v>1032</v>
      </c>
      <c r="BP2" s="217" t="s">
        <v>641</v>
      </c>
      <c r="BQ2" s="257" t="s">
        <v>669</v>
      </c>
      <c r="BR2" s="495" t="s">
        <v>1036</v>
      </c>
      <c r="BS2" s="232" t="s">
        <v>646</v>
      </c>
    </row>
    <row r="3" spans="1:71">
      <c r="A3" s="7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3"/>
      <c r="P3" s="7"/>
      <c r="Q3" s="7"/>
      <c r="R3" s="7"/>
      <c r="S3" s="7"/>
      <c r="T3" s="7"/>
      <c r="U3" s="7"/>
      <c r="V3" s="7"/>
      <c r="W3" s="13"/>
      <c r="X3" s="13"/>
      <c r="Y3" s="13"/>
      <c r="Z3" s="13"/>
      <c r="AA3" s="7"/>
      <c r="AB3" s="7"/>
      <c r="AC3" s="7"/>
      <c r="AD3" s="7"/>
      <c r="AE3" s="7"/>
      <c r="AF3" s="7"/>
      <c r="AG3" s="7"/>
      <c r="AH3" s="7"/>
      <c r="AI3" s="7"/>
      <c r="AJ3" s="13"/>
      <c r="AK3" s="7"/>
      <c r="AL3" s="7"/>
      <c r="AM3" s="7"/>
      <c r="AN3" s="7"/>
      <c r="AO3" s="7"/>
      <c r="AP3" s="7"/>
      <c r="AQ3" s="13"/>
      <c r="AR3" s="7"/>
      <c r="AS3" s="7"/>
      <c r="AT3" s="7"/>
      <c r="AU3" s="57"/>
      <c r="AV3" s="7"/>
      <c r="AW3" s="7"/>
      <c r="AX3" s="7"/>
      <c r="AY3" s="7"/>
      <c r="AZ3" s="166"/>
      <c r="BA3" s="273"/>
      <c r="BB3" s="172"/>
      <c r="BC3" s="185"/>
      <c r="BD3" s="186"/>
      <c r="BE3" s="236"/>
      <c r="BF3" s="237"/>
      <c r="BG3" s="280"/>
      <c r="BH3" s="281"/>
      <c r="BI3" s="221"/>
      <c r="BJ3" s="243"/>
      <c r="BK3" s="249" t="s">
        <v>1037</v>
      </c>
      <c r="BL3" s="229"/>
      <c r="BN3" s="185"/>
      <c r="BO3" s="186"/>
      <c r="BP3" s="221"/>
      <c r="BQ3" s="243"/>
      <c r="BR3" s="249"/>
      <c r="BS3" s="229"/>
    </row>
    <row r="4" spans="1:71">
      <c r="A4" s="529">
        <v>2</v>
      </c>
      <c r="B4" s="79" t="s">
        <v>355</v>
      </c>
      <c r="C4" s="21" t="s">
        <v>649</v>
      </c>
      <c r="D4" s="21">
        <v>3</v>
      </c>
      <c r="E4" s="21" t="s">
        <v>1038</v>
      </c>
      <c r="F4" s="21"/>
      <c r="G4" s="21" t="s">
        <v>650</v>
      </c>
      <c r="H4" s="21"/>
      <c r="I4" s="21" t="s">
        <v>650</v>
      </c>
      <c r="J4" s="21"/>
      <c r="K4" s="21"/>
      <c r="L4" s="21" t="s">
        <v>650</v>
      </c>
      <c r="M4" s="21" t="s">
        <v>650</v>
      </c>
      <c r="N4" s="21" t="s">
        <v>650</v>
      </c>
      <c r="O4" s="13"/>
      <c r="P4" s="21"/>
      <c r="Q4" s="21"/>
      <c r="R4" s="21"/>
      <c r="S4" s="108" t="s">
        <v>650</v>
      </c>
      <c r="T4" s="21"/>
      <c r="U4" s="21" t="s">
        <v>650</v>
      </c>
      <c r="V4" s="108"/>
      <c r="W4" s="13"/>
      <c r="X4" s="13"/>
      <c r="Y4" s="13"/>
      <c r="Z4" s="13"/>
      <c r="AA4" s="108"/>
      <c r="AB4" s="108"/>
      <c r="AC4" s="21"/>
      <c r="AD4" s="21" t="s">
        <v>650</v>
      </c>
      <c r="AE4" s="108"/>
      <c r="AF4" s="21"/>
      <c r="AG4" s="21"/>
      <c r="AH4" s="21" t="s">
        <v>650</v>
      </c>
      <c r="AI4" s="21" t="s">
        <v>650</v>
      </c>
      <c r="AJ4" s="13"/>
      <c r="AK4" s="21"/>
      <c r="AL4" s="21" t="s">
        <v>650</v>
      </c>
      <c r="AM4" s="108"/>
      <c r="AN4" s="108" t="s">
        <v>650</v>
      </c>
      <c r="AO4" s="21"/>
      <c r="AP4" s="21"/>
      <c r="AQ4" s="12"/>
      <c r="AR4" s="21" t="s">
        <v>1039</v>
      </c>
      <c r="AS4" s="79"/>
      <c r="AT4" s="21"/>
      <c r="AU4" s="56"/>
      <c r="AV4" s="21"/>
      <c r="AW4" s="21"/>
      <c r="AX4" s="21"/>
      <c r="AY4" s="21"/>
      <c r="AZ4" s="164"/>
      <c r="BA4" s="234">
        <v>96933595</v>
      </c>
      <c r="BB4" s="174">
        <v>24033.83</v>
      </c>
      <c r="BC4" s="185">
        <v>97081387</v>
      </c>
      <c r="BD4" s="186">
        <v>837.9</v>
      </c>
      <c r="BE4" s="236">
        <v>97035359</v>
      </c>
      <c r="BF4" s="304">
        <v>485.1</v>
      </c>
      <c r="BG4" s="282">
        <v>96931138</v>
      </c>
      <c r="BH4" s="160">
        <v>110.4</v>
      </c>
      <c r="BI4" s="221">
        <v>96933595</v>
      </c>
      <c r="BJ4" s="305">
        <v>12320.82</v>
      </c>
      <c r="BK4" s="250">
        <v>96933595</v>
      </c>
      <c r="BL4" s="230">
        <f>BH4+BB4+BF4+BJ4+BD4</f>
        <v>37788.050000000003</v>
      </c>
      <c r="BN4" s="185"/>
      <c r="BO4" s="186"/>
      <c r="BP4" s="221"/>
      <c r="BQ4" s="305"/>
      <c r="BR4" s="250"/>
      <c r="BS4" s="230"/>
    </row>
    <row r="5" spans="1:71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3"/>
      <c r="AR5" s="7"/>
      <c r="AS5" s="7"/>
      <c r="AT5" s="7"/>
      <c r="AU5" s="57"/>
      <c r="AV5" s="7"/>
      <c r="AW5" s="7"/>
      <c r="AX5" s="7"/>
      <c r="AY5" s="7"/>
      <c r="AZ5" s="103"/>
      <c r="BA5" s="233"/>
      <c r="BC5" s="187"/>
      <c r="BD5" s="188"/>
      <c r="BE5" s="198"/>
      <c r="BF5" s="238"/>
      <c r="BG5" s="282"/>
      <c r="BH5" s="160"/>
      <c r="BI5" s="219"/>
      <c r="BJ5" s="244"/>
      <c r="BK5" s="250"/>
      <c r="BL5" s="230"/>
      <c r="BN5" s="187"/>
      <c r="BO5" s="188"/>
      <c r="BP5" s="219"/>
      <c r="BQ5" s="244"/>
      <c r="BR5" s="250"/>
      <c r="BS5" s="230"/>
    </row>
    <row r="6" spans="1:71">
      <c r="A6" s="529">
        <v>4</v>
      </c>
      <c r="B6" s="79" t="s">
        <v>204</v>
      </c>
      <c r="C6" s="21" t="s">
        <v>648</v>
      </c>
      <c r="D6" s="21">
        <v>3</v>
      </c>
      <c r="E6" s="21" t="s">
        <v>289</v>
      </c>
      <c r="F6" s="21"/>
      <c r="G6" s="21" t="s">
        <v>650</v>
      </c>
      <c r="H6" s="21"/>
      <c r="I6" s="21"/>
      <c r="J6" s="21"/>
      <c r="K6" s="21"/>
      <c r="L6" s="21"/>
      <c r="M6" s="21"/>
      <c r="N6" s="21"/>
      <c r="O6" s="13"/>
      <c r="P6" s="21"/>
      <c r="Q6" s="21" t="s">
        <v>650</v>
      </c>
      <c r="R6" s="21" t="s">
        <v>650</v>
      </c>
      <c r="S6" s="108"/>
      <c r="T6" s="21"/>
      <c r="U6" s="21"/>
      <c r="V6" s="108"/>
      <c r="W6" s="13"/>
      <c r="X6" s="13"/>
      <c r="Y6" s="13"/>
      <c r="Z6" s="13"/>
      <c r="AA6" s="108"/>
      <c r="AB6" s="108"/>
      <c r="AC6" s="21"/>
      <c r="AD6" s="21"/>
      <c r="AE6" s="108"/>
      <c r="AF6" s="21"/>
      <c r="AG6" s="21"/>
      <c r="AH6" s="21"/>
      <c r="AI6" s="21"/>
      <c r="AJ6" s="13"/>
      <c r="AK6" s="21"/>
      <c r="AL6" s="21"/>
      <c r="AM6" s="108"/>
      <c r="AN6" s="108"/>
      <c r="AO6" s="21"/>
      <c r="AP6" s="21"/>
      <c r="AQ6" s="12"/>
      <c r="AR6" s="21" t="s">
        <v>1040</v>
      </c>
      <c r="AS6" s="79"/>
      <c r="AT6" s="21"/>
      <c r="AU6" s="56"/>
      <c r="AV6" s="21"/>
      <c r="AW6" s="21"/>
      <c r="AX6" s="21"/>
      <c r="AY6" s="21"/>
      <c r="AZ6" s="164"/>
      <c r="BA6" s="437">
        <v>97213904</v>
      </c>
      <c r="BB6" s="438">
        <v>34011.54</v>
      </c>
      <c r="BC6" s="500">
        <v>97381724</v>
      </c>
      <c r="BD6" s="501">
        <v>2776.83</v>
      </c>
      <c r="BE6" s="498">
        <v>97213804</v>
      </c>
      <c r="BF6" s="499">
        <v>754.6</v>
      </c>
      <c r="BG6" s="454">
        <v>97213840</v>
      </c>
      <c r="BH6" s="455">
        <v>220.8</v>
      </c>
      <c r="BI6" s="502">
        <v>97213904</v>
      </c>
      <c r="BJ6" s="503">
        <v>17575.72</v>
      </c>
      <c r="BK6" s="250">
        <v>97213904</v>
      </c>
      <c r="BL6" s="230">
        <f>BH6+BF6+BB6+BJ6+BD6</f>
        <v>55339.490000000005</v>
      </c>
      <c r="BN6" s="185"/>
      <c r="BO6" s="186"/>
      <c r="BP6" s="221"/>
      <c r="BQ6" s="305"/>
      <c r="BR6" s="250"/>
      <c r="BS6" s="230"/>
    </row>
    <row r="7" spans="1:71">
      <c r="A7" s="409">
        <v>5</v>
      </c>
      <c r="B7" s="7" t="s">
        <v>225</v>
      </c>
      <c r="C7" s="7" t="s">
        <v>647</v>
      </c>
      <c r="D7" s="7">
        <v>3</v>
      </c>
      <c r="E7" s="7" t="s">
        <v>650</v>
      </c>
      <c r="F7" s="7"/>
      <c r="G7" s="7" t="s">
        <v>650</v>
      </c>
      <c r="H7" s="7" t="s">
        <v>650</v>
      </c>
      <c r="I7" s="7"/>
      <c r="J7" s="38" t="s">
        <v>650</v>
      </c>
      <c r="K7" s="7" t="s">
        <v>650</v>
      </c>
      <c r="L7" s="13"/>
      <c r="M7" s="7" t="s">
        <v>650</v>
      </c>
      <c r="N7" s="7"/>
      <c r="O7" s="13"/>
      <c r="P7" s="13"/>
      <c r="Q7" s="13"/>
      <c r="R7" s="7"/>
      <c r="S7" s="13"/>
      <c r="T7" s="98"/>
      <c r="U7" s="7"/>
      <c r="V7" s="7" t="s">
        <v>650</v>
      </c>
      <c r="W7" s="13"/>
      <c r="X7" s="13"/>
      <c r="Y7" s="13"/>
      <c r="Z7" s="13"/>
      <c r="AA7" s="7"/>
      <c r="AB7" s="7"/>
      <c r="AC7" s="13"/>
      <c r="AD7" s="13"/>
      <c r="AE7" s="13"/>
      <c r="AF7" s="13"/>
      <c r="AG7" s="7" t="s">
        <v>650</v>
      </c>
      <c r="AH7" s="13"/>
      <c r="AI7" s="13"/>
      <c r="AJ7" s="13"/>
      <c r="AK7" s="7"/>
      <c r="AL7" s="13"/>
      <c r="AM7" s="13"/>
      <c r="AN7" s="13"/>
      <c r="AO7" s="13"/>
      <c r="AP7" s="13"/>
      <c r="AQ7" s="13"/>
      <c r="AR7" s="7" t="s">
        <v>1041</v>
      </c>
      <c r="AS7" s="7"/>
      <c r="AT7" s="7"/>
      <c r="AU7" s="57"/>
      <c r="AV7" s="7"/>
      <c r="AW7" s="7"/>
      <c r="AX7" s="98"/>
      <c r="AY7" s="98"/>
      <c r="AZ7" s="103"/>
      <c r="BA7" s="234">
        <v>96933608</v>
      </c>
      <c r="BB7" s="174">
        <v>30563.360000000001</v>
      </c>
      <c r="BC7" s="187" t="s">
        <v>289</v>
      </c>
      <c r="BD7" s="188" t="s">
        <v>289</v>
      </c>
      <c r="BE7" s="198">
        <v>97035380</v>
      </c>
      <c r="BF7" s="241">
        <v>754.6</v>
      </c>
      <c r="BG7" s="282">
        <v>96933253</v>
      </c>
      <c r="BH7" s="160">
        <v>110.4</v>
      </c>
      <c r="BI7" s="219">
        <v>96933608</v>
      </c>
      <c r="BJ7" s="354">
        <v>16032.5</v>
      </c>
      <c r="BK7" s="250">
        <v>96933608</v>
      </c>
      <c r="BL7" s="230">
        <f>BH7+BB7+BF7+BJ7</f>
        <v>47460.86</v>
      </c>
      <c r="BN7" s="187"/>
      <c r="BO7" s="188"/>
      <c r="BP7" s="219"/>
      <c r="BQ7" s="354"/>
      <c r="BR7" s="250"/>
      <c r="BS7" s="230"/>
    </row>
    <row r="8" spans="1:71">
      <c r="A8" s="50">
        <v>6</v>
      </c>
      <c r="B8" s="50"/>
      <c r="C8" s="9"/>
      <c r="D8" s="9"/>
      <c r="E8" s="9"/>
      <c r="F8" s="37"/>
      <c r="G8" s="37"/>
      <c r="H8" s="37"/>
      <c r="I8" s="37"/>
      <c r="J8" s="37"/>
      <c r="K8" s="37"/>
      <c r="L8" s="37"/>
      <c r="M8" s="37"/>
      <c r="N8" s="37"/>
      <c r="O8" s="13"/>
      <c r="P8" s="37"/>
      <c r="Q8" s="37"/>
      <c r="R8" s="37"/>
      <c r="S8" s="37"/>
      <c r="T8" s="37"/>
      <c r="U8" s="37"/>
      <c r="V8" s="37"/>
      <c r="W8" s="13"/>
      <c r="X8" s="13"/>
      <c r="Y8" s="13"/>
      <c r="Z8" s="13"/>
      <c r="AA8" s="37"/>
      <c r="AB8" s="37"/>
      <c r="AC8" s="37"/>
      <c r="AD8" s="37"/>
      <c r="AE8" s="37"/>
      <c r="AF8" s="37"/>
      <c r="AG8" s="37"/>
      <c r="AH8" s="37"/>
      <c r="AI8" s="37"/>
      <c r="AJ8" s="13"/>
      <c r="AK8" s="37"/>
      <c r="AL8" s="37"/>
      <c r="AM8" s="37"/>
      <c r="AN8" s="37"/>
      <c r="AO8" s="37"/>
      <c r="AP8" s="37"/>
      <c r="AQ8" s="13"/>
      <c r="AR8" s="21"/>
      <c r="AS8" s="9"/>
      <c r="AT8" s="9"/>
      <c r="AU8" s="106"/>
      <c r="AV8" s="107"/>
      <c r="AW8" s="37"/>
      <c r="AX8" s="37"/>
      <c r="AY8" s="37"/>
      <c r="AZ8" s="141"/>
      <c r="BC8" s="187"/>
      <c r="BD8" s="188"/>
      <c r="BE8" s="198"/>
      <c r="BF8" s="238"/>
      <c r="BG8" s="282"/>
      <c r="BH8" s="160"/>
      <c r="BI8" s="219"/>
      <c r="BJ8" s="244"/>
      <c r="BK8" s="250"/>
      <c r="BL8" s="230"/>
      <c r="BN8" s="187"/>
      <c r="BO8" s="188"/>
      <c r="BP8" s="219"/>
      <c r="BQ8" s="244"/>
      <c r="BR8" s="250"/>
      <c r="BS8" s="230"/>
    </row>
    <row r="9" spans="1:71">
      <c r="A9" s="409">
        <v>7</v>
      </c>
      <c r="B9" s="7" t="s">
        <v>225</v>
      </c>
      <c r="C9" s="7" t="s">
        <v>647</v>
      </c>
      <c r="D9" s="7" t="s">
        <v>1042</v>
      </c>
      <c r="E9" s="7" t="s">
        <v>650</v>
      </c>
      <c r="F9" s="7"/>
      <c r="G9" s="7" t="s">
        <v>650</v>
      </c>
      <c r="H9" s="7"/>
      <c r="I9" s="13"/>
      <c r="J9" s="7"/>
      <c r="K9" s="7"/>
      <c r="L9" s="13"/>
      <c r="M9" s="7"/>
      <c r="N9" s="7"/>
      <c r="O9" s="13"/>
      <c r="P9" s="13"/>
      <c r="Q9" s="13"/>
      <c r="R9" s="7"/>
      <c r="S9" s="13"/>
      <c r="T9" s="7"/>
      <c r="U9" s="7"/>
      <c r="V9" s="7" t="s">
        <v>650</v>
      </c>
      <c r="W9" s="13"/>
      <c r="X9" s="13"/>
      <c r="Y9" s="13"/>
      <c r="Z9" s="13"/>
      <c r="AA9" s="7"/>
      <c r="AB9" s="7"/>
      <c r="AC9" s="13"/>
      <c r="AD9" s="13"/>
      <c r="AE9" s="13"/>
      <c r="AF9" s="13"/>
      <c r="AG9" s="7"/>
      <c r="AH9" s="13"/>
      <c r="AI9" s="13"/>
      <c r="AJ9" s="13"/>
      <c r="AK9" s="7"/>
      <c r="AL9" s="13"/>
      <c r="AM9" s="13"/>
      <c r="AN9" s="13"/>
      <c r="AO9" s="13"/>
      <c r="AP9" s="13"/>
      <c r="AQ9" s="13"/>
      <c r="AR9" s="432" t="s">
        <v>1043</v>
      </c>
      <c r="AS9" s="7"/>
      <c r="AT9" s="7"/>
      <c r="AU9" s="57"/>
      <c r="AV9" s="7"/>
      <c r="AW9" s="7"/>
      <c r="AX9" s="7"/>
      <c r="AY9" s="7"/>
      <c r="AZ9" s="103"/>
      <c r="BA9" s="437">
        <v>97554789</v>
      </c>
      <c r="BB9" s="438">
        <v>29774.46</v>
      </c>
      <c r="BC9" s="433">
        <v>97751742</v>
      </c>
      <c r="BD9" s="434">
        <v>1924.35</v>
      </c>
      <c r="BE9" s="447">
        <v>97554544</v>
      </c>
      <c r="BF9" s="466">
        <v>754.6</v>
      </c>
      <c r="BG9" s="454">
        <v>9754577</v>
      </c>
      <c r="BH9" s="455">
        <v>110.4</v>
      </c>
      <c r="BI9" s="439">
        <v>97554789</v>
      </c>
      <c r="BJ9" s="467">
        <v>14918.34</v>
      </c>
      <c r="BK9" s="507">
        <v>97554789</v>
      </c>
      <c r="BL9" s="465">
        <f>BH9+BF9+BB9+BJ9+BD9</f>
        <v>47482.15</v>
      </c>
      <c r="BN9" s="187"/>
      <c r="BO9" s="188"/>
      <c r="BP9" s="219"/>
      <c r="BQ9" s="354"/>
      <c r="BR9" s="250"/>
      <c r="BS9" s="230"/>
    </row>
    <row r="10" spans="1:71">
      <c r="A10" s="528">
        <v>8</v>
      </c>
      <c r="B10" s="37" t="s">
        <v>185</v>
      </c>
      <c r="C10" s="9" t="s">
        <v>648</v>
      </c>
      <c r="D10" s="9" t="s">
        <v>1042</v>
      </c>
      <c r="E10" s="9">
        <v>2</v>
      </c>
      <c r="F10" s="9"/>
      <c r="G10" s="9" t="s">
        <v>650</v>
      </c>
      <c r="H10" s="13"/>
      <c r="I10" s="13"/>
      <c r="J10" s="9"/>
      <c r="K10" s="9" t="s">
        <v>650</v>
      </c>
      <c r="L10" s="13"/>
      <c r="M10" s="9" t="s">
        <v>650</v>
      </c>
      <c r="N10" s="13"/>
      <c r="O10" s="13"/>
      <c r="P10" s="13"/>
      <c r="Q10" s="13"/>
      <c r="R10" s="13"/>
      <c r="S10" s="13"/>
      <c r="T10" s="9"/>
      <c r="U10" s="9" t="s">
        <v>289</v>
      </c>
      <c r="V10" s="9" t="s">
        <v>650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0" t="s">
        <v>650</v>
      </c>
      <c r="AH10" s="9"/>
      <c r="AI10" s="13"/>
      <c r="AJ10" s="13"/>
      <c r="AK10" s="13"/>
      <c r="AL10" s="13"/>
      <c r="AM10" s="13"/>
      <c r="AN10" s="13"/>
      <c r="AO10" s="13"/>
      <c r="AP10" s="13"/>
      <c r="AQ10" s="13"/>
      <c r="AR10" s="21" t="s">
        <v>1044</v>
      </c>
      <c r="AS10" s="9"/>
      <c r="AT10" s="9"/>
      <c r="AU10" s="58"/>
      <c r="AV10" s="9"/>
      <c r="AW10" s="9"/>
      <c r="AX10" s="9"/>
      <c r="AY10" s="9"/>
      <c r="AZ10" s="141"/>
      <c r="BA10" s="506">
        <v>97594283</v>
      </c>
      <c r="BB10" s="438">
        <v>32665.75</v>
      </c>
      <c r="BC10" s="433">
        <v>97594240</v>
      </c>
      <c r="BD10" s="434">
        <v>3298.17</v>
      </c>
      <c r="BE10" s="447">
        <v>97594213</v>
      </c>
      <c r="BF10" s="466">
        <v>754.6</v>
      </c>
      <c r="BG10" s="454">
        <v>97594249</v>
      </c>
      <c r="BH10" s="455">
        <v>110.4</v>
      </c>
      <c r="BI10" s="219"/>
      <c r="BJ10" s="354"/>
      <c r="BK10" s="507">
        <v>97594283</v>
      </c>
      <c r="BL10" s="465">
        <f>BJ10+BH10+BF10+BD10+BB10</f>
        <v>36828.92</v>
      </c>
      <c r="BN10" s="187"/>
      <c r="BO10" s="188"/>
      <c r="BP10" s="439">
        <v>97594283</v>
      </c>
      <c r="BQ10" s="467">
        <v>13965.05</v>
      </c>
      <c r="BR10" s="507">
        <f>BP10</f>
        <v>97594283</v>
      </c>
      <c r="BS10" s="465">
        <f>BO10+BQ10</f>
        <v>13965.05</v>
      </c>
    </row>
    <row r="11" spans="1:71">
      <c r="A11" s="409">
        <v>9</v>
      </c>
      <c r="B11" s="7" t="s">
        <v>204</v>
      </c>
      <c r="C11" s="7" t="s">
        <v>648</v>
      </c>
      <c r="D11" s="7">
        <v>3</v>
      </c>
      <c r="E11" s="7" t="s">
        <v>289</v>
      </c>
      <c r="F11" s="7"/>
      <c r="G11" s="7" t="s">
        <v>650</v>
      </c>
      <c r="H11" s="7"/>
      <c r="I11" s="7"/>
      <c r="J11" s="7" t="s">
        <v>650</v>
      </c>
      <c r="K11" s="7" t="s">
        <v>650</v>
      </c>
      <c r="L11" s="7" t="s">
        <v>650</v>
      </c>
      <c r="M11" s="7" t="s">
        <v>650</v>
      </c>
      <c r="N11" s="7" t="s">
        <v>650</v>
      </c>
      <c r="O11" s="13"/>
      <c r="P11" s="7"/>
      <c r="Q11" s="7" t="s">
        <v>650</v>
      </c>
      <c r="R11" s="7" t="s">
        <v>650</v>
      </c>
      <c r="S11" s="7"/>
      <c r="T11" s="7"/>
      <c r="U11" s="7"/>
      <c r="V11" s="7"/>
      <c r="W11" s="13"/>
      <c r="X11" s="13"/>
      <c r="Y11" s="13"/>
      <c r="Z11" s="13"/>
      <c r="AA11" s="7"/>
      <c r="AB11" s="7"/>
      <c r="AC11" s="7"/>
      <c r="AD11" s="7"/>
      <c r="AE11" s="7"/>
      <c r="AF11" s="7"/>
      <c r="AG11" s="7"/>
      <c r="AH11" s="7"/>
      <c r="AI11" s="7"/>
      <c r="AJ11" s="13"/>
      <c r="AK11" s="7"/>
      <c r="AL11" s="7"/>
      <c r="AM11" s="7"/>
      <c r="AN11" s="7"/>
      <c r="AO11" s="7"/>
      <c r="AP11" s="7"/>
      <c r="AQ11" s="13"/>
      <c r="AR11" s="7" t="s">
        <v>1045</v>
      </c>
      <c r="AS11" s="8"/>
      <c r="AT11" s="8"/>
      <c r="AU11" s="57"/>
      <c r="AV11" s="7"/>
      <c r="AW11" s="8"/>
      <c r="AX11" s="8"/>
      <c r="AY11" s="8"/>
      <c r="AZ11" s="167"/>
      <c r="BA11" s="437">
        <v>97152786</v>
      </c>
      <c r="BB11" s="438">
        <v>34011.54</v>
      </c>
      <c r="BC11" s="433">
        <v>97381726</v>
      </c>
      <c r="BD11" s="434">
        <v>3233.24</v>
      </c>
      <c r="BE11" s="447">
        <v>97152335</v>
      </c>
      <c r="BF11" s="466">
        <v>754.6</v>
      </c>
      <c r="BG11" s="454">
        <v>97152367</v>
      </c>
      <c r="BH11" s="455">
        <v>110.4</v>
      </c>
      <c r="BI11" s="439">
        <v>97152786</v>
      </c>
      <c r="BJ11" s="467">
        <v>17575.72</v>
      </c>
      <c r="BK11" s="250">
        <v>97152786</v>
      </c>
      <c r="BL11" s="230">
        <f>BJ11+BH11+BF11+BB11+BD11</f>
        <v>55685.5</v>
      </c>
      <c r="BN11" s="433"/>
      <c r="BO11" s="434"/>
      <c r="BP11" s="439"/>
      <c r="BQ11" s="467"/>
      <c r="BR11" s="250"/>
      <c r="BS11" s="230"/>
    </row>
    <row r="12" spans="1:71">
      <c r="A12" s="528">
        <v>10</v>
      </c>
      <c r="B12" s="37" t="s">
        <v>355</v>
      </c>
      <c r="C12" s="9" t="s">
        <v>648</v>
      </c>
      <c r="D12" s="9" t="s">
        <v>1042</v>
      </c>
      <c r="E12" s="9" t="s">
        <v>1038</v>
      </c>
      <c r="F12" s="13"/>
      <c r="G12" s="50" t="s">
        <v>650</v>
      </c>
      <c r="H12" s="13"/>
      <c r="I12" s="50" t="s">
        <v>650</v>
      </c>
      <c r="J12" s="13"/>
      <c r="K12" s="13"/>
      <c r="L12" s="13"/>
      <c r="M12" s="38" t="s">
        <v>650</v>
      </c>
      <c r="N12" s="13"/>
      <c r="O12" s="13"/>
      <c r="P12" s="13"/>
      <c r="Q12" s="50"/>
      <c r="R12" s="13"/>
      <c r="S12" s="50"/>
      <c r="T12" s="50" t="s">
        <v>650</v>
      </c>
      <c r="U12" s="50" t="s">
        <v>650</v>
      </c>
      <c r="V12" s="50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50" t="s">
        <v>650</v>
      </c>
      <c r="AH12" s="50"/>
      <c r="AI12" s="13"/>
      <c r="AJ12" s="13"/>
      <c r="AK12" s="50"/>
      <c r="AL12" s="50" t="s">
        <v>650</v>
      </c>
      <c r="AM12" s="13"/>
      <c r="AN12" s="50"/>
      <c r="AO12" s="13"/>
      <c r="AP12" s="13"/>
      <c r="AQ12" s="13"/>
      <c r="AR12" s="21" t="s">
        <v>1046</v>
      </c>
      <c r="AS12" s="53"/>
      <c r="AT12" s="9"/>
      <c r="AU12" s="58"/>
      <c r="AV12" s="9"/>
      <c r="AW12" s="32"/>
      <c r="AX12" s="32"/>
      <c r="AY12" s="32"/>
      <c r="AZ12" s="168"/>
      <c r="BA12" s="437">
        <v>97550891</v>
      </c>
      <c r="BB12" s="438">
        <v>24029.98</v>
      </c>
      <c r="BC12" s="433">
        <v>97751852</v>
      </c>
      <c r="BD12" s="434">
        <v>1305</v>
      </c>
      <c r="BE12" s="447">
        <v>97550644</v>
      </c>
      <c r="BF12" s="466">
        <v>485.1</v>
      </c>
      <c r="BG12" s="454">
        <v>97550690</v>
      </c>
      <c r="BH12" s="455">
        <v>110.4</v>
      </c>
      <c r="BI12" s="439">
        <v>97550891</v>
      </c>
      <c r="BJ12" s="467">
        <v>11565.08</v>
      </c>
      <c r="BK12" s="507">
        <v>97550891</v>
      </c>
      <c r="BL12" s="465">
        <f>BJ12+BH12+BF12+BB12+BD12</f>
        <v>37495.56</v>
      </c>
      <c r="BN12" s="187"/>
      <c r="BO12" s="188"/>
      <c r="BP12" s="219"/>
      <c r="BQ12" s="354"/>
      <c r="BR12" s="250"/>
      <c r="BS12" s="230"/>
    </row>
    <row r="13" spans="1:71">
      <c r="A13" s="409">
        <v>11</v>
      </c>
      <c r="B13" s="7" t="s">
        <v>225</v>
      </c>
      <c r="C13" s="7" t="s">
        <v>648</v>
      </c>
      <c r="D13" s="7" t="s">
        <v>1042</v>
      </c>
      <c r="E13" s="7" t="s">
        <v>650</v>
      </c>
      <c r="F13" s="7"/>
      <c r="G13" s="7" t="s">
        <v>650</v>
      </c>
      <c r="H13" s="38" t="s">
        <v>650</v>
      </c>
      <c r="I13" s="13"/>
      <c r="J13" s="38" t="s">
        <v>650</v>
      </c>
      <c r="K13" s="38" t="s">
        <v>650</v>
      </c>
      <c r="L13" s="13"/>
      <c r="M13" s="38" t="s">
        <v>650</v>
      </c>
      <c r="N13" s="7"/>
      <c r="O13" s="13"/>
      <c r="P13" s="13"/>
      <c r="Q13" s="13"/>
      <c r="R13" s="7"/>
      <c r="S13" s="13"/>
      <c r="T13" s="7"/>
      <c r="U13" s="7"/>
      <c r="V13" s="7"/>
      <c r="W13" s="13"/>
      <c r="X13" s="13"/>
      <c r="Y13" s="13"/>
      <c r="Z13" s="13"/>
      <c r="AA13" s="7"/>
      <c r="AB13" s="7"/>
      <c r="AC13" s="13"/>
      <c r="AD13" s="13"/>
      <c r="AE13" s="13"/>
      <c r="AF13" s="13"/>
      <c r="AG13" s="38" t="s">
        <v>650</v>
      </c>
      <c r="AH13" s="13"/>
      <c r="AI13" s="13"/>
      <c r="AJ13" s="13"/>
      <c r="AK13" s="7"/>
      <c r="AL13" s="13"/>
      <c r="AM13" s="13"/>
      <c r="AN13" s="13"/>
      <c r="AO13" s="13"/>
      <c r="AP13" s="13"/>
      <c r="AQ13" s="13"/>
      <c r="AR13" s="7" t="s">
        <v>1047</v>
      </c>
      <c r="AS13" s="31"/>
      <c r="AT13" s="18"/>
      <c r="AU13" s="57"/>
      <c r="AV13" s="7"/>
      <c r="AW13" s="7"/>
      <c r="AX13" s="7"/>
      <c r="AY13" s="7"/>
      <c r="AZ13" s="169"/>
      <c r="BA13" s="437">
        <v>97342997</v>
      </c>
      <c r="BB13" s="438">
        <v>30337.01</v>
      </c>
      <c r="BC13" s="433">
        <v>97751927</v>
      </c>
      <c r="BD13" s="434">
        <v>1920.5</v>
      </c>
      <c r="BE13" s="447">
        <v>97342608</v>
      </c>
      <c r="BF13" s="466">
        <v>754.6</v>
      </c>
      <c r="BG13" s="454">
        <v>97342642</v>
      </c>
      <c r="BH13" s="455">
        <v>110.4</v>
      </c>
      <c r="BI13" s="439">
        <v>97342997</v>
      </c>
      <c r="BJ13" s="467">
        <v>14942.42</v>
      </c>
      <c r="BK13" s="507">
        <v>97342997</v>
      </c>
      <c r="BL13" s="465">
        <f>BJ13+BH13+BF13+BB13+BD13+BO13</f>
        <v>48267.68</v>
      </c>
      <c r="BN13" s="433">
        <v>97907307</v>
      </c>
      <c r="BO13" s="434">
        <v>202.75</v>
      </c>
      <c r="BP13" s="219"/>
      <c r="BQ13" s="354"/>
      <c r="BR13" s="250"/>
      <c r="BS13" s="230"/>
    </row>
    <row r="14" spans="1:71">
      <c r="A14" s="528">
        <v>12</v>
      </c>
      <c r="B14" s="37" t="s">
        <v>355</v>
      </c>
      <c r="C14" s="9" t="s">
        <v>647</v>
      </c>
      <c r="D14" s="9" t="s">
        <v>1042</v>
      </c>
      <c r="E14" s="9" t="s">
        <v>1038</v>
      </c>
      <c r="F14" s="9"/>
      <c r="G14" s="9" t="s">
        <v>650</v>
      </c>
      <c r="H14" s="9"/>
      <c r="I14" s="38" t="s">
        <v>650</v>
      </c>
      <c r="J14" s="9"/>
      <c r="K14" s="9"/>
      <c r="L14" s="9"/>
      <c r="M14" s="9"/>
      <c r="N14" s="9"/>
      <c r="O14" s="13"/>
      <c r="P14" s="9"/>
      <c r="Q14" s="9"/>
      <c r="R14" s="9"/>
      <c r="S14" s="9"/>
      <c r="T14" s="38" t="s">
        <v>650</v>
      </c>
      <c r="U14" s="9"/>
      <c r="V14" s="9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  <c r="AJ14" s="13"/>
      <c r="AK14" s="9"/>
      <c r="AL14" s="9"/>
      <c r="AM14" s="9"/>
      <c r="AN14" s="9"/>
      <c r="AO14" s="9"/>
      <c r="AP14" s="9"/>
      <c r="AQ14" s="13"/>
      <c r="AR14" s="432" t="s">
        <v>1048</v>
      </c>
      <c r="AS14" s="40"/>
      <c r="AT14" s="50"/>
      <c r="AU14" s="58"/>
      <c r="AV14" s="9"/>
      <c r="AW14" s="32"/>
      <c r="AX14" s="32"/>
      <c r="AY14" s="32"/>
      <c r="AZ14" s="168"/>
      <c r="BA14" s="233">
        <v>97126548</v>
      </c>
      <c r="BB14" s="178">
        <v>23491.9</v>
      </c>
      <c r="BC14" s="187">
        <v>97701061</v>
      </c>
      <c r="BD14" s="188">
        <v>-2886.55</v>
      </c>
      <c r="BE14" s="198">
        <v>97126210</v>
      </c>
      <c r="BF14" s="241">
        <v>485.1</v>
      </c>
      <c r="BG14" s="282">
        <v>97301192</v>
      </c>
      <c r="BH14" s="160">
        <v>110.4</v>
      </c>
      <c r="BI14" s="219">
        <v>97126548</v>
      </c>
      <c r="BJ14" s="354">
        <v>12320.82</v>
      </c>
      <c r="BK14" s="250">
        <v>97126548</v>
      </c>
      <c r="BL14" s="230">
        <f>BJ14+BH14+BF14+BB14+BD14</f>
        <v>33521.67</v>
      </c>
      <c r="BN14" s="187"/>
      <c r="BO14" s="188"/>
      <c r="BP14" s="219"/>
      <c r="BQ14" s="354"/>
      <c r="BR14" s="250"/>
      <c r="BS14" s="230"/>
    </row>
    <row r="15" spans="1:71">
      <c r="A15" s="409">
        <v>13</v>
      </c>
      <c r="B15" s="7" t="s">
        <v>185</v>
      </c>
      <c r="C15" s="7" t="s">
        <v>647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3"/>
      <c r="P15" s="7"/>
      <c r="Q15" s="7"/>
      <c r="R15" s="7"/>
      <c r="S15" s="7"/>
      <c r="T15" s="7"/>
      <c r="U15" s="7"/>
      <c r="V15" s="7"/>
      <c r="W15" s="13"/>
      <c r="X15" s="13"/>
      <c r="Y15" s="13"/>
      <c r="Z15" s="13"/>
      <c r="AA15" s="7"/>
      <c r="AB15" s="7"/>
      <c r="AC15" s="7"/>
      <c r="AD15" s="7"/>
      <c r="AE15" s="7"/>
      <c r="AF15" s="7"/>
      <c r="AG15" s="7"/>
      <c r="AH15" s="7"/>
      <c r="AI15" s="7"/>
      <c r="AJ15" s="13"/>
      <c r="AK15" s="7"/>
      <c r="AL15" s="7"/>
      <c r="AM15" s="7"/>
      <c r="AN15" s="7"/>
      <c r="AO15" s="7"/>
      <c r="AP15" s="7"/>
      <c r="AQ15" s="13"/>
      <c r="AR15" s="7">
        <f t="shared" ref="AR15:AR68" si="0">A15</f>
        <v>13</v>
      </c>
      <c r="AS15" s="31"/>
      <c r="AT15" s="7"/>
      <c r="AU15" s="57"/>
      <c r="AV15" s="7"/>
      <c r="AW15" s="31"/>
      <c r="AX15" s="31"/>
      <c r="AY15" s="31"/>
      <c r="AZ15" s="169"/>
      <c r="BA15" s="234">
        <v>97039296</v>
      </c>
      <c r="BB15" s="174">
        <v>27890.53</v>
      </c>
      <c r="BC15" s="187">
        <v>97381727</v>
      </c>
      <c r="BD15" s="188">
        <v>-3394.77</v>
      </c>
      <c r="BE15" s="198">
        <v>97039120</v>
      </c>
      <c r="BF15" s="241">
        <v>754.6</v>
      </c>
      <c r="BG15" s="282">
        <v>97039155</v>
      </c>
      <c r="BH15" s="160">
        <v>110.4</v>
      </c>
      <c r="BI15" s="219">
        <v>97039296</v>
      </c>
      <c r="BJ15" s="354">
        <v>14990.31</v>
      </c>
      <c r="BK15" s="250">
        <v>97039296</v>
      </c>
      <c r="BL15" s="230">
        <f>BH15+BF15+BB15+BJ15+BD15</f>
        <v>40351.07</v>
      </c>
      <c r="BN15" s="187"/>
      <c r="BO15" s="188"/>
      <c r="BP15" s="219"/>
      <c r="BQ15" s="354"/>
      <c r="BR15" s="250"/>
      <c r="BS15" s="230"/>
    </row>
    <row r="16" spans="1:71">
      <c r="A16" s="527">
        <v>14</v>
      </c>
      <c r="B16" s="50" t="s">
        <v>190</v>
      </c>
      <c r="C16" s="9" t="s">
        <v>647</v>
      </c>
      <c r="D16" s="9" t="s">
        <v>1042</v>
      </c>
      <c r="E16" s="9"/>
      <c r="F16" s="50"/>
      <c r="G16" s="50"/>
      <c r="H16" s="13"/>
      <c r="I16" s="13"/>
      <c r="J16" s="13"/>
      <c r="K16" s="50"/>
      <c r="L16" s="13"/>
      <c r="M16" s="13"/>
      <c r="N16" s="13"/>
      <c r="O16" s="50"/>
      <c r="P16" s="13"/>
      <c r="Q16" s="50"/>
      <c r="R16" s="13"/>
      <c r="S16" s="13"/>
      <c r="T16" s="13"/>
      <c r="U16" s="13"/>
      <c r="V16" s="13"/>
      <c r="W16" s="50"/>
      <c r="X16" s="50"/>
      <c r="Y16" s="50"/>
      <c r="Z16" s="50"/>
      <c r="AA16" s="50"/>
      <c r="AB16" s="13"/>
      <c r="AC16" s="13"/>
      <c r="AD16" s="13"/>
      <c r="AE16" s="13"/>
      <c r="AF16" s="13"/>
      <c r="AG16" s="50"/>
      <c r="AH16" s="50"/>
      <c r="AI16" s="13"/>
      <c r="AJ16" s="50"/>
      <c r="AK16" s="50"/>
      <c r="AL16" s="13"/>
      <c r="AM16" s="13"/>
      <c r="AN16" s="13"/>
      <c r="AO16" s="13"/>
      <c r="AP16" s="13"/>
      <c r="AQ16" s="13"/>
      <c r="AR16" s="541" t="s">
        <v>1049</v>
      </c>
      <c r="AS16" s="9"/>
      <c r="AT16" s="50"/>
      <c r="AU16" s="58"/>
      <c r="AV16" s="9"/>
      <c r="AW16" s="9"/>
      <c r="AX16" s="9"/>
      <c r="AY16" s="9"/>
      <c r="AZ16" s="141"/>
      <c r="BA16" s="437">
        <v>98064464</v>
      </c>
      <c r="BB16" s="438">
        <v>35524.879999999997</v>
      </c>
      <c r="BC16" s="187"/>
      <c r="BD16" s="188"/>
      <c r="BE16" s="447">
        <v>98064352</v>
      </c>
      <c r="BF16" s="542">
        <v>754.6</v>
      </c>
      <c r="BG16" s="454">
        <v>98064388</v>
      </c>
      <c r="BH16" s="455">
        <v>110.4</v>
      </c>
      <c r="BI16" s="219"/>
      <c r="BJ16" s="244"/>
      <c r="BK16" s="507">
        <v>98064464</v>
      </c>
      <c r="BL16" s="465">
        <f>BH16+BF16+BB16</f>
        <v>36389.879999999997</v>
      </c>
      <c r="BN16" s="187"/>
      <c r="BO16" s="188"/>
      <c r="BP16" s="219">
        <v>98064464</v>
      </c>
      <c r="BQ16" s="244">
        <v>15538.76</v>
      </c>
      <c r="BR16" s="250">
        <v>98064464</v>
      </c>
      <c r="BS16" s="230">
        <f>BQ16</f>
        <v>15538.76</v>
      </c>
    </row>
    <row r="17" spans="1:6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3"/>
      <c r="AR17" s="7">
        <f t="shared" si="0"/>
        <v>0</v>
      </c>
      <c r="AS17" s="7"/>
      <c r="AT17" s="7"/>
      <c r="AU17" s="57"/>
      <c r="AV17" s="7"/>
      <c r="AW17" s="7"/>
      <c r="AX17" s="7"/>
      <c r="AY17" s="7"/>
      <c r="AZ17" s="103"/>
      <c r="BC17" s="187"/>
      <c r="BD17" s="188"/>
      <c r="BE17" s="198"/>
      <c r="BF17" s="238"/>
      <c r="BG17" s="282"/>
      <c r="BH17" s="160"/>
      <c r="BI17" s="219"/>
      <c r="BJ17" s="244"/>
      <c r="BK17" s="250"/>
      <c r="BL17" s="230"/>
    </row>
    <row r="18" spans="1:64">
      <c r="A18" s="37"/>
      <c r="B18" s="37"/>
      <c r="C18" s="9"/>
      <c r="D18" s="9"/>
      <c r="E18" s="9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13"/>
      <c r="AR18" s="21">
        <f t="shared" si="0"/>
        <v>0</v>
      </c>
      <c r="AS18" s="50"/>
      <c r="AT18" s="37"/>
      <c r="AU18" s="58"/>
      <c r="AV18" s="9"/>
      <c r="AW18" s="32"/>
      <c r="AX18" s="32"/>
      <c r="AY18" s="32"/>
      <c r="AZ18" s="168"/>
      <c r="BC18" s="187"/>
      <c r="BD18" s="188"/>
      <c r="BE18" s="198"/>
      <c r="BF18" s="238"/>
      <c r="BG18" s="282"/>
      <c r="BH18" s="160"/>
      <c r="BI18" s="224"/>
      <c r="BJ18" s="244"/>
      <c r="BK18" s="250"/>
      <c r="BL18" s="230"/>
    </row>
    <row r="19" spans="1:6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3"/>
      <c r="AR19" s="7">
        <f t="shared" si="0"/>
        <v>0</v>
      </c>
      <c r="AS19" s="31"/>
      <c r="AT19" s="7"/>
      <c r="AU19" s="57"/>
      <c r="AV19" s="7"/>
      <c r="AW19" s="31"/>
      <c r="AX19" s="31"/>
      <c r="AY19" s="31"/>
      <c r="AZ19" s="169"/>
      <c r="BC19" s="187"/>
      <c r="BD19" s="188"/>
      <c r="BE19" s="198"/>
      <c r="BF19" s="238"/>
      <c r="BG19" s="282"/>
      <c r="BH19" s="160"/>
      <c r="BI19" s="224"/>
      <c r="BJ19" s="244"/>
      <c r="BK19" s="250"/>
      <c r="BL19" s="230"/>
    </row>
    <row r="20" spans="1:64">
      <c r="A20" s="37"/>
      <c r="B20" s="37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13"/>
      <c r="AR20" s="21">
        <f t="shared" si="0"/>
        <v>0</v>
      </c>
      <c r="AS20" s="50"/>
      <c r="AT20" s="50"/>
      <c r="AU20" s="58"/>
      <c r="AV20" s="9"/>
      <c r="AW20" s="9"/>
      <c r="AX20" s="9"/>
      <c r="AY20" s="9"/>
      <c r="AZ20" s="141"/>
      <c r="BC20" s="187"/>
      <c r="BD20" s="188"/>
      <c r="BE20" s="198"/>
      <c r="BF20" s="238"/>
      <c r="BG20" s="282"/>
      <c r="BH20" s="160"/>
      <c r="BI20" s="219"/>
      <c r="BJ20" s="244"/>
      <c r="BK20" s="250"/>
      <c r="BL20" s="230"/>
    </row>
    <row r="21" spans="1:6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3"/>
      <c r="AR21" s="7">
        <f t="shared" si="0"/>
        <v>0</v>
      </c>
      <c r="AS21" s="7"/>
      <c r="AT21" s="7"/>
      <c r="AU21" s="57"/>
      <c r="AV21" s="7"/>
      <c r="AW21" s="7"/>
      <c r="AX21" s="7"/>
      <c r="AY21" s="7"/>
      <c r="AZ21" s="103"/>
      <c r="BA21" s="235"/>
      <c r="BC21" s="189"/>
      <c r="BD21" s="188"/>
      <c r="BE21" s="239"/>
      <c r="BF21" s="240"/>
      <c r="BG21" s="282"/>
      <c r="BH21" s="160"/>
      <c r="BI21" s="219"/>
      <c r="BJ21" s="245"/>
      <c r="BK21" s="250"/>
      <c r="BL21" s="230"/>
    </row>
    <row r="22" spans="1:64">
      <c r="A22" s="50"/>
      <c r="B22" s="50"/>
      <c r="C22" s="9"/>
      <c r="D22" s="9"/>
      <c r="E22" s="9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13"/>
      <c r="AR22" s="21">
        <f t="shared" si="0"/>
        <v>0</v>
      </c>
      <c r="AS22" s="50"/>
      <c r="AT22" s="50"/>
      <c r="AU22" s="58"/>
      <c r="AV22" s="9"/>
      <c r="AW22" s="9"/>
      <c r="AX22" s="9"/>
      <c r="AY22" s="9"/>
      <c r="AZ22" s="141"/>
      <c r="BC22" s="187"/>
      <c r="BD22" s="188"/>
      <c r="BE22" s="198"/>
      <c r="BF22" s="238"/>
      <c r="BG22" s="282"/>
      <c r="BH22" s="160"/>
      <c r="BI22" s="219"/>
      <c r="BJ22" s="244"/>
      <c r="BK22" s="250"/>
      <c r="BL22" s="230"/>
    </row>
    <row r="23" spans="1:6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3"/>
      <c r="AR23" s="7">
        <f t="shared" si="0"/>
        <v>0</v>
      </c>
      <c r="AS23" s="7"/>
      <c r="AT23" s="57"/>
      <c r="AU23" s="57"/>
      <c r="AV23" s="7"/>
      <c r="AW23" s="7"/>
      <c r="AX23" s="7"/>
      <c r="AY23" s="7"/>
      <c r="AZ23" s="103"/>
      <c r="BC23" s="187"/>
      <c r="BD23" s="188"/>
      <c r="BE23" s="198"/>
      <c r="BF23" s="238"/>
      <c r="BG23" s="282"/>
      <c r="BH23" s="160"/>
      <c r="BI23" s="219"/>
      <c r="BJ23" s="244"/>
      <c r="BK23" s="250"/>
      <c r="BL23" s="230"/>
    </row>
    <row r="24" spans="1:64">
      <c r="A24" s="50"/>
      <c r="B24" s="50"/>
      <c r="C24" s="9"/>
      <c r="D24" s="9"/>
      <c r="E24" s="9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13"/>
      <c r="AR24" s="21">
        <f t="shared" si="0"/>
        <v>0</v>
      </c>
      <c r="AS24" s="50"/>
      <c r="AT24" s="50"/>
      <c r="AU24" s="58"/>
      <c r="AV24" s="9"/>
      <c r="AW24" s="9"/>
      <c r="AX24" s="9"/>
      <c r="AY24" s="9"/>
      <c r="AZ24" s="141"/>
      <c r="BC24" s="187"/>
      <c r="BD24" s="188"/>
      <c r="BE24" s="198"/>
      <c r="BF24" s="238"/>
      <c r="BG24" s="282"/>
      <c r="BH24" s="160"/>
      <c r="BI24" s="219"/>
      <c r="BJ24" s="244"/>
      <c r="BK24" s="250"/>
      <c r="BL24" s="230"/>
    </row>
    <row r="25" spans="1:6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3"/>
      <c r="AR25" s="7">
        <f t="shared" si="0"/>
        <v>0</v>
      </c>
      <c r="AS25" s="7"/>
      <c r="AT25" s="7"/>
      <c r="AU25" s="57"/>
      <c r="AV25" s="7"/>
      <c r="AW25" s="7"/>
      <c r="AX25" s="7"/>
      <c r="AY25" s="7"/>
      <c r="AZ25" s="103"/>
      <c r="BC25" s="187"/>
      <c r="BD25" s="188"/>
      <c r="BE25" s="198"/>
      <c r="BF25" s="238"/>
      <c r="BG25" s="282"/>
      <c r="BH25" s="160"/>
      <c r="BI25" s="219"/>
      <c r="BJ25" s="244"/>
      <c r="BK25" s="250"/>
      <c r="BL25" s="230"/>
    </row>
    <row r="26" spans="1:64">
      <c r="A26" s="50"/>
      <c r="B26" s="5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13"/>
      <c r="AR26" s="21">
        <f t="shared" si="0"/>
        <v>0</v>
      </c>
      <c r="AS26" s="9"/>
      <c r="AT26" s="50"/>
      <c r="AU26" s="58"/>
      <c r="AV26" s="9"/>
      <c r="AW26" s="9"/>
      <c r="AX26" s="9"/>
      <c r="AY26" s="9"/>
      <c r="AZ26" s="141"/>
      <c r="BC26" s="187"/>
      <c r="BD26" s="188"/>
      <c r="BE26" s="198"/>
      <c r="BF26" s="238"/>
      <c r="BG26" s="282"/>
      <c r="BH26" s="160"/>
      <c r="BI26" s="219"/>
      <c r="BJ26" s="244"/>
      <c r="BK26" s="250"/>
      <c r="BL26" s="230"/>
    </row>
    <row r="27" spans="1:6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3"/>
      <c r="AR27" s="7">
        <f t="shared" si="0"/>
        <v>0</v>
      </c>
      <c r="AS27" s="7"/>
      <c r="AT27" s="7"/>
      <c r="AU27" s="57"/>
      <c r="AV27" s="7"/>
      <c r="AW27" s="7"/>
      <c r="AX27" s="7"/>
      <c r="AY27" s="7"/>
      <c r="AZ27" s="103"/>
      <c r="BC27" s="187"/>
      <c r="BD27" s="188"/>
      <c r="BE27" s="198"/>
      <c r="BF27" s="238"/>
      <c r="BG27" s="282"/>
      <c r="BH27" s="160"/>
      <c r="BI27" s="219"/>
      <c r="BJ27" s="244"/>
      <c r="BK27" s="250"/>
      <c r="BL27" s="230"/>
    </row>
    <row r="28" spans="1:64">
      <c r="A28" s="50"/>
      <c r="B28" s="5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13"/>
      <c r="AR28" s="21">
        <f t="shared" si="0"/>
        <v>0</v>
      </c>
      <c r="AS28" s="50"/>
      <c r="AT28" s="50"/>
      <c r="AU28" s="58"/>
      <c r="AV28" s="9"/>
      <c r="AW28" s="9"/>
      <c r="AX28" s="9"/>
      <c r="AY28" s="9"/>
      <c r="AZ28" s="141"/>
      <c r="BC28" s="187"/>
      <c r="BD28" s="188"/>
      <c r="BE28" s="198"/>
      <c r="BF28" s="238"/>
      <c r="BG28" s="282"/>
      <c r="BH28" s="160"/>
      <c r="BI28" s="219"/>
      <c r="BJ28" s="244"/>
      <c r="BK28" s="250"/>
      <c r="BL28" s="230"/>
    </row>
    <row r="29" spans="1:6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2"/>
      <c r="Q29" s="2"/>
      <c r="R29" s="2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2"/>
      <c r="AG29" s="7"/>
      <c r="AH29" s="7"/>
      <c r="AI29" s="7"/>
      <c r="AJ29" s="7"/>
      <c r="AK29" s="7"/>
      <c r="AL29" s="7"/>
      <c r="AM29" s="7"/>
      <c r="AN29" s="7"/>
      <c r="AO29" s="7"/>
      <c r="AP29" s="2"/>
      <c r="AQ29" s="13"/>
      <c r="AR29" s="7">
        <f t="shared" si="0"/>
        <v>0</v>
      </c>
      <c r="AS29" s="7"/>
      <c r="AT29" s="7"/>
      <c r="AU29" s="57"/>
      <c r="AV29" s="7"/>
      <c r="AW29" s="7"/>
      <c r="AX29" s="7"/>
      <c r="AY29" s="7"/>
      <c r="AZ29" s="103"/>
      <c r="BC29" s="187"/>
      <c r="BD29" s="188"/>
      <c r="BE29" s="198"/>
      <c r="BF29" s="238"/>
      <c r="BG29" s="282"/>
      <c r="BH29" s="160"/>
      <c r="BI29" s="219"/>
      <c r="BJ29" s="244"/>
      <c r="BK29" s="250"/>
      <c r="BL29" s="230"/>
    </row>
    <row r="30" spans="1:64">
      <c r="A30" s="50"/>
      <c r="B30" s="50"/>
      <c r="C30" s="5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4"/>
      <c r="Q30" s="4"/>
      <c r="R30" s="4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4"/>
      <c r="AG30" s="9"/>
      <c r="AH30" s="9"/>
      <c r="AI30" s="9"/>
      <c r="AJ30" s="9"/>
      <c r="AK30" s="9"/>
      <c r="AL30" s="9"/>
      <c r="AM30" s="9"/>
      <c r="AN30" s="9"/>
      <c r="AO30" s="9"/>
      <c r="AP30" s="4"/>
      <c r="AQ30" s="13"/>
      <c r="AR30" s="21">
        <f t="shared" si="0"/>
        <v>0</v>
      </c>
      <c r="AS30" s="50"/>
      <c r="AT30" s="50"/>
      <c r="AU30" s="58"/>
      <c r="AV30" s="9"/>
      <c r="AW30" s="9"/>
      <c r="AX30" s="9"/>
      <c r="AY30" s="9"/>
      <c r="AZ30" s="141"/>
      <c r="BC30" s="187"/>
      <c r="BD30" s="188"/>
      <c r="BE30" s="198"/>
      <c r="BF30" s="238"/>
      <c r="BG30" s="282"/>
      <c r="BH30" s="160"/>
      <c r="BI30" s="219"/>
      <c r="BJ30" s="244"/>
      <c r="BK30" s="250"/>
      <c r="BL30" s="230"/>
    </row>
    <row r="31" spans="1:6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2"/>
      <c r="Q31" s="2"/>
      <c r="R31" s="2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2"/>
      <c r="AG31" s="7"/>
      <c r="AH31" s="7"/>
      <c r="AI31" s="7"/>
      <c r="AJ31" s="7"/>
      <c r="AK31" s="7"/>
      <c r="AL31" s="7"/>
      <c r="AM31" s="7"/>
      <c r="AN31" s="7"/>
      <c r="AO31" s="7"/>
      <c r="AP31" s="2"/>
      <c r="AQ31" s="13"/>
      <c r="AR31" s="7">
        <f t="shared" si="0"/>
        <v>0</v>
      </c>
      <c r="AS31" s="7"/>
      <c r="AT31" s="7"/>
      <c r="AU31" s="57"/>
      <c r="AV31" s="7"/>
      <c r="AW31" s="7"/>
      <c r="AX31" s="7"/>
      <c r="AY31" s="7"/>
      <c r="AZ31" s="103"/>
      <c r="BC31" s="187"/>
      <c r="BD31" s="188"/>
      <c r="BE31" s="198"/>
      <c r="BF31" s="238"/>
      <c r="BG31" s="282"/>
      <c r="BH31" s="160"/>
      <c r="BI31" s="219"/>
      <c r="BJ31" s="244"/>
      <c r="BK31" s="250"/>
      <c r="BL31" s="230"/>
    </row>
    <row r="32" spans="1:64">
      <c r="A32" s="50"/>
      <c r="B32" s="5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13"/>
      <c r="AR32" s="21">
        <f t="shared" si="0"/>
        <v>0</v>
      </c>
      <c r="AS32" s="50"/>
      <c r="AT32" s="50"/>
      <c r="AU32" s="58"/>
      <c r="AV32" s="9"/>
      <c r="AW32" s="9"/>
      <c r="AX32" s="9"/>
      <c r="AY32" s="9"/>
      <c r="AZ32" s="141"/>
      <c r="BC32" s="187"/>
      <c r="BD32" s="188"/>
      <c r="BE32" s="198"/>
      <c r="BF32" s="238"/>
      <c r="BG32" s="282"/>
      <c r="BH32" s="160"/>
      <c r="BI32" s="219"/>
      <c r="BJ32" s="244"/>
      <c r="BK32" s="250"/>
      <c r="BL32" s="230"/>
    </row>
    <row r="33" spans="1:6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3"/>
      <c r="AR33" s="7">
        <f t="shared" si="0"/>
        <v>0</v>
      </c>
      <c r="AS33" s="7"/>
      <c r="AT33" s="7"/>
      <c r="AU33" s="57"/>
      <c r="AV33" s="7"/>
      <c r="AW33" s="7"/>
      <c r="AX33" s="7"/>
      <c r="AY33" s="7"/>
      <c r="AZ33" s="103"/>
      <c r="BC33" s="187"/>
      <c r="BD33" s="188"/>
      <c r="BE33" s="198"/>
      <c r="BF33" s="238"/>
      <c r="BG33" s="282"/>
      <c r="BH33" s="160"/>
      <c r="BI33" s="219"/>
      <c r="BJ33" s="246"/>
      <c r="BK33" s="250"/>
      <c r="BL33" s="230"/>
    </row>
    <row r="34" spans="1:6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4"/>
      <c r="Q34" s="4"/>
      <c r="R34" s="4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4"/>
      <c r="AG34" s="9"/>
      <c r="AH34" s="9"/>
      <c r="AI34" s="9"/>
      <c r="AJ34" s="9"/>
      <c r="AK34" s="9"/>
      <c r="AL34" s="9"/>
      <c r="AM34" s="9"/>
      <c r="AN34" s="9"/>
      <c r="AO34" s="9"/>
      <c r="AP34" s="4"/>
      <c r="AQ34" s="13"/>
      <c r="AR34" s="21">
        <f t="shared" si="0"/>
        <v>0</v>
      </c>
      <c r="AS34" s="9"/>
      <c r="AT34" s="9"/>
      <c r="AU34" s="58"/>
      <c r="AV34" s="9"/>
      <c r="AW34" s="9"/>
      <c r="AX34" s="9"/>
      <c r="AY34" s="9"/>
      <c r="AZ34" s="141"/>
      <c r="BC34" s="187"/>
      <c r="BD34" s="188"/>
      <c r="BE34" s="198"/>
      <c r="BF34" s="238"/>
      <c r="BG34" s="282"/>
      <c r="BH34" s="160"/>
      <c r="BI34" s="219"/>
      <c r="BJ34" s="246"/>
      <c r="BK34" s="250"/>
      <c r="BL34" s="230"/>
    </row>
    <row r="35" spans="1:6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2"/>
      <c r="Q35" s="2"/>
      <c r="R35" s="2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2"/>
      <c r="AG35" s="7"/>
      <c r="AH35" s="7"/>
      <c r="AI35" s="7"/>
      <c r="AJ35" s="7"/>
      <c r="AK35" s="7"/>
      <c r="AL35" s="7"/>
      <c r="AM35" s="7"/>
      <c r="AN35" s="7"/>
      <c r="AO35" s="7"/>
      <c r="AP35" s="2"/>
      <c r="AQ35" s="13"/>
      <c r="AR35" s="7">
        <f t="shared" si="0"/>
        <v>0</v>
      </c>
      <c r="AS35" s="7"/>
      <c r="AT35" s="7"/>
      <c r="AU35" s="57"/>
      <c r="AV35" s="7"/>
      <c r="AW35" s="7"/>
      <c r="AX35" s="7"/>
      <c r="AY35" s="7"/>
      <c r="AZ35" s="103"/>
      <c r="BC35" s="187"/>
      <c r="BD35" s="188"/>
      <c r="BE35" s="198"/>
      <c r="BF35" s="238"/>
      <c r="BG35" s="282"/>
      <c r="BH35" s="160"/>
      <c r="BI35" s="219"/>
      <c r="BJ35" s="246"/>
      <c r="BK35" s="250"/>
      <c r="BL35" s="230"/>
    </row>
    <row r="36" spans="1:64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4"/>
      <c r="Q36" s="4"/>
      <c r="R36" s="4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4"/>
      <c r="AG36" s="9"/>
      <c r="AH36" s="9"/>
      <c r="AI36" s="9"/>
      <c r="AJ36" s="9"/>
      <c r="AK36" s="9"/>
      <c r="AL36" s="9"/>
      <c r="AM36" s="9"/>
      <c r="AN36" s="9"/>
      <c r="AO36" s="9"/>
      <c r="AP36" s="4"/>
      <c r="AQ36" s="13"/>
      <c r="AR36" s="21">
        <f t="shared" si="0"/>
        <v>0</v>
      </c>
      <c r="AS36" s="9"/>
      <c r="AT36" s="9"/>
      <c r="AU36" s="58"/>
      <c r="AV36" s="9"/>
      <c r="AW36" s="9"/>
      <c r="AX36" s="9"/>
      <c r="AY36" s="9"/>
      <c r="AZ36" s="141"/>
      <c r="BC36" s="187"/>
      <c r="BD36" s="188"/>
      <c r="BE36" s="198"/>
      <c r="BF36" s="238"/>
      <c r="BG36" s="282"/>
      <c r="BH36" s="160"/>
      <c r="BI36" s="219"/>
      <c r="BJ36" s="246"/>
      <c r="BK36" s="250"/>
      <c r="BL36" s="230"/>
    </row>
    <row r="37" spans="1:6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2"/>
      <c r="Q37" s="2"/>
      <c r="R37" s="2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2"/>
      <c r="AG37" s="7"/>
      <c r="AH37" s="7"/>
      <c r="AI37" s="7"/>
      <c r="AJ37" s="7"/>
      <c r="AK37" s="7"/>
      <c r="AL37" s="7"/>
      <c r="AM37" s="7"/>
      <c r="AN37" s="7"/>
      <c r="AO37" s="7"/>
      <c r="AP37" s="2"/>
      <c r="AQ37" s="13"/>
      <c r="AR37" s="7">
        <f t="shared" si="0"/>
        <v>0</v>
      </c>
      <c r="AS37" s="7"/>
      <c r="AT37" s="7"/>
      <c r="AU37" s="57"/>
      <c r="AV37" s="7"/>
      <c r="AW37" s="7"/>
      <c r="AX37" s="7"/>
      <c r="AY37" s="7"/>
      <c r="AZ37" s="103"/>
      <c r="BC37" s="187"/>
      <c r="BD37" s="188"/>
      <c r="BE37" s="198"/>
      <c r="BF37" s="238"/>
      <c r="BG37" s="282"/>
      <c r="BH37" s="160"/>
      <c r="BI37" s="219"/>
      <c r="BJ37" s="246"/>
      <c r="BK37" s="250"/>
      <c r="BL37" s="230"/>
    </row>
    <row r="38" spans="1:6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4"/>
      <c r="Q38" s="4"/>
      <c r="R38" s="4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4"/>
      <c r="AG38" s="9"/>
      <c r="AH38" s="9"/>
      <c r="AI38" s="9"/>
      <c r="AJ38" s="9"/>
      <c r="AK38" s="9"/>
      <c r="AL38" s="9"/>
      <c r="AM38" s="9"/>
      <c r="AN38" s="9"/>
      <c r="AO38" s="9"/>
      <c r="AP38" s="4"/>
      <c r="AQ38" s="13"/>
      <c r="AR38" s="21">
        <f t="shared" si="0"/>
        <v>0</v>
      </c>
      <c r="AS38" s="9"/>
      <c r="AT38" s="9"/>
      <c r="AU38" s="58"/>
      <c r="AV38" s="9"/>
      <c r="AW38" s="9"/>
      <c r="AX38" s="9"/>
      <c r="AY38" s="9"/>
      <c r="AZ38" s="141"/>
      <c r="BC38" s="187"/>
      <c r="BD38" s="188"/>
      <c r="BE38" s="198"/>
      <c r="BF38" s="238"/>
      <c r="BG38" s="282"/>
      <c r="BH38" s="160"/>
      <c r="BI38" s="219"/>
      <c r="BJ38" s="246"/>
      <c r="BK38" s="250"/>
      <c r="BL38" s="230"/>
    </row>
    <row r="39" spans="1:6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2"/>
      <c r="Q39" s="2"/>
      <c r="R39" s="2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2"/>
      <c r="AG39" s="7"/>
      <c r="AH39" s="7"/>
      <c r="AI39" s="7"/>
      <c r="AJ39" s="7"/>
      <c r="AK39" s="7"/>
      <c r="AL39" s="7"/>
      <c r="AM39" s="7"/>
      <c r="AN39" s="7"/>
      <c r="AO39" s="7"/>
      <c r="AP39" s="2"/>
      <c r="AQ39" s="13"/>
      <c r="AR39" s="7">
        <f t="shared" si="0"/>
        <v>0</v>
      </c>
      <c r="AS39" s="7"/>
      <c r="AT39" s="7"/>
      <c r="AU39" s="57"/>
      <c r="AV39" s="7"/>
      <c r="AW39" s="7"/>
      <c r="AX39" s="7"/>
      <c r="AY39" s="7"/>
      <c r="AZ39" s="103"/>
      <c r="BC39" s="187"/>
      <c r="BD39" s="188"/>
      <c r="BE39" s="198"/>
      <c r="BF39" s="238"/>
      <c r="BG39" s="282"/>
      <c r="BH39" s="160"/>
      <c r="BI39" s="219"/>
      <c r="BJ39" s="246"/>
      <c r="BK39" s="250"/>
      <c r="BL39" s="230"/>
    </row>
    <row r="40" spans="1:6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4"/>
      <c r="Q40" s="4"/>
      <c r="R40" s="4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4"/>
      <c r="AG40" s="9"/>
      <c r="AH40" s="9"/>
      <c r="AI40" s="9"/>
      <c r="AJ40" s="9"/>
      <c r="AK40" s="9"/>
      <c r="AL40" s="9"/>
      <c r="AM40" s="9"/>
      <c r="AN40" s="9"/>
      <c r="AO40" s="9"/>
      <c r="AP40" s="4"/>
      <c r="AQ40" s="13"/>
      <c r="AR40" s="21">
        <f t="shared" si="0"/>
        <v>0</v>
      </c>
      <c r="AS40" s="9"/>
      <c r="AT40" s="9"/>
      <c r="AU40" s="58"/>
      <c r="AV40" s="9"/>
      <c r="AW40" s="9"/>
      <c r="AX40" s="9"/>
      <c r="AY40" s="9"/>
      <c r="AZ40" s="141"/>
      <c r="BC40" s="187"/>
      <c r="BD40" s="188"/>
      <c r="BE40" s="198"/>
      <c r="BF40" s="238"/>
      <c r="BG40" s="282"/>
      <c r="BH40" s="160"/>
      <c r="BI40" s="219"/>
      <c r="BJ40" s="246"/>
      <c r="BK40" s="250"/>
      <c r="BL40" s="230"/>
    </row>
    <row r="41" spans="1:6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2"/>
      <c r="Q41" s="2"/>
      <c r="R41" s="2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2"/>
      <c r="AG41" s="7"/>
      <c r="AH41" s="7"/>
      <c r="AI41" s="7"/>
      <c r="AJ41" s="7"/>
      <c r="AK41" s="7"/>
      <c r="AL41" s="7"/>
      <c r="AM41" s="7"/>
      <c r="AN41" s="7"/>
      <c r="AO41" s="7"/>
      <c r="AP41" s="2"/>
      <c r="AQ41" s="13"/>
      <c r="AR41" s="7">
        <f t="shared" si="0"/>
        <v>0</v>
      </c>
      <c r="AS41" s="7"/>
      <c r="AT41" s="7"/>
      <c r="AU41" s="57"/>
      <c r="AV41" s="7"/>
      <c r="AW41" s="7"/>
      <c r="AX41" s="7"/>
      <c r="AY41" s="7"/>
      <c r="AZ41" s="103"/>
      <c r="BC41" s="187"/>
      <c r="BD41" s="188"/>
      <c r="BE41" s="198"/>
      <c r="BF41" s="238"/>
      <c r="BG41" s="282"/>
      <c r="BH41" s="160"/>
      <c r="BI41" s="219"/>
      <c r="BJ41" s="246"/>
      <c r="BK41" s="250"/>
      <c r="BL41" s="230"/>
    </row>
    <row r="42" spans="1:6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4"/>
      <c r="Q42" s="4"/>
      <c r="R42" s="4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4"/>
      <c r="AG42" s="9"/>
      <c r="AH42" s="9"/>
      <c r="AI42" s="9"/>
      <c r="AJ42" s="9"/>
      <c r="AK42" s="9"/>
      <c r="AL42" s="9"/>
      <c r="AM42" s="9"/>
      <c r="AN42" s="9"/>
      <c r="AO42" s="9"/>
      <c r="AP42" s="4"/>
      <c r="AQ42" s="13"/>
      <c r="AR42" s="21">
        <f t="shared" si="0"/>
        <v>0</v>
      </c>
      <c r="AS42" s="9"/>
      <c r="AT42" s="9"/>
      <c r="AU42" s="58"/>
      <c r="AV42" s="9"/>
      <c r="AW42" s="9"/>
      <c r="AX42" s="9"/>
      <c r="AY42" s="9"/>
      <c r="AZ42" s="141"/>
      <c r="BC42" s="187"/>
      <c r="BD42" s="188"/>
      <c r="BE42" s="198"/>
      <c r="BF42" s="238"/>
      <c r="BG42" s="282"/>
      <c r="BH42" s="160"/>
      <c r="BI42" s="219"/>
      <c r="BJ42" s="246"/>
      <c r="BK42" s="250"/>
      <c r="BL42" s="230"/>
    </row>
    <row r="43" spans="1:6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2"/>
      <c r="Q43" s="2"/>
      <c r="R43" s="2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2"/>
      <c r="AG43" s="7"/>
      <c r="AH43" s="7"/>
      <c r="AI43" s="7"/>
      <c r="AJ43" s="7"/>
      <c r="AK43" s="7"/>
      <c r="AL43" s="7"/>
      <c r="AM43" s="7"/>
      <c r="AN43" s="7"/>
      <c r="AO43" s="7"/>
      <c r="AP43" s="2"/>
      <c r="AQ43" s="13"/>
      <c r="AR43" s="7">
        <f t="shared" si="0"/>
        <v>0</v>
      </c>
      <c r="AS43" s="7"/>
      <c r="AT43" s="7"/>
      <c r="AU43" s="57"/>
      <c r="AV43" s="7"/>
      <c r="AW43" s="7"/>
      <c r="AX43" s="7"/>
      <c r="AY43" s="7"/>
      <c r="AZ43" s="103"/>
      <c r="BC43" s="187"/>
      <c r="BD43" s="188"/>
      <c r="BE43" s="198"/>
      <c r="BF43" s="238"/>
      <c r="BG43" s="282"/>
      <c r="BH43" s="160"/>
      <c r="BI43" s="219"/>
      <c r="BJ43" s="246"/>
      <c r="BK43" s="250"/>
      <c r="BL43" s="230"/>
    </row>
    <row r="44" spans="1:6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4"/>
      <c r="Q44" s="4"/>
      <c r="R44" s="4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4"/>
      <c r="AG44" s="9"/>
      <c r="AH44" s="9"/>
      <c r="AI44" s="9"/>
      <c r="AJ44" s="9"/>
      <c r="AK44" s="9"/>
      <c r="AL44" s="9"/>
      <c r="AM44" s="9"/>
      <c r="AN44" s="9"/>
      <c r="AO44" s="9"/>
      <c r="AP44" s="4"/>
      <c r="AQ44" s="13"/>
      <c r="AR44" s="21">
        <f t="shared" si="0"/>
        <v>0</v>
      </c>
      <c r="AS44" s="9"/>
      <c r="AT44" s="9"/>
      <c r="AU44" s="58"/>
      <c r="AV44" s="9"/>
      <c r="AW44" s="9"/>
      <c r="AX44" s="9"/>
      <c r="AY44" s="9"/>
      <c r="AZ44" s="141"/>
      <c r="BC44" s="187"/>
      <c r="BD44" s="188"/>
      <c r="BE44" s="198"/>
      <c r="BF44" s="238"/>
      <c r="BG44" s="282"/>
      <c r="BH44" s="160"/>
      <c r="BI44" s="219"/>
      <c r="BJ44" s="246"/>
      <c r="BK44" s="250"/>
      <c r="BL44" s="230"/>
    </row>
    <row r="45" spans="1:6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2"/>
      <c r="Q45" s="2"/>
      <c r="R45" s="2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2"/>
      <c r="AG45" s="7"/>
      <c r="AH45" s="7"/>
      <c r="AI45" s="7"/>
      <c r="AJ45" s="7"/>
      <c r="AK45" s="7"/>
      <c r="AL45" s="7"/>
      <c r="AM45" s="7"/>
      <c r="AN45" s="7"/>
      <c r="AO45" s="7"/>
      <c r="AP45" s="2"/>
      <c r="AQ45" s="13"/>
      <c r="AR45" s="7">
        <f t="shared" si="0"/>
        <v>0</v>
      </c>
      <c r="AS45" s="7"/>
      <c r="AT45" s="7"/>
      <c r="AU45" s="57"/>
      <c r="AV45" s="7"/>
      <c r="AW45" s="7"/>
      <c r="AX45" s="7"/>
      <c r="AY45" s="7"/>
      <c r="AZ45" s="103"/>
      <c r="BC45" s="187"/>
      <c r="BD45" s="188"/>
      <c r="BE45" s="198"/>
      <c r="BF45" s="238"/>
      <c r="BG45" s="282"/>
      <c r="BH45" s="160"/>
      <c r="BI45" s="219"/>
      <c r="BJ45" s="246"/>
      <c r="BK45" s="250"/>
      <c r="BL45" s="230"/>
    </row>
    <row r="46" spans="1:6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4"/>
      <c r="Q46" s="4"/>
      <c r="R46" s="4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4"/>
      <c r="AG46" s="9"/>
      <c r="AH46" s="9"/>
      <c r="AI46" s="9"/>
      <c r="AJ46" s="9"/>
      <c r="AK46" s="9"/>
      <c r="AL46" s="9"/>
      <c r="AM46" s="9"/>
      <c r="AN46" s="9"/>
      <c r="AO46" s="9"/>
      <c r="AP46" s="4"/>
      <c r="AQ46" s="13"/>
      <c r="AR46" s="21">
        <f t="shared" si="0"/>
        <v>0</v>
      </c>
      <c r="AS46" s="9"/>
      <c r="AT46" s="9"/>
      <c r="AU46" s="58"/>
      <c r="AV46" s="9"/>
      <c r="AW46" s="9"/>
      <c r="AX46" s="9"/>
      <c r="AY46" s="9"/>
      <c r="AZ46" s="141"/>
      <c r="BC46" s="187"/>
      <c r="BD46" s="188"/>
      <c r="BE46" s="198"/>
      <c r="BF46" s="238"/>
      <c r="BG46" s="282"/>
      <c r="BH46" s="160"/>
      <c r="BI46" s="219"/>
      <c r="BJ46" s="246"/>
      <c r="BK46" s="250"/>
      <c r="BL46" s="230"/>
    </row>
    <row r="47" spans="1:6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2"/>
      <c r="Q47" s="2"/>
      <c r="R47" s="2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2"/>
      <c r="AG47" s="7"/>
      <c r="AH47" s="7"/>
      <c r="AI47" s="7"/>
      <c r="AJ47" s="7"/>
      <c r="AK47" s="7"/>
      <c r="AL47" s="7"/>
      <c r="AM47" s="7"/>
      <c r="AN47" s="7"/>
      <c r="AO47" s="7"/>
      <c r="AP47" s="2"/>
      <c r="AQ47" s="13"/>
      <c r="AR47" s="7">
        <f t="shared" si="0"/>
        <v>0</v>
      </c>
      <c r="AS47" s="7"/>
      <c r="AT47" s="7"/>
      <c r="AU47" s="57"/>
      <c r="AV47" s="7"/>
      <c r="AW47" s="7"/>
      <c r="AX47" s="7"/>
      <c r="AY47" s="7"/>
      <c r="AZ47" s="103"/>
      <c r="BC47" s="187"/>
      <c r="BD47" s="188"/>
      <c r="BE47" s="198"/>
      <c r="BF47" s="238"/>
      <c r="BG47" s="282"/>
      <c r="BH47" s="160"/>
      <c r="BI47" s="219"/>
      <c r="BJ47" s="246"/>
      <c r="BK47" s="250"/>
      <c r="BL47" s="230"/>
    </row>
    <row r="48" spans="1:6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4"/>
      <c r="Q48" s="4"/>
      <c r="R48" s="4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4"/>
      <c r="AG48" s="9"/>
      <c r="AH48" s="9"/>
      <c r="AI48" s="9"/>
      <c r="AJ48" s="9"/>
      <c r="AK48" s="9"/>
      <c r="AL48" s="9"/>
      <c r="AM48" s="9"/>
      <c r="AN48" s="9"/>
      <c r="AO48" s="9"/>
      <c r="AP48" s="4"/>
      <c r="AQ48" s="13"/>
      <c r="AR48" s="21">
        <f t="shared" si="0"/>
        <v>0</v>
      </c>
      <c r="AS48" s="9"/>
      <c r="AT48" s="9"/>
      <c r="AU48" s="58"/>
      <c r="AV48" s="9"/>
      <c r="AW48" s="9"/>
      <c r="AX48" s="9"/>
      <c r="AY48" s="9"/>
      <c r="AZ48" s="141"/>
      <c r="BC48" s="187"/>
      <c r="BD48" s="188"/>
      <c r="BE48" s="198"/>
      <c r="BF48" s="238"/>
      <c r="BG48" s="282"/>
      <c r="BH48" s="160"/>
      <c r="BI48" s="219"/>
      <c r="BJ48" s="246"/>
      <c r="BK48" s="250"/>
      <c r="BL48" s="230"/>
    </row>
    <row r="49" spans="1:6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"/>
      <c r="Q49" s="2"/>
      <c r="R49" s="2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2"/>
      <c r="AG49" s="7"/>
      <c r="AH49" s="7"/>
      <c r="AI49" s="7"/>
      <c r="AJ49" s="7"/>
      <c r="AK49" s="7"/>
      <c r="AL49" s="7"/>
      <c r="AM49" s="7"/>
      <c r="AN49" s="7"/>
      <c r="AO49" s="7"/>
      <c r="AP49" s="2"/>
      <c r="AQ49" s="13"/>
      <c r="AR49" s="7">
        <f t="shared" si="0"/>
        <v>0</v>
      </c>
      <c r="AS49" s="7"/>
      <c r="AT49" s="7"/>
      <c r="AU49" s="57"/>
      <c r="AV49" s="7"/>
      <c r="AW49" s="7"/>
      <c r="AX49" s="7"/>
      <c r="AY49" s="7"/>
      <c r="AZ49" s="103"/>
      <c r="BC49" s="187"/>
      <c r="BD49" s="188"/>
      <c r="BE49" s="198"/>
      <c r="BF49" s="238"/>
      <c r="BG49" s="282"/>
      <c r="BH49" s="160"/>
      <c r="BI49" s="219"/>
      <c r="BJ49" s="246"/>
      <c r="BK49" s="250"/>
      <c r="BL49" s="230"/>
    </row>
    <row r="50" spans="1:6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4"/>
      <c r="Q50" s="4"/>
      <c r="R50" s="4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4"/>
      <c r="AG50" s="9"/>
      <c r="AH50" s="9"/>
      <c r="AI50" s="9"/>
      <c r="AJ50" s="9"/>
      <c r="AK50" s="9"/>
      <c r="AL50" s="9"/>
      <c r="AM50" s="9"/>
      <c r="AN50" s="9"/>
      <c r="AO50" s="9"/>
      <c r="AP50" s="4"/>
      <c r="AQ50" s="13"/>
      <c r="AR50" s="21">
        <f t="shared" si="0"/>
        <v>0</v>
      </c>
      <c r="AS50" s="9"/>
      <c r="AT50" s="9"/>
      <c r="AU50" s="58"/>
      <c r="AV50" s="9"/>
      <c r="AW50" s="9"/>
      <c r="AX50" s="9"/>
      <c r="AY50" s="9"/>
      <c r="AZ50" s="141"/>
      <c r="BC50" s="187"/>
      <c r="BD50" s="188"/>
      <c r="BE50" s="198"/>
      <c r="BF50" s="238"/>
      <c r="BG50" s="282"/>
      <c r="BH50" s="160"/>
      <c r="BI50" s="219"/>
      <c r="BJ50" s="246"/>
      <c r="BK50" s="250"/>
      <c r="BL50" s="230"/>
    </row>
    <row r="51" spans="1:6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2"/>
      <c r="Q51" s="2"/>
      <c r="R51" s="2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2"/>
      <c r="AG51" s="7"/>
      <c r="AH51" s="7"/>
      <c r="AI51" s="7"/>
      <c r="AJ51" s="7"/>
      <c r="AK51" s="7"/>
      <c r="AL51" s="7"/>
      <c r="AM51" s="7"/>
      <c r="AN51" s="7"/>
      <c r="AO51" s="7"/>
      <c r="AP51" s="2"/>
      <c r="AQ51" s="13"/>
      <c r="AR51" s="7">
        <f t="shared" si="0"/>
        <v>0</v>
      </c>
      <c r="AS51" s="7"/>
      <c r="AT51" s="7"/>
      <c r="AU51" s="57"/>
      <c r="AV51" s="7"/>
      <c r="AW51" s="7"/>
      <c r="AX51" s="7"/>
      <c r="AY51" s="7"/>
      <c r="AZ51" s="103"/>
      <c r="BC51" s="187"/>
      <c r="BD51" s="188"/>
      <c r="BE51" s="198"/>
      <c r="BF51" s="238"/>
      <c r="BG51" s="282"/>
      <c r="BH51" s="160"/>
      <c r="BI51" s="219"/>
      <c r="BJ51" s="246"/>
      <c r="BK51" s="250"/>
      <c r="BL51" s="230"/>
    </row>
    <row r="52" spans="1:6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4"/>
      <c r="Q52" s="4"/>
      <c r="R52" s="4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4"/>
      <c r="AG52" s="9"/>
      <c r="AH52" s="9"/>
      <c r="AI52" s="9"/>
      <c r="AJ52" s="9"/>
      <c r="AK52" s="9"/>
      <c r="AL52" s="9"/>
      <c r="AM52" s="9"/>
      <c r="AN52" s="9"/>
      <c r="AO52" s="9"/>
      <c r="AP52" s="4"/>
      <c r="AQ52" s="13"/>
      <c r="AR52" s="21">
        <f t="shared" si="0"/>
        <v>0</v>
      </c>
      <c r="AS52" s="9"/>
      <c r="AT52" s="9"/>
      <c r="AU52" s="58"/>
      <c r="AV52" s="9"/>
      <c r="AW52" s="9"/>
      <c r="AX52" s="9"/>
      <c r="AY52" s="9"/>
      <c r="AZ52" s="141"/>
      <c r="BC52" s="187"/>
      <c r="BD52" s="188"/>
      <c r="BE52" s="198"/>
      <c r="BF52" s="238"/>
      <c r="BG52" s="282"/>
      <c r="BH52" s="160"/>
      <c r="BI52" s="219"/>
      <c r="BJ52" s="246"/>
      <c r="BK52" s="250"/>
      <c r="BL52" s="230"/>
    </row>
    <row r="53" spans="1:6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2"/>
      <c r="Q53" s="2"/>
      <c r="R53" s="2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2"/>
      <c r="AG53" s="7"/>
      <c r="AH53" s="7"/>
      <c r="AI53" s="7"/>
      <c r="AJ53" s="7"/>
      <c r="AK53" s="7"/>
      <c r="AL53" s="7"/>
      <c r="AM53" s="7"/>
      <c r="AN53" s="7"/>
      <c r="AO53" s="7"/>
      <c r="AP53" s="2"/>
      <c r="AQ53" s="13"/>
      <c r="AR53" s="7">
        <f t="shared" si="0"/>
        <v>0</v>
      </c>
      <c r="AS53" s="7"/>
      <c r="AT53" s="7"/>
      <c r="AU53" s="57"/>
      <c r="AV53" s="7"/>
      <c r="AW53" s="7"/>
      <c r="AX53" s="7"/>
      <c r="AY53" s="7"/>
      <c r="AZ53" s="103"/>
      <c r="BC53" s="187"/>
      <c r="BD53" s="188"/>
      <c r="BE53" s="198"/>
      <c r="BF53" s="238"/>
      <c r="BG53" s="282"/>
      <c r="BH53" s="160"/>
      <c r="BI53" s="219"/>
      <c r="BJ53" s="246"/>
      <c r="BK53" s="250"/>
      <c r="BL53" s="230"/>
    </row>
    <row r="54" spans="1:6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4"/>
      <c r="Q54" s="4"/>
      <c r="R54" s="4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4"/>
      <c r="AG54" s="9"/>
      <c r="AH54" s="9"/>
      <c r="AI54" s="9"/>
      <c r="AJ54" s="9"/>
      <c r="AK54" s="9"/>
      <c r="AL54" s="9"/>
      <c r="AM54" s="9"/>
      <c r="AN54" s="9"/>
      <c r="AO54" s="9"/>
      <c r="AP54" s="4"/>
      <c r="AQ54" s="13"/>
      <c r="AR54" s="21">
        <f t="shared" si="0"/>
        <v>0</v>
      </c>
      <c r="AS54" s="9"/>
      <c r="AT54" s="9"/>
      <c r="AU54" s="58"/>
      <c r="AV54" s="9"/>
      <c r="AW54" s="9"/>
      <c r="AX54" s="9"/>
      <c r="AY54" s="9"/>
      <c r="AZ54" s="141"/>
      <c r="BC54" s="187"/>
      <c r="BD54" s="188"/>
      <c r="BE54" s="198"/>
      <c r="BF54" s="238"/>
      <c r="BG54" s="282"/>
      <c r="BH54" s="160"/>
      <c r="BI54" s="219"/>
      <c r="BJ54" s="246"/>
      <c r="BK54" s="250"/>
      <c r="BL54" s="230"/>
    </row>
    <row r="55" spans="1:6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2"/>
      <c r="Q55" s="2"/>
      <c r="R55" s="2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2"/>
      <c r="AG55" s="7"/>
      <c r="AH55" s="7"/>
      <c r="AI55" s="7"/>
      <c r="AJ55" s="7"/>
      <c r="AK55" s="7"/>
      <c r="AL55" s="7"/>
      <c r="AM55" s="7"/>
      <c r="AN55" s="7"/>
      <c r="AO55" s="7"/>
      <c r="AP55" s="2"/>
      <c r="AQ55" s="13"/>
      <c r="AR55" s="7">
        <f t="shared" si="0"/>
        <v>0</v>
      </c>
      <c r="AS55" s="7"/>
      <c r="AT55" s="7"/>
      <c r="AU55" s="57"/>
      <c r="AV55" s="7"/>
      <c r="AW55" s="7"/>
      <c r="AX55" s="7"/>
      <c r="AY55" s="7"/>
      <c r="AZ55" s="103"/>
      <c r="BC55" s="187"/>
      <c r="BD55" s="188"/>
      <c r="BE55" s="198"/>
      <c r="BF55" s="238"/>
      <c r="BG55" s="282"/>
      <c r="BH55" s="160"/>
      <c r="BI55" s="219"/>
      <c r="BJ55" s="246"/>
      <c r="BK55" s="250"/>
      <c r="BL55" s="230"/>
    </row>
    <row r="56" spans="1:6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4"/>
      <c r="Q56" s="4"/>
      <c r="R56" s="4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4"/>
      <c r="AG56" s="9"/>
      <c r="AH56" s="9"/>
      <c r="AI56" s="9"/>
      <c r="AJ56" s="9"/>
      <c r="AK56" s="9"/>
      <c r="AL56" s="9"/>
      <c r="AM56" s="9"/>
      <c r="AN56" s="9"/>
      <c r="AO56" s="9"/>
      <c r="AP56" s="4"/>
      <c r="AQ56" s="13"/>
      <c r="AR56" s="21">
        <f t="shared" si="0"/>
        <v>0</v>
      </c>
      <c r="AS56" s="9"/>
      <c r="AT56" s="9"/>
      <c r="AU56" s="58"/>
      <c r="AV56" s="9"/>
      <c r="AW56" s="9"/>
      <c r="AX56" s="9"/>
      <c r="AY56" s="9"/>
      <c r="AZ56" s="141"/>
      <c r="BC56" s="187"/>
      <c r="BD56" s="188"/>
      <c r="BE56" s="198"/>
      <c r="BF56" s="238"/>
      <c r="BG56" s="282"/>
      <c r="BH56" s="160"/>
      <c r="BI56" s="219"/>
      <c r="BJ56" s="246"/>
      <c r="BK56" s="250"/>
      <c r="BL56" s="230"/>
    </row>
    <row r="57" spans="1:6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2"/>
      <c r="Q57" s="2"/>
      <c r="R57" s="2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2"/>
      <c r="AG57" s="7"/>
      <c r="AH57" s="7"/>
      <c r="AI57" s="7"/>
      <c r="AJ57" s="7"/>
      <c r="AK57" s="7"/>
      <c r="AL57" s="7"/>
      <c r="AM57" s="7"/>
      <c r="AN57" s="7"/>
      <c r="AO57" s="7"/>
      <c r="AP57" s="2"/>
      <c r="AQ57" s="13"/>
      <c r="AR57" s="7">
        <f t="shared" si="0"/>
        <v>0</v>
      </c>
      <c r="AS57" s="7"/>
      <c r="AT57" s="7"/>
      <c r="AU57" s="57"/>
      <c r="AV57" s="7"/>
      <c r="AW57" s="7"/>
      <c r="AX57" s="7"/>
      <c r="AY57" s="7"/>
      <c r="AZ57" s="103"/>
      <c r="BC57" s="187"/>
      <c r="BD57" s="188"/>
      <c r="BE57" s="198"/>
      <c r="BF57" s="238"/>
      <c r="BG57" s="282"/>
      <c r="BH57" s="160"/>
      <c r="BI57" s="219"/>
      <c r="BJ57" s="246"/>
      <c r="BK57" s="250"/>
      <c r="BL57" s="230"/>
    </row>
    <row r="58" spans="1:6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4"/>
      <c r="Q58" s="4"/>
      <c r="R58" s="4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4"/>
      <c r="AG58" s="9"/>
      <c r="AH58" s="9"/>
      <c r="AI58" s="9"/>
      <c r="AJ58" s="9"/>
      <c r="AK58" s="9"/>
      <c r="AL58" s="9"/>
      <c r="AM58" s="9"/>
      <c r="AN58" s="9"/>
      <c r="AO58" s="9"/>
      <c r="AP58" s="4"/>
      <c r="AQ58" s="13"/>
      <c r="AR58" s="21">
        <f t="shared" si="0"/>
        <v>0</v>
      </c>
      <c r="AS58" s="9"/>
      <c r="AT58" s="9"/>
      <c r="AU58" s="58"/>
      <c r="AV58" s="9"/>
      <c r="AW58" s="9"/>
      <c r="AX58" s="9"/>
      <c r="AY58" s="9"/>
      <c r="AZ58" s="141"/>
      <c r="BC58" s="187"/>
      <c r="BD58" s="188"/>
      <c r="BE58" s="198"/>
      <c r="BF58" s="238"/>
      <c r="BG58" s="282"/>
      <c r="BH58" s="160"/>
      <c r="BI58" s="219"/>
      <c r="BJ58" s="246"/>
      <c r="BK58" s="250"/>
      <c r="BL58" s="230"/>
    </row>
    <row r="59" spans="1:6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2"/>
      <c r="Q59" s="2"/>
      <c r="R59" s="2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2"/>
      <c r="AG59" s="7"/>
      <c r="AH59" s="7"/>
      <c r="AI59" s="7"/>
      <c r="AJ59" s="7"/>
      <c r="AK59" s="7"/>
      <c r="AL59" s="7"/>
      <c r="AM59" s="7"/>
      <c r="AN59" s="7"/>
      <c r="AO59" s="7"/>
      <c r="AP59" s="2"/>
      <c r="AQ59" s="13"/>
      <c r="AR59" s="7">
        <f t="shared" si="0"/>
        <v>0</v>
      </c>
      <c r="AS59" s="7"/>
      <c r="AT59" s="7"/>
      <c r="AU59" s="57"/>
      <c r="AV59" s="7"/>
      <c r="AW59" s="7"/>
      <c r="AX59" s="7"/>
      <c r="AY59" s="7"/>
      <c r="AZ59" s="103"/>
      <c r="BC59" s="187"/>
      <c r="BD59" s="188"/>
      <c r="BE59" s="198"/>
      <c r="BF59" s="238"/>
      <c r="BG59" s="282"/>
      <c r="BH59" s="160"/>
      <c r="BI59" s="219"/>
      <c r="BJ59" s="246"/>
      <c r="BK59" s="250"/>
      <c r="BL59" s="230"/>
    </row>
    <row r="60" spans="1:6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4"/>
      <c r="Q60" s="4"/>
      <c r="R60" s="4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4"/>
      <c r="AG60" s="9"/>
      <c r="AH60" s="9"/>
      <c r="AI60" s="9"/>
      <c r="AJ60" s="9"/>
      <c r="AK60" s="9"/>
      <c r="AL60" s="9"/>
      <c r="AM60" s="9"/>
      <c r="AN60" s="9"/>
      <c r="AO60" s="9"/>
      <c r="AP60" s="4"/>
      <c r="AQ60" s="13"/>
      <c r="AR60" s="21">
        <f t="shared" si="0"/>
        <v>0</v>
      </c>
      <c r="AS60" s="9"/>
      <c r="AT60" s="9"/>
      <c r="AU60" s="58"/>
      <c r="AV60" s="9"/>
      <c r="AW60" s="9"/>
      <c r="AX60" s="9"/>
      <c r="AY60" s="9"/>
      <c r="AZ60" s="141"/>
      <c r="BC60" s="187"/>
      <c r="BD60" s="188"/>
      <c r="BE60" s="198"/>
      <c r="BF60" s="238"/>
      <c r="BG60" s="282"/>
      <c r="BH60" s="160"/>
      <c r="BI60" s="219"/>
      <c r="BJ60" s="246"/>
      <c r="BK60" s="250"/>
      <c r="BL60" s="230"/>
    </row>
    <row r="61" spans="1:6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2"/>
      <c r="Q61" s="2"/>
      <c r="R61" s="2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2"/>
      <c r="AG61" s="7"/>
      <c r="AH61" s="7"/>
      <c r="AI61" s="7"/>
      <c r="AJ61" s="7"/>
      <c r="AK61" s="7"/>
      <c r="AL61" s="7"/>
      <c r="AM61" s="7"/>
      <c r="AN61" s="7"/>
      <c r="AO61" s="7"/>
      <c r="AP61" s="2"/>
      <c r="AQ61" s="13"/>
      <c r="AR61" s="7">
        <f t="shared" si="0"/>
        <v>0</v>
      </c>
      <c r="AS61" s="7"/>
      <c r="AT61" s="7"/>
      <c r="AU61" s="57"/>
      <c r="AV61" s="7"/>
      <c r="AW61" s="7"/>
      <c r="AX61" s="7"/>
      <c r="AY61" s="7"/>
      <c r="AZ61" s="103"/>
      <c r="BC61" s="187"/>
      <c r="BD61" s="188"/>
      <c r="BE61" s="198"/>
      <c r="BF61" s="238"/>
      <c r="BG61" s="282"/>
      <c r="BH61" s="160"/>
      <c r="BI61" s="219"/>
      <c r="BJ61" s="246"/>
      <c r="BK61" s="250"/>
      <c r="BL61" s="230"/>
    </row>
    <row r="62" spans="1:6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4"/>
      <c r="Q62" s="4"/>
      <c r="R62" s="4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4"/>
      <c r="AG62" s="9"/>
      <c r="AH62" s="9"/>
      <c r="AI62" s="9"/>
      <c r="AJ62" s="9"/>
      <c r="AK62" s="9"/>
      <c r="AL62" s="9"/>
      <c r="AM62" s="9"/>
      <c r="AN62" s="9"/>
      <c r="AO62" s="9"/>
      <c r="AP62" s="4"/>
      <c r="AQ62" s="13"/>
      <c r="AR62" s="21">
        <f t="shared" si="0"/>
        <v>0</v>
      </c>
      <c r="AS62" s="9"/>
      <c r="AT62" s="9"/>
      <c r="AU62" s="58"/>
      <c r="AV62" s="9"/>
      <c r="AW62" s="9"/>
      <c r="AX62" s="9"/>
      <c r="AY62" s="9"/>
      <c r="AZ62" s="141"/>
      <c r="BC62" s="187"/>
      <c r="BD62" s="188"/>
      <c r="BE62" s="198"/>
      <c r="BF62" s="238"/>
      <c r="BG62" s="282"/>
      <c r="BH62" s="160"/>
      <c r="BI62" s="219"/>
      <c r="BJ62" s="246"/>
      <c r="BK62" s="250"/>
      <c r="BL62" s="230"/>
    </row>
    <row r="63" spans="1:6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2"/>
      <c r="Q63" s="2"/>
      <c r="R63" s="2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2"/>
      <c r="AG63" s="7"/>
      <c r="AH63" s="7"/>
      <c r="AI63" s="7"/>
      <c r="AJ63" s="7"/>
      <c r="AK63" s="7"/>
      <c r="AL63" s="7"/>
      <c r="AM63" s="7"/>
      <c r="AN63" s="7"/>
      <c r="AO63" s="7"/>
      <c r="AP63" s="2"/>
      <c r="AQ63" s="13"/>
      <c r="AR63" s="7">
        <f t="shared" si="0"/>
        <v>0</v>
      </c>
      <c r="AS63" s="7"/>
      <c r="AT63" s="7"/>
      <c r="AU63" s="57"/>
      <c r="AV63" s="7"/>
      <c r="AW63" s="7"/>
      <c r="AX63" s="7"/>
      <c r="AY63" s="7"/>
      <c r="AZ63" s="103"/>
      <c r="BC63" s="187"/>
      <c r="BD63" s="188"/>
      <c r="BE63" s="198"/>
      <c r="BF63" s="238"/>
      <c r="BG63" s="282"/>
      <c r="BH63" s="160"/>
      <c r="BI63" s="219"/>
      <c r="BJ63" s="246"/>
      <c r="BK63" s="250"/>
      <c r="BL63" s="230"/>
    </row>
    <row r="64" spans="1: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2"/>
      <c r="Q64" s="2"/>
      <c r="R64" s="2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2"/>
      <c r="AG64" s="9"/>
      <c r="AH64" s="9"/>
      <c r="AI64" s="9"/>
      <c r="AJ64" s="9"/>
      <c r="AK64" s="9"/>
      <c r="AL64" s="9"/>
      <c r="AM64" s="9"/>
      <c r="AN64" s="9"/>
      <c r="AO64" s="9"/>
      <c r="AP64" s="2"/>
      <c r="AQ64" s="13"/>
      <c r="AR64" s="21">
        <f t="shared" si="0"/>
        <v>0</v>
      </c>
      <c r="AS64" s="9"/>
      <c r="AT64" s="9"/>
      <c r="AU64" s="58"/>
      <c r="AV64" s="9"/>
      <c r="AW64" s="9"/>
      <c r="AX64" s="9"/>
      <c r="AY64" s="9"/>
      <c r="AZ64" s="141"/>
      <c r="BC64" s="187"/>
      <c r="BD64" s="188"/>
      <c r="BE64" s="198"/>
      <c r="BF64" s="238"/>
      <c r="BG64" s="282"/>
      <c r="BH64" s="160"/>
      <c r="BI64" s="219"/>
      <c r="BJ64" s="246"/>
      <c r="BK64" s="250"/>
      <c r="BL64" s="230"/>
    </row>
    <row r="65" spans="1:6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2"/>
      <c r="Q65" s="2"/>
      <c r="R65" s="2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2"/>
      <c r="AG65" s="7"/>
      <c r="AH65" s="7"/>
      <c r="AI65" s="7"/>
      <c r="AJ65" s="7"/>
      <c r="AK65" s="7"/>
      <c r="AL65" s="7"/>
      <c r="AM65" s="7"/>
      <c r="AN65" s="7"/>
      <c r="AO65" s="7"/>
      <c r="AP65" s="2"/>
      <c r="AQ65" s="13"/>
      <c r="AR65" s="7">
        <f t="shared" si="0"/>
        <v>0</v>
      </c>
      <c r="AS65" s="7"/>
      <c r="AT65" s="7"/>
      <c r="AU65" s="57"/>
      <c r="AV65" s="7"/>
      <c r="AW65" s="7"/>
      <c r="AX65" s="7"/>
      <c r="AY65" s="7"/>
      <c r="AZ65" s="103"/>
      <c r="BC65" s="190"/>
      <c r="BD65" s="191"/>
      <c r="BE65" s="200"/>
      <c r="BF65" s="242"/>
      <c r="BG65" s="283"/>
      <c r="BH65" s="284"/>
      <c r="BI65" s="219"/>
      <c r="BJ65" s="246"/>
      <c r="BK65" s="251"/>
      <c r="BL65" s="231"/>
    </row>
    <row r="66" spans="1:6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2"/>
      <c r="Q66" s="2"/>
      <c r="R66" s="2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2"/>
      <c r="AG66" s="9"/>
      <c r="AH66" s="9"/>
      <c r="AI66" s="9"/>
      <c r="AJ66" s="9"/>
      <c r="AK66" s="9"/>
      <c r="AL66" s="9"/>
      <c r="AM66" s="9"/>
      <c r="AN66" s="9"/>
      <c r="AO66" s="9"/>
      <c r="AP66" s="2"/>
      <c r="AQ66" s="13"/>
      <c r="AR66" s="21">
        <f t="shared" si="0"/>
        <v>0</v>
      </c>
      <c r="AS66" s="9"/>
      <c r="AT66" s="9"/>
      <c r="AU66" s="58"/>
      <c r="AV66" s="9"/>
      <c r="AW66" s="9"/>
      <c r="AX66" s="9"/>
      <c r="AY66" s="9"/>
      <c r="AZ66" s="141"/>
      <c r="BC66" s="185"/>
      <c r="BD66" s="186"/>
      <c r="BE66" s="236"/>
      <c r="BF66" s="237"/>
      <c r="BG66" s="285"/>
      <c r="BH66" s="286"/>
      <c r="BI66" s="219"/>
      <c r="BJ66" s="247"/>
      <c r="BK66" s="252"/>
      <c r="BL66" s="253"/>
    </row>
    <row r="67" spans="1:6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2"/>
      <c r="Q67" s="2"/>
      <c r="R67" s="2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2"/>
      <c r="AG67" s="7"/>
      <c r="AH67" s="7"/>
      <c r="AI67" s="7"/>
      <c r="AJ67" s="7"/>
      <c r="AK67" s="7"/>
      <c r="AL67" s="7"/>
      <c r="AM67" s="7"/>
      <c r="AN67" s="7"/>
      <c r="AO67" s="7"/>
      <c r="AP67" s="2"/>
      <c r="AQ67" s="13"/>
      <c r="AR67" s="7">
        <f t="shared" si="0"/>
        <v>0</v>
      </c>
      <c r="AS67" s="7"/>
      <c r="AT67" s="7"/>
      <c r="AU67" s="57"/>
      <c r="AV67" s="7"/>
      <c r="AW67" s="7"/>
      <c r="AX67" s="7"/>
      <c r="AY67" s="7"/>
      <c r="AZ67" s="103"/>
      <c r="BC67" s="187"/>
      <c r="BD67" s="188"/>
      <c r="BE67" s="198"/>
      <c r="BF67" s="238"/>
      <c r="BI67" s="219"/>
      <c r="BJ67" s="247"/>
    </row>
    <row r="68" spans="1:6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2"/>
      <c r="Q68" s="2"/>
      <c r="R68" s="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2"/>
      <c r="AG68" s="9"/>
      <c r="AH68" s="9"/>
      <c r="AI68" s="9"/>
      <c r="AJ68" s="9"/>
      <c r="AK68" s="9"/>
      <c r="AL68" s="9"/>
      <c r="AM68" s="9"/>
      <c r="AN68" s="9"/>
      <c r="AO68" s="9"/>
      <c r="AP68" s="2"/>
      <c r="AQ68" s="13"/>
      <c r="AR68" s="21">
        <f t="shared" si="0"/>
        <v>0</v>
      </c>
      <c r="AS68" s="9"/>
      <c r="AT68" s="9"/>
      <c r="AU68" s="58"/>
      <c r="AV68" s="9"/>
      <c r="AW68" s="9"/>
      <c r="AX68" s="9"/>
      <c r="AY68" s="9"/>
      <c r="AZ68" s="141"/>
      <c r="BC68" s="187"/>
      <c r="BD68" s="188"/>
      <c r="BE68" s="198"/>
      <c r="BF68" s="238"/>
      <c r="BI68" s="219"/>
      <c r="BJ68" s="247"/>
    </row>
  </sheetData>
  <mergeCells count="2">
    <mergeCell ref="E1:F1"/>
    <mergeCell ref="G1:M1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0C1D-4115-40A4-85C4-C0CE9499FB3E}">
  <dimension ref="A1:BD46"/>
  <sheetViews>
    <sheetView zoomScale="70" zoomScaleNormal="70" workbookViewId="0">
      <selection activeCell="A5" sqref="A5"/>
    </sheetView>
  </sheetViews>
  <sheetFormatPr defaultColWidth="8.85546875" defaultRowHeight="14.45" outlineLevelCol="1"/>
  <cols>
    <col min="1" max="1" width="23.5703125" style="5" bestFit="1" customWidth="1"/>
    <col min="2" max="2" width="9.140625" style="5"/>
    <col min="3" max="3" width="5.5703125" style="5" bestFit="1" customWidth="1"/>
    <col min="4" max="6" width="5.28515625" style="5" customWidth="1"/>
    <col min="7" max="7" width="14.5703125" style="5" bestFit="1" customWidth="1"/>
    <col min="8" max="9" width="5.28515625" style="5" customWidth="1"/>
    <col min="10" max="10" width="5.28515625" customWidth="1"/>
    <col min="11" max="20" width="5.28515625" style="5" customWidth="1"/>
    <col min="21" max="21" width="8.5703125" style="5" customWidth="1"/>
    <col min="22" max="26" width="5.28515625" style="5" customWidth="1"/>
    <col min="27" max="27" width="5.28515625" customWidth="1"/>
    <col min="28" max="28" width="0.7109375" style="11" customWidth="1"/>
    <col min="29" max="29" width="23.5703125" style="5" bestFit="1" customWidth="1"/>
    <col min="30" max="31" width="4.7109375" style="5" hidden="1" customWidth="1" outlineLevel="1"/>
    <col min="32" max="32" width="6.5703125" style="96" hidden="1" customWidth="1" outlineLevel="1"/>
    <col min="33" max="33" width="11.5703125" style="5" hidden="1" customWidth="1" outlineLevel="1"/>
    <col min="34" max="36" width="10.85546875" style="5" hidden="1" customWidth="1" outlineLevel="1"/>
    <col min="37" max="37" width="12.7109375" style="5" hidden="1" customWidth="1" outlineLevel="1"/>
    <col min="38" max="38" width="27" style="180" bestFit="1" customWidth="1" collapsed="1"/>
    <col min="39" max="39" width="26.28515625" style="174" bestFit="1" customWidth="1"/>
    <col min="40" max="40" width="27" style="192" bestFit="1" customWidth="1"/>
    <col min="41" max="41" width="26.28515625" style="193" bestFit="1" customWidth="1"/>
    <col min="42" max="42" width="27" style="192" bestFit="1" customWidth="1"/>
    <col min="43" max="43" width="26.28515625" style="193" bestFit="1" customWidth="1"/>
    <col min="44" max="44" width="21.42578125" style="204" bestFit="1" customWidth="1"/>
    <col min="45" max="45" width="21.42578125" style="205" bestFit="1" customWidth="1"/>
    <col min="46" max="46" width="21.42578125" style="215" bestFit="1" customWidth="1"/>
    <col min="47" max="47" width="19" style="216" bestFit="1" customWidth="1"/>
    <col min="48" max="48" width="25.7109375" style="355" bestFit="1" customWidth="1"/>
    <col min="49" max="49" width="19" style="420" bestFit="1" customWidth="1"/>
    <col min="50" max="50" width="8.85546875" style="5"/>
    <col min="51" max="51" width="28.7109375" style="226" bestFit="1" customWidth="1"/>
    <col min="52" max="52" width="21.28515625" style="227" customWidth="1"/>
    <col min="53" max="53" width="27" style="192" bestFit="1" customWidth="1"/>
    <col min="54" max="54" width="26.28515625" style="193" bestFit="1" customWidth="1"/>
    <col min="55" max="55" width="25.7109375" style="355" bestFit="1" customWidth="1"/>
    <col min="56" max="56" width="19" style="420" bestFit="1" customWidth="1"/>
    <col min="57" max="16384" width="8.85546875" style="5"/>
  </cols>
  <sheetData>
    <row r="1" spans="1:56" ht="18.600000000000001">
      <c r="A1" s="22" t="s">
        <v>1050</v>
      </c>
      <c r="B1" s="23"/>
      <c r="C1" s="24"/>
      <c r="D1" s="23"/>
      <c r="E1" s="157" t="s">
        <v>915</v>
      </c>
      <c r="F1" s="431" t="s">
        <v>1051</v>
      </c>
      <c r="G1" s="23"/>
      <c r="H1" s="158"/>
      <c r="I1" s="158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94"/>
      <c r="AG1" s="24"/>
      <c r="AH1" s="24"/>
      <c r="AI1" s="24"/>
      <c r="AJ1" s="24"/>
      <c r="AK1" s="24"/>
      <c r="AL1" s="296"/>
      <c r="AM1" s="297"/>
      <c r="AN1" s="294"/>
      <c r="AO1" s="297"/>
      <c r="AP1" s="294"/>
      <c r="AQ1" s="297"/>
      <c r="AR1" s="294"/>
      <c r="AS1" s="294"/>
      <c r="AT1" s="294"/>
      <c r="AU1" s="297"/>
      <c r="AV1" s="295"/>
      <c r="AW1" s="426"/>
      <c r="AX1" s="163"/>
      <c r="AY1" s="294"/>
      <c r="AZ1" s="298"/>
      <c r="BA1" s="294"/>
      <c r="BB1" s="297"/>
      <c r="BC1" s="295"/>
      <c r="BD1" s="426"/>
    </row>
    <row r="2" spans="1:56" s="81" customFormat="1" ht="138" customHeight="1">
      <c r="A2" s="104" t="s">
        <v>612</v>
      </c>
      <c r="B2" s="101" t="s">
        <v>613</v>
      </c>
      <c r="C2" s="101" t="s">
        <v>614</v>
      </c>
      <c r="D2" s="89" t="s">
        <v>615</v>
      </c>
      <c r="E2" s="92" t="s">
        <v>89</v>
      </c>
      <c r="F2" s="92" t="s">
        <v>365</v>
      </c>
      <c r="G2" s="89" t="s">
        <v>1052</v>
      </c>
      <c r="H2" s="92" t="s">
        <v>79</v>
      </c>
      <c r="I2" s="92" t="s">
        <v>617</v>
      </c>
      <c r="J2" s="89" t="s">
        <v>146</v>
      </c>
      <c r="K2" s="89" t="s">
        <v>120</v>
      </c>
      <c r="L2" s="89" t="s">
        <v>191</v>
      </c>
      <c r="M2" s="89" t="s">
        <v>130</v>
      </c>
      <c r="N2" s="89" t="s">
        <v>132</v>
      </c>
      <c r="O2" s="89" t="s">
        <v>81</v>
      </c>
      <c r="P2" s="89" t="s">
        <v>134</v>
      </c>
      <c r="Q2" s="89" t="s">
        <v>124</v>
      </c>
      <c r="R2" s="89" t="s">
        <v>140</v>
      </c>
      <c r="S2" s="89" t="s">
        <v>223</v>
      </c>
      <c r="T2" s="92" t="s">
        <v>152</v>
      </c>
      <c r="U2" s="90" t="s">
        <v>154</v>
      </c>
      <c r="V2" s="89" t="s">
        <v>107</v>
      </c>
      <c r="W2" s="92" t="s">
        <v>159</v>
      </c>
      <c r="X2" s="89" t="s">
        <v>298</v>
      </c>
      <c r="Y2" s="89" t="s">
        <v>111</v>
      </c>
      <c r="Z2" s="89" t="s">
        <v>274</v>
      </c>
      <c r="AA2" s="89" t="s">
        <v>161</v>
      </c>
      <c r="AB2" s="91" t="s">
        <v>289</v>
      </c>
      <c r="AC2" s="88" t="s">
        <v>612</v>
      </c>
      <c r="AD2" s="89" t="s">
        <v>621</v>
      </c>
      <c r="AE2" s="89" t="s">
        <v>622</v>
      </c>
      <c r="AF2" s="95" t="s">
        <v>624</v>
      </c>
      <c r="AG2" s="93" t="s">
        <v>918</v>
      </c>
      <c r="AH2" s="89" t="s">
        <v>626</v>
      </c>
      <c r="AI2" s="89" t="s">
        <v>919</v>
      </c>
      <c r="AJ2" s="89" t="s">
        <v>920</v>
      </c>
      <c r="AK2" s="165" t="s">
        <v>630</v>
      </c>
      <c r="AL2" s="170" t="s">
        <v>631</v>
      </c>
      <c r="AM2" s="228" t="s">
        <v>632</v>
      </c>
      <c r="AN2" s="181" t="s">
        <v>663</v>
      </c>
      <c r="AO2" s="182" t="s">
        <v>664</v>
      </c>
      <c r="AP2" s="181" t="s">
        <v>1053</v>
      </c>
      <c r="AQ2" s="182" t="s">
        <v>1054</v>
      </c>
      <c r="AR2" s="194" t="s">
        <v>665</v>
      </c>
      <c r="AS2" s="195" t="s">
        <v>666</v>
      </c>
      <c r="AT2" s="206" t="s">
        <v>1055</v>
      </c>
      <c r="AU2" s="207" t="s">
        <v>1056</v>
      </c>
      <c r="AV2" s="412" t="s">
        <v>1057</v>
      </c>
      <c r="AW2" s="413" t="s">
        <v>671</v>
      </c>
      <c r="AY2" s="217" t="s">
        <v>641</v>
      </c>
      <c r="AZ2" s="218" t="s">
        <v>1058</v>
      </c>
      <c r="BA2" s="181" t="s">
        <v>1053</v>
      </c>
      <c r="BB2" s="182" t="s">
        <v>1054</v>
      </c>
      <c r="BC2" s="412" t="s">
        <v>1059</v>
      </c>
      <c r="BD2" s="413" t="s">
        <v>1060</v>
      </c>
    </row>
    <row r="3" spans="1:56">
      <c r="A3" s="432" t="s">
        <v>1061</v>
      </c>
      <c r="B3" s="7" t="s">
        <v>170</v>
      </c>
      <c r="C3" s="7" t="s">
        <v>688</v>
      </c>
      <c r="D3" s="7">
        <v>2</v>
      </c>
      <c r="E3" s="7" t="s">
        <v>650</v>
      </c>
      <c r="F3" s="7"/>
      <c r="G3" s="7" t="s">
        <v>650</v>
      </c>
      <c r="H3" s="7" t="s">
        <v>650</v>
      </c>
      <c r="I3" s="7"/>
      <c r="J3" s="13"/>
      <c r="K3" s="13"/>
      <c r="L3" s="13"/>
      <c r="M3" s="7"/>
      <c r="N3" s="7" t="s">
        <v>650</v>
      </c>
      <c r="O3" s="7" t="s">
        <v>650</v>
      </c>
      <c r="P3" s="13"/>
      <c r="Q3" s="7" t="s">
        <v>650</v>
      </c>
      <c r="R3" s="7"/>
      <c r="S3" s="13"/>
      <c r="T3" s="13"/>
      <c r="U3" s="13"/>
      <c r="V3" s="7"/>
      <c r="W3" s="13"/>
      <c r="X3" s="13"/>
      <c r="Y3" s="7" t="s">
        <v>650</v>
      </c>
      <c r="Z3" s="13"/>
      <c r="AA3" s="13"/>
      <c r="AB3" s="13"/>
      <c r="AC3" s="432" t="s">
        <v>1061</v>
      </c>
      <c r="AD3" s="7"/>
      <c r="AE3" s="7"/>
      <c r="AF3" s="57"/>
      <c r="AG3" s="7"/>
      <c r="AH3" s="7"/>
      <c r="AI3" s="7"/>
      <c r="AJ3" s="7"/>
      <c r="AK3" s="103"/>
      <c r="AL3" s="449">
        <v>97994412</v>
      </c>
      <c r="AM3" s="438">
        <v>19885.57</v>
      </c>
      <c r="AN3" s="187"/>
      <c r="AO3" s="188"/>
      <c r="AP3" s="187"/>
      <c r="AQ3" s="188"/>
      <c r="AR3" s="447">
        <v>97993485</v>
      </c>
      <c r="AS3" s="448">
        <v>450</v>
      </c>
      <c r="AT3" s="445">
        <v>97993560</v>
      </c>
      <c r="AU3" s="446">
        <v>102.41</v>
      </c>
      <c r="AV3" s="443">
        <v>97994412</v>
      </c>
      <c r="AW3" s="450">
        <f>AU3+AS3+AQ3+AM3</f>
        <v>20437.98</v>
      </c>
      <c r="AY3" s="439">
        <v>97994412</v>
      </c>
      <c r="AZ3" s="440">
        <v>10464.700000000001</v>
      </c>
      <c r="BA3" s="433">
        <v>97993539</v>
      </c>
      <c r="BB3" s="434">
        <v>4470.87</v>
      </c>
      <c r="BC3" s="443">
        <v>97994412</v>
      </c>
      <c r="BD3" s="450">
        <f>AZ3+BB3</f>
        <v>14935.57</v>
      </c>
    </row>
    <row r="44" spans="29:29">
      <c r="AC44" s="21">
        <v>0</v>
      </c>
    </row>
    <row r="45" spans="29:29">
      <c r="AC45" s="7">
        <v>0</v>
      </c>
    </row>
    <row r="46" spans="29:29">
      <c r="AC46" s="21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206C-E66E-4970-99BF-A899A065C23B}">
  <dimension ref="A1:BA69"/>
  <sheetViews>
    <sheetView zoomScale="70" zoomScaleNormal="70" workbookViewId="0"/>
  </sheetViews>
  <sheetFormatPr defaultColWidth="8.85546875" defaultRowHeight="14.45"/>
  <cols>
    <col min="1" max="1" width="13.42578125" style="5" customWidth="1"/>
    <col min="2" max="2" width="8.85546875" style="5"/>
    <col min="3" max="3" width="5.5703125" style="5" bestFit="1" customWidth="1"/>
    <col min="4" max="8" width="5.28515625" style="5" customWidth="1"/>
    <col min="9" max="9" width="5.28515625" customWidth="1"/>
    <col min="10" max="21" width="5.28515625" style="5" customWidth="1"/>
    <col min="22" max="22" width="8.5703125" style="5" customWidth="1"/>
    <col min="23" max="27" width="5.28515625" style="5" customWidth="1"/>
    <col min="28" max="28" width="5.28515625" customWidth="1"/>
    <col min="29" max="29" width="0.7109375" style="11" customWidth="1"/>
    <col min="30" max="30" width="23.5703125" style="5" bestFit="1" customWidth="1"/>
    <col min="31" max="32" width="4.7109375" style="5" bestFit="1" customWidth="1"/>
    <col min="33" max="33" width="6.5703125" style="96" bestFit="1" customWidth="1"/>
    <col min="34" max="34" width="11.5703125" style="5" bestFit="1" customWidth="1"/>
    <col min="35" max="37" width="10.85546875" style="5" bestFit="1" customWidth="1"/>
    <col min="38" max="38" width="12.7109375" style="5" bestFit="1" customWidth="1"/>
    <col min="39" max="39" width="27" style="180" bestFit="1" customWidth="1"/>
    <col min="40" max="40" width="26.28515625" style="174" bestFit="1" customWidth="1"/>
    <col min="41" max="41" width="27" style="192" bestFit="1" customWidth="1"/>
    <col min="42" max="42" width="26.28515625" style="193" bestFit="1" customWidth="1"/>
    <col min="43" max="43" width="27" style="192" bestFit="1" customWidth="1"/>
    <col min="44" max="44" width="26.28515625" style="193" bestFit="1" customWidth="1"/>
    <col min="45" max="45" width="21.42578125" style="204" bestFit="1" customWidth="1"/>
    <col min="46" max="46" width="21.42578125" style="205" bestFit="1" customWidth="1"/>
    <col min="47" max="47" width="21.42578125" style="215" bestFit="1" customWidth="1"/>
    <col min="48" max="48" width="19" style="216" bestFit="1" customWidth="1"/>
    <col min="49" max="49" width="28.7109375" style="226" bestFit="1" customWidth="1"/>
    <col min="50" max="50" width="21.28515625" style="227" customWidth="1"/>
    <col min="51" max="51" width="25.7109375" style="355" bestFit="1" customWidth="1"/>
    <col min="52" max="52" width="19" style="420" bestFit="1" customWidth="1"/>
    <col min="53" max="16384" width="8.85546875" style="5"/>
  </cols>
  <sheetData>
    <row r="1" spans="1:53" ht="18.600000000000001">
      <c r="A1" s="22" t="s">
        <v>1050</v>
      </c>
      <c r="B1" s="23"/>
      <c r="C1" s="24"/>
      <c r="D1" s="23"/>
      <c r="E1" s="157" t="s">
        <v>915</v>
      </c>
      <c r="F1" s="431" t="s">
        <v>1051</v>
      </c>
      <c r="G1" s="158"/>
      <c r="H1" s="158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94"/>
      <c r="AH1" s="24"/>
      <c r="AI1" s="24"/>
      <c r="AJ1" s="24"/>
      <c r="AK1" s="24"/>
      <c r="AL1" s="24"/>
      <c r="AM1" s="296"/>
      <c r="AN1" s="297"/>
      <c r="AO1" s="294"/>
      <c r="AP1" s="297"/>
      <c r="AQ1" s="294"/>
      <c r="AR1" s="297"/>
      <c r="AS1" s="294"/>
      <c r="AT1" s="294"/>
      <c r="AU1" s="294"/>
      <c r="AV1" s="297"/>
      <c r="AW1" s="294"/>
      <c r="AX1" s="298"/>
      <c r="AY1" s="295"/>
      <c r="AZ1" s="426"/>
      <c r="BA1" s="163"/>
    </row>
    <row r="2" spans="1:53" s="81" customFormat="1" ht="138" customHeight="1" thickBot="1">
      <c r="A2" s="104" t="s">
        <v>612</v>
      </c>
      <c r="B2" s="101" t="s">
        <v>613</v>
      </c>
      <c r="C2" s="101" t="s">
        <v>614</v>
      </c>
      <c r="D2" s="89" t="s">
        <v>615</v>
      </c>
      <c r="E2" s="92" t="s">
        <v>89</v>
      </c>
      <c r="F2" s="92" t="s">
        <v>365</v>
      </c>
      <c r="G2" s="92" t="s">
        <v>79</v>
      </c>
      <c r="H2" s="92" t="s">
        <v>617</v>
      </c>
      <c r="I2" s="89" t="s">
        <v>146</v>
      </c>
      <c r="J2" s="89" t="s">
        <v>120</v>
      </c>
      <c r="K2" s="89" t="s">
        <v>191</v>
      </c>
      <c r="L2" s="89" t="s">
        <v>130</v>
      </c>
      <c r="M2" s="89" t="s">
        <v>1052</v>
      </c>
      <c r="N2" s="89" t="s">
        <v>1062</v>
      </c>
      <c r="O2" s="89" t="s">
        <v>132</v>
      </c>
      <c r="P2" s="89" t="s">
        <v>81</v>
      </c>
      <c r="Q2" s="89" t="s">
        <v>134</v>
      </c>
      <c r="R2" s="89" t="s">
        <v>124</v>
      </c>
      <c r="S2" s="89" t="s">
        <v>140</v>
      </c>
      <c r="T2" s="89" t="s">
        <v>223</v>
      </c>
      <c r="U2" s="92" t="s">
        <v>152</v>
      </c>
      <c r="V2" s="90" t="s">
        <v>154</v>
      </c>
      <c r="W2" s="89" t="s">
        <v>107</v>
      </c>
      <c r="X2" s="92" t="s">
        <v>159</v>
      </c>
      <c r="Y2" s="89" t="s">
        <v>298</v>
      </c>
      <c r="Z2" s="89" t="s">
        <v>111</v>
      </c>
      <c r="AA2" s="89" t="s">
        <v>274</v>
      </c>
      <c r="AB2" s="89" t="s">
        <v>161</v>
      </c>
      <c r="AC2" s="91" t="s">
        <v>289</v>
      </c>
      <c r="AD2" s="88" t="s">
        <v>612</v>
      </c>
      <c r="AE2" s="89" t="s">
        <v>621</v>
      </c>
      <c r="AF2" s="89" t="s">
        <v>622</v>
      </c>
      <c r="AG2" s="95" t="s">
        <v>624</v>
      </c>
      <c r="AH2" s="93" t="s">
        <v>918</v>
      </c>
      <c r="AI2" s="89" t="s">
        <v>626</v>
      </c>
      <c r="AJ2" s="89" t="s">
        <v>919</v>
      </c>
      <c r="AK2" s="89" t="s">
        <v>920</v>
      </c>
      <c r="AL2" s="165" t="s">
        <v>630</v>
      </c>
      <c r="AM2" s="170" t="s">
        <v>631</v>
      </c>
      <c r="AN2" s="228" t="s">
        <v>632</v>
      </c>
      <c r="AO2" s="181" t="s">
        <v>663</v>
      </c>
      <c r="AP2" s="182" t="s">
        <v>664</v>
      </c>
      <c r="AQ2" s="181" t="s">
        <v>1053</v>
      </c>
      <c r="AR2" s="182" t="s">
        <v>1054</v>
      </c>
      <c r="AS2" s="194" t="s">
        <v>665</v>
      </c>
      <c r="AT2" s="195" t="s">
        <v>666</v>
      </c>
      <c r="AU2" s="206" t="s">
        <v>1055</v>
      </c>
      <c r="AV2" s="207" t="s">
        <v>1056</v>
      </c>
      <c r="AW2" s="217" t="s">
        <v>641</v>
      </c>
      <c r="AX2" s="218" t="s">
        <v>1058</v>
      </c>
      <c r="AY2" s="412" t="s">
        <v>1057</v>
      </c>
      <c r="AZ2" s="413" t="s">
        <v>671</v>
      </c>
    </row>
    <row r="3" spans="1:5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13"/>
      <c r="AD3" s="7"/>
      <c r="AE3" s="7"/>
      <c r="AF3" s="7"/>
      <c r="AG3" s="57"/>
      <c r="AH3" s="7"/>
      <c r="AI3" s="7"/>
      <c r="AJ3" s="7"/>
      <c r="AK3" s="7"/>
      <c r="AL3" s="166"/>
      <c r="AM3" s="171"/>
      <c r="AN3" s="172"/>
      <c r="AO3" s="183"/>
      <c r="AP3" s="184"/>
      <c r="AQ3" s="183"/>
      <c r="AR3" s="184"/>
      <c r="AS3" s="196"/>
      <c r="AT3" s="197"/>
      <c r="AU3" s="208"/>
      <c r="AV3" s="209"/>
      <c r="AW3" s="219"/>
      <c r="AX3" s="220"/>
      <c r="AY3" s="414"/>
      <c r="AZ3" s="415"/>
    </row>
    <row r="4" spans="1:53">
      <c r="A4" s="79"/>
      <c r="B4" s="79"/>
      <c r="C4" s="21"/>
      <c r="D4" s="21"/>
      <c r="E4" s="21"/>
      <c r="F4" s="21"/>
      <c r="G4" s="21"/>
      <c r="H4" s="21"/>
      <c r="I4" s="21"/>
      <c r="J4" s="108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08"/>
      <c r="Z4" s="108"/>
      <c r="AA4" s="21"/>
      <c r="AB4" s="21"/>
      <c r="AC4" s="12"/>
      <c r="AD4" s="21"/>
      <c r="AE4" s="79"/>
      <c r="AF4" s="21"/>
      <c r="AG4" s="56"/>
      <c r="AH4" s="21"/>
      <c r="AI4" s="21"/>
      <c r="AJ4" s="21"/>
      <c r="AK4" s="21"/>
      <c r="AL4" s="164"/>
      <c r="AM4" s="173"/>
      <c r="AO4" s="185"/>
      <c r="AP4" s="186"/>
      <c r="AQ4" s="185"/>
      <c r="AR4" s="186"/>
      <c r="AS4" s="198"/>
      <c r="AT4" s="199"/>
      <c r="AU4" s="210"/>
      <c r="AV4" s="105"/>
      <c r="AW4" s="221"/>
      <c r="AX4" s="222"/>
      <c r="AY4" s="363"/>
      <c r="AZ4" s="416"/>
    </row>
    <row r="5" spans="1:53">
      <c r="A5" s="7">
        <v>3</v>
      </c>
      <c r="B5" s="7">
        <v>753</v>
      </c>
      <c r="C5" s="7" t="s">
        <v>851</v>
      </c>
      <c r="D5" s="7">
        <v>2</v>
      </c>
      <c r="E5" s="7" t="s">
        <v>650</v>
      </c>
      <c r="F5" s="7"/>
      <c r="G5" s="7" t="s">
        <v>650</v>
      </c>
      <c r="H5" s="7" t="s">
        <v>650</v>
      </c>
      <c r="I5" s="13"/>
      <c r="J5" s="7"/>
      <c r="K5" s="13"/>
      <c r="L5" s="13"/>
      <c r="M5" s="7"/>
      <c r="N5" s="13"/>
      <c r="O5" s="13"/>
      <c r="P5" s="7"/>
      <c r="Q5" s="13"/>
      <c r="R5" s="13"/>
      <c r="S5" s="13"/>
      <c r="T5" s="13"/>
      <c r="U5" s="13"/>
      <c r="V5" s="13"/>
      <c r="W5" s="13"/>
      <c r="X5" s="13"/>
      <c r="Y5" s="13"/>
      <c r="Z5" s="7" t="s">
        <v>650</v>
      </c>
      <c r="AA5" s="13"/>
      <c r="AB5" s="13"/>
      <c r="AC5" s="13"/>
      <c r="AD5" s="7" t="s">
        <v>1063</v>
      </c>
      <c r="AE5" s="7"/>
      <c r="AF5" s="7"/>
      <c r="AG5" s="57"/>
      <c r="AH5" s="7"/>
      <c r="AI5" s="7"/>
      <c r="AJ5" s="7"/>
      <c r="AK5" s="7"/>
      <c r="AL5" s="103"/>
      <c r="AM5" s="493">
        <v>97169829</v>
      </c>
      <c r="AN5" s="438">
        <v>21599.96</v>
      </c>
      <c r="AO5" s="187"/>
      <c r="AP5" s="188"/>
      <c r="AQ5" s="187"/>
      <c r="AR5" s="188"/>
      <c r="AS5" s="447">
        <v>97168136</v>
      </c>
      <c r="AT5" s="448">
        <v>450</v>
      </c>
      <c r="AU5" s="445">
        <v>97168204</v>
      </c>
      <c r="AV5" s="446">
        <v>102.41</v>
      </c>
      <c r="AW5" s="439">
        <v>97169829</v>
      </c>
      <c r="AX5" s="440">
        <v>7998.98</v>
      </c>
      <c r="AY5" s="443">
        <v>97169829</v>
      </c>
      <c r="AZ5" s="450">
        <f>AX5+AV5+AT5+AN5+AR5</f>
        <v>30151.35</v>
      </c>
    </row>
    <row r="6" spans="1:53">
      <c r="A6" s="50">
        <v>4</v>
      </c>
      <c r="B6" s="50">
        <v>754</v>
      </c>
      <c r="C6" s="9" t="s">
        <v>851</v>
      </c>
      <c r="D6" s="9">
        <v>2</v>
      </c>
      <c r="E6" s="9" t="s">
        <v>650</v>
      </c>
      <c r="F6" s="9"/>
      <c r="G6" s="9" t="s">
        <v>650</v>
      </c>
      <c r="H6" s="9" t="s">
        <v>650</v>
      </c>
      <c r="I6" s="13"/>
      <c r="J6" s="9"/>
      <c r="K6" s="13"/>
      <c r="L6" s="13"/>
      <c r="M6" s="37"/>
      <c r="N6" s="13"/>
      <c r="O6" s="13"/>
      <c r="P6" s="37"/>
      <c r="Q6" s="13"/>
      <c r="R6" s="13"/>
      <c r="S6" s="13"/>
      <c r="T6" s="13"/>
      <c r="U6" s="13"/>
      <c r="V6" s="13"/>
      <c r="W6" s="13"/>
      <c r="X6" s="13"/>
      <c r="Y6" s="13"/>
      <c r="Z6" s="9" t="s">
        <v>650</v>
      </c>
      <c r="AA6" s="13"/>
      <c r="AB6" s="13"/>
      <c r="AC6" s="13"/>
      <c r="AD6" s="21" t="s">
        <v>1064</v>
      </c>
      <c r="AE6" s="9"/>
      <c r="AF6" s="9"/>
      <c r="AG6" s="58"/>
      <c r="AH6" s="9"/>
      <c r="AI6" s="9"/>
      <c r="AJ6" s="9"/>
      <c r="AK6" s="9"/>
      <c r="AL6" s="141"/>
      <c r="AM6" s="449">
        <v>97169853</v>
      </c>
      <c r="AN6" s="438">
        <v>20839.29</v>
      </c>
      <c r="AO6" s="187"/>
      <c r="AP6" s="188"/>
      <c r="AQ6" s="187"/>
      <c r="AR6" s="188"/>
      <c r="AS6" s="447">
        <v>97168228</v>
      </c>
      <c r="AT6" s="448">
        <v>450</v>
      </c>
      <c r="AU6" s="445">
        <v>97168288</v>
      </c>
      <c r="AV6" s="446">
        <v>102.41</v>
      </c>
      <c r="AW6" s="439">
        <v>97169853</v>
      </c>
      <c r="AX6" s="440">
        <v>8459.98</v>
      </c>
      <c r="AY6" s="443">
        <v>97169853</v>
      </c>
      <c r="AZ6" s="450">
        <f>AX6+AV6+AT6+AN6+AR6</f>
        <v>29851.68</v>
      </c>
    </row>
    <row r="7" spans="1:53">
      <c r="A7" s="7">
        <v>7</v>
      </c>
      <c r="B7" s="7">
        <v>754</v>
      </c>
      <c r="C7" s="7" t="s">
        <v>851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98"/>
      <c r="X7" s="7"/>
      <c r="Y7" s="7"/>
      <c r="Z7" s="7"/>
      <c r="AA7" s="7"/>
      <c r="AB7" s="7"/>
      <c r="AC7" s="13"/>
      <c r="AD7" s="7" t="s">
        <v>1065</v>
      </c>
      <c r="AE7" s="7"/>
      <c r="AF7" s="7"/>
      <c r="AG7" s="57"/>
      <c r="AH7" s="7"/>
      <c r="AI7" s="7"/>
      <c r="AJ7" s="98"/>
      <c r="AK7" s="98"/>
      <c r="AL7" s="103"/>
      <c r="AM7" s="449">
        <v>97470373</v>
      </c>
      <c r="AN7" s="438">
        <v>21749.65</v>
      </c>
      <c r="AO7" s="187"/>
      <c r="AP7" s="188"/>
      <c r="AQ7" s="187"/>
      <c r="AR7" s="188"/>
      <c r="AS7" s="447">
        <v>97470059</v>
      </c>
      <c r="AT7" s="448">
        <v>450</v>
      </c>
      <c r="AU7" s="445">
        <v>97470095</v>
      </c>
      <c r="AV7" s="446">
        <v>102.41</v>
      </c>
      <c r="AW7" s="439">
        <v>97470373</v>
      </c>
      <c r="AX7" s="440">
        <v>7304.88</v>
      </c>
      <c r="AY7" s="443">
        <v>97470373</v>
      </c>
      <c r="AZ7" s="450">
        <f>AX7+AV7+AT7+AN7+AR7</f>
        <v>29606.940000000002</v>
      </c>
    </row>
    <row r="8" spans="1:53">
      <c r="A8" s="50">
        <v>8</v>
      </c>
      <c r="B8" s="50">
        <v>753</v>
      </c>
      <c r="C8" s="9" t="s">
        <v>851</v>
      </c>
      <c r="D8" s="9"/>
      <c r="E8" s="9"/>
      <c r="F8" s="37"/>
      <c r="G8" s="37"/>
      <c r="H8" s="37"/>
      <c r="I8" s="37"/>
      <c r="J8" s="37"/>
      <c r="K8" s="37"/>
      <c r="L8" s="37"/>
      <c r="M8" s="9"/>
      <c r="N8" s="9"/>
      <c r="O8" s="9"/>
      <c r="P8" s="9"/>
      <c r="Q8" s="9"/>
      <c r="R8" s="9"/>
      <c r="S8" s="9"/>
      <c r="T8" s="9"/>
      <c r="U8" s="37"/>
      <c r="V8" s="37"/>
      <c r="W8" s="37"/>
      <c r="X8" s="37"/>
      <c r="Y8" s="37"/>
      <c r="Z8" s="37"/>
      <c r="AA8" s="37"/>
      <c r="AB8" s="37"/>
      <c r="AC8" s="13"/>
      <c r="AD8" s="21" t="s">
        <v>1066</v>
      </c>
      <c r="AE8" s="9"/>
      <c r="AF8" s="9"/>
      <c r="AG8" s="106"/>
      <c r="AH8" s="107"/>
      <c r="AI8" s="37"/>
      <c r="AJ8" s="37"/>
      <c r="AK8" s="37"/>
      <c r="AL8" s="141"/>
      <c r="AM8" s="449">
        <v>97468929</v>
      </c>
      <c r="AN8" s="438">
        <v>21301.41</v>
      </c>
      <c r="AO8" s="187"/>
      <c r="AP8" s="188"/>
      <c r="AQ8" s="505">
        <v>97733978</v>
      </c>
      <c r="AR8" s="434">
        <v>3822.3</v>
      </c>
      <c r="AS8" s="447">
        <v>97468515</v>
      </c>
      <c r="AT8" s="448">
        <v>450</v>
      </c>
      <c r="AU8" s="445">
        <v>97468549</v>
      </c>
      <c r="AV8" s="446">
        <v>102.41</v>
      </c>
      <c r="AW8" s="439">
        <v>97468929</v>
      </c>
      <c r="AX8" s="440">
        <v>7759.86</v>
      </c>
      <c r="AY8" s="443">
        <v>97468929</v>
      </c>
      <c r="AZ8" s="450">
        <f t="shared" ref="AZ8" si="0">AX8+AV8+AT8+AN8+AR8</f>
        <v>33435.980000000003</v>
      </c>
    </row>
    <row r="9" spans="1:53">
      <c r="A9" s="50">
        <v>9</v>
      </c>
      <c r="B9" s="50">
        <v>260</v>
      </c>
      <c r="C9" s="9" t="s">
        <v>1067</v>
      </c>
      <c r="D9" s="9">
        <v>2</v>
      </c>
      <c r="E9" s="37" t="s">
        <v>650</v>
      </c>
      <c r="F9" s="13"/>
      <c r="G9" s="98" t="s">
        <v>650</v>
      </c>
      <c r="H9" s="37" t="s">
        <v>650</v>
      </c>
      <c r="I9" s="408"/>
      <c r="J9" s="13"/>
      <c r="K9" s="13"/>
      <c r="L9" s="13"/>
      <c r="M9" s="13"/>
      <c r="N9" s="13"/>
      <c r="O9" s="7"/>
      <c r="P9" s="13"/>
      <c r="Q9" s="13"/>
      <c r="R9" s="9" t="s">
        <v>650</v>
      </c>
      <c r="S9" s="13"/>
      <c r="T9" s="13"/>
      <c r="U9" s="13" t="s">
        <v>289</v>
      </c>
      <c r="V9" s="13"/>
      <c r="W9" s="13"/>
      <c r="X9" s="37" t="s">
        <v>650</v>
      </c>
      <c r="Y9" s="13"/>
      <c r="Z9" s="37" t="s">
        <v>650</v>
      </c>
      <c r="AA9" s="37" t="s">
        <v>650</v>
      </c>
      <c r="AB9" s="13"/>
      <c r="AC9" s="13"/>
      <c r="AD9" s="21" t="s">
        <v>1068</v>
      </c>
      <c r="AE9" s="9"/>
      <c r="AF9" s="9"/>
      <c r="AG9" s="106"/>
      <c r="AH9" s="107"/>
      <c r="AI9" s="37"/>
      <c r="AJ9" s="37"/>
      <c r="AK9" s="37"/>
      <c r="AL9" s="141"/>
      <c r="AM9" s="449">
        <v>97468941</v>
      </c>
      <c r="AN9" s="438">
        <v>18143.28</v>
      </c>
      <c r="AO9" s="187"/>
      <c r="AP9" s="188"/>
      <c r="AQ9" s="433">
        <v>97468588</v>
      </c>
      <c r="AR9" s="434">
        <v>4241.01</v>
      </c>
      <c r="AS9" s="447">
        <v>97468565</v>
      </c>
      <c r="AT9" s="448">
        <v>450</v>
      </c>
      <c r="AU9" s="445">
        <v>97468600</v>
      </c>
      <c r="AV9" s="446">
        <v>102.41</v>
      </c>
      <c r="AW9" s="439">
        <v>97468941</v>
      </c>
      <c r="AX9" s="440">
        <v>10472.9</v>
      </c>
      <c r="AY9" s="443">
        <v>97468929</v>
      </c>
      <c r="AZ9" s="450">
        <f>AX9+AV9+AT9+AN9+AR9</f>
        <v>33409.599999999999</v>
      </c>
    </row>
    <row r="10" spans="1:53" ht="18.600000000000001">
      <c r="A10" s="7">
        <v>10</v>
      </c>
      <c r="B10" s="7">
        <v>260</v>
      </c>
      <c r="C10" s="7" t="s">
        <v>851</v>
      </c>
      <c r="D10" s="7">
        <v>2</v>
      </c>
      <c r="E10" s="98" t="s">
        <v>650</v>
      </c>
      <c r="F10" s="7"/>
      <c r="G10" s="7" t="s">
        <v>650</v>
      </c>
      <c r="H10" s="7" t="s">
        <v>650</v>
      </c>
      <c r="I10" s="13"/>
      <c r="J10" s="13"/>
      <c r="K10" s="13"/>
      <c r="L10" s="13"/>
      <c r="M10" s="13"/>
      <c r="N10" s="13"/>
      <c r="O10" s="13"/>
      <c r="P10" s="7" t="s">
        <v>650</v>
      </c>
      <c r="Q10" s="13"/>
      <c r="R10" s="7" t="s">
        <v>650</v>
      </c>
      <c r="S10" s="13"/>
      <c r="T10" s="13"/>
      <c r="U10" s="13"/>
      <c r="V10" s="13"/>
      <c r="W10" s="13"/>
      <c r="X10" s="13"/>
      <c r="Y10" s="13"/>
      <c r="Z10" s="7" t="s">
        <v>650</v>
      </c>
      <c r="AA10" s="13"/>
      <c r="AB10" s="13"/>
      <c r="AC10" s="13"/>
      <c r="AD10" s="7" t="s">
        <v>1069</v>
      </c>
      <c r="AE10" s="7"/>
      <c r="AF10" s="7"/>
      <c r="AG10" s="57"/>
      <c r="AH10" s="7"/>
      <c r="AI10" s="7"/>
      <c r="AJ10" s="7"/>
      <c r="AK10" s="7"/>
      <c r="AL10" s="103"/>
      <c r="AM10" s="474">
        <v>97227101</v>
      </c>
      <c r="AN10" s="475">
        <v>17598.54</v>
      </c>
      <c r="AO10" s="476">
        <v>97640378</v>
      </c>
      <c r="AP10" s="477">
        <v>86.38</v>
      </c>
      <c r="AQ10" s="476">
        <v>97227055</v>
      </c>
      <c r="AR10" s="477">
        <v>2135.5100000000002</v>
      </c>
      <c r="AS10" s="478">
        <v>97227012</v>
      </c>
      <c r="AT10" s="479">
        <v>450</v>
      </c>
      <c r="AU10" s="480">
        <v>97227078</v>
      </c>
      <c r="AV10" s="481">
        <v>102.41</v>
      </c>
      <c r="AW10" s="482">
        <v>97227101</v>
      </c>
      <c r="AX10" s="483">
        <v>11116.65</v>
      </c>
      <c r="AY10" s="484">
        <v>97227101</v>
      </c>
      <c r="AZ10" s="485">
        <f>AX10+AV10+AT10+AN10+AR10+AP10</f>
        <v>31489.49</v>
      </c>
    </row>
    <row r="11" spans="1:53">
      <c r="A11" s="37">
        <v>11</v>
      </c>
      <c r="B11" s="37">
        <v>742</v>
      </c>
      <c r="C11" s="9" t="s">
        <v>688</v>
      </c>
      <c r="D11" s="9">
        <v>2</v>
      </c>
      <c r="E11" s="9">
        <v>1</v>
      </c>
      <c r="F11" s="9"/>
      <c r="G11" s="9" t="s">
        <v>650</v>
      </c>
      <c r="H11" s="9" t="s">
        <v>650</v>
      </c>
      <c r="I11" s="13"/>
      <c r="J11" s="13"/>
      <c r="K11" s="13"/>
      <c r="L11" s="9" t="s">
        <v>650</v>
      </c>
      <c r="M11" s="13"/>
      <c r="N11" s="13"/>
      <c r="O11" s="13"/>
      <c r="P11" s="13"/>
      <c r="Q11" s="13"/>
      <c r="R11" s="9" t="s">
        <v>650</v>
      </c>
      <c r="S11" s="13"/>
      <c r="T11" s="13"/>
      <c r="U11" s="13"/>
      <c r="V11" s="13"/>
      <c r="W11" s="13"/>
      <c r="X11" s="9" t="s">
        <v>650</v>
      </c>
      <c r="Y11" s="13"/>
      <c r="Z11" s="9" t="s">
        <v>650</v>
      </c>
      <c r="AA11" s="13"/>
      <c r="AB11" s="13"/>
      <c r="AC11" s="13"/>
      <c r="AD11" s="21" t="s">
        <v>1070</v>
      </c>
      <c r="AE11" s="9"/>
      <c r="AF11" s="9"/>
      <c r="AG11" s="58"/>
      <c r="AH11" s="9"/>
      <c r="AI11" s="9"/>
      <c r="AJ11" s="9"/>
      <c r="AK11" s="9"/>
      <c r="AL11" s="141"/>
      <c r="AM11" s="176">
        <v>97169870</v>
      </c>
      <c r="AN11" s="174">
        <v>17519.189999999999</v>
      </c>
      <c r="AO11" s="189"/>
      <c r="AP11" s="188"/>
      <c r="AQ11" s="187">
        <v>97388031</v>
      </c>
      <c r="AR11" s="188">
        <v>5247.87</v>
      </c>
      <c r="AS11" s="198">
        <v>97168310</v>
      </c>
      <c r="AT11" s="259">
        <v>450</v>
      </c>
      <c r="AU11" s="210"/>
      <c r="AV11" s="105"/>
      <c r="AW11" s="219">
        <v>97169870</v>
      </c>
      <c r="AX11" s="225">
        <v>10660.12</v>
      </c>
      <c r="AY11" s="363">
        <v>97169870</v>
      </c>
      <c r="AZ11" s="398">
        <f>AX11+AV11+AT11+AN11+AR11</f>
        <v>33877.18</v>
      </c>
    </row>
    <row r="12" spans="1:53">
      <c r="A12" s="7">
        <v>12</v>
      </c>
      <c r="B12" s="7">
        <v>744</v>
      </c>
      <c r="C12" s="7" t="s">
        <v>1019</v>
      </c>
      <c r="D12" s="7">
        <v>2</v>
      </c>
      <c r="E12" s="7">
        <v>1</v>
      </c>
      <c r="F12" s="7"/>
      <c r="G12" s="7" t="s">
        <v>650</v>
      </c>
      <c r="H12" s="13"/>
      <c r="I12" s="13"/>
      <c r="J12" s="13"/>
      <c r="K12" s="13"/>
      <c r="L12" s="13"/>
      <c r="M12" s="7" t="s">
        <v>650</v>
      </c>
      <c r="N12" s="13"/>
      <c r="O12" s="13"/>
      <c r="P12" s="13"/>
      <c r="Q12" s="13"/>
      <c r="R12" s="7" t="s">
        <v>650</v>
      </c>
      <c r="S12" s="13"/>
      <c r="T12" s="13"/>
      <c r="U12" s="7" t="s">
        <v>650</v>
      </c>
      <c r="V12" s="13"/>
      <c r="W12" s="7" t="s">
        <v>650</v>
      </c>
      <c r="X12" s="7" t="s">
        <v>650</v>
      </c>
      <c r="Y12" s="13"/>
      <c r="Z12" s="7" t="s">
        <v>650</v>
      </c>
      <c r="AA12" s="7" t="s">
        <v>650</v>
      </c>
      <c r="AB12" s="13"/>
      <c r="AC12" s="13"/>
      <c r="AD12" s="7" t="s">
        <v>1071</v>
      </c>
      <c r="AE12" s="8"/>
      <c r="AF12" s="8"/>
      <c r="AG12" s="57"/>
      <c r="AH12" s="7"/>
      <c r="AI12" s="8"/>
      <c r="AJ12" s="8"/>
      <c r="AK12" s="8"/>
      <c r="AL12" s="167"/>
      <c r="AM12" s="449">
        <v>97240756</v>
      </c>
      <c r="AN12" s="438">
        <v>18212.66</v>
      </c>
      <c r="AO12" s="433">
        <v>97391172</v>
      </c>
      <c r="AP12" s="434">
        <v>161.03</v>
      </c>
      <c r="AQ12" s="433">
        <v>97240716</v>
      </c>
      <c r="AR12" s="434">
        <v>568.23</v>
      </c>
      <c r="AS12" s="447">
        <v>97240683</v>
      </c>
      <c r="AT12" s="448">
        <v>450</v>
      </c>
      <c r="AU12" s="445">
        <v>97240726</v>
      </c>
      <c r="AV12" s="446">
        <v>102.41</v>
      </c>
      <c r="AW12" s="439">
        <v>97240756</v>
      </c>
      <c r="AX12" s="440">
        <v>11146.66</v>
      </c>
      <c r="AY12" s="443">
        <v>97240756</v>
      </c>
      <c r="AZ12" s="450">
        <f>AX12+AV12+AT12+AN12+AR12+AP12</f>
        <v>30640.989999999998</v>
      </c>
    </row>
    <row r="13" spans="1:53">
      <c r="A13" s="37">
        <v>13</v>
      </c>
      <c r="B13" s="37">
        <v>744</v>
      </c>
      <c r="C13" s="9" t="s">
        <v>688</v>
      </c>
      <c r="D13" s="9">
        <v>2</v>
      </c>
      <c r="E13" s="13"/>
      <c r="F13" s="13"/>
      <c r="G13" s="50" t="s">
        <v>650</v>
      </c>
      <c r="H13" s="50" t="s">
        <v>650</v>
      </c>
      <c r="I13" s="13"/>
      <c r="J13" s="13"/>
      <c r="K13" s="13"/>
      <c r="L13" s="13"/>
      <c r="M13" s="9" t="s">
        <v>650</v>
      </c>
      <c r="N13" s="13"/>
      <c r="O13" s="13"/>
      <c r="P13" s="13"/>
      <c r="Q13" s="13"/>
      <c r="R13" s="9" t="s">
        <v>650</v>
      </c>
      <c r="S13" s="13"/>
      <c r="T13" s="13"/>
      <c r="U13" s="50" t="s">
        <v>650</v>
      </c>
      <c r="V13" s="13"/>
      <c r="W13" s="13"/>
      <c r="X13" s="50" t="s">
        <v>650</v>
      </c>
      <c r="Y13" s="13"/>
      <c r="Z13" s="50" t="s">
        <v>650</v>
      </c>
      <c r="AA13" s="50" t="s">
        <v>650</v>
      </c>
      <c r="AB13" s="13"/>
      <c r="AC13" s="13"/>
      <c r="AD13" s="21" t="s">
        <v>1072</v>
      </c>
      <c r="AE13" s="53"/>
      <c r="AF13" s="9"/>
      <c r="AG13" s="58"/>
      <c r="AH13" s="9"/>
      <c r="AI13" s="32"/>
      <c r="AJ13" s="32"/>
      <c r="AK13" s="32"/>
      <c r="AL13" s="168"/>
      <c r="AM13" s="449">
        <v>97152732</v>
      </c>
      <c r="AN13" s="438">
        <v>18212.66</v>
      </c>
      <c r="AO13" s="433">
        <v>97152043</v>
      </c>
      <c r="AP13" s="434">
        <v>-407.44</v>
      </c>
      <c r="AQ13" s="433">
        <v>97388042</v>
      </c>
      <c r="AR13" s="434">
        <v>161.03</v>
      </c>
      <c r="AS13" s="447">
        <v>97152007</v>
      </c>
      <c r="AT13" s="448">
        <v>450</v>
      </c>
      <c r="AU13" s="445">
        <v>97152050</v>
      </c>
      <c r="AV13" s="446">
        <v>102.41</v>
      </c>
      <c r="AW13" s="439">
        <v>97152732</v>
      </c>
      <c r="AX13" s="440">
        <v>11146.66</v>
      </c>
      <c r="AY13" s="451">
        <v>97152732</v>
      </c>
      <c r="AZ13" s="452">
        <f>AX13+AV13+AT13+AN13+AR13+AP13</f>
        <v>29665.32</v>
      </c>
      <c r="BA13" s="453" t="s">
        <v>1073</v>
      </c>
    </row>
    <row r="14" spans="1:53">
      <c r="A14" s="7">
        <v>14</v>
      </c>
      <c r="B14" s="7">
        <v>742</v>
      </c>
      <c r="C14" s="7" t="s">
        <v>1019</v>
      </c>
      <c r="D14" s="7">
        <v>2</v>
      </c>
      <c r="E14" s="7">
        <v>1</v>
      </c>
      <c r="F14" s="7"/>
      <c r="G14" s="7" t="s">
        <v>650</v>
      </c>
      <c r="H14" s="7" t="s">
        <v>650</v>
      </c>
      <c r="I14" s="13"/>
      <c r="J14" s="13"/>
      <c r="K14" s="13"/>
      <c r="L14" s="7" t="s">
        <v>650</v>
      </c>
      <c r="M14" s="13"/>
      <c r="N14" s="13"/>
      <c r="O14" s="13"/>
      <c r="P14" s="13"/>
      <c r="Q14" s="13"/>
      <c r="R14" s="7" t="s">
        <v>650</v>
      </c>
      <c r="S14" s="13"/>
      <c r="T14" s="13"/>
      <c r="U14" s="13"/>
      <c r="V14" s="13"/>
      <c r="W14" s="13"/>
      <c r="X14" s="7" t="s">
        <v>650</v>
      </c>
      <c r="Y14" s="13"/>
      <c r="Z14" s="7" t="s">
        <v>650</v>
      </c>
      <c r="AA14" s="13"/>
      <c r="AB14" s="13"/>
      <c r="AC14" s="13"/>
      <c r="AD14" s="7" t="s">
        <v>1074</v>
      </c>
      <c r="AE14" s="31"/>
      <c r="AF14" s="18"/>
      <c r="AG14" s="57"/>
      <c r="AH14" s="7"/>
      <c r="AI14" s="7"/>
      <c r="AJ14" s="7"/>
      <c r="AK14" s="7"/>
      <c r="AL14" s="169"/>
      <c r="AM14" s="176">
        <v>97169890</v>
      </c>
      <c r="AN14" s="174">
        <v>17519.189999999999</v>
      </c>
      <c r="AO14" s="187"/>
      <c r="AP14" s="188"/>
      <c r="AQ14" s="187">
        <v>97388043</v>
      </c>
      <c r="AR14" s="188">
        <v>5079.29</v>
      </c>
      <c r="AS14" s="198">
        <v>97168409</v>
      </c>
      <c r="AT14" s="259">
        <v>450</v>
      </c>
      <c r="AU14" s="210">
        <v>97168448</v>
      </c>
      <c r="AV14" s="105">
        <v>102.41</v>
      </c>
      <c r="AW14" s="219">
        <v>97169890</v>
      </c>
      <c r="AX14" s="225">
        <v>10660.12</v>
      </c>
      <c r="AY14" s="363">
        <v>97169890</v>
      </c>
      <c r="AZ14" s="398">
        <f>AX14+AV14+AT14+AN14+AR14+AP14</f>
        <v>33811.01</v>
      </c>
    </row>
    <row r="15" spans="1:53">
      <c r="A15" s="37">
        <v>15</v>
      </c>
      <c r="B15" s="37">
        <v>260</v>
      </c>
      <c r="C15" s="9" t="s">
        <v>851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3"/>
      <c r="AD15" s="21" t="s">
        <v>1075</v>
      </c>
      <c r="AE15" s="40"/>
      <c r="AF15" s="50"/>
      <c r="AG15" s="58"/>
      <c r="AH15" s="9"/>
      <c r="AI15" s="32"/>
      <c r="AJ15" s="32"/>
      <c r="AK15" s="32"/>
      <c r="AL15" s="168"/>
      <c r="AM15" s="175">
        <v>96935930</v>
      </c>
      <c r="AN15" s="178">
        <v>18665.59</v>
      </c>
      <c r="AO15" s="187">
        <v>97238046</v>
      </c>
      <c r="AP15" s="188">
        <v>161.03</v>
      </c>
      <c r="AQ15" s="187" t="s">
        <v>289</v>
      </c>
      <c r="AR15" s="188">
        <v>0</v>
      </c>
      <c r="AS15" s="198">
        <v>97035237</v>
      </c>
      <c r="AT15" s="259">
        <v>450</v>
      </c>
      <c r="AU15" s="210">
        <v>97028066</v>
      </c>
      <c r="AV15" s="105">
        <v>102.41</v>
      </c>
      <c r="AW15" s="219">
        <v>96935930</v>
      </c>
      <c r="AX15" s="225">
        <v>11116.65</v>
      </c>
      <c r="AY15" s="363">
        <v>96935930</v>
      </c>
      <c r="AZ15" s="398">
        <f>AX15+AV15+AT15+AN15+AR15+AP15</f>
        <v>30495.68</v>
      </c>
    </row>
    <row r="16" spans="1:53">
      <c r="A16" s="7">
        <v>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13"/>
      <c r="AD16" s="7">
        <v>16</v>
      </c>
      <c r="AE16" s="31"/>
      <c r="AF16" s="7"/>
      <c r="AG16" s="57"/>
      <c r="AH16" s="7"/>
      <c r="AI16" s="31"/>
      <c r="AJ16" s="31"/>
      <c r="AK16" s="31"/>
      <c r="AL16" s="169"/>
      <c r="AM16" s="176"/>
      <c r="AO16" s="187"/>
      <c r="AP16" s="188"/>
      <c r="AQ16" s="187"/>
      <c r="AR16" s="188"/>
      <c r="AS16" s="198"/>
      <c r="AT16" s="199"/>
      <c r="AU16" s="210"/>
      <c r="AV16" s="105"/>
      <c r="AW16" s="219"/>
      <c r="AX16" s="223"/>
      <c r="AY16" s="363"/>
      <c r="AZ16" s="398">
        <f t="shared" ref="AZ16:AZ66" si="1">AX16+AV16+AT16+AN16+AR16</f>
        <v>0</v>
      </c>
    </row>
    <row r="17" spans="1:52">
      <c r="A17" s="37">
        <v>17</v>
      </c>
      <c r="B17" s="50">
        <v>744</v>
      </c>
      <c r="C17" s="9" t="s">
        <v>851</v>
      </c>
      <c r="D17" s="9"/>
      <c r="E17" s="9"/>
      <c r="F17" s="50"/>
      <c r="G17" s="50" t="s">
        <v>650</v>
      </c>
      <c r="H17" s="50" t="s">
        <v>650</v>
      </c>
      <c r="I17" s="50"/>
      <c r="J17" s="50"/>
      <c r="K17" s="9"/>
      <c r="L17" s="9"/>
      <c r="M17" s="9"/>
      <c r="N17" s="9"/>
      <c r="O17" s="9"/>
      <c r="P17" s="9"/>
      <c r="Q17" s="9"/>
      <c r="R17" s="9" t="s">
        <v>650</v>
      </c>
      <c r="S17" s="9"/>
      <c r="T17" s="9"/>
      <c r="U17" s="50" t="s">
        <v>650</v>
      </c>
      <c r="V17" s="50"/>
      <c r="W17" s="50"/>
      <c r="X17" s="50" t="s">
        <v>650</v>
      </c>
      <c r="Y17" s="50"/>
      <c r="Z17" s="50" t="s">
        <v>650</v>
      </c>
      <c r="AA17" s="50"/>
      <c r="AB17" s="50"/>
      <c r="AC17" s="13"/>
      <c r="AD17" s="21" t="s">
        <v>1076</v>
      </c>
      <c r="AE17" s="9"/>
      <c r="AF17" s="50"/>
      <c r="AG17" s="58"/>
      <c r="AH17" s="9"/>
      <c r="AI17" s="9"/>
      <c r="AJ17" s="9"/>
      <c r="AK17" s="9"/>
      <c r="AL17" s="141"/>
      <c r="AM17" s="176">
        <v>96933579</v>
      </c>
      <c r="AN17" s="174">
        <v>19164.3</v>
      </c>
      <c r="AO17" s="187" t="s">
        <v>289</v>
      </c>
      <c r="AP17" s="188" t="s">
        <v>289</v>
      </c>
      <c r="AQ17" s="187">
        <v>97076205</v>
      </c>
      <c r="AR17" s="188">
        <v>3638.5</v>
      </c>
      <c r="AS17" s="198">
        <v>97035251</v>
      </c>
      <c r="AT17" s="259">
        <v>450</v>
      </c>
      <c r="AU17" s="210">
        <v>96933197</v>
      </c>
      <c r="AV17" s="105">
        <v>102.41</v>
      </c>
      <c r="AW17" s="219">
        <v>96933579</v>
      </c>
      <c r="AX17" s="225">
        <v>11146.66</v>
      </c>
      <c r="AY17" s="363">
        <v>96933579</v>
      </c>
      <c r="AZ17" s="398">
        <f>AX17+AV17+AT17+AN17+AR17</f>
        <v>34501.869999999995</v>
      </c>
    </row>
    <row r="18" spans="1:52">
      <c r="A18" s="7">
        <v>18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13"/>
      <c r="AD18" s="7">
        <v>0</v>
      </c>
      <c r="AE18" s="7"/>
      <c r="AF18" s="7"/>
      <c r="AG18" s="57"/>
      <c r="AH18" s="7"/>
      <c r="AI18" s="7"/>
      <c r="AJ18" s="7"/>
      <c r="AK18" s="7"/>
      <c r="AL18" s="103"/>
      <c r="AM18" s="176"/>
      <c r="AO18" s="187"/>
      <c r="AP18" s="188"/>
      <c r="AQ18" s="187"/>
      <c r="AR18" s="188"/>
      <c r="AS18" s="198"/>
      <c r="AT18" s="199"/>
      <c r="AU18" s="210"/>
      <c r="AV18" s="105"/>
      <c r="AW18" s="219"/>
      <c r="AX18" s="223"/>
      <c r="AY18" s="363"/>
      <c r="AZ18" s="398">
        <f t="shared" si="1"/>
        <v>0</v>
      </c>
    </row>
    <row r="19" spans="1:52">
      <c r="A19" s="37">
        <v>19</v>
      </c>
      <c r="B19" s="37"/>
      <c r="C19" s="9"/>
      <c r="D19" s="9"/>
      <c r="E19" s="9"/>
      <c r="F19" s="50"/>
      <c r="G19" s="50"/>
      <c r="H19" s="50"/>
      <c r="I19" s="50"/>
      <c r="J19" s="50"/>
      <c r="K19" s="9"/>
      <c r="L19" s="9"/>
      <c r="M19" s="9"/>
      <c r="N19" s="9"/>
      <c r="O19" s="9"/>
      <c r="P19" s="9"/>
      <c r="Q19" s="9"/>
      <c r="R19" s="9"/>
      <c r="S19" s="9"/>
      <c r="T19" s="9"/>
      <c r="U19" s="50"/>
      <c r="V19" s="50"/>
      <c r="W19" s="50"/>
      <c r="X19" s="50"/>
      <c r="Y19" s="50"/>
      <c r="Z19" s="50"/>
      <c r="AA19" s="50"/>
      <c r="AB19" s="50"/>
      <c r="AC19" s="13"/>
      <c r="AD19" s="21">
        <v>0</v>
      </c>
      <c r="AE19" s="50"/>
      <c r="AF19" s="37"/>
      <c r="AG19" s="58"/>
      <c r="AH19" s="9"/>
      <c r="AI19" s="32"/>
      <c r="AJ19" s="32"/>
      <c r="AK19" s="32"/>
      <c r="AL19" s="168"/>
      <c r="AM19" s="176"/>
      <c r="AO19" s="187"/>
      <c r="AP19" s="188"/>
      <c r="AQ19" s="187"/>
      <c r="AR19" s="188"/>
      <c r="AS19" s="198"/>
      <c r="AT19" s="199"/>
      <c r="AU19" s="210"/>
      <c r="AV19" s="105"/>
      <c r="AW19" s="224"/>
      <c r="AX19" s="223"/>
      <c r="AY19" s="363"/>
      <c r="AZ19" s="398">
        <f t="shared" si="1"/>
        <v>0</v>
      </c>
    </row>
    <row r="20" spans="1:52">
      <c r="A20" s="7">
        <v>20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13"/>
      <c r="AD20" s="7">
        <v>0</v>
      </c>
      <c r="AE20" s="31"/>
      <c r="AF20" s="7"/>
      <c r="AG20" s="57"/>
      <c r="AH20" s="7"/>
      <c r="AI20" s="31"/>
      <c r="AJ20" s="31"/>
      <c r="AK20" s="31"/>
      <c r="AL20" s="169"/>
      <c r="AM20" s="176"/>
      <c r="AO20" s="187"/>
      <c r="AP20" s="188"/>
      <c r="AQ20" s="187"/>
      <c r="AR20" s="188"/>
      <c r="AS20" s="198"/>
      <c r="AT20" s="199"/>
      <c r="AU20" s="210"/>
      <c r="AV20" s="105"/>
      <c r="AW20" s="224"/>
      <c r="AX20" s="223"/>
      <c r="AY20" s="363"/>
      <c r="AZ20" s="398">
        <f t="shared" si="1"/>
        <v>0</v>
      </c>
    </row>
    <row r="21" spans="1:52">
      <c r="A21" s="37">
        <v>21</v>
      </c>
      <c r="B21" s="37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3"/>
      <c r="AD21" s="21">
        <v>0</v>
      </c>
      <c r="AE21" s="50"/>
      <c r="AF21" s="50"/>
      <c r="AG21" s="58"/>
      <c r="AH21" s="9"/>
      <c r="AI21" s="9"/>
      <c r="AJ21" s="9"/>
      <c r="AK21" s="9"/>
      <c r="AL21" s="141"/>
      <c r="AM21" s="176"/>
      <c r="AO21" s="187"/>
      <c r="AP21" s="188"/>
      <c r="AQ21" s="187"/>
      <c r="AR21" s="188"/>
      <c r="AS21" s="198"/>
      <c r="AT21" s="199"/>
      <c r="AU21" s="210"/>
      <c r="AV21" s="105"/>
      <c r="AW21" s="219"/>
      <c r="AX21" s="223"/>
      <c r="AY21" s="363"/>
      <c r="AZ21" s="398">
        <f t="shared" si="1"/>
        <v>0</v>
      </c>
    </row>
    <row r="22" spans="1:52">
      <c r="A22" s="7">
        <v>22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13"/>
      <c r="AD22" s="7">
        <v>0</v>
      </c>
      <c r="AE22" s="7"/>
      <c r="AF22" s="7"/>
      <c r="AG22" s="57"/>
      <c r="AH22" s="7"/>
      <c r="AI22" s="7"/>
      <c r="AJ22" s="7"/>
      <c r="AK22" s="7"/>
      <c r="AL22" s="103"/>
      <c r="AM22" s="177"/>
      <c r="AO22" s="189"/>
      <c r="AP22" s="188"/>
      <c r="AQ22" s="189"/>
      <c r="AR22" s="188"/>
      <c r="AS22" s="198"/>
      <c r="AT22" s="199"/>
      <c r="AU22" s="210"/>
      <c r="AV22" s="105"/>
      <c r="AW22" s="219"/>
      <c r="AX22" s="223"/>
      <c r="AY22" s="363"/>
      <c r="AZ22" s="398">
        <f t="shared" si="1"/>
        <v>0</v>
      </c>
    </row>
    <row r="23" spans="1:52">
      <c r="A23" s="37">
        <v>23</v>
      </c>
      <c r="B23" s="50"/>
      <c r="C23" s="9"/>
      <c r="D23" s="9"/>
      <c r="E23" s="9"/>
      <c r="F23" s="50"/>
      <c r="G23" s="50"/>
      <c r="H23" s="50"/>
      <c r="I23" s="50"/>
      <c r="J23" s="50"/>
      <c r="K23" s="9"/>
      <c r="L23" s="9"/>
      <c r="M23" s="9"/>
      <c r="N23" s="9"/>
      <c r="O23" s="9"/>
      <c r="P23" s="9"/>
      <c r="Q23" s="9"/>
      <c r="R23" s="9"/>
      <c r="S23" s="9"/>
      <c r="T23" s="9"/>
      <c r="U23" s="50"/>
      <c r="V23" s="50"/>
      <c r="W23" s="50"/>
      <c r="X23" s="50"/>
      <c r="Y23" s="50"/>
      <c r="Z23" s="50"/>
      <c r="AA23" s="50"/>
      <c r="AB23" s="50"/>
      <c r="AC23" s="13"/>
      <c r="AD23" s="21">
        <v>0</v>
      </c>
      <c r="AE23" s="50"/>
      <c r="AF23" s="50"/>
      <c r="AG23" s="58"/>
      <c r="AH23" s="9"/>
      <c r="AI23" s="9"/>
      <c r="AJ23" s="9"/>
      <c r="AK23" s="9"/>
      <c r="AL23" s="141"/>
      <c r="AM23" s="176"/>
      <c r="AO23" s="187"/>
      <c r="AP23" s="188"/>
      <c r="AQ23" s="187"/>
      <c r="AR23" s="188"/>
      <c r="AS23" s="198"/>
      <c r="AT23" s="199"/>
      <c r="AU23" s="210"/>
      <c r="AV23" s="105"/>
      <c r="AW23" s="219"/>
      <c r="AX23" s="223"/>
      <c r="AY23" s="363"/>
      <c r="AZ23" s="398">
        <f t="shared" si="1"/>
        <v>0</v>
      </c>
    </row>
    <row r="24" spans="1:52">
      <c r="A24" s="7">
        <v>24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13"/>
      <c r="AD24" s="7">
        <v>0</v>
      </c>
      <c r="AE24" s="7"/>
      <c r="AF24" s="57"/>
      <c r="AG24" s="57"/>
      <c r="AH24" s="7"/>
      <c r="AI24" s="7"/>
      <c r="AJ24" s="7"/>
      <c r="AK24" s="7"/>
      <c r="AL24" s="103"/>
      <c r="AM24" s="176"/>
      <c r="AO24" s="187"/>
      <c r="AP24" s="188"/>
      <c r="AQ24" s="187"/>
      <c r="AR24" s="188"/>
      <c r="AS24" s="198"/>
      <c r="AT24" s="199"/>
      <c r="AU24" s="210"/>
      <c r="AV24" s="105"/>
      <c r="AW24" s="219"/>
      <c r="AX24" s="223"/>
      <c r="AY24" s="363"/>
      <c r="AZ24" s="398">
        <f t="shared" si="1"/>
        <v>0</v>
      </c>
    </row>
    <row r="25" spans="1:52" s="163" customFormat="1">
      <c r="A25" s="37">
        <v>25</v>
      </c>
      <c r="B25" s="37">
        <v>260</v>
      </c>
      <c r="C25" s="37" t="s">
        <v>688</v>
      </c>
      <c r="D25" s="37">
        <v>2</v>
      </c>
      <c r="E25" s="13"/>
      <c r="F25" s="37"/>
      <c r="G25" s="37"/>
      <c r="H25" s="408"/>
      <c r="I25" s="13"/>
      <c r="J25" s="13"/>
      <c r="K25" s="13"/>
      <c r="L25" s="13"/>
      <c r="M25" s="13"/>
      <c r="N25" s="13"/>
      <c r="O25" s="9"/>
      <c r="P25" s="13"/>
      <c r="Q25" s="9"/>
      <c r="R25" s="13"/>
      <c r="S25" s="13"/>
      <c r="T25" s="13" t="s">
        <v>289</v>
      </c>
      <c r="U25" s="13"/>
      <c r="V25" s="13"/>
      <c r="W25" s="37"/>
      <c r="X25" s="13"/>
      <c r="Y25" s="37"/>
      <c r="Z25" s="37"/>
      <c r="AA25" s="13"/>
      <c r="AB25" s="37"/>
      <c r="AC25" s="408"/>
      <c r="AD25" s="108" t="s">
        <v>1077</v>
      </c>
      <c r="AE25" s="37"/>
      <c r="AF25" s="37"/>
      <c r="AG25" s="106"/>
      <c r="AH25" s="37"/>
      <c r="AI25" s="37"/>
      <c r="AJ25" s="37"/>
      <c r="AK25" s="37"/>
      <c r="AL25" s="310"/>
      <c r="AM25" s="176">
        <v>97076087</v>
      </c>
      <c r="AN25" s="174">
        <v>17891.560000000001</v>
      </c>
      <c r="AO25" s="187" t="s">
        <v>289</v>
      </c>
      <c r="AP25" s="188" t="s">
        <v>289</v>
      </c>
      <c r="AQ25" s="187">
        <v>97075712</v>
      </c>
      <c r="AR25" s="188">
        <v>4330.68</v>
      </c>
      <c r="AS25" s="198">
        <v>97075687</v>
      </c>
      <c r="AT25" s="259">
        <v>450</v>
      </c>
      <c r="AU25" s="210">
        <v>97075725</v>
      </c>
      <c r="AV25" s="105">
        <v>102.41</v>
      </c>
      <c r="AW25" s="219">
        <v>97076087</v>
      </c>
      <c r="AX25" s="225">
        <v>11116.65</v>
      </c>
      <c r="AY25" s="363">
        <v>97076087</v>
      </c>
      <c r="AZ25" s="398">
        <f>AX25+AV25+AT25+AN25+AR25</f>
        <v>33891.300000000003</v>
      </c>
    </row>
    <row r="26" spans="1:52">
      <c r="A26" s="7">
        <v>26</v>
      </c>
      <c r="B26" s="7">
        <v>742</v>
      </c>
      <c r="C26" s="7" t="s">
        <v>851</v>
      </c>
      <c r="D26" s="7"/>
      <c r="E26" s="7"/>
      <c r="F26" s="7"/>
      <c r="G26" s="7"/>
      <c r="H26" s="7"/>
      <c r="I26" s="13"/>
      <c r="J26" s="7"/>
      <c r="K26" s="13"/>
      <c r="L26" s="7"/>
      <c r="M26" s="7"/>
      <c r="N26" s="7"/>
      <c r="O26" s="7"/>
      <c r="P26" s="7"/>
      <c r="Q26" s="7"/>
      <c r="R26" s="7"/>
      <c r="S26" s="7"/>
      <c r="T26" s="7"/>
      <c r="U26" s="13"/>
      <c r="V26" s="13"/>
      <c r="W26" s="7"/>
      <c r="X26" s="7"/>
      <c r="Y26" s="13"/>
      <c r="Z26" s="7"/>
      <c r="AA26" s="13"/>
      <c r="AB26" s="13"/>
      <c r="AC26" s="13"/>
      <c r="AD26" s="7" t="s">
        <v>1078</v>
      </c>
      <c r="AE26" s="7"/>
      <c r="AF26" s="7"/>
      <c r="AG26" s="57"/>
      <c r="AH26" s="7"/>
      <c r="AI26" s="7"/>
      <c r="AJ26" s="7"/>
      <c r="AK26" s="7"/>
      <c r="AL26" s="103"/>
      <c r="AM26" s="176">
        <v>97169907</v>
      </c>
      <c r="AN26" s="174">
        <v>17519.189999999999</v>
      </c>
      <c r="AO26" s="187"/>
      <c r="AP26" s="188"/>
      <c r="AQ26" s="187">
        <v>97371910</v>
      </c>
      <c r="AR26" s="188">
        <v>5197.75</v>
      </c>
      <c r="AS26" s="198">
        <v>97168465</v>
      </c>
      <c r="AT26" s="259">
        <v>450</v>
      </c>
      <c r="AU26" s="210">
        <v>97168497</v>
      </c>
      <c r="AV26" s="105">
        <v>102.41</v>
      </c>
      <c r="AW26" s="219">
        <v>97169907</v>
      </c>
      <c r="AX26" s="225">
        <v>10660.12</v>
      </c>
      <c r="AY26" s="363">
        <v>97169907</v>
      </c>
      <c r="AZ26" s="398">
        <f>AX26+AV26+AT26+AN26+AR26</f>
        <v>33929.47</v>
      </c>
    </row>
    <row r="27" spans="1:52">
      <c r="A27" s="50"/>
      <c r="B27" s="5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3"/>
      <c r="AD27" s="21">
        <v>0</v>
      </c>
      <c r="AE27" s="9"/>
      <c r="AF27" s="50"/>
      <c r="AG27" s="58"/>
      <c r="AH27" s="9"/>
      <c r="AI27" s="9"/>
      <c r="AJ27" s="9"/>
      <c r="AK27" s="9"/>
      <c r="AL27" s="141"/>
      <c r="AM27" s="176"/>
      <c r="AO27" s="187"/>
      <c r="AP27" s="188"/>
      <c r="AQ27" s="187"/>
      <c r="AR27" s="188"/>
      <c r="AS27" s="198"/>
      <c r="AT27" s="199"/>
      <c r="AU27" s="210"/>
      <c r="AV27" s="105"/>
      <c r="AW27" s="219"/>
      <c r="AX27" s="223"/>
      <c r="AY27" s="363"/>
      <c r="AZ27" s="398">
        <f t="shared" si="1"/>
        <v>0</v>
      </c>
    </row>
    <row r="28" spans="1:5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13"/>
      <c r="AD28" s="7">
        <v>0</v>
      </c>
      <c r="AE28" s="7"/>
      <c r="AF28" s="7"/>
      <c r="AG28" s="57"/>
      <c r="AH28" s="7"/>
      <c r="AI28" s="7"/>
      <c r="AJ28" s="7"/>
      <c r="AK28" s="7"/>
      <c r="AL28" s="103"/>
      <c r="AM28" s="176"/>
      <c r="AO28" s="187"/>
      <c r="AP28" s="188"/>
      <c r="AQ28" s="187"/>
      <c r="AR28" s="188"/>
      <c r="AS28" s="198"/>
      <c r="AT28" s="199"/>
      <c r="AU28" s="210"/>
      <c r="AV28" s="105"/>
      <c r="AW28" s="219"/>
      <c r="AX28" s="223"/>
      <c r="AY28" s="363"/>
      <c r="AZ28" s="398">
        <f t="shared" si="1"/>
        <v>0</v>
      </c>
    </row>
    <row r="29" spans="1:52">
      <c r="A29" s="50"/>
      <c r="B29" s="5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3"/>
      <c r="AD29" s="21">
        <v>0</v>
      </c>
      <c r="AE29" s="50"/>
      <c r="AF29" s="50"/>
      <c r="AG29" s="58"/>
      <c r="AH29" s="9"/>
      <c r="AI29" s="9"/>
      <c r="AJ29" s="9"/>
      <c r="AK29" s="9"/>
      <c r="AL29" s="141"/>
      <c r="AM29" s="176"/>
      <c r="AO29" s="187"/>
      <c r="AP29" s="188"/>
      <c r="AQ29" s="187"/>
      <c r="AR29" s="188"/>
      <c r="AS29" s="198"/>
      <c r="AT29" s="199"/>
      <c r="AU29" s="210"/>
      <c r="AV29" s="105"/>
      <c r="AW29" s="219"/>
      <c r="AX29" s="223"/>
      <c r="AY29" s="363"/>
      <c r="AZ29" s="398">
        <f t="shared" si="1"/>
        <v>0</v>
      </c>
    </row>
    <row r="30" spans="1:52">
      <c r="A30" s="7"/>
      <c r="B30" s="7"/>
      <c r="C30" s="7"/>
      <c r="D30" s="7"/>
      <c r="E30" s="7"/>
      <c r="F30" s="7"/>
      <c r="G30" s="7"/>
      <c r="H30" s="7"/>
      <c r="I30" s="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2"/>
      <c r="AC30" s="13"/>
      <c r="AD30" s="7">
        <v>0</v>
      </c>
      <c r="AE30" s="7"/>
      <c r="AF30" s="7"/>
      <c r="AG30" s="57"/>
      <c r="AH30" s="7"/>
      <c r="AI30" s="7"/>
      <c r="AJ30" s="7"/>
      <c r="AK30" s="7"/>
      <c r="AL30" s="103"/>
      <c r="AM30" s="176"/>
      <c r="AO30" s="187"/>
      <c r="AP30" s="188"/>
      <c r="AQ30" s="187"/>
      <c r="AR30" s="188"/>
      <c r="AS30" s="198"/>
      <c r="AT30" s="199"/>
      <c r="AU30" s="210"/>
      <c r="AV30" s="105"/>
      <c r="AW30" s="219"/>
      <c r="AX30" s="223"/>
      <c r="AY30" s="363"/>
      <c r="AZ30" s="398">
        <f t="shared" si="1"/>
        <v>0</v>
      </c>
    </row>
    <row r="31" spans="1:52">
      <c r="A31" s="50"/>
      <c r="B31" s="50"/>
      <c r="C31" s="50"/>
      <c r="D31" s="9"/>
      <c r="E31" s="9"/>
      <c r="F31" s="9"/>
      <c r="G31" s="9"/>
      <c r="H31" s="9"/>
      <c r="I31" s="4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4"/>
      <c r="AC31" s="13"/>
      <c r="AD31" s="21">
        <v>0</v>
      </c>
      <c r="AE31" s="50"/>
      <c r="AF31" s="50"/>
      <c r="AG31" s="58"/>
      <c r="AH31" s="9"/>
      <c r="AI31" s="9"/>
      <c r="AJ31" s="9"/>
      <c r="AK31" s="9"/>
      <c r="AL31" s="141"/>
      <c r="AM31" s="176"/>
      <c r="AO31" s="187"/>
      <c r="AP31" s="188"/>
      <c r="AQ31" s="187"/>
      <c r="AR31" s="188"/>
      <c r="AS31" s="198"/>
      <c r="AT31" s="199"/>
      <c r="AU31" s="210"/>
      <c r="AV31" s="105"/>
      <c r="AW31" s="219"/>
      <c r="AX31" s="223"/>
      <c r="AY31" s="363"/>
      <c r="AZ31" s="398">
        <f t="shared" si="1"/>
        <v>0</v>
      </c>
    </row>
    <row r="32" spans="1:52">
      <c r="A32" s="7"/>
      <c r="B32" s="7"/>
      <c r="C32" s="7"/>
      <c r="D32" s="7"/>
      <c r="E32" s="7"/>
      <c r="F32" s="7"/>
      <c r="G32" s="7"/>
      <c r="H32" s="7"/>
      <c r="I32" s="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13"/>
      <c r="AD32" s="7">
        <v>0</v>
      </c>
      <c r="AE32" s="7"/>
      <c r="AF32" s="7"/>
      <c r="AG32" s="57"/>
      <c r="AH32" s="7"/>
      <c r="AI32" s="7"/>
      <c r="AJ32" s="7"/>
      <c r="AK32" s="7"/>
      <c r="AL32" s="103"/>
      <c r="AM32" s="176"/>
      <c r="AO32" s="187"/>
      <c r="AP32" s="188"/>
      <c r="AQ32" s="187"/>
      <c r="AR32" s="188"/>
      <c r="AS32" s="198"/>
      <c r="AT32" s="199"/>
      <c r="AU32" s="210"/>
      <c r="AV32" s="105"/>
      <c r="AW32" s="219"/>
      <c r="AX32" s="223"/>
      <c r="AY32" s="363"/>
      <c r="AZ32" s="398">
        <f t="shared" si="1"/>
        <v>0</v>
      </c>
    </row>
    <row r="33" spans="30:52">
      <c r="AD33" s="21">
        <v>0</v>
      </c>
      <c r="AE33" s="50"/>
      <c r="AF33" s="50"/>
      <c r="AG33" s="58"/>
      <c r="AH33" s="9"/>
      <c r="AI33" s="9"/>
      <c r="AJ33" s="9"/>
      <c r="AK33" s="9"/>
      <c r="AL33" s="141"/>
      <c r="AM33" s="176"/>
      <c r="AO33" s="187"/>
      <c r="AP33" s="188"/>
      <c r="AQ33" s="187"/>
      <c r="AR33" s="188"/>
      <c r="AS33" s="198"/>
      <c r="AT33" s="199"/>
      <c r="AU33" s="210"/>
      <c r="AV33" s="105"/>
      <c r="AW33" s="219"/>
      <c r="AX33" s="223"/>
      <c r="AY33" s="363"/>
      <c r="AZ33" s="398">
        <f t="shared" si="1"/>
        <v>0</v>
      </c>
    </row>
    <row r="34" spans="30:52">
      <c r="AD34" s="7">
        <v>0</v>
      </c>
      <c r="AE34" s="7"/>
      <c r="AF34" s="7"/>
      <c r="AG34" s="57"/>
      <c r="AH34" s="7"/>
      <c r="AI34" s="7"/>
      <c r="AJ34" s="7"/>
      <c r="AK34" s="7"/>
      <c r="AL34" s="103"/>
      <c r="AM34" s="176"/>
      <c r="AO34" s="187"/>
      <c r="AP34" s="188"/>
      <c r="AQ34" s="187"/>
      <c r="AR34" s="188"/>
      <c r="AS34" s="198"/>
      <c r="AT34" s="199"/>
      <c r="AU34" s="210"/>
      <c r="AV34" s="105"/>
      <c r="AW34" s="219"/>
      <c r="AX34" s="223"/>
      <c r="AY34" s="363"/>
      <c r="AZ34" s="398">
        <f t="shared" si="1"/>
        <v>0</v>
      </c>
    </row>
    <row r="35" spans="30:52">
      <c r="AD35" s="21">
        <v>0</v>
      </c>
      <c r="AE35" s="9"/>
      <c r="AF35" s="9"/>
      <c r="AG35" s="58"/>
      <c r="AH35" s="9"/>
      <c r="AI35" s="9"/>
      <c r="AJ35" s="9"/>
      <c r="AK35" s="9"/>
      <c r="AL35" s="141"/>
      <c r="AM35" s="176"/>
      <c r="AO35" s="187"/>
      <c r="AP35" s="188"/>
      <c r="AQ35" s="187"/>
      <c r="AR35" s="188"/>
      <c r="AS35" s="198"/>
      <c r="AT35" s="199"/>
      <c r="AU35" s="210"/>
      <c r="AV35" s="105"/>
      <c r="AW35" s="219"/>
      <c r="AX35" s="223"/>
      <c r="AY35" s="363"/>
      <c r="AZ35" s="398">
        <f t="shared" si="1"/>
        <v>0</v>
      </c>
    </row>
    <row r="36" spans="30:52">
      <c r="AD36" s="7">
        <v>0</v>
      </c>
      <c r="AE36" s="7"/>
      <c r="AF36" s="7"/>
      <c r="AG36" s="57"/>
      <c r="AH36" s="7"/>
      <c r="AI36" s="7"/>
      <c r="AJ36" s="7"/>
      <c r="AK36" s="7"/>
      <c r="AL36" s="103"/>
      <c r="AM36" s="176"/>
      <c r="AO36" s="187"/>
      <c r="AP36" s="188"/>
      <c r="AQ36" s="187"/>
      <c r="AR36" s="188"/>
      <c r="AS36" s="198"/>
      <c r="AT36" s="199"/>
      <c r="AU36" s="210"/>
      <c r="AV36" s="105"/>
      <c r="AW36" s="219"/>
      <c r="AX36" s="223"/>
      <c r="AY36" s="363"/>
      <c r="AZ36" s="398">
        <f t="shared" si="1"/>
        <v>0</v>
      </c>
    </row>
    <row r="37" spans="30:52">
      <c r="AD37" s="21">
        <v>0</v>
      </c>
      <c r="AE37" s="9"/>
      <c r="AF37" s="9"/>
      <c r="AG37" s="58"/>
      <c r="AH37" s="9"/>
      <c r="AI37" s="9"/>
      <c r="AJ37" s="9"/>
      <c r="AK37" s="9"/>
      <c r="AL37" s="141"/>
      <c r="AM37" s="176"/>
      <c r="AO37" s="187"/>
      <c r="AP37" s="188"/>
      <c r="AQ37" s="187"/>
      <c r="AR37" s="188"/>
      <c r="AS37" s="198"/>
      <c r="AT37" s="199"/>
      <c r="AU37" s="210"/>
      <c r="AV37" s="105"/>
      <c r="AW37" s="219"/>
      <c r="AX37" s="223"/>
      <c r="AY37" s="363"/>
      <c r="AZ37" s="398">
        <f t="shared" si="1"/>
        <v>0</v>
      </c>
    </row>
    <row r="38" spans="30:52">
      <c r="AD38" s="7">
        <v>0</v>
      </c>
      <c r="AE38" s="7"/>
      <c r="AF38" s="7"/>
      <c r="AG38" s="57"/>
      <c r="AH38" s="7"/>
      <c r="AI38" s="7"/>
      <c r="AJ38" s="7"/>
      <c r="AK38" s="7"/>
      <c r="AL38" s="103"/>
      <c r="AM38" s="176"/>
      <c r="AO38" s="187"/>
      <c r="AP38" s="188"/>
      <c r="AQ38" s="187"/>
      <c r="AR38" s="188"/>
      <c r="AS38" s="198"/>
      <c r="AT38" s="199"/>
      <c r="AU38" s="210"/>
      <c r="AV38" s="105"/>
      <c r="AW38" s="219"/>
      <c r="AX38" s="223"/>
      <c r="AY38" s="363"/>
      <c r="AZ38" s="398">
        <f t="shared" si="1"/>
        <v>0</v>
      </c>
    </row>
    <row r="39" spans="30:52">
      <c r="AD39" s="21">
        <v>0</v>
      </c>
      <c r="AE39" s="9"/>
      <c r="AF39" s="9"/>
      <c r="AG39" s="58"/>
      <c r="AH39" s="9"/>
      <c r="AI39" s="9"/>
      <c r="AJ39" s="9"/>
      <c r="AK39" s="9"/>
      <c r="AL39" s="141"/>
      <c r="AM39" s="176"/>
      <c r="AO39" s="187"/>
      <c r="AP39" s="188"/>
      <c r="AQ39" s="187"/>
      <c r="AR39" s="188"/>
      <c r="AS39" s="198"/>
      <c r="AT39" s="199"/>
      <c r="AU39" s="210"/>
      <c r="AV39" s="105"/>
      <c r="AW39" s="219"/>
      <c r="AX39" s="223"/>
      <c r="AY39" s="363"/>
      <c r="AZ39" s="398">
        <f t="shared" si="1"/>
        <v>0</v>
      </c>
    </row>
    <row r="40" spans="30:52">
      <c r="AD40" s="7">
        <v>0</v>
      </c>
      <c r="AE40" s="7"/>
      <c r="AF40" s="7"/>
      <c r="AG40" s="57"/>
      <c r="AH40" s="7"/>
      <c r="AI40" s="7"/>
      <c r="AJ40" s="7"/>
      <c r="AK40" s="7"/>
      <c r="AL40" s="103"/>
      <c r="AM40" s="176"/>
      <c r="AO40" s="187"/>
      <c r="AP40" s="188"/>
      <c r="AQ40" s="187"/>
      <c r="AR40" s="188"/>
      <c r="AS40" s="198"/>
      <c r="AT40" s="199"/>
      <c r="AU40" s="210"/>
      <c r="AV40" s="105"/>
      <c r="AW40" s="219"/>
      <c r="AX40" s="223"/>
      <c r="AY40" s="363"/>
      <c r="AZ40" s="398">
        <f t="shared" si="1"/>
        <v>0</v>
      </c>
    </row>
    <row r="41" spans="30:52">
      <c r="AD41" s="21">
        <v>0</v>
      </c>
      <c r="AE41" s="9"/>
      <c r="AF41" s="9"/>
      <c r="AG41" s="58"/>
      <c r="AH41" s="9"/>
      <c r="AI41" s="9"/>
      <c r="AJ41" s="9"/>
      <c r="AK41" s="9"/>
      <c r="AL41" s="141"/>
      <c r="AM41" s="176"/>
      <c r="AO41" s="187"/>
      <c r="AP41" s="188"/>
      <c r="AQ41" s="187"/>
      <c r="AR41" s="188"/>
      <c r="AS41" s="198"/>
      <c r="AT41" s="199"/>
      <c r="AU41" s="210"/>
      <c r="AV41" s="105"/>
      <c r="AW41" s="219"/>
      <c r="AX41" s="223"/>
      <c r="AY41" s="363"/>
      <c r="AZ41" s="398">
        <f t="shared" si="1"/>
        <v>0</v>
      </c>
    </row>
    <row r="42" spans="30:52">
      <c r="AD42" s="7">
        <v>0</v>
      </c>
      <c r="AE42" s="7"/>
      <c r="AF42" s="7"/>
      <c r="AG42" s="57"/>
      <c r="AH42" s="7"/>
      <c r="AI42" s="7"/>
      <c r="AJ42" s="7"/>
      <c r="AK42" s="7"/>
      <c r="AL42" s="103"/>
      <c r="AM42" s="176"/>
      <c r="AO42" s="187"/>
      <c r="AP42" s="188"/>
      <c r="AQ42" s="187"/>
      <c r="AR42" s="188"/>
      <c r="AS42" s="198"/>
      <c r="AT42" s="199"/>
      <c r="AU42" s="210"/>
      <c r="AV42" s="105"/>
      <c r="AW42" s="219"/>
      <c r="AX42" s="223"/>
      <c r="AY42" s="363"/>
      <c r="AZ42" s="398">
        <f t="shared" si="1"/>
        <v>0</v>
      </c>
    </row>
    <row r="43" spans="30:52">
      <c r="AD43" s="21">
        <v>0</v>
      </c>
      <c r="AE43" s="9"/>
      <c r="AF43" s="9"/>
      <c r="AG43" s="58"/>
      <c r="AH43" s="9"/>
      <c r="AI43" s="9"/>
      <c r="AJ43" s="9"/>
      <c r="AK43" s="9"/>
      <c r="AL43" s="141"/>
      <c r="AM43" s="176"/>
      <c r="AO43" s="187"/>
      <c r="AP43" s="188"/>
      <c r="AQ43" s="187"/>
      <c r="AR43" s="188"/>
      <c r="AS43" s="198"/>
      <c r="AT43" s="199"/>
      <c r="AU43" s="210"/>
      <c r="AV43" s="105"/>
      <c r="AW43" s="219"/>
      <c r="AX43" s="223"/>
      <c r="AY43" s="363"/>
      <c r="AZ43" s="398">
        <f t="shared" si="1"/>
        <v>0</v>
      </c>
    </row>
    <row r="44" spans="30:52">
      <c r="AD44" s="7">
        <v>0</v>
      </c>
      <c r="AE44" s="7"/>
      <c r="AF44" s="7"/>
      <c r="AG44" s="57"/>
      <c r="AH44" s="7"/>
      <c r="AI44" s="7"/>
      <c r="AJ44" s="7"/>
      <c r="AK44" s="7"/>
      <c r="AL44" s="103"/>
      <c r="AM44" s="176"/>
      <c r="AO44" s="187"/>
      <c r="AP44" s="188"/>
      <c r="AQ44" s="187"/>
      <c r="AR44" s="188"/>
      <c r="AS44" s="198"/>
      <c r="AT44" s="199"/>
      <c r="AU44" s="210"/>
      <c r="AV44" s="105"/>
      <c r="AW44" s="219"/>
      <c r="AX44" s="223"/>
      <c r="AY44" s="363"/>
      <c r="AZ44" s="398">
        <f t="shared" si="1"/>
        <v>0</v>
      </c>
    </row>
    <row r="45" spans="30:52">
      <c r="AD45" s="21">
        <v>0</v>
      </c>
      <c r="AE45" s="9"/>
      <c r="AF45" s="9"/>
      <c r="AG45" s="58"/>
      <c r="AH45" s="9"/>
      <c r="AI45" s="9"/>
      <c r="AJ45" s="9"/>
      <c r="AK45" s="9"/>
      <c r="AL45" s="141"/>
      <c r="AM45" s="176"/>
      <c r="AO45" s="187"/>
      <c r="AP45" s="188"/>
      <c r="AQ45" s="187"/>
      <c r="AR45" s="188"/>
      <c r="AS45" s="198"/>
      <c r="AT45" s="199"/>
      <c r="AU45" s="210"/>
      <c r="AV45" s="105"/>
      <c r="AW45" s="219"/>
      <c r="AX45" s="223"/>
      <c r="AY45" s="363"/>
      <c r="AZ45" s="398">
        <f t="shared" si="1"/>
        <v>0</v>
      </c>
    </row>
    <row r="46" spans="30:52">
      <c r="AD46" s="7">
        <v>0</v>
      </c>
      <c r="AE46" s="7"/>
      <c r="AF46" s="7"/>
      <c r="AG46" s="57"/>
      <c r="AH46" s="7"/>
      <c r="AI46" s="7"/>
      <c r="AJ46" s="7"/>
      <c r="AK46" s="7"/>
      <c r="AL46" s="103"/>
      <c r="AM46" s="176"/>
      <c r="AO46" s="187"/>
      <c r="AP46" s="188"/>
      <c r="AQ46" s="187"/>
      <c r="AR46" s="188"/>
      <c r="AS46" s="198"/>
      <c r="AT46" s="199"/>
      <c r="AU46" s="210"/>
      <c r="AV46" s="105"/>
      <c r="AW46" s="219"/>
      <c r="AX46" s="223"/>
      <c r="AY46" s="363"/>
      <c r="AZ46" s="398">
        <f t="shared" si="1"/>
        <v>0</v>
      </c>
    </row>
    <row r="47" spans="30:52">
      <c r="AD47" s="21">
        <v>0</v>
      </c>
      <c r="AE47" s="9"/>
      <c r="AF47" s="9"/>
      <c r="AG47" s="58"/>
      <c r="AH47" s="9"/>
      <c r="AI47" s="9"/>
      <c r="AJ47" s="9"/>
      <c r="AK47" s="9"/>
      <c r="AL47" s="141"/>
      <c r="AM47" s="176"/>
      <c r="AO47" s="187"/>
      <c r="AP47" s="188"/>
      <c r="AQ47" s="187"/>
      <c r="AR47" s="188"/>
      <c r="AS47" s="198"/>
      <c r="AT47" s="199"/>
      <c r="AU47" s="210"/>
      <c r="AV47" s="105"/>
      <c r="AW47" s="219"/>
      <c r="AX47" s="223"/>
      <c r="AY47" s="363"/>
      <c r="AZ47" s="398">
        <f t="shared" si="1"/>
        <v>0</v>
      </c>
    </row>
    <row r="48" spans="30:52">
      <c r="AD48" s="7">
        <v>0</v>
      </c>
      <c r="AE48" s="7"/>
      <c r="AF48" s="7"/>
      <c r="AG48" s="57"/>
      <c r="AH48" s="7"/>
      <c r="AI48" s="7"/>
      <c r="AJ48" s="7"/>
      <c r="AK48" s="7"/>
      <c r="AL48" s="103"/>
      <c r="AM48" s="176"/>
      <c r="AO48" s="187"/>
      <c r="AP48" s="188"/>
      <c r="AQ48" s="187"/>
      <c r="AR48" s="188"/>
      <c r="AS48" s="198"/>
      <c r="AT48" s="199"/>
      <c r="AU48" s="210"/>
      <c r="AV48" s="105"/>
      <c r="AW48" s="219"/>
      <c r="AX48" s="223"/>
      <c r="AY48" s="363"/>
      <c r="AZ48" s="398">
        <f t="shared" si="1"/>
        <v>0</v>
      </c>
    </row>
    <row r="49" spans="30:52">
      <c r="AD49" s="21">
        <v>0</v>
      </c>
      <c r="AE49" s="9"/>
      <c r="AF49" s="9"/>
      <c r="AG49" s="58"/>
      <c r="AH49" s="9"/>
      <c r="AI49" s="9"/>
      <c r="AJ49" s="9"/>
      <c r="AK49" s="9"/>
      <c r="AL49" s="141"/>
      <c r="AM49" s="176"/>
      <c r="AO49" s="187"/>
      <c r="AP49" s="188"/>
      <c r="AQ49" s="187"/>
      <c r="AR49" s="188"/>
      <c r="AS49" s="198"/>
      <c r="AT49" s="199"/>
      <c r="AU49" s="210"/>
      <c r="AV49" s="105"/>
      <c r="AW49" s="219"/>
      <c r="AX49" s="223"/>
      <c r="AY49" s="363"/>
      <c r="AZ49" s="398">
        <f t="shared" si="1"/>
        <v>0</v>
      </c>
    </row>
    <row r="50" spans="30:52">
      <c r="AD50" s="7">
        <v>0</v>
      </c>
      <c r="AE50" s="7"/>
      <c r="AF50" s="7"/>
      <c r="AG50" s="57"/>
      <c r="AH50" s="7"/>
      <c r="AI50" s="7"/>
      <c r="AJ50" s="7"/>
      <c r="AK50" s="7"/>
      <c r="AL50" s="103"/>
      <c r="AM50" s="176"/>
      <c r="AO50" s="187"/>
      <c r="AP50" s="188"/>
      <c r="AQ50" s="187"/>
      <c r="AR50" s="188"/>
      <c r="AS50" s="198"/>
      <c r="AT50" s="199"/>
      <c r="AU50" s="210"/>
      <c r="AV50" s="105"/>
      <c r="AW50" s="219"/>
      <c r="AX50" s="223"/>
      <c r="AY50" s="363"/>
      <c r="AZ50" s="398">
        <f t="shared" si="1"/>
        <v>0</v>
      </c>
    </row>
    <row r="51" spans="30:52">
      <c r="AD51" s="21">
        <v>0</v>
      </c>
      <c r="AE51" s="9"/>
      <c r="AF51" s="9"/>
      <c r="AG51" s="58"/>
      <c r="AH51" s="9"/>
      <c r="AI51" s="9"/>
      <c r="AJ51" s="9"/>
      <c r="AK51" s="9"/>
      <c r="AL51" s="141"/>
      <c r="AM51" s="176"/>
      <c r="AO51" s="187"/>
      <c r="AP51" s="188"/>
      <c r="AQ51" s="187"/>
      <c r="AR51" s="188"/>
      <c r="AS51" s="198"/>
      <c r="AT51" s="199"/>
      <c r="AU51" s="210"/>
      <c r="AV51" s="105"/>
      <c r="AW51" s="219"/>
      <c r="AX51" s="223"/>
      <c r="AY51" s="363"/>
      <c r="AZ51" s="398">
        <f t="shared" si="1"/>
        <v>0</v>
      </c>
    </row>
    <row r="52" spans="30:52">
      <c r="AD52" s="7">
        <v>0</v>
      </c>
      <c r="AE52" s="7"/>
      <c r="AF52" s="7"/>
      <c r="AG52" s="57"/>
      <c r="AH52" s="7"/>
      <c r="AI52" s="7"/>
      <c r="AJ52" s="7"/>
      <c r="AK52" s="7"/>
      <c r="AL52" s="103"/>
      <c r="AM52" s="176"/>
      <c r="AO52" s="187"/>
      <c r="AP52" s="188"/>
      <c r="AQ52" s="187"/>
      <c r="AR52" s="188"/>
      <c r="AS52" s="198"/>
      <c r="AT52" s="199"/>
      <c r="AU52" s="210"/>
      <c r="AV52" s="105"/>
      <c r="AW52" s="219"/>
      <c r="AX52" s="223"/>
      <c r="AY52" s="363"/>
      <c r="AZ52" s="398">
        <f t="shared" si="1"/>
        <v>0</v>
      </c>
    </row>
    <row r="53" spans="30:52">
      <c r="AD53" s="21">
        <v>0</v>
      </c>
      <c r="AE53" s="9"/>
      <c r="AF53" s="9"/>
      <c r="AG53" s="58"/>
      <c r="AH53" s="9"/>
      <c r="AI53" s="9"/>
      <c r="AJ53" s="9"/>
      <c r="AK53" s="9"/>
      <c r="AL53" s="141"/>
      <c r="AM53" s="176"/>
      <c r="AO53" s="187"/>
      <c r="AP53" s="188"/>
      <c r="AQ53" s="187"/>
      <c r="AR53" s="188"/>
      <c r="AS53" s="198"/>
      <c r="AT53" s="199"/>
      <c r="AU53" s="210"/>
      <c r="AV53" s="105"/>
      <c r="AW53" s="219"/>
      <c r="AX53" s="223"/>
      <c r="AY53" s="363"/>
      <c r="AZ53" s="398">
        <f t="shared" si="1"/>
        <v>0</v>
      </c>
    </row>
    <row r="54" spans="30:52">
      <c r="AD54" s="7">
        <v>0</v>
      </c>
      <c r="AE54" s="7"/>
      <c r="AF54" s="7"/>
      <c r="AG54" s="57"/>
      <c r="AH54" s="7"/>
      <c r="AI54" s="7"/>
      <c r="AJ54" s="7"/>
      <c r="AK54" s="7"/>
      <c r="AL54" s="103"/>
      <c r="AM54" s="176"/>
      <c r="AO54" s="187"/>
      <c r="AP54" s="188"/>
      <c r="AQ54" s="187"/>
      <c r="AR54" s="188"/>
      <c r="AS54" s="198"/>
      <c r="AT54" s="199"/>
      <c r="AU54" s="210"/>
      <c r="AV54" s="105"/>
      <c r="AW54" s="219"/>
      <c r="AX54" s="223"/>
      <c r="AY54" s="363"/>
      <c r="AZ54" s="398">
        <f t="shared" si="1"/>
        <v>0</v>
      </c>
    </row>
    <row r="55" spans="30:52">
      <c r="AD55" s="21">
        <v>0</v>
      </c>
      <c r="AE55" s="9"/>
      <c r="AF55" s="9"/>
      <c r="AG55" s="58"/>
      <c r="AH55" s="9"/>
      <c r="AI55" s="9"/>
      <c r="AJ55" s="9"/>
      <c r="AK55" s="9"/>
      <c r="AL55" s="141"/>
      <c r="AM55" s="176"/>
      <c r="AO55" s="187"/>
      <c r="AP55" s="188"/>
      <c r="AQ55" s="187"/>
      <c r="AR55" s="188"/>
      <c r="AS55" s="198"/>
      <c r="AT55" s="199"/>
      <c r="AU55" s="210"/>
      <c r="AV55" s="105"/>
      <c r="AW55" s="219"/>
      <c r="AX55" s="223"/>
      <c r="AY55" s="363"/>
      <c r="AZ55" s="398">
        <f t="shared" si="1"/>
        <v>0</v>
      </c>
    </row>
    <row r="56" spans="30:52">
      <c r="AD56" s="7">
        <v>0</v>
      </c>
      <c r="AE56" s="7"/>
      <c r="AF56" s="7"/>
      <c r="AG56" s="57"/>
      <c r="AH56" s="7"/>
      <c r="AI56" s="7"/>
      <c r="AJ56" s="7"/>
      <c r="AK56" s="7"/>
      <c r="AL56" s="103"/>
      <c r="AM56" s="176"/>
      <c r="AO56" s="187"/>
      <c r="AP56" s="188"/>
      <c r="AQ56" s="187"/>
      <c r="AR56" s="188"/>
      <c r="AS56" s="198"/>
      <c r="AT56" s="199"/>
      <c r="AU56" s="210"/>
      <c r="AV56" s="105"/>
      <c r="AW56" s="219"/>
      <c r="AX56" s="223"/>
      <c r="AY56" s="363"/>
      <c r="AZ56" s="398">
        <f t="shared" si="1"/>
        <v>0</v>
      </c>
    </row>
    <row r="57" spans="30:52">
      <c r="AD57" s="21">
        <v>0</v>
      </c>
      <c r="AE57" s="9"/>
      <c r="AF57" s="9"/>
      <c r="AG57" s="58"/>
      <c r="AH57" s="9"/>
      <c r="AI57" s="9"/>
      <c r="AJ57" s="9"/>
      <c r="AK57" s="9"/>
      <c r="AL57" s="141"/>
      <c r="AM57" s="176"/>
      <c r="AO57" s="187"/>
      <c r="AP57" s="188"/>
      <c r="AQ57" s="187"/>
      <c r="AR57" s="188"/>
      <c r="AS57" s="198"/>
      <c r="AT57" s="199"/>
      <c r="AU57" s="210"/>
      <c r="AV57" s="105"/>
      <c r="AW57" s="219"/>
      <c r="AX57" s="223"/>
      <c r="AY57" s="363"/>
      <c r="AZ57" s="398">
        <f t="shared" si="1"/>
        <v>0</v>
      </c>
    </row>
    <row r="58" spans="30:52">
      <c r="AD58" s="7">
        <v>0</v>
      </c>
      <c r="AE58" s="7"/>
      <c r="AF58" s="7"/>
      <c r="AG58" s="57"/>
      <c r="AH58" s="7"/>
      <c r="AI58" s="7"/>
      <c r="AJ58" s="7"/>
      <c r="AK58" s="7"/>
      <c r="AL58" s="103"/>
      <c r="AM58" s="176"/>
      <c r="AO58" s="187"/>
      <c r="AP58" s="188"/>
      <c r="AQ58" s="187"/>
      <c r="AR58" s="188"/>
      <c r="AS58" s="198"/>
      <c r="AT58" s="199"/>
      <c r="AU58" s="210"/>
      <c r="AV58" s="105"/>
      <c r="AW58" s="219"/>
      <c r="AX58" s="223"/>
      <c r="AY58" s="363"/>
      <c r="AZ58" s="398">
        <f t="shared" si="1"/>
        <v>0</v>
      </c>
    </row>
    <row r="59" spans="30:52">
      <c r="AD59" s="21">
        <v>0</v>
      </c>
      <c r="AE59" s="9"/>
      <c r="AF59" s="9"/>
      <c r="AG59" s="58"/>
      <c r="AH59" s="9"/>
      <c r="AI59" s="9"/>
      <c r="AJ59" s="9"/>
      <c r="AK59" s="9"/>
      <c r="AL59" s="141"/>
      <c r="AM59" s="176"/>
      <c r="AO59" s="187"/>
      <c r="AP59" s="188"/>
      <c r="AQ59" s="187"/>
      <c r="AR59" s="188"/>
      <c r="AS59" s="198"/>
      <c r="AT59" s="199"/>
      <c r="AU59" s="210"/>
      <c r="AV59" s="105"/>
      <c r="AW59" s="219"/>
      <c r="AX59" s="223"/>
      <c r="AY59" s="363"/>
      <c r="AZ59" s="398">
        <f t="shared" si="1"/>
        <v>0</v>
      </c>
    </row>
    <row r="60" spans="30:52">
      <c r="AD60" s="7">
        <v>0</v>
      </c>
      <c r="AE60" s="7"/>
      <c r="AF60" s="7"/>
      <c r="AG60" s="57"/>
      <c r="AH60" s="7"/>
      <c r="AI60" s="7"/>
      <c r="AJ60" s="7"/>
      <c r="AK60" s="7"/>
      <c r="AL60" s="103"/>
      <c r="AM60" s="176"/>
      <c r="AO60" s="187"/>
      <c r="AP60" s="188"/>
      <c r="AQ60" s="187"/>
      <c r="AR60" s="188"/>
      <c r="AS60" s="198"/>
      <c r="AT60" s="199"/>
      <c r="AU60" s="210"/>
      <c r="AV60" s="105"/>
      <c r="AW60" s="219"/>
      <c r="AX60" s="223"/>
      <c r="AY60" s="363"/>
      <c r="AZ60" s="398">
        <f t="shared" si="1"/>
        <v>0</v>
      </c>
    </row>
    <row r="61" spans="30:52">
      <c r="AD61" s="21">
        <v>0</v>
      </c>
      <c r="AE61" s="9"/>
      <c r="AF61" s="9"/>
      <c r="AG61" s="58"/>
      <c r="AH61" s="9"/>
      <c r="AI61" s="9"/>
      <c r="AJ61" s="9"/>
      <c r="AK61" s="9"/>
      <c r="AL61" s="141"/>
      <c r="AM61" s="176"/>
      <c r="AO61" s="187"/>
      <c r="AP61" s="188"/>
      <c r="AQ61" s="187"/>
      <c r="AR61" s="188"/>
      <c r="AS61" s="198"/>
      <c r="AT61" s="199"/>
      <c r="AU61" s="210"/>
      <c r="AV61" s="105"/>
      <c r="AW61" s="219"/>
      <c r="AX61" s="223"/>
      <c r="AY61" s="363"/>
      <c r="AZ61" s="398">
        <f t="shared" si="1"/>
        <v>0</v>
      </c>
    </row>
    <row r="62" spans="30:52">
      <c r="AD62" s="7">
        <v>0</v>
      </c>
      <c r="AE62" s="7"/>
      <c r="AF62" s="7"/>
      <c r="AG62" s="57"/>
      <c r="AH62" s="7"/>
      <c r="AI62" s="7"/>
      <c r="AJ62" s="7"/>
      <c r="AK62" s="7"/>
      <c r="AL62" s="103"/>
      <c r="AM62" s="176"/>
      <c r="AO62" s="187"/>
      <c r="AP62" s="188"/>
      <c r="AQ62" s="187"/>
      <c r="AR62" s="188"/>
      <c r="AS62" s="198"/>
      <c r="AT62" s="199"/>
      <c r="AU62" s="210"/>
      <c r="AV62" s="105"/>
      <c r="AW62" s="219"/>
      <c r="AX62" s="223"/>
      <c r="AY62" s="363"/>
      <c r="AZ62" s="398">
        <f t="shared" si="1"/>
        <v>0</v>
      </c>
    </row>
    <row r="63" spans="30:52">
      <c r="AD63" s="21">
        <v>0</v>
      </c>
      <c r="AE63" s="9"/>
      <c r="AF63" s="9"/>
      <c r="AG63" s="58"/>
      <c r="AH63" s="9"/>
      <c r="AI63" s="9"/>
      <c r="AJ63" s="9"/>
      <c r="AK63" s="9"/>
      <c r="AL63" s="141"/>
      <c r="AM63" s="176"/>
      <c r="AO63" s="187"/>
      <c r="AP63" s="188"/>
      <c r="AQ63" s="187"/>
      <c r="AR63" s="188"/>
      <c r="AS63" s="198"/>
      <c r="AT63" s="199"/>
      <c r="AU63" s="210"/>
      <c r="AV63" s="105"/>
      <c r="AW63" s="219"/>
      <c r="AX63" s="223"/>
      <c r="AY63" s="363"/>
      <c r="AZ63" s="398">
        <f t="shared" si="1"/>
        <v>0</v>
      </c>
    </row>
    <row r="64" spans="30:52">
      <c r="AD64" s="7">
        <v>0</v>
      </c>
      <c r="AE64" s="7"/>
      <c r="AF64" s="7"/>
      <c r="AG64" s="57"/>
      <c r="AH64" s="7"/>
      <c r="AI64" s="7"/>
      <c r="AJ64" s="7"/>
      <c r="AK64" s="7"/>
      <c r="AL64" s="103"/>
      <c r="AM64" s="176"/>
      <c r="AO64" s="187"/>
      <c r="AP64" s="188"/>
      <c r="AQ64" s="187"/>
      <c r="AR64" s="188"/>
      <c r="AS64" s="198"/>
      <c r="AT64" s="199"/>
      <c r="AU64" s="210"/>
      <c r="AV64" s="105"/>
      <c r="AW64" s="219"/>
      <c r="AX64" s="223"/>
      <c r="AY64" s="363"/>
      <c r="AZ64" s="398">
        <f t="shared" si="1"/>
        <v>0</v>
      </c>
    </row>
    <row r="65" spans="30:52">
      <c r="AD65" s="21">
        <v>0</v>
      </c>
      <c r="AE65" s="9"/>
      <c r="AF65" s="9"/>
      <c r="AG65" s="58"/>
      <c r="AH65" s="9"/>
      <c r="AI65" s="9"/>
      <c r="AJ65" s="9"/>
      <c r="AK65" s="9"/>
      <c r="AL65" s="141"/>
      <c r="AM65" s="176"/>
      <c r="AO65" s="187"/>
      <c r="AP65" s="188"/>
      <c r="AQ65" s="187"/>
      <c r="AR65" s="188"/>
      <c r="AS65" s="198"/>
      <c r="AT65" s="199"/>
      <c r="AU65" s="210"/>
      <c r="AV65" s="105"/>
      <c r="AW65" s="219"/>
      <c r="AX65" s="223"/>
      <c r="AY65" s="363"/>
      <c r="AZ65" s="398">
        <f t="shared" si="1"/>
        <v>0</v>
      </c>
    </row>
    <row r="66" spans="30:52">
      <c r="AD66" s="7">
        <v>0</v>
      </c>
      <c r="AE66" s="7"/>
      <c r="AF66" s="7"/>
      <c r="AG66" s="57"/>
      <c r="AH66" s="7"/>
      <c r="AI66" s="7"/>
      <c r="AJ66" s="7"/>
      <c r="AK66" s="7"/>
      <c r="AL66" s="103"/>
      <c r="AM66" s="179"/>
      <c r="AO66" s="190"/>
      <c r="AP66" s="191"/>
      <c r="AQ66" s="190"/>
      <c r="AR66" s="191"/>
      <c r="AS66" s="200"/>
      <c r="AT66" s="201"/>
      <c r="AU66" s="211"/>
      <c r="AV66" s="212"/>
      <c r="AW66" s="219"/>
      <c r="AX66" s="223"/>
      <c r="AY66" s="417"/>
      <c r="AZ66" s="398">
        <f t="shared" si="1"/>
        <v>0</v>
      </c>
    </row>
    <row r="67" spans="30:52">
      <c r="AD67" s="21">
        <v>0</v>
      </c>
      <c r="AE67" s="9"/>
      <c r="AF67" s="9"/>
      <c r="AG67" s="58"/>
      <c r="AH67" s="9"/>
      <c r="AI67" s="9"/>
      <c r="AJ67" s="9"/>
      <c r="AK67" s="9"/>
      <c r="AL67" s="141"/>
      <c r="AM67" s="173"/>
      <c r="AO67" s="185"/>
      <c r="AP67" s="186"/>
      <c r="AQ67" s="185"/>
      <c r="AR67" s="186"/>
      <c r="AS67" s="202"/>
      <c r="AT67" s="203"/>
      <c r="AU67" s="213"/>
      <c r="AV67" s="214"/>
      <c r="AW67" s="219"/>
      <c r="AX67" s="223"/>
      <c r="AY67" s="418"/>
      <c r="AZ67" s="419"/>
    </row>
    <row r="68" spans="30:52">
      <c r="AD68" s="7">
        <v>0</v>
      </c>
      <c r="AE68" s="7"/>
      <c r="AF68" s="7"/>
      <c r="AG68" s="57"/>
      <c r="AH68" s="7"/>
      <c r="AI68" s="7"/>
      <c r="AJ68" s="7"/>
      <c r="AK68" s="7"/>
      <c r="AL68" s="103"/>
      <c r="AM68" s="176"/>
      <c r="AO68" s="187"/>
      <c r="AP68" s="188"/>
      <c r="AQ68" s="187"/>
      <c r="AR68" s="188"/>
      <c r="AW68" s="219"/>
      <c r="AX68" s="223"/>
    </row>
    <row r="69" spans="30:52">
      <c r="AD69" s="21">
        <v>0</v>
      </c>
      <c r="AE69" s="9"/>
      <c r="AF69" s="9"/>
      <c r="AG69" s="58"/>
      <c r="AH69" s="9"/>
      <c r="AI69" s="9"/>
      <c r="AJ69" s="9"/>
      <c r="AK69" s="9"/>
      <c r="AL69" s="141"/>
      <c r="AM69" s="176"/>
      <c r="AO69" s="187"/>
      <c r="AP69" s="188"/>
      <c r="AQ69" s="187"/>
      <c r="AR69" s="188"/>
      <c r="AW69" s="219"/>
      <c r="AX69" s="223"/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40D7-CAED-42C7-8F01-B4B360935259}">
  <sheetPr filterMode="1"/>
  <dimension ref="A1:CP49"/>
  <sheetViews>
    <sheetView zoomScale="80" zoomScaleNormal="80" workbookViewId="0">
      <pane ySplit="2" topLeftCell="A12" activePane="bottomLeft" state="frozen"/>
      <selection pane="bottomLeft" activeCell="A2" sqref="A2"/>
    </sheetView>
  </sheetViews>
  <sheetFormatPr defaultColWidth="8.85546875" defaultRowHeight="14.45"/>
  <cols>
    <col min="1" max="1" width="23.28515625" style="5" bestFit="1" customWidth="1"/>
    <col min="2" max="3" width="4.7109375" style="5" bestFit="1" customWidth="1"/>
    <col min="4" max="4" width="10.140625" style="5" bestFit="1" customWidth="1"/>
    <col min="5" max="51" width="4.7109375" style="5" bestFit="1" customWidth="1"/>
    <col min="52" max="52" width="4.7109375" style="5" customWidth="1"/>
    <col min="53" max="53" width="4.42578125" style="5" customWidth="1"/>
    <col min="54" max="54" width="4.7109375" style="5" bestFit="1" customWidth="1"/>
    <col min="55" max="55" width="20.5703125" style="5" bestFit="1" customWidth="1"/>
    <col min="56" max="57" width="4.7109375" style="5" hidden="1" customWidth="1"/>
    <col min="58" max="58" width="10" style="5" hidden="1" customWidth="1"/>
    <col min="59" max="60" width="9.28515625" style="5" hidden="1" customWidth="1"/>
    <col min="61" max="64" width="4.7109375" style="5" hidden="1" customWidth="1"/>
    <col min="65" max="65" width="9.5703125" style="5" hidden="1" customWidth="1"/>
    <col min="66" max="66" width="19" style="180" bestFit="1" customWidth="1"/>
    <col min="67" max="67" width="23.42578125" style="549" bestFit="1" customWidth="1"/>
    <col min="68" max="68" width="21.42578125" style="192" bestFit="1" customWidth="1"/>
    <col min="69" max="69" width="19" style="193" bestFit="1" customWidth="1"/>
    <col min="70" max="70" width="21.42578125" style="192" bestFit="1" customWidth="1"/>
    <col min="71" max="71" width="19" style="268" bestFit="1" customWidth="1"/>
    <col min="72" max="72" width="21.42578125" style="271" bestFit="1" customWidth="1"/>
    <col min="73" max="73" width="19" style="544" bestFit="1" customWidth="1"/>
    <col min="74" max="74" width="21.42578125" style="361" bestFit="1" customWidth="1"/>
    <col min="75" max="75" width="19" style="362" bestFit="1" customWidth="1"/>
    <col min="76" max="76" width="21.28515625" style="226" bestFit="1" customWidth="1"/>
    <col min="77" max="77" width="15.42578125" style="248" customWidth="1"/>
    <col min="78" max="78" width="23.42578125" style="355" customWidth="1"/>
    <col min="79" max="79" width="19" style="355" bestFit="1" customWidth="1"/>
    <col min="80" max="81" width="8.85546875" style="5"/>
    <col min="82" max="82" width="21.28515625" style="226" bestFit="1" customWidth="1"/>
    <col min="83" max="83" width="15.42578125" style="248" customWidth="1"/>
    <col min="84" max="84" width="21.42578125" style="192" bestFit="1" customWidth="1"/>
    <col min="85" max="85" width="19" style="268" bestFit="1" customWidth="1"/>
    <col min="86" max="86" width="21.42578125" style="192" bestFit="1" customWidth="1"/>
    <col min="87" max="87" width="19" style="268" bestFit="1" customWidth="1"/>
    <col min="88" max="88" width="21.42578125" style="271" bestFit="1" customWidth="1"/>
    <col min="89" max="89" width="19" style="272" bestFit="1" customWidth="1"/>
    <col min="90" max="90" width="21.42578125" style="361" bestFit="1" customWidth="1"/>
    <col min="91" max="91" width="19" style="362" bestFit="1" customWidth="1"/>
    <col min="92" max="92" width="23.42578125" style="355" customWidth="1"/>
    <col min="93" max="93" width="19" style="355" bestFit="1" customWidth="1"/>
    <col min="94" max="94" width="10.85546875" style="5" bestFit="1" customWidth="1"/>
    <col min="95" max="16384" width="8.85546875" style="5"/>
  </cols>
  <sheetData>
    <row r="1" spans="1:94" ht="18.600000000000001">
      <c r="A1" s="10" t="s">
        <v>1079</v>
      </c>
      <c r="E1" s="5" t="s">
        <v>611</v>
      </c>
      <c r="G1" s="631">
        <v>592</v>
      </c>
      <c r="H1" s="5">
        <v>712</v>
      </c>
      <c r="I1" s="631">
        <v>846</v>
      </c>
      <c r="J1" s="5">
        <v>914</v>
      </c>
      <c r="K1" s="5">
        <v>915</v>
      </c>
      <c r="L1" s="5">
        <v>921</v>
      </c>
      <c r="M1" s="631">
        <v>941</v>
      </c>
      <c r="BB1" s="11"/>
      <c r="BN1" s="294"/>
      <c r="BO1" s="297"/>
      <c r="BP1" s="294"/>
      <c r="BQ1" s="297"/>
      <c r="BR1" s="294"/>
      <c r="BS1" s="294"/>
      <c r="BT1" s="294"/>
      <c r="BU1" s="297"/>
      <c r="BV1" s="294"/>
      <c r="BW1" s="294"/>
      <c r="BX1" s="294"/>
      <c r="BY1" s="294"/>
      <c r="BZ1" s="295"/>
      <c r="CA1" s="295"/>
      <c r="CB1" s="294"/>
      <c r="CC1" s="294"/>
      <c r="CD1" s="294"/>
      <c r="CE1" s="294"/>
      <c r="CF1" s="294"/>
      <c r="CG1" s="294"/>
      <c r="CH1" s="294"/>
      <c r="CI1" s="294"/>
      <c r="CJ1" s="294"/>
      <c r="CK1" s="294"/>
      <c r="CL1" s="294"/>
      <c r="CM1" s="294"/>
      <c r="CN1" s="295"/>
      <c r="CO1" s="295"/>
    </row>
    <row r="2" spans="1:94" s="81" customFormat="1" ht="59.25" customHeight="1">
      <c r="A2" s="102" t="s">
        <v>612</v>
      </c>
      <c r="B2" s="102" t="s">
        <v>613</v>
      </c>
      <c r="C2" s="102" t="s">
        <v>614</v>
      </c>
      <c r="D2" s="82" t="s">
        <v>615</v>
      </c>
      <c r="E2" s="82" t="s">
        <v>89</v>
      </c>
      <c r="F2" s="82" t="s">
        <v>270</v>
      </c>
      <c r="G2" s="82" t="s">
        <v>93</v>
      </c>
      <c r="H2" s="83" t="s">
        <v>83</v>
      </c>
      <c r="I2" s="83" t="s">
        <v>278</v>
      </c>
      <c r="J2" s="83" t="s">
        <v>85</v>
      </c>
      <c r="K2" s="83" t="s">
        <v>303</v>
      </c>
      <c r="L2" s="83" t="s">
        <v>150</v>
      </c>
      <c r="M2" s="83" t="s">
        <v>617</v>
      </c>
      <c r="N2" s="83" t="s">
        <v>79</v>
      </c>
      <c r="O2" s="83" t="s">
        <v>120</v>
      </c>
      <c r="P2" s="83" t="s">
        <v>191</v>
      </c>
      <c r="Q2" s="83" t="s">
        <v>226</v>
      </c>
      <c r="R2" s="82" t="s">
        <v>128</v>
      </c>
      <c r="S2" s="82" t="s">
        <v>284</v>
      </c>
      <c r="T2" s="82" t="s">
        <v>130</v>
      </c>
      <c r="U2" s="82" t="s">
        <v>239</v>
      </c>
      <c r="V2" s="82" t="s">
        <v>132</v>
      </c>
      <c r="W2" s="82" t="s">
        <v>81</v>
      </c>
      <c r="X2" s="82" t="s">
        <v>134</v>
      </c>
      <c r="Y2" s="82" t="s">
        <v>124</v>
      </c>
      <c r="Z2" s="82" t="s">
        <v>140</v>
      </c>
      <c r="AA2" s="82" t="s">
        <v>142</v>
      </c>
      <c r="AB2" s="82" t="s">
        <v>144</v>
      </c>
      <c r="AC2" s="82" t="s">
        <v>1080</v>
      </c>
      <c r="AD2" s="82" t="s">
        <v>221</v>
      </c>
      <c r="AE2" s="82" t="s">
        <v>223</v>
      </c>
      <c r="AF2" s="82" t="s">
        <v>146</v>
      </c>
      <c r="AG2" s="82" t="s">
        <v>101</v>
      </c>
      <c r="AH2" s="82" t="s">
        <v>312</v>
      </c>
      <c r="AI2" s="82" t="s">
        <v>99</v>
      </c>
      <c r="AJ2" s="82" t="s">
        <v>200</v>
      </c>
      <c r="AK2" s="84" t="s">
        <v>309</v>
      </c>
      <c r="AL2" s="82" t="s">
        <v>352</v>
      </c>
      <c r="AM2" s="82" t="s">
        <v>369</v>
      </c>
      <c r="AN2" s="82" t="s">
        <v>105</v>
      </c>
      <c r="AO2" s="83" t="s">
        <v>152</v>
      </c>
      <c r="AP2" s="83" t="s">
        <v>154</v>
      </c>
      <c r="AQ2" s="82" t="s">
        <v>539</v>
      </c>
      <c r="AR2" s="82" t="s">
        <v>107</v>
      </c>
      <c r="AS2" s="82" t="s">
        <v>157</v>
      </c>
      <c r="AT2" s="82" t="s">
        <v>159</v>
      </c>
      <c r="AU2" s="82" t="s">
        <v>298</v>
      </c>
      <c r="AV2" s="82" t="s">
        <v>111</v>
      </c>
      <c r="AW2" s="82" t="s">
        <v>1081</v>
      </c>
      <c r="AX2" s="82" t="s">
        <v>319</v>
      </c>
      <c r="AY2" s="89" t="s">
        <v>274</v>
      </c>
      <c r="AZ2" s="82" t="s">
        <v>161</v>
      </c>
      <c r="BA2" s="82" t="s">
        <v>657</v>
      </c>
      <c r="BB2" s="85" t="s">
        <v>289</v>
      </c>
      <c r="BC2" s="88" t="s">
        <v>612</v>
      </c>
      <c r="BD2" s="82" t="s">
        <v>621</v>
      </c>
      <c r="BE2" s="82" t="s">
        <v>622</v>
      </c>
      <c r="BF2" s="95" t="s">
        <v>623</v>
      </c>
      <c r="BG2" s="95" t="s">
        <v>624</v>
      </c>
      <c r="BH2" s="93" t="s">
        <v>625</v>
      </c>
      <c r="BI2" s="89" t="s">
        <v>626</v>
      </c>
      <c r="BJ2" s="89" t="s">
        <v>627</v>
      </c>
      <c r="BK2" s="89" t="s">
        <v>628</v>
      </c>
      <c r="BL2" s="89" t="s">
        <v>629</v>
      </c>
      <c r="BM2" s="140" t="s">
        <v>630</v>
      </c>
      <c r="BN2" s="300" t="s">
        <v>631</v>
      </c>
      <c r="BO2" s="546" t="s">
        <v>632</v>
      </c>
      <c r="BP2" s="364" t="s">
        <v>633</v>
      </c>
      <c r="BQ2" s="553" t="s">
        <v>634</v>
      </c>
      <c r="BR2" s="364" t="s">
        <v>635</v>
      </c>
      <c r="BS2" s="365" t="s">
        <v>636</v>
      </c>
      <c r="BT2" s="366" t="s">
        <v>637</v>
      </c>
      <c r="BU2" s="550" t="s">
        <v>638</v>
      </c>
      <c r="BV2" s="368" t="s">
        <v>639</v>
      </c>
      <c r="BW2" s="369" t="s">
        <v>640</v>
      </c>
      <c r="BX2" s="333" t="s">
        <v>641</v>
      </c>
      <c r="BY2" s="334" t="s">
        <v>642</v>
      </c>
      <c r="BZ2" s="370" t="s">
        <v>643</v>
      </c>
      <c r="CA2" s="371" t="s">
        <v>644</v>
      </c>
      <c r="CD2" s="333" t="s">
        <v>641</v>
      </c>
      <c r="CE2" s="334" t="s">
        <v>642</v>
      </c>
      <c r="CF2" s="364" t="s">
        <v>633</v>
      </c>
      <c r="CG2" s="365" t="s">
        <v>634</v>
      </c>
      <c r="CH2" s="364" t="s">
        <v>635</v>
      </c>
      <c r="CI2" s="365" t="s">
        <v>636</v>
      </c>
      <c r="CJ2" s="366" t="s">
        <v>637</v>
      </c>
      <c r="CK2" s="367" t="s">
        <v>638</v>
      </c>
      <c r="CL2" s="368" t="s">
        <v>639</v>
      </c>
      <c r="CM2" s="369" t="s">
        <v>640</v>
      </c>
      <c r="CN2" s="370" t="s">
        <v>645</v>
      </c>
      <c r="CO2" s="371" t="s">
        <v>646</v>
      </c>
    </row>
    <row r="3" spans="1:94" hidden="1">
      <c r="A3" s="9">
        <v>5</v>
      </c>
      <c r="B3" s="9">
        <v>713</v>
      </c>
      <c r="C3" s="9" t="s">
        <v>647</v>
      </c>
      <c r="D3" s="9"/>
      <c r="E3" s="9"/>
      <c r="F3" s="13"/>
      <c r="G3" s="13"/>
      <c r="H3" s="13"/>
      <c r="I3" s="13"/>
      <c r="J3" s="13"/>
      <c r="K3" s="13"/>
      <c r="L3" s="13"/>
      <c r="M3" s="9" t="s">
        <v>289</v>
      </c>
      <c r="N3" s="9"/>
      <c r="O3" s="9"/>
      <c r="P3" s="13"/>
      <c r="Q3" s="13"/>
      <c r="R3" s="13"/>
      <c r="S3" s="13"/>
      <c r="T3" s="9"/>
      <c r="U3" s="9"/>
      <c r="V3" s="13"/>
      <c r="W3" s="9"/>
      <c r="X3" s="13"/>
      <c r="Y3" s="9" t="s">
        <v>289</v>
      </c>
      <c r="Z3" s="9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9"/>
      <c r="AP3" s="13"/>
      <c r="AQ3" s="9"/>
      <c r="AR3" s="9"/>
      <c r="AS3" s="13"/>
      <c r="AT3" s="9" t="s">
        <v>289</v>
      </c>
      <c r="AU3" s="13"/>
      <c r="AV3" s="9" t="s">
        <v>289</v>
      </c>
      <c r="AW3" s="13"/>
      <c r="AX3" s="13"/>
      <c r="AY3" s="9" t="s">
        <v>289</v>
      </c>
      <c r="AZ3" s="13"/>
      <c r="BA3" s="13"/>
      <c r="BB3" s="13"/>
      <c r="BC3" s="9" t="s">
        <v>1082</v>
      </c>
      <c r="BD3" s="9"/>
      <c r="BE3" s="9"/>
      <c r="BF3" s="9"/>
      <c r="BG3" s="9"/>
      <c r="BH3" s="9"/>
      <c r="BI3" s="9"/>
      <c r="BJ3" s="9"/>
      <c r="BK3" s="9"/>
      <c r="BL3" s="9"/>
      <c r="BM3" s="141"/>
      <c r="BN3" s="437">
        <v>97468980</v>
      </c>
      <c r="BO3" s="438">
        <v>22860.32</v>
      </c>
      <c r="BP3" s="433">
        <v>97468720</v>
      </c>
      <c r="BQ3" s="434">
        <v>3769.37</v>
      </c>
      <c r="BR3" s="187"/>
      <c r="BS3" s="265"/>
      <c r="BT3" s="435">
        <v>97468696</v>
      </c>
      <c r="BU3" s="436">
        <v>488.25</v>
      </c>
      <c r="BV3" s="441">
        <v>97538629</v>
      </c>
      <c r="BW3" s="442">
        <v>128.52000000000001</v>
      </c>
      <c r="BX3" s="439">
        <v>97468980</v>
      </c>
      <c r="BY3" s="440">
        <v>11303.04</v>
      </c>
      <c r="BZ3" s="443">
        <v>97468980</v>
      </c>
      <c r="CA3" s="444">
        <f>BY3+BW3+BU3+BQ3+BO3</f>
        <v>38549.5</v>
      </c>
      <c r="CD3" s="219"/>
      <c r="CE3" s="225"/>
      <c r="CF3" s="187"/>
      <c r="CG3" s="188"/>
      <c r="CH3" s="187"/>
      <c r="CI3" s="188"/>
      <c r="CJ3" s="435"/>
      <c r="CK3" s="436"/>
      <c r="CL3" s="441"/>
      <c r="CM3" s="442"/>
      <c r="CN3" s="363"/>
      <c r="CO3" s="356">
        <f t="shared" ref="CO3:CO15" si="0">CE3+CG3+CI3</f>
        <v>0</v>
      </c>
    </row>
    <row r="4" spans="1:94" hidden="1">
      <c r="A4" s="7">
        <v>6</v>
      </c>
      <c r="B4" s="7">
        <v>914</v>
      </c>
      <c r="C4" s="7" t="s">
        <v>649</v>
      </c>
      <c r="D4" s="7">
        <v>2</v>
      </c>
      <c r="E4" s="7">
        <v>1</v>
      </c>
      <c r="F4" s="13"/>
      <c r="G4" s="13"/>
      <c r="H4" s="7"/>
      <c r="I4" s="13"/>
      <c r="J4" s="13"/>
      <c r="K4" s="13"/>
      <c r="L4" s="13"/>
      <c r="M4" s="7" t="s">
        <v>650</v>
      </c>
      <c r="N4" s="7"/>
      <c r="O4" s="13"/>
      <c r="P4" s="13"/>
      <c r="Q4" s="7"/>
      <c r="R4" s="13"/>
      <c r="S4" s="13"/>
      <c r="T4" s="7" t="s">
        <v>650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7"/>
      <c r="AS4" s="13"/>
      <c r="AT4" s="7" t="s">
        <v>650</v>
      </c>
      <c r="AU4" s="13"/>
      <c r="AV4" s="7" t="s">
        <v>650</v>
      </c>
      <c r="AW4" s="13"/>
      <c r="AX4" s="13"/>
      <c r="AY4" s="13"/>
      <c r="AZ4" s="13"/>
      <c r="BA4" s="13"/>
      <c r="BB4" s="13"/>
      <c r="BC4" s="7" t="s">
        <v>1083</v>
      </c>
      <c r="BD4" s="7"/>
      <c r="BE4" s="7"/>
      <c r="BF4" s="7"/>
      <c r="BG4" s="7"/>
      <c r="BH4" s="7"/>
      <c r="BI4" s="7"/>
      <c r="BJ4" s="7"/>
      <c r="BK4" s="7"/>
      <c r="BL4" s="7"/>
      <c r="BM4" s="103"/>
      <c r="BN4" s="437">
        <v>97468995</v>
      </c>
      <c r="BO4" s="438">
        <v>21395.59</v>
      </c>
      <c r="BP4" s="433">
        <v>97468768</v>
      </c>
      <c r="BQ4" s="434">
        <v>1539.28</v>
      </c>
      <c r="BR4" s="187"/>
      <c r="BS4" s="265"/>
      <c r="BT4" s="435">
        <v>97468745</v>
      </c>
      <c r="BU4" s="436">
        <v>488.25</v>
      </c>
      <c r="BV4" s="441">
        <v>97538638</v>
      </c>
      <c r="BW4" s="442">
        <v>128.52000000000001</v>
      </c>
      <c r="BX4" s="439">
        <v>97468995</v>
      </c>
      <c r="BY4" s="440">
        <v>12116.8</v>
      </c>
      <c r="BZ4" s="443">
        <v>97468995</v>
      </c>
      <c r="CA4" s="444">
        <f>BY4+BW4+BU4+BQ4+BO4</f>
        <v>35668.44</v>
      </c>
      <c r="CD4" s="439"/>
      <c r="CE4" s="440"/>
      <c r="CF4" s="433"/>
      <c r="CG4" s="434"/>
      <c r="CH4" s="433"/>
      <c r="CI4" s="434"/>
      <c r="CJ4" s="435"/>
      <c r="CK4" s="436"/>
      <c r="CL4" s="441"/>
      <c r="CM4" s="442"/>
      <c r="CN4" s="363"/>
      <c r="CO4" s="356">
        <f t="shared" si="0"/>
        <v>0</v>
      </c>
    </row>
    <row r="5" spans="1:94" ht="14.25" hidden="1" customHeight="1">
      <c r="A5" s="9">
        <v>7</v>
      </c>
      <c r="B5" s="9">
        <v>712</v>
      </c>
      <c r="C5" s="9" t="s">
        <v>648</v>
      </c>
      <c r="D5" s="9">
        <v>2</v>
      </c>
      <c r="E5" s="13"/>
      <c r="F5" s="9"/>
      <c r="G5" s="13"/>
      <c r="H5" s="13"/>
      <c r="I5" s="13"/>
      <c r="J5" s="13"/>
      <c r="K5" s="13"/>
      <c r="L5" s="13"/>
      <c r="M5" s="9"/>
      <c r="N5" s="9"/>
      <c r="O5" s="9"/>
      <c r="P5" s="13"/>
      <c r="Q5" s="13"/>
      <c r="R5" s="13"/>
      <c r="S5" s="13"/>
      <c r="T5" s="13"/>
      <c r="U5" s="9"/>
      <c r="V5" s="13"/>
      <c r="W5" s="9"/>
      <c r="X5" s="13"/>
      <c r="Y5" s="9"/>
      <c r="Z5" s="9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9"/>
      <c r="AP5" s="13"/>
      <c r="AQ5" s="13"/>
      <c r="AR5" s="9"/>
      <c r="AS5" s="13"/>
      <c r="AT5" s="9"/>
      <c r="AU5" s="13"/>
      <c r="AV5" s="9"/>
      <c r="AW5" s="13"/>
      <c r="AX5" s="13"/>
      <c r="AY5" s="9"/>
      <c r="AZ5" s="13"/>
      <c r="BA5" s="13"/>
      <c r="BB5" s="13"/>
      <c r="BC5" s="9" t="s">
        <v>1084</v>
      </c>
      <c r="BD5" s="9"/>
      <c r="BE5" s="50"/>
      <c r="BF5" s="50"/>
      <c r="BG5" s="50"/>
      <c r="BH5" s="50"/>
      <c r="BI5" s="50"/>
      <c r="BJ5" s="9"/>
      <c r="BK5" s="9"/>
      <c r="BL5" s="9"/>
      <c r="BM5" s="141"/>
      <c r="BN5" s="437">
        <v>97192181</v>
      </c>
      <c r="BO5" s="438">
        <v>18522.689999999999</v>
      </c>
      <c r="BP5" s="433">
        <v>97192155</v>
      </c>
      <c r="BQ5" s="434">
        <v>689.78</v>
      </c>
      <c r="BR5" s="187" t="s">
        <v>289</v>
      </c>
      <c r="BS5" s="188" t="s">
        <v>289</v>
      </c>
      <c r="BT5" s="435">
        <v>97192128</v>
      </c>
      <c r="BU5" s="436">
        <v>488.25</v>
      </c>
      <c r="BV5" s="441">
        <v>97538649</v>
      </c>
      <c r="BW5" s="442">
        <v>128.52000000000001</v>
      </c>
      <c r="BX5" s="439">
        <v>97192181</v>
      </c>
      <c r="BY5" s="440">
        <v>10888.11</v>
      </c>
      <c r="BZ5" s="363">
        <v>97192181</v>
      </c>
      <c r="CA5" s="356">
        <f t="shared" ref="CA5" si="1">BY5+BW5+BU5+BQ5+BO5</f>
        <v>30717.35</v>
      </c>
      <c r="CD5" s="439"/>
      <c r="CE5" s="440"/>
      <c r="CF5" s="433"/>
      <c r="CG5" s="434"/>
      <c r="CH5" s="433"/>
      <c r="CI5" s="434"/>
      <c r="CJ5" s="435"/>
      <c r="CK5" s="436"/>
      <c r="CL5" s="441"/>
      <c r="CM5" s="442"/>
      <c r="CN5" s="363"/>
      <c r="CO5" s="356">
        <f t="shared" si="0"/>
        <v>0</v>
      </c>
    </row>
    <row r="6" spans="1:94" hidden="1">
      <c r="A6" s="7">
        <v>8</v>
      </c>
      <c r="B6" s="7">
        <v>915</v>
      </c>
      <c r="C6" s="7" t="s">
        <v>647</v>
      </c>
      <c r="D6" s="7">
        <v>2</v>
      </c>
      <c r="E6" s="7">
        <v>1</v>
      </c>
      <c r="F6" s="13"/>
      <c r="G6" s="13"/>
      <c r="H6" s="9"/>
      <c r="I6" s="13"/>
      <c r="J6" s="13"/>
      <c r="K6" s="13"/>
      <c r="L6" s="13"/>
      <c r="M6" s="9" t="s">
        <v>650</v>
      </c>
      <c r="N6" s="13"/>
      <c r="O6" s="9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9" t="s">
        <v>650</v>
      </c>
      <c r="AG6" s="13"/>
      <c r="AH6" s="13"/>
      <c r="AI6" s="13"/>
      <c r="AJ6" s="13"/>
      <c r="AK6" s="13"/>
      <c r="AL6" s="13"/>
      <c r="AM6" s="13"/>
      <c r="AN6" s="13"/>
      <c r="AO6" s="13"/>
      <c r="AP6" s="9"/>
      <c r="AQ6" s="13"/>
      <c r="AR6" s="9"/>
      <c r="AS6" s="13"/>
      <c r="AT6" s="13"/>
      <c r="AU6" s="9" t="s">
        <v>650</v>
      </c>
      <c r="AV6" s="13"/>
      <c r="AW6" s="13"/>
      <c r="AX6" s="13"/>
      <c r="AY6" s="13"/>
      <c r="AZ6" s="9" t="s">
        <v>650</v>
      </c>
      <c r="BA6" s="13"/>
      <c r="BB6" s="13"/>
      <c r="BC6" s="409" t="s">
        <v>1085</v>
      </c>
      <c r="BD6" s="7"/>
      <c r="BE6" s="7"/>
      <c r="BF6" s="7"/>
      <c r="BG6" s="7"/>
      <c r="BH6" s="7"/>
      <c r="BI6" s="7"/>
      <c r="BJ6" s="7"/>
      <c r="BK6" s="7"/>
      <c r="BL6" s="7"/>
      <c r="BM6" s="103"/>
      <c r="BN6" s="437">
        <v>98142203</v>
      </c>
      <c r="BO6" s="438">
        <v>16329.97</v>
      </c>
      <c r="BP6" s="433">
        <v>98141984</v>
      </c>
      <c r="BQ6" s="434">
        <v>90.64</v>
      </c>
      <c r="BR6" s="433">
        <v>98141961</v>
      </c>
      <c r="BS6" s="489">
        <v>351.4</v>
      </c>
      <c r="BT6" s="435">
        <v>98141921</v>
      </c>
      <c r="BU6" s="436">
        <v>488.25</v>
      </c>
      <c r="BV6" s="441">
        <v>98141970</v>
      </c>
      <c r="BW6" s="442">
        <v>128.52000000000001</v>
      </c>
      <c r="BX6" s="219"/>
      <c r="BY6" s="247"/>
      <c r="BZ6" s="443">
        <v>98142203</v>
      </c>
      <c r="CA6" s="444">
        <f>BW6+BU6+BS6+BQ6+BO6</f>
        <v>17388.78</v>
      </c>
      <c r="CD6" s="439">
        <v>98142203</v>
      </c>
      <c r="CE6" s="492">
        <v>9343.52</v>
      </c>
      <c r="CF6" s="187"/>
      <c r="CG6" s="267"/>
      <c r="CH6" s="187"/>
      <c r="CI6" s="267"/>
      <c r="CJ6" s="269"/>
      <c r="CK6" s="526"/>
      <c r="CL6" s="358"/>
      <c r="CM6" s="360"/>
      <c r="CN6" s="443">
        <v>98142203</v>
      </c>
      <c r="CO6" s="444">
        <f>CE6+CG6+CI6</f>
        <v>9343.52</v>
      </c>
    </row>
    <row r="7" spans="1:94" hidden="1">
      <c r="A7" s="9">
        <v>9</v>
      </c>
      <c r="B7" s="9">
        <v>713</v>
      </c>
      <c r="C7" s="9" t="s">
        <v>649</v>
      </c>
      <c r="D7" s="9">
        <v>2</v>
      </c>
      <c r="E7" s="9" t="s">
        <v>650</v>
      </c>
      <c r="F7" s="13"/>
      <c r="G7" s="13"/>
      <c r="H7" s="13"/>
      <c r="I7" s="13"/>
      <c r="J7" s="13"/>
      <c r="K7" s="13"/>
      <c r="L7" s="13"/>
      <c r="M7" s="9" t="s">
        <v>650</v>
      </c>
      <c r="N7" s="9"/>
      <c r="O7" s="9"/>
      <c r="P7" s="13"/>
      <c r="Q7" s="13"/>
      <c r="R7" s="13"/>
      <c r="S7" s="13"/>
      <c r="T7" s="9" t="s">
        <v>650</v>
      </c>
      <c r="U7" s="9"/>
      <c r="V7" s="13"/>
      <c r="W7" s="9"/>
      <c r="X7" s="13"/>
      <c r="Y7" s="9" t="s">
        <v>650</v>
      </c>
      <c r="Z7" s="9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50" t="s">
        <v>650</v>
      </c>
      <c r="AP7" s="13"/>
      <c r="AQ7" s="50" t="s">
        <v>650</v>
      </c>
      <c r="AR7" s="9"/>
      <c r="AS7" s="13"/>
      <c r="AT7" s="50" t="s">
        <v>650</v>
      </c>
      <c r="AU7" s="13"/>
      <c r="AV7" s="50" t="s">
        <v>650</v>
      </c>
      <c r="AW7" s="13"/>
      <c r="AX7" s="13"/>
      <c r="AY7" s="50" t="s">
        <v>650</v>
      </c>
      <c r="AZ7" s="13"/>
      <c r="BA7" s="13"/>
      <c r="BB7" s="13"/>
      <c r="BC7" s="410" t="s">
        <v>1086</v>
      </c>
      <c r="BD7" s="9"/>
      <c r="BE7" s="9"/>
      <c r="BF7" s="9"/>
      <c r="BG7" s="9"/>
      <c r="BH7" s="9"/>
      <c r="BI7" s="9"/>
      <c r="BJ7" s="9"/>
      <c r="BK7" s="9"/>
      <c r="BL7" s="9"/>
      <c r="BM7" s="141"/>
      <c r="BN7" s="437">
        <v>98142218</v>
      </c>
      <c r="BO7" s="596">
        <v>21648.9</v>
      </c>
      <c r="BP7" s="433">
        <v>98142028</v>
      </c>
      <c r="BQ7" s="434">
        <v>4412.6899999999996</v>
      </c>
      <c r="BR7" s="187"/>
      <c r="BS7" s="265"/>
      <c r="BT7" s="269"/>
      <c r="BU7" s="301"/>
      <c r="BV7" s="358"/>
      <c r="BW7" s="535"/>
      <c r="BX7" s="219"/>
      <c r="BY7" s="247"/>
      <c r="BZ7" s="443">
        <v>98142218</v>
      </c>
      <c r="CA7" s="444">
        <f>BW7+BU7+BQ7+BO7</f>
        <v>26061.59</v>
      </c>
      <c r="CD7" s="439">
        <v>98142218</v>
      </c>
      <c r="CE7" s="599">
        <v>11390.3</v>
      </c>
      <c r="CF7" s="433">
        <v>98576242</v>
      </c>
      <c r="CG7" s="489">
        <v>1513.44</v>
      </c>
      <c r="CH7" s="187"/>
      <c r="CI7" s="267"/>
      <c r="CJ7" s="435">
        <v>98141992</v>
      </c>
      <c r="CK7" s="539">
        <v>488.25</v>
      </c>
      <c r="CL7" s="441">
        <v>98142051</v>
      </c>
      <c r="CM7" s="491">
        <v>128.52000000000001</v>
      </c>
      <c r="CN7" s="443">
        <v>98142218</v>
      </c>
      <c r="CO7" s="444">
        <f>CE7+CG7+CI7+CK7+CM7</f>
        <v>13520.51</v>
      </c>
    </row>
    <row r="8" spans="1:94" hidden="1">
      <c r="A8" s="7">
        <v>10</v>
      </c>
      <c r="B8" s="7">
        <v>914</v>
      </c>
      <c r="C8" s="7" t="s">
        <v>648</v>
      </c>
      <c r="D8" s="7">
        <v>2</v>
      </c>
      <c r="E8" s="7">
        <v>1</v>
      </c>
      <c r="F8" s="13"/>
      <c r="G8" s="13"/>
      <c r="H8" s="7"/>
      <c r="I8" s="13"/>
      <c r="J8" s="13"/>
      <c r="K8" s="13"/>
      <c r="L8" s="13"/>
      <c r="M8" s="7" t="s">
        <v>650</v>
      </c>
      <c r="N8" s="7"/>
      <c r="O8" s="13"/>
      <c r="P8" s="13"/>
      <c r="Q8" s="7"/>
      <c r="R8" s="13"/>
      <c r="S8" s="13"/>
      <c r="T8" s="7" t="s">
        <v>650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7"/>
      <c r="AS8" s="13"/>
      <c r="AT8" s="7" t="s">
        <v>650</v>
      </c>
      <c r="AU8" s="13"/>
      <c r="AV8" s="7" t="s">
        <v>650</v>
      </c>
      <c r="AW8" s="13"/>
      <c r="AX8" s="13"/>
      <c r="AY8" s="13"/>
      <c r="AZ8" s="13"/>
      <c r="BA8" s="13"/>
      <c r="BB8" s="13"/>
      <c r="BC8" s="409" t="s">
        <v>1087</v>
      </c>
      <c r="BD8" s="7"/>
      <c r="BE8" s="7"/>
      <c r="BF8" s="7"/>
      <c r="BG8" s="7"/>
      <c r="BH8" s="7"/>
      <c r="BI8" s="7"/>
      <c r="BJ8" s="7"/>
      <c r="BK8" s="7"/>
      <c r="BL8" s="7"/>
      <c r="BM8" s="103"/>
      <c r="BN8" s="437">
        <v>98142283</v>
      </c>
      <c r="BO8" s="597">
        <v>19881.3</v>
      </c>
      <c r="BP8" s="433">
        <v>98142254</v>
      </c>
      <c r="BQ8" s="434">
        <v>1258.68</v>
      </c>
      <c r="BR8" s="187"/>
      <c r="BS8" s="265"/>
      <c r="BT8" s="435">
        <v>98142231</v>
      </c>
      <c r="BU8" s="436">
        <v>488.25</v>
      </c>
      <c r="BV8" s="441"/>
      <c r="BW8" s="491">
        <v>128.52000000000001</v>
      </c>
      <c r="BX8" s="219"/>
      <c r="BY8" s="247"/>
      <c r="BZ8" s="443">
        <v>98142283</v>
      </c>
      <c r="CA8" s="444">
        <f>BW8+BU8+BQ8+BO8</f>
        <v>21756.75</v>
      </c>
      <c r="CD8" s="439">
        <v>98142283</v>
      </c>
      <c r="CE8" s="492">
        <v>12272.09</v>
      </c>
      <c r="CF8" s="187"/>
      <c r="CG8" s="265"/>
      <c r="CH8" s="187"/>
      <c r="CI8" s="265"/>
      <c r="CJ8" s="435"/>
      <c r="CK8" s="539"/>
      <c r="CL8" s="441"/>
      <c r="CM8" s="491"/>
      <c r="CN8" s="443">
        <v>98142283</v>
      </c>
      <c r="CO8" s="444">
        <f t="shared" si="0"/>
        <v>12272.09</v>
      </c>
    </row>
    <row r="9" spans="1:94" hidden="1">
      <c r="A9" s="9">
        <v>11</v>
      </c>
      <c r="B9" s="9">
        <v>712</v>
      </c>
      <c r="C9" s="9" t="s">
        <v>647</v>
      </c>
      <c r="D9" s="9">
        <v>2</v>
      </c>
      <c r="E9" s="13"/>
      <c r="F9" s="9"/>
      <c r="G9" s="13"/>
      <c r="H9" s="13"/>
      <c r="I9" s="13"/>
      <c r="J9" s="13"/>
      <c r="K9" s="13"/>
      <c r="L9" s="13"/>
      <c r="M9" s="9" t="s">
        <v>650</v>
      </c>
      <c r="N9" s="9"/>
      <c r="O9" s="9"/>
      <c r="P9" s="13"/>
      <c r="Q9" s="13"/>
      <c r="R9" s="13"/>
      <c r="S9" s="13"/>
      <c r="T9" s="13"/>
      <c r="U9" s="9"/>
      <c r="V9" s="13"/>
      <c r="W9" s="9"/>
      <c r="X9" s="13"/>
      <c r="Y9" s="9" t="s">
        <v>650</v>
      </c>
      <c r="Z9" s="9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9"/>
      <c r="AP9" s="13"/>
      <c r="AQ9" s="13"/>
      <c r="AR9" s="9"/>
      <c r="AS9" s="13"/>
      <c r="AT9" s="9" t="s">
        <v>650</v>
      </c>
      <c r="AU9" s="13"/>
      <c r="AV9" s="9" t="s">
        <v>650</v>
      </c>
      <c r="AW9" s="13"/>
      <c r="AX9" s="13"/>
      <c r="AY9" s="9" t="s">
        <v>650</v>
      </c>
      <c r="AZ9" s="13"/>
      <c r="BA9" s="13"/>
      <c r="BB9" s="13"/>
      <c r="BC9" s="9" t="s">
        <v>1088</v>
      </c>
      <c r="BD9" s="9"/>
      <c r="BE9" s="9"/>
      <c r="BF9" s="9"/>
      <c r="BG9" s="9"/>
      <c r="BH9" s="9"/>
      <c r="BI9" s="9"/>
      <c r="BJ9" s="9"/>
      <c r="BK9" s="9"/>
      <c r="BL9" s="9"/>
      <c r="BM9" s="141"/>
      <c r="BN9" s="437">
        <v>97343012</v>
      </c>
      <c r="BO9" s="438">
        <v>19292.87</v>
      </c>
      <c r="BP9" s="187"/>
      <c r="BQ9" s="188"/>
      <c r="BR9" s="433">
        <v>97342694</v>
      </c>
      <c r="BS9" s="434">
        <v>-3231.9</v>
      </c>
      <c r="BT9" s="435">
        <v>97342659</v>
      </c>
      <c r="BU9" s="436">
        <v>488.25</v>
      </c>
      <c r="BV9" s="441">
        <v>97538819</v>
      </c>
      <c r="BW9" s="442">
        <v>128.52000000000001</v>
      </c>
      <c r="BX9" s="439">
        <v>97343012</v>
      </c>
      <c r="BY9" s="440">
        <v>10176.030000000001</v>
      </c>
      <c r="BZ9" s="443">
        <v>97343012</v>
      </c>
      <c r="CA9" s="444">
        <f>BY9+BW9+BU9+BO9+BS9+BQ9</f>
        <v>26853.769999999997</v>
      </c>
      <c r="CD9" s="439"/>
      <c r="CE9" s="440"/>
      <c r="CF9" s="187"/>
      <c r="CG9" s="265"/>
      <c r="CH9" s="187"/>
      <c r="CI9" s="265"/>
      <c r="CJ9" s="435"/>
      <c r="CK9" s="436"/>
      <c r="CL9" s="441"/>
      <c r="CM9" s="442"/>
      <c r="CN9" s="443"/>
      <c r="CO9" s="356">
        <f t="shared" si="0"/>
        <v>0</v>
      </c>
    </row>
    <row r="10" spans="1:94" ht="15" hidden="1" customHeight="1">
      <c r="A10" s="7">
        <v>12</v>
      </c>
      <c r="B10" s="7">
        <v>921</v>
      </c>
      <c r="C10" s="7" t="s">
        <v>649</v>
      </c>
      <c r="D10" s="7">
        <v>2</v>
      </c>
      <c r="E10" s="7" t="s">
        <v>1038</v>
      </c>
      <c r="F10" s="7"/>
      <c r="G10" s="408"/>
      <c r="H10" s="408"/>
      <c r="I10" s="408"/>
      <c r="J10" s="408"/>
      <c r="K10" s="408"/>
      <c r="L10" s="408"/>
      <c r="M10" s="7"/>
      <c r="N10" s="13"/>
      <c r="O10" s="7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7"/>
      <c r="AS10" s="13"/>
      <c r="AT10" s="7" t="s">
        <v>650</v>
      </c>
      <c r="AU10" s="13"/>
      <c r="AV10" s="13"/>
      <c r="AW10" s="13"/>
      <c r="AX10" s="13"/>
      <c r="AY10" s="13"/>
      <c r="AZ10" s="13"/>
      <c r="BA10" s="13"/>
      <c r="BB10" s="13"/>
      <c r="BC10" s="7" t="s">
        <v>1089</v>
      </c>
      <c r="BD10" s="7"/>
      <c r="BE10" s="7"/>
      <c r="BF10" s="7"/>
      <c r="BG10" s="7"/>
      <c r="BH10" s="7"/>
      <c r="BI10" s="7"/>
      <c r="BJ10" s="7"/>
      <c r="BK10" s="7"/>
      <c r="BL10" s="7"/>
      <c r="BM10" s="103"/>
      <c r="BN10" s="437">
        <v>97873188</v>
      </c>
      <c r="BO10" s="438">
        <v>17330.400000000001</v>
      </c>
      <c r="BP10" s="187"/>
      <c r="BQ10" s="188"/>
      <c r="BR10" s="187"/>
      <c r="BS10" s="188"/>
      <c r="BT10" s="435">
        <v>97873144</v>
      </c>
      <c r="BU10" s="436">
        <v>488.25</v>
      </c>
      <c r="BV10" s="358"/>
      <c r="BW10" s="360"/>
      <c r="BX10" s="219"/>
      <c r="BY10" s="225"/>
      <c r="BZ10" s="443">
        <v>97873188</v>
      </c>
      <c r="CA10" s="444">
        <f>BY10+BW10+BU10+BO10+BS10+BQ10</f>
        <v>17818.650000000001</v>
      </c>
      <c r="CD10" s="439">
        <v>97873188</v>
      </c>
      <c r="CE10" s="440">
        <v>7955.05</v>
      </c>
      <c r="CF10" s="433">
        <v>97873169</v>
      </c>
      <c r="CG10" s="434">
        <v>242.83</v>
      </c>
      <c r="CH10" s="433"/>
      <c r="CI10" s="434"/>
      <c r="CJ10" s="435"/>
      <c r="CK10" s="436"/>
      <c r="CL10" s="358"/>
      <c r="CM10" s="360"/>
      <c r="CN10" s="363" t="s">
        <v>1090</v>
      </c>
      <c r="CO10" s="356">
        <f t="shared" si="0"/>
        <v>8197.880000000001</v>
      </c>
      <c r="CP10" s="504">
        <f>CO10+CA10</f>
        <v>26016.530000000002</v>
      </c>
    </row>
    <row r="11" spans="1:94" s="158" customFormat="1" hidden="1">
      <c r="A11" s="410">
        <v>13</v>
      </c>
      <c r="B11" s="410">
        <v>712</v>
      </c>
      <c r="C11" s="410" t="s">
        <v>648</v>
      </c>
      <c r="D11" s="410">
        <v>2</v>
      </c>
      <c r="E11" s="410"/>
      <c r="F11" s="410"/>
      <c r="G11" s="410"/>
      <c r="H11" s="410"/>
      <c r="I11" s="410"/>
      <c r="J11" s="410"/>
      <c r="K11" s="410"/>
      <c r="L11" s="410"/>
      <c r="M11" s="410" t="s">
        <v>650</v>
      </c>
      <c r="N11" s="410"/>
      <c r="O11" s="410"/>
      <c r="P11" s="410"/>
      <c r="Q11" s="410"/>
      <c r="R11" s="410"/>
      <c r="S11" s="410"/>
      <c r="T11" s="410"/>
      <c r="U11" s="410"/>
      <c r="V11" s="410"/>
      <c r="W11" s="410"/>
      <c r="X11" s="410"/>
      <c r="Y11" s="410"/>
      <c r="Z11" s="410"/>
      <c r="AA11" s="410"/>
      <c r="AB11" s="410"/>
      <c r="AC11" s="410"/>
      <c r="AD11" s="410"/>
      <c r="AE11" s="410"/>
      <c r="AF11" s="410"/>
      <c r="AG11" s="410"/>
      <c r="AH11" s="410"/>
      <c r="AI11" s="410"/>
      <c r="AJ11" s="410"/>
      <c r="AK11" s="410"/>
      <c r="AL11" s="410"/>
      <c r="AM11" s="410"/>
      <c r="AN11" s="410"/>
      <c r="AO11" s="410" t="s">
        <v>650</v>
      </c>
      <c r="AP11" s="410"/>
      <c r="AQ11" s="410"/>
      <c r="AR11" s="410"/>
      <c r="AS11" s="410"/>
      <c r="AT11" s="410" t="s">
        <v>650</v>
      </c>
      <c r="AU11" s="410"/>
      <c r="AV11" s="410" t="s">
        <v>650</v>
      </c>
      <c r="AW11" s="410"/>
      <c r="AX11" s="410"/>
      <c r="AY11" s="410"/>
      <c r="AZ11" s="410"/>
      <c r="BA11" s="410"/>
      <c r="BB11" s="632"/>
      <c r="BC11" s="410" t="s">
        <v>1091</v>
      </c>
      <c r="BD11" s="410"/>
      <c r="BE11" s="410"/>
      <c r="BF11" s="410"/>
      <c r="BG11" s="410"/>
      <c r="BH11" s="410"/>
      <c r="BI11" s="410"/>
      <c r="BJ11" s="410"/>
      <c r="BK11" s="410"/>
      <c r="BL11" s="410"/>
      <c r="BM11" s="656"/>
      <c r="BN11" s="840">
        <v>250112</v>
      </c>
      <c r="BO11" s="841">
        <v>17843.900000000001</v>
      </c>
      <c r="BP11" s="842">
        <v>249915</v>
      </c>
      <c r="BQ11" s="843">
        <v>994.39</v>
      </c>
      <c r="BR11" s="433"/>
      <c r="BS11" s="633"/>
      <c r="BT11" s="435"/>
      <c r="BU11" s="436"/>
      <c r="BV11" s="441"/>
      <c r="BW11" s="634"/>
      <c r="BX11" s="439">
        <v>250112</v>
      </c>
      <c r="BY11" s="492">
        <v>10472.200000000001</v>
      </c>
      <c r="BZ11" s="443">
        <f>BN11</f>
        <v>250112</v>
      </c>
      <c r="CA11" s="444">
        <f t="shared" ref="CA11:CA16" si="2">BY11+BW11+BU11+BS11+BQ11+BO11</f>
        <v>29310.49</v>
      </c>
      <c r="CD11" s="439"/>
      <c r="CE11" s="440"/>
      <c r="CF11" s="433"/>
      <c r="CG11" s="633"/>
      <c r="CH11" s="433"/>
      <c r="CI11" s="633"/>
      <c r="CJ11" s="435"/>
      <c r="CK11" s="779"/>
      <c r="CL11" s="441"/>
      <c r="CM11" s="634"/>
      <c r="CN11" s="443"/>
      <c r="CO11" s="444">
        <f t="shared" si="0"/>
        <v>0</v>
      </c>
    </row>
    <row r="12" spans="1:94" s="158" customFormat="1">
      <c r="A12" s="409">
        <v>14</v>
      </c>
      <c r="B12" s="409">
        <v>846</v>
      </c>
      <c r="C12" s="409" t="s">
        <v>648</v>
      </c>
      <c r="D12" s="409">
        <v>2</v>
      </c>
      <c r="E12" s="409">
        <v>2</v>
      </c>
      <c r="F12" s="409"/>
      <c r="G12" s="409"/>
      <c r="H12" s="409"/>
      <c r="I12" s="409"/>
      <c r="J12" s="409"/>
      <c r="K12" s="409"/>
      <c r="L12" s="409"/>
      <c r="M12" s="409"/>
      <c r="N12" s="409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09"/>
      <c r="Z12" s="409"/>
      <c r="AA12" s="409"/>
      <c r="AB12" s="409"/>
      <c r="AC12" s="409"/>
      <c r="AD12" s="409"/>
      <c r="AE12" s="409"/>
      <c r="AF12" s="409"/>
      <c r="AG12" s="409"/>
      <c r="AH12" s="409"/>
      <c r="AI12" s="409" t="s">
        <v>650</v>
      </c>
      <c r="AJ12" s="409"/>
      <c r="AK12" s="409"/>
      <c r="AL12" s="409"/>
      <c r="AM12" s="409"/>
      <c r="AN12" s="409"/>
      <c r="AO12" s="409" t="s">
        <v>650</v>
      </c>
      <c r="AP12" s="409"/>
      <c r="AQ12" s="409"/>
      <c r="AR12" s="409"/>
      <c r="AS12" s="409"/>
      <c r="AT12" s="409" t="s">
        <v>650</v>
      </c>
      <c r="AU12" s="409"/>
      <c r="AV12" s="409" t="s">
        <v>650</v>
      </c>
      <c r="AW12" s="409"/>
      <c r="AX12" s="409"/>
      <c r="AY12" s="409"/>
      <c r="AZ12" s="409"/>
      <c r="BA12" s="409"/>
      <c r="BB12" s="632"/>
      <c r="BC12" s="409" t="s">
        <v>1092</v>
      </c>
      <c r="BD12" s="409"/>
      <c r="BE12" s="409"/>
      <c r="BF12" s="409"/>
      <c r="BG12" s="409"/>
      <c r="BH12" s="409"/>
      <c r="BI12" s="409"/>
      <c r="BJ12" s="409"/>
      <c r="BK12" s="409"/>
      <c r="BL12" s="409"/>
      <c r="BM12" s="557"/>
      <c r="BN12" s="437">
        <v>250132</v>
      </c>
      <c r="BO12" s="438">
        <v>21138.89</v>
      </c>
      <c r="BP12" s="842">
        <v>249967</v>
      </c>
      <c r="BQ12" s="843">
        <v>4398.24</v>
      </c>
      <c r="BR12" s="433"/>
      <c r="BS12" s="633"/>
      <c r="BT12" s="435"/>
      <c r="BU12" s="436"/>
      <c r="BV12" s="441"/>
      <c r="BW12" s="634"/>
      <c r="BX12" s="846">
        <v>250132</v>
      </c>
      <c r="BY12" s="847">
        <v>11431.73</v>
      </c>
      <c r="BZ12" s="443">
        <f>BN12</f>
        <v>250132</v>
      </c>
      <c r="CA12" s="444">
        <f t="shared" si="2"/>
        <v>36968.86</v>
      </c>
      <c r="CD12" s="439"/>
      <c r="CE12" s="440"/>
      <c r="CF12" s="433"/>
      <c r="CG12" s="633"/>
      <c r="CH12" s="433"/>
      <c r="CI12" s="633"/>
      <c r="CJ12" s="435"/>
      <c r="CK12" s="779"/>
      <c r="CL12" s="441"/>
      <c r="CM12" s="634"/>
      <c r="CN12" s="443"/>
      <c r="CO12" s="444">
        <f t="shared" si="0"/>
        <v>0</v>
      </c>
    </row>
    <row r="13" spans="1:94" s="158" customFormat="1" hidden="1">
      <c r="A13" s="410">
        <v>15</v>
      </c>
      <c r="B13" s="410">
        <v>592</v>
      </c>
      <c r="C13" s="410" t="s">
        <v>649</v>
      </c>
      <c r="D13" s="410">
        <v>2</v>
      </c>
      <c r="E13" s="410"/>
      <c r="F13" s="410"/>
      <c r="G13" s="410"/>
      <c r="H13" s="410"/>
      <c r="I13" s="410"/>
      <c r="J13" s="410"/>
      <c r="K13" s="410"/>
      <c r="L13" s="410"/>
      <c r="M13" s="410" t="s">
        <v>650</v>
      </c>
      <c r="N13" s="410"/>
      <c r="O13" s="410"/>
      <c r="P13" s="410"/>
      <c r="Q13" s="410"/>
      <c r="R13" s="410"/>
      <c r="S13" s="410"/>
      <c r="T13" s="410" t="s">
        <v>650</v>
      </c>
      <c r="U13" s="410"/>
      <c r="V13" s="410"/>
      <c r="W13" s="410"/>
      <c r="X13" s="410"/>
      <c r="Y13" s="410"/>
      <c r="Z13" s="410"/>
      <c r="AA13" s="410"/>
      <c r="AB13" s="410"/>
      <c r="AC13" s="410"/>
      <c r="AD13" s="410"/>
      <c r="AE13" s="410"/>
      <c r="AF13" s="410"/>
      <c r="AG13" s="410"/>
      <c r="AH13" s="410"/>
      <c r="AI13" s="410"/>
      <c r="AJ13" s="410"/>
      <c r="AK13" s="410"/>
      <c r="AL13" s="410"/>
      <c r="AM13" s="410"/>
      <c r="AN13" s="410"/>
      <c r="AO13" s="410"/>
      <c r="AP13" s="410"/>
      <c r="AQ13" s="410"/>
      <c r="AR13" s="410"/>
      <c r="AS13" s="826" t="s">
        <v>650</v>
      </c>
      <c r="AT13" s="410"/>
      <c r="AU13" s="410"/>
      <c r="AV13" s="410" t="s">
        <v>650</v>
      </c>
      <c r="AW13" s="410"/>
      <c r="AX13" s="410"/>
      <c r="AY13" s="410"/>
      <c r="AZ13" s="410"/>
      <c r="BA13" s="410"/>
      <c r="BB13" s="632"/>
      <c r="BC13" s="410" t="s">
        <v>1093</v>
      </c>
      <c r="BD13" s="9"/>
      <c r="BE13" s="9"/>
      <c r="BF13" s="9"/>
      <c r="BG13" s="9"/>
      <c r="BH13" s="9"/>
      <c r="BI13" s="9"/>
      <c r="BJ13" s="9"/>
      <c r="BK13" s="9"/>
      <c r="BL13" s="9"/>
      <c r="BM13" s="141"/>
      <c r="BN13" s="437">
        <v>327712</v>
      </c>
      <c r="BO13" s="438">
        <v>22591.200000000001</v>
      </c>
      <c r="BP13" s="842">
        <v>326839</v>
      </c>
      <c r="BQ13" s="843">
        <v>1869.6</v>
      </c>
      <c r="BR13" s="433"/>
      <c r="BS13" s="633"/>
      <c r="BT13" s="435"/>
      <c r="BU13" s="436"/>
      <c r="BV13" s="441"/>
      <c r="BW13" s="634"/>
      <c r="BX13" s="846">
        <v>327712</v>
      </c>
      <c r="BY13" s="847">
        <v>13564.19</v>
      </c>
      <c r="BZ13" s="443">
        <v>327712</v>
      </c>
      <c r="CA13" s="444">
        <f t="shared" si="2"/>
        <v>38024.990000000005</v>
      </c>
      <c r="CD13" s="439"/>
      <c r="CE13" s="440"/>
      <c r="CF13" s="433"/>
      <c r="CG13" s="633"/>
      <c r="CH13" s="433"/>
      <c r="CI13" s="633"/>
      <c r="CJ13" s="435"/>
      <c r="CK13" s="779"/>
      <c r="CL13" s="441"/>
      <c r="CM13" s="634"/>
      <c r="CN13" s="443"/>
      <c r="CO13" s="444">
        <f t="shared" si="0"/>
        <v>0</v>
      </c>
    </row>
    <row r="14" spans="1:94" s="158" customFormat="1" hidden="1">
      <c r="A14" s="409">
        <v>16</v>
      </c>
      <c r="B14" s="409">
        <v>713</v>
      </c>
      <c r="C14" s="409" t="s">
        <v>649</v>
      </c>
      <c r="D14" s="409">
        <v>2</v>
      </c>
      <c r="E14" s="409" t="s">
        <v>650</v>
      </c>
      <c r="F14" s="409"/>
      <c r="G14" s="409"/>
      <c r="H14" s="409"/>
      <c r="I14" s="409"/>
      <c r="J14" s="409"/>
      <c r="K14" s="409"/>
      <c r="L14" s="409"/>
      <c r="M14" s="409"/>
      <c r="N14" s="409"/>
      <c r="O14" s="409"/>
      <c r="P14" s="409"/>
      <c r="Q14" s="409"/>
      <c r="R14" s="409"/>
      <c r="S14" s="409"/>
      <c r="T14" s="409"/>
      <c r="U14" s="409"/>
      <c r="V14" s="409"/>
      <c r="W14" s="409"/>
      <c r="X14" s="409"/>
      <c r="Y14" s="409"/>
      <c r="Z14" s="409"/>
      <c r="AA14" s="409"/>
      <c r="AB14" s="409"/>
      <c r="AC14" s="409"/>
      <c r="AD14" s="409"/>
      <c r="AE14" s="409"/>
      <c r="AF14" s="409"/>
      <c r="AG14" s="409"/>
      <c r="AH14" s="409"/>
      <c r="AI14" s="409"/>
      <c r="AJ14" s="409"/>
      <c r="AK14" s="409"/>
      <c r="AL14" s="409"/>
      <c r="AM14" s="409"/>
      <c r="AN14" s="409"/>
      <c r="AO14" s="409"/>
      <c r="AP14" s="409"/>
      <c r="AQ14" s="409"/>
      <c r="AR14" s="409"/>
      <c r="AS14" s="409"/>
      <c r="AT14" s="409" t="s">
        <v>650</v>
      </c>
      <c r="AU14" s="409"/>
      <c r="AV14" s="409" t="s">
        <v>650</v>
      </c>
      <c r="AW14" s="409"/>
      <c r="AX14" s="409"/>
      <c r="AY14" s="409"/>
      <c r="AZ14" s="409"/>
      <c r="BA14" s="409"/>
      <c r="BB14" s="632"/>
      <c r="BC14" s="409" t="s">
        <v>1094</v>
      </c>
      <c r="BD14" s="7"/>
      <c r="BE14" s="7"/>
      <c r="BF14" s="7"/>
      <c r="BG14" s="7"/>
      <c r="BH14" s="7"/>
      <c r="BI14" s="7"/>
      <c r="BJ14" s="7"/>
      <c r="BK14" s="7"/>
      <c r="BL14" s="7"/>
      <c r="BM14" s="103"/>
      <c r="BN14" s="437">
        <v>327817</v>
      </c>
      <c r="BO14" s="438">
        <v>21814.31</v>
      </c>
      <c r="BP14" s="842">
        <v>326938</v>
      </c>
      <c r="BQ14" s="843">
        <v>4331.99</v>
      </c>
      <c r="BR14" s="433"/>
      <c r="BS14" s="633"/>
      <c r="BT14" s="435"/>
      <c r="BU14" s="436"/>
      <c r="BV14" s="441"/>
      <c r="BW14" s="634"/>
      <c r="BX14" s="846">
        <v>327817</v>
      </c>
      <c r="BY14" s="847">
        <v>11698.31</v>
      </c>
      <c r="BZ14" s="443">
        <v>327819</v>
      </c>
      <c r="CA14" s="444">
        <f t="shared" si="2"/>
        <v>37844.61</v>
      </c>
      <c r="CD14" s="439"/>
      <c r="CE14" s="440"/>
      <c r="CF14" s="433"/>
      <c r="CG14" s="633"/>
      <c r="CH14" s="433"/>
      <c r="CI14" s="633"/>
      <c r="CJ14" s="435"/>
      <c r="CK14" s="779"/>
      <c r="CL14" s="441"/>
      <c r="CM14" s="634"/>
      <c r="CN14" s="443"/>
      <c r="CO14" s="444">
        <f t="shared" si="0"/>
        <v>0</v>
      </c>
    </row>
    <row r="15" spans="1:94" s="158" customFormat="1" hidden="1">
      <c r="A15" s="410">
        <v>17</v>
      </c>
      <c r="B15" s="410">
        <v>712</v>
      </c>
      <c r="C15" s="410" t="s">
        <v>647</v>
      </c>
      <c r="D15" s="410">
        <v>2</v>
      </c>
      <c r="E15" s="410"/>
      <c r="F15" s="410"/>
      <c r="G15" s="410"/>
      <c r="H15" s="410"/>
      <c r="I15" s="410"/>
      <c r="J15" s="410"/>
      <c r="K15" s="410"/>
      <c r="L15" s="410"/>
      <c r="M15" s="410"/>
      <c r="N15" s="410"/>
      <c r="O15" s="410"/>
      <c r="P15" s="410"/>
      <c r="Q15" s="410"/>
      <c r="R15" s="410"/>
      <c r="S15" s="410"/>
      <c r="T15" s="410"/>
      <c r="U15" s="410"/>
      <c r="V15" s="410"/>
      <c r="W15" s="410"/>
      <c r="X15" s="410"/>
      <c r="Y15" s="410"/>
      <c r="Z15" s="410"/>
      <c r="AA15" s="410"/>
      <c r="AB15" s="410"/>
      <c r="AC15" s="410"/>
      <c r="AD15" s="410"/>
      <c r="AE15" s="410"/>
      <c r="AF15" s="410"/>
      <c r="AG15" s="410"/>
      <c r="AH15" s="410"/>
      <c r="AI15" s="410"/>
      <c r="AJ15" s="410"/>
      <c r="AK15" s="410"/>
      <c r="AL15" s="410"/>
      <c r="AM15" s="410"/>
      <c r="AN15" s="410"/>
      <c r="AO15" s="410"/>
      <c r="AP15" s="410"/>
      <c r="AQ15" s="410"/>
      <c r="AR15" s="410"/>
      <c r="AS15" s="410"/>
      <c r="AT15" s="410" t="s">
        <v>650</v>
      </c>
      <c r="AU15" s="410"/>
      <c r="AV15" s="410" t="s">
        <v>650</v>
      </c>
      <c r="AW15" s="410"/>
      <c r="AX15" s="410"/>
      <c r="AY15" s="410"/>
      <c r="AZ15" s="410"/>
      <c r="BA15" s="410"/>
      <c r="BB15" s="632"/>
      <c r="BC15" s="410" t="s">
        <v>1095</v>
      </c>
      <c r="BD15" s="410"/>
      <c r="BE15" s="410"/>
      <c r="BF15" s="410"/>
      <c r="BG15" s="410"/>
      <c r="BH15" s="410"/>
      <c r="BI15" s="410"/>
      <c r="BJ15" s="410"/>
      <c r="BK15" s="410"/>
      <c r="BL15" s="410"/>
      <c r="BM15" s="656"/>
      <c r="BN15" s="462">
        <v>577527</v>
      </c>
      <c r="BO15" s="877">
        <v>18250.05</v>
      </c>
      <c r="BP15" s="842">
        <v>577112</v>
      </c>
      <c r="BQ15" s="843">
        <v>-2505.9499999999998</v>
      </c>
      <c r="BR15" s="433"/>
      <c r="BS15" s="633"/>
      <c r="BT15" s="435"/>
      <c r="BU15" s="436"/>
      <c r="BV15" s="441"/>
      <c r="BW15" s="634"/>
      <c r="BX15" s="846">
        <v>577527</v>
      </c>
      <c r="BY15" s="847">
        <v>10471.77</v>
      </c>
      <c r="BZ15" s="443">
        <v>577527</v>
      </c>
      <c r="CA15" s="444">
        <f t="shared" si="2"/>
        <v>26215.87</v>
      </c>
      <c r="CD15" s="439"/>
      <c r="CE15" s="534"/>
      <c r="CF15" s="433"/>
      <c r="CG15" s="633"/>
      <c r="CH15" s="433"/>
      <c r="CI15" s="633"/>
      <c r="CJ15" s="435"/>
      <c r="CK15" s="779"/>
      <c r="CL15" s="441"/>
      <c r="CM15" s="634"/>
      <c r="CN15" s="443"/>
      <c r="CO15" s="444">
        <f t="shared" si="0"/>
        <v>0</v>
      </c>
    </row>
    <row r="16" spans="1:94" s="158" customFormat="1">
      <c r="A16" s="409">
        <v>18</v>
      </c>
      <c r="B16" s="409">
        <v>846</v>
      </c>
      <c r="C16" s="409" t="s">
        <v>649</v>
      </c>
      <c r="D16" s="409">
        <v>2</v>
      </c>
      <c r="E16" s="409">
        <v>2</v>
      </c>
      <c r="F16" s="409"/>
      <c r="G16" s="409"/>
      <c r="H16" s="409"/>
      <c r="I16" s="409"/>
      <c r="J16" s="409"/>
      <c r="K16" s="409"/>
      <c r="L16" s="409"/>
      <c r="M16" s="409"/>
      <c r="N16" s="409"/>
      <c r="O16" s="409" t="s">
        <v>650</v>
      </c>
      <c r="P16" s="409"/>
      <c r="Q16" s="409"/>
      <c r="R16" s="409"/>
      <c r="S16" s="409"/>
      <c r="T16" s="409"/>
      <c r="U16" s="409"/>
      <c r="V16" s="409"/>
      <c r="W16" s="409"/>
      <c r="X16" s="409"/>
      <c r="Y16" s="409"/>
      <c r="Z16" s="409"/>
      <c r="AA16" s="409"/>
      <c r="AB16" s="409"/>
      <c r="AC16" s="409"/>
      <c r="AD16" s="409"/>
      <c r="AE16" s="409"/>
      <c r="AF16" s="409"/>
      <c r="AG16" s="409"/>
      <c r="AH16" s="409"/>
      <c r="AI16" s="409"/>
      <c r="AJ16" s="409"/>
      <c r="AK16" s="409"/>
      <c r="AL16" s="409"/>
      <c r="AM16" s="409"/>
      <c r="AN16" s="409"/>
      <c r="AO16" s="409"/>
      <c r="AP16" s="409"/>
      <c r="AQ16" s="409"/>
      <c r="AR16" s="409"/>
      <c r="AS16" s="409"/>
      <c r="AT16" s="409" t="s">
        <v>650</v>
      </c>
      <c r="AU16" s="409"/>
      <c r="AV16" s="409" t="s">
        <v>650</v>
      </c>
      <c r="AW16" s="409"/>
      <c r="AX16" s="409"/>
      <c r="AY16" s="409"/>
      <c r="AZ16" s="409"/>
      <c r="BA16" s="409"/>
      <c r="BB16" s="632"/>
      <c r="BC16" s="409" t="s">
        <v>1096</v>
      </c>
      <c r="BD16" s="409"/>
      <c r="BE16" s="409"/>
      <c r="BF16" s="409"/>
      <c r="BG16" s="409"/>
      <c r="BH16" s="409"/>
      <c r="BI16" s="409"/>
      <c r="BJ16" s="409"/>
      <c r="BK16" s="409"/>
      <c r="BL16" s="409"/>
      <c r="BM16" s="557"/>
      <c r="BN16" s="840">
        <v>577560</v>
      </c>
      <c r="BO16" s="841">
        <v>21603.95</v>
      </c>
      <c r="BP16" s="842">
        <v>577152</v>
      </c>
      <c r="BQ16" s="843">
        <v>6140.16</v>
      </c>
      <c r="BR16" s="433"/>
      <c r="BS16" s="633"/>
      <c r="BT16" s="435"/>
      <c r="BU16" s="436"/>
      <c r="BV16" s="441"/>
      <c r="BW16" s="634"/>
      <c r="BX16" s="512">
        <v>577560</v>
      </c>
      <c r="BY16" s="878">
        <v>11427.4</v>
      </c>
      <c r="BZ16" s="443">
        <f>BN16</f>
        <v>577560</v>
      </c>
      <c r="CA16" s="444">
        <f t="shared" si="2"/>
        <v>39171.509999999995</v>
      </c>
      <c r="CD16" s="871"/>
      <c r="CE16" s="872"/>
      <c r="CF16" s="873"/>
      <c r="CG16" s="874"/>
      <c r="CH16" s="873"/>
      <c r="CI16" s="874"/>
      <c r="CJ16" s="875"/>
      <c r="CK16" s="876"/>
      <c r="CL16" s="441"/>
      <c r="CM16" s="634"/>
      <c r="CN16" s="443"/>
      <c r="CO16" s="444">
        <f t="shared" ref="CO16" si="3">CE16+CG16+CI16</f>
        <v>0</v>
      </c>
    </row>
    <row r="17" spans="1:93">
      <c r="A17" s="50">
        <v>19</v>
      </c>
      <c r="B17" s="9">
        <v>914</v>
      </c>
      <c r="C17" s="9" t="s">
        <v>647</v>
      </c>
      <c r="D17" s="50">
        <v>2</v>
      </c>
      <c r="E17" s="50">
        <v>2</v>
      </c>
      <c r="F17" s="13"/>
      <c r="G17" s="13"/>
      <c r="H17" s="50"/>
      <c r="I17" s="13"/>
      <c r="J17" s="13"/>
      <c r="K17" s="13"/>
      <c r="L17" s="13"/>
      <c r="M17" s="50" t="s">
        <v>650</v>
      </c>
      <c r="N17" s="50"/>
      <c r="O17" s="13"/>
      <c r="P17" s="13"/>
      <c r="Q17" s="50"/>
      <c r="R17" s="13"/>
      <c r="S17" s="13"/>
      <c r="T17" s="50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50"/>
      <c r="AS17" s="13"/>
      <c r="AT17" s="50" t="s">
        <v>650</v>
      </c>
      <c r="AU17" s="13"/>
      <c r="AV17" s="50" t="s">
        <v>650</v>
      </c>
      <c r="AW17" s="13"/>
      <c r="AX17" s="13"/>
      <c r="AY17" s="13"/>
      <c r="AZ17" s="13"/>
      <c r="BA17" s="13"/>
      <c r="BB17" s="13"/>
      <c r="BC17" s="9" t="s">
        <v>1097</v>
      </c>
      <c r="BD17" s="9"/>
      <c r="BE17" s="9"/>
      <c r="BF17" s="9"/>
      <c r="BG17" s="9"/>
      <c r="BH17" s="9"/>
      <c r="BI17" s="9"/>
      <c r="BJ17" s="9"/>
      <c r="BK17" s="9"/>
      <c r="BL17" s="9"/>
      <c r="BM17" s="141"/>
      <c r="BN17" s="437">
        <v>97450735</v>
      </c>
      <c r="BO17" s="438">
        <v>21822.400000000001</v>
      </c>
      <c r="BP17" s="433">
        <v>97450689</v>
      </c>
      <c r="BQ17" s="434">
        <v>1458.69</v>
      </c>
      <c r="BR17" s="187"/>
      <c r="BS17" s="265"/>
      <c r="BT17" s="435">
        <v>97450661</v>
      </c>
      <c r="BU17" s="436">
        <v>488.25</v>
      </c>
      <c r="BV17" s="441">
        <v>97450701</v>
      </c>
      <c r="BW17" s="442">
        <v>111.11</v>
      </c>
      <c r="BX17" s="439">
        <v>97450735</v>
      </c>
      <c r="BY17" s="440">
        <v>12133.72</v>
      </c>
      <c r="BZ17" s="363">
        <v>97450735</v>
      </c>
      <c r="CA17" s="356">
        <f>BY17+BW17+BU17+BQ17+BO17</f>
        <v>36014.17</v>
      </c>
      <c r="CD17" s="608"/>
      <c r="CE17" s="608"/>
      <c r="CF17" s="609"/>
      <c r="CG17" s="609"/>
      <c r="CH17" s="609"/>
      <c r="CI17" s="609"/>
      <c r="CJ17" s="610"/>
      <c r="CK17" s="611"/>
      <c r="CL17" s="612"/>
      <c r="CM17" s="442"/>
    </row>
    <row r="18" spans="1:93">
      <c r="A18" s="7">
        <v>20</v>
      </c>
      <c r="B18" s="7">
        <v>712</v>
      </c>
      <c r="C18" s="7" t="s">
        <v>648</v>
      </c>
      <c r="D18" s="7">
        <v>2</v>
      </c>
      <c r="E18" s="13"/>
      <c r="F18" s="7"/>
      <c r="G18" s="13"/>
      <c r="H18" s="13"/>
      <c r="I18" s="13"/>
      <c r="J18" s="13"/>
      <c r="K18" s="13"/>
      <c r="L18" s="13"/>
      <c r="M18" s="7" t="s">
        <v>650</v>
      </c>
      <c r="N18" s="7"/>
      <c r="O18" s="7"/>
      <c r="P18" s="13"/>
      <c r="Q18" s="13"/>
      <c r="R18" s="13"/>
      <c r="S18" s="13"/>
      <c r="T18" s="13"/>
      <c r="U18" s="7"/>
      <c r="V18" s="13"/>
      <c r="W18" s="7"/>
      <c r="X18" s="13"/>
      <c r="Y18" s="7" t="s">
        <v>650</v>
      </c>
      <c r="Z18" s="7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7"/>
      <c r="AP18" s="13"/>
      <c r="AQ18" s="13"/>
      <c r="AR18" s="7"/>
      <c r="AS18" s="13"/>
      <c r="AT18" s="7" t="s">
        <v>650</v>
      </c>
      <c r="AU18" s="13"/>
      <c r="AV18" s="7" t="s">
        <v>650</v>
      </c>
      <c r="AW18" s="13"/>
      <c r="AX18" s="13"/>
      <c r="AY18" s="7" t="s">
        <v>650</v>
      </c>
      <c r="AZ18" s="13"/>
      <c r="BA18" s="13"/>
      <c r="BB18" s="13"/>
      <c r="BC18" s="7" t="s">
        <v>1098</v>
      </c>
      <c r="BD18" s="7"/>
      <c r="BE18" s="7"/>
      <c r="BF18" s="7"/>
      <c r="BG18" s="7"/>
      <c r="BH18" s="7"/>
      <c r="BI18" s="7"/>
      <c r="BJ18" s="7"/>
      <c r="BK18" s="7"/>
      <c r="BL18" s="7"/>
      <c r="BM18" s="103"/>
      <c r="BN18" s="437">
        <v>97210754</v>
      </c>
      <c r="BO18" s="438">
        <v>18522.689999999999</v>
      </c>
      <c r="BP18" s="433">
        <v>97210734</v>
      </c>
      <c r="BQ18" s="434">
        <v>598.59</v>
      </c>
      <c r="BR18" s="187" t="s">
        <v>289</v>
      </c>
      <c r="BS18" s="188"/>
      <c r="BT18" s="435">
        <v>97210707</v>
      </c>
      <c r="BU18" s="436">
        <v>488.25</v>
      </c>
      <c r="BV18" s="441">
        <v>97210737</v>
      </c>
      <c r="BW18" s="442">
        <v>128.52000000000001</v>
      </c>
      <c r="BX18" s="439">
        <v>97210754</v>
      </c>
      <c r="BY18" s="440">
        <v>10888.11</v>
      </c>
      <c r="BZ18" s="363">
        <v>97210754</v>
      </c>
      <c r="CA18" s="356">
        <f>BW18+BU18+BS18+BO18+BY18+BQ18</f>
        <v>30626.16</v>
      </c>
      <c r="CD18" s="696"/>
      <c r="CE18" s="696"/>
      <c r="CF18" s="697"/>
      <c r="CG18" s="697"/>
      <c r="CH18" s="697"/>
      <c r="CI18" s="697"/>
      <c r="CJ18" s="698"/>
      <c r="CK18" s="699"/>
      <c r="CL18" s="700"/>
      <c r="CM18" s="701"/>
    </row>
    <row r="19" spans="1:93">
      <c r="A19" s="527">
        <v>21</v>
      </c>
      <c r="B19" s="527">
        <v>914</v>
      </c>
      <c r="C19" s="527" t="s">
        <v>647</v>
      </c>
      <c r="D19" s="527">
        <v>2</v>
      </c>
      <c r="E19" s="527"/>
      <c r="F19" s="632"/>
      <c r="G19" s="632"/>
      <c r="H19" s="527"/>
      <c r="I19" s="632"/>
      <c r="J19" s="632"/>
      <c r="K19" s="632"/>
      <c r="L19" s="632"/>
      <c r="M19" s="527" t="s">
        <v>650</v>
      </c>
      <c r="N19" s="527"/>
      <c r="O19" s="632"/>
      <c r="P19" s="632"/>
      <c r="Q19" s="527"/>
      <c r="R19" s="632"/>
      <c r="S19" s="632"/>
      <c r="T19" s="527"/>
      <c r="U19" s="632"/>
      <c r="V19" s="632"/>
      <c r="W19" s="632"/>
      <c r="X19" s="632"/>
      <c r="Y19" s="632"/>
      <c r="Z19" s="632"/>
      <c r="AA19" s="632"/>
      <c r="AB19" s="632"/>
      <c r="AC19" s="632"/>
      <c r="AD19" s="632"/>
      <c r="AE19" s="632"/>
      <c r="AF19" s="632"/>
      <c r="AG19" s="632"/>
      <c r="AH19" s="632"/>
      <c r="AI19" s="632"/>
      <c r="AJ19" s="632"/>
      <c r="AK19" s="632"/>
      <c r="AL19" s="632"/>
      <c r="AM19" s="632"/>
      <c r="AN19" s="632"/>
      <c r="AO19" s="632"/>
      <c r="AP19" s="632"/>
      <c r="AQ19" s="632"/>
      <c r="AR19" s="527"/>
      <c r="AS19" s="632"/>
      <c r="AT19" s="527" t="s">
        <v>650</v>
      </c>
      <c r="AU19" s="632"/>
      <c r="AV19" s="527"/>
      <c r="AW19" s="632"/>
      <c r="AX19" s="13"/>
      <c r="AY19" s="13"/>
      <c r="AZ19" s="13"/>
      <c r="BA19" s="13"/>
      <c r="BB19" s="13"/>
      <c r="BC19" s="9" t="s">
        <v>1099</v>
      </c>
      <c r="BD19" s="9"/>
      <c r="BE19" s="9"/>
      <c r="BF19" s="9"/>
      <c r="BG19" s="9"/>
      <c r="BH19" s="9"/>
      <c r="BI19" s="9"/>
      <c r="BJ19" s="9"/>
      <c r="BK19" s="9"/>
      <c r="BL19" s="9"/>
      <c r="BM19" s="141"/>
      <c r="BN19" s="234">
        <v>98999249</v>
      </c>
      <c r="BO19" s="174">
        <v>21244.53</v>
      </c>
      <c r="BP19" s="187">
        <v>98998834</v>
      </c>
      <c r="BQ19" s="598">
        <v>-1108.6099999999999</v>
      </c>
      <c r="BR19" s="187"/>
      <c r="BS19" s="265"/>
      <c r="BT19" s="710">
        <v>98998807</v>
      </c>
      <c r="BU19" s="713">
        <v>488.25</v>
      </c>
      <c r="BV19" s="358">
        <v>98998839</v>
      </c>
      <c r="BW19" s="535">
        <v>128.52000000000001</v>
      </c>
      <c r="BX19" s="219"/>
      <c r="BY19" s="247"/>
      <c r="BZ19" s="363">
        <f t="shared" ref="BZ19:BZ24" si="4">BN19</f>
        <v>98999249</v>
      </c>
      <c r="CA19" s="356">
        <f>BW19+BU19+BS19+BO19+BQ19</f>
        <v>20752.689999999999</v>
      </c>
      <c r="CD19" s="718">
        <v>98999249</v>
      </c>
      <c r="CE19" s="760">
        <v>12650.38</v>
      </c>
      <c r="CF19" s="724"/>
      <c r="CG19" s="735"/>
      <c r="CH19" s="724"/>
      <c r="CI19" s="735"/>
      <c r="CJ19" s="741"/>
      <c r="CK19" s="754"/>
      <c r="CL19" s="745"/>
      <c r="CM19" s="746"/>
      <c r="CN19" s="694"/>
      <c r="CO19" s="690">
        <f t="shared" ref="CO19:CO24" si="5">CE19+CG19+CI19+CK19+CM19</f>
        <v>12650.38</v>
      </c>
    </row>
    <row r="20" spans="1:93">
      <c r="A20" s="7">
        <v>22</v>
      </c>
      <c r="B20" s="409">
        <v>592</v>
      </c>
      <c r="C20" s="409" t="s">
        <v>648</v>
      </c>
      <c r="D20" s="409">
        <v>2</v>
      </c>
      <c r="E20" s="13"/>
      <c r="F20" s="13"/>
      <c r="G20" s="13"/>
      <c r="H20" s="13"/>
      <c r="I20" s="13"/>
      <c r="J20" s="13"/>
      <c r="K20" s="13"/>
      <c r="L20" s="13"/>
      <c r="M20" s="7" t="s">
        <v>650</v>
      </c>
      <c r="N20" s="13"/>
      <c r="O20" s="13"/>
      <c r="P20" s="13"/>
      <c r="Q20" s="7"/>
      <c r="R20" s="13"/>
      <c r="S20" s="13"/>
      <c r="T20" s="409" t="s">
        <v>650</v>
      </c>
      <c r="U20" s="13"/>
      <c r="V20" s="13"/>
      <c r="W20" s="13"/>
      <c r="X20" s="7"/>
      <c r="Y20" s="7"/>
      <c r="Z20" s="7"/>
      <c r="AA20" s="13"/>
      <c r="AB20" s="13"/>
      <c r="AC20" s="7"/>
      <c r="AD20" s="13"/>
      <c r="AE20" s="7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807" t="s">
        <v>650</v>
      </c>
      <c r="AT20" s="409"/>
      <c r="AU20" s="13"/>
      <c r="AV20" s="7"/>
      <c r="AW20" s="7"/>
      <c r="AX20" s="13"/>
      <c r="AY20" s="13"/>
      <c r="AZ20" s="13"/>
      <c r="BA20" s="13"/>
      <c r="BB20" s="13"/>
      <c r="BC20" s="7" t="s">
        <v>1100</v>
      </c>
      <c r="BD20" s="7"/>
      <c r="BE20" s="7"/>
      <c r="BF20" s="7"/>
      <c r="BG20" s="7"/>
      <c r="BH20" s="7"/>
      <c r="BI20" s="7"/>
      <c r="BJ20" s="7"/>
      <c r="BK20" s="7"/>
      <c r="BL20" s="7"/>
      <c r="BM20" s="103"/>
      <c r="BN20" s="234">
        <v>99413386</v>
      </c>
      <c r="BO20" s="174">
        <v>27429.68</v>
      </c>
      <c r="BP20" s="187"/>
      <c r="BQ20" s="188"/>
      <c r="BR20" s="187"/>
      <c r="BS20" s="265"/>
      <c r="BT20" s="710"/>
      <c r="BU20" s="713"/>
      <c r="BV20" s="358"/>
      <c r="BW20" s="359"/>
      <c r="BX20" s="219"/>
      <c r="BY20" s="247"/>
      <c r="BZ20" s="363">
        <f t="shared" si="4"/>
        <v>99413386</v>
      </c>
      <c r="CA20" s="356">
        <f>BW20+BU20+BS20+BO20+BQ20</f>
        <v>27429.68</v>
      </c>
      <c r="CD20" s="719">
        <v>99413386</v>
      </c>
      <c r="CE20" s="729">
        <v>13564.19</v>
      </c>
      <c r="CF20" s="725">
        <v>99411851</v>
      </c>
      <c r="CG20" s="736">
        <v>524.92999999999995</v>
      </c>
      <c r="CH20" s="725"/>
      <c r="CI20" s="736"/>
      <c r="CJ20" s="742">
        <v>99839007</v>
      </c>
      <c r="CK20" s="755">
        <v>488.25</v>
      </c>
      <c r="CL20" s="747"/>
      <c r="CM20" s="748"/>
      <c r="CN20" s="694"/>
      <c r="CO20" s="690">
        <f t="shared" si="5"/>
        <v>14577.37</v>
      </c>
    </row>
    <row r="21" spans="1:93">
      <c r="A21" s="50">
        <v>23</v>
      </c>
      <c r="B21" s="410">
        <v>846</v>
      </c>
      <c r="C21" s="410" t="s">
        <v>649</v>
      </c>
      <c r="D21" s="410">
        <v>2</v>
      </c>
      <c r="E21" s="9"/>
      <c r="F21" s="13"/>
      <c r="G21" s="13"/>
      <c r="H21" s="13"/>
      <c r="I21" s="13"/>
      <c r="J21" s="13"/>
      <c r="K21" s="13"/>
      <c r="L21" s="13"/>
      <c r="M21" s="410" t="s">
        <v>650</v>
      </c>
      <c r="N21" s="9"/>
      <c r="O21" s="9"/>
      <c r="P21" s="13"/>
      <c r="Q21" s="13"/>
      <c r="R21" s="13"/>
      <c r="S21" s="13"/>
      <c r="T21" s="13"/>
      <c r="U21" s="13"/>
      <c r="V21" s="13"/>
      <c r="W21" s="13"/>
      <c r="X21" s="13"/>
      <c r="Y21" s="9"/>
      <c r="Z21" s="9"/>
      <c r="AA21" s="13"/>
      <c r="AB21" s="13"/>
      <c r="AC21" s="13"/>
      <c r="AD21" s="13"/>
      <c r="AE21" s="13"/>
      <c r="AF21" s="13"/>
      <c r="AG21" s="13"/>
      <c r="AH21" s="13"/>
      <c r="AI21" s="410" t="s">
        <v>650</v>
      </c>
      <c r="AJ21" s="13"/>
      <c r="AK21" s="13"/>
      <c r="AL21" s="13"/>
      <c r="AM21" s="13"/>
      <c r="AN21" s="13"/>
      <c r="AO21" s="9"/>
      <c r="AP21" s="13"/>
      <c r="AQ21" s="13"/>
      <c r="AR21" s="9"/>
      <c r="AS21" s="13"/>
      <c r="AT21" s="9"/>
      <c r="AU21" s="13"/>
      <c r="AV21" s="9"/>
      <c r="AW21" s="13"/>
      <c r="AX21" s="13"/>
      <c r="AY21" s="13"/>
      <c r="AZ21" s="13"/>
      <c r="BA21" s="13"/>
      <c r="BB21" s="13"/>
      <c r="BC21" s="9" t="s">
        <v>1101</v>
      </c>
      <c r="BD21" s="9"/>
      <c r="BE21" s="9"/>
      <c r="BF21" s="9"/>
      <c r="BG21" s="9"/>
      <c r="BH21" s="9"/>
      <c r="BI21" s="9"/>
      <c r="BJ21" s="9"/>
      <c r="BK21" s="9"/>
      <c r="BL21" s="9"/>
      <c r="BM21" s="141"/>
      <c r="BN21" s="234">
        <v>99413489</v>
      </c>
      <c r="BO21" s="174">
        <v>25191.8</v>
      </c>
      <c r="BP21" s="187">
        <v>99411913</v>
      </c>
      <c r="BQ21" s="188">
        <v>2566.63</v>
      </c>
      <c r="BR21" s="187"/>
      <c r="BS21" s="265"/>
      <c r="BT21" s="710">
        <v>99839025</v>
      </c>
      <c r="BU21" s="713">
        <v>488.25</v>
      </c>
      <c r="BV21" s="358">
        <v>99411917</v>
      </c>
      <c r="BW21" s="535">
        <v>128.52000000000001</v>
      </c>
      <c r="BX21" s="219"/>
      <c r="BY21" s="247"/>
      <c r="BZ21" s="363">
        <f t="shared" si="4"/>
        <v>99413489</v>
      </c>
      <c r="CA21" s="356">
        <f>BO21+BQ21+BW21+BU21</f>
        <v>28375.200000000001</v>
      </c>
      <c r="CD21" s="719">
        <v>99413489</v>
      </c>
      <c r="CE21" s="729">
        <v>11431.73</v>
      </c>
      <c r="CF21" s="725"/>
      <c r="CG21" s="736"/>
      <c r="CH21" s="725"/>
      <c r="CI21" s="736"/>
      <c r="CJ21" s="742"/>
      <c r="CK21" s="755"/>
      <c r="CL21" s="747"/>
      <c r="CM21" s="748"/>
      <c r="CN21" s="694"/>
      <c r="CO21" s="690">
        <f t="shared" si="5"/>
        <v>11431.73</v>
      </c>
    </row>
    <row r="22" spans="1:93" hidden="1">
      <c r="A22" s="409">
        <v>24</v>
      </c>
      <c r="B22" s="409">
        <v>592</v>
      </c>
      <c r="C22" s="409" t="s">
        <v>647</v>
      </c>
      <c r="D22" s="409">
        <v>2</v>
      </c>
      <c r="E22" s="13"/>
      <c r="F22" s="13"/>
      <c r="G22" s="13"/>
      <c r="H22" s="13"/>
      <c r="I22" s="13"/>
      <c r="J22" s="13"/>
      <c r="K22" s="13"/>
      <c r="L22" s="13"/>
      <c r="M22" s="7"/>
      <c r="N22" s="13"/>
      <c r="O22" s="13"/>
      <c r="P22" s="13"/>
      <c r="Q22" s="7"/>
      <c r="R22" s="13"/>
      <c r="S22" s="13"/>
      <c r="T22" s="409" t="s">
        <v>650</v>
      </c>
      <c r="U22" s="13"/>
      <c r="V22" s="13"/>
      <c r="W22" s="13"/>
      <c r="X22" s="7"/>
      <c r="Y22" s="7"/>
      <c r="Z22" s="7"/>
      <c r="AA22" s="13"/>
      <c r="AB22" s="13"/>
      <c r="AC22" s="7"/>
      <c r="AD22" s="13"/>
      <c r="AE22" s="7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7"/>
      <c r="AT22" s="409" t="s">
        <v>650</v>
      </c>
      <c r="AU22" s="13"/>
      <c r="AV22" s="7"/>
      <c r="AW22" s="7"/>
      <c r="AX22" s="13"/>
      <c r="AY22" s="13"/>
      <c r="AZ22" s="13"/>
      <c r="BA22" s="13"/>
      <c r="BB22" s="13"/>
      <c r="BC22" s="7" t="s">
        <v>1102</v>
      </c>
      <c r="BD22" s="7"/>
      <c r="BE22" s="7"/>
      <c r="BF22" s="7"/>
      <c r="BG22" s="7"/>
      <c r="BH22" s="7"/>
      <c r="BI22" s="7"/>
      <c r="BJ22" s="7"/>
      <c r="BK22" s="7"/>
      <c r="BL22" s="7"/>
      <c r="BM22" s="103"/>
      <c r="BN22" s="234">
        <v>99413589</v>
      </c>
      <c r="BO22" s="174">
        <v>27429.68</v>
      </c>
      <c r="BP22" s="187">
        <v>99411971</v>
      </c>
      <c r="BQ22" s="598">
        <v>-1194.43</v>
      </c>
      <c r="BR22" s="187"/>
      <c r="BS22" s="265"/>
      <c r="BT22" s="710">
        <v>99839045</v>
      </c>
      <c r="BU22" s="713">
        <v>488.25</v>
      </c>
      <c r="BV22" s="358"/>
      <c r="BW22" s="359"/>
      <c r="BX22" s="219"/>
      <c r="BY22" s="247"/>
      <c r="BZ22" s="363">
        <f t="shared" si="4"/>
        <v>99413589</v>
      </c>
      <c r="CA22" s="356">
        <f>BQ22+BO22+BU22</f>
        <v>26723.5</v>
      </c>
      <c r="CD22" s="719">
        <v>99413589</v>
      </c>
      <c r="CE22" s="729">
        <v>13564.19</v>
      </c>
      <c r="CF22" s="725"/>
      <c r="CG22" s="736"/>
      <c r="CH22" s="725"/>
      <c r="CI22" s="736"/>
      <c r="CJ22" s="742"/>
      <c r="CK22" s="755"/>
      <c r="CL22" s="747"/>
      <c r="CM22" s="748"/>
      <c r="CN22" s="694"/>
      <c r="CO22" s="690">
        <f t="shared" si="5"/>
        <v>13564.19</v>
      </c>
    </row>
    <row r="23" spans="1:93">
      <c r="A23" s="9">
        <v>25</v>
      </c>
      <c r="B23" s="9">
        <v>846</v>
      </c>
      <c r="C23" s="9" t="s">
        <v>648</v>
      </c>
      <c r="D23" s="9">
        <v>2</v>
      </c>
      <c r="E23" s="410">
        <v>2</v>
      </c>
      <c r="F23" s="9"/>
      <c r="G23" s="9"/>
      <c r="H23" s="9"/>
      <c r="I23" s="9"/>
      <c r="J23" s="9"/>
      <c r="K23" s="9"/>
      <c r="L23" s="9"/>
      <c r="M23" s="410" t="s">
        <v>650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410" t="s">
        <v>650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410" t="s">
        <v>650</v>
      </c>
      <c r="AU23" s="9"/>
      <c r="AV23" s="9"/>
      <c r="AW23" s="9"/>
      <c r="AX23" s="9"/>
      <c r="AY23" s="9"/>
      <c r="AZ23" s="9"/>
      <c r="BA23" s="9"/>
      <c r="BB23" s="13"/>
      <c r="BC23" s="9" t="s">
        <v>1103</v>
      </c>
      <c r="BD23" s="9"/>
      <c r="BE23" s="9"/>
      <c r="BF23" s="9"/>
      <c r="BG23" s="9"/>
      <c r="BH23" s="9"/>
      <c r="BI23" s="9"/>
      <c r="BJ23" s="9"/>
      <c r="BK23" s="9"/>
      <c r="BL23" s="9"/>
      <c r="BM23" s="141"/>
      <c r="BN23" s="234">
        <v>99670914</v>
      </c>
      <c r="BO23" s="174">
        <v>22572.31</v>
      </c>
      <c r="BP23" s="725">
        <v>99670759</v>
      </c>
      <c r="BQ23" s="736">
        <v>4307.41</v>
      </c>
      <c r="BR23" s="187"/>
      <c r="BS23" s="265"/>
      <c r="BT23" s="710" t="s">
        <v>1104</v>
      </c>
      <c r="BU23" s="713"/>
      <c r="BV23" s="358"/>
      <c r="BW23" s="359"/>
      <c r="BX23" s="219"/>
      <c r="BY23" s="247"/>
      <c r="BZ23" s="363">
        <f t="shared" si="4"/>
        <v>99670914</v>
      </c>
      <c r="CA23" s="356">
        <f>BY23+BW23+BU23+BS23+BQ23+BO23</f>
        <v>26879.72</v>
      </c>
      <c r="CD23" s="719">
        <v>99670914</v>
      </c>
      <c r="CE23" s="729">
        <v>11427.4</v>
      </c>
      <c r="CF23" s="725"/>
      <c r="CG23" s="736"/>
      <c r="CH23" s="725"/>
      <c r="CI23" s="736"/>
      <c r="CJ23" s="742"/>
      <c r="CK23" s="755"/>
      <c r="CL23" s="747"/>
      <c r="CM23" s="748"/>
      <c r="CN23" s="694"/>
      <c r="CO23" s="690">
        <f>CE23+CG23+CI23+CK23+CM23</f>
        <v>11427.4</v>
      </c>
    </row>
    <row r="24" spans="1:93" hidden="1">
      <c r="A24" s="7">
        <v>26</v>
      </c>
      <c r="B24" s="7">
        <v>592</v>
      </c>
      <c r="C24" s="409" t="s">
        <v>649</v>
      </c>
      <c r="D24" s="7">
        <v>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38" t="s">
        <v>650</v>
      </c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409" t="s">
        <v>650</v>
      </c>
      <c r="AU24" s="7"/>
      <c r="AV24" s="7"/>
      <c r="AW24" s="7"/>
      <c r="AX24" s="7"/>
      <c r="AY24" s="7"/>
      <c r="AZ24" s="7"/>
      <c r="BA24" s="7"/>
      <c r="BB24" s="13"/>
      <c r="BC24" s="7" t="s">
        <v>1105</v>
      </c>
      <c r="BD24" s="7"/>
      <c r="BE24" s="7"/>
      <c r="BF24" s="7"/>
      <c r="BG24" s="7"/>
      <c r="BH24" s="7"/>
      <c r="BI24" s="7"/>
      <c r="BJ24" s="7"/>
      <c r="BK24" s="7"/>
      <c r="BL24" s="7"/>
      <c r="BM24" s="103"/>
      <c r="BN24" s="234">
        <v>99670591</v>
      </c>
      <c r="BO24" s="174">
        <v>24309.34</v>
      </c>
      <c r="BP24" s="187">
        <v>99670474</v>
      </c>
      <c r="BQ24" s="188">
        <v>1228.9100000000001</v>
      </c>
      <c r="BR24" s="187"/>
      <c r="BS24" s="265"/>
      <c r="BT24" s="710" t="s">
        <v>1106</v>
      </c>
      <c r="BU24" s="713"/>
      <c r="BV24" s="358"/>
      <c r="BW24" s="359"/>
      <c r="BX24" s="219"/>
      <c r="BY24" s="247"/>
      <c r="BZ24" s="363">
        <f t="shared" si="4"/>
        <v>99670591</v>
      </c>
      <c r="CA24" s="356">
        <f>BY24+BW24+BU24+BS24+BQ24+BO24</f>
        <v>25538.25</v>
      </c>
      <c r="CD24" s="719">
        <v>99670591</v>
      </c>
      <c r="CE24" s="729">
        <v>13558</v>
      </c>
      <c r="CF24" s="725"/>
      <c r="CG24" s="736"/>
      <c r="CH24" s="725"/>
      <c r="CI24" s="736"/>
      <c r="CJ24" s="742"/>
      <c r="CK24" s="755"/>
      <c r="CL24" s="747"/>
      <c r="CM24" s="748"/>
      <c r="CN24" s="694"/>
      <c r="CO24" s="690">
        <f t="shared" si="5"/>
        <v>13558</v>
      </c>
    </row>
    <row r="25" spans="1:93" hidden="1">
      <c r="A25" s="805">
        <v>27</v>
      </c>
      <c r="B25" s="9">
        <v>592</v>
      </c>
      <c r="C25" s="9" t="s">
        <v>648</v>
      </c>
      <c r="D25" s="9">
        <v>2</v>
      </c>
      <c r="E25" s="13"/>
      <c r="F25" s="13"/>
      <c r="G25" s="13"/>
      <c r="H25" s="13"/>
      <c r="I25" s="13"/>
      <c r="J25" s="13"/>
      <c r="K25" s="13"/>
      <c r="L25" s="13"/>
      <c r="M25" s="651" t="s">
        <v>650</v>
      </c>
      <c r="N25" s="13"/>
      <c r="O25" s="13"/>
      <c r="P25" s="13"/>
      <c r="Q25" s="9"/>
      <c r="R25" s="13"/>
      <c r="S25" s="13"/>
      <c r="T25" s="410" t="s">
        <v>650</v>
      </c>
      <c r="U25" s="13"/>
      <c r="V25" s="13"/>
      <c r="W25" s="13"/>
      <c r="X25" s="9"/>
      <c r="Y25" s="9"/>
      <c r="Z25" s="50"/>
      <c r="AA25" s="13"/>
      <c r="AB25" s="13"/>
      <c r="AC25" s="9"/>
      <c r="AD25" s="13"/>
      <c r="AE25" s="9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804" t="s">
        <v>650</v>
      </c>
      <c r="AT25" s="9"/>
      <c r="AU25" s="13"/>
      <c r="AV25" s="410" t="s">
        <v>650</v>
      </c>
      <c r="AW25" s="9"/>
      <c r="AX25" s="13"/>
      <c r="AY25" s="13"/>
      <c r="AZ25" s="13"/>
      <c r="BA25" s="13"/>
      <c r="BB25" s="13"/>
      <c r="BC25" s="410" t="s">
        <v>1107</v>
      </c>
      <c r="BD25" s="9"/>
      <c r="BE25" s="9"/>
      <c r="BF25" s="9"/>
      <c r="BG25" s="9"/>
      <c r="BH25" s="9"/>
      <c r="BI25" s="9"/>
      <c r="BJ25" s="9"/>
      <c r="BK25" s="9"/>
      <c r="BL25" s="9"/>
      <c r="BM25" s="141"/>
      <c r="BN25" s="234">
        <v>99292651</v>
      </c>
      <c r="BO25" s="174">
        <v>23369.74</v>
      </c>
      <c r="BP25" s="187">
        <v>99292397</v>
      </c>
      <c r="BQ25" s="188">
        <v>524.92999999999995</v>
      </c>
      <c r="BR25" s="715"/>
      <c r="BT25" s="710"/>
      <c r="BU25" s="713"/>
      <c r="BV25" s="358"/>
      <c r="BW25" s="359"/>
      <c r="BX25" s="219"/>
      <c r="BY25" s="247"/>
      <c r="BZ25" s="363">
        <v>99292651</v>
      </c>
      <c r="CA25" s="356">
        <f>BQ25+BO25+CG25</f>
        <v>24421.660000000003</v>
      </c>
      <c r="CD25" s="719">
        <v>99292651</v>
      </c>
      <c r="CE25" s="728">
        <v>13523.68</v>
      </c>
      <c r="CF25" s="725">
        <v>99515535</v>
      </c>
      <c r="CG25" s="736">
        <v>526.99</v>
      </c>
      <c r="CH25" s="725"/>
      <c r="CI25" s="736"/>
      <c r="CJ25" s="742"/>
      <c r="CK25" s="755"/>
      <c r="CL25" s="747">
        <v>99477444</v>
      </c>
      <c r="CM25" s="748">
        <v>128.52000000000001</v>
      </c>
      <c r="CN25" s="694">
        <v>99292651</v>
      </c>
      <c r="CO25" s="690">
        <f>CE25+CG25+CI25+CK25+CM25</f>
        <v>14179.19</v>
      </c>
    </row>
    <row r="26" spans="1:93">
      <c r="A26" s="7">
        <v>28</v>
      </c>
      <c r="B26" s="7">
        <v>846</v>
      </c>
      <c r="C26" s="409" t="s">
        <v>649</v>
      </c>
      <c r="D26" s="7">
        <v>2</v>
      </c>
      <c r="E26" s="409">
        <v>2</v>
      </c>
      <c r="F26" s="13"/>
      <c r="G26" s="13"/>
      <c r="H26" s="13"/>
      <c r="I26" s="13"/>
      <c r="J26" s="13"/>
      <c r="K26" s="13"/>
      <c r="L26" s="13"/>
      <c r="M26" s="409" t="s">
        <v>650</v>
      </c>
      <c r="N26" s="7"/>
      <c r="O26" s="7"/>
      <c r="P26" s="13"/>
      <c r="Q26" s="13"/>
      <c r="R26" s="13"/>
      <c r="S26" s="13"/>
      <c r="T26" s="13"/>
      <c r="U26" s="13"/>
      <c r="V26" s="13"/>
      <c r="W26" s="13"/>
      <c r="X26" s="13"/>
      <c r="Y26" s="409" t="s">
        <v>650</v>
      </c>
      <c r="Z26" s="7"/>
      <c r="AA26" s="13"/>
      <c r="AB26" s="13"/>
      <c r="AC26" s="13"/>
      <c r="AD26" s="13"/>
      <c r="AE26" s="13"/>
      <c r="AF26" s="13"/>
      <c r="AG26" s="13"/>
      <c r="AH26" s="13"/>
      <c r="AI26" s="409" t="s">
        <v>650</v>
      </c>
      <c r="AJ26" s="13"/>
      <c r="AK26" s="13"/>
      <c r="AL26" s="13"/>
      <c r="AM26" s="13"/>
      <c r="AN26" s="13"/>
      <c r="AO26" s="7"/>
      <c r="AP26" s="13"/>
      <c r="AQ26" s="13"/>
      <c r="AR26" s="7"/>
      <c r="AS26" s="13"/>
      <c r="AT26" s="409" t="s">
        <v>650</v>
      </c>
      <c r="AU26" s="13"/>
      <c r="AV26" s="7"/>
      <c r="AW26" s="13"/>
      <c r="AX26" s="13"/>
      <c r="AY26" s="13"/>
      <c r="AZ26" s="13"/>
      <c r="BA26" s="13"/>
      <c r="BB26" s="13"/>
      <c r="BC26" s="7" t="s">
        <v>1108</v>
      </c>
      <c r="BD26" s="7"/>
      <c r="BE26" s="7"/>
      <c r="BF26" s="7"/>
      <c r="BG26" s="7"/>
      <c r="BH26" s="7"/>
      <c r="BI26" s="7"/>
      <c r="BJ26" s="7"/>
      <c r="BK26" s="7"/>
      <c r="BL26" s="7"/>
      <c r="BM26" s="103"/>
      <c r="BN26" s="716">
        <v>99343333</v>
      </c>
      <c r="BO26" s="717">
        <v>22784.639999999999</v>
      </c>
      <c r="BP26" s="187">
        <v>99213750</v>
      </c>
      <c r="BQ26" s="188">
        <v>6000.42</v>
      </c>
      <c r="BR26" s="187">
        <v>99498412</v>
      </c>
      <c r="BS26" s="679" t="s">
        <v>1109</v>
      </c>
      <c r="BT26" s="711" t="s">
        <v>1110</v>
      </c>
      <c r="BU26" s="713"/>
      <c r="BV26" s="358">
        <v>99213763</v>
      </c>
      <c r="BW26" s="359">
        <v>128.52000000000001</v>
      </c>
      <c r="BX26" s="219"/>
      <c r="BY26" s="247"/>
      <c r="BZ26" s="363">
        <v>99343333</v>
      </c>
      <c r="CA26" s="356">
        <f>BO26+BQ26+BS26+BU26+BW26+BY26</f>
        <v>29232.079999999998</v>
      </c>
      <c r="CD26" s="719">
        <v>99343333</v>
      </c>
      <c r="CE26" s="721">
        <v>11431.95</v>
      </c>
      <c r="CF26" s="725"/>
      <c r="CG26" s="736"/>
      <c r="CH26" s="725"/>
      <c r="CI26" s="736"/>
      <c r="CJ26" s="742"/>
      <c r="CK26" s="755"/>
      <c r="CL26" s="747"/>
      <c r="CM26" s="748"/>
      <c r="CN26" s="694" t="s">
        <v>1111</v>
      </c>
      <c r="CO26" s="689">
        <v>11431.95</v>
      </c>
    </row>
    <row r="27" spans="1:93" hidden="1">
      <c r="A27" s="410">
        <v>29</v>
      </c>
      <c r="B27" s="9">
        <v>941</v>
      </c>
      <c r="C27" s="9" t="s">
        <v>648</v>
      </c>
      <c r="D27" s="9">
        <v>2</v>
      </c>
      <c r="E27" s="9"/>
      <c r="F27" s="13"/>
      <c r="G27" s="13"/>
      <c r="H27" s="13"/>
      <c r="I27" s="13"/>
      <c r="J27" s="13"/>
      <c r="K27" s="13"/>
      <c r="L27" s="9"/>
      <c r="M27" s="410" t="s">
        <v>650</v>
      </c>
      <c r="N27" s="9"/>
      <c r="O27" s="9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38" t="s">
        <v>650</v>
      </c>
      <c r="AM27" s="9"/>
      <c r="AN27" s="9"/>
      <c r="AO27" s="38" t="s">
        <v>650</v>
      </c>
      <c r="AP27" s="13"/>
      <c r="AQ27" s="13"/>
      <c r="AR27" s="9"/>
      <c r="AS27" s="13"/>
      <c r="AT27" s="9"/>
      <c r="AU27" s="13"/>
      <c r="AV27" s="9"/>
      <c r="AW27" s="13"/>
      <c r="AX27" s="13"/>
      <c r="AY27" s="13"/>
      <c r="AZ27" s="13"/>
      <c r="BA27" s="13"/>
      <c r="BB27" s="13"/>
      <c r="BC27" s="9" t="s">
        <v>1112</v>
      </c>
      <c r="BD27" s="9"/>
      <c r="BE27" s="9"/>
      <c r="BF27" s="9"/>
      <c r="BG27" s="9"/>
      <c r="BH27" s="9"/>
      <c r="BI27" s="9"/>
      <c r="BJ27" s="9"/>
      <c r="BK27" s="9"/>
      <c r="BL27" s="9"/>
      <c r="BM27" s="141"/>
      <c r="BN27" s="234">
        <v>98999268</v>
      </c>
      <c r="BO27" s="174">
        <v>17004.349999999999</v>
      </c>
      <c r="BP27" s="187" t="s">
        <v>1110</v>
      </c>
      <c r="BQ27" s="188"/>
      <c r="BR27" s="187"/>
      <c r="BS27" s="265"/>
      <c r="BT27" s="710">
        <v>98998860</v>
      </c>
      <c r="BU27" s="713">
        <v>488.25</v>
      </c>
      <c r="BV27" s="358">
        <v>98998891</v>
      </c>
      <c r="BW27" s="359">
        <v>128.52000000000001</v>
      </c>
      <c r="BX27" s="219"/>
      <c r="BY27" s="247"/>
      <c r="BZ27" s="363">
        <f>BN27</f>
        <v>98999268</v>
      </c>
      <c r="CA27" s="356">
        <f>BO27+BQ27+BS27+BW27+BY27+BU27</f>
        <v>17621.12</v>
      </c>
      <c r="CD27" s="719">
        <v>98999268</v>
      </c>
      <c r="CE27" s="729">
        <v>10199.040000000001</v>
      </c>
      <c r="CF27" s="725"/>
      <c r="CG27" s="736"/>
      <c r="CH27" s="725"/>
      <c r="CI27" s="736"/>
      <c r="CJ27" s="742"/>
      <c r="CK27" s="755"/>
      <c r="CL27" s="747"/>
      <c r="CM27" s="748"/>
      <c r="CN27" s="694" t="s">
        <v>1113</v>
      </c>
      <c r="CO27" s="691">
        <f>CE27</f>
        <v>10199.040000000001</v>
      </c>
    </row>
    <row r="28" spans="1:93" hidden="1">
      <c r="A28" s="409">
        <v>30</v>
      </c>
      <c r="B28" s="409">
        <v>914</v>
      </c>
      <c r="C28" s="409" t="s">
        <v>648</v>
      </c>
      <c r="D28" s="409">
        <v>3</v>
      </c>
      <c r="E28" s="409">
        <v>1</v>
      </c>
      <c r="F28" s="13"/>
      <c r="G28" s="13"/>
      <c r="H28" s="7"/>
      <c r="I28" s="13"/>
      <c r="J28" s="13"/>
      <c r="K28" s="13"/>
      <c r="L28" s="13"/>
      <c r="M28" s="7"/>
      <c r="N28" s="409" t="s">
        <v>650</v>
      </c>
      <c r="O28" s="13"/>
      <c r="P28" s="13"/>
      <c r="Q28" s="7"/>
      <c r="R28" s="13"/>
      <c r="S28" s="13"/>
      <c r="T28" s="7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7"/>
      <c r="AS28" s="13"/>
      <c r="AT28" s="409" t="s">
        <v>650</v>
      </c>
      <c r="AU28" s="13"/>
      <c r="AV28" s="7"/>
      <c r="AW28" s="13"/>
      <c r="AX28" s="13"/>
      <c r="AY28" s="13"/>
      <c r="AZ28" s="13"/>
      <c r="BA28" s="13"/>
      <c r="BB28" s="13"/>
      <c r="BC28" s="7" t="s">
        <v>1114</v>
      </c>
      <c r="BD28" s="7"/>
      <c r="BE28" s="7"/>
      <c r="BF28" s="7"/>
      <c r="BG28" s="7"/>
      <c r="BH28" s="7"/>
      <c r="BI28" s="7"/>
      <c r="BJ28" s="7"/>
      <c r="BK28" s="7"/>
      <c r="BL28" s="7"/>
      <c r="BM28" s="103"/>
      <c r="BN28" s="234">
        <v>99314106</v>
      </c>
      <c r="BO28" s="174">
        <v>22222.13</v>
      </c>
      <c r="BP28" s="187">
        <v>99313720</v>
      </c>
      <c r="BQ28" s="188">
        <v>4794.3500000000004</v>
      </c>
      <c r="BR28" s="187"/>
      <c r="BS28" s="265"/>
      <c r="BT28" s="710"/>
      <c r="BU28" s="713"/>
      <c r="BV28" s="358"/>
      <c r="BW28" s="359"/>
      <c r="BX28" s="219"/>
      <c r="BY28" s="247"/>
      <c r="BZ28" s="363">
        <f>BN28</f>
        <v>99314106</v>
      </c>
      <c r="CA28" s="356">
        <f>BO28+BQ28+BS28+BU28+BW28+BY28</f>
        <v>27016.480000000003</v>
      </c>
      <c r="CD28" s="720">
        <v>99314106</v>
      </c>
      <c r="CE28" s="730">
        <v>12677.39</v>
      </c>
      <c r="CF28" s="726"/>
      <c r="CG28" s="737"/>
      <c r="CH28" s="726"/>
      <c r="CI28" s="737"/>
      <c r="CJ28" s="743">
        <v>99313693</v>
      </c>
      <c r="CK28" s="756">
        <v>488.25</v>
      </c>
      <c r="CL28" s="749"/>
      <c r="CM28" s="750"/>
      <c r="CN28" s="694"/>
      <c r="CO28" s="691">
        <f>CE28+CG28+CI28+CK28+CM28</f>
        <v>13165.64</v>
      </c>
    </row>
    <row r="29" spans="1:93" hidden="1">
      <c r="A29" s="9">
        <v>37</v>
      </c>
      <c r="B29" s="9">
        <v>713</v>
      </c>
      <c r="C29" s="410" t="s">
        <v>649</v>
      </c>
      <c r="D29" s="9">
        <v>2</v>
      </c>
      <c r="E29" s="410">
        <v>1</v>
      </c>
      <c r="F29" s="13"/>
      <c r="G29" s="13"/>
      <c r="H29" s="13"/>
      <c r="I29" s="13"/>
      <c r="J29" s="13"/>
      <c r="K29" s="13"/>
      <c r="L29" s="13"/>
      <c r="M29" s="410" t="s">
        <v>650</v>
      </c>
      <c r="N29" s="38" t="s">
        <v>650</v>
      </c>
      <c r="O29" s="9"/>
      <c r="P29" s="13"/>
      <c r="Q29" s="13"/>
      <c r="R29" s="13"/>
      <c r="S29" s="13"/>
      <c r="T29" s="410" t="s">
        <v>650</v>
      </c>
      <c r="U29" s="9"/>
      <c r="V29" s="13"/>
      <c r="W29" s="9"/>
      <c r="X29" s="13"/>
      <c r="Y29" s="410" t="s">
        <v>650</v>
      </c>
      <c r="Z29" s="9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410" t="s">
        <v>650</v>
      </c>
      <c r="AP29" s="13"/>
      <c r="AQ29" s="410" t="s">
        <v>650</v>
      </c>
      <c r="AR29" s="9"/>
      <c r="AS29" s="13"/>
      <c r="AT29" s="410" t="s">
        <v>650</v>
      </c>
      <c r="AU29" s="13"/>
      <c r="AV29" s="410" t="s">
        <v>650</v>
      </c>
      <c r="AW29" s="13"/>
      <c r="AX29" s="13"/>
      <c r="AY29" s="410" t="s">
        <v>650</v>
      </c>
      <c r="AZ29" s="13"/>
      <c r="BA29" s="13"/>
      <c r="BB29" s="13"/>
      <c r="BC29" s="9" t="s">
        <v>1115</v>
      </c>
      <c r="BD29" s="9"/>
      <c r="BE29" s="9"/>
      <c r="BF29" s="9"/>
      <c r="BG29" s="9"/>
      <c r="BH29" s="9"/>
      <c r="BI29" s="9"/>
      <c r="BJ29" s="9"/>
      <c r="BK29" s="9"/>
      <c r="BL29" s="9"/>
      <c r="BM29" s="141"/>
      <c r="BN29" s="437">
        <v>97469010</v>
      </c>
      <c r="BO29" s="438">
        <v>22860.32</v>
      </c>
      <c r="BP29" s="433">
        <v>97468814</v>
      </c>
      <c r="BQ29" s="434">
        <v>4412.6899999999996</v>
      </c>
      <c r="BR29" s="187"/>
      <c r="BS29" s="265"/>
      <c r="BT29" s="435">
        <v>97468790</v>
      </c>
      <c r="BU29" s="436">
        <v>488.25</v>
      </c>
      <c r="BV29" s="441">
        <v>97538825</v>
      </c>
      <c r="BW29" s="442">
        <v>128.52000000000001</v>
      </c>
      <c r="BX29" s="439">
        <v>97469010</v>
      </c>
      <c r="BY29" s="440">
        <v>11303.04</v>
      </c>
      <c r="BZ29" s="443">
        <v>97469010</v>
      </c>
      <c r="CA29" s="444">
        <f>BY29+BW29+BU29+BQ29+BO29</f>
        <v>39192.82</v>
      </c>
      <c r="CD29" s="702"/>
      <c r="CE29" s="702"/>
      <c r="CF29" s="703"/>
      <c r="CG29" s="703"/>
      <c r="CH29" s="703"/>
      <c r="CI29" s="703"/>
      <c r="CJ29" s="704"/>
      <c r="CK29" s="705"/>
      <c r="CL29" s="706"/>
      <c r="CM29" s="707"/>
    </row>
    <row r="30" spans="1:93" hidden="1">
      <c r="A30" s="7">
        <v>38</v>
      </c>
      <c r="B30" s="7">
        <v>914</v>
      </c>
      <c r="C30" s="7" t="s">
        <v>648</v>
      </c>
      <c r="D30" s="7">
        <v>2</v>
      </c>
      <c r="E30" s="7">
        <v>1</v>
      </c>
      <c r="F30" s="13"/>
      <c r="G30" s="13"/>
      <c r="H30" s="7"/>
      <c r="I30" s="13"/>
      <c r="J30" s="13"/>
      <c r="K30" s="13"/>
      <c r="L30" s="13"/>
      <c r="M30" s="7" t="s">
        <v>650</v>
      </c>
      <c r="N30" s="7" t="s">
        <v>650</v>
      </c>
      <c r="O30" s="13"/>
      <c r="P30" s="13"/>
      <c r="Q30" s="7"/>
      <c r="R30" s="13"/>
      <c r="S30" s="13"/>
      <c r="T30" s="7" t="s">
        <v>650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7"/>
      <c r="AS30" s="13"/>
      <c r="AT30" s="7" t="s">
        <v>650</v>
      </c>
      <c r="AU30" s="13"/>
      <c r="AV30" s="7" t="s">
        <v>650</v>
      </c>
      <c r="AW30" s="13"/>
      <c r="AX30" s="13"/>
      <c r="AY30" s="13"/>
      <c r="AZ30" s="13"/>
      <c r="BA30" s="13"/>
      <c r="BB30" s="13"/>
      <c r="BC30" s="7" t="s">
        <v>1116</v>
      </c>
      <c r="BD30" s="7"/>
      <c r="BE30" s="7"/>
      <c r="BF30" s="7"/>
      <c r="BG30" s="7"/>
      <c r="BH30" s="7"/>
      <c r="BI30" s="7"/>
      <c r="BJ30" s="7"/>
      <c r="BK30" s="7"/>
      <c r="BL30" s="7"/>
      <c r="BM30" s="103"/>
      <c r="BN30" s="437">
        <v>97470412</v>
      </c>
      <c r="BO30" s="438">
        <v>21395.59</v>
      </c>
      <c r="BP30" s="433">
        <v>97470139</v>
      </c>
      <c r="BQ30" s="434">
        <v>1997.28</v>
      </c>
      <c r="BR30" s="187"/>
      <c r="BS30" s="265"/>
      <c r="BT30" s="435">
        <v>97470112</v>
      </c>
      <c r="BU30" s="436">
        <v>488.25</v>
      </c>
      <c r="BV30" s="441">
        <v>97538841</v>
      </c>
      <c r="BW30" s="442">
        <v>128.52000000000001</v>
      </c>
      <c r="BX30" s="439">
        <v>97470412</v>
      </c>
      <c r="BY30" s="440">
        <v>12116.8</v>
      </c>
      <c r="BZ30" s="363">
        <v>97470412</v>
      </c>
      <c r="CA30" s="356">
        <f>BY30+BW30+BU30+BQ30+BO30</f>
        <v>36126.44</v>
      </c>
      <c r="CD30" s="608"/>
      <c r="CE30" s="608"/>
      <c r="CF30" s="609"/>
      <c r="CG30" s="609"/>
      <c r="CH30" s="609"/>
      <c r="CI30" s="609"/>
      <c r="CJ30" s="610"/>
      <c r="CK30" s="611"/>
      <c r="CL30" s="612"/>
      <c r="CM30" s="442"/>
    </row>
    <row r="31" spans="1:93" s="158" customFormat="1" ht="16.5" hidden="1" customHeight="1">
      <c r="A31" s="410">
        <v>39</v>
      </c>
      <c r="B31" s="410">
        <v>915</v>
      </c>
      <c r="C31" s="410" t="s">
        <v>647</v>
      </c>
      <c r="D31" s="410">
        <v>2</v>
      </c>
      <c r="E31" s="410">
        <v>1</v>
      </c>
      <c r="F31" s="632"/>
      <c r="G31" s="632"/>
      <c r="H31" s="410"/>
      <c r="I31" s="632"/>
      <c r="J31" s="632"/>
      <c r="K31" s="632"/>
      <c r="L31" s="632"/>
      <c r="M31" s="410"/>
      <c r="N31" s="632"/>
      <c r="O31" s="410"/>
      <c r="P31" s="632"/>
      <c r="Q31" s="632"/>
      <c r="R31" s="632"/>
      <c r="S31" s="632"/>
      <c r="T31" s="632"/>
      <c r="U31" s="632"/>
      <c r="V31" s="632"/>
      <c r="W31" s="632"/>
      <c r="X31" s="632"/>
      <c r="Y31" s="632"/>
      <c r="Z31" s="632"/>
      <c r="AA31" s="632"/>
      <c r="AB31" s="632"/>
      <c r="AC31" s="632"/>
      <c r="AD31" s="632"/>
      <c r="AE31" s="632"/>
      <c r="AF31" s="410" t="s">
        <v>650</v>
      </c>
      <c r="AG31" s="632"/>
      <c r="AH31" s="632"/>
      <c r="AI31" s="632"/>
      <c r="AJ31" s="632"/>
      <c r="AK31" s="632"/>
      <c r="AL31" s="632"/>
      <c r="AM31" s="632"/>
      <c r="AN31" s="632"/>
      <c r="AO31" s="632"/>
      <c r="AP31" s="410"/>
      <c r="AQ31" s="632"/>
      <c r="AR31" s="410"/>
      <c r="AS31" s="632"/>
      <c r="AT31" s="632"/>
      <c r="AU31" s="528" t="s">
        <v>650</v>
      </c>
      <c r="AV31" s="632"/>
      <c r="AW31" s="632"/>
      <c r="AX31" s="632"/>
      <c r="AY31" s="632"/>
      <c r="AZ31" s="410" t="s">
        <v>650</v>
      </c>
      <c r="BA31" s="632"/>
      <c r="BB31" s="632"/>
      <c r="BC31" s="410" t="s">
        <v>1117</v>
      </c>
      <c r="BD31" s="410"/>
      <c r="BE31" s="410"/>
      <c r="BF31" s="410"/>
      <c r="BG31" s="410"/>
      <c r="BH31" s="410"/>
      <c r="BI31" s="410"/>
      <c r="BJ31" s="410"/>
      <c r="BK31" s="410"/>
      <c r="BL31" s="410"/>
      <c r="BM31" s="656"/>
      <c r="BN31" s="437">
        <v>97343026</v>
      </c>
      <c r="BO31" s="438">
        <v>17895.41</v>
      </c>
      <c r="BP31" s="433">
        <v>97342766</v>
      </c>
      <c r="BQ31" s="434">
        <v>90.64</v>
      </c>
      <c r="BR31" s="433">
        <v>97342752</v>
      </c>
      <c r="BS31" s="434">
        <v>501.37</v>
      </c>
      <c r="BT31" s="435">
        <v>97342718</v>
      </c>
      <c r="BU31" s="436">
        <v>488.25</v>
      </c>
      <c r="BV31" s="441"/>
      <c r="BW31" s="634"/>
      <c r="BX31" s="439">
        <v>97343026</v>
      </c>
      <c r="BY31" s="440">
        <v>9227.3700000000008</v>
      </c>
      <c r="BZ31" s="443">
        <v>97343026</v>
      </c>
      <c r="CA31" s="444">
        <f>BY31+BU31+BS31+BQ31+BO31</f>
        <v>28203.040000000001</v>
      </c>
      <c r="CD31" s="790"/>
      <c r="CE31" s="790"/>
      <c r="CF31" s="791"/>
      <c r="CG31" s="791"/>
      <c r="CH31" s="791"/>
      <c r="CI31" s="791"/>
      <c r="CJ31" s="610"/>
      <c r="CK31" s="611"/>
      <c r="CL31" s="612"/>
      <c r="CM31" s="634"/>
      <c r="CN31" s="792"/>
      <c r="CO31" s="792"/>
    </row>
    <row r="32" spans="1:93" hidden="1">
      <c r="A32" s="7">
        <v>40</v>
      </c>
      <c r="B32" s="7">
        <v>712</v>
      </c>
      <c r="C32" s="7" t="s">
        <v>648</v>
      </c>
      <c r="D32" s="7">
        <v>2</v>
      </c>
      <c r="E32" s="13"/>
      <c r="F32" s="7"/>
      <c r="G32" s="13"/>
      <c r="H32" s="13"/>
      <c r="I32" s="13"/>
      <c r="J32" s="13"/>
      <c r="K32" s="13"/>
      <c r="L32" s="13"/>
      <c r="M32" s="7" t="s">
        <v>289</v>
      </c>
      <c r="N32" s="7"/>
      <c r="O32" s="7"/>
      <c r="P32" s="13"/>
      <c r="Q32" s="13"/>
      <c r="R32" s="13"/>
      <c r="S32" s="13"/>
      <c r="T32" s="13"/>
      <c r="U32" s="7"/>
      <c r="V32" s="13"/>
      <c r="W32" s="7"/>
      <c r="X32" s="13"/>
      <c r="Y32" s="7" t="s">
        <v>650</v>
      </c>
      <c r="Z32" s="7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7" t="s">
        <v>650</v>
      </c>
      <c r="AP32" s="13"/>
      <c r="AQ32" s="13"/>
      <c r="AR32" s="7"/>
      <c r="AS32" s="13"/>
      <c r="AT32" s="7" t="s">
        <v>650</v>
      </c>
      <c r="AU32" s="13"/>
      <c r="AV32" s="7" t="s">
        <v>650</v>
      </c>
      <c r="AW32" s="13"/>
      <c r="AX32" s="13"/>
      <c r="AY32" s="7" t="s">
        <v>650</v>
      </c>
      <c r="AZ32" s="13"/>
      <c r="BA32" s="13"/>
      <c r="BB32" s="13"/>
      <c r="BC32" s="7" t="s">
        <v>1118</v>
      </c>
      <c r="BD32" s="7"/>
      <c r="BE32" s="7"/>
      <c r="BF32" s="7"/>
      <c r="BG32" s="7"/>
      <c r="BH32" s="7"/>
      <c r="BI32" s="7"/>
      <c r="BJ32" s="7"/>
      <c r="BK32" s="7"/>
      <c r="BL32" s="7"/>
      <c r="BM32" s="103"/>
      <c r="BN32" s="437">
        <v>97276096</v>
      </c>
      <c r="BO32" s="438">
        <v>18522.689999999999</v>
      </c>
      <c r="BP32" s="433">
        <v>97276079</v>
      </c>
      <c r="BQ32" s="434">
        <v>740.02</v>
      </c>
      <c r="BR32" s="187"/>
      <c r="BS32" s="265"/>
      <c r="BT32" s="435">
        <v>97276051</v>
      </c>
      <c r="BU32" s="436">
        <v>488.25</v>
      </c>
      <c r="BV32" s="358"/>
      <c r="BW32" s="359"/>
      <c r="BX32" s="439">
        <v>97276096</v>
      </c>
      <c r="BY32" s="440">
        <v>10888.11</v>
      </c>
      <c r="BZ32" s="363">
        <v>97276096</v>
      </c>
      <c r="CA32" s="356">
        <f>BY32+BU32+BQ32+BO32</f>
        <v>30639.07</v>
      </c>
      <c r="CD32" s="608"/>
      <c r="CE32" s="608"/>
      <c r="CF32" s="609"/>
      <c r="CG32" s="609"/>
      <c r="CH32" s="609"/>
      <c r="CI32" s="609"/>
      <c r="CJ32" s="610"/>
      <c r="CK32" s="611"/>
      <c r="CL32" s="613"/>
      <c r="CM32" s="359"/>
    </row>
    <row r="33" spans="1:93" s="158" customFormat="1" hidden="1">
      <c r="A33" s="410">
        <v>41</v>
      </c>
      <c r="B33" s="410">
        <v>914</v>
      </c>
      <c r="C33" s="410" t="s">
        <v>647</v>
      </c>
      <c r="D33" s="410">
        <v>2</v>
      </c>
      <c r="E33" s="410" t="s">
        <v>650</v>
      </c>
      <c r="F33" s="410"/>
      <c r="G33" s="410"/>
      <c r="H33" s="410"/>
      <c r="I33" s="410"/>
      <c r="J33" s="410"/>
      <c r="K33" s="410"/>
      <c r="L33" s="410"/>
      <c r="M33" s="410"/>
      <c r="N33" s="410"/>
      <c r="O33" s="410"/>
      <c r="P33" s="410"/>
      <c r="Q33" s="410"/>
      <c r="R33" s="410"/>
      <c r="S33" s="410"/>
      <c r="T33" s="410" t="s">
        <v>650</v>
      </c>
      <c r="U33" s="410"/>
      <c r="V33" s="410"/>
      <c r="W33" s="410"/>
      <c r="X33" s="410"/>
      <c r="Y33" s="410"/>
      <c r="Z33" s="410"/>
      <c r="AA33" s="410"/>
      <c r="AB33" s="410"/>
      <c r="AC33" s="410"/>
      <c r="AD33" s="410"/>
      <c r="AE33" s="410"/>
      <c r="AF33" s="410"/>
      <c r="AG33" s="410"/>
      <c r="AH33" s="410"/>
      <c r="AI33" s="410"/>
      <c r="AJ33" s="410"/>
      <c r="AK33" s="410"/>
      <c r="AL33" s="410"/>
      <c r="AM33" s="410"/>
      <c r="AN33" s="410"/>
      <c r="AO33" s="410"/>
      <c r="AP33" s="410"/>
      <c r="AQ33" s="410"/>
      <c r="AR33" s="410"/>
      <c r="AS33" s="410"/>
      <c r="AT33" s="410" t="s">
        <v>650</v>
      </c>
      <c r="AU33" s="410"/>
      <c r="AV33" s="410"/>
      <c r="AW33" s="410"/>
      <c r="AX33" s="410"/>
      <c r="AY33" s="410"/>
      <c r="AZ33" s="410"/>
      <c r="BA33" s="410"/>
      <c r="BB33" s="632"/>
      <c r="BC33" s="410" t="s">
        <v>1119</v>
      </c>
      <c r="BD33" s="410"/>
      <c r="BE33" s="410"/>
      <c r="BF33" s="410"/>
      <c r="BG33" s="410"/>
      <c r="BH33" s="410"/>
      <c r="BI33" s="410"/>
      <c r="BJ33" s="410"/>
      <c r="BK33" s="410"/>
      <c r="BL33" s="410"/>
      <c r="BM33" s="656"/>
      <c r="BN33" s="840">
        <v>138913</v>
      </c>
      <c r="BO33" s="841">
        <v>19703.810000000001</v>
      </c>
      <c r="BP33" s="187">
        <v>138671</v>
      </c>
      <c r="BQ33" s="188">
        <v>296.08</v>
      </c>
      <c r="BR33" s="433"/>
      <c r="BS33" s="633"/>
      <c r="BT33" s="435"/>
      <c r="BU33" s="436"/>
      <c r="BV33" s="441"/>
      <c r="BW33" s="634"/>
      <c r="BX33" s="439">
        <v>138913</v>
      </c>
      <c r="BY33" s="534">
        <v>12677.17</v>
      </c>
      <c r="BZ33" s="443">
        <f>BN33</f>
        <v>138913</v>
      </c>
      <c r="CA33" s="444">
        <f>BY33+BW33+BU33+BS33+BQ33+BO33</f>
        <v>32677.06</v>
      </c>
      <c r="CD33" s="790"/>
      <c r="CE33" s="823"/>
      <c r="CF33" s="791"/>
      <c r="CG33" s="791"/>
      <c r="CH33" s="791"/>
      <c r="CI33" s="791"/>
      <c r="CJ33" s="610"/>
      <c r="CK33" s="610"/>
      <c r="CL33" s="612"/>
      <c r="CM33" s="634"/>
      <c r="CN33" s="792" t="s">
        <v>1120</v>
      </c>
      <c r="CO33" s="824">
        <f>CE33+CG33+CI33+CK33+CM33</f>
        <v>0</v>
      </c>
    </row>
    <row r="34" spans="1:93" s="158" customFormat="1" hidden="1">
      <c r="A34" s="409">
        <v>42</v>
      </c>
      <c r="B34" s="409">
        <v>712</v>
      </c>
      <c r="C34" s="409" t="s">
        <v>649</v>
      </c>
      <c r="D34" s="409">
        <v>2</v>
      </c>
      <c r="E34" s="409"/>
      <c r="F34" s="409"/>
      <c r="G34" s="409"/>
      <c r="H34" s="409"/>
      <c r="I34" s="409"/>
      <c r="J34" s="409"/>
      <c r="K34" s="409"/>
      <c r="L34" s="409"/>
      <c r="M34" s="409" t="s">
        <v>650</v>
      </c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09"/>
      <c r="AD34" s="409"/>
      <c r="AE34" s="409"/>
      <c r="AF34" s="409"/>
      <c r="AG34" s="409"/>
      <c r="AH34" s="409"/>
      <c r="AI34" s="409"/>
      <c r="AJ34" s="409"/>
      <c r="AK34" s="409"/>
      <c r="AL34" s="409"/>
      <c r="AM34" s="409"/>
      <c r="AN34" s="409"/>
      <c r="AO34" s="409"/>
      <c r="AP34" s="409"/>
      <c r="AQ34" s="409"/>
      <c r="AR34" s="409"/>
      <c r="AS34" s="409"/>
      <c r="AT34" s="409" t="s">
        <v>650</v>
      </c>
      <c r="AU34" s="409"/>
      <c r="AV34" s="409" t="s">
        <v>650</v>
      </c>
      <c r="AW34" s="409"/>
      <c r="AX34" s="409"/>
      <c r="AY34" s="409"/>
      <c r="AZ34" s="409"/>
      <c r="BA34" s="409"/>
      <c r="BB34" s="632"/>
      <c r="BC34" s="409" t="s">
        <v>1121</v>
      </c>
      <c r="BD34" s="409"/>
      <c r="BE34" s="409"/>
      <c r="BF34" s="409"/>
      <c r="BG34" s="409"/>
      <c r="BH34" s="409"/>
      <c r="BI34" s="409"/>
      <c r="BJ34" s="409"/>
      <c r="BK34" s="409"/>
      <c r="BL34" s="409"/>
      <c r="BM34" s="557"/>
      <c r="BN34" s="840">
        <v>138929</v>
      </c>
      <c r="BO34" s="841">
        <v>17537.88</v>
      </c>
      <c r="BP34" s="433">
        <v>138755</v>
      </c>
      <c r="BQ34" s="434">
        <v>188.9</v>
      </c>
      <c r="BR34" s="433"/>
      <c r="BS34" s="633"/>
      <c r="BT34" s="435"/>
      <c r="BU34" s="436"/>
      <c r="BV34" s="441"/>
      <c r="BW34" s="634"/>
      <c r="BX34" s="439">
        <v>138929</v>
      </c>
      <c r="BY34" s="534">
        <v>10472.200000000001</v>
      </c>
      <c r="BZ34" s="443">
        <f>BN34</f>
        <v>138929</v>
      </c>
      <c r="CA34" s="444">
        <f>BY34+BW34+BU34+BS34+BQ34+BO34</f>
        <v>28198.980000000003</v>
      </c>
      <c r="CD34" s="819"/>
      <c r="CE34" s="820"/>
      <c r="CF34" s="821"/>
      <c r="CG34" s="821"/>
      <c r="CH34" s="821"/>
      <c r="CI34" s="821"/>
      <c r="CJ34" s="698"/>
      <c r="CK34" s="698"/>
      <c r="CL34" s="700"/>
      <c r="CM34" s="822"/>
      <c r="CN34" s="792" t="s">
        <v>1122</v>
      </c>
      <c r="CO34" s="825">
        <f>CM34+CK34+CI34+CG34+CE34</f>
        <v>0</v>
      </c>
    </row>
    <row r="35" spans="1:93" s="158" customFormat="1" hidden="1">
      <c r="A35" s="410">
        <v>43</v>
      </c>
      <c r="B35" s="410">
        <v>921</v>
      </c>
      <c r="C35" s="410" t="s">
        <v>649</v>
      </c>
      <c r="D35" s="410">
        <v>2</v>
      </c>
      <c r="E35" s="410"/>
      <c r="F35" s="410" t="s">
        <v>650</v>
      </c>
      <c r="G35" s="410"/>
      <c r="H35" s="410"/>
      <c r="I35" s="410"/>
      <c r="J35" s="410"/>
      <c r="K35" s="410"/>
      <c r="L35" s="410"/>
      <c r="M35" s="410" t="s">
        <v>650</v>
      </c>
      <c r="N35" s="410"/>
      <c r="O35" s="410" t="s">
        <v>650</v>
      </c>
      <c r="P35" s="410"/>
      <c r="Q35" s="410"/>
      <c r="R35" s="410"/>
      <c r="S35" s="410"/>
      <c r="T35" s="410"/>
      <c r="U35" s="410"/>
      <c r="V35" s="410"/>
      <c r="W35" s="410"/>
      <c r="X35" s="410"/>
      <c r="Y35" s="410"/>
      <c r="Z35" s="410"/>
      <c r="AA35" s="410"/>
      <c r="AB35" s="410"/>
      <c r="AC35" s="410"/>
      <c r="AD35" s="410"/>
      <c r="AE35" s="410"/>
      <c r="AF35" s="410"/>
      <c r="AG35" s="410"/>
      <c r="AH35" s="410"/>
      <c r="AI35" s="410"/>
      <c r="AJ35" s="410"/>
      <c r="AK35" s="410"/>
      <c r="AL35" s="410"/>
      <c r="AM35" s="410"/>
      <c r="AN35" s="410"/>
      <c r="AO35" s="410"/>
      <c r="AP35" s="410"/>
      <c r="AQ35" s="410"/>
      <c r="AR35" s="410"/>
      <c r="AS35" s="410"/>
      <c r="AT35" s="410" t="s">
        <v>650</v>
      </c>
      <c r="AU35" s="410"/>
      <c r="AV35" s="410"/>
      <c r="AW35" s="410"/>
      <c r="AX35" s="410"/>
      <c r="AY35" s="410"/>
      <c r="AZ35" s="410"/>
      <c r="BA35" s="410"/>
      <c r="BB35" s="632"/>
      <c r="BC35" s="410" t="s">
        <v>1123</v>
      </c>
      <c r="BD35" s="410"/>
      <c r="BE35" s="410"/>
      <c r="BF35" s="410"/>
      <c r="BG35" s="410"/>
      <c r="BH35" s="410"/>
      <c r="BI35" s="410"/>
      <c r="BJ35" s="410"/>
      <c r="BK35" s="410"/>
      <c r="BL35" s="410"/>
      <c r="BM35" s="656"/>
      <c r="BN35" s="437">
        <v>99671275</v>
      </c>
      <c r="BO35" s="438">
        <v>15048.27</v>
      </c>
      <c r="BP35" s="433">
        <v>99671031</v>
      </c>
      <c r="BQ35" s="434">
        <v>1769.57</v>
      </c>
      <c r="BR35" s="433"/>
      <c r="BS35" s="633"/>
      <c r="BT35" s="712" t="s">
        <v>1104</v>
      </c>
      <c r="BU35" s="714"/>
      <c r="BV35" s="441"/>
      <c r="BW35" s="634"/>
      <c r="BX35" s="439"/>
      <c r="BY35" s="534"/>
      <c r="BZ35" s="443">
        <f>BN35</f>
        <v>99671275</v>
      </c>
      <c r="CA35" s="444">
        <f>BY35+BW35+BU35+BS35+BQ35+BO35</f>
        <v>16817.84</v>
      </c>
      <c r="CD35" s="808">
        <v>99671275</v>
      </c>
      <c r="CE35" s="809">
        <v>8251.92</v>
      </c>
      <c r="CF35" s="727"/>
      <c r="CG35" s="738"/>
      <c r="CH35" s="727"/>
      <c r="CI35" s="738"/>
      <c r="CJ35" s="744"/>
      <c r="CK35" s="757"/>
      <c r="CL35" s="751"/>
      <c r="CM35" s="752"/>
      <c r="CN35" s="695" t="s">
        <v>1124</v>
      </c>
      <c r="CO35" s="803">
        <f>CE35</f>
        <v>8251.92</v>
      </c>
    </row>
    <row r="36" spans="1:93" s="158" customFormat="1">
      <c r="A36" s="409">
        <v>44</v>
      </c>
      <c r="B36" s="409">
        <v>846</v>
      </c>
      <c r="C36" s="409" t="s">
        <v>647</v>
      </c>
      <c r="D36" s="409">
        <v>2</v>
      </c>
      <c r="E36" s="409">
        <v>2</v>
      </c>
      <c r="F36" s="409"/>
      <c r="G36" s="409"/>
      <c r="H36" s="409"/>
      <c r="I36" s="409"/>
      <c r="J36" s="409"/>
      <c r="K36" s="409"/>
      <c r="L36" s="409"/>
      <c r="M36" s="409"/>
      <c r="N36" s="409"/>
      <c r="O36" s="409"/>
      <c r="P36" s="409"/>
      <c r="Q36" s="409"/>
      <c r="R36" s="409"/>
      <c r="S36" s="409"/>
      <c r="T36" s="409"/>
      <c r="U36" s="409"/>
      <c r="V36" s="409"/>
      <c r="W36" s="409"/>
      <c r="X36" s="409"/>
      <c r="Y36" s="409"/>
      <c r="Z36" s="409"/>
      <c r="AA36" s="409"/>
      <c r="AB36" s="409"/>
      <c r="AC36" s="409"/>
      <c r="AD36" s="409"/>
      <c r="AE36" s="409"/>
      <c r="AF36" s="409"/>
      <c r="AG36" s="409"/>
      <c r="AH36" s="409"/>
      <c r="AI36" s="409"/>
      <c r="AJ36" s="409"/>
      <c r="AK36" s="409"/>
      <c r="AL36" s="409"/>
      <c r="AM36" s="409"/>
      <c r="AN36" s="409"/>
      <c r="AO36" s="409"/>
      <c r="AP36" s="409"/>
      <c r="AQ36" s="409"/>
      <c r="AR36" s="409"/>
      <c r="AS36" s="409"/>
      <c r="AT36" s="409" t="s">
        <v>650</v>
      </c>
      <c r="AU36" s="409"/>
      <c r="AV36" s="409" t="s">
        <v>650</v>
      </c>
      <c r="AW36" s="409"/>
      <c r="AX36" s="409"/>
      <c r="AY36" s="409"/>
      <c r="AZ36" s="409"/>
      <c r="BA36" s="409"/>
      <c r="BB36" s="632"/>
      <c r="BC36" s="409" t="s">
        <v>1125</v>
      </c>
      <c r="BD36" s="409"/>
      <c r="BE36" s="409"/>
      <c r="BF36" s="409"/>
      <c r="BG36" s="409"/>
      <c r="BH36" s="409"/>
      <c r="BI36" s="409"/>
      <c r="BJ36" s="409"/>
      <c r="BK36" s="409"/>
      <c r="BL36" s="409"/>
      <c r="BM36" s="557"/>
      <c r="BN36" s="437">
        <v>99670606</v>
      </c>
      <c r="BO36" s="438">
        <v>22572.31</v>
      </c>
      <c r="BP36" s="433"/>
      <c r="BQ36" s="434"/>
      <c r="BR36" s="433"/>
      <c r="BS36" s="633"/>
      <c r="BT36" s="712" t="s">
        <v>1106</v>
      </c>
      <c r="BU36" s="714"/>
      <c r="BV36" s="441"/>
      <c r="BW36" s="634"/>
      <c r="BX36" s="439"/>
      <c r="BY36" s="534"/>
      <c r="BZ36" s="443">
        <f>BN36</f>
        <v>99670606</v>
      </c>
      <c r="CA36" s="444">
        <f>BO36+BQ36+BS36+BU36+BW36+BY36</f>
        <v>22572.31</v>
      </c>
      <c r="CD36" s="719">
        <v>99670606</v>
      </c>
      <c r="CE36" s="729">
        <v>11427.4</v>
      </c>
      <c r="CF36" s="725">
        <v>99670521</v>
      </c>
      <c r="CG36" s="739">
        <v>2646.4</v>
      </c>
      <c r="CH36" s="797"/>
      <c r="CI36" s="798"/>
      <c r="CJ36" s="799"/>
      <c r="CK36" s="800"/>
      <c r="CL36" s="801"/>
      <c r="CM36" s="802"/>
      <c r="CN36" s="695"/>
      <c r="CO36" s="803">
        <f>CG36+CE36</f>
        <v>14073.8</v>
      </c>
    </row>
    <row r="37" spans="1:93" hidden="1">
      <c r="A37" s="410">
        <v>45</v>
      </c>
      <c r="B37" s="410">
        <v>712</v>
      </c>
      <c r="C37" s="410" t="s">
        <v>649</v>
      </c>
      <c r="D37" s="410">
        <v>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410" t="s">
        <v>650</v>
      </c>
      <c r="AU37" s="9"/>
      <c r="AV37" s="9"/>
      <c r="AW37" s="9"/>
      <c r="AX37" s="9"/>
      <c r="AY37" s="9"/>
      <c r="AZ37" s="9"/>
      <c r="BA37" s="9"/>
      <c r="BB37" s="13"/>
      <c r="BC37" s="9" t="s">
        <v>1126</v>
      </c>
      <c r="BD37" s="9"/>
      <c r="BE37" s="9"/>
      <c r="BF37" s="9"/>
      <c r="BG37" s="9"/>
      <c r="BH37" s="9"/>
      <c r="BI37" s="9"/>
      <c r="BJ37" s="9"/>
      <c r="BK37" s="9"/>
      <c r="BL37" s="9"/>
      <c r="BM37" s="141"/>
      <c r="BN37" s="234">
        <v>99529949</v>
      </c>
      <c r="BO37" s="174">
        <v>21412.07</v>
      </c>
      <c r="BP37" s="187">
        <v>99529789</v>
      </c>
      <c r="BQ37" s="188">
        <v>-579.51</v>
      </c>
      <c r="BR37" s="187"/>
      <c r="BS37" s="265"/>
      <c r="BT37" s="710" t="s">
        <v>1127</v>
      </c>
      <c r="BU37" s="713"/>
      <c r="BV37" s="358"/>
      <c r="BW37" s="359"/>
      <c r="BX37" s="219"/>
      <c r="BY37" s="247"/>
      <c r="BZ37" s="363">
        <f>BN37</f>
        <v>99529949</v>
      </c>
      <c r="CA37" s="356">
        <f>BO37+BQ37+BS37+BU37+BW37+BY37</f>
        <v>20832.560000000001</v>
      </c>
      <c r="CD37" s="719">
        <v>99529949</v>
      </c>
      <c r="CE37" s="729">
        <v>10472.200000000001</v>
      </c>
      <c r="CF37" s="725"/>
      <c r="CG37" s="736"/>
      <c r="CH37" s="725"/>
      <c r="CI37" s="736"/>
      <c r="CJ37" s="742"/>
      <c r="CK37" s="755"/>
      <c r="CL37" s="747"/>
      <c r="CM37" s="748"/>
      <c r="CN37" s="694" t="s">
        <v>1128</v>
      </c>
      <c r="CO37" s="691">
        <f>CM37+CK37+CI37+CG37+CE37</f>
        <v>10472.200000000001</v>
      </c>
    </row>
    <row r="38" spans="1:93" s="158" customFormat="1" hidden="1">
      <c r="A38" s="409">
        <v>46</v>
      </c>
      <c r="B38" s="409">
        <v>915</v>
      </c>
      <c r="C38" s="409" t="s">
        <v>648</v>
      </c>
      <c r="D38" s="409">
        <v>2</v>
      </c>
      <c r="E38" s="409">
        <v>2</v>
      </c>
      <c r="F38" s="409"/>
      <c r="G38" s="409"/>
      <c r="H38" s="409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09"/>
      <c r="X38" s="409"/>
      <c r="Y38" s="409"/>
      <c r="Z38" s="409"/>
      <c r="AA38" s="409"/>
      <c r="AB38" s="409"/>
      <c r="AC38" s="409"/>
      <c r="AD38" s="409"/>
      <c r="AE38" s="409"/>
      <c r="AF38" s="409" t="s">
        <v>650</v>
      </c>
      <c r="AG38" s="409"/>
      <c r="AH38" s="409"/>
      <c r="AI38" s="409"/>
      <c r="AJ38" s="409"/>
      <c r="AK38" s="409"/>
      <c r="AL38" s="409"/>
      <c r="AM38" s="409"/>
      <c r="AN38" s="409"/>
      <c r="AO38" s="409"/>
      <c r="AP38" s="409"/>
      <c r="AQ38" s="409"/>
      <c r="AR38" s="409"/>
      <c r="AS38" s="409"/>
      <c r="AT38" s="409"/>
      <c r="AU38" s="769" t="s">
        <v>650</v>
      </c>
      <c r="AV38" s="409"/>
      <c r="AW38" s="409"/>
      <c r="AX38" s="409"/>
      <c r="AY38" s="409"/>
      <c r="AZ38" s="409" t="s">
        <v>650</v>
      </c>
      <c r="BA38" s="409"/>
      <c r="BB38" s="632"/>
      <c r="BC38" s="409" t="s">
        <v>1129</v>
      </c>
      <c r="BD38" s="409"/>
      <c r="BE38" s="409"/>
      <c r="BF38" s="409"/>
      <c r="BG38" s="409"/>
      <c r="BH38" s="409"/>
      <c r="BI38" s="409"/>
      <c r="BJ38" s="409"/>
      <c r="BK38" s="409"/>
      <c r="BL38" s="409"/>
      <c r="BM38" s="557"/>
      <c r="BN38" s="437">
        <v>99670621</v>
      </c>
      <c r="BO38" s="438">
        <v>17719.36</v>
      </c>
      <c r="BP38" s="433">
        <v>99670540</v>
      </c>
      <c r="BQ38" s="434">
        <v>3925.55</v>
      </c>
      <c r="BR38" s="433"/>
      <c r="BS38" s="434"/>
      <c r="BT38" s="712" t="s">
        <v>1130</v>
      </c>
      <c r="BU38" s="714"/>
      <c r="BV38" s="441"/>
      <c r="BW38" s="442"/>
      <c r="BX38" s="439"/>
      <c r="BY38" s="534"/>
      <c r="BZ38" s="806">
        <v>99670621</v>
      </c>
      <c r="CA38" s="356">
        <f>BO38+BQ38+BS38+BU38+BW38+BY38</f>
        <v>21644.91</v>
      </c>
      <c r="CD38" s="770">
        <v>99670621</v>
      </c>
      <c r="CE38" s="771">
        <v>9565.94</v>
      </c>
      <c r="CF38" s="772"/>
      <c r="CG38" s="773"/>
      <c r="CH38" s="772"/>
      <c r="CI38" s="773"/>
      <c r="CJ38" s="774"/>
      <c r="CK38" s="775"/>
      <c r="CL38" s="776"/>
      <c r="CM38" s="777"/>
      <c r="CN38" s="695" t="s">
        <v>1131</v>
      </c>
      <c r="CO38" s="803">
        <f>CE38</f>
        <v>9565.94</v>
      </c>
    </row>
    <row r="39" spans="1:93" s="158" customFormat="1" hidden="1">
      <c r="A39" s="410">
        <v>47</v>
      </c>
      <c r="B39" s="410">
        <v>915</v>
      </c>
      <c r="C39" s="410" t="s">
        <v>648</v>
      </c>
      <c r="D39" s="410">
        <v>2</v>
      </c>
      <c r="E39" s="410">
        <v>1</v>
      </c>
      <c r="F39" s="632"/>
      <c r="G39" s="632"/>
      <c r="H39" s="410"/>
      <c r="I39" s="632"/>
      <c r="J39" s="632"/>
      <c r="K39" s="632"/>
      <c r="L39" s="632"/>
      <c r="M39" s="410"/>
      <c r="N39" s="632"/>
      <c r="O39" s="410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32"/>
      <c r="AB39" s="632"/>
      <c r="AC39" s="632"/>
      <c r="AD39" s="632"/>
      <c r="AE39" s="632"/>
      <c r="AF39" s="410" t="s">
        <v>650</v>
      </c>
      <c r="AG39" s="632"/>
      <c r="AH39" s="632"/>
      <c r="AI39" s="632"/>
      <c r="AJ39" s="632"/>
      <c r="AK39" s="632"/>
      <c r="AL39" s="632"/>
      <c r="AM39" s="632"/>
      <c r="AN39" s="632"/>
      <c r="AO39" s="632"/>
      <c r="AP39" s="410"/>
      <c r="AQ39" s="632"/>
      <c r="AR39" s="410"/>
      <c r="AS39" s="632"/>
      <c r="AT39" s="632"/>
      <c r="AU39" s="528" t="s">
        <v>650</v>
      </c>
      <c r="AV39" s="632"/>
      <c r="AW39" s="632"/>
      <c r="AX39" s="632"/>
      <c r="AY39" s="632"/>
      <c r="AZ39" s="410" t="s">
        <v>650</v>
      </c>
      <c r="BA39" s="632"/>
      <c r="BB39" s="632"/>
      <c r="BC39" s="410" t="s">
        <v>1132</v>
      </c>
      <c r="BD39" s="410"/>
      <c r="BE39" s="410"/>
      <c r="BF39" s="410"/>
      <c r="BG39" s="410"/>
      <c r="BH39" s="410"/>
      <c r="BI39" s="410"/>
      <c r="BJ39" s="410"/>
      <c r="BK39" s="410"/>
      <c r="BL39" s="410"/>
      <c r="BM39" s="656"/>
      <c r="BN39" s="437">
        <v>97521028</v>
      </c>
      <c r="BO39" s="438">
        <v>17589.79</v>
      </c>
      <c r="BP39" s="433">
        <v>97520907</v>
      </c>
      <c r="BQ39" s="434">
        <v>2144.69</v>
      </c>
      <c r="BR39" s="433">
        <v>97520916</v>
      </c>
      <c r="BS39" s="434">
        <v>90.64</v>
      </c>
      <c r="BT39" s="435">
        <v>97520881</v>
      </c>
      <c r="BU39" s="436">
        <v>488.25</v>
      </c>
      <c r="BV39" s="441"/>
      <c r="BW39" s="634"/>
      <c r="BX39" s="439">
        <v>97521028</v>
      </c>
      <c r="BY39" s="440">
        <v>9222.49</v>
      </c>
      <c r="BZ39" s="443">
        <v>97521028</v>
      </c>
      <c r="CA39" s="444">
        <f>BY39+BU39+BS39+BQ39+BO39</f>
        <v>29535.86</v>
      </c>
      <c r="CD39" s="793"/>
      <c r="CE39" s="793"/>
      <c r="CF39" s="794"/>
      <c r="CG39" s="794"/>
      <c r="CH39" s="794"/>
      <c r="CI39" s="794"/>
      <c r="CJ39" s="708"/>
      <c r="CK39" s="709"/>
      <c r="CL39" s="795"/>
      <c r="CM39" s="796"/>
      <c r="CN39" s="792"/>
      <c r="CO39" s="792"/>
    </row>
    <row r="40" spans="1:93" s="158" customFormat="1" hidden="1">
      <c r="A40" s="409">
        <v>48</v>
      </c>
      <c r="B40" s="409">
        <v>914</v>
      </c>
      <c r="C40" s="409" t="s">
        <v>649</v>
      </c>
      <c r="D40" s="409">
        <v>2</v>
      </c>
      <c r="E40" s="409">
        <v>2</v>
      </c>
      <c r="F40" s="632"/>
      <c r="G40" s="632"/>
      <c r="H40" s="409"/>
      <c r="I40" s="632"/>
      <c r="J40" s="632"/>
      <c r="K40" s="632"/>
      <c r="L40" s="632"/>
      <c r="M40" s="409"/>
      <c r="N40" s="409"/>
      <c r="O40" s="632"/>
      <c r="P40" s="632"/>
      <c r="Q40" s="409"/>
      <c r="R40" s="632"/>
      <c r="S40" s="632"/>
      <c r="T40" s="409" t="s">
        <v>650</v>
      </c>
      <c r="U40" s="632"/>
      <c r="V40" s="632"/>
      <c r="W40" s="632"/>
      <c r="X40" s="632"/>
      <c r="Y40" s="632"/>
      <c r="Z40" s="632"/>
      <c r="AA40" s="632"/>
      <c r="AB40" s="632"/>
      <c r="AC40" s="632"/>
      <c r="AD40" s="632"/>
      <c r="AE40" s="632"/>
      <c r="AF40" s="632"/>
      <c r="AG40" s="632"/>
      <c r="AH40" s="632"/>
      <c r="AI40" s="632"/>
      <c r="AJ40" s="632"/>
      <c r="AK40" s="632"/>
      <c r="AL40" s="632"/>
      <c r="AM40" s="632"/>
      <c r="AN40" s="632"/>
      <c r="AO40" s="632"/>
      <c r="AP40" s="632"/>
      <c r="AQ40" s="632"/>
      <c r="AR40" s="409"/>
      <c r="AS40" s="632"/>
      <c r="AT40" s="409" t="s">
        <v>650</v>
      </c>
      <c r="AU40" s="632"/>
      <c r="AV40" s="409" t="s">
        <v>650</v>
      </c>
      <c r="AW40" s="632"/>
      <c r="AX40" s="632"/>
      <c r="AY40" s="632"/>
      <c r="AZ40" s="632"/>
      <c r="BA40" s="632"/>
      <c r="BB40" s="632"/>
      <c r="BC40" s="409" t="s">
        <v>1133</v>
      </c>
      <c r="BD40" s="409"/>
      <c r="BE40" s="409"/>
      <c r="BF40" s="409"/>
      <c r="BG40" s="409"/>
      <c r="BH40" s="409"/>
      <c r="BI40" s="409"/>
      <c r="BJ40" s="409"/>
      <c r="BK40" s="409"/>
      <c r="BL40" s="409"/>
      <c r="BM40" s="557"/>
      <c r="BN40" s="437">
        <v>98446648</v>
      </c>
      <c r="BO40" s="438">
        <v>20512.13</v>
      </c>
      <c r="BP40" s="433">
        <v>98445982</v>
      </c>
      <c r="BQ40" s="434">
        <v>2267.92</v>
      </c>
      <c r="BR40" s="433"/>
      <c r="BS40" s="633"/>
      <c r="BT40" s="712">
        <v>98445917</v>
      </c>
      <c r="BU40" s="714">
        <v>488.25</v>
      </c>
      <c r="BV40" s="441"/>
      <c r="BW40" s="634"/>
      <c r="BX40" s="439"/>
      <c r="BY40" s="534"/>
      <c r="BZ40" s="443">
        <v>98446648</v>
      </c>
      <c r="CA40" s="444">
        <f>BU40+BQ40+BO40</f>
        <v>23268.300000000003</v>
      </c>
      <c r="CD40" s="722">
        <v>98446648</v>
      </c>
      <c r="CE40" s="731">
        <v>12272.09</v>
      </c>
      <c r="CF40" s="727"/>
      <c r="CG40" s="738">
        <v>99144681</v>
      </c>
      <c r="CH40" s="734">
        <v>-7.32</v>
      </c>
      <c r="CI40" s="738"/>
      <c r="CJ40" s="744"/>
      <c r="CK40" s="757"/>
      <c r="CL40" s="751"/>
      <c r="CM40" s="752"/>
      <c r="CN40" s="695">
        <f>CD40</f>
        <v>98446648</v>
      </c>
      <c r="CO40" s="692">
        <f>CH40+CE40</f>
        <v>12264.77</v>
      </c>
    </row>
    <row r="41" spans="1:93" hidden="1">
      <c r="A41" s="9">
        <v>49</v>
      </c>
      <c r="B41" s="9">
        <v>713</v>
      </c>
      <c r="C41" s="410" t="s">
        <v>647</v>
      </c>
      <c r="D41" s="9">
        <v>2</v>
      </c>
      <c r="E41" s="410">
        <v>1</v>
      </c>
      <c r="F41" s="13"/>
      <c r="G41" s="13"/>
      <c r="H41" s="13"/>
      <c r="I41" s="13"/>
      <c r="J41" s="13"/>
      <c r="K41" s="13"/>
      <c r="L41" s="13"/>
      <c r="M41" s="9" t="s">
        <v>289</v>
      </c>
      <c r="N41" s="9"/>
      <c r="O41" s="9" t="s">
        <v>289</v>
      </c>
      <c r="P41" s="13"/>
      <c r="Q41" s="13"/>
      <c r="R41" s="13"/>
      <c r="S41" s="13"/>
      <c r="T41" s="410" t="s">
        <v>650</v>
      </c>
      <c r="U41" s="9"/>
      <c r="V41" s="13"/>
      <c r="W41" s="9"/>
      <c r="X41" s="13"/>
      <c r="Y41" s="9" t="s">
        <v>289</v>
      </c>
      <c r="Z41" s="410" t="s">
        <v>650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410" t="s">
        <v>650</v>
      </c>
      <c r="AP41" s="13"/>
      <c r="AQ41" s="410" t="s">
        <v>650</v>
      </c>
      <c r="AR41" s="9"/>
      <c r="AS41" s="13"/>
      <c r="AT41" s="410" t="s">
        <v>650</v>
      </c>
      <c r="AU41" s="13"/>
      <c r="AV41" s="410" t="s">
        <v>650</v>
      </c>
      <c r="AW41" s="13"/>
      <c r="AX41" s="13"/>
      <c r="AY41" s="661" t="s">
        <v>650</v>
      </c>
      <c r="AZ41" s="13"/>
      <c r="BA41" s="13"/>
      <c r="BB41" s="13"/>
      <c r="BC41" s="410" t="s">
        <v>1134</v>
      </c>
      <c r="BD41" s="9"/>
      <c r="BE41" s="9"/>
      <c r="BF41" s="9"/>
      <c r="BG41" s="32"/>
      <c r="BH41" s="9"/>
      <c r="BI41" s="9"/>
      <c r="BJ41" s="9"/>
      <c r="BK41" s="9"/>
      <c r="BL41" s="9"/>
      <c r="BM41" s="141"/>
      <c r="BN41" s="437">
        <v>98446695</v>
      </c>
      <c r="BO41" s="438">
        <v>22303.82</v>
      </c>
      <c r="BP41" s="456">
        <v>98446092</v>
      </c>
      <c r="BQ41" s="434">
        <v>3764.17</v>
      </c>
      <c r="BR41" s="266"/>
      <c r="BS41" s="188"/>
      <c r="BT41" s="712">
        <v>98446019</v>
      </c>
      <c r="BU41" s="714">
        <v>488.25</v>
      </c>
      <c r="BV41" s="358"/>
      <c r="BW41" s="360"/>
      <c r="BX41" s="219"/>
      <c r="BY41" s="247"/>
      <c r="BZ41" s="443">
        <v>98446695</v>
      </c>
      <c r="CA41" s="444">
        <f>BU41+BQ41+BO41</f>
        <v>26556.239999999998</v>
      </c>
      <c r="CD41" s="719">
        <v>98446695</v>
      </c>
      <c r="CE41" s="728">
        <v>11390.3</v>
      </c>
      <c r="CF41" s="725">
        <v>99070959</v>
      </c>
      <c r="CG41" s="739">
        <v>-7.32</v>
      </c>
      <c r="CH41" s="725">
        <v>98847675</v>
      </c>
      <c r="CI41" s="736">
        <v>1513.44</v>
      </c>
      <c r="CJ41" s="742"/>
      <c r="CK41" s="758"/>
      <c r="CL41" s="747"/>
      <c r="CM41" s="753"/>
      <c r="CN41" s="694">
        <f>CD41</f>
        <v>98446695</v>
      </c>
      <c r="CO41" s="690">
        <f>CE41+CG41+CI41+CK41+CM41</f>
        <v>12896.42</v>
      </c>
    </row>
    <row r="42" spans="1:93" hidden="1">
      <c r="A42" s="7">
        <v>50</v>
      </c>
      <c r="B42" s="7">
        <v>712</v>
      </c>
      <c r="C42" s="7" t="s">
        <v>648</v>
      </c>
      <c r="D42" s="7">
        <v>2</v>
      </c>
      <c r="E42" s="13"/>
      <c r="F42" s="7"/>
      <c r="G42" s="13"/>
      <c r="H42" s="13"/>
      <c r="I42" s="13"/>
      <c r="J42" s="13"/>
      <c r="K42" s="13"/>
      <c r="L42" s="13"/>
      <c r="M42" s="7" t="s">
        <v>289</v>
      </c>
      <c r="N42" s="7"/>
      <c r="O42" s="7"/>
      <c r="P42" s="13"/>
      <c r="Q42" s="13"/>
      <c r="R42" s="13"/>
      <c r="S42" s="13"/>
      <c r="T42" s="13"/>
      <c r="U42" s="7"/>
      <c r="V42" s="13"/>
      <c r="W42" s="7"/>
      <c r="X42" s="13"/>
      <c r="Y42" s="7"/>
      <c r="Z42" s="409" t="s">
        <v>650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409" t="s">
        <v>650</v>
      </c>
      <c r="AP42" s="13"/>
      <c r="AQ42" s="13"/>
      <c r="AR42" s="7"/>
      <c r="AS42" s="13"/>
      <c r="AT42" s="409" t="s">
        <v>650</v>
      </c>
      <c r="AU42" s="13"/>
      <c r="AV42" s="409" t="s">
        <v>650</v>
      </c>
      <c r="AW42" s="13"/>
      <c r="AX42" s="13"/>
      <c r="AY42" s="409" t="s">
        <v>650</v>
      </c>
      <c r="AZ42" s="13"/>
      <c r="BA42" s="13"/>
      <c r="BB42" s="13"/>
      <c r="BC42" s="409" t="s">
        <v>1135</v>
      </c>
      <c r="BD42" s="7"/>
      <c r="BE42" s="7"/>
      <c r="BF42" s="7"/>
      <c r="BG42" s="7"/>
      <c r="BH42" s="7"/>
      <c r="BI42" s="7"/>
      <c r="BJ42" s="7"/>
      <c r="BK42" s="7"/>
      <c r="BL42" s="7"/>
      <c r="BM42" s="103"/>
      <c r="BN42" s="437">
        <v>98446717</v>
      </c>
      <c r="BO42" s="438">
        <v>18170.080000000002</v>
      </c>
      <c r="BP42" s="433">
        <v>98446236</v>
      </c>
      <c r="BQ42" s="434">
        <v>831.21</v>
      </c>
      <c r="BR42" s="187"/>
      <c r="BS42" s="265"/>
      <c r="BT42" s="712">
        <v>98446169</v>
      </c>
      <c r="BU42" s="714">
        <v>488.25</v>
      </c>
      <c r="BV42" s="358"/>
      <c r="BW42" s="359"/>
      <c r="BX42" s="219"/>
      <c r="BY42" s="247"/>
      <c r="BZ42" s="443">
        <v>98446717</v>
      </c>
      <c r="CA42" s="444">
        <f>BU42+BQ42+BO42</f>
        <v>19489.54</v>
      </c>
      <c r="CD42" s="723">
        <v>98446717</v>
      </c>
      <c r="CE42" s="732">
        <v>10205.82</v>
      </c>
      <c r="CF42" s="725"/>
      <c r="CG42" s="736"/>
      <c r="CH42" s="725"/>
      <c r="CI42" s="736"/>
      <c r="CJ42" s="742"/>
      <c r="CK42" s="755"/>
      <c r="CL42" s="747"/>
      <c r="CM42" s="748"/>
      <c r="CN42" s="695">
        <f>CD42</f>
        <v>98446717</v>
      </c>
      <c r="CO42" s="692">
        <f>CE42+CG42</f>
        <v>10205.82</v>
      </c>
    </row>
    <row r="43" spans="1:93" hidden="1">
      <c r="A43" s="410">
        <v>51</v>
      </c>
      <c r="B43" s="410">
        <v>713</v>
      </c>
      <c r="C43" s="410" t="s">
        <v>649</v>
      </c>
      <c r="D43" s="410">
        <v>2</v>
      </c>
      <c r="E43" s="410" t="s">
        <v>650</v>
      </c>
      <c r="F43" s="13"/>
      <c r="G43" s="13"/>
      <c r="H43" s="13"/>
      <c r="I43" s="13"/>
      <c r="J43" s="13"/>
      <c r="K43" s="13"/>
      <c r="L43" s="13"/>
      <c r="M43" s="9" t="s">
        <v>289</v>
      </c>
      <c r="N43" s="37"/>
      <c r="O43" s="9"/>
      <c r="P43" s="13"/>
      <c r="Q43" s="13"/>
      <c r="R43" s="13"/>
      <c r="S43" s="13"/>
      <c r="T43" s="410" t="s">
        <v>650</v>
      </c>
      <c r="U43" s="9"/>
      <c r="V43" s="13"/>
      <c r="W43" s="9"/>
      <c r="X43" s="13"/>
      <c r="Y43" s="410" t="s">
        <v>650</v>
      </c>
      <c r="Z43" s="9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410" t="s">
        <v>650</v>
      </c>
      <c r="AP43" s="13"/>
      <c r="AQ43" s="410" t="s">
        <v>650</v>
      </c>
      <c r="AR43" s="9"/>
      <c r="AS43" s="13"/>
      <c r="AT43" s="410" t="s">
        <v>650</v>
      </c>
      <c r="AU43" s="13"/>
      <c r="AV43" s="410" t="s">
        <v>650</v>
      </c>
      <c r="AW43" s="13"/>
      <c r="AX43" s="13"/>
      <c r="AY43" s="9" t="s">
        <v>289</v>
      </c>
      <c r="AZ43" s="13"/>
      <c r="BA43" s="13"/>
      <c r="BB43" s="13"/>
      <c r="BC43" s="410" t="s">
        <v>1136</v>
      </c>
      <c r="BD43" s="9"/>
      <c r="BE43" s="9"/>
      <c r="BF43" s="9"/>
      <c r="BG43" s="9"/>
      <c r="BH43" s="9"/>
      <c r="BI43" s="9"/>
      <c r="BJ43" s="9"/>
      <c r="BK43" s="9"/>
      <c r="BL43" s="9"/>
      <c r="BM43" s="141"/>
      <c r="BN43" s="437">
        <v>98464596</v>
      </c>
      <c r="BO43" s="438">
        <v>23207.41</v>
      </c>
      <c r="BP43" s="187"/>
      <c r="BQ43" s="188"/>
      <c r="BR43" s="187"/>
      <c r="BS43" s="265"/>
      <c r="BT43" s="712">
        <v>98461575</v>
      </c>
      <c r="BU43" s="714">
        <v>488.25</v>
      </c>
      <c r="BV43" s="358"/>
      <c r="BW43" s="359"/>
      <c r="BX43" s="219"/>
      <c r="BY43" s="247"/>
      <c r="BZ43" s="443">
        <v>98464596</v>
      </c>
      <c r="CA43" s="444">
        <f>BU43+BQ43+BO43</f>
        <v>23695.66</v>
      </c>
      <c r="CD43" s="719">
        <v>98464596</v>
      </c>
      <c r="CE43" s="729">
        <v>11353.2</v>
      </c>
      <c r="CF43" s="725">
        <v>98461600</v>
      </c>
      <c r="CG43" s="736">
        <v>5649.28</v>
      </c>
      <c r="CH43" s="725">
        <v>98787452</v>
      </c>
      <c r="CI43" s="736">
        <v>-7.32</v>
      </c>
      <c r="CJ43" s="742"/>
      <c r="CK43" s="755"/>
      <c r="CL43" s="747"/>
      <c r="CM43" s="748"/>
      <c r="CN43" s="694"/>
      <c r="CO43" s="690">
        <f>CI43+CG43+CE43</f>
        <v>16995.16</v>
      </c>
    </row>
    <row r="44" spans="1:93" hidden="1">
      <c r="A44" s="409">
        <v>52</v>
      </c>
      <c r="B44" s="409">
        <v>712</v>
      </c>
      <c r="C44" s="409" t="s">
        <v>647</v>
      </c>
      <c r="D44" s="409">
        <v>2</v>
      </c>
      <c r="E44" s="13"/>
      <c r="F44" s="7"/>
      <c r="G44" s="13"/>
      <c r="H44" s="13"/>
      <c r="I44" s="13"/>
      <c r="J44" s="13"/>
      <c r="K44" s="13"/>
      <c r="L44" s="13"/>
      <c r="M44" s="7" t="s">
        <v>289</v>
      </c>
      <c r="N44" s="7"/>
      <c r="O44" s="7"/>
      <c r="P44" s="13"/>
      <c r="Q44" s="13"/>
      <c r="R44" s="13"/>
      <c r="S44" s="13"/>
      <c r="T44" s="13"/>
      <c r="U44" s="7"/>
      <c r="V44" s="13"/>
      <c r="W44" s="7"/>
      <c r="X44" s="13"/>
      <c r="Y44" s="409" t="s">
        <v>650</v>
      </c>
      <c r="Z44" s="7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409" t="s">
        <v>650</v>
      </c>
      <c r="AP44" s="13"/>
      <c r="AQ44" s="13"/>
      <c r="AR44" s="7"/>
      <c r="AS44" s="13"/>
      <c r="AT44" s="409" t="s">
        <v>650</v>
      </c>
      <c r="AU44" s="13"/>
      <c r="AV44" s="409" t="s">
        <v>650</v>
      </c>
      <c r="AW44" s="13"/>
      <c r="AX44" s="13"/>
      <c r="AY44" s="409" t="s">
        <v>650</v>
      </c>
      <c r="AZ44" s="13"/>
      <c r="BA44" s="13"/>
      <c r="BB44" s="13"/>
      <c r="BC44" s="409" t="s">
        <v>1137</v>
      </c>
      <c r="BD44" s="7"/>
      <c r="BE44" s="7"/>
      <c r="BF44" s="7"/>
      <c r="BG44" s="7"/>
      <c r="BH44" s="7"/>
      <c r="BI44" s="7"/>
      <c r="BJ44" s="7"/>
      <c r="BK44" s="7"/>
      <c r="BL44" s="7"/>
      <c r="BM44" s="103"/>
      <c r="BN44" s="234">
        <v>98464694</v>
      </c>
      <c r="BO44" s="174">
        <v>19019.21</v>
      </c>
      <c r="BP44" s="187"/>
      <c r="BQ44" s="598"/>
      <c r="BR44" s="187"/>
      <c r="BS44" s="265"/>
      <c r="BT44" s="710">
        <v>98461626</v>
      </c>
      <c r="BU44" s="713">
        <v>488.25</v>
      </c>
      <c r="BV44" s="358"/>
      <c r="BW44" s="359"/>
      <c r="BX44" s="219"/>
      <c r="BY44" s="247"/>
      <c r="BZ44" s="363">
        <v>98464694</v>
      </c>
      <c r="CA44" s="356">
        <f>BU44+BQ44+BO44</f>
        <v>19507.46</v>
      </c>
      <c r="CD44" s="719">
        <v>98464694</v>
      </c>
      <c r="CE44" s="729">
        <v>10172.41</v>
      </c>
      <c r="CF44" s="725">
        <v>98461654</v>
      </c>
      <c r="CG44" s="740">
        <v>-3090.47</v>
      </c>
      <c r="CH44" s="725">
        <v>98927969</v>
      </c>
      <c r="CI44" s="736">
        <v>-7.32</v>
      </c>
      <c r="CJ44" s="742"/>
      <c r="CK44" s="755"/>
      <c r="CL44" s="747"/>
      <c r="CM44" s="748"/>
      <c r="CN44" s="694"/>
      <c r="CO44" s="691">
        <f>CE44+CG44+CI44+CK44+CM44</f>
        <v>7074.6200000000008</v>
      </c>
    </row>
    <row r="45" spans="1:93">
      <c r="A45" s="50">
        <v>53</v>
      </c>
      <c r="B45" s="410">
        <v>846</v>
      </c>
      <c r="C45" s="410" t="s">
        <v>649</v>
      </c>
      <c r="D45" s="410">
        <v>2</v>
      </c>
      <c r="E45" s="410">
        <v>2</v>
      </c>
      <c r="F45" s="13"/>
      <c r="G45" s="13"/>
      <c r="H45" s="13"/>
      <c r="I45" s="13"/>
      <c r="J45" s="13"/>
      <c r="K45" s="13"/>
      <c r="L45" s="13"/>
      <c r="M45" s="410" t="s">
        <v>650</v>
      </c>
      <c r="N45" s="9"/>
      <c r="O45" s="9"/>
      <c r="P45" s="13"/>
      <c r="Q45" s="13"/>
      <c r="R45" s="13"/>
      <c r="S45" s="13"/>
      <c r="T45" s="13"/>
      <c r="U45" s="13"/>
      <c r="V45" s="13"/>
      <c r="W45" s="13"/>
      <c r="X45" s="13"/>
      <c r="Y45" s="9"/>
      <c r="Z45" s="9"/>
      <c r="AA45" s="13"/>
      <c r="AB45" s="13"/>
      <c r="AC45" s="13"/>
      <c r="AD45" s="13"/>
      <c r="AE45" s="13"/>
      <c r="AF45" s="13"/>
      <c r="AG45" s="13"/>
      <c r="AH45" s="13"/>
      <c r="AI45" s="410" t="s">
        <v>650</v>
      </c>
      <c r="AJ45" s="13"/>
      <c r="AK45" s="13"/>
      <c r="AL45" s="13"/>
      <c r="AM45" s="13"/>
      <c r="AN45" s="13"/>
      <c r="AO45" s="410" t="s">
        <v>650</v>
      </c>
      <c r="AP45" s="13"/>
      <c r="AQ45" s="13"/>
      <c r="AR45" s="9"/>
      <c r="AS45" s="13"/>
      <c r="AT45" s="410" t="s">
        <v>650</v>
      </c>
      <c r="AU45" s="13"/>
      <c r="AV45" s="410" t="s">
        <v>650</v>
      </c>
      <c r="AW45" s="13"/>
      <c r="AX45" s="13"/>
      <c r="AY45" s="13"/>
      <c r="AZ45" s="13"/>
      <c r="BA45" s="13"/>
      <c r="BB45" s="13"/>
      <c r="BC45" s="410" t="s">
        <v>1138</v>
      </c>
      <c r="BD45" s="9"/>
      <c r="BE45" s="9"/>
      <c r="BF45" s="9"/>
      <c r="BG45" s="9"/>
      <c r="BH45" s="9"/>
      <c r="BI45" s="9"/>
      <c r="BJ45" s="9"/>
      <c r="BK45" s="9"/>
      <c r="BL45" s="9"/>
      <c r="BM45" s="141"/>
      <c r="BN45" s="234">
        <v>99292664</v>
      </c>
      <c r="BO45" s="174">
        <v>21894.97</v>
      </c>
      <c r="BP45" s="187">
        <v>99250584</v>
      </c>
      <c r="BQ45" s="188">
        <v>6084.95</v>
      </c>
      <c r="BR45" s="187"/>
      <c r="BS45" s="265"/>
      <c r="BT45" s="710"/>
      <c r="BU45" s="713"/>
      <c r="BV45" s="358">
        <v>99250593</v>
      </c>
      <c r="BW45" s="359">
        <v>128.52000000000001</v>
      </c>
      <c r="BX45" s="219"/>
      <c r="BY45" s="247"/>
      <c r="BZ45" s="363">
        <f>BN45</f>
        <v>99292664</v>
      </c>
      <c r="CA45" s="356">
        <f>BY45+BW45+BU45+BS45+BQ45+BO45</f>
        <v>28108.440000000002</v>
      </c>
      <c r="CD45" s="719">
        <v>99292664</v>
      </c>
      <c r="CE45" s="733">
        <v>11395.18</v>
      </c>
      <c r="CF45" s="725">
        <v>99498426</v>
      </c>
      <c r="CG45" s="736">
        <v>318.5</v>
      </c>
      <c r="CH45" s="725"/>
      <c r="CI45" s="736"/>
      <c r="CJ45" s="742"/>
      <c r="CK45" s="755"/>
      <c r="CL45" s="747"/>
      <c r="CM45" s="748"/>
      <c r="CN45" s="694">
        <f>CD45</f>
        <v>99292664</v>
      </c>
      <c r="CO45" s="693">
        <f>CE45+CG45+CI45+CK45+CM45</f>
        <v>11713.68</v>
      </c>
    </row>
    <row r="46" spans="1:93">
      <c r="A46" s="7">
        <v>54</v>
      </c>
      <c r="B46" s="7">
        <v>846</v>
      </c>
      <c r="C46" s="7" t="s">
        <v>648</v>
      </c>
      <c r="D46" s="7">
        <v>2</v>
      </c>
      <c r="E46" s="409">
        <v>2</v>
      </c>
      <c r="F46" s="7"/>
      <c r="G46" s="13"/>
      <c r="H46" s="13"/>
      <c r="I46" s="13"/>
      <c r="J46" s="13"/>
      <c r="K46" s="13"/>
      <c r="L46" s="13"/>
      <c r="M46" s="409" t="s">
        <v>650</v>
      </c>
      <c r="N46" s="7"/>
      <c r="O46" s="7"/>
      <c r="P46" s="13"/>
      <c r="Q46" s="13"/>
      <c r="R46" s="13"/>
      <c r="S46" s="13"/>
      <c r="T46" s="13"/>
      <c r="U46" s="655"/>
      <c r="V46" s="13"/>
      <c r="W46" s="13"/>
      <c r="X46" s="13"/>
      <c r="Y46" s="98"/>
      <c r="Z46" s="7"/>
      <c r="AA46" s="13"/>
      <c r="AB46" s="13"/>
      <c r="AC46" s="13"/>
      <c r="AD46" s="13"/>
      <c r="AE46" s="13"/>
      <c r="AF46" s="13"/>
      <c r="AG46" s="13"/>
      <c r="AH46" s="13"/>
      <c r="AI46" s="409" t="s">
        <v>650</v>
      </c>
      <c r="AJ46" s="13"/>
      <c r="AK46" s="13"/>
      <c r="AL46" s="13"/>
      <c r="AM46" s="13"/>
      <c r="AN46" s="13"/>
      <c r="AO46" s="409" t="s">
        <v>650</v>
      </c>
      <c r="AP46" s="13"/>
      <c r="AQ46" s="13"/>
      <c r="AS46" s="13"/>
      <c r="AT46" s="409" t="s">
        <v>650</v>
      </c>
      <c r="AU46" s="13"/>
      <c r="AV46" s="409" t="s">
        <v>650</v>
      </c>
      <c r="AW46" s="13"/>
      <c r="AX46" s="13"/>
      <c r="AY46" s="7"/>
      <c r="AZ46" s="13"/>
      <c r="BA46" s="13"/>
      <c r="BB46" s="13"/>
      <c r="BC46" s="7" t="s">
        <v>1139</v>
      </c>
      <c r="BD46" s="7"/>
      <c r="BE46" s="7"/>
      <c r="BF46" s="7"/>
      <c r="BG46" s="7"/>
      <c r="BH46" s="7"/>
      <c r="BI46" s="7"/>
      <c r="BJ46" s="7"/>
      <c r="BK46" s="7"/>
      <c r="BL46" s="7"/>
      <c r="BM46" s="103"/>
      <c r="BN46" s="234">
        <v>99292682</v>
      </c>
      <c r="BO46" s="174">
        <v>22784.639999999999</v>
      </c>
      <c r="BP46" s="187">
        <v>99292486</v>
      </c>
      <c r="BQ46" s="188">
        <v>3947.72</v>
      </c>
      <c r="BR46" s="187"/>
      <c r="BS46" s="265"/>
      <c r="BT46" s="710"/>
      <c r="BU46" s="713"/>
      <c r="BV46" s="358">
        <v>99292490</v>
      </c>
      <c r="BW46" s="359">
        <v>128.52000000000001</v>
      </c>
      <c r="BX46" s="219"/>
      <c r="BY46" s="247"/>
      <c r="BZ46" s="363">
        <v>99292682</v>
      </c>
      <c r="CA46" s="356">
        <f>BW46+BQ46+BO46</f>
        <v>26860.879999999997</v>
      </c>
      <c r="CD46" s="719">
        <v>99292682</v>
      </c>
      <c r="CE46" s="729">
        <v>11431.95</v>
      </c>
      <c r="CF46" s="725"/>
      <c r="CG46" s="736"/>
      <c r="CH46" s="725"/>
      <c r="CI46" s="736"/>
      <c r="CJ46" s="742"/>
      <c r="CK46" s="755"/>
      <c r="CL46" s="747"/>
      <c r="CM46" s="748"/>
      <c r="CN46" s="694"/>
      <c r="CO46" s="689"/>
    </row>
    <row r="47" spans="1:93" hidden="1">
      <c r="A47" s="410">
        <v>55</v>
      </c>
      <c r="B47" s="410">
        <v>914</v>
      </c>
      <c r="C47" s="410" t="s">
        <v>647</v>
      </c>
      <c r="D47" s="410">
        <v>2</v>
      </c>
      <c r="E47" s="410">
        <v>2</v>
      </c>
      <c r="F47" s="13"/>
      <c r="G47" s="13"/>
      <c r="H47" s="7"/>
      <c r="I47" s="13"/>
      <c r="J47" s="13"/>
      <c r="K47" s="13"/>
      <c r="L47" s="13"/>
      <c r="M47" s="409" t="s">
        <v>650</v>
      </c>
      <c r="N47" s="7"/>
      <c r="O47" s="13"/>
      <c r="P47" s="13"/>
      <c r="Q47" s="7"/>
      <c r="R47" s="13"/>
      <c r="S47" s="13"/>
      <c r="T47" s="409" t="s">
        <v>650</v>
      </c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7"/>
      <c r="AS47" s="13"/>
      <c r="AT47" s="409" t="s">
        <v>650</v>
      </c>
      <c r="AU47" s="13"/>
      <c r="AV47" s="409" t="s">
        <v>650</v>
      </c>
      <c r="AW47" s="13"/>
      <c r="AX47" s="13"/>
      <c r="AY47" s="13"/>
      <c r="AZ47" s="13"/>
      <c r="BA47" s="13"/>
      <c r="BB47" s="13"/>
      <c r="BC47" s="9" t="s">
        <v>1140</v>
      </c>
      <c r="BD47" s="9"/>
      <c r="BE47" s="9"/>
      <c r="BF47" s="9"/>
      <c r="BG47" s="9"/>
      <c r="BH47" s="9"/>
      <c r="BI47" s="9"/>
      <c r="BJ47" s="9"/>
      <c r="BK47" s="9"/>
      <c r="BL47" s="9"/>
      <c r="BM47" s="141"/>
      <c r="BN47" s="234">
        <v>99239500</v>
      </c>
      <c r="BO47" s="174">
        <v>22222.13</v>
      </c>
      <c r="BP47" s="187"/>
      <c r="BQ47" s="188"/>
      <c r="BR47" s="187"/>
      <c r="BS47" s="265"/>
      <c r="BT47" s="710"/>
      <c r="BU47" s="713"/>
      <c r="BV47" s="358">
        <v>99239396</v>
      </c>
      <c r="BW47" s="359">
        <v>128.52000000000001</v>
      </c>
      <c r="BX47" s="219"/>
      <c r="BY47" s="247"/>
      <c r="BZ47" s="363">
        <v>99239500</v>
      </c>
      <c r="CA47" s="356">
        <f>BW47+BQ47+BO47+BU47</f>
        <v>22350.65</v>
      </c>
      <c r="CD47" s="719">
        <v>99239500</v>
      </c>
      <c r="CE47" s="729">
        <v>12677.39</v>
      </c>
      <c r="CF47" s="725">
        <v>99239381</v>
      </c>
      <c r="CG47" s="739">
        <v>720.09</v>
      </c>
      <c r="CH47" s="725"/>
      <c r="CI47" s="736"/>
      <c r="CJ47" s="742">
        <v>99239352</v>
      </c>
      <c r="CK47" s="758">
        <v>488.25</v>
      </c>
      <c r="CL47" s="747"/>
      <c r="CM47" s="748"/>
      <c r="CN47" s="694">
        <v>99239500</v>
      </c>
      <c r="CO47" s="690">
        <f>CK47+CI47+CG47+CE47+CM47</f>
        <v>13885.73</v>
      </c>
    </row>
    <row r="48" spans="1:93" hidden="1">
      <c r="A48" s="7">
        <v>56</v>
      </c>
      <c r="B48" s="7">
        <v>592</v>
      </c>
      <c r="C48" s="7" t="s">
        <v>648</v>
      </c>
      <c r="D48" s="7">
        <v>2</v>
      </c>
      <c r="E48" s="13"/>
      <c r="F48" s="13"/>
      <c r="G48" s="13"/>
      <c r="H48" s="13"/>
      <c r="I48" s="13"/>
      <c r="J48" s="13"/>
      <c r="K48" s="13"/>
      <c r="L48" s="13"/>
      <c r="M48" s="7"/>
      <c r="N48" s="13"/>
      <c r="O48" s="13"/>
      <c r="P48" s="13"/>
      <c r="Q48" s="7"/>
      <c r="R48" s="13"/>
      <c r="S48" s="13"/>
      <c r="T48" s="409" t="s">
        <v>650</v>
      </c>
      <c r="U48" s="13"/>
      <c r="V48" s="13"/>
      <c r="W48" s="13"/>
      <c r="X48" s="7"/>
      <c r="Y48" s="7"/>
      <c r="Z48" s="7"/>
      <c r="AA48" s="13"/>
      <c r="AB48" s="13"/>
      <c r="AC48" s="7"/>
      <c r="AD48" s="13"/>
      <c r="AE48" s="7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7"/>
      <c r="AT48" s="409" t="s">
        <v>650</v>
      </c>
      <c r="AU48" s="13"/>
      <c r="AV48" s="409" t="s">
        <v>650</v>
      </c>
      <c r="AW48" s="7"/>
      <c r="AX48" s="13"/>
      <c r="AY48" s="13"/>
      <c r="AZ48" s="13"/>
      <c r="BA48" s="13"/>
      <c r="BB48" s="13"/>
      <c r="BC48" s="7" t="s">
        <v>1141</v>
      </c>
      <c r="BD48" s="7"/>
      <c r="BE48" s="7"/>
      <c r="BF48" s="7"/>
      <c r="BG48" s="7"/>
      <c r="BH48" s="7"/>
      <c r="BI48" s="7"/>
      <c r="BJ48" s="7"/>
      <c r="BK48" s="7"/>
      <c r="BL48" s="7"/>
      <c r="BM48" s="103"/>
      <c r="BN48" s="234">
        <v>99292696</v>
      </c>
      <c r="BO48" s="174">
        <v>23369.74</v>
      </c>
      <c r="BP48" s="187">
        <v>99292525</v>
      </c>
      <c r="BQ48" s="188">
        <v>881.49</v>
      </c>
      <c r="BR48" s="187">
        <v>99515538</v>
      </c>
      <c r="BS48" s="267">
        <v>526.99</v>
      </c>
      <c r="BT48" s="710"/>
      <c r="BU48" s="713"/>
      <c r="BV48" s="358"/>
      <c r="BW48" s="359"/>
      <c r="BX48" s="219"/>
      <c r="BY48" s="247"/>
      <c r="BZ48" s="363">
        <f>BN48</f>
        <v>99292696</v>
      </c>
      <c r="CA48" s="356">
        <f>BW48+BQ48+BO48+BS48+BU48+BY48</f>
        <v>24778.220000000005</v>
      </c>
      <c r="CD48" s="719">
        <v>99292696</v>
      </c>
      <c r="CE48" s="729">
        <v>13523.68</v>
      </c>
      <c r="CF48" s="725"/>
      <c r="CG48" s="736"/>
      <c r="CH48" s="725"/>
      <c r="CI48" s="736"/>
      <c r="CJ48" s="742">
        <v>99839165</v>
      </c>
      <c r="CK48" s="755">
        <v>488.25</v>
      </c>
      <c r="CL48" s="747"/>
      <c r="CM48" s="748"/>
      <c r="CN48" s="694"/>
      <c r="CO48" s="691">
        <f>CK48+CE48</f>
        <v>14011.93</v>
      </c>
    </row>
    <row r="49" spans="1:93" hidden="1">
      <c r="A49" s="410">
        <v>57</v>
      </c>
      <c r="B49" s="410">
        <v>712</v>
      </c>
      <c r="C49" s="410" t="s">
        <v>649</v>
      </c>
      <c r="D49" s="410">
        <v>2</v>
      </c>
      <c r="E49" s="13"/>
      <c r="F49" s="9"/>
      <c r="G49" s="13"/>
      <c r="H49" s="13"/>
      <c r="I49" s="13"/>
      <c r="J49" s="13"/>
      <c r="K49" s="13"/>
      <c r="L49" s="13"/>
      <c r="M49" s="410" t="s">
        <v>650</v>
      </c>
      <c r="N49" s="9"/>
      <c r="O49" s="9"/>
      <c r="P49" s="13"/>
      <c r="Q49" s="13"/>
      <c r="R49" s="13"/>
      <c r="S49" s="13"/>
      <c r="T49" s="13"/>
      <c r="U49" s="9"/>
      <c r="V49" s="13"/>
      <c r="W49" s="9"/>
      <c r="X49" s="13"/>
      <c r="Y49" s="9"/>
      <c r="Z49" s="9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410" t="s">
        <v>650</v>
      </c>
      <c r="AP49" s="13"/>
      <c r="AQ49" s="13"/>
      <c r="AR49" s="9"/>
      <c r="AS49" s="13"/>
      <c r="AT49" s="410" t="s">
        <v>650</v>
      </c>
      <c r="AU49" s="13"/>
      <c r="AV49" s="410" t="s">
        <v>650</v>
      </c>
      <c r="AW49" s="13"/>
      <c r="AX49" s="13"/>
      <c r="AY49" s="9"/>
      <c r="AZ49" s="13"/>
      <c r="BA49" s="13"/>
      <c r="BB49" s="13"/>
      <c r="BC49" s="9" t="s">
        <v>1142</v>
      </c>
      <c r="BD49" s="9"/>
      <c r="BE49" s="9"/>
      <c r="BF49" s="9"/>
      <c r="BG49" s="9"/>
      <c r="BH49" s="9"/>
      <c r="BI49" s="9"/>
      <c r="BJ49" s="9"/>
      <c r="BK49" s="9"/>
      <c r="BL49" s="9"/>
      <c r="BM49" s="141"/>
      <c r="BN49" s="234">
        <v>98999296</v>
      </c>
      <c r="BO49" s="174">
        <v>18881.57</v>
      </c>
      <c r="BP49" s="187">
        <v>98998947</v>
      </c>
      <c r="BQ49" s="598">
        <v>-819.74</v>
      </c>
      <c r="BR49" s="187"/>
      <c r="BS49" s="265"/>
      <c r="BT49" s="710">
        <v>98998908</v>
      </c>
      <c r="BU49" s="713">
        <v>488.25</v>
      </c>
      <c r="BV49" s="358">
        <v>98999852</v>
      </c>
      <c r="BW49" s="535">
        <v>128.52000000000001</v>
      </c>
      <c r="BX49" s="219"/>
      <c r="BY49" s="247"/>
      <c r="BZ49" s="363"/>
      <c r="CA49" s="356">
        <f t="shared" ref="CA49" si="6">BW49+BQ49+BO49+BU49</f>
        <v>18678.599999999999</v>
      </c>
      <c r="CD49" s="720">
        <v>98999296</v>
      </c>
      <c r="CE49" s="730">
        <v>10445.85</v>
      </c>
      <c r="CF49" s="726"/>
      <c r="CG49" s="737"/>
      <c r="CH49" s="726"/>
      <c r="CI49" s="737"/>
      <c r="CJ49" s="743"/>
      <c r="CK49" s="759"/>
      <c r="CL49" s="749"/>
      <c r="CM49" s="750"/>
      <c r="CN49" s="694"/>
      <c r="CO49" s="689"/>
    </row>
  </sheetData>
  <autoFilter ref="A2:CP49" xr:uid="{B65840D7-CAED-42C7-8F01-B4B360935259}">
    <filterColumn colId="1">
      <filters>
        <filter val="846"/>
      </filters>
    </filterColumn>
  </autoFilter>
  <conditionalFormatting sqref="E3:E100">
    <cfRule type="expression" dxfId="567" priority="118">
      <formula>B3=921</formula>
    </cfRule>
    <cfRule type="expression" dxfId="566" priority="276">
      <formula>B3=712</formula>
    </cfRule>
    <cfRule type="expression" dxfId="565" priority="313">
      <formula>B3=592</formula>
    </cfRule>
  </conditionalFormatting>
  <conditionalFormatting sqref="F3:F100">
    <cfRule type="expression" dxfId="564" priority="69">
      <formula>B3=914</formula>
    </cfRule>
    <cfRule type="expression" dxfId="563" priority="75">
      <formula>B3=941</formula>
    </cfRule>
    <cfRule type="expression" dxfId="562" priority="312">
      <formula>B3=592</formula>
    </cfRule>
  </conditionalFormatting>
  <conditionalFormatting sqref="G3:G100">
    <cfRule type="expression" dxfId="561" priority="35">
      <formula>B3=713</formula>
    </cfRule>
    <cfRule type="expression" dxfId="560" priority="74">
      <formula>B3=941</formula>
    </cfRule>
    <cfRule type="expression" dxfId="559" priority="117">
      <formula>B3=921</formula>
    </cfRule>
    <cfRule type="expression" dxfId="558" priority="160">
      <formula>B3=915</formula>
    </cfRule>
    <cfRule type="expression" dxfId="557" priority="201">
      <formula>B3=914</formula>
    </cfRule>
    <cfRule type="expression" dxfId="556" priority="239">
      <formula>B3=846</formula>
    </cfRule>
    <cfRule type="expression" dxfId="555" priority="275">
      <formula>B3=712</formula>
    </cfRule>
    <cfRule type="expression" dxfId="554" priority="311">
      <formula>B3=592</formula>
    </cfRule>
  </conditionalFormatting>
  <conditionalFormatting sqref="H3:H100">
    <cfRule type="expression" dxfId="553" priority="73">
      <formula>B3=941</formula>
    </cfRule>
    <cfRule type="expression" dxfId="552" priority="116">
      <formula>B3=921</formula>
    </cfRule>
    <cfRule type="expression" dxfId="551" priority="159">
      <formula>B3=915</formula>
    </cfRule>
    <cfRule type="expression" dxfId="550" priority="200">
      <formula>B3=914</formula>
    </cfRule>
    <cfRule type="expression" dxfId="549" priority="238">
      <formula>B3=846</formula>
    </cfRule>
    <cfRule type="expression" dxfId="548" priority="274">
      <formula>B3=712</formula>
    </cfRule>
    <cfRule type="expression" dxfId="547" priority="310">
      <formula>B3=592</formula>
    </cfRule>
  </conditionalFormatting>
  <conditionalFormatting sqref="I3:I100">
    <cfRule type="expression" dxfId="546" priority="72">
      <formula>B3=941</formula>
    </cfRule>
    <cfRule type="expression" dxfId="545" priority="115">
      <formula>B3=921</formula>
    </cfRule>
    <cfRule type="expression" dxfId="544" priority="158">
      <formula>B3=915</formula>
    </cfRule>
    <cfRule type="expression" dxfId="543" priority="199">
      <formula>B3=914</formula>
    </cfRule>
    <cfRule type="expression" dxfId="542" priority="237">
      <formula>B3=846</formula>
    </cfRule>
    <cfRule type="expression" dxfId="541" priority="273">
      <formula>B3=712</formula>
    </cfRule>
    <cfRule type="expression" dxfId="540" priority="309">
      <formula>B3=592</formula>
    </cfRule>
  </conditionalFormatting>
  <conditionalFormatting sqref="J3:J100">
    <cfRule type="expression" dxfId="539" priority="34">
      <formula>B3=713</formula>
    </cfRule>
    <cfRule type="expression" dxfId="538" priority="71">
      <formula>B3=941</formula>
    </cfRule>
    <cfRule type="expression" dxfId="537" priority="114">
      <formula>B3=921</formula>
    </cfRule>
    <cfRule type="expression" dxfId="536" priority="157">
      <formula>B3=915</formula>
    </cfRule>
    <cfRule type="expression" dxfId="535" priority="198">
      <formula>B3=914</formula>
    </cfRule>
    <cfRule type="expression" dxfId="534" priority="236">
      <formula>B3=846</formula>
    </cfRule>
    <cfRule type="expression" dxfId="533" priority="272">
      <formula>B3=712</formula>
    </cfRule>
    <cfRule type="expression" dxfId="532" priority="308">
      <formula>B3=592</formula>
    </cfRule>
  </conditionalFormatting>
  <conditionalFormatting sqref="K3:K100">
    <cfRule type="expression" dxfId="531" priority="33">
      <formula>B3=713</formula>
    </cfRule>
    <cfRule type="expression" dxfId="530" priority="70">
      <formula>B3=941</formula>
    </cfRule>
    <cfRule type="expression" dxfId="529" priority="113">
      <formula>B3=921</formula>
    </cfRule>
    <cfRule type="expression" dxfId="528" priority="156">
      <formula>B3=915</formula>
    </cfRule>
    <cfRule type="expression" dxfId="527" priority="197">
      <formula>B3=914</formula>
    </cfRule>
    <cfRule type="expression" dxfId="526" priority="235">
      <formula>B3=846</formula>
    </cfRule>
    <cfRule type="expression" dxfId="525" priority="271">
      <formula>B3=712</formula>
    </cfRule>
    <cfRule type="expression" dxfId="524" priority="307">
      <formula>B3=592</formula>
    </cfRule>
  </conditionalFormatting>
  <conditionalFormatting sqref="L3:L100">
    <cfRule type="expression" dxfId="523" priority="32">
      <formula>B3=713</formula>
    </cfRule>
    <cfRule type="expression" dxfId="522" priority="68">
      <formula>B3=941</formula>
    </cfRule>
    <cfRule type="expression" dxfId="521" priority="112">
      <formula>B3=921</formula>
    </cfRule>
    <cfRule type="expression" dxfId="520" priority="155">
      <formula>B3=915</formula>
    </cfRule>
    <cfRule type="expression" dxfId="519" priority="196">
      <formula>B3=914</formula>
    </cfRule>
    <cfRule type="expression" dxfId="518" priority="234">
      <formula>B3=846</formula>
    </cfRule>
    <cfRule type="expression" dxfId="517" priority="270">
      <formula>B3=712</formula>
    </cfRule>
    <cfRule type="expression" dxfId="516" priority="306">
      <formula>B3=592</formula>
    </cfRule>
  </conditionalFormatting>
  <conditionalFormatting sqref="N3:N100">
    <cfRule type="expression" dxfId="515" priority="31">
      <formula>B3=713</formula>
    </cfRule>
    <cfRule type="expression" dxfId="514" priority="111">
      <formula>B3=921</formula>
    </cfRule>
    <cfRule type="expression" dxfId="513" priority="154">
      <formula>B3=915</formula>
    </cfRule>
    <cfRule type="expression" dxfId="512" priority="269">
      <formula>B3=712</formula>
    </cfRule>
    <cfRule type="expression" dxfId="511" priority="305">
      <formula>B3=592</formula>
    </cfRule>
  </conditionalFormatting>
  <conditionalFormatting sqref="O3:O40 O42:O100">
    <cfRule type="expression" dxfId="510" priority="195">
      <formula>B3=914</formula>
    </cfRule>
    <cfRule type="expression" dxfId="509" priority="304">
      <formula>B3=592</formula>
    </cfRule>
  </conditionalFormatting>
  <conditionalFormatting sqref="P3:P100">
    <cfRule type="expression" dxfId="508" priority="30">
      <formula>B3=713</formula>
    </cfRule>
    <cfRule type="expression" dxfId="507" priority="67">
      <formula>B3=941</formula>
    </cfRule>
    <cfRule type="expression" dxfId="506" priority="110">
      <formula>B3=921</formula>
    </cfRule>
    <cfRule type="expression" dxfId="505" priority="153">
      <formula>B3=915</formula>
    </cfRule>
    <cfRule type="expression" dxfId="504" priority="194">
      <formula>B3=914</formula>
    </cfRule>
    <cfRule type="expression" dxfId="503" priority="233">
      <formula>B3=846</formula>
    </cfRule>
    <cfRule type="expression" dxfId="502" priority="268">
      <formula>B3=712</formula>
    </cfRule>
    <cfRule type="expression" dxfId="501" priority="303">
      <formula>B3=592</formula>
    </cfRule>
  </conditionalFormatting>
  <conditionalFormatting sqref="Q3:Q100">
    <cfRule type="expression" dxfId="500" priority="29">
      <formula>B3=713</formula>
    </cfRule>
    <cfRule type="expression" dxfId="499" priority="66">
      <formula>B3=941</formula>
    </cfRule>
    <cfRule type="expression" dxfId="498" priority="109">
      <formula>B3=921</formula>
    </cfRule>
    <cfRule type="expression" dxfId="497" priority="152">
      <formula>B3=915</formula>
    </cfRule>
    <cfRule type="expression" dxfId="496" priority="232">
      <formula>B3=846</formula>
    </cfRule>
    <cfRule type="expression" dxfId="495" priority="267">
      <formula>B3=712</formula>
    </cfRule>
  </conditionalFormatting>
  <conditionalFormatting sqref="R3:R100">
    <cfRule type="expression" dxfId="494" priority="28">
      <formula>B3=713</formula>
    </cfRule>
    <cfRule type="expression" dxfId="493" priority="65">
      <formula>B3=941</formula>
    </cfRule>
    <cfRule type="expression" dxfId="492" priority="108">
      <formula>B3=921</formula>
    </cfRule>
    <cfRule type="expression" dxfId="491" priority="151">
      <formula>B3=915</formula>
    </cfRule>
    <cfRule type="expression" dxfId="490" priority="193">
      <formula>B3=914</formula>
    </cfRule>
    <cfRule type="expression" dxfId="489" priority="231">
      <formula>B3=846</formula>
    </cfRule>
    <cfRule type="expression" dxfId="488" priority="266">
      <formula>B3=712</formula>
    </cfRule>
    <cfRule type="expression" dxfId="487" priority="302">
      <formula>B3=592</formula>
    </cfRule>
  </conditionalFormatting>
  <conditionalFormatting sqref="S3:S100">
    <cfRule type="expression" dxfId="486" priority="27">
      <formula>B3=713</formula>
    </cfRule>
    <cfRule type="expression" dxfId="485" priority="64">
      <formula>B3=941</formula>
    </cfRule>
    <cfRule type="expression" dxfId="484" priority="107">
      <formula>B3=921</formula>
    </cfRule>
    <cfRule type="expression" dxfId="483" priority="150">
      <formula>B3=915</formula>
    </cfRule>
    <cfRule type="expression" dxfId="482" priority="192">
      <formula>B3=914</formula>
    </cfRule>
    <cfRule type="expression" dxfId="481" priority="230">
      <formula>B3=846</formula>
    </cfRule>
    <cfRule type="expression" dxfId="480" priority="265">
      <formula>B3=712</formula>
    </cfRule>
    <cfRule type="expression" dxfId="479" priority="301">
      <formula>B3=592</formula>
    </cfRule>
  </conditionalFormatting>
  <conditionalFormatting sqref="T3:T100">
    <cfRule type="expression" dxfId="478" priority="63">
      <formula>B3=941</formula>
    </cfRule>
    <cfRule type="expression" dxfId="477" priority="106">
      <formula>B3=921</formula>
    </cfRule>
    <cfRule type="expression" dxfId="476" priority="148">
      <formula>B3=915</formula>
    </cfRule>
    <cfRule type="expression" dxfId="475" priority="229">
      <formula>B3=846</formula>
    </cfRule>
    <cfRule type="expression" dxfId="474" priority="264">
      <formula>B3=712</formula>
    </cfRule>
  </conditionalFormatting>
  <conditionalFormatting sqref="U3:U100">
    <cfRule type="expression" dxfId="473" priority="26">
      <formula>B3=713</formula>
    </cfRule>
    <cfRule type="expression" dxfId="472" priority="62">
      <formula>B3=941</formula>
    </cfRule>
    <cfRule type="expression" dxfId="471" priority="105">
      <formula>B3=921</formula>
    </cfRule>
    <cfRule type="expression" dxfId="470" priority="147">
      <formula>B3=915</formula>
    </cfRule>
    <cfRule type="expression" dxfId="469" priority="191">
      <formula>B3=914</formula>
    </cfRule>
    <cfRule type="expression" dxfId="468" priority="228">
      <formula>B3=846</formula>
    </cfRule>
    <cfRule type="expression" dxfId="467" priority="300">
      <formula>B3=592</formula>
    </cfRule>
  </conditionalFormatting>
  <conditionalFormatting sqref="V3:V100">
    <cfRule type="expression" dxfId="466" priority="25">
      <formula>B3=713</formula>
    </cfRule>
    <cfRule type="expression" dxfId="465" priority="61">
      <formula>B3=941</formula>
    </cfRule>
    <cfRule type="expression" dxfId="464" priority="104">
      <formula>B3=921</formula>
    </cfRule>
    <cfRule type="expression" dxfId="463" priority="146">
      <formula>B3=915</formula>
    </cfRule>
    <cfRule type="expression" dxfId="462" priority="190">
      <formula>B3=914</formula>
    </cfRule>
    <cfRule type="expression" dxfId="461" priority="227">
      <formula>B3=846</formula>
    </cfRule>
    <cfRule type="expression" dxfId="460" priority="263">
      <formula>B3=712</formula>
    </cfRule>
    <cfRule type="expression" dxfId="459" priority="299">
      <formula>B3=592</formula>
    </cfRule>
  </conditionalFormatting>
  <conditionalFormatting sqref="W3:W100">
    <cfRule type="expression" dxfId="458" priority="24">
      <formula>B3=713</formula>
    </cfRule>
    <cfRule type="expression" dxfId="457" priority="60">
      <formula>B3=941</formula>
    </cfRule>
    <cfRule type="expression" dxfId="456" priority="103">
      <formula>B3=921</formula>
    </cfRule>
    <cfRule type="expression" dxfId="455" priority="145">
      <formula>B3=915</formula>
    </cfRule>
    <cfRule type="expression" dxfId="454" priority="189">
      <formula>B3=914</formula>
    </cfRule>
    <cfRule type="expression" dxfId="453" priority="226">
      <formula>B3=846</formula>
    </cfRule>
  </conditionalFormatting>
  <conditionalFormatting sqref="X3:X100">
    <cfRule type="expression" dxfId="452" priority="59">
      <formula>B3=941</formula>
    </cfRule>
    <cfRule type="expression" dxfId="451" priority="102">
      <formula>B3=921</formula>
    </cfRule>
    <cfRule type="expression" dxfId="450" priority="144">
      <formula>B3=915</formula>
    </cfRule>
    <cfRule type="expression" dxfId="449" priority="188">
      <formula>B3=914</formula>
    </cfRule>
    <cfRule type="expression" dxfId="448" priority="225">
      <formula>B3=846</formula>
    </cfRule>
    <cfRule type="expression" dxfId="447" priority="262">
      <formula>B3=712</formula>
    </cfRule>
  </conditionalFormatting>
  <conditionalFormatting sqref="Y3:Y100">
    <cfRule type="expression" dxfId="446" priority="58">
      <formula>B3=941</formula>
    </cfRule>
    <cfRule type="expression" dxfId="445" priority="101">
      <formula>B3=921</formula>
    </cfRule>
    <cfRule type="expression" dxfId="444" priority="143">
      <formula>B3=915</formula>
    </cfRule>
    <cfRule type="expression" dxfId="443" priority="187">
      <formula>B3=914</formula>
    </cfRule>
  </conditionalFormatting>
  <conditionalFormatting sqref="Z3:Z100">
    <cfRule type="expression" dxfId="442" priority="57">
      <formula>B3=941</formula>
    </cfRule>
    <cfRule type="expression" dxfId="441" priority="100">
      <formula>B3=921</formula>
    </cfRule>
    <cfRule type="expression" dxfId="440" priority="142">
      <formula>B3=915</formula>
    </cfRule>
    <cfRule type="expression" dxfId="439" priority="186">
      <formula>B3=914</formula>
    </cfRule>
  </conditionalFormatting>
  <conditionalFormatting sqref="AA3:AA100">
    <cfRule type="expression" dxfId="438" priority="23">
      <formula>B3=713</formula>
    </cfRule>
    <cfRule type="expression" dxfId="437" priority="56">
      <formula>B3=941</formula>
    </cfRule>
    <cfRule type="expression" dxfId="436" priority="99">
      <formula>B3=921</formula>
    </cfRule>
    <cfRule type="expression" dxfId="435" priority="141">
      <formula>B3=915</formula>
    </cfRule>
    <cfRule type="expression" dxfId="434" priority="185">
      <formula>B3=914</formula>
    </cfRule>
    <cfRule type="expression" dxfId="433" priority="224">
      <formula>B3=846</formula>
    </cfRule>
    <cfRule type="expression" dxfId="432" priority="261">
      <formula>B3=712</formula>
    </cfRule>
    <cfRule type="expression" dxfId="431" priority="298">
      <formula>B3=592</formula>
    </cfRule>
  </conditionalFormatting>
  <conditionalFormatting sqref="AB3:AB100">
    <cfRule type="expression" dxfId="430" priority="22">
      <formula>B3=713</formula>
    </cfRule>
    <cfRule type="expression" dxfId="429" priority="55">
      <formula>B3=941</formula>
    </cfRule>
    <cfRule type="expression" dxfId="428" priority="98">
      <formula>B3=921</formula>
    </cfRule>
    <cfRule type="expression" dxfId="427" priority="140">
      <formula>B3=915</formula>
    </cfRule>
    <cfRule type="expression" dxfId="426" priority="184">
      <formula>B3=914</formula>
    </cfRule>
    <cfRule type="expression" dxfId="425" priority="223">
      <formula>B3=846</formula>
    </cfRule>
    <cfRule type="expression" dxfId="424" priority="260">
      <formula>B3=712</formula>
    </cfRule>
    <cfRule type="expression" dxfId="423" priority="297">
      <formula>B3=592</formula>
    </cfRule>
  </conditionalFormatting>
  <conditionalFormatting sqref="AC3:AC100">
    <cfRule type="expression" dxfId="422" priority="21">
      <formula>B3=713</formula>
    </cfRule>
    <cfRule type="expression" dxfId="421" priority="54">
      <formula>B3=941</formula>
    </cfRule>
    <cfRule type="expression" dxfId="420" priority="97">
      <formula>B3=921</formula>
    </cfRule>
    <cfRule type="expression" dxfId="419" priority="139">
      <formula>B3=915</formula>
    </cfRule>
    <cfRule type="expression" dxfId="418" priority="183">
      <formula>B3=914</formula>
    </cfRule>
    <cfRule type="expression" dxfId="417" priority="222">
      <formula>B3=846</formula>
    </cfRule>
    <cfRule type="expression" dxfId="416" priority="259">
      <formula>B3=712</formula>
    </cfRule>
  </conditionalFormatting>
  <conditionalFormatting sqref="AD3:AD100">
    <cfRule type="expression" dxfId="415" priority="20">
      <formula>B3=713</formula>
    </cfRule>
    <cfRule type="expression" dxfId="414" priority="53">
      <formula>B3=941</formula>
    </cfRule>
    <cfRule type="expression" dxfId="413" priority="96">
      <formula>B3=921</formula>
    </cfRule>
    <cfRule type="expression" dxfId="412" priority="138">
      <formula>B3=915</formula>
    </cfRule>
    <cfRule type="expression" dxfId="411" priority="182">
      <formula>B3=914</formula>
    </cfRule>
    <cfRule type="expression" dxfId="410" priority="221">
      <formula>B3=846</formula>
    </cfRule>
    <cfRule type="expression" dxfId="409" priority="258">
      <formula>B3=712</formula>
    </cfRule>
    <cfRule type="expression" dxfId="408" priority="296">
      <formula>B3=592</formula>
    </cfRule>
  </conditionalFormatting>
  <conditionalFormatting sqref="AE3:AE100">
    <cfRule type="expression" dxfId="407" priority="19">
      <formula>B3=713</formula>
    </cfRule>
    <cfRule type="expression" dxfId="406" priority="52">
      <formula>B3=941</formula>
    </cfRule>
    <cfRule type="expression" dxfId="405" priority="95">
      <formula>B3=915</formula>
    </cfRule>
    <cfRule type="expression" dxfId="404" priority="181">
      <formula>B3=914</formula>
    </cfRule>
    <cfRule type="expression" dxfId="403" priority="220">
      <formula>B3=846</formula>
    </cfRule>
    <cfRule type="expression" dxfId="402" priority="257">
      <formula>B3=712</formula>
    </cfRule>
  </conditionalFormatting>
  <conditionalFormatting sqref="AF3:AF100">
    <cfRule type="expression" dxfId="401" priority="18">
      <formula>B3=713</formula>
    </cfRule>
    <cfRule type="expression" dxfId="400" priority="51">
      <formula>B3=941</formula>
    </cfRule>
    <cfRule type="expression" dxfId="399" priority="94">
      <formula>B3=921</formula>
    </cfRule>
    <cfRule type="expression" dxfId="398" priority="180">
      <formula>B3=914</formula>
    </cfRule>
    <cfRule type="expression" dxfId="397" priority="219">
      <formula>B3=846</formula>
    </cfRule>
    <cfRule type="expression" dxfId="396" priority="256">
      <formula>B3=712</formula>
    </cfRule>
    <cfRule type="expression" dxfId="395" priority="295">
      <formula>B3=592</formula>
    </cfRule>
  </conditionalFormatting>
  <conditionalFormatting sqref="AG3:AG100">
    <cfRule type="expression" dxfId="394" priority="17">
      <formula>B3=713</formula>
    </cfRule>
    <cfRule type="expression" dxfId="393" priority="50">
      <formula>B3=941</formula>
    </cfRule>
    <cfRule type="expression" dxfId="392" priority="93">
      <formula>B3=921</formula>
    </cfRule>
    <cfRule type="expression" dxfId="391" priority="136">
      <formula>B3=915</formula>
    </cfRule>
    <cfRule type="expression" dxfId="390" priority="179">
      <formula>B3=914</formula>
    </cfRule>
    <cfRule type="expression" dxfId="389" priority="218">
      <formula>B3=846</formula>
    </cfRule>
    <cfRule type="expression" dxfId="388" priority="255">
      <formula>B3=712</formula>
    </cfRule>
    <cfRule type="expression" dxfId="387" priority="294">
      <formula>B3=592</formula>
    </cfRule>
  </conditionalFormatting>
  <conditionalFormatting sqref="AH3:AH100">
    <cfRule type="expression" dxfId="386" priority="16">
      <formula>B3=713</formula>
    </cfRule>
    <cfRule type="expression" dxfId="385" priority="49">
      <formula>B3=941</formula>
    </cfRule>
    <cfRule type="expression" dxfId="384" priority="92">
      <formula>B3=921</formula>
    </cfRule>
    <cfRule type="expression" dxfId="383" priority="135">
      <formula>B3=915</formula>
    </cfRule>
    <cfRule type="expression" dxfId="382" priority="178">
      <formula>B3=914</formula>
    </cfRule>
    <cfRule type="expression" dxfId="381" priority="217">
      <formula>B3=846</formula>
    </cfRule>
    <cfRule type="expression" dxfId="380" priority="254">
      <formula>B3=712</formula>
    </cfRule>
    <cfRule type="expression" dxfId="379" priority="293">
      <formula>B3=592</formula>
    </cfRule>
  </conditionalFormatting>
  <conditionalFormatting sqref="AI3:AI100">
    <cfRule type="expression" dxfId="378" priority="15">
      <formula>B3=713</formula>
    </cfRule>
    <cfRule type="expression" dxfId="377" priority="48">
      <formula>B3=941</formula>
    </cfRule>
    <cfRule type="expression" dxfId="376" priority="91">
      <formula>B3=921</formula>
    </cfRule>
    <cfRule type="expression" dxfId="375" priority="134">
      <formula>B3=915</formula>
    </cfRule>
    <cfRule type="expression" dxfId="374" priority="177">
      <formula>B3=914</formula>
    </cfRule>
    <cfRule type="expression" dxfId="373" priority="253">
      <formula>B3=712</formula>
    </cfRule>
    <cfRule type="expression" dxfId="372" priority="292">
      <formula>B3=592</formula>
    </cfRule>
  </conditionalFormatting>
  <conditionalFormatting sqref="AJ3:AJ100">
    <cfRule type="expression" dxfId="371" priority="14">
      <formula>B3=713</formula>
    </cfRule>
    <cfRule type="expression" dxfId="370" priority="47">
      <formula>B3=941</formula>
    </cfRule>
    <cfRule type="expression" dxfId="369" priority="90">
      <formula>B3=921</formula>
    </cfRule>
    <cfRule type="expression" dxfId="368" priority="133">
      <formula>B3=915</formula>
    </cfRule>
    <cfRule type="expression" dxfId="367" priority="176">
      <formula>B3=914</formula>
    </cfRule>
    <cfRule type="expression" dxfId="366" priority="216">
      <formula>B3=846</formula>
    </cfRule>
    <cfRule type="expression" dxfId="365" priority="252">
      <formula>B3=712</formula>
    </cfRule>
    <cfRule type="expression" dxfId="364" priority="291">
      <formula>B3=592</formula>
    </cfRule>
  </conditionalFormatting>
  <conditionalFormatting sqref="AK3:AK100">
    <cfRule type="expression" dxfId="363" priority="13">
      <formula>B3=713</formula>
    </cfRule>
    <cfRule type="expression" dxfId="362" priority="46">
      <formula>B3=941</formula>
    </cfRule>
    <cfRule type="expression" dxfId="361" priority="89">
      <formula>B3=921</formula>
    </cfRule>
    <cfRule type="expression" dxfId="360" priority="132">
      <formula>B3=915</formula>
    </cfRule>
    <cfRule type="expression" dxfId="359" priority="175">
      <formula>B3=914</formula>
    </cfRule>
    <cfRule type="expression" dxfId="358" priority="215">
      <formula>B3=846</formula>
    </cfRule>
    <cfRule type="expression" dxfId="357" priority="251">
      <formula>B3=712</formula>
    </cfRule>
    <cfRule type="expression" dxfId="356" priority="290">
      <formula>B3=592</formula>
    </cfRule>
  </conditionalFormatting>
  <conditionalFormatting sqref="AL3:AL100">
    <cfRule type="expression" dxfId="355" priority="12">
      <formula>B3=713</formula>
    </cfRule>
    <cfRule type="expression" dxfId="354" priority="88">
      <formula>B3=921</formula>
    </cfRule>
    <cfRule type="expression" dxfId="353" priority="131">
      <formula>B3=915</formula>
    </cfRule>
    <cfRule type="expression" dxfId="352" priority="174">
      <formula>B3=914</formula>
    </cfRule>
    <cfRule type="expression" dxfId="351" priority="214">
      <formula>B3=846</formula>
    </cfRule>
    <cfRule type="expression" dxfId="350" priority="250">
      <formula>B3=712</formula>
    </cfRule>
    <cfRule type="expression" dxfId="349" priority="289">
      <formula>B3=592</formula>
    </cfRule>
  </conditionalFormatting>
  <conditionalFormatting sqref="AM3:AM100">
    <cfRule type="expression" dxfId="348" priority="11">
      <formula>B3=713</formula>
    </cfRule>
    <cfRule type="expression" dxfId="347" priority="45">
      <formula>B3=941</formula>
    </cfRule>
    <cfRule type="expression" dxfId="346" priority="87">
      <formula>B3=921</formula>
    </cfRule>
    <cfRule type="expression" dxfId="345" priority="130">
      <formula>B3=915</formula>
    </cfRule>
    <cfRule type="expression" dxfId="344" priority="173">
      <formula>B3=914</formula>
    </cfRule>
    <cfRule type="expression" dxfId="343" priority="213">
      <formula>B3=846</formula>
    </cfRule>
    <cfRule type="expression" dxfId="342" priority="249">
      <formula>B3=712</formula>
    </cfRule>
    <cfRule type="expression" dxfId="341" priority="288">
      <formula>B3=592</formula>
    </cfRule>
  </conditionalFormatting>
  <conditionalFormatting sqref="AN3:AN100">
    <cfRule type="expression" dxfId="340" priority="10">
      <formula>B3=713</formula>
    </cfRule>
    <cfRule type="expression" dxfId="339" priority="86">
      <formula>B3=921</formula>
    </cfRule>
    <cfRule type="expression" dxfId="338" priority="129">
      <formula>B3=915</formula>
    </cfRule>
    <cfRule type="expression" dxfId="337" priority="172">
      <formula>B3=914</formula>
    </cfRule>
    <cfRule type="expression" dxfId="336" priority="212">
      <formula>B3=846</formula>
    </cfRule>
    <cfRule type="expression" dxfId="335" priority="248">
      <formula>B3=712</formula>
    </cfRule>
    <cfRule type="expression" dxfId="334" priority="287">
      <formula>B3=592</formula>
    </cfRule>
  </conditionalFormatting>
  <conditionalFormatting sqref="AO3:AO100">
    <cfRule type="expression" dxfId="333" priority="85">
      <formula>B3=921</formula>
    </cfRule>
    <cfRule type="expression" dxfId="332" priority="128">
      <formula>B3=915</formula>
    </cfRule>
    <cfRule type="expression" dxfId="331" priority="171">
      <formula>B3=914</formula>
    </cfRule>
    <cfRule type="expression" dxfId="330" priority="286">
      <formula>B3=592</formula>
    </cfRule>
  </conditionalFormatting>
  <conditionalFormatting sqref="AP3:AP100">
    <cfRule type="expression" dxfId="329" priority="8">
      <formula>B3=713</formula>
    </cfRule>
    <cfRule type="expression" dxfId="328" priority="44">
      <formula>B3=941</formula>
    </cfRule>
    <cfRule type="expression" dxfId="327" priority="84">
      <formula>B3=921</formula>
    </cfRule>
    <cfRule type="expression" dxfId="326" priority="170">
      <formula>B3=914</formula>
    </cfRule>
    <cfRule type="expression" dxfId="325" priority="210">
      <formula>B3=846</formula>
    </cfRule>
    <cfRule type="expression" dxfId="324" priority="247">
      <formula>B3=712</formula>
    </cfRule>
    <cfRule type="expression" dxfId="323" priority="285">
      <formula>B3=592</formula>
    </cfRule>
  </conditionalFormatting>
  <conditionalFormatting sqref="AQ3:AQ100">
    <cfRule type="expression" dxfId="322" priority="43">
      <formula>B3=941</formula>
    </cfRule>
    <cfRule type="expression" dxfId="321" priority="83">
      <formula>B3=921</formula>
    </cfRule>
    <cfRule type="expression" dxfId="320" priority="127">
      <formula>B3=915</formula>
    </cfRule>
    <cfRule type="expression" dxfId="319" priority="169">
      <formula>B3=914</formula>
    </cfRule>
    <cfRule type="expression" dxfId="318" priority="209">
      <formula>B3=846</formula>
    </cfRule>
    <cfRule type="expression" dxfId="317" priority="246">
      <formula>B3=712</formula>
    </cfRule>
    <cfRule type="expression" dxfId="316" priority="284">
      <formula>B3=592</formula>
    </cfRule>
  </conditionalFormatting>
  <conditionalFormatting sqref="AR3:AR45 AR47:AR100">
    <cfRule type="expression" dxfId="315" priority="283">
      <formula>B3=592</formula>
    </cfRule>
  </conditionalFormatting>
  <conditionalFormatting sqref="AS3:AS100">
    <cfRule type="expression" dxfId="314" priority="7">
      <formula>B3=713</formula>
    </cfRule>
    <cfRule type="expression" dxfId="313" priority="42">
      <formula>B3=941</formula>
    </cfRule>
    <cfRule type="expression" dxfId="312" priority="82">
      <formula>B3=921</formula>
    </cfRule>
    <cfRule type="expression" dxfId="311" priority="126">
      <formula>B3=915</formula>
    </cfRule>
    <cfRule type="expression" dxfId="310" priority="168">
      <formula>B3=914</formula>
    </cfRule>
    <cfRule type="expression" dxfId="309" priority="208">
      <formula>B3=846</formula>
    </cfRule>
    <cfRule type="expression" dxfId="308" priority="245">
      <formula>B3=712</formula>
    </cfRule>
    <cfRule type="expression" dxfId="307" priority="282">
      <formula>B3=592</formula>
    </cfRule>
  </conditionalFormatting>
  <conditionalFormatting sqref="AT3:AT100">
    <cfRule type="expression" dxfId="306" priority="125">
      <formula>B3=915</formula>
    </cfRule>
  </conditionalFormatting>
  <conditionalFormatting sqref="AT46">
    <cfRule type="expression" dxfId="305" priority="367">
      <formula>B46=592</formula>
    </cfRule>
  </conditionalFormatting>
  <conditionalFormatting sqref="AU3:AU100">
    <cfRule type="expression" dxfId="304" priority="6">
      <formula>B3=713</formula>
    </cfRule>
    <cfRule type="expression" dxfId="303" priority="41">
      <formula>B3=941</formula>
    </cfRule>
    <cfRule type="expression" dxfId="302" priority="81">
      <formula>B3=921</formula>
    </cfRule>
    <cfRule type="expression" dxfId="301" priority="167">
      <formula>B3=914</formula>
    </cfRule>
    <cfRule type="expression" dxfId="300" priority="207">
      <formula>B3=846</formula>
    </cfRule>
    <cfRule type="expression" dxfId="299" priority="244">
      <formula>B3=712</formula>
    </cfRule>
    <cfRule type="expression" dxfId="298" priority="281">
      <formula>B3=592</formula>
    </cfRule>
  </conditionalFormatting>
  <conditionalFormatting sqref="AV3:AV100">
    <cfRule type="expression" dxfId="297" priority="123">
      <formula>B3=915</formula>
    </cfRule>
  </conditionalFormatting>
  <conditionalFormatting sqref="AW3:AW100">
    <cfRule type="expression" dxfId="296" priority="5">
      <formula>B3=713</formula>
    </cfRule>
    <cfRule type="expression" dxfId="295" priority="40">
      <formula>B3=941</formula>
    </cfRule>
    <cfRule type="expression" dxfId="294" priority="80">
      <formula>B3=921</formula>
    </cfRule>
    <cfRule type="expression" dxfId="293" priority="122">
      <formula>B3=915</formula>
    </cfRule>
    <cfRule type="expression" dxfId="292" priority="166">
      <formula>B3=914</formula>
    </cfRule>
    <cfRule type="expression" dxfId="291" priority="206">
      <formula>B3=846</formula>
    </cfRule>
    <cfRule type="expression" dxfId="290" priority="243">
      <formula>B3=712</formula>
    </cfRule>
  </conditionalFormatting>
  <conditionalFormatting sqref="AX3:AX100">
    <cfRule type="expression" dxfId="289" priority="4">
      <formula>B3=713</formula>
    </cfRule>
    <cfRule type="expression" dxfId="288" priority="39">
      <formula>B3=941</formula>
    </cfRule>
    <cfRule type="expression" dxfId="287" priority="79">
      <formula>B3=921</formula>
    </cfRule>
    <cfRule type="expression" dxfId="286" priority="121">
      <formula>B3=915</formula>
    </cfRule>
    <cfRule type="expression" dxfId="285" priority="165">
      <formula>B3=914</formula>
    </cfRule>
    <cfRule type="expression" dxfId="284" priority="205">
      <formula>B3=846</formula>
    </cfRule>
    <cfRule type="expression" dxfId="283" priority="242">
      <formula>B3=712</formula>
    </cfRule>
    <cfRule type="expression" dxfId="282" priority="280">
      <formula>B3=592</formula>
    </cfRule>
  </conditionalFormatting>
  <conditionalFormatting sqref="AY3:AY100">
    <cfRule type="expression" dxfId="281" priority="3">
      <formula>B3=713</formula>
    </cfRule>
    <cfRule type="expression" dxfId="280" priority="38">
      <formula>B3=941</formula>
    </cfRule>
    <cfRule type="expression" dxfId="279" priority="78">
      <formula>B3=921</formula>
    </cfRule>
    <cfRule type="expression" dxfId="278" priority="120">
      <formula>B3=915</formula>
    </cfRule>
    <cfRule type="expression" dxfId="277" priority="164">
      <formula>B3=914</formula>
    </cfRule>
    <cfRule type="expression" dxfId="276" priority="204">
      <formula>B3=846</formula>
    </cfRule>
    <cfRule type="expression" dxfId="275" priority="279">
      <formula>B3=592</formula>
    </cfRule>
  </conditionalFormatting>
  <conditionalFormatting sqref="AZ3:AZ100">
    <cfRule type="expression" dxfId="274" priority="2">
      <formula>B3=713</formula>
    </cfRule>
    <cfRule type="expression" dxfId="273" priority="37">
      <formula>B3=941</formula>
    </cfRule>
    <cfRule type="expression" dxfId="272" priority="77">
      <formula>B3=921</formula>
    </cfRule>
    <cfRule type="expression" dxfId="271" priority="163">
      <formula>B3=914</formula>
    </cfRule>
    <cfRule type="expression" dxfId="270" priority="203">
      <formula>B3=846</formula>
    </cfRule>
    <cfRule type="expression" dxfId="269" priority="241">
      <formula>B3=712</formula>
    </cfRule>
    <cfRule type="expression" dxfId="268" priority="278">
      <formula>B3=592</formula>
    </cfRule>
  </conditionalFormatting>
  <conditionalFormatting sqref="BA3:BA100">
    <cfRule type="expression" dxfId="267" priority="1">
      <formula>B3=713</formula>
    </cfRule>
    <cfRule type="expression" dxfId="266" priority="36">
      <formula>B3=941</formula>
    </cfRule>
    <cfRule type="expression" dxfId="265" priority="76">
      <formula>B3=921</formula>
    </cfRule>
    <cfRule type="expression" dxfId="264" priority="119">
      <formula>B3=915</formula>
    </cfRule>
    <cfRule type="expression" dxfId="263" priority="162">
      <formula>B3=914</formula>
    </cfRule>
    <cfRule type="expression" dxfId="262" priority="202">
      <formula>B3=846</formula>
    </cfRule>
    <cfRule type="expression" dxfId="261" priority="240">
      <formula>B3=712</formula>
    </cfRule>
    <cfRule type="expression" dxfId="260" priority="277">
      <formula>B3=592</formula>
    </cfRule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F9C7-EBEB-4CF3-8471-3FEAE442B53D}">
  <dimension ref="A1:MX89"/>
  <sheetViews>
    <sheetView zoomScale="80" zoomScaleNormal="80" workbookViewId="0">
      <selection activeCell="A19" sqref="A19"/>
    </sheetView>
  </sheetViews>
  <sheetFormatPr defaultColWidth="8.85546875" defaultRowHeight="15.6"/>
  <cols>
    <col min="1" max="1" width="21" style="580" bestFit="1" customWidth="1"/>
    <col min="2" max="2" width="15.140625" style="5" bestFit="1" customWidth="1"/>
    <col min="3" max="3" width="5.5703125" style="5" bestFit="1" customWidth="1"/>
    <col min="4" max="4" width="10.28515625" style="5" bestFit="1" customWidth="1"/>
    <col min="5" max="9" width="5.28515625" style="5" customWidth="1"/>
    <col min="10" max="10" width="9.42578125" style="5" bestFit="1" customWidth="1"/>
    <col min="11" max="11" width="0.7109375" style="5" customWidth="1"/>
    <col min="12" max="12" width="20.140625" style="594" bestFit="1" customWidth="1"/>
    <col min="13" max="14" width="4.7109375" style="5" hidden="1" customWidth="1"/>
    <col min="15" max="15" width="6.5703125" style="96" hidden="1" customWidth="1"/>
    <col min="16" max="16" width="11.5703125" style="5" hidden="1" customWidth="1"/>
    <col min="17" max="19" width="10.85546875" style="5" hidden="1" customWidth="1"/>
    <col min="20" max="20" width="12.7109375" style="5" hidden="1" customWidth="1"/>
    <col min="21" max="21" width="27" style="234" bestFit="1" customWidth="1"/>
    <col min="22" max="22" width="22.42578125" style="325" customWidth="1"/>
    <col min="23" max="23" width="19.140625" style="187" customWidth="1"/>
    <col min="24" max="24" width="17.5703125" style="348" customWidth="1"/>
    <col min="25" max="25" width="21.42578125" style="269" bestFit="1" customWidth="1"/>
    <col min="26" max="26" width="19" style="351" bestFit="1" customWidth="1"/>
    <col min="27" max="27" width="21.42578125" style="282" bestFit="1" customWidth="1"/>
    <col min="28" max="28" width="19" style="315" bestFit="1" customWidth="1"/>
    <col min="29" max="29" width="28.7109375" style="219" bestFit="1" customWidth="1"/>
    <col min="30" max="30" width="17.140625" style="247" bestFit="1" customWidth="1"/>
    <col min="31" max="31" width="25.7109375" style="343" bestFit="1" customWidth="1"/>
    <col min="32" max="32" width="19" style="344" bestFit="1" customWidth="1"/>
    <col min="33" max="33" width="8.85546875" style="163"/>
    <col min="34" max="34" width="28.7109375" style="219" bestFit="1" customWidth="1"/>
    <col min="35" max="35" width="17.140625" style="247" bestFit="1" customWidth="1"/>
    <col min="36" max="36" width="28.7109375" style="219" bestFit="1" customWidth="1"/>
    <col min="37" max="37" width="17.140625" style="247" bestFit="1" customWidth="1"/>
    <col min="38" max="38" width="21.42578125" style="269" bestFit="1" customWidth="1"/>
    <col min="39" max="39" width="19" style="351" bestFit="1" customWidth="1"/>
    <col min="40" max="40" width="19.140625" style="187" customWidth="1"/>
    <col min="41" max="41" width="17.5703125" style="348" customWidth="1"/>
    <col min="42" max="42" width="19.140625" style="187" customWidth="1"/>
    <col min="43" max="43" width="17.5703125" style="348" customWidth="1"/>
    <col min="44" max="44" width="25.7109375" style="343" bestFit="1" customWidth="1"/>
    <col min="45" max="45" width="22.7109375" style="344" customWidth="1"/>
    <col min="46" max="46" width="8.85546875" style="163"/>
    <col min="47" max="47" width="28.7109375" style="219" bestFit="1" customWidth="1"/>
    <col min="48" max="48" width="17.140625" style="247" bestFit="1" customWidth="1"/>
    <col min="49" max="49" width="25.7109375" style="343" bestFit="1" customWidth="1"/>
    <col min="50" max="50" width="22.7109375" style="344" customWidth="1"/>
    <col min="51" max="362" width="8.85546875" style="163"/>
    <col min="363" max="16384" width="8.85546875" style="5"/>
  </cols>
  <sheetData>
    <row r="1" spans="1:50">
      <c r="A1" s="572" t="s">
        <v>967</v>
      </c>
      <c r="B1" s="523"/>
      <c r="C1" s="523" t="s">
        <v>915</v>
      </c>
      <c r="D1" s="524" t="s">
        <v>968</v>
      </c>
      <c r="E1" s="525" t="s">
        <v>969</v>
      </c>
      <c r="F1" s="523"/>
      <c r="G1" s="24"/>
      <c r="H1" s="24"/>
      <c r="I1" s="24"/>
      <c r="J1" s="24"/>
      <c r="K1" s="24"/>
      <c r="L1" s="581"/>
      <c r="M1" s="24"/>
      <c r="N1" s="24"/>
      <c r="O1" s="94"/>
      <c r="P1" s="24"/>
      <c r="Q1" s="24"/>
      <c r="R1" s="24"/>
      <c r="S1" s="24"/>
      <c r="T1" s="24"/>
      <c r="U1" s="294"/>
      <c r="V1" s="297"/>
      <c r="W1" s="294"/>
      <c r="X1" s="297"/>
      <c r="Y1" s="294"/>
      <c r="Z1" s="297"/>
      <c r="AA1" s="294"/>
      <c r="AB1" s="297"/>
      <c r="AC1" s="294"/>
      <c r="AD1" s="294"/>
      <c r="AE1" s="295"/>
      <c r="AF1" s="299"/>
      <c r="AG1" s="294"/>
      <c r="AH1" s="294"/>
      <c r="AI1" s="294"/>
      <c r="AJ1" s="294"/>
      <c r="AK1" s="294"/>
      <c r="AL1" s="294"/>
      <c r="AM1" s="297"/>
      <c r="AN1" s="294"/>
      <c r="AO1" s="297"/>
      <c r="AP1" s="294"/>
      <c r="AQ1" s="297"/>
      <c r="AR1" s="295"/>
      <c r="AS1" s="299"/>
      <c r="AT1" s="294"/>
      <c r="AU1" s="294"/>
      <c r="AV1" s="294"/>
      <c r="AW1" s="295"/>
      <c r="AX1" s="299"/>
    </row>
    <row r="2" spans="1:50" s="81" customFormat="1" ht="138" customHeight="1">
      <c r="A2" s="573" t="s">
        <v>612</v>
      </c>
      <c r="B2" s="101" t="s">
        <v>613</v>
      </c>
      <c r="C2" s="101" t="s">
        <v>614</v>
      </c>
      <c r="D2" s="89" t="s">
        <v>970</v>
      </c>
      <c r="E2" s="89" t="s">
        <v>617</v>
      </c>
      <c r="F2" s="89" t="s">
        <v>284</v>
      </c>
      <c r="G2" s="89" t="s">
        <v>338</v>
      </c>
      <c r="H2" s="89" t="s">
        <v>352</v>
      </c>
      <c r="I2" s="89" t="s">
        <v>107</v>
      </c>
      <c r="J2" s="89" t="s">
        <v>111</v>
      </c>
      <c r="K2" s="91" t="s">
        <v>289</v>
      </c>
      <c r="L2" s="582" t="s">
        <v>612</v>
      </c>
      <c r="M2" s="89" t="s">
        <v>621</v>
      </c>
      <c r="N2" s="89" t="s">
        <v>622</v>
      </c>
      <c r="O2" s="95" t="s">
        <v>624</v>
      </c>
      <c r="P2" s="93" t="s">
        <v>918</v>
      </c>
      <c r="Q2" s="89" t="s">
        <v>626</v>
      </c>
      <c r="R2" s="89" t="s">
        <v>919</v>
      </c>
      <c r="S2" s="89" t="s">
        <v>920</v>
      </c>
      <c r="T2" s="165" t="s">
        <v>630</v>
      </c>
      <c r="U2" s="300" t="s">
        <v>972</v>
      </c>
      <c r="V2" s="324" t="s">
        <v>922</v>
      </c>
      <c r="W2" s="331" t="s">
        <v>975</v>
      </c>
      <c r="X2" s="347" t="s">
        <v>924</v>
      </c>
      <c r="Y2" s="349" t="s">
        <v>665</v>
      </c>
      <c r="Z2" s="350" t="s">
        <v>666</v>
      </c>
      <c r="AA2" s="352" t="s">
        <v>927</v>
      </c>
      <c r="AB2" s="353" t="s">
        <v>928</v>
      </c>
      <c r="AC2" s="333" t="s">
        <v>978</v>
      </c>
      <c r="AD2" s="334" t="s">
        <v>642</v>
      </c>
      <c r="AE2" s="335" t="s">
        <v>930</v>
      </c>
      <c r="AF2" s="232" t="s">
        <v>644</v>
      </c>
      <c r="AG2" s="522"/>
      <c r="AH2" s="333" t="s">
        <v>978</v>
      </c>
      <c r="AI2" s="334" t="s">
        <v>642</v>
      </c>
      <c r="AJ2" s="333" t="s">
        <v>931</v>
      </c>
      <c r="AK2" s="334" t="s">
        <v>932</v>
      </c>
      <c r="AL2" s="349" t="s">
        <v>665</v>
      </c>
      <c r="AM2" s="350" t="s">
        <v>666</v>
      </c>
      <c r="AN2" s="331" t="s">
        <v>1143</v>
      </c>
      <c r="AO2" s="347" t="s">
        <v>934</v>
      </c>
      <c r="AP2" s="331" t="s">
        <v>975</v>
      </c>
      <c r="AQ2" s="347" t="s">
        <v>924</v>
      </c>
      <c r="AR2" s="335" t="s">
        <v>935</v>
      </c>
      <c r="AS2" s="232" t="s">
        <v>646</v>
      </c>
      <c r="AT2" s="522"/>
      <c r="AU2" s="333" t="s">
        <v>936</v>
      </c>
      <c r="AV2" s="334" t="s">
        <v>937</v>
      </c>
      <c r="AW2" s="335" t="s">
        <v>938</v>
      </c>
      <c r="AX2" s="232" t="s">
        <v>939</v>
      </c>
    </row>
    <row r="3" spans="1:50" s="163" customFormat="1" ht="3.75" customHeight="1">
      <c r="A3" s="574"/>
      <c r="B3" s="13"/>
      <c r="C3" s="13"/>
      <c r="D3" s="13"/>
      <c r="E3" s="13"/>
      <c r="F3" s="13"/>
      <c r="G3" s="13"/>
      <c r="H3" s="13"/>
      <c r="I3" s="13"/>
      <c r="J3" s="13"/>
      <c r="K3" s="13"/>
      <c r="L3" s="583">
        <f t="shared" ref="L3" si="0">A3</f>
        <v>0</v>
      </c>
      <c r="M3" s="13"/>
      <c r="N3" s="13"/>
      <c r="O3" s="515"/>
      <c r="P3" s="13"/>
      <c r="Q3" s="13"/>
      <c r="R3" s="13"/>
      <c r="S3" s="13"/>
      <c r="T3" s="519"/>
      <c r="U3" s="516"/>
      <c r="V3" s="517"/>
      <c r="W3" s="516"/>
      <c r="X3" s="517"/>
      <c r="Y3" s="516"/>
      <c r="Z3" s="517"/>
      <c r="AA3" s="516"/>
      <c r="AB3" s="517"/>
      <c r="AC3" s="516"/>
      <c r="AD3" s="518"/>
      <c r="AE3" s="520"/>
      <c r="AF3" s="521"/>
      <c r="AH3" s="516"/>
      <c r="AI3" s="518"/>
      <c r="AJ3" s="516"/>
      <c r="AK3" s="518"/>
      <c r="AL3" s="516"/>
      <c r="AM3" s="517"/>
      <c r="AN3" s="516"/>
      <c r="AO3" s="517"/>
      <c r="AP3" s="516"/>
      <c r="AQ3" s="517"/>
      <c r="AR3" s="520"/>
      <c r="AS3" s="521"/>
      <c r="AU3" s="516"/>
      <c r="AV3" s="518"/>
      <c r="AW3" s="520"/>
      <c r="AX3" s="521"/>
    </row>
    <row r="4" spans="1:50">
      <c r="A4" s="645" t="s">
        <v>1144</v>
      </c>
      <c r="B4" s="644" t="s">
        <v>344</v>
      </c>
      <c r="C4" s="644" t="s">
        <v>982</v>
      </c>
      <c r="D4" s="6"/>
      <c r="E4" s="6"/>
      <c r="F4" s="7"/>
      <c r="G4" s="6"/>
      <c r="H4" s="6"/>
      <c r="I4" s="644" t="s">
        <v>650</v>
      </c>
      <c r="J4" s="644" t="s">
        <v>650</v>
      </c>
      <c r="K4" s="12"/>
      <c r="L4" s="584" t="str">
        <f>A4</f>
        <v>L1163REEDS8147OR</v>
      </c>
      <c r="M4" s="79"/>
      <c r="N4" s="21"/>
      <c r="O4" s="56"/>
      <c r="P4" s="21"/>
      <c r="Q4" s="21"/>
      <c r="R4" s="21"/>
      <c r="S4" s="21"/>
      <c r="T4" s="164"/>
      <c r="U4" s="437">
        <v>98649086</v>
      </c>
      <c r="V4" s="458">
        <v>21690.400000000001</v>
      </c>
      <c r="W4" s="433">
        <v>98648939</v>
      </c>
      <c r="X4" s="490">
        <v>-6.75</v>
      </c>
      <c r="Y4" s="435">
        <v>98648897</v>
      </c>
      <c r="Z4" s="463">
        <v>450</v>
      </c>
      <c r="AD4" s="323"/>
      <c r="AE4" s="464">
        <v>98649086</v>
      </c>
      <c r="AF4" s="465">
        <f>AD4+Z4+X4+V4</f>
        <v>22133.65</v>
      </c>
      <c r="AH4" s="219">
        <v>98649086</v>
      </c>
      <c r="AI4" s="323">
        <v>7121.48</v>
      </c>
      <c r="AK4" s="323"/>
      <c r="AN4" s="187">
        <v>98648928</v>
      </c>
      <c r="AO4" s="620">
        <v>2732.58</v>
      </c>
      <c r="AR4" s="309" t="s">
        <v>1145</v>
      </c>
      <c r="AS4" s="230">
        <f>AO4+AI4</f>
        <v>9854.06</v>
      </c>
      <c r="AV4" s="323"/>
      <c r="AW4" s="309"/>
      <c r="AX4" s="230"/>
    </row>
    <row r="5" spans="1:50">
      <c r="A5" s="606" t="s">
        <v>1146</v>
      </c>
      <c r="B5" s="528" t="s">
        <v>351</v>
      </c>
      <c r="C5" s="528" t="s">
        <v>982</v>
      </c>
      <c r="D5" s="528"/>
      <c r="E5" s="528"/>
      <c r="F5" s="528"/>
      <c r="G5" s="528"/>
      <c r="H5" s="528" t="s">
        <v>650</v>
      </c>
      <c r="I5" s="528"/>
      <c r="J5" s="528" t="s">
        <v>650</v>
      </c>
      <c r="K5" s="13"/>
      <c r="L5" s="585" t="str">
        <f>A5</f>
        <v>L1164REEDS8155OR</v>
      </c>
      <c r="M5" s="7"/>
      <c r="N5" s="7"/>
      <c r="O5" s="57"/>
      <c r="P5" s="7"/>
      <c r="Q5" s="7"/>
      <c r="R5" s="7"/>
      <c r="S5" s="7"/>
      <c r="T5" s="103"/>
      <c r="U5" s="462">
        <v>98649110</v>
      </c>
      <c r="V5" s="458">
        <v>21687.89</v>
      </c>
      <c r="W5" s="433">
        <v>98648952</v>
      </c>
      <c r="X5" s="490">
        <v>-6.75</v>
      </c>
      <c r="Y5" s="435">
        <v>9848952</v>
      </c>
      <c r="Z5" s="463">
        <v>450</v>
      </c>
      <c r="AD5" s="323"/>
      <c r="AE5" s="464">
        <v>98649110</v>
      </c>
      <c r="AF5" s="465">
        <f>AD5+Z5+X5+V5</f>
        <v>22131.14</v>
      </c>
      <c r="AH5" s="219">
        <v>98649110</v>
      </c>
      <c r="AI5" s="323">
        <v>6682.54</v>
      </c>
      <c r="AK5" s="323"/>
      <c r="AN5" s="187">
        <v>98648980</v>
      </c>
      <c r="AO5" s="620">
        <v>2258.54</v>
      </c>
      <c r="AR5" s="309" t="s">
        <v>1147</v>
      </c>
      <c r="AS5" s="230">
        <f>AO5+AI5</f>
        <v>8941.08</v>
      </c>
      <c r="AV5" s="323"/>
      <c r="AW5" s="309"/>
      <c r="AX5" s="230"/>
    </row>
    <row r="6" spans="1:50" s="163" customFormat="1" ht="4.5" customHeight="1">
      <c r="A6" s="574"/>
      <c r="B6" s="13"/>
      <c r="C6" s="13"/>
      <c r="D6" s="13"/>
      <c r="E6" s="13"/>
      <c r="F6" s="13"/>
      <c r="G6" s="13"/>
      <c r="H6" s="13"/>
      <c r="I6" s="13"/>
      <c r="J6" s="13"/>
      <c r="K6" s="13"/>
      <c r="L6" s="583">
        <f t="shared" ref="L6" si="1">A6</f>
        <v>0</v>
      </c>
      <c r="M6" s="13"/>
      <c r="N6" s="13"/>
      <c r="O6" s="515"/>
      <c r="P6" s="13"/>
      <c r="Q6" s="13"/>
      <c r="R6" s="13"/>
      <c r="S6" s="13"/>
      <c r="T6" s="519"/>
      <c r="U6" s="516"/>
      <c r="V6" s="517"/>
      <c r="W6" s="516"/>
      <c r="X6" s="517"/>
      <c r="Y6" s="516"/>
      <c r="Z6" s="517"/>
      <c r="AA6" s="516"/>
      <c r="AB6" s="517"/>
      <c r="AC6" s="516"/>
      <c r="AD6" s="518"/>
      <c r="AE6" s="520"/>
      <c r="AF6" s="521"/>
      <c r="AH6" s="516"/>
      <c r="AI6" s="518"/>
      <c r="AJ6" s="516"/>
      <c r="AK6" s="518"/>
      <c r="AL6" s="516"/>
      <c r="AM6" s="517"/>
      <c r="AN6" s="516"/>
      <c r="AO6" s="517"/>
      <c r="AP6" s="516"/>
      <c r="AQ6" s="517"/>
      <c r="AR6" s="520"/>
      <c r="AS6" s="521"/>
      <c r="AU6" s="516"/>
      <c r="AV6" s="518"/>
      <c r="AW6" s="520"/>
      <c r="AX6" s="521"/>
    </row>
    <row r="7" spans="1:50" s="163" customFormat="1">
      <c r="A7" s="607" t="s">
        <v>1148</v>
      </c>
      <c r="B7" s="651">
        <v>767</v>
      </c>
      <c r="C7" s="651" t="s">
        <v>647</v>
      </c>
      <c r="D7" s="98"/>
      <c r="E7" s="651" t="s">
        <v>650</v>
      </c>
      <c r="F7" s="409" t="s">
        <v>650</v>
      </c>
      <c r="G7" s="98"/>
      <c r="H7" s="13"/>
      <c r="I7" s="13"/>
      <c r="J7" s="13"/>
      <c r="K7" s="13"/>
      <c r="L7" s="586" t="str">
        <f>A7</f>
        <v>L1165REEDS8163OR</v>
      </c>
      <c r="M7" s="98"/>
      <c r="N7" s="98"/>
      <c r="O7" s="162"/>
      <c r="P7" s="98"/>
      <c r="Q7" s="98"/>
      <c r="R7" s="98"/>
      <c r="S7" s="98"/>
      <c r="T7" s="346"/>
      <c r="U7" s="234">
        <v>98577608</v>
      </c>
      <c r="V7" s="325">
        <v>36901.22</v>
      </c>
      <c r="W7" s="187"/>
      <c r="X7" s="348"/>
      <c r="Y7" s="269" t="s">
        <v>1149</v>
      </c>
      <c r="Z7" s="351"/>
      <c r="AA7" s="282">
        <v>98576185</v>
      </c>
      <c r="AB7" s="315">
        <v>102.41</v>
      </c>
      <c r="AC7" s="219"/>
      <c r="AD7" s="225"/>
      <c r="AE7" s="309">
        <f>U7</f>
        <v>98577608</v>
      </c>
      <c r="AF7" s="230">
        <f>AB7+X7+V7</f>
        <v>37003.630000000005</v>
      </c>
      <c r="AH7" s="219">
        <v>98577608</v>
      </c>
      <c r="AI7" s="225">
        <v>10859.29</v>
      </c>
      <c r="AJ7" s="219"/>
      <c r="AK7" s="225"/>
      <c r="AL7" s="269"/>
      <c r="AM7" s="351"/>
      <c r="AN7" s="187">
        <v>99009345</v>
      </c>
      <c r="AO7" s="540">
        <v>-6.75</v>
      </c>
      <c r="AP7" s="187">
        <v>98576154</v>
      </c>
      <c r="AQ7" s="348">
        <v>1414.13</v>
      </c>
      <c r="AR7" s="309" t="s">
        <v>1150</v>
      </c>
      <c r="AS7" s="230">
        <f>AI7+AM7+AO7+AQ7</f>
        <v>12266.670000000002</v>
      </c>
      <c r="AU7" s="219"/>
      <c r="AV7" s="225"/>
      <c r="AW7" s="309"/>
      <c r="AX7" s="230"/>
    </row>
    <row r="8" spans="1:50" s="107" customFormat="1">
      <c r="A8" s="606" t="s">
        <v>1151</v>
      </c>
      <c r="B8" s="528">
        <v>768</v>
      </c>
      <c r="C8" s="528" t="s">
        <v>647</v>
      </c>
      <c r="D8" s="37"/>
      <c r="E8" s="528" t="s">
        <v>650</v>
      </c>
      <c r="F8" s="528" t="s">
        <v>650</v>
      </c>
      <c r="G8" s="37"/>
      <c r="H8" s="13"/>
      <c r="I8" s="13"/>
      <c r="J8" s="13"/>
      <c r="K8" s="13"/>
      <c r="L8" s="585" t="str">
        <f>A8</f>
        <v>L1166REEDS8177OR</v>
      </c>
      <c r="M8" s="37"/>
      <c r="N8" s="37"/>
      <c r="O8" s="106"/>
      <c r="P8" s="37"/>
      <c r="Q8" s="37"/>
      <c r="R8" s="37"/>
      <c r="S8" s="37"/>
      <c r="T8" s="310"/>
      <c r="U8" s="233">
        <v>98814356</v>
      </c>
      <c r="V8" s="325">
        <v>34553.83</v>
      </c>
      <c r="W8" s="187"/>
      <c r="X8" s="348"/>
      <c r="Y8" s="269" t="s">
        <v>1149</v>
      </c>
      <c r="Z8" s="351"/>
      <c r="AA8" s="282">
        <v>98814236</v>
      </c>
      <c r="AB8" s="315">
        <v>102.41</v>
      </c>
      <c r="AC8" s="219"/>
      <c r="AD8" s="225"/>
      <c r="AE8" s="309">
        <f>U8</f>
        <v>98814356</v>
      </c>
      <c r="AF8" s="230">
        <f>AB8+X8+V8</f>
        <v>34656.240000000005</v>
      </c>
      <c r="AG8" s="163"/>
      <c r="AH8" s="219">
        <v>98814356</v>
      </c>
      <c r="AI8" s="225">
        <v>11171.1</v>
      </c>
      <c r="AJ8" s="219"/>
      <c r="AK8" s="225"/>
      <c r="AL8" s="269"/>
      <c r="AM8" s="351"/>
      <c r="AN8" s="187"/>
      <c r="AO8" s="348"/>
      <c r="AP8" s="187">
        <v>98814179</v>
      </c>
      <c r="AQ8" s="348">
        <v>2924.89</v>
      </c>
      <c r="AR8" s="309" t="s">
        <v>1152</v>
      </c>
      <c r="AS8" s="230">
        <f>AO8+AM8+AK8+AI8+AQ8</f>
        <v>14095.99</v>
      </c>
      <c r="AT8" s="163"/>
      <c r="AU8" s="219"/>
      <c r="AV8" s="225"/>
      <c r="AW8" s="309"/>
      <c r="AX8" s="230"/>
    </row>
    <row r="9" spans="1:50" s="163" customFormat="1" ht="3.75" customHeight="1">
      <c r="A9" s="574"/>
      <c r="B9" s="13"/>
      <c r="C9" s="13"/>
      <c r="D9" s="13"/>
      <c r="E9" s="13"/>
      <c r="F9" s="13"/>
      <c r="G9" s="13"/>
      <c r="H9" s="13"/>
      <c r="I9" s="13"/>
      <c r="J9" s="13"/>
      <c r="K9" s="13"/>
      <c r="L9" s="583">
        <f t="shared" ref="L9" si="2">A9</f>
        <v>0</v>
      </c>
      <c r="M9" s="13"/>
      <c r="N9" s="13"/>
      <c r="O9" s="515"/>
      <c r="P9" s="13"/>
      <c r="Q9" s="13"/>
      <c r="R9" s="13"/>
      <c r="S9" s="13"/>
      <c r="T9" s="519"/>
      <c r="U9" s="516"/>
      <c r="V9" s="517"/>
      <c r="W9" s="516"/>
      <c r="X9" s="517"/>
      <c r="Y9" s="516"/>
      <c r="Z9" s="517"/>
      <c r="AA9" s="516"/>
      <c r="AB9" s="517"/>
      <c r="AC9" s="516"/>
      <c r="AD9" s="518"/>
      <c r="AE9" s="520"/>
      <c r="AF9" s="521"/>
      <c r="AH9" s="516"/>
      <c r="AI9" s="518"/>
      <c r="AJ9" s="516"/>
      <c r="AK9" s="518"/>
      <c r="AL9" s="516"/>
      <c r="AM9" s="517"/>
      <c r="AN9" s="516"/>
      <c r="AO9" s="517"/>
      <c r="AP9" s="516"/>
      <c r="AQ9" s="517"/>
      <c r="AR9" s="520"/>
      <c r="AS9" s="521"/>
      <c r="AU9" s="516"/>
      <c r="AV9" s="518"/>
      <c r="AW9" s="520"/>
      <c r="AX9" s="521"/>
    </row>
    <row r="10" spans="1:50" s="107" customFormat="1">
      <c r="A10" s="605" t="s">
        <v>1153</v>
      </c>
      <c r="B10" s="409">
        <v>769</v>
      </c>
      <c r="C10" s="409" t="s">
        <v>988</v>
      </c>
      <c r="D10" s="7"/>
      <c r="E10" s="7"/>
      <c r="F10" s="7"/>
      <c r="G10" s="7"/>
      <c r="H10" s="7"/>
      <c r="I10" s="409" t="s">
        <v>650</v>
      </c>
      <c r="J10" s="409" t="s">
        <v>650</v>
      </c>
      <c r="K10" s="13"/>
      <c r="L10" s="584" t="str">
        <f>A10</f>
        <v>L1167REEDS8185OR</v>
      </c>
      <c r="M10" s="37"/>
      <c r="N10" s="37"/>
      <c r="O10" s="106"/>
      <c r="P10" s="37"/>
      <c r="Q10" s="37"/>
      <c r="R10" s="37"/>
      <c r="S10" s="37"/>
      <c r="T10" s="310"/>
      <c r="U10" s="233">
        <v>98999322</v>
      </c>
      <c r="V10" s="325">
        <v>21350.39</v>
      </c>
      <c r="W10" s="187">
        <v>98999015</v>
      </c>
      <c r="X10" s="348">
        <v>-496.54</v>
      </c>
      <c r="Y10" s="269">
        <v>98998975</v>
      </c>
      <c r="Z10" s="351">
        <v>450</v>
      </c>
      <c r="AA10" s="282"/>
      <c r="AB10" s="315"/>
      <c r="AC10" s="219"/>
      <c r="AD10" s="225"/>
      <c r="AE10" s="309">
        <v>98999322</v>
      </c>
      <c r="AF10" s="230">
        <f>Z10+X10+V10</f>
        <v>21303.85</v>
      </c>
      <c r="AG10" s="163"/>
      <c r="AH10" s="219">
        <v>98999322</v>
      </c>
      <c r="AI10" s="225">
        <v>7121.48</v>
      </c>
      <c r="AJ10" s="219"/>
      <c r="AK10" s="225"/>
      <c r="AL10" s="269"/>
      <c r="AM10" s="351"/>
      <c r="AN10" s="187">
        <v>98999024</v>
      </c>
      <c r="AO10" s="348">
        <v>239.57</v>
      </c>
      <c r="AP10" s="187"/>
      <c r="AQ10" s="348"/>
      <c r="AR10" s="309" t="s">
        <v>1154</v>
      </c>
      <c r="AS10" s="230">
        <f>AO10+AI10</f>
        <v>7361.0499999999993</v>
      </c>
      <c r="AT10" s="163"/>
      <c r="AU10" s="219"/>
      <c r="AV10" s="225"/>
      <c r="AW10" s="309"/>
      <c r="AX10" s="230"/>
    </row>
    <row r="11" spans="1:50">
      <c r="A11" s="606" t="s">
        <v>1155</v>
      </c>
      <c r="B11" s="528">
        <v>770</v>
      </c>
      <c r="C11" s="528" t="s">
        <v>988</v>
      </c>
      <c r="D11" s="37"/>
      <c r="E11" s="37"/>
      <c r="F11" s="37"/>
      <c r="G11" s="37"/>
      <c r="H11" s="528" t="s">
        <v>650</v>
      </c>
      <c r="I11" s="528" t="s">
        <v>650</v>
      </c>
      <c r="J11" s="528" t="s">
        <v>650</v>
      </c>
      <c r="K11" s="13"/>
      <c r="L11" s="587" t="str">
        <f>A11</f>
        <v>L1168REEDS8193OR</v>
      </c>
      <c r="M11" s="7"/>
      <c r="N11" s="7"/>
      <c r="O11" s="57"/>
      <c r="P11" s="7"/>
      <c r="Q11" s="7"/>
      <c r="R11" s="98"/>
      <c r="S11" s="98"/>
      <c r="T11" s="103"/>
      <c r="U11" s="233">
        <v>98999347</v>
      </c>
      <c r="V11" s="325">
        <v>21350.13</v>
      </c>
      <c r="Y11" s="269">
        <v>98999037</v>
      </c>
      <c r="Z11" s="351">
        <v>450</v>
      </c>
      <c r="AD11" s="225"/>
      <c r="AE11" s="309">
        <v>98999347</v>
      </c>
      <c r="AF11" s="230">
        <f>Z11+V11</f>
        <v>21800.13</v>
      </c>
      <c r="AH11" s="219">
        <v>98999347</v>
      </c>
      <c r="AI11" s="225">
        <v>6682.64</v>
      </c>
      <c r="AK11" s="225"/>
      <c r="AN11" s="187">
        <v>98999076</v>
      </c>
      <c r="AO11" s="348">
        <v>947.72</v>
      </c>
      <c r="AR11" s="309" t="s">
        <v>1156</v>
      </c>
      <c r="AS11" s="230">
        <f>AO11+AI11</f>
        <v>7630.3600000000006</v>
      </c>
      <c r="AV11" s="225"/>
      <c r="AW11" s="309"/>
      <c r="AX11" s="230"/>
    </row>
    <row r="12" spans="1:50" s="163" customFormat="1" ht="3.75" customHeight="1">
      <c r="A12" s="57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583">
        <f t="shared" ref="L12" si="3">A12</f>
        <v>0</v>
      </c>
      <c r="M12" s="13"/>
      <c r="N12" s="13"/>
      <c r="O12" s="515"/>
      <c r="P12" s="13"/>
      <c r="Q12" s="13"/>
      <c r="R12" s="13"/>
      <c r="S12" s="13"/>
      <c r="T12" s="519"/>
      <c r="U12" s="516"/>
      <c r="V12" s="517"/>
      <c r="W12" s="516"/>
      <c r="X12" s="517"/>
      <c r="Y12" s="516"/>
      <c r="Z12" s="517"/>
      <c r="AA12" s="516"/>
      <c r="AB12" s="517"/>
      <c r="AC12" s="516"/>
      <c r="AD12" s="518"/>
      <c r="AE12" s="520"/>
      <c r="AF12" s="521"/>
      <c r="AH12" s="516"/>
      <c r="AI12" s="518"/>
      <c r="AJ12" s="516"/>
      <c r="AK12" s="518"/>
      <c r="AL12" s="516"/>
      <c r="AM12" s="517"/>
      <c r="AN12" s="516"/>
      <c r="AO12" s="517"/>
      <c r="AP12" s="516"/>
      <c r="AQ12" s="517"/>
      <c r="AR12" s="520"/>
      <c r="AS12" s="521"/>
      <c r="AU12" s="516"/>
      <c r="AV12" s="518"/>
      <c r="AW12" s="520"/>
      <c r="AX12" s="521"/>
    </row>
    <row r="13" spans="1:50" s="107" customFormat="1">
      <c r="A13" s="605" t="s">
        <v>1157</v>
      </c>
      <c r="B13" s="409">
        <v>767</v>
      </c>
      <c r="C13" s="409" t="s">
        <v>648</v>
      </c>
      <c r="D13" s="7"/>
      <c r="E13" s="158" t="s">
        <v>650</v>
      </c>
      <c r="F13" s="409" t="s">
        <v>650</v>
      </c>
      <c r="G13" s="7"/>
      <c r="H13" s="13"/>
      <c r="I13" s="13"/>
      <c r="J13" s="13"/>
      <c r="K13" s="13"/>
      <c r="L13" s="584" t="str">
        <f>A13</f>
        <v>L1169REEDS8207OR</v>
      </c>
      <c r="M13" s="37"/>
      <c r="N13" s="37"/>
      <c r="O13" s="106"/>
      <c r="P13" s="37"/>
      <c r="Q13" s="37"/>
      <c r="R13" s="37"/>
      <c r="S13" s="37"/>
      <c r="T13" s="310"/>
      <c r="U13" s="462">
        <v>99314165</v>
      </c>
      <c r="V13" s="458">
        <v>37518.79</v>
      </c>
      <c r="W13" s="187"/>
      <c r="X13" s="348"/>
      <c r="Y13" s="435">
        <v>99313910</v>
      </c>
      <c r="Z13" s="463">
        <v>595.04999999999995</v>
      </c>
      <c r="AA13" s="282">
        <v>99313939</v>
      </c>
      <c r="AB13" s="315">
        <v>102.41</v>
      </c>
      <c r="AC13" s="439"/>
      <c r="AD13" s="440"/>
      <c r="AE13" s="309">
        <f>U13</f>
        <v>99314165</v>
      </c>
      <c r="AF13" s="230">
        <f>Z13+V13+AB13</f>
        <v>38216.250000000007</v>
      </c>
      <c r="AG13" s="163"/>
      <c r="AH13" s="439">
        <v>99314165</v>
      </c>
      <c r="AI13" s="440">
        <v>11180.82</v>
      </c>
      <c r="AJ13" s="439"/>
      <c r="AK13" s="440"/>
      <c r="AL13" s="435"/>
      <c r="AM13" s="463"/>
      <c r="AN13" s="187"/>
      <c r="AO13" s="348"/>
      <c r="AP13" s="187"/>
      <c r="AQ13" s="348"/>
      <c r="AR13" s="464" t="s">
        <v>1158</v>
      </c>
      <c r="AS13" s="465">
        <f>AQ13+AO13+AM13+AK13+AI13</f>
        <v>11180.82</v>
      </c>
      <c r="AT13" s="163"/>
      <c r="AU13" s="439"/>
      <c r="AV13" s="440"/>
      <c r="AW13" s="464"/>
      <c r="AX13" s="465"/>
    </row>
    <row r="14" spans="1:50">
      <c r="A14" s="606" t="s">
        <v>1159</v>
      </c>
      <c r="B14" s="528">
        <v>768</v>
      </c>
      <c r="C14" s="528" t="s">
        <v>648</v>
      </c>
      <c r="D14" s="37"/>
      <c r="E14" s="528" t="s">
        <v>650</v>
      </c>
      <c r="F14" s="528" t="s">
        <v>650</v>
      </c>
      <c r="G14" s="37"/>
      <c r="H14" s="13"/>
      <c r="I14" s="13"/>
      <c r="J14" s="13"/>
      <c r="K14" s="13"/>
      <c r="L14" s="587" t="str">
        <f>A14</f>
        <v>L1170REEDS8215OR</v>
      </c>
      <c r="M14" s="7"/>
      <c r="N14" s="7"/>
      <c r="O14" s="57"/>
      <c r="P14" s="7"/>
      <c r="Q14" s="7"/>
      <c r="R14" s="98"/>
      <c r="S14" s="98"/>
      <c r="T14" s="103"/>
      <c r="U14" s="462">
        <v>99314180</v>
      </c>
      <c r="V14" s="458">
        <v>34889.279999999999</v>
      </c>
      <c r="Y14" s="435">
        <v>99313957</v>
      </c>
      <c r="Z14" s="463">
        <v>595.04999999999995</v>
      </c>
      <c r="AA14" s="282">
        <v>99313986</v>
      </c>
      <c r="AB14" s="315">
        <v>102.41</v>
      </c>
      <c r="AC14" s="439"/>
      <c r="AD14" s="440"/>
      <c r="AE14" s="309">
        <f>U14</f>
        <v>99314180</v>
      </c>
      <c r="AF14" s="230">
        <f>Z14+V14+AB14</f>
        <v>35586.740000000005</v>
      </c>
      <c r="AH14" s="439">
        <v>99314180</v>
      </c>
      <c r="AI14" s="440">
        <v>11198.1</v>
      </c>
      <c r="AJ14" s="439"/>
      <c r="AK14" s="440"/>
      <c r="AL14" s="435"/>
      <c r="AM14" s="463"/>
      <c r="AR14" s="464" t="s">
        <v>1160</v>
      </c>
      <c r="AS14" s="465">
        <f>AQ14+AO14+AM14+AK14+AI14</f>
        <v>11198.1</v>
      </c>
      <c r="AU14" s="439"/>
      <c r="AV14" s="440"/>
      <c r="AW14" s="464"/>
      <c r="AX14" s="465"/>
    </row>
    <row r="15" spans="1:50" s="163" customFormat="1" ht="3.75" customHeight="1">
      <c r="A15" s="57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583">
        <f t="shared" ref="L15" si="4">A15</f>
        <v>0</v>
      </c>
      <c r="M15" s="13"/>
      <c r="N15" s="13"/>
      <c r="O15" s="515"/>
      <c r="P15" s="13"/>
      <c r="Q15" s="13"/>
      <c r="R15" s="13"/>
      <c r="S15" s="13"/>
      <c r="T15" s="519"/>
      <c r="U15" s="516"/>
      <c r="V15" s="517"/>
      <c r="W15" s="516"/>
      <c r="X15" s="517"/>
      <c r="Y15" s="516"/>
      <c r="Z15" s="517"/>
      <c r="AA15" s="516"/>
      <c r="AB15" s="517"/>
      <c r="AC15" s="516"/>
      <c r="AD15" s="518"/>
      <c r="AE15" s="520"/>
      <c r="AF15" s="521"/>
      <c r="AH15" s="516"/>
      <c r="AI15" s="518"/>
      <c r="AJ15" s="516"/>
      <c r="AK15" s="518"/>
      <c r="AL15" s="516"/>
      <c r="AM15" s="517"/>
      <c r="AN15" s="516"/>
      <c r="AO15" s="517"/>
      <c r="AP15" s="516"/>
      <c r="AQ15" s="517"/>
      <c r="AR15" s="520"/>
      <c r="AS15" s="521"/>
      <c r="AU15" s="516"/>
      <c r="AV15" s="518"/>
      <c r="AW15" s="520"/>
      <c r="AX15" s="521"/>
    </row>
    <row r="16" spans="1:50">
      <c r="A16" s="605" t="s">
        <v>1161</v>
      </c>
      <c r="B16" s="409">
        <v>769</v>
      </c>
      <c r="C16" s="409" t="s">
        <v>985</v>
      </c>
      <c r="D16" s="7"/>
      <c r="E16" s="7"/>
      <c r="F16" s="7"/>
      <c r="G16" s="7"/>
      <c r="H16" s="7"/>
      <c r="I16" s="651" t="s">
        <v>650</v>
      </c>
      <c r="J16" s="409" t="s">
        <v>650</v>
      </c>
      <c r="K16" s="13"/>
      <c r="L16" s="584" t="str">
        <f>A16</f>
        <v>L1171REEDS8223OR</v>
      </c>
      <c r="M16" s="7"/>
      <c r="N16" s="7"/>
      <c r="O16" s="57"/>
      <c r="P16" s="7"/>
      <c r="Q16" s="7"/>
      <c r="R16" s="98"/>
      <c r="S16" s="98"/>
      <c r="T16" s="103"/>
      <c r="U16" s="462">
        <v>99413672</v>
      </c>
      <c r="V16" s="458">
        <v>23450.33</v>
      </c>
      <c r="W16" s="614"/>
      <c r="X16" s="765"/>
      <c r="Y16" s="435">
        <v>99412009</v>
      </c>
      <c r="Z16" s="463">
        <v>450</v>
      </c>
      <c r="AC16" s="439"/>
      <c r="AD16" s="440"/>
      <c r="AE16" s="464">
        <f>U16</f>
        <v>99413672</v>
      </c>
      <c r="AF16" s="465">
        <f>V16+X16+Z16+AB16+AD16</f>
        <v>23900.33</v>
      </c>
      <c r="AH16" s="439">
        <v>99413672</v>
      </c>
      <c r="AI16" s="440">
        <v>7141.18</v>
      </c>
      <c r="AJ16" s="439"/>
      <c r="AK16" s="440"/>
      <c r="AL16" s="435"/>
      <c r="AM16" s="463"/>
      <c r="AN16" s="187">
        <v>99412044</v>
      </c>
      <c r="AO16" s="348">
        <v>3652.43</v>
      </c>
      <c r="AR16" s="464" t="s">
        <v>1162</v>
      </c>
      <c r="AS16" s="465">
        <f>AI16+AK16+AM16+AO16+AQ16</f>
        <v>10793.61</v>
      </c>
      <c r="AU16" s="439"/>
      <c r="AV16" s="440"/>
      <c r="AW16" s="464"/>
      <c r="AX16" s="465"/>
    </row>
    <row r="17" spans="1:362" s="107" customFormat="1">
      <c r="A17" s="606" t="s">
        <v>1163</v>
      </c>
      <c r="B17" s="528">
        <v>770</v>
      </c>
      <c r="C17" s="528" t="s">
        <v>985</v>
      </c>
      <c r="D17" s="37"/>
      <c r="E17" s="37"/>
      <c r="F17" s="9"/>
      <c r="G17" s="37"/>
      <c r="H17" s="528" t="s">
        <v>650</v>
      </c>
      <c r="I17" s="528" t="s">
        <v>650</v>
      </c>
      <c r="J17" s="528" t="s">
        <v>650</v>
      </c>
      <c r="K17" s="13"/>
      <c r="L17" s="587" t="str">
        <f>A17</f>
        <v>L1172REEDS8237OR</v>
      </c>
      <c r="M17" s="37"/>
      <c r="N17" s="37"/>
      <c r="O17" s="106"/>
      <c r="P17" s="37"/>
      <c r="Q17" s="37"/>
      <c r="R17" s="37"/>
      <c r="S17" s="37"/>
      <c r="T17" s="310"/>
      <c r="U17" s="233">
        <v>99413751</v>
      </c>
      <c r="V17" s="325">
        <v>23467.3</v>
      </c>
      <c r="W17" s="609"/>
      <c r="X17" s="609"/>
      <c r="Y17" s="328">
        <v>99412073</v>
      </c>
      <c r="Z17" s="351">
        <v>450</v>
      </c>
      <c r="AA17" s="282"/>
      <c r="AB17" s="315"/>
      <c r="AC17" s="439"/>
      <c r="AD17" s="440"/>
      <c r="AE17" s="464">
        <f>U17</f>
        <v>99413751</v>
      </c>
      <c r="AF17" s="465">
        <f>V17+X17+Z17+AB17+AD17</f>
        <v>23917.3</v>
      </c>
      <c r="AG17" s="163"/>
      <c r="AH17" s="219">
        <v>99413751</v>
      </c>
      <c r="AI17" s="225">
        <v>6702.24</v>
      </c>
      <c r="AJ17" s="439"/>
      <c r="AK17" s="440"/>
      <c r="AL17" s="435"/>
      <c r="AM17" s="463"/>
      <c r="AN17" s="187">
        <v>99412215</v>
      </c>
      <c r="AO17" s="348">
        <v>2985.42</v>
      </c>
      <c r="AP17" s="187"/>
      <c r="AQ17" s="348"/>
      <c r="AR17" s="464" t="s">
        <v>1164</v>
      </c>
      <c r="AS17" s="465">
        <f>AI17+AK17+AM17+AO17+AQ17</f>
        <v>9687.66</v>
      </c>
      <c r="AT17" s="163"/>
      <c r="AU17" s="439"/>
      <c r="AV17" s="440"/>
      <c r="AW17" s="464"/>
      <c r="AX17" s="465"/>
    </row>
    <row r="18" spans="1:362" s="163" customFormat="1" ht="3.75" customHeight="1">
      <c r="A18" s="57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583">
        <f t="shared" ref="L18" si="5">A18</f>
        <v>0</v>
      </c>
      <c r="M18" s="13"/>
      <c r="N18" s="13"/>
      <c r="O18" s="515"/>
      <c r="P18" s="13"/>
      <c r="Q18" s="13"/>
      <c r="R18" s="13"/>
      <c r="S18" s="13"/>
      <c r="T18" s="519"/>
      <c r="U18" s="516"/>
      <c r="V18" s="517"/>
      <c r="W18" s="766"/>
      <c r="X18" s="767"/>
      <c r="Y18" s="516"/>
      <c r="Z18" s="517"/>
      <c r="AA18" s="516"/>
      <c r="AB18" s="517"/>
      <c r="AC18" s="516"/>
      <c r="AD18" s="518"/>
      <c r="AE18" s="520"/>
      <c r="AF18" s="521"/>
      <c r="AH18" s="516"/>
      <c r="AI18" s="518"/>
      <c r="AJ18" s="516"/>
      <c r="AK18" s="518"/>
      <c r="AL18" s="516"/>
      <c r="AM18" s="517"/>
      <c r="AN18" s="516"/>
      <c r="AO18" s="517"/>
      <c r="AP18" s="516"/>
      <c r="AQ18" s="517"/>
      <c r="AR18" s="520"/>
      <c r="AS18" s="521"/>
      <c r="AU18" s="516"/>
      <c r="AV18" s="518"/>
      <c r="AW18" s="520"/>
      <c r="AX18" s="521"/>
    </row>
    <row r="19" spans="1:362" s="158" customFormat="1">
      <c r="A19" s="605" t="s">
        <v>1165</v>
      </c>
      <c r="B19" s="409">
        <v>767</v>
      </c>
      <c r="C19" s="409" t="s">
        <v>649</v>
      </c>
      <c r="D19" s="409"/>
      <c r="E19" s="409"/>
      <c r="F19" s="409" t="s">
        <v>650</v>
      </c>
      <c r="G19" s="409"/>
      <c r="H19" s="632"/>
      <c r="I19" s="632"/>
      <c r="J19" s="632"/>
      <c r="K19" s="632"/>
      <c r="L19" s="663" t="str">
        <f>A19</f>
        <v>L1173REEDS8245OR</v>
      </c>
      <c r="M19" s="664"/>
      <c r="N19" s="409"/>
      <c r="O19" s="556"/>
      <c r="P19" s="409"/>
      <c r="Q19" s="664"/>
      <c r="R19" s="664"/>
      <c r="S19" s="664"/>
      <c r="T19" s="665"/>
      <c r="U19" s="437">
        <v>609175</v>
      </c>
      <c r="V19" s="458">
        <v>36178.25</v>
      </c>
      <c r="W19" s="842">
        <v>608970</v>
      </c>
      <c r="X19" s="844">
        <v>532.1</v>
      </c>
      <c r="Y19" s="435"/>
      <c r="Z19" s="463"/>
      <c r="AA19" s="454"/>
      <c r="AB19" s="536"/>
      <c r="AC19" s="846">
        <v>609175</v>
      </c>
      <c r="AD19" s="861">
        <v>11180.02</v>
      </c>
      <c r="AE19" s="464">
        <f>U19</f>
        <v>609175</v>
      </c>
      <c r="AF19" s="465">
        <f>AD19+AB19+Z19+X19+V19</f>
        <v>47890.37</v>
      </c>
      <c r="AG19" s="666"/>
      <c r="AH19" s="439"/>
      <c r="AI19" s="440"/>
      <c r="AJ19" s="439"/>
      <c r="AK19" s="440"/>
      <c r="AL19" s="435"/>
      <c r="AM19" s="463"/>
      <c r="AN19" s="433"/>
      <c r="AO19" s="490"/>
      <c r="AP19" s="433"/>
      <c r="AQ19" s="490"/>
      <c r="AR19" s="464"/>
      <c r="AS19" s="465"/>
      <c r="AT19" s="666"/>
      <c r="AU19" s="439"/>
      <c r="AV19" s="440"/>
      <c r="AW19" s="464"/>
      <c r="AX19" s="465"/>
      <c r="AY19" s="666"/>
      <c r="AZ19" s="666"/>
      <c r="BA19" s="666"/>
      <c r="BB19" s="666"/>
      <c r="BC19" s="666"/>
      <c r="BD19" s="666"/>
      <c r="BE19" s="666"/>
      <c r="BF19" s="666"/>
      <c r="BG19" s="666"/>
      <c r="BH19" s="666"/>
      <c r="BI19" s="666"/>
      <c r="BJ19" s="666"/>
      <c r="BK19" s="666"/>
      <c r="BL19" s="666"/>
      <c r="BM19" s="666"/>
      <c r="BN19" s="666"/>
      <c r="BO19" s="666"/>
      <c r="BP19" s="666"/>
      <c r="BQ19" s="666"/>
      <c r="BR19" s="666"/>
      <c r="BS19" s="666"/>
      <c r="BT19" s="666"/>
      <c r="BU19" s="666"/>
      <c r="BV19" s="666"/>
      <c r="BW19" s="666"/>
      <c r="BX19" s="666"/>
      <c r="BY19" s="666"/>
      <c r="BZ19" s="666"/>
      <c r="CA19" s="666"/>
      <c r="CB19" s="666"/>
      <c r="CC19" s="666"/>
      <c r="CD19" s="666"/>
      <c r="CE19" s="666"/>
      <c r="CF19" s="666"/>
      <c r="CG19" s="666"/>
      <c r="CH19" s="666"/>
      <c r="CI19" s="666"/>
      <c r="CJ19" s="666"/>
      <c r="CK19" s="666"/>
      <c r="CL19" s="666"/>
      <c r="CM19" s="666"/>
      <c r="CN19" s="666"/>
      <c r="CO19" s="666"/>
      <c r="CP19" s="666"/>
      <c r="CQ19" s="666"/>
      <c r="CR19" s="666"/>
      <c r="CS19" s="666"/>
      <c r="CT19" s="666"/>
      <c r="CU19" s="666"/>
      <c r="CV19" s="666"/>
      <c r="CW19" s="666"/>
      <c r="CX19" s="666"/>
      <c r="CY19" s="666"/>
      <c r="CZ19" s="666"/>
      <c r="DA19" s="666"/>
      <c r="DB19" s="666"/>
      <c r="DC19" s="666"/>
      <c r="DD19" s="666"/>
      <c r="DE19" s="666"/>
      <c r="DF19" s="666"/>
      <c r="DG19" s="666"/>
      <c r="DH19" s="666"/>
      <c r="DI19" s="666"/>
      <c r="DJ19" s="666"/>
      <c r="DK19" s="666"/>
      <c r="DL19" s="666"/>
      <c r="DM19" s="666"/>
      <c r="DN19" s="666"/>
      <c r="DO19" s="666"/>
      <c r="DP19" s="666"/>
      <c r="DQ19" s="666"/>
      <c r="DR19" s="666"/>
      <c r="DS19" s="666"/>
      <c r="DT19" s="666"/>
      <c r="DU19" s="666"/>
      <c r="DV19" s="666"/>
      <c r="DW19" s="666"/>
      <c r="DX19" s="666"/>
      <c r="DY19" s="666"/>
      <c r="DZ19" s="666"/>
      <c r="EA19" s="666"/>
      <c r="EB19" s="666"/>
      <c r="EC19" s="666"/>
      <c r="ED19" s="666"/>
      <c r="EE19" s="666"/>
      <c r="EF19" s="666"/>
      <c r="EG19" s="666"/>
      <c r="EH19" s="666"/>
      <c r="EI19" s="666"/>
      <c r="EJ19" s="666"/>
      <c r="EK19" s="666"/>
      <c r="EL19" s="666"/>
      <c r="EM19" s="666"/>
      <c r="EN19" s="666"/>
      <c r="EO19" s="666"/>
      <c r="EP19" s="666"/>
      <c r="EQ19" s="666"/>
      <c r="ER19" s="666"/>
      <c r="ES19" s="666"/>
      <c r="ET19" s="666"/>
      <c r="EU19" s="666"/>
      <c r="EV19" s="666"/>
      <c r="EW19" s="666"/>
      <c r="EX19" s="666"/>
      <c r="EY19" s="666"/>
      <c r="EZ19" s="666"/>
      <c r="FA19" s="666"/>
      <c r="FB19" s="666"/>
      <c r="FC19" s="666"/>
      <c r="FD19" s="666"/>
      <c r="FE19" s="666"/>
      <c r="FF19" s="666"/>
      <c r="FG19" s="666"/>
      <c r="FH19" s="666"/>
      <c r="FI19" s="666"/>
      <c r="FJ19" s="666"/>
      <c r="FK19" s="666"/>
      <c r="FL19" s="666"/>
      <c r="FM19" s="666"/>
      <c r="FN19" s="666"/>
      <c r="FO19" s="666"/>
      <c r="FP19" s="666"/>
      <c r="FQ19" s="666"/>
      <c r="FR19" s="666"/>
      <c r="FS19" s="666"/>
      <c r="FT19" s="666"/>
      <c r="FU19" s="666"/>
      <c r="FV19" s="666"/>
      <c r="FW19" s="666"/>
      <c r="FX19" s="666"/>
      <c r="FY19" s="666"/>
      <c r="FZ19" s="666"/>
      <c r="GA19" s="666"/>
      <c r="GB19" s="666"/>
      <c r="GC19" s="666"/>
      <c r="GD19" s="666"/>
      <c r="GE19" s="666"/>
      <c r="GF19" s="666"/>
      <c r="GG19" s="666"/>
      <c r="GH19" s="666"/>
      <c r="GI19" s="666"/>
      <c r="GJ19" s="666"/>
      <c r="GK19" s="666"/>
      <c r="GL19" s="666"/>
      <c r="GM19" s="666"/>
      <c r="GN19" s="666"/>
      <c r="GO19" s="666"/>
      <c r="GP19" s="666"/>
      <c r="GQ19" s="666"/>
      <c r="GR19" s="666"/>
      <c r="GS19" s="666"/>
      <c r="GT19" s="666"/>
      <c r="GU19" s="666"/>
      <c r="GV19" s="666"/>
      <c r="GW19" s="666"/>
      <c r="GX19" s="666"/>
      <c r="GY19" s="666"/>
      <c r="GZ19" s="666"/>
      <c r="HA19" s="666"/>
      <c r="HB19" s="666"/>
      <c r="HC19" s="666"/>
      <c r="HD19" s="666"/>
      <c r="HE19" s="666"/>
      <c r="HF19" s="666"/>
      <c r="HG19" s="666"/>
      <c r="HH19" s="666"/>
      <c r="HI19" s="666"/>
      <c r="HJ19" s="666"/>
      <c r="HK19" s="666"/>
      <c r="HL19" s="666"/>
      <c r="HM19" s="666"/>
      <c r="HN19" s="666"/>
      <c r="HO19" s="666"/>
      <c r="HP19" s="666"/>
      <c r="HQ19" s="666"/>
      <c r="HR19" s="666"/>
      <c r="HS19" s="666"/>
      <c r="HT19" s="666"/>
      <c r="HU19" s="666"/>
      <c r="HV19" s="666"/>
      <c r="HW19" s="666"/>
      <c r="HX19" s="666"/>
      <c r="HY19" s="666"/>
      <c r="HZ19" s="666"/>
      <c r="IA19" s="666"/>
      <c r="IB19" s="666"/>
      <c r="IC19" s="666"/>
      <c r="ID19" s="666"/>
      <c r="IE19" s="666"/>
      <c r="IF19" s="666"/>
      <c r="IG19" s="666"/>
      <c r="IH19" s="666"/>
      <c r="II19" s="666"/>
      <c r="IJ19" s="666"/>
      <c r="IK19" s="666"/>
      <c r="IL19" s="666"/>
      <c r="IM19" s="666"/>
      <c r="IN19" s="666"/>
      <c r="IO19" s="666"/>
      <c r="IP19" s="666"/>
      <c r="IQ19" s="666"/>
      <c r="IR19" s="666"/>
      <c r="IS19" s="666"/>
      <c r="IT19" s="666"/>
      <c r="IU19" s="666"/>
      <c r="IV19" s="666"/>
      <c r="IW19" s="666"/>
      <c r="IX19" s="666"/>
      <c r="IY19" s="666"/>
      <c r="IZ19" s="666"/>
      <c r="JA19" s="666"/>
      <c r="JB19" s="666"/>
      <c r="JC19" s="666"/>
      <c r="JD19" s="666"/>
      <c r="JE19" s="666"/>
      <c r="JF19" s="666"/>
      <c r="JG19" s="666"/>
      <c r="JH19" s="666"/>
      <c r="JI19" s="666"/>
      <c r="JJ19" s="666"/>
      <c r="JK19" s="666"/>
      <c r="JL19" s="666"/>
      <c r="JM19" s="666"/>
      <c r="JN19" s="666"/>
      <c r="JO19" s="666"/>
      <c r="JP19" s="666"/>
      <c r="JQ19" s="666"/>
      <c r="JR19" s="666"/>
      <c r="JS19" s="666"/>
      <c r="JT19" s="666"/>
      <c r="JU19" s="666"/>
      <c r="JV19" s="666"/>
      <c r="JW19" s="666"/>
      <c r="JX19" s="666"/>
      <c r="JY19" s="666"/>
      <c r="JZ19" s="666"/>
      <c r="KA19" s="666"/>
      <c r="KB19" s="666"/>
      <c r="KC19" s="666"/>
      <c r="KD19" s="666"/>
      <c r="KE19" s="666"/>
      <c r="KF19" s="666"/>
      <c r="KG19" s="666"/>
      <c r="KH19" s="666"/>
      <c r="KI19" s="666"/>
      <c r="KJ19" s="666"/>
      <c r="KK19" s="666"/>
      <c r="KL19" s="666"/>
      <c r="KM19" s="666"/>
      <c r="KN19" s="666"/>
      <c r="KO19" s="666"/>
      <c r="KP19" s="666"/>
      <c r="KQ19" s="666"/>
      <c r="KR19" s="666"/>
      <c r="KS19" s="666"/>
      <c r="KT19" s="666"/>
      <c r="KU19" s="666"/>
      <c r="KV19" s="666"/>
      <c r="KW19" s="666"/>
      <c r="KX19" s="666"/>
      <c r="KY19" s="666"/>
      <c r="KZ19" s="666"/>
      <c r="LA19" s="666"/>
      <c r="LB19" s="666"/>
      <c r="LC19" s="666"/>
      <c r="LD19" s="666"/>
      <c r="LE19" s="666"/>
      <c r="LF19" s="666"/>
      <c r="LG19" s="666"/>
      <c r="LH19" s="666"/>
      <c r="LI19" s="666"/>
      <c r="LJ19" s="666"/>
      <c r="LK19" s="666"/>
      <c r="LL19" s="666"/>
      <c r="LM19" s="666"/>
      <c r="LN19" s="666"/>
      <c r="LO19" s="666"/>
      <c r="LP19" s="666"/>
      <c r="LQ19" s="666"/>
      <c r="LR19" s="666"/>
      <c r="LS19" s="666"/>
      <c r="LT19" s="666"/>
      <c r="LU19" s="666"/>
      <c r="LV19" s="666"/>
      <c r="LW19" s="666"/>
      <c r="LX19" s="666"/>
      <c r="LY19" s="666"/>
      <c r="LZ19" s="666"/>
      <c r="MA19" s="666"/>
      <c r="MB19" s="666"/>
      <c r="MC19" s="666"/>
      <c r="MD19" s="666"/>
      <c r="ME19" s="666"/>
      <c r="MF19" s="666"/>
      <c r="MG19" s="666"/>
      <c r="MH19" s="666"/>
      <c r="MI19" s="666"/>
      <c r="MJ19" s="666"/>
      <c r="MK19" s="666"/>
      <c r="ML19" s="666"/>
      <c r="MM19" s="666"/>
      <c r="MN19" s="666"/>
      <c r="MO19" s="666"/>
      <c r="MP19" s="666"/>
      <c r="MQ19" s="666"/>
      <c r="MR19" s="666"/>
      <c r="MS19" s="666"/>
      <c r="MT19" s="666"/>
      <c r="MU19" s="666"/>
      <c r="MV19" s="666"/>
      <c r="MW19" s="666"/>
      <c r="MX19" s="666"/>
    </row>
    <row r="20" spans="1:362" s="158" customFormat="1">
      <c r="A20" s="606" t="s">
        <v>1166</v>
      </c>
      <c r="B20" s="528">
        <v>768</v>
      </c>
      <c r="C20" s="528" t="s">
        <v>649</v>
      </c>
      <c r="D20" s="528"/>
      <c r="E20" s="409"/>
      <c r="F20" s="528" t="s">
        <v>650</v>
      </c>
      <c r="G20" s="528"/>
      <c r="H20" s="632"/>
      <c r="I20" s="632"/>
      <c r="J20" s="632"/>
      <c r="K20" s="632"/>
      <c r="L20" s="674" t="str">
        <f>A20</f>
        <v>L1174REEDS8253OR</v>
      </c>
      <c r="M20" s="527"/>
      <c r="N20" s="528"/>
      <c r="O20" s="668"/>
      <c r="P20" s="410"/>
      <c r="Q20" s="669"/>
      <c r="R20" s="669"/>
      <c r="S20" s="669"/>
      <c r="T20" s="670"/>
      <c r="U20" s="437">
        <v>609191</v>
      </c>
      <c r="V20" s="458">
        <v>33569.85</v>
      </c>
      <c r="W20" s="842">
        <v>609005</v>
      </c>
      <c r="X20" s="844">
        <v>653.47</v>
      </c>
      <c r="Y20" s="435"/>
      <c r="Z20" s="463"/>
      <c r="AA20" s="454"/>
      <c r="AB20" s="536"/>
      <c r="AC20" s="846">
        <v>609191</v>
      </c>
      <c r="AD20" s="861">
        <v>11197.3</v>
      </c>
      <c r="AE20" s="464">
        <f>U20</f>
        <v>609191</v>
      </c>
      <c r="AF20" s="465">
        <f>AD20+AB20+Z20+X20+V20</f>
        <v>45420.619999999995</v>
      </c>
      <c r="AG20" s="666"/>
      <c r="AH20" s="439"/>
      <c r="AI20" s="440"/>
      <c r="AJ20" s="439"/>
      <c r="AK20" s="440"/>
      <c r="AL20" s="435"/>
      <c r="AM20" s="463"/>
      <c r="AN20" s="433"/>
      <c r="AO20" s="490"/>
      <c r="AP20" s="433"/>
      <c r="AQ20" s="490"/>
      <c r="AR20" s="464"/>
      <c r="AS20" s="465"/>
      <c r="AT20" s="666"/>
      <c r="AU20" s="439"/>
      <c r="AV20" s="440"/>
      <c r="AW20" s="464"/>
      <c r="AX20" s="465"/>
      <c r="AY20" s="666"/>
      <c r="AZ20" s="666"/>
      <c r="BA20" s="666"/>
      <c r="BB20" s="666"/>
      <c r="BC20" s="666"/>
      <c r="BD20" s="666"/>
      <c r="BE20" s="666"/>
      <c r="BF20" s="666"/>
      <c r="BG20" s="666"/>
      <c r="BH20" s="666"/>
      <c r="BI20" s="666"/>
      <c r="BJ20" s="666"/>
      <c r="BK20" s="666"/>
      <c r="BL20" s="666"/>
      <c r="BM20" s="666"/>
      <c r="BN20" s="666"/>
      <c r="BO20" s="666"/>
      <c r="BP20" s="666"/>
      <c r="BQ20" s="666"/>
      <c r="BR20" s="666"/>
      <c r="BS20" s="666"/>
      <c r="BT20" s="666"/>
      <c r="BU20" s="666"/>
      <c r="BV20" s="666"/>
      <c r="BW20" s="666"/>
      <c r="BX20" s="666"/>
      <c r="BY20" s="666"/>
      <c r="BZ20" s="666"/>
      <c r="CA20" s="666"/>
      <c r="CB20" s="666"/>
      <c r="CC20" s="666"/>
      <c r="CD20" s="666"/>
      <c r="CE20" s="666"/>
      <c r="CF20" s="666"/>
      <c r="CG20" s="666"/>
      <c r="CH20" s="666"/>
      <c r="CI20" s="666"/>
      <c r="CJ20" s="666"/>
      <c r="CK20" s="666"/>
      <c r="CL20" s="666"/>
      <c r="CM20" s="666"/>
      <c r="CN20" s="666"/>
      <c r="CO20" s="666"/>
      <c r="CP20" s="666"/>
      <c r="CQ20" s="666"/>
      <c r="CR20" s="666"/>
      <c r="CS20" s="666"/>
      <c r="CT20" s="666"/>
      <c r="CU20" s="666"/>
      <c r="CV20" s="666"/>
      <c r="CW20" s="666"/>
      <c r="CX20" s="666"/>
      <c r="CY20" s="666"/>
      <c r="CZ20" s="666"/>
      <c r="DA20" s="666"/>
      <c r="DB20" s="666"/>
      <c r="DC20" s="666"/>
      <c r="DD20" s="666"/>
      <c r="DE20" s="666"/>
      <c r="DF20" s="666"/>
      <c r="DG20" s="666"/>
      <c r="DH20" s="666"/>
      <c r="DI20" s="666"/>
      <c r="DJ20" s="666"/>
      <c r="DK20" s="666"/>
      <c r="DL20" s="666"/>
      <c r="DM20" s="666"/>
      <c r="DN20" s="666"/>
      <c r="DO20" s="666"/>
      <c r="DP20" s="666"/>
      <c r="DQ20" s="666"/>
      <c r="DR20" s="666"/>
      <c r="DS20" s="666"/>
      <c r="DT20" s="666"/>
      <c r="DU20" s="666"/>
      <c r="DV20" s="666"/>
      <c r="DW20" s="666"/>
      <c r="DX20" s="666"/>
      <c r="DY20" s="666"/>
      <c r="DZ20" s="666"/>
      <c r="EA20" s="666"/>
      <c r="EB20" s="666"/>
      <c r="EC20" s="666"/>
      <c r="ED20" s="666"/>
      <c r="EE20" s="666"/>
      <c r="EF20" s="666"/>
      <c r="EG20" s="666"/>
      <c r="EH20" s="666"/>
      <c r="EI20" s="666"/>
      <c r="EJ20" s="666"/>
      <c r="EK20" s="666"/>
      <c r="EL20" s="666"/>
      <c r="EM20" s="666"/>
      <c r="EN20" s="666"/>
      <c r="EO20" s="666"/>
      <c r="EP20" s="666"/>
      <c r="EQ20" s="666"/>
      <c r="ER20" s="666"/>
      <c r="ES20" s="666"/>
      <c r="ET20" s="666"/>
      <c r="EU20" s="666"/>
      <c r="EV20" s="666"/>
      <c r="EW20" s="666"/>
      <c r="EX20" s="666"/>
      <c r="EY20" s="666"/>
      <c r="EZ20" s="666"/>
      <c r="FA20" s="666"/>
      <c r="FB20" s="666"/>
      <c r="FC20" s="666"/>
      <c r="FD20" s="666"/>
      <c r="FE20" s="666"/>
      <c r="FF20" s="666"/>
      <c r="FG20" s="666"/>
      <c r="FH20" s="666"/>
      <c r="FI20" s="666"/>
      <c r="FJ20" s="666"/>
      <c r="FK20" s="666"/>
      <c r="FL20" s="666"/>
      <c r="FM20" s="666"/>
      <c r="FN20" s="666"/>
      <c r="FO20" s="666"/>
      <c r="FP20" s="666"/>
      <c r="FQ20" s="666"/>
      <c r="FR20" s="666"/>
      <c r="FS20" s="666"/>
      <c r="FT20" s="666"/>
      <c r="FU20" s="666"/>
      <c r="FV20" s="666"/>
      <c r="FW20" s="666"/>
      <c r="FX20" s="666"/>
      <c r="FY20" s="666"/>
      <c r="FZ20" s="666"/>
      <c r="GA20" s="666"/>
      <c r="GB20" s="666"/>
      <c r="GC20" s="666"/>
      <c r="GD20" s="666"/>
      <c r="GE20" s="666"/>
      <c r="GF20" s="666"/>
      <c r="GG20" s="666"/>
      <c r="GH20" s="666"/>
      <c r="GI20" s="666"/>
      <c r="GJ20" s="666"/>
      <c r="GK20" s="666"/>
      <c r="GL20" s="666"/>
      <c r="GM20" s="666"/>
      <c r="GN20" s="666"/>
      <c r="GO20" s="666"/>
      <c r="GP20" s="666"/>
      <c r="GQ20" s="666"/>
      <c r="GR20" s="666"/>
      <c r="GS20" s="666"/>
      <c r="GT20" s="666"/>
      <c r="GU20" s="666"/>
      <c r="GV20" s="666"/>
      <c r="GW20" s="666"/>
      <c r="GX20" s="666"/>
      <c r="GY20" s="666"/>
      <c r="GZ20" s="666"/>
      <c r="HA20" s="666"/>
      <c r="HB20" s="666"/>
      <c r="HC20" s="666"/>
      <c r="HD20" s="666"/>
      <c r="HE20" s="666"/>
      <c r="HF20" s="666"/>
      <c r="HG20" s="666"/>
      <c r="HH20" s="666"/>
      <c r="HI20" s="666"/>
      <c r="HJ20" s="666"/>
      <c r="HK20" s="666"/>
      <c r="HL20" s="666"/>
      <c r="HM20" s="666"/>
      <c r="HN20" s="666"/>
      <c r="HO20" s="666"/>
      <c r="HP20" s="666"/>
      <c r="HQ20" s="666"/>
      <c r="HR20" s="666"/>
      <c r="HS20" s="666"/>
      <c r="HT20" s="666"/>
      <c r="HU20" s="666"/>
      <c r="HV20" s="666"/>
      <c r="HW20" s="666"/>
      <c r="HX20" s="666"/>
      <c r="HY20" s="666"/>
      <c r="HZ20" s="666"/>
      <c r="IA20" s="666"/>
      <c r="IB20" s="666"/>
      <c r="IC20" s="666"/>
      <c r="ID20" s="666"/>
      <c r="IE20" s="666"/>
      <c r="IF20" s="666"/>
      <c r="IG20" s="666"/>
      <c r="IH20" s="666"/>
      <c r="II20" s="666"/>
      <c r="IJ20" s="666"/>
      <c r="IK20" s="666"/>
      <c r="IL20" s="666"/>
      <c r="IM20" s="666"/>
      <c r="IN20" s="666"/>
      <c r="IO20" s="666"/>
      <c r="IP20" s="666"/>
      <c r="IQ20" s="666"/>
      <c r="IR20" s="666"/>
      <c r="IS20" s="666"/>
      <c r="IT20" s="666"/>
      <c r="IU20" s="666"/>
      <c r="IV20" s="666"/>
      <c r="IW20" s="666"/>
      <c r="IX20" s="666"/>
      <c r="IY20" s="666"/>
      <c r="IZ20" s="666"/>
      <c r="JA20" s="666"/>
      <c r="JB20" s="666"/>
      <c r="JC20" s="666"/>
      <c r="JD20" s="666"/>
      <c r="JE20" s="666"/>
      <c r="JF20" s="666"/>
      <c r="JG20" s="666"/>
      <c r="JH20" s="666"/>
      <c r="JI20" s="666"/>
      <c r="JJ20" s="666"/>
      <c r="JK20" s="666"/>
      <c r="JL20" s="666"/>
      <c r="JM20" s="666"/>
      <c r="JN20" s="666"/>
      <c r="JO20" s="666"/>
      <c r="JP20" s="666"/>
      <c r="JQ20" s="666"/>
      <c r="JR20" s="666"/>
      <c r="JS20" s="666"/>
      <c r="JT20" s="666"/>
      <c r="JU20" s="666"/>
      <c r="JV20" s="666"/>
      <c r="JW20" s="666"/>
      <c r="JX20" s="666"/>
      <c r="JY20" s="666"/>
      <c r="JZ20" s="666"/>
      <c r="KA20" s="666"/>
      <c r="KB20" s="666"/>
      <c r="KC20" s="666"/>
      <c r="KD20" s="666"/>
      <c r="KE20" s="666"/>
      <c r="KF20" s="666"/>
      <c r="KG20" s="666"/>
      <c r="KH20" s="666"/>
      <c r="KI20" s="666"/>
      <c r="KJ20" s="666"/>
      <c r="KK20" s="666"/>
      <c r="KL20" s="666"/>
      <c r="KM20" s="666"/>
      <c r="KN20" s="666"/>
      <c r="KO20" s="666"/>
      <c r="KP20" s="666"/>
      <c r="KQ20" s="666"/>
      <c r="KR20" s="666"/>
      <c r="KS20" s="666"/>
      <c r="KT20" s="666"/>
      <c r="KU20" s="666"/>
      <c r="KV20" s="666"/>
      <c r="KW20" s="666"/>
      <c r="KX20" s="666"/>
      <c r="KY20" s="666"/>
      <c r="KZ20" s="666"/>
      <c r="LA20" s="666"/>
      <c r="LB20" s="666"/>
      <c r="LC20" s="666"/>
      <c r="LD20" s="666"/>
      <c r="LE20" s="666"/>
      <c r="LF20" s="666"/>
      <c r="LG20" s="666"/>
      <c r="LH20" s="666"/>
      <c r="LI20" s="666"/>
      <c r="LJ20" s="666"/>
      <c r="LK20" s="666"/>
      <c r="LL20" s="666"/>
      <c r="LM20" s="666"/>
      <c r="LN20" s="666"/>
      <c r="LO20" s="666"/>
      <c r="LP20" s="666"/>
      <c r="LQ20" s="666"/>
      <c r="LR20" s="666"/>
      <c r="LS20" s="666"/>
      <c r="LT20" s="666"/>
      <c r="LU20" s="666"/>
      <c r="LV20" s="666"/>
      <c r="LW20" s="666"/>
      <c r="LX20" s="666"/>
      <c r="LY20" s="666"/>
      <c r="LZ20" s="666"/>
      <c r="MA20" s="666"/>
      <c r="MB20" s="666"/>
      <c r="MC20" s="666"/>
      <c r="MD20" s="666"/>
      <c r="ME20" s="666"/>
      <c r="MF20" s="666"/>
      <c r="MG20" s="666"/>
      <c r="MH20" s="666"/>
      <c r="MI20" s="666"/>
      <c r="MJ20" s="666"/>
      <c r="MK20" s="666"/>
      <c r="ML20" s="666"/>
      <c r="MM20" s="666"/>
      <c r="MN20" s="666"/>
      <c r="MO20" s="666"/>
      <c r="MP20" s="666"/>
      <c r="MQ20" s="666"/>
      <c r="MR20" s="666"/>
      <c r="MS20" s="666"/>
      <c r="MT20" s="666"/>
      <c r="MU20" s="666"/>
      <c r="MV20" s="666"/>
      <c r="MW20" s="666"/>
      <c r="MX20" s="666"/>
    </row>
    <row r="21" spans="1:362" s="163" customFormat="1" ht="3.75" customHeight="1">
      <c r="A21" s="595">
        <v>98461835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583">
        <f t="shared" ref="L21" si="6">A21</f>
        <v>98461835</v>
      </c>
      <c r="M21" s="13"/>
      <c r="N21" s="13"/>
      <c r="O21" s="515"/>
      <c r="P21" s="13"/>
      <c r="Q21" s="13"/>
      <c r="R21" s="13"/>
      <c r="S21" s="13"/>
      <c r="T21" s="519"/>
      <c r="U21" s="516"/>
      <c r="V21" s="517"/>
      <c r="W21" s="516"/>
      <c r="X21" s="517"/>
      <c r="Y21" s="516"/>
      <c r="Z21" s="517"/>
      <c r="AA21" s="516"/>
      <c r="AB21" s="517"/>
      <c r="AC21" s="516"/>
      <c r="AD21" s="518"/>
      <c r="AE21" s="520"/>
      <c r="AF21" s="521"/>
      <c r="AH21" s="516"/>
      <c r="AI21" s="518"/>
      <c r="AJ21" s="516"/>
      <c r="AK21" s="518"/>
      <c r="AL21" s="516"/>
      <c r="AM21" s="517"/>
      <c r="AN21" s="516"/>
      <c r="AO21" s="517"/>
      <c r="AP21" s="516"/>
      <c r="AQ21" s="517"/>
      <c r="AR21" s="520"/>
      <c r="AS21" s="521"/>
      <c r="AU21" s="516"/>
      <c r="AV21" s="518"/>
      <c r="AW21" s="520"/>
      <c r="AX21" s="521"/>
    </row>
    <row r="22" spans="1:362" hidden="1">
      <c r="A22" s="576" t="s">
        <v>1167</v>
      </c>
      <c r="B22" s="7">
        <v>767</v>
      </c>
      <c r="C22" s="7" t="s">
        <v>647</v>
      </c>
      <c r="D22" s="7" t="s">
        <v>650</v>
      </c>
      <c r="E22" s="7" t="s">
        <v>650</v>
      </c>
      <c r="F22" s="7"/>
      <c r="G22" s="7"/>
      <c r="H22" s="13"/>
      <c r="I22" s="13"/>
      <c r="J22" s="13"/>
      <c r="K22" s="13"/>
      <c r="L22" s="588" t="s">
        <v>1167</v>
      </c>
      <c r="M22" s="7"/>
      <c r="N22" s="7"/>
      <c r="O22" s="57"/>
      <c r="P22" s="7"/>
      <c r="Q22" s="7"/>
      <c r="R22" s="7"/>
      <c r="S22" s="7"/>
      <c r="T22" s="103"/>
      <c r="U22" s="437">
        <v>97934048</v>
      </c>
      <c r="V22" s="458">
        <v>39369.99</v>
      </c>
      <c r="Y22" s="269" t="s">
        <v>289</v>
      </c>
      <c r="Z22" s="351" t="s">
        <v>289</v>
      </c>
      <c r="AA22" s="454">
        <v>97932591</v>
      </c>
      <c r="AB22" s="536">
        <v>102.41</v>
      </c>
      <c r="AD22" s="225"/>
      <c r="AE22" s="464">
        <v>97934048</v>
      </c>
      <c r="AF22" s="465">
        <f>AB22+V22</f>
        <v>39472.400000000001</v>
      </c>
      <c r="AH22" s="439">
        <v>97934048</v>
      </c>
      <c r="AI22" s="440">
        <v>10723.8</v>
      </c>
      <c r="AJ22" s="219" t="s">
        <v>289</v>
      </c>
      <c r="AK22" s="225"/>
      <c r="AL22" s="269" t="s">
        <v>289</v>
      </c>
      <c r="AM22" s="351" t="s">
        <v>289</v>
      </c>
      <c r="AN22" s="433">
        <v>97886117</v>
      </c>
      <c r="AO22" s="490">
        <v>3164.13</v>
      </c>
      <c r="AR22" s="464">
        <v>97934048</v>
      </c>
      <c r="AS22" s="465">
        <f>AI22+AK22+AO22</f>
        <v>13887.93</v>
      </c>
      <c r="AV22" s="225"/>
      <c r="AW22" s="309"/>
      <c r="AX22" s="230"/>
    </row>
    <row r="23" spans="1:362" hidden="1">
      <c r="A23" s="575" t="s">
        <v>1168</v>
      </c>
      <c r="B23" s="37">
        <v>768</v>
      </c>
      <c r="C23" s="9" t="s">
        <v>647</v>
      </c>
      <c r="D23" s="9" t="s">
        <v>650</v>
      </c>
      <c r="E23" s="9" t="s">
        <v>650</v>
      </c>
      <c r="F23" s="9"/>
      <c r="G23" s="9"/>
      <c r="H23" s="13"/>
      <c r="I23" s="13"/>
      <c r="J23" s="13"/>
      <c r="K23" s="13"/>
      <c r="L23" s="585" t="s">
        <v>1168</v>
      </c>
      <c r="M23" s="9"/>
      <c r="N23" s="9"/>
      <c r="O23" s="58"/>
      <c r="P23" s="9"/>
      <c r="Q23" s="9"/>
      <c r="R23" s="9"/>
      <c r="S23" s="9"/>
      <c r="T23" s="141"/>
      <c r="U23" s="437">
        <v>97873502</v>
      </c>
      <c r="V23" s="458">
        <v>30116.26</v>
      </c>
      <c r="Y23" s="269" t="s">
        <v>289</v>
      </c>
      <c r="Z23" s="351" t="s">
        <v>289</v>
      </c>
      <c r="AA23" s="454">
        <v>97873240</v>
      </c>
      <c r="AB23" s="536">
        <v>102.41</v>
      </c>
      <c r="AD23" s="225"/>
      <c r="AE23" s="464">
        <v>97873502</v>
      </c>
      <c r="AF23" s="465">
        <f>AB23+V23</f>
        <v>30218.67</v>
      </c>
      <c r="AH23" s="439">
        <v>97873502</v>
      </c>
      <c r="AI23" s="440">
        <v>9487.0400000000009</v>
      </c>
      <c r="AJ23" s="439">
        <v>97934048</v>
      </c>
      <c r="AK23" s="440">
        <v>1250.3399999999999</v>
      </c>
      <c r="AL23" s="269" t="s">
        <v>289</v>
      </c>
      <c r="AM23" s="351" t="s">
        <v>289</v>
      </c>
      <c r="AN23" s="433">
        <v>97873214</v>
      </c>
      <c r="AO23" s="490">
        <v>2068.5</v>
      </c>
      <c r="AR23" s="464">
        <v>97873502</v>
      </c>
      <c r="AS23" s="465">
        <f>AK23+AO23+AI23</f>
        <v>12805.880000000001</v>
      </c>
      <c r="AU23" s="439">
        <v>97934058</v>
      </c>
      <c r="AV23" s="440">
        <v>6635.49</v>
      </c>
      <c r="AW23" s="464">
        <v>97934058</v>
      </c>
      <c r="AX23" s="465">
        <f>AV23</f>
        <v>6635.49</v>
      </c>
    </row>
    <row r="24" spans="1:362" s="163" customFormat="1" ht="3.75" customHeight="1">
      <c r="A24" s="57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583">
        <f t="shared" ref="L24" si="7">A24</f>
        <v>0</v>
      </c>
      <c r="M24" s="13"/>
      <c r="N24" s="13"/>
      <c r="O24" s="515"/>
      <c r="P24" s="13"/>
      <c r="Q24" s="13"/>
      <c r="R24" s="13"/>
      <c r="S24" s="13"/>
      <c r="T24" s="519"/>
      <c r="U24" s="516"/>
      <c r="V24" s="517"/>
      <c r="W24" s="516"/>
      <c r="X24" s="517"/>
      <c r="Y24" s="516"/>
      <c r="Z24" s="517"/>
      <c r="AA24" s="516"/>
      <c r="AB24" s="517"/>
      <c r="AC24" s="516"/>
      <c r="AD24" s="518"/>
      <c r="AE24" s="520"/>
      <c r="AF24" s="521"/>
      <c r="AH24" s="516"/>
      <c r="AI24" s="518"/>
      <c r="AJ24" s="516"/>
      <c r="AK24" s="518"/>
      <c r="AL24" s="516"/>
      <c r="AM24" s="517"/>
      <c r="AN24" s="516"/>
      <c r="AO24" s="517"/>
      <c r="AP24" s="516"/>
      <c r="AQ24" s="517"/>
      <c r="AR24" s="520"/>
      <c r="AS24" s="521"/>
      <c r="AU24" s="516"/>
      <c r="AV24" s="518"/>
      <c r="AW24" s="520"/>
      <c r="AX24" s="521"/>
    </row>
    <row r="25" spans="1:362" s="107" customFormat="1">
      <c r="A25" s="576" t="s">
        <v>1169</v>
      </c>
      <c r="B25" s="7">
        <v>769</v>
      </c>
      <c r="C25" s="7" t="s">
        <v>982</v>
      </c>
      <c r="D25" s="7" t="s">
        <v>650</v>
      </c>
      <c r="E25" s="7"/>
      <c r="F25" s="13"/>
      <c r="G25" s="13"/>
      <c r="H25" s="13"/>
      <c r="I25" s="7" t="s">
        <v>650</v>
      </c>
      <c r="J25" s="7" t="s">
        <v>650</v>
      </c>
      <c r="K25" s="13"/>
      <c r="L25" s="588" t="s">
        <v>1169</v>
      </c>
      <c r="M25" s="43"/>
      <c r="N25" s="37"/>
      <c r="O25" s="106"/>
      <c r="P25" s="37"/>
      <c r="Q25" s="40"/>
      <c r="R25" s="40"/>
      <c r="S25" s="40"/>
      <c r="T25" s="311"/>
      <c r="U25" s="437">
        <v>97962807</v>
      </c>
      <c r="V25" s="458">
        <v>22707.88</v>
      </c>
      <c r="W25" s="187"/>
      <c r="X25" s="348"/>
      <c r="Y25" s="435">
        <v>97962422</v>
      </c>
      <c r="Z25" s="463">
        <v>450</v>
      </c>
      <c r="AA25" s="282"/>
      <c r="AB25" s="315"/>
      <c r="AC25" s="219"/>
      <c r="AD25" s="225"/>
      <c r="AE25" s="464">
        <v>97962807</v>
      </c>
      <c r="AF25" s="465">
        <f>Z25+X25+V25</f>
        <v>23157.88</v>
      </c>
      <c r="AG25" s="163"/>
      <c r="AH25" s="439">
        <v>97962807</v>
      </c>
      <c r="AI25" s="440">
        <v>6886.05</v>
      </c>
      <c r="AJ25" s="219"/>
      <c r="AK25" s="225"/>
      <c r="AL25" s="435"/>
      <c r="AM25" s="463"/>
      <c r="AN25" s="433">
        <v>97962453</v>
      </c>
      <c r="AO25" s="490">
        <v>2719.11</v>
      </c>
      <c r="AP25" s="187"/>
      <c r="AQ25" s="348"/>
      <c r="AR25" s="309"/>
      <c r="AS25" s="465">
        <f>AI25+AO25</f>
        <v>9605.16</v>
      </c>
      <c r="AT25" s="163"/>
      <c r="AU25" s="219"/>
      <c r="AV25" s="225"/>
      <c r="AW25" s="309"/>
      <c r="AX25" s="230"/>
    </row>
    <row r="26" spans="1:362" s="163" customFormat="1">
      <c r="A26" s="575" t="s">
        <v>1170</v>
      </c>
      <c r="B26" s="37">
        <v>770</v>
      </c>
      <c r="C26" s="37" t="s">
        <v>982</v>
      </c>
      <c r="D26" s="37" t="s">
        <v>650</v>
      </c>
      <c r="E26" s="37"/>
      <c r="F26" s="13"/>
      <c r="G26" s="13"/>
      <c r="H26" s="37" t="s">
        <v>650</v>
      </c>
      <c r="I26" s="37" t="s">
        <v>650</v>
      </c>
      <c r="J26" s="37" t="s">
        <v>650</v>
      </c>
      <c r="K26" s="13"/>
      <c r="L26" s="585" t="s">
        <v>1170</v>
      </c>
      <c r="M26" s="308"/>
      <c r="N26" s="145"/>
      <c r="O26" s="162"/>
      <c r="P26" s="98"/>
      <c r="Q26" s="98"/>
      <c r="R26" s="98"/>
      <c r="S26" s="98"/>
      <c r="T26" s="312"/>
      <c r="U26" s="437">
        <v>97962823</v>
      </c>
      <c r="V26" s="458">
        <v>22744.76</v>
      </c>
      <c r="W26" s="187"/>
      <c r="X26" s="348"/>
      <c r="Y26" s="435">
        <v>97962564</v>
      </c>
      <c r="Z26" s="463">
        <v>450</v>
      </c>
      <c r="AA26" s="282"/>
      <c r="AB26" s="315"/>
      <c r="AC26" s="219"/>
      <c r="AD26" s="225"/>
      <c r="AE26" s="464">
        <v>97962823</v>
      </c>
      <c r="AF26" s="465">
        <f>Z26+X26+V26</f>
        <v>23194.76</v>
      </c>
      <c r="AH26" s="439">
        <v>97962823</v>
      </c>
      <c r="AI26" s="440">
        <v>6452.04</v>
      </c>
      <c r="AJ26" s="219"/>
      <c r="AK26" s="225"/>
      <c r="AL26" s="435"/>
      <c r="AM26" s="463"/>
      <c r="AN26" s="433">
        <v>97962605</v>
      </c>
      <c r="AO26" s="490">
        <v>2349.9299999999998</v>
      </c>
      <c r="AP26" s="187"/>
      <c r="AQ26" s="348"/>
      <c r="AR26" s="309"/>
      <c r="AS26" s="465">
        <f>AI26+AO26</f>
        <v>8801.9699999999993</v>
      </c>
      <c r="AU26" s="219"/>
      <c r="AV26" s="225"/>
      <c r="AW26" s="309"/>
      <c r="AX26" s="230"/>
    </row>
    <row r="27" spans="1:362" s="163" customFormat="1" ht="3.75" customHeight="1">
      <c r="A27" s="57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583">
        <f t="shared" ref="L27:L36" si="8">A27</f>
        <v>0</v>
      </c>
      <c r="M27" s="13"/>
      <c r="N27" s="13"/>
      <c r="O27" s="515"/>
      <c r="P27" s="13"/>
      <c r="Q27" s="13"/>
      <c r="R27" s="13"/>
      <c r="S27" s="13"/>
      <c r="T27" s="519"/>
      <c r="U27" s="516"/>
      <c r="V27" s="517"/>
      <c r="W27" s="516"/>
      <c r="X27" s="517"/>
      <c r="Y27" s="516"/>
      <c r="Z27" s="517"/>
      <c r="AA27" s="516"/>
      <c r="AB27" s="517"/>
      <c r="AC27" s="516"/>
      <c r="AD27" s="518"/>
      <c r="AE27" s="520"/>
      <c r="AF27" s="521"/>
      <c r="AH27" s="516"/>
      <c r="AI27" s="518"/>
      <c r="AJ27" s="516"/>
      <c r="AK27" s="518"/>
      <c r="AL27" s="516"/>
      <c r="AM27" s="517"/>
      <c r="AN27" s="516"/>
      <c r="AO27" s="517"/>
      <c r="AP27" s="516"/>
      <c r="AQ27" s="517"/>
      <c r="AR27" s="520"/>
      <c r="AS27" s="521"/>
      <c r="AU27" s="516"/>
      <c r="AV27" s="518"/>
      <c r="AW27" s="520"/>
      <c r="AX27" s="521"/>
    </row>
    <row r="28" spans="1:362" s="158" customFormat="1">
      <c r="A28" s="605" t="s">
        <v>1171</v>
      </c>
      <c r="B28" s="409">
        <v>768</v>
      </c>
      <c r="C28" s="409" t="s">
        <v>648</v>
      </c>
      <c r="D28" s="409"/>
      <c r="E28" s="409" t="s">
        <v>650</v>
      </c>
      <c r="F28" s="409" t="s">
        <v>650</v>
      </c>
      <c r="G28" s="409"/>
      <c r="H28" s="632"/>
      <c r="I28" s="632"/>
      <c r="J28" s="632"/>
      <c r="K28" s="632"/>
      <c r="L28" s="663" t="s">
        <v>1171</v>
      </c>
      <c r="M28" s="664"/>
      <c r="N28" s="409"/>
      <c r="O28" s="556"/>
      <c r="P28" s="409"/>
      <c r="Q28" s="664"/>
      <c r="R28" s="664"/>
      <c r="S28" s="664"/>
      <c r="T28" s="665"/>
      <c r="U28" s="437">
        <v>98464808</v>
      </c>
      <c r="V28" s="458">
        <v>34268.129999999997</v>
      </c>
      <c r="W28" s="433"/>
      <c r="X28" s="490"/>
      <c r="Y28" s="435" t="s">
        <v>1149</v>
      </c>
      <c r="Z28" s="463"/>
      <c r="AA28" s="454">
        <v>98461714</v>
      </c>
      <c r="AB28" s="536">
        <v>102.41</v>
      </c>
      <c r="AC28" s="439"/>
      <c r="AD28" s="440"/>
      <c r="AE28" s="464">
        <v>9846808</v>
      </c>
      <c r="AF28" s="465">
        <f>AB28+V28</f>
        <v>34370.54</v>
      </c>
      <c r="AG28" s="666"/>
      <c r="AH28" s="439" t="s">
        <v>1172</v>
      </c>
      <c r="AI28" s="440">
        <v>10876.57</v>
      </c>
      <c r="AJ28" s="439"/>
      <c r="AK28" s="440"/>
      <c r="AL28" s="435"/>
      <c r="AM28" s="463"/>
      <c r="AN28" s="433">
        <v>98461675</v>
      </c>
      <c r="AO28" s="490">
        <v>599.42999999999995</v>
      </c>
      <c r="AP28" s="433">
        <v>98676244</v>
      </c>
      <c r="AQ28" s="490">
        <v>-6.75</v>
      </c>
      <c r="AR28" s="464">
        <v>98464808</v>
      </c>
      <c r="AS28" s="465">
        <f>AO28+AI28+AQ28</f>
        <v>11469.25</v>
      </c>
      <c r="AT28" s="666"/>
      <c r="AU28" s="439"/>
      <c r="AV28" s="440"/>
      <c r="AW28" s="464"/>
      <c r="AX28" s="465"/>
      <c r="AY28" s="666"/>
      <c r="AZ28" s="666"/>
      <c r="BA28" s="666"/>
      <c r="BB28" s="666"/>
      <c r="BC28" s="666"/>
      <c r="BD28" s="666"/>
      <c r="BE28" s="666"/>
      <c r="BF28" s="666"/>
      <c r="BG28" s="666"/>
      <c r="BH28" s="666"/>
      <c r="BI28" s="666"/>
      <c r="BJ28" s="666"/>
      <c r="BK28" s="666"/>
      <c r="BL28" s="666"/>
      <c r="BM28" s="666"/>
      <c r="BN28" s="666"/>
      <c r="BO28" s="666"/>
      <c r="BP28" s="666"/>
      <c r="BQ28" s="666"/>
      <c r="BR28" s="666"/>
      <c r="BS28" s="666"/>
      <c r="BT28" s="666"/>
      <c r="BU28" s="666"/>
      <c r="BV28" s="666"/>
      <c r="BW28" s="666"/>
      <c r="BX28" s="666"/>
      <c r="BY28" s="666"/>
      <c r="BZ28" s="666"/>
      <c r="CA28" s="666"/>
      <c r="CB28" s="666"/>
      <c r="CC28" s="666"/>
      <c r="CD28" s="666"/>
      <c r="CE28" s="666"/>
      <c r="CF28" s="666"/>
      <c r="CG28" s="666"/>
      <c r="CH28" s="666"/>
      <c r="CI28" s="666"/>
      <c r="CJ28" s="666"/>
      <c r="CK28" s="666"/>
      <c r="CL28" s="666"/>
      <c r="CM28" s="666"/>
      <c r="CN28" s="666"/>
      <c r="CO28" s="666"/>
      <c r="CP28" s="666"/>
      <c r="CQ28" s="666"/>
      <c r="CR28" s="666"/>
      <c r="CS28" s="666"/>
      <c r="CT28" s="666"/>
      <c r="CU28" s="666"/>
      <c r="CV28" s="666"/>
      <c r="CW28" s="666"/>
      <c r="CX28" s="666"/>
      <c r="CY28" s="666"/>
      <c r="CZ28" s="666"/>
      <c r="DA28" s="666"/>
      <c r="DB28" s="666"/>
      <c r="DC28" s="666"/>
      <c r="DD28" s="666"/>
      <c r="DE28" s="666"/>
      <c r="DF28" s="666"/>
      <c r="DG28" s="666"/>
      <c r="DH28" s="666"/>
      <c r="DI28" s="666"/>
      <c r="DJ28" s="666"/>
      <c r="DK28" s="666"/>
      <c r="DL28" s="666"/>
      <c r="DM28" s="666"/>
      <c r="DN28" s="666"/>
      <c r="DO28" s="666"/>
      <c r="DP28" s="666"/>
      <c r="DQ28" s="666"/>
      <c r="DR28" s="666"/>
      <c r="DS28" s="666"/>
      <c r="DT28" s="666"/>
      <c r="DU28" s="666"/>
      <c r="DV28" s="666"/>
      <c r="DW28" s="666"/>
      <c r="DX28" s="666"/>
      <c r="DY28" s="666"/>
      <c r="DZ28" s="666"/>
      <c r="EA28" s="666"/>
      <c r="EB28" s="666"/>
      <c r="EC28" s="666"/>
      <c r="ED28" s="666"/>
      <c r="EE28" s="666"/>
      <c r="EF28" s="666"/>
      <c r="EG28" s="666"/>
      <c r="EH28" s="666"/>
      <c r="EI28" s="666"/>
      <c r="EJ28" s="666"/>
      <c r="EK28" s="666"/>
      <c r="EL28" s="666"/>
      <c r="EM28" s="666"/>
      <c r="EN28" s="666"/>
      <c r="EO28" s="666"/>
      <c r="EP28" s="666"/>
      <c r="EQ28" s="666"/>
      <c r="ER28" s="666"/>
      <c r="ES28" s="666"/>
      <c r="ET28" s="666"/>
      <c r="EU28" s="666"/>
      <c r="EV28" s="666"/>
      <c r="EW28" s="666"/>
      <c r="EX28" s="666"/>
      <c r="EY28" s="666"/>
      <c r="EZ28" s="666"/>
      <c r="FA28" s="666"/>
      <c r="FB28" s="666"/>
      <c r="FC28" s="666"/>
      <c r="FD28" s="666"/>
      <c r="FE28" s="666"/>
      <c r="FF28" s="666"/>
      <c r="FG28" s="666"/>
      <c r="FH28" s="666"/>
      <c r="FI28" s="666"/>
      <c r="FJ28" s="666"/>
      <c r="FK28" s="666"/>
      <c r="FL28" s="666"/>
      <c r="FM28" s="666"/>
      <c r="FN28" s="666"/>
      <c r="FO28" s="666"/>
      <c r="FP28" s="666"/>
      <c r="FQ28" s="666"/>
      <c r="FR28" s="666"/>
      <c r="FS28" s="666"/>
      <c r="FT28" s="666"/>
      <c r="FU28" s="666"/>
      <c r="FV28" s="666"/>
      <c r="FW28" s="666"/>
      <c r="FX28" s="666"/>
      <c r="FY28" s="666"/>
      <c r="FZ28" s="666"/>
      <c r="GA28" s="666"/>
      <c r="GB28" s="666"/>
      <c r="GC28" s="666"/>
      <c r="GD28" s="666"/>
      <c r="GE28" s="666"/>
      <c r="GF28" s="666"/>
      <c r="GG28" s="666"/>
      <c r="GH28" s="666"/>
      <c r="GI28" s="666"/>
      <c r="GJ28" s="666"/>
      <c r="GK28" s="666"/>
      <c r="GL28" s="666"/>
      <c r="GM28" s="666"/>
      <c r="GN28" s="666"/>
      <c r="GO28" s="666"/>
      <c r="GP28" s="666"/>
      <c r="GQ28" s="666"/>
      <c r="GR28" s="666"/>
      <c r="GS28" s="666"/>
      <c r="GT28" s="666"/>
      <c r="GU28" s="666"/>
      <c r="GV28" s="666"/>
      <c r="GW28" s="666"/>
      <c r="GX28" s="666"/>
      <c r="GY28" s="666"/>
      <c r="GZ28" s="666"/>
      <c r="HA28" s="666"/>
      <c r="HB28" s="666"/>
      <c r="HC28" s="666"/>
      <c r="HD28" s="666"/>
      <c r="HE28" s="666"/>
      <c r="HF28" s="666"/>
      <c r="HG28" s="666"/>
      <c r="HH28" s="666"/>
      <c r="HI28" s="666"/>
      <c r="HJ28" s="666"/>
      <c r="HK28" s="666"/>
      <c r="HL28" s="666"/>
      <c r="HM28" s="666"/>
      <c r="HN28" s="666"/>
      <c r="HO28" s="666"/>
      <c r="HP28" s="666"/>
      <c r="HQ28" s="666"/>
      <c r="HR28" s="666"/>
      <c r="HS28" s="666"/>
      <c r="HT28" s="666"/>
      <c r="HU28" s="666"/>
      <c r="HV28" s="666"/>
      <c r="HW28" s="666"/>
      <c r="HX28" s="666"/>
      <c r="HY28" s="666"/>
      <c r="HZ28" s="666"/>
      <c r="IA28" s="666"/>
      <c r="IB28" s="666"/>
      <c r="IC28" s="666"/>
      <c r="ID28" s="666"/>
      <c r="IE28" s="666"/>
      <c r="IF28" s="666"/>
      <c r="IG28" s="666"/>
      <c r="IH28" s="666"/>
      <c r="II28" s="666"/>
      <c r="IJ28" s="666"/>
      <c r="IK28" s="666"/>
      <c r="IL28" s="666"/>
      <c r="IM28" s="666"/>
      <c r="IN28" s="666"/>
      <c r="IO28" s="666"/>
      <c r="IP28" s="666"/>
      <c r="IQ28" s="666"/>
      <c r="IR28" s="666"/>
      <c r="IS28" s="666"/>
      <c r="IT28" s="666"/>
      <c r="IU28" s="666"/>
      <c r="IV28" s="666"/>
      <c r="IW28" s="666"/>
      <c r="IX28" s="666"/>
      <c r="IY28" s="666"/>
      <c r="IZ28" s="666"/>
      <c r="JA28" s="666"/>
      <c r="JB28" s="666"/>
      <c r="JC28" s="666"/>
      <c r="JD28" s="666"/>
      <c r="JE28" s="666"/>
      <c r="JF28" s="666"/>
      <c r="JG28" s="666"/>
      <c r="JH28" s="666"/>
      <c r="JI28" s="666"/>
      <c r="JJ28" s="666"/>
      <c r="JK28" s="666"/>
      <c r="JL28" s="666"/>
      <c r="JM28" s="666"/>
      <c r="JN28" s="666"/>
      <c r="JO28" s="666"/>
      <c r="JP28" s="666"/>
      <c r="JQ28" s="666"/>
      <c r="JR28" s="666"/>
      <c r="JS28" s="666"/>
      <c r="JT28" s="666"/>
      <c r="JU28" s="666"/>
      <c r="JV28" s="666"/>
      <c r="JW28" s="666"/>
      <c r="JX28" s="666"/>
      <c r="JY28" s="666"/>
      <c r="JZ28" s="666"/>
      <c r="KA28" s="666"/>
      <c r="KB28" s="666"/>
      <c r="KC28" s="666"/>
      <c r="KD28" s="666"/>
      <c r="KE28" s="666"/>
      <c r="KF28" s="666"/>
      <c r="KG28" s="666"/>
      <c r="KH28" s="666"/>
      <c r="KI28" s="666"/>
      <c r="KJ28" s="666"/>
      <c r="KK28" s="666"/>
      <c r="KL28" s="666"/>
      <c r="KM28" s="666"/>
      <c r="KN28" s="666"/>
      <c r="KO28" s="666"/>
      <c r="KP28" s="666"/>
      <c r="KQ28" s="666"/>
      <c r="KR28" s="666"/>
      <c r="KS28" s="666"/>
      <c r="KT28" s="666"/>
      <c r="KU28" s="666"/>
      <c r="KV28" s="666"/>
      <c r="KW28" s="666"/>
      <c r="KX28" s="666"/>
      <c r="KY28" s="666"/>
      <c r="KZ28" s="666"/>
      <c r="LA28" s="666"/>
      <c r="LB28" s="666"/>
      <c r="LC28" s="666"/>
      <c r="LD28" s="666"/>
      <c r="LE28" s="666"/>
      <c r="LF28" s="666"/>
      <c r="LG28" s="666"/>
      <c r="LH28" s="666"/>
      <c r="LI28" s="666"/>
      <c r="LJ28" s="666"/>
      <c r="LK28" s="666"/>
      <c r="LL28" s="666"/>
      <c r="LM28" s="666"/>
      <c r="LN28" s="666"/>
      <c r="LO28" s="666"/>
      <c r="LP28" s="666"/>
      <c r="LQ28" s="666"/>
      <c r="LR28" s="666"/>
      <c r="LS28" s="666"/>
      <c r="LT28" s="666"/>
      <c r="LU28" s="666"/>
      <c r="LV28" s="666"/>
      <c r="LW28" s="666"/>
      <c r="LX28" s="666"/>
      <c r="LY28" s="666"/>
      <c r="LZ28" s="666"/>
      <c r="MA28" s="666"/>
      <c r="MB28" s="666"/>
      <c r="MC28" s="666"/>
      <c r="MD28" s="666"/>
      <c r="ME28" s="666"/>
      <c r="MF28" s="666"/>
      <c r="MG28" s="666"/>
      <c r="MH28" s="666"/>
      <c r="MI28" s="666"/>
      <c r="MJ28" s="666"/>
      <c r="MK28" s="666"/>
      <c r="ML28" s="666"/>
      <c r="MM28" s="666"/>
      <c r="MN28" s="666"/>
      <c r="MO28" s="666"/>
      <c r="MP28" s="666"/>
      <c r="MQ28" s="666"/>
      <c r="MR28" s="666"/>
      <c r="MS28" s="666"/>
      <c r="MT28" s="666"/>
      <c r="MU28" s="666"/>
      <c r="MV28" s="666"/>
      <c r="MW28" s="666"/>
      <c r="MX28" s="666"/>
    </row>
    <row r="29" spans="1:362" s="158" customFormat="1">
      <c r="A29" s="606" t="s">
        <v>1173</v>
      </c>
      <c r="B29" s="528">
        <v>767</v>
      </c>
      <c r="C29" s="528" t="s">
        <v>648</v>
      </c>
      <c r="D29" s="528"/>
      <c r="E29" s="528" t="s">
        <v>650</v>
      </c>
      <c r="F29" s="528" t="s">
        <v>650</v>
      </c>
      <c r="G29" s="528"/>
      <c r="H29" s="632"/>
      <c r="I29" s="632"/>
      <c r="J29" s="632"/>
      <c r="K29" s="632"/>
      <c r="L29" s="667" t="s">
        <v>1173</v>
      </c>
      <c r="M29" s="527"/>
      <c r="N29" s="528"/>
      <c r="O29" s="668"/>
      <c r="P29" s="410"/>
      <c r="Q29" s="669"/>
      <c r="R29" s="669"/>
      <c r="S29" s="669"/>
      <c r="T29" s="670"/>
      <c r="U29" s="437">
        <v>98464924</v>
      </c>
      <c r="V29" s="458">
        <v>36901.22</v>
      </c>
      <c r="W29" s="433"/>
      <c r="X29" s="490"/>
      <c r="Y29" s="435" t="s">
        <v>1149</v>
      </c>
      <c r="Z29" s="463"/>
      <c r="AA29" s="454">
        <v>98461768</v>
      </c>
      <c r="AB29" s="536">
        <v>102.41</v>
      </c>
      <c r="AC29" s="439"/>
      <c r="AD29" s="440"/>
      <c r="AE29" s="464">
        <v>98464924</v>
      </c>
      <c r="AF29" s="465">
        <f>AB29+V29</f>
        <v>37003.630000000005</v>
      </c>
      <c r="AG29" s="666"/>
      <c r="AH29" s="439" t="s">
        <v>1174</v>
      </c>
      <c r="AI29" s="440">
        <v>10859.29</v>
      </c>
      <c r="AJ29" s="439"/>
      <c r="AK29" s="440"/>
      <c r="AL29" s="435"/>
      <c r="AM29" s="463"/>
      <c r="AN29" s="433">
        <v>98461734</v>
      </c>
      <c r="AO29" s="490">
        <v>599.42999999999995</v>
      </c>
      <c r="AP29" s="433">
        <v>98676269</v>
      </c>
      <c r="AQ29" s="490">
        <v>-6.75</v>
      </c>
      <c r="AR29" s="464">
        <v>9846924</v>
      </c>
      <c r="AS29" s="465">
        <f>AO29+AI29+AQ29</f>
        <v>11451.970000000001</v>
      </c>
      <c r="AT29" s="666"/>
      <c r="AU29" s="439"/>
      <c r="AV29" s="440"/>
      <c r="AW29" s="464"/>
      <c r="AX29" s="465"/>
      <c r="AY29" s="666"/>
      <c r="AZ29" s="666"/>
      <c r="BA29" s="666"/>
      <c r="BB29" s="666"/>
      <c r="BC29" s="666"/>
      <c r="BD29" s="666"/>
      <c r="BE29" s="666"/>
      <c r="BF29" s="666"/>
      <c r="BG29" s="666"/>
      <c r="BH29" s="666"/>
      <c r="BI29" s="666"/>
      <c r="BJ29" s="666"/>
      <c r="BK29" s="666"/>
      <c r="BL29" s="666"/>
      <c r="BM29" s="666"/>
      <c r="BN29" s="666"/>
      <c r="BO29" s="666"/>
      <c r="BP29" s="666"/>
      <c r="BQ29" s="666"/>
      <c r="BR29" s="666"/>
      <c r="BS29" s="666"/>
      <c r="BT29" s="666"/>
      <c r="BU29" s="666"/>
      <c r="BV29" s="666"/>
      <c r="BW29" s="666"/>
      <c r="BX29" s="666"/>
      <c r="BY29" s="666"/>
      <c r="BZ29" s="666"/>
      <c r="CA29" s="666"/>
      <c r="CB29" s="666"/>
      <c r="CC29" s="666"/>
      <c r="CD29" s="666"/>
      <c r="CE29" s="666"/>
      <c r="CF29" s="666"/>
      <c r="CG29" s="666"/>
      <c r="CH29" s="666"/>
      <c r="CI29" s="666"/>
      <c r="CJ29" s="666"/>
      <c r="CK29" s="666"/>
      <c r="CL29" s="666"/>
      <c r="CM29" s="666"/>
      <c r="CN29" s="666"/>
      <c r="CO29" s="666"/>
      <c r="CP29" s="666"/>
      <c r="CQ29" s="666"/>
      <c r="CR29" s="666"/>
      <c r="CS29" s="666"/>
      <c r="CT29" s="666"/>
      <c r="CU29" s="666"/>
      <c r="CV29" s="666"/>
      <c r="CW29" s="666"/>
      <c r="CX29" s="666"/>
      <c r="CY29" s="666"/>
      <c r="CZ29" s="666"/>
      <c r="DA29" s="666"/>
      <c r="DB29" s="666"/>
      <c r="DC29" s="666"/>
      <c r="DD29" s="666"/>
      <c r="DE29" s="666"/>
      <c r="DF29" s="666"/>
      <c r="DG29" s="666"/>
      <c r="DH29" s="666"/>
      <c r="DI29" s="666"/>
      <c r="DJ29" s="666"/>
      <c r="DK29" s="666"/>
      <c r="DL29" s="666"/>
      <c r="DM29" s="666"/>
      <c r="DN29" s="666"/>
      <c r="DO29" s="666"/>
      <c r="DP29" s="666"/>
      <c r="DQ29" s="666"/>
      <c r="DR29" s="666"/>
      <c r="DS29" s="666"/>
      <c r="DT29" s="666"/>
      <c r="DU29" s="666"/>
      <c r="DV29" s="666"/>
      <c r="DW29" s="666"/>
      <c r="DX29" s="666"/>
      <c r="DY29" s="666"/>
      <c r="DZ29" s="666"/>
      <c r="EA29" s="666"/>
      <c r="EB29" s="666"/>
      <c r="EC29" s="666"/>
      <c r="ED29" s="666"/>
      <c r="EE29" s="666"/>
      <c r="EF29" s="666"/>
      <c r="EG29" s="666"/>
      <c r="EH29" s="666"/>
      <c r="EI29" s="666"/>
      <c r="EJ29" s="666"/>
      <c r="EK29" s="666"/>
      <c r="EL29" s="666"/>
      <c r="EM29" s="666"/>
      <c r="EN29" s="666"/>
      <c r="EO29" s="666"/>
      <c r="EP29" s="666"/>
      <c r="EQ29" s="666"/>
      <c r="ER29" s="666"/>
      <c r="ES29" s="666"/>
      <c r="ET29" s="666"/>
      <c r="EU29" s="666"/>
      <c r="EV29" s="666"/>
      <c r="EW29" s="666"/>
      <c r="EX29" s="666"/>
      <c r="EY29" s="666"/>
      <c r="EZ29" s="666"/>
      <c r="FA29" s="666"/>
      <c r="FB29" s="666"/>
      <c r="FC29" s="666"/>
      <c r="FD29" s="666"/>
      <c r="FE29" s="666"/>
      <c r="FF29" s="666"/>
      <c r="FG29" s="666"/>
      <c r="FH29" s="666"/>
      <c r="FI29" s="666"/>
      <c r="FJ29" s="666"/>
      <c r="FK29" s="666"/>
      <c r="FL29" s="666"/>
      <c r="FM29" s="666"/>
      <c r="FN29" s="666"/>
      <c r="FO29" s="666"/>
      <c r="FP29" s="666"/>
      <c r="FQ29" s="666"/>
      <c r="FR29" s="666"/>
      <c r="FS29" s="666"/>
      <c r="FT29" s="666"/>
      <c r="FU29" s="666"/>
      <c r="FV29" s="666"/>
      <c r="FW29" s="666"/>
      <c r="FX29" s="666"/>
      <c r="FY29" s="666"/>
      <c r="FZ29" s="666"/>
      <c r="GA29" s="666"/>
      <c r="GB29" s="666"/>
      <c r="GC29" s="666"/>
      <c r="GD29" s="666"/>
      <c r="GE29" s="666"/>
      <c r="GF29" s="666"/>
      <c r="GG29" s="666"/>
      <c r="GH29" s="666"/>
      <c r="GI29" s="666"/>
      <c r="GJ29" s="666"/>
      <c r="GK29" s="666"/>
      <c r="GL29" s="666"/>
      <c r="GM29" s="666"/>
      <c r="GN29" s="666"/>
      <c r="GO29" s="666"/>
      <c r="GP29" s="666"/>
      <c r="GQ29" s="666"/>
      <c r="GR29" s="666"/>
      <c r="GS29" s="666"/>
      <c r="GT29" s="666"/>
      <c r="GU29" s="666"/>
      <c r="GV29" s="666"/>
      <c r="GW29" s="666"/>
      <c r="GX29" s="666"/>
      <c r="GY29" s="666"/>
      <c r="GZ29" s="666"/>
      <c r="HA29" s="666"/>
      <c r="HB29" s="666"/>
      <c r="HC29" s="666"/>
      <c r="HD29" s="666"/>
      <c r="HE29" s="666"/>
      <c r="HF29" s="666"/>
      <c r="HG29" s="666"/>
      <c r="HH29" s="666"/>
      <c r="HI29" s="666"/>
      <c r="HJ29" s="666"/>
      <c r="HK29" s="666"/>
      <c r="HL29" s="666"/>
      <c r="HM29" s="666"/>
      <c r="HN29" s="666"/>
      <c r="HO29" s="666"/>
      <c r="HP29" s="666"/>
      <c r="HQ29" s="666"/>
      <c r="HR29" s="666"/>
      <c r="HS29" s="666"/>
      <c r="HT29" s="666"/>
      <c r="HU29" s="666"/>
      <c r="HV29" s="666"/>
      <c r="HW29" s="666"/>
      <c r="HX29" s="666"/>
      <c r="HY29" s="666"/>
      <c r="HZ29" s="666"/>
      <c r="IA29" s="666"/>
      <c r="IB29" s="666"/>
      <c r="IC29" s="666"/>
      <c r="ID29" s="666"/>
      <c r="IE29" s="666"/>
      <c r="IF29" s="666"/>
      <c r="IG29" s="666"/>
      <c r="IH29" s="666"/>
      <c r="II29" s="666"/>
      <c r="IJ29" s="666"/>
      <c r="IK29" s="666"/>
      <c r="IL29" s="666"/>
      <c r="IM29" s="666"/>
      <c r="IN29" s="666"/>
      <c r="IO29" s="666"/>
      <c r="IP29" s="666"/>
      <c r="IQ29" s="666"/>
      <c r="IR29" s="666"/>
      <c r="IS29" s="666"/>
      <c r="IT29" s="666"/>
      <c r="IU29" s="666"/>
      <c r="IV29" s="666"/>
      <c r="IW29" s="666"/>
      <c r="IX29" s="666"/>
      <c r="IY29" s="666"/>
      <c r="IZ29" s="666"/>
      <c r="JA29" s="666"/>
      <c r="JB29" s="666"/>
      <c r="JC29" s="666"/>
      <c r="JD29" s="666"/>
      <c r="JE29" s="666"/>
      <c r="JF29" s="666"/>
      <c r="JG29" s="666"/>
      <c r="JH29" s="666"/>
      <c r="JI29" s="666"/>
      <c r="JJ29" s="666"/>
      <c r="JK29" s="666"/>
      <c r="JL29" s="666"/>
      <c r="JM29" s="666"/>
      <c r="JN29" s="666"/>
      <c r="JO29" s="666"/>
      <c r="JP29" s="666"/>
      <c r="JQ29" s="666"/>
      <c r="JR29" s="666"/>
      <c r="JS29" s="666"/>
      <c r="JT29" s="666"/>
      <c r="JU29" s="666"/>
      <c r="JV29" s="666"/>
      <c r="JW29" s="666"/>
      <c r="JX29" s="666"/>
      <c r="JY29" s="666"/>
      <c r="JZ29" s="666"/>
      <c r="KA29" s="666"/>
      <c r="KB29" s="666"/>
      <c r="KC29" s="666"/>
      <c r="KD29" s="666"/>
      <c r="KE29" s="666"/>
      <c r="KF29" s="666"/>
      <c r="KG29" s="666"/>
      <c r="KH29" s="666"/>
      <c r="KI29" s="666"/>
      <c r="KJ29" s="666"/>
      <c r="KK29" s="666"/>
      <c r="KL29" s="666"/>
      <c r="KM29" s="666"/>
      <c r="KN29" s="666"/>
      <c r="KO29" s="666"/>
      <c r="KP29" s="666"/>
      <c r="KQ29" s="666"/>
      <c r="KR29" s="666"/>
      <c r="KS29" s="666"/>
      <c r="KT29" s="666"/>
      <c r="KU29" s="666"/>
      <c r="KV29" s="666"/>
      <c r="KW29" s="666"/>
      <c r="KX29" s="666"/>
      <c r="KY29" s="666"/>
      <c r="KZ29" s="666"/>
      <c r="LA29" s="666"/>
      <c r="LB29" s="666"/>
      <c r="LC29" s="666"/>
      <c r="LD29" s="666"/>
      <c r="LE29" s="666"/>
      <c r="LF29" s="666"/>
      <c r="LG29" s="666"/>
      <c r="LH29" s="666"/>
      <c r="LI29" s="666"/>
      <c r="LJ29" s="666"/>
      <c r="LK29" s="666"/>
      <c r="LL29" s="666"/>
      <c r="LM29" s="666"/>
      <c r="LN29" s="666"/>
      <c r="LO29" s="666"/>
      <c r="LP29" s="666"/>
      <c r="LQ29" s="666"/>
      <c r="LR29" s="666"/>
      <c r="LS29" s="666"/>
      <c r="LT29" s="666"/>
      <c r="LU29" s="666"/>
      <c r="LV29" s="666"/>
      <c r="LW29" s="666"/>
      <c r="LX29" s="666"/>
      <c r="LY29" s="666"/>
      <c r="LZ29" s="666"/>
      <c r="MA29" s="666"/>
      <c r="MB29" s="666"/>
      <c r="MC29" s="666"/>
      <c r="MD29" s="666"/>
      <c r="ME29" s="666"/>
      <c r="MF29" s="666"/>
      <c r="MG29" s="666"/>
      <c r="MH29" s="666"/>
      <c r="MI29" s="666"/>
      <c r="MJ29" s="666"/>
      <c r="MK29" s="666"/>
      <c r="ML29" s="666"/>
      <c r="MM29" s="666"/>
      <c r="MN29" s="666"/>
      <c r="MO29" s="666"/>
      <c r="MP29" s="666"/>
      <c r="MQ29" s="666"/>
      <c r="MR29" s="666"/>
      <c r="MS29" s="666"/>
      <c r="MT29" s="666"/>
      <c r="MU29" s="666"/>
      <c r="MV29" s="666"/>
      <c r="MW29" s="666"/>
      <c r="MX29" s="666"/>
    </row>
    <row r="30" spans="1:362" s="163" customFormat="1" ht="3.75" customHeight="1">
      <c r="A30" s="57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583">
        <f t="shared" ref="L30" si="9">A30</f>
        <v>0</v>
      </c>
      <c r="M30" s="13"/>
      <c r="N30" s="13"/>
      <c r="O30" s="515"/>
      <c r="P30" s="13"/>
      <c r="Q30" s="13"/>
      <c r="R30" s="13"/>
      <c r="S30" s="13"/>
      <c r="T30" s="519"/>
      <c r="U30" s="516"/>
      <c r="V30" s="517"/>
      <c r="W30" s="516"/>
      <c r="X30" s="517"/>
      <c r="Y30" s="516"/>
      <c r="Z30" s="517"/>
      <c r="AA30" s="516"/>
      <c r="AB30" s="517"/>
      <c r="AC30" s="516"/>
      <c r="AD30" s="518"/>
      <c r="AE30" s="520"/>
      <c r="AF30" s="521"/>
      <c r="AH30" s="516"/>
      <c r="AI30" s="518"/>
      <c r="AJ30" s="516"/>
      <c r="AK30" s="518"/>
      <c r="AL30" s="516"/>
      <c r="AM30" s="517"/>
      <c r="AN30" s="516"/>
      <c r="AO30" s="517"/>
      <c r="AP30" s="516"/>
      <c r="AQ30" s="517"/>
      <c r="AR30" s="520"/>
      <c r="AS30" s="521"/>
      <c r="AU30" s="516"/>
      <c r="AV30" s="518"/>
      <c r="AW30" s="520"/>
      <c r="AX30" s="521"/>
    </row>
    <row r="31" spans="1:362" s="163" customFormat="1">
      <c r="A31" s="605" t="s">
        <v>1175</v>
      </c>
      <c r="B31" s="651">
        <v>770</v>
      </c>
      <c r="C31" s="651" t="s">
        <v>982</v>
      </c>
      <c r="D31" s="98"/>
      <c r="E31" s="98"/>
      <c r="F31" s="13"/>
      <c r="G31" s="13"/>
      <c r="H31" s="651" t="s">
        <v>650</v>
      </c>
      <c r="I31" s="651" t="s">
        <v>650</v>
      </c>
      <c r="J31" s="651" t="s">
        <v>650</v>
      </c>
      <c r="K31" s="13"/>
      <c r="L31" s="588" t="s">
        <v>1175</v>
      </c>
      <c r="M31" s="98"/>
      <c r="N31" s="98"/>
      <c r="O31" s="162"/>
      <c r="P31" s="98"/>
      <c r="Q31" s="98"/>
      <c r="R31" s="98"/>
      <c r="S31" s="98"/>
      <c r="T31" s="346"/>
      <c r="U31" s="234">
        <v>98465016</v>
      </c>
      <c r="V31" s="325">
        <v>21426.82</v>
      </c>
      <c r="W31" s="187"/>
      <c r="X31" s="348"/>
      <c r="Y31" s="269"/>
      <c r="Z31" s="351"/>
      <c r="AA31" s="282"/>
      <c r="AB31" s="315"/>
      <c r="AC31" s="219"/>
      <c r="AD31" s="225"/>
      <c r="AE31" s="309">
        <f>U31</f>
        <v>98465016</v>
      </c>
      <c r="AF31" s="230">
        <f>Z31+V31+X31</f>
        <v>21426.82</v>
      </c>
      <c r="AH31" s="439">
        <v>98465016</v>
      </c>
      <c r="AI31" s="440">
        <v>6497.7</v>
      </c>
      <c r="AJ31" s="219"/>
      <c r="AK31" s="225"/>
      <c r="AL31" s="435">
        <v>98461788</v>
      </c>
      <c r="AM31" s="463">
        <v>450</v>
      </c>
      <c r="AN31" s="433">
        <v>98461824</v>
      </c>
      <c r="AO31" s="490">
        <v>2349.9299999999998</v>
      </c>
      <c r="AP31" s="433">
        <v>98800017</v>
      </c>
      <c r="AQ31" s="490">
        <v>-6.75</v>
      </c>
      <c r="AR31" s="464">
        <f>AH31</f>
        <v>98465016</v>
      </c>
      <c r="AS31" s="465">
        <f>AO31+AM31+AK31+AI31+AQ31</f>
        <v>9290.8799999999992</v>
      </c>
      <c r="AU31" s="219"/>
      <c r="AV31" s="225"/>
      <c r="AW31" s="309"/>
      <c r="AX31" s="230"/>
    </row>
    <row r="32" spans="1:362" s="107" customFormat="1">
      <c r="A32" s="606" t="s">
        <v>1176</v>
      </c>
      <c r="B32" s="528">
        <v>769</v>
      </c>
      <c r="C32" s="528" t="s">
        <v>982</v>
      </c>
      <c r="D32" s="37"/>
      <c r="E32" s="37"/>
      <c r="F32" s="13"/>
      <c r="G32" s="13"/>
      <c r="H32" s="13"/>
      <c r="I32" s="528" t="s">
        <v>650</v>
      </c>
      <c r="J32" s="528" t="s">
        <v>650</v>
      </c>
      <c r="K32" s="13"/>
      <c r="L32" s="585" t="s">
        <v>1176</v>
      </c>
      <c r="M32" s="37"/>
      <c r="N32" s="37"/>
      <c r="O32" s="106"/>
      <c r="P32" s="37"/>
      <c r="Q32" s="37"/>
      <c r="R32" s="37"/>
      <c r="S32" s="37"/>
      <c r="T32" s="310"/>
      <c r="U32" s="233">
        <v>98465077</v>
      </c>
      <c r="V32" s="325">
        <v>21431.57</v>
      </c>
      <c r="W32" s="187"/>
      <c r="X32" s="348"/>
      <c r="Y32" s="269"/>
      <c r="Z32" s="351"/>
      <c r="AA32" s="282"/>
      <c r="AB32" s="315"/>
      <c r="AC32" s="219"/>
      <c r="AD32" s="225"/>
      <c r="AE32" s="309">
        <f>U32</f>
        <v>98465077</v>
      </c>
      <c r="AF32" s="230">
        <f>Z32+X32+V32</f>
        <v>21431.57</v>
      </c>
      <c r="AG32" s="163"/>
      <c r="AH32" s="219" t="s">
        <v>1177</v>
      </c>
      <c r="AI32" s="225">
        <v>6922.69</v>
      </c>
      <c r="AJ32" s="219"/>
      <c r="AK32" s="225"/>
      <c r="AL32" s="269">
        <v>98461835</v>
      </c>
      <c r="AM32" s="351">
        <v>450</v>
      </c>
      <c r="AN32" s="187">
        <v>98461863</v>
      </c>
      <c r="AO32" s="348">
        <v>2719.11</v>
      </c>
      <c r="AP32" s="187">
        <v>98800025</v>
      </c>
      <c r="AQ32" s="348">
        <v>-6.75</v>
      </c>
      <c r="AR32" s="309" t="str">
        <f>AH32</f>
        <v>98465077-SID</v>
      </c>
      <c r="AS32" s="230">
        <f>AO32+AM32+AK32+AI32+AQ32</f>
        <v>10085.049999999999</v>
      </c>
      <c r="AT32" s="163"/>
      <c r="AU32" s="219"/>
      <c r="AV32" s="225"/>
      <c r="AW32" s="309"/>
      <c r="AX32" s="230"/>
    </row>
    <row r="33" spans="1:362" s="163" customFormat="1" ht="3.75" customHeight="1">
      <c r="A33" s="57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583">
        <f t="shared" ref="L33" si="10">A33</f>
        <v>0</v>
      </c>
      <c r="M33" s="13"/>
      <c r="N33" s="13"/>
      <c r="O33" s="515"/>
      <c r="P33" s="13"/>
      <c r="Q33" s="13"/>
      <c r="R33" s="13"/>
      <c r="S33" s="13"/>
      <c r="T33" s="519"/>
      <c r="U33" s="516"/>
      <c r="V33" s="517"/>
      <c r="W33" s="516"/>
      <c r="X33" s="517"/>
      <c r="Y33" s="516"/>
      <c r="Z33" s="517"/>
      <c r="AA33" s="516"/>
      <c r="AB33" s="517"/>
      <c r="AC33" s="516"/>
      <c r="AD33" s="518"/>
      <c r="AE33" s="520"/>
      <c r="AF33" s="521"/>
      <c r="AH33" s="516"/>
      <c r="AI33" s="518"/>
      <c r="AJ33" s="516"/>
      <c r="AK33" s="518"/>
      <c r="AL33" s="516"/>
      <c r="AM33" s="517"/>
      <c r="AN33" s="516"/>
      <c r="AO33" s="517"/>
      <c r="AP33" s="516"/>
      <c r="AQ33" s="517"/>
      <c r="AR33" s="520"/>
      <c r="AS33" s="521"/>
      <c r="AU33" s="516"/>
      <c r="AV33" s="518"/>
      <c r="AW33" s="520"/>
      <c r="AX33" s="521"/>
    </row>
    <row r="34" spans="1:362" s="158" customFormat="1">
      <c r="A34" s="662" t="s">
        <v>1178</v>
      </c>
      <c r="B34" s="409">
        <v>768</v>
      </c>
      <c r="C34" s="409" t="s">
        <v>649</v>
      </c>
      <c r="D34" s="409"/>
      <c r="E34" s="409" t="s">
        <v>650</v>
      </c>
      <c r="F34" s="409" t="s">
        <v>650</v>
      </c>
      <c r="G34" s="409"/>
      <c r="H34" s="632"/>
      <c r="I34" s="632"/>
      <c r="J34" s="632"/>
      <c r="K34" s="632"/>
      <c r="L34" s="663" t="str">
        <f t="shared" si="8"/>
        <v>L1205REEDS3641OR</v>
      </c>
      <c r="M34" s="409"/>
      <c r="N34" s="409"/>
      <c r="O34" s="556"/>
      <c r="P34" s="409"/>
      <c r="Q34" s="409"/>
      <c r="R34" s="409"/>
      <c r="S34" s="409"/>
      <c r="T34" s="557"/>
      <c r="U34" s="437">
        <v>98213470</v>
      </c>
      <c r="V34" s="458">
        <v>33301.879999999997</v>
      </c>
      <c r="W34" s="433"/>
      <c r="X34" s="628"/>
      <c r="Y34" s="435" t="s">
        <v>1149</v>
      </c>
      <c r="Z34" s="463"/>
      <c r="AA34" s="454">
        <v>98253346</v>
      </c>
      <c r="AB34" s="536">
        <v>102.41</v>
      </c>
      <c r="AC34" s="439"/>
      <c r="AD34" s="627"/>
      <c r="AE34" s="464">
        <v>98213470</v>
      </c>
      <c r="AF34" s="465">
        <f>AB34+X34+V34</f>
        <v>33404.29</v>
      </c>
      <c r="AG34" s="666"/>
      <c r="AH34" s="439">
        <v>98213470</v>
      </c>
      <c r="AI34" s="627">
        <v>10908.17</v>
      </c>
      <c r="AJ34" s="439"/>
      <c r="AK34" s="627"/>
      <c r="AL34" s="435"/>
      <c r="AM34" s="463"/>
      <c r="AN34" s="433">
        <v>98212832</v>
      </c>
      <c r="AO34" s="628">
        <v>-331.82</v>
      </c>
      <c r="AP34" s="433"/>
      <c r="AQ34" s="628"/>
      <c r="AR34" s="464">
        <v>98213470</v>
      </c>
      <c r="AS34" s="465">
        <f>AO34+AM34+AK34+AI34</f>
        <v>10576.35</v>
      </c>
      <c r="AT34" s="666"/>
      <c r="AU34" s="439"/>
      <c r="AV34" s="534"/>
      <c r="AW34" s="671"/>
      <c r="AX34" s="672"/>
      <c r="AY34" s="666"/>
      <c r="AZ34" s="666"/>
      <c r="BA34" s="666"/>
      <c r="BB34" s="666"/>
      <c r="BC34" s="666"/>
      <c r="BD34" s="666"/>
      <c r="BE34" s="666"/>
      <c r="BF34" s="666"/>
      <c r="BG34" s="666"/>
      <c r="BH34" s="666"/>
      <c r="BI34" s="666"/>
      <c r="BJ34" s="666"/>
      <c r="BK34" s="666"/>
      <c r="BL34" s="666"/>
      <c r="BM34" s="666"/>
      <c r="BN34" s="666"/>
      <c r="BO34" s="666"/>
      <c r="BP34" s="666"/>
      <c r="BQ34" s="666"/>
      <c r="BR34" s="666"/>
      <c r="BS34" s="666"/>
      <c r="BT34" s="666"/>
      <c r="BU34" s="666"/>
      <c r="BV34" s="666"/>
      <c r="BW34" s="666"/>
      <c r="BX34" s="666"/>
      <c r="BY34" s="666"/>
      <c r="BZ34" s="666"/>
      <c r="CA34" s="666"/>
      <c r="CB34" s="666"/>
      <c r="CC34" s="666"/>
      <c r="CD34" s="666"/>
      <c r="CE34" s="666"/>
      <c r="CF34" s="666"/>
      <c r="CG34" s="666"/>
      <c r="CH34" s="666"/>
      <c r="CI34" s="666"/>
      <c r="CJ34" s="666"/>
      <c r="CK34" s="666"/>
      <c r="CL34" s="666"/>
      <c r="CM34" s="666"/>
      <c r="CN34" s="666"/>
      <c r="CO34" s="666"/>
      <c r="CP34" s="666"/>
      <c r="CQ34" s="666"/>
      <c r="CR34" s="666"/>
      <c r="CS34" s="666"/>
      <c r="CT34" s="666"/>
      <c r="CU34" s="666"/>
      <c r="CV34" s="666"/>
      <c r="CW34" s="666"/>
      <c r="CX34" s="666"/>
      <c r="CY34" s="666"/>
      <c r="CZ34" s="666"/>
      <c r="DA34" s="666"/>
      <c r="DB34" s="666"/>
      <c r="DC34" s="666"/>
      <c r="DD34" s="666"/>
      <c r="DE34" s="666"/>
      <c r="DF34" s="666"/>
      <c r="DG34" s="666"/>
      <c r="DH34" s="666"/>
      <c r="DI34" s="666"/>
      <c r="DJ34" s="666"/>
      <c r="DK34" s="666"/>
      <c r="DL34" s="666"/>
      <c r="DM34" s="666"/>
      <c r="DN34" s="666"/>
      <c r="DO34" s="666"/>
      <c r="DP34" s="666"/>
      <c r="DQ34" s="666"/>
      <c r="DR34" s="666"/>
      <c r="DS34" s="666"/>
      <c r="DT34" s="666"/>
      <c r="DU34" s="666"/>
      <c r="DV34" s="666"/>
      <c r="DW34" s="666"/>
      <c r="DX34" s="666"/>
      <c r="DY34" s="666"/>
      <c r="DZ34" s="666"/>
      <c r="EA34" s="666"/>
      <c r="EB34" s="666"/>
      <c r="EC34" s="666"/>
      <c r="ED34" s="666"/>
      <c r="EE34" s="666"/>
      <c r="EF34" s="666"/>
      <c r="EG34" s="666"/>
      <c r="EH34" s="666"/>
      <c r="EI34" s="666"/>
      <c r="EJ34" s="666"/>
      <c r="EK34" s="666"/>
      <c r="EL34" s="666"/>
      <c r="EM34" s="666"/>
      <c r="EN34" s="666"/>
      <c r="EO34" s="666"/>
      <c r="EP34" s="666"/>
      <c r="EQ34" s="666"/>
      <c r="ER34" s="666"/>
      <c r="ES34" s="666"/>
      <c r="ET34" s="666"/>
      <c r="EU34" s="666"/>
      <c r="EV34" s="666"/>
      <c r="EW34" s="666"/>
      <c r="EX34" s="666"/>
      <c r="EY34" s="666"/>
      <c r="EZ34" s="666"/>
      <c r="FA34" s="666"/>
      <c r="FB34" s="666"/>
      <c r="FC34" s="666"/>
      <c r="FD34" s="666"/>
      <c r="FE34" s="666"/>
      <c r="FF34" s="666"/>
      <c r="FG34" s="666"/>
      <c r="FH34" s="666"/>
      <c r="FI34" s="666"/>
      <c r="FJ34" s="666"/>
      <c r="FK34" s="666"/>
      <c r="FL34" s="666"/>
      <c r="FM34" s="666"/>
      <c r="FN34" s="666"/>
      <c r="FO34" s="666"/>
      <c r="FP34" s="666"/>
      <c r="FQ34" s="666"/>
      <c r="FR34" s="666"/>
      <c r="FS34" s="666"/>
      <c r="FT34" s="666"/>
      <c r="FU34" s="666"/>
      <c r="FV34" s="666"/>
      <c r="FW34" s="666"/>
      <c r="FX34" s="666"/>
      <c r="FY34" s="666"/>
      <c r="FZ34" s="666"/>
      <c r="GA34" s="666"/>
      <c r="GB34" s="666"/>
      <c r="GC34" s="666"/>
      <c r="GD34" s="666"/>
      <c r="GE34" s="666"/>
      <c r="GF34" s="666"/>
      <c r="GG34" s="666"/>
      <c r="GH34" s="666"/>
      <c r="GI34" s="666"/>
      <c r="GJ34" s="666"/>
      <c r="GK34" s="666"/>
      <c r="GL34" s="666"/>
      <c r="GM34" s="666"/>
      <c r="GN34" s="666"/>
      <c r="GO34" s="666"/>
      <c r="GP34" s="666"/>
      <c r="GQ34" s="666"/>
      <c r="GR34" s="666"/>
      <c r="GS34" s="666"/>
      <c r="GT34" s="666"/>
      <c r="GU34" s="666"/>
      <c r="GV34" s="666"/>
      <c r="GW34" s="666"/>
      <c r="GX34" s="666"/>
      <c r="GY34" s="666"/>
      <c r="GZ34" s="666"/>
      <c r="HA34" s="666"/>
      <c r="HB34" s="666"/>
      <c r="HC34" s="666"/>
      <c r="HD34" s="666"/>
      <c r="HE34" s="666"/>
      <c r="HF34" s="666"/>
      <c r="HG34" s="666"/>
      <c r="HH34" s="666"/>
      <c r="HI34" s="666"/>
      <c r="HJ34" s="666"/>
      <c r="HK34" s="666"/>
      <c r="HL34" s="666"/>
      <c r="HM34" s="666"/>
      <c r="HN34" s="666"/>
      <c r="HO34" s="666"/>
      <c r="HP34" s="666"/>
      <c r="HQ34" s="666"/>
      <c r="HR34" s="666"/>
      <c r="HS34" s="666"/>
      <c r="HT34" s="666"/>
      <c r="HU34" s="666"/>
      <c r="HV34" s="666"/>
      <c r="HW34" s="666"/>
      <c r="HX34" s="666"/>
      <c r="HY34" s="666"/>
      <c r="HZ34" s="666"/>
      <c r="IA34" s="666"/>
      <c r="IB34" s="666"/>
      <c r="IC34" s="666"/>
      <c r="ID34" s="666"/>
      <c r="IE34" s="666"/>
      <c r="IF34" s="666"/>
      <c r="IG34" s="666"/>
      <c r="IH34" s="666"/>
      <c r="II34" s="666"/>
      <c r="IJ34" s="666"/>
      <c r="IK34" s="666"/>
      <c r="IL34" s="666"/>
      <c r="IM34" s="666"/>
      <c r="IN34" s="666"/>
      <c r="IO34" s="666"/>
      <c r="IP34" s="666"/>
      <c r="IQ34" s="666"/>
      <c r="IR34" s="666"/>
      <c r="IS34" s="666"/>
      <c r="IT34" s="666"/>
      <c r="IU34" s="666"/>
      <c r="IV34" s="666"/>
      <c r="IW34" s="666"/>
      <c r="IX34" s="666"/>
      <c r="IY34" s="666"/>
      <c r="IZ34" s="666"/>
      <c r="JA34" s="666"/>
      <c r="JB34" s="666"/>
      <c r="JC34" s="666"/>
      <c r="JD34" s="666"/>
      <c r="JE34" s="666"/>
      <c r="JF34" s="666"/>
      <c r="JG34" s="666"/>
      <c r="JH34" s="666"/>
      <c r="JI34" s="666"/>
      <c r="JJ34" s="666"/>
      <c r="JK34" s="666"/>
      <c r="JL34" s="666"/>
      <c r="JM34" s="666"/>
      <c r="JN34" s="666"/>
      <c r="JO34" s="666"/>
      <c r="JP34" s="666"/>
      <c r="JQ34" s="666"/>
      <c r="JR34" s="666"/>
      <c r="JS34" s="666"/>
      <c r="JT34" s="666"/>
      <c r="JU34" s="666"/>
      <c r="JV34" s="666"/>
      <c r="JW34" s="666"/>
      <c r="JX34" s="666"/>
      <c r="JY34" s="666"/>
      <c r="JZ34" s="666"/>
      <c r="KA34" s="666"/>
      <c r="KB34" s="666"/>
      <c r="KC34" s="666"/>
      <c r="KD34" s="666"/>
      <c r="KE34" s="666"/>
      <c r="KF34" s="666"/>
      <c r="KG34" s="666"/>
      <c r="KH34" s="666"/>
      <c r="KI34" s="666"/>
      <c r="KJ34" s="666"/>
      <c r="KK34" s="666"/>
      <c r="KL34" s="666"/>
      <c r="KM34" s="666"/>
      <c r="KN34" s="666"/>
      <c r="KO34" s="666"/>
      <c r="KP34" s="666"/>
      <c r="KQ34" s="666"/>
      <c r="KR34" s="666"/>
      <c r="KS34" s="666"/>
      <c r="KT34" s="666"/>
      <c r="KU34" s="666"/>
      <c r="KV34" s="666"/>
      <c r="KW34" s="666"/>
      <c r="KX34" s="666"/>
      <c r="KY34" s="666"/>
      <c r="KZ34" s="666"/>
      <c r="LA34" s="666"/>
      <c r="LB34" s="666"/>
      <c r="LC34" s="666"/>
      <c r="LD34" s="666"/>
      <c r="LE34" s="666"/>
      <c r="LF34" s="666"/>
      <c r="LG34" s="666"/>
      <c r="LH34" s="666"/>
      <c r="LI34" s="666"/>
      <c r="LJ34" s="666"/>
      <c r="LK34" s="666"/>
      <c r="LL34" s="666"/>
      <c r="LM34" s="666"/>
      <c r="LN34" s="666"/>
      <c r="LO34" s="666"/>
      <c r="LP34" s="666"/>
      <c r="LQ34" s="666"/>
      <c r="LR34" s="666"/>
      <c r="LS34" s="666"/>
      <c r="LT34" s="666"/>
      <c r="LU34" s="666"/>
      <c r="LV34" s="666"/>
      <c r="LW34" s="666"/>
      <c r="LX34" s="666"/>
      <c r="LY34" s="666"/>
      <c r="LZ34" s="666"/>
      <c r="MA34" s="666"/>
      <c r="MB34" s="666"/>
      <c r="MC34" s="666"/>
      <c r="MD34" s="666"/>
      <c r="ME34" s="666"/>
      <c r="MF34" s="666"/>
      <c r="MG34" s="666"/>
      <c r="MH34" s="666"/>
      <c r="MI34" s="666"/>
      <c r="MJ34" s="666"/>
      <c r="MK34" s="666"/>
      <c r="ML34" s="666"/>
      <c r="MM34" s="666"/>
      <c r="MN34" s="666"/>
      <c r="MO34" s="666"/>
      <c r="MP34" s="666"/>
      <c r="MQ34" s="666"/>
      <c r="MR34" s="666"/>
      <c r="MS34" s="666"/>
      <c r="MT34" s="666"/>
      <c r="MU34" s="666"/>
      <c r="MV34" s="666"/>
      <c r="MW34" s="666"/>
      <c r="MX34" s="666"/>
    </row>
    <row r="35" spans="1:362" s="158" customFormat="1">
      <c r="A35" s="673" t="s">
        <v>1179</v>
      </c>
      <c r="B35" s="410">
        <v>767</v>
      </c>
      <c r="C35" s="410" t="s">
        <v>649</v>
      </c>
      <c r="D35" s="410"/>
      <c r="E35" s="410" t="s">
        <v>650</v>
      </c>
      <c r="F35" s="410" t="s">
        <v>650</v>
      </c>
      <c r="G35" s="410"/>
      <c r="H35" s="632"/>
      <c r="I35" s="632"/>
      <c r="J35" s="632"/>
      <c r="K35" s="632"/>
      <c r="L35" s="674" t="str">
        <f t="shared" si="8"/>
        <v>L1206REEDS3633OR</v>
      </c>
      <c r="M35" s="527"/>
      <c r="N35" s="527"/>
      <c r="O35" s="668"/>
      <c r="P35" s="410"/>
      <c r="Q35" s="410"/>
      <c r="R35" s="410"/>
      <c r="S35" s="410"/>
      <c r="T35" s="656"/>
      <c r="U35" s="437">
        <v>98213520</v>
      </c>
      <c r="V35" s="458">
        <v>37769.26</v>
      </c>
      <c r="W35" s="433"/>
      <c r="X35" s="628"/>
      <c r="Y35" s="435" t="s">
        <v>1149</v>
      </c>
      <c r="Z35" s="463"/>
      <c r="AA35" s="454">
        <v>98212894</v>
      </c>
      <c r="AB35" s="536">
        <v>102.41</v>
      </c>
      <c r="AC35" s="439"/>
      <c r="AD35" s="627"/>
      <c r="AE35" s="464">
        <v>98213520</v>
      </c>
      <c r="AF35" s="465">
        <f>AB35+V35</f>
        <v>37871.670000000006</v>
      </c>
      <c r="AG35" s="666"/>
      <c r="AH35" s="439">
        <v>98213520</v>
      </c>
      <c r="AI35" s="627">
        <v>10893.99</v>
      </c>
      <c r="AJ35" s="439"/>
      <c r="AK35" s="627"/>
      <c r="AL35" s="435"/>
      <c r="AM35" s="463"/>
      <c r="AN35" s="433">
        <v>98212862</v>
      </c>
      <c r="AO35" s="628">
        <v>-531.91</v>
      </c>
      <c r="AP35" s="433"/>
      <c r="AQ35" s="628"/>
      <c r="AR35" s="464">
        <v>98213520</v>
      </c>
      <c r="AS35" s="465">
        <f>AO35+AM35+AK35+AI35</f>
        <v>10362.08</v>
      </c>
      <c r="AT35" s="666"/>
      <c r="AU35" s="439"/>
      <c r="AV35" s="534"/>
      <c r="AW35" s="671"/>
      <c r="AX35" s="672"/>
      <c r="AY35" s="666"/>
      <c r="AZ35" s="666"/>
      <c r="BA35" s="666"/>
      <c r="BB35" s="666"/>
      <c r="BC35" s="666"/>
      <c r="BD35" s="666"/>
      <c r="BE35" s="666"/>
      <c r="BF35" s="666"/>
      <c r="BG35" s="666"/>
      <c r="BH35" s="666"/>
      <c r="BI35" s="666"/>
      <c r="BJ35" s="666"/>
      <c r="BK35" s="666"/>
      <c r="BL35" s="666"/>
      <c r="BM35" s="666"/>
      <c r="BN35" s="666"/>
      <c r="BO35" s="666"/>
      <c r="BP35" s="666"/>
      <c r="BQ35" s="666"/>
      <c r="BR35" s="666"/>
      <c r="BS35" s="666"/>
      <c r="BT35" s="666"/>
      <c r="BU35" s="666"/>
      <c r="BV35" s="666"/>
      <c r="BW35" s="666"/>
      <c r="BX35" s="666"/>
      <c r="BY35" s="666"/>
      <c r="BZ35" s="666"/>
      <c r="CA35" s="666"/>
      <c r="CB35" s="666"/>
      <c r="CC35" s="666"/>
      <c r="CD35" s="666"/>
      <c r="CE35" s="666"/>
      <c r="CF35" s="666"/>
      <c r="CG35" s="666"/>
      <c r="CH35" s="666"/>
      <c r="CI35" s="666"/>
      <c r="CJ35" s="666"/>
      <c r="CK35" s="666"/>
      <c r="CL35" s="666"/>
      <c r="CM35" s="666"/>
      <c r="CN35" s="666"/>
      <c r="CO35" s="666"/>
      <c r="CP35" s="666"/>
      <c r="CQ35" s="666"/>
      <c r="CR35" s="666"/>
      <c r="CS35" s="666"/>
      <c r="CT35" s="666"/>
      <c r="CU35" s="666"/>
      <c r="CV35" s="666"/>
      <c r="CW35" s="666"/>
      <c r="CX35" s="666"/>
      <c r="CY35" s="666"/>
      <c r="CZ35" s="666"/>
      <c r="DA35" s="666"/>
      <c r="DB35" s="666"/>
      <c r="DC35" s="666"/>
      <c r="DD35" s="666"/>
      <c r="DE35" s="666"/>
      <c r="DF35" s="666"/>
      <c r="DG35" s="666"/>
      <c r="DH35" s="666"/>
      <c r="DI35" s="666"/>
      <c r="DJ35" s="666"/>
      <c r="DK35" s="666"/>
      <c r="DL35" s="666"/>
      <c r="DM35" s="666"/>
      <c r="DN35" s="666"/>
      <c r="DO35" s="666"/>
      <c r="DP35" s="666"/>
      <c r="DQ35" s="666"/>
      <c r="DR35" s="666"/>
      <c r="DS35" s="666"/>
      <c r="DT35" s="666"/>
      <c r="DU35" s="666"/>
      <c r="DV35" s="666"/>
      <c r="DW35" s="666"/>
      <c r="DX35" s="666"/>
      <c r="DY35" s="666"/>
      <c r="DZ35" s="666"/>
      <c r="EA35" s="666"/>
      <c r="EB35" s="666"/>
      <c r="EC35" s="666"/>
      <c r="ED35" s="666"/>
      <c r="EE35" s="666"/>
      <c r="EF35" s="666"/>
      <c r="EG35" s="666"/>
      <c r="EH35" s="666"/>
      <c r="EI35" s="666"/>
      <c r="EJ35" s="666"/>
      <c r="EK35" s="666"/>
      <c r="EL35" s="666"/>
      <c r="EM35" s="666"/>
      <c r="EN35" s="666"/>
      <c r="EO35" s="666"/>
      <c r="EP35" s="666"/>
      <c r="EQ35" s="666"/>
      <c r="ER35" s="666"/>
      <c r="ES35" s="666"/>
      <c r="ET35" s="666"/>
      <c r="EU35" s="666"/>
      <c r="EV35" s="666"/>
      <c r="EW35" s="666"/>
      <c r="EX35" s="666"/>
      <c r="EY35" s="666"/>
      <c r="EZ35" s="666"/>
      <c r="FA35" s="666"/>
      <c r="FB35" s="666"/>
      <c r="FC35" s="666"/>
      <c r="FD35" s="666"/>
      <c r="FE35" s="666"/>
      <c r="FF35" s="666"/>
      <c r="FG35" s="666"/>
      <c r="FH35" s="666"/>
      <c r="FI35" s="666"/>
      <c r="FJ35" s="666"/>
      <c r="FK35" s="666"/>
      <c r="FL35" s="666"/>
      <c r="FM35" s="666"/>
      <c r="FN35" s="666"/>
      <c r="FO35" s="666"/>
      <c r="FP35" s="666"/>
      <c r="FQ35" s="666"/>
      <c r="FR35" s="666"/>
      <c r="FS35" s="666"/>
      <c r="FT35" s="666"/>
      <c r="FU35" s="666"/>
      <c r="FV35" s="666"/>
      <c r="FW35" s="666"/>
      <c r="FX35" s="666"/>
      <c r="FY35" s="666"/>
      <c r="FZ35" s="666"/>
      <c r="GA35" s="666"/>
      <c r="GB35" s="666"/>
      <c r="GC35" s="666"/>
      <c r="GD35" s="666"/>
      <c r="GE35" s="666"/>
      <c r="GF35" s="666"/>
      <c r="GG35" s="666"/>
      <c r="GH35" s="666"/>
      <c r="GI35" s="666"/>
      <c r="GJ35" s="666"/>
      <c r="GK35" s="666"/>
      <c r="GL35" s="666"/>
      <c r="GM35" s="666"/>
      <c r="GN35" s="666"/>
      <c r="GO35" s="666"/>
      <c r="GP35" s="666"/>
      <c r="GQ35" s="666"/>
      <c r="GR35" s="666"/>
      <c r="GS35" s="666"/>
      <c r="GT35" s="666"/>
      <c r="GU35" s="666"/>
      <c r="GV35" s="666"/>
      <c r="GW35" s="666"/>
      <c r="GX35" s="666"/>
      <c r="GY35" s="666"/>
      <c r="GZ35" s="666"/>
      <c r="HA35" s="666"/>
      <c r="HB35" s="666"/>
      <c r="HC35" s="666"/>
      <c r="HD35" s="666"/>
      <c r="HE35" s="666"/>
      <c r="HF35" s="666"/>
      <c r="HG35" s="666"/>
      <c r="HH35" s="666"/>
      <c r="HI35" s="666"/>
      <c r="HJ35" s="666"/>
      <c r="HK35" s="666"/>
      <c r="HL35" s="666"/>
      <c r="HM35" s="666"/>
      <c r="HN35" s="666"/>
      <c r="HO35" s="666"/>
      <c r="HP35" s="666"/>
      <c r="HQ35" s="666"/>
      <c r="HR35" s="666"/>
      <c r="HS35" s="666"/>
      <c r="HT35" s="666"/>
      <c r="HU35" s="666"/>
      <c r="HV35" s="666"/>
      <c r="HW35" s="666"/>
      <c r="HX35" s="666"/>
      <c r="HY35" s="666"/>
      <c r="HZ35" s="666"/>
      <c r="IA35" s="666"/>
      <c r="IB35" s="666"/>
      <c r="IC35" s="666"/>
      <c r="ID35" s="666"/>
      <c r="IE35" s="666"/>
      <c r="IF35" s="666"/>
      <c r="IG35" s="666"/>
      <c r="IH35" s="666"/>
      <c r="II35" s="666"/>
      <c r="IJ35" s="666"/>
      <c r="IK35" s="666"/>
      <c r="IL35" s="666"/>
      <c r="IM35" s="666"/>
      <c r="IN35" s="666"/>
      <c r="IO35" s="666"/>
      <c r="IP35" s="666"/>
      <c r="IQ35" s="666"/>
      <c r="IR35" s="666"/>
      <c r="IS35" s="666"/>
      <c r="IT35" s="666"/>
      <c r="IU35" s="666"/>
      <c r="IV35" s="666"/>
      <c r="IW35" s="666"/>
      <c r="IX35" s="666"/>
      <c r="IY35" s="666"/>
      <c r="IZ35" s="666"/>
      <c r="JA35" s="666"/>
      <c r="JB35" s="666"/>
      <c r="JC35" s="666"/>
      <c r="JD35" s="666"/>
      <c r="JE35" s="666"/>
      <c r="JF35" s="666"/>
      <c r="JG35" s="666"/>
      <c r="JH35" s="666"/>
      <c r="JI35" s="666"/>
      <c r="JJ35" s="666"/>
      <c r="JK35" s="666"/>
      <c r="JL35" s="666"/>
      <c r="JM35" s="666"/>
      <c r="JN35" s="666"/>
      <c r="JO35" s="666"/>
      <c r="JP35" s="666"/>
      <c r="JQ35" s="666"/>
      <c r="JR35" s="666"/>
      <c r="JS35" s="666"/>
      <c r="JT35" s="666"/>
      <c r="JU35" s="666"/>
      <c r="JV35" s="666"/>
      <c r="JW35" s="666"/>
      <c r="JX35" s="666"/>
      <c r="JY35" s="666"/>
      <c r="JZ35" s="666"/>
      <c r="KA35" s="666"/>
      <c r="KB35" s="666"/>
      <c r="KC35" s="666"/>
      <c r="KD35" s="666"/>
      <c r="KE35" s="666"/>
      <c r="KF35" s="666"/>
      <c r="KG35" s="666"/>
      <c r="KH35" s="666"/>
      <c r="KI35" s="666"/>
      <c r="KJ35" s="666"/>
      <c r="KK35" s="666"/>
      <c r="KL35" s="666"/>
      <c r="KM35" s="666"/>
      <c r="KN35" s="666"/>
      <c r="KO35" s="666"/>
      <c r="KP35" s="666"/>
      <c r="KQ35" s="666"/>
      <c r="KR35" s="666"/>
      <c r="KS35" s="666"/>
      <c r="KT35" s="666"/>
      <c r="KU35" s="666"/>
      <c r="KV35" s="666"/>
      <c r="KW35" s="666"/>
      <c r="KX35" s="666"/>
      <c r="KY35" s="666"/>
      <c r="KZ35" s="666"/>
      <c r="LA35" s="666"/>
      <c r="LB35" s="666"/>
      <c r="LC35" s="666"/>
      <c r="LD35" s="666"/>
      <c r="LE35" s="666"/>
      <c r="LF35" s="666"/>
      <c r="LG35" s="666"/>
      <c r="LH35" s="666"/>
      <c r="LI35" s="666"/>
      <c r="LJ35" s="666"/>
      <c r="LK35" s="666"/>
      <c r="LL35" s="666"/>
      <c r="LM35" s="666"/>
      <c r="LN35" s="666"/>
      <c r="LO35" s="666"/>
      <c r="LP35" s="666"/>
      <c r="LQ35" s="666"/>
      <c r="LR35" s="666"/>
      <c r="LS35" s="666"/>
      <c r="LT35" s="666"/>
      <c r="LU35" s="666"/>
      <c r="LV35" s="666"/>
      <c r="LW35" s="666"/>
      <c r="LX35" s="666"/>
      <c r="LY35" s="666"/>
      <c r="LZ35" s="666"/>
      <c r="MA35" s="666"/>
      <c r="MB35" s="666"/>
      <c r="MC35" s="666"/>
      <c r="MD35" s="666"/>
      <c r="ME35" s="666"/>
      <c r="MF35" s="666"/>
      <c r="MG35" s="666"/>
      <c r="MH35" s="666"/>
      <c r="MI35" s="666"/>
      <c r="MJ35" s="666"/>
      <c r="MK35" s="666"/>
      <c r="ML35" s="666"/>
      <c r="MM35" s="666"/>
      <c r="MN35" s="666"/>
      <c r="MO35" s="666"/>
      <c r="MP35" s="666"/>
      <c r="MQ35" s="666"/>
      <c r="MR35" s="666"/>
      <c r="MS35" s="666"/>
      <c r="MT35" s="666"/>
      <c r="MU35" s="666"/>
      <c r="MV35" s="666"/>
      <c r="MW35" s="666"/>
      <c r="MX35" s="666"/>
    </row>
    <row r="36" spans="1:362" s="163" customFormat="1" ht="3.75" customHeight="1">
      <c r="A36" s="57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583">
        <f t="shared" si="8"/>
        <v>0</v>
      </c>
      <c r="M36" s="13"/>
      <c r="N36" s="13"/>
      <c r="O36" s="515"/>
      <c r="P36" s="13"/>
      <c r="Q36" s="13"/>
      <c r="R36" s="13"/>
      <c r="S36" s="13"/>
      <c r="T36" s="519"/>
      <c r="U36" s="516"/>
      <c r="V36" s="517"/>
      <c r="W36" s="516"/>
      <c r="X36" s="517"/>
      <c r="Y36" s="516"/>
      <c r="Z36" s="517"/>
      <c r="AA36" s="516"/>
      <c r="AB36" s="517"/>
      <c r="AC36" s="516"/>
      <c r="AD36" s="518"/>
      <c r="AE36" s="520"/>
      <c r="AF36" s="521"/>
      <c r="AH36" s="516"/>
      <c r="AI36" s="518"/>
      <c r="AJ36" s="516"/>
      <c r="AK36" s="518"/>
      <c r="AL36" s="516"/>
      <c r="AM36" s="517"/>
      <c r="AN36" s="516"/>
      <c r="AO36" s="517"/>
      <c r="AP36" s="516"/>
      <c r="AQ36" s="517"/>
      <c r="AR36" s="520"/>
      <c r="AS36" s="521"/>
      <c r="AU36" s="538"/>
      <c r="AV36" s="538"/>
      <c r="AW36" s="538"/>
      <c r="AX36" s="538"/>
    </row>
    <row r="37" spans="1:362">
      <c r="A37" s="662" t="s">
        <v>1180</v>
      </c>
      <c r="B37" s="409">
        <v>770</v>
      </c>
      <c r="C37" s="409" t="s">
        <v>985</v>
      </c>
      <c r="D37" s="7"/>
      <c r="E37" s="7"/>
      <c r="F37" s="13"/>
      <c r="G37" s="13"/>
      <c r="H37" s="651" t="s">
        <v>650</v>
      </c>
      <c r="I37" s="409" t="s">
        <v>650</v>
      </c>
      <c r="J37" s="409" t="s">
        <v>650</v>
      </c>
      <c r="K37" s="13"/>
      <c r="L37" s="600" t="s">
        <v>1180</v>
      </c>
      <c r="M37" s="31"/>
      <c r="N37" s="7"/>
      <c r="O37" s="57"/>
      <c r="P37" s="7"/>
      <c r="Q37" s="31"/>
      <c r="R37" s="31"/>
      <c r="S37" s="31"/>
      <c r="T37" s="169"/>
      <c r="U37" s="437">
        <v>98163008</v>
      </c>
      <c r="V37" s="458">
        <v>20364.240000000002</v>
      </c>
      <c r="Y37" s="435">
        <v>98162088</v>
      </c>
      <c r="Z37" s="463">
        <v>450</v>
      </c>
      <c r="AD37" s="225"/>
      <c r="AE37" s="464">
        <v>98163008</v>
      </c>
      <c r="AF37" s="465">
        <f>Z37+X37+V37</f>
        <v>20814.240000000002</v>
      </c>
      <c r="AH37" s="439">
        <v>98163008</v>
      </c>
      <c r="AI37" s="440">
        <v>6457.3</v>
      </c>
      <c r="AK37" s="225"/>
      <c r="AN37" s="433">
        <v>98162116</v>
      </c>
      <c r="AO37" s="490">
        <v>2985.42</v>
      </c>
      <c r="AR37" s="464">
        <v>98163008</v>
      </c>
      <c r="AS37" s="465">
        <f>AI37+AO37</f>
        <v>9442.7200000000012</v>
      </c>
      <c r="AV37" s="225"/>
      <c r="AW37" s="309"/>
      <c r="AX37" s="230"/>
    </row>
    <row r="38" spans="1:362">
      <c r="A38" s="606" t="s">
        <v>1181</v>
      </c>
      <c r="B38" s="528">
        <v>769</v>
      </c>
      <c r="C38" s="528" t="s">
        <v>985</v>
      </c>
      <c r="D38" s="37"/>
      <c r="E38" s="37"/>
      <c r="F38" s="13"/>
      <c r="G38" s="13"/>
      <c r="H38" s="37"/>
      <c r="I38" s="528" t="s">
        <v>650</v>
      </c>
      <c r="J38" s="528" t="s">
        <v>650</v>
      </c>
      <c r="K38" s="13"/>
      <c r="L38" s="601" t="s">
        <v>1181</v>
      </c>
      <c r="M38" s="9"/>
      <c r="N38" s="50"/>
      <c r="O38" s="58"/>
      <c r="P38" s="9"/>
      <c r="Q38" s="9"/>
      <c r="R38" s="9"/>
      <c r="S38" s="9"/>
      <c r="T38" s="141"/>
      <c r="U38" s="437">
        <v>98163059</v>
      </c>
      <c r="V38" s="458">
        <v>20339.45</v>
      </c>
      <c r="Y38" s="435">
        <v>98162134</v>
      </c>
      <c r="Z38" s="463">
        <v>450</v>
      </c>
      <c r="AD38" s="225"/>
      <c r="AE38" s="464">
        <v>98163059</v>
      </c>
      <c r="AF38" s="465">
        <f>Z38+X38+V38</f>
        <v>20789.45</v>
      </c>
      <c r="AH38" s="439">
        <v>98163059</v>
      </c>
      <c r="AI38" s="440">
        <v>6891.89</v>
      </c>
      <c r="AK38" s="225"/>
      <c r="AN38" s="433">
        <v>98162162</v>
      </c>
      <c r="AO38" s="490">
        <v>3638.96</v>
      </c>
      <c r="AR38" s="464">
        <v>98163059</v>
      </c>
      <c r="AS38" s="465">
        <f>AI38+AO38</f>
        <v>10530.85</v>
      </c>
      <c r="AV38" s="225"/>
      <c r="AW38" s="309"/>
      <c r="AX38" s="230"/>
    </row>
    <row r="39" spans="1:362" s="163" customFormat="1" ht="3.75" customHeight="1">
      <c r="A39" s="57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583">
        <f t="shared" ref="L39:L42" si="11">A39</f>
        <v>0</v>
      </c>
      <c r="M39" s="13"/>
      <c r="N39" s="13"/>
      <c r="O39" s="515"/>
      <c r="P39" s="13"/>
      <c r="Q39" s="13"/>
      <c r="R39" s="13"/>
      <c r="S39" s="13"/>
      <c r="T39" s="519"/>
      <c r="U39" s="516"/>
      <c r="V39" s="517"/>
      <c r="W39" s="516"/>
      <c r="X39" s="517"/>
      <c r="Y39" s="516"/>
      <c r="Z39" s="517"/>
      <c r="AA39" s="516"/>
      <c r="AB39" s="517"/>
      <c r="AC39" s="516"/>
      <c r="AD39" s="518"/>
      <c r="AE39" s="520"/>
      <c r="AF39" s="521"/>
      <c r="AH39" s="516"/>
      <c r="AI39" s="518"/>
      <c r="AJ39" s="516"/>
      <c r="AK39" s="518"/>
      <c r="AL39" s="516"/>
      <c r="AM39" s="517"/>
      <c r="AN39" s="516"/>
      <c r="AO39" s="517"/>
      <c r="AP39" s="516"/>
      <c r="AQ39" s="517"/>
      <c r="AR39" s="520"/>
      <c r="AS39" s="521"/>
      <c r="AU39" s="516"/>
      <c r="AV39" s="518"/>
      <c r="AW39" s="520"/>
      <c r="AX39" s="521"/>
    </row>
    <row r="40" spans="1:362" s="158" customFormat="1">
      <c r="A40" s="662" t="s">
        <v>1182</v>
      </c>
      <c r="B40" s="409">
        <v>767</v>
      </c>
      <c r="C40" s="409" t="s">
        <v>647</v>
      </c>
      <c r="D40" s="409"/>
      <c r="E40" s="409" t="s">
        <v>650</v>
      </c>
      <c r="F40" s="651" t="s">
        <v>650</v>
      </c>
      <c r="G40" s="651"/>
      <c r="H40" s="632"/>
      <c r="I40" s="632"/>
      <c r="J40" s="632"/>
      <c r="K40" s="632"/>
      <c r="L40" s="663" t="str">
        <f t="shared" si="11"/>
        <v>L1209REEDS3609OR</v>
      </c>
      <c r="M40" s="409"/>
      <c r="N40" s="409"/>
      <c r="O40" s="556"/>
      <c r="P40" s="409"/>
      <c r="Q40" s="409"/>
      <c r="R40" s="409"/>
      <c r="S40" s="409"/>
      <c r="T40" s="557"/>
      <c r="U40" s="437">
        <v>98568141</v>
      </c>
      <c r="V40" s="458">
        <v>34268.129999999997</v>
      </c>
      <c r="W40" s="433"/>
      <c r="X40" s="490"/>
      <c r="Y40" s="435" t="s">
        <v>1149</v>
      </c>
      <c r="Z40" s="463"/>
      <c r="AA40" s="454">
        <v>98567267</v>
      </c>
      <c r="AB40" s="536">
        <v>102.41</v>
      </c>
      <c r="AC40" s="439"/>
      <c r="AD40" s="627"/>
      <c r="AE40" s="464">
        <f>U40</f>
        <v>98568141</v>
      </c>
      <c r="AF40" s="465">
        <f>V40+X40+Z40+AB40+AD40</f>
        <v>34370.54</v>
      </c>
      <c r="AG40" s="666"/>
      <c r="AH40" s="439">
        <v>98568141</v>
      </c>
      <c r="AI40" s="440">
        <v>10876.57</v>
      </c>
      <c r="AJ40" s="439"/>
      <c r="AK40" s="627"/>
      <c r="AL40" s="435"/>
      <c r="AM40" s="463"/>
      <c r="AN40" s="433">
        <v>98567234</v>
      </c>
      <c r="AO40" s="490">
        <v>2068.5</v>
      </c>
      <c r="AP40" s="433">
        <v>99009477</v>
      </c>
      <c r="AQ40" s="490">
        <v>-6.75</v>
      </c>
      <c r="AR40" s="464" t="s">
        <v>1183</v>
      </c>
      <c r="AS40" s="465">
        <f>AI40+AK40+AM40+AO40+AQ40</f>
        <v>12938.32</v>
      </c>
      <c r="AT40" s="666"/>
      <c r="AU40" s="439"/>
      <c r="AV40" s="492"/>
      <c r="AW40" s="671"/>
      <c r="AX40" s="672"/>
      <c r="AY40" s="666"/>
      <c r="AZ40" s="666"/>
      <c r="BA40" s="666"/>
      <c r="BB40" s="666"/>
      <c r="BC40" s="666"/>
      <c r="BD40" s="666"/>
      <c r="BE40" s="666"/>
      <c r="BF40" s="666"/>
      <c r="BG40" s="666"/>
      <c r="BH40" s="666"/>
      <c r="BI40" s="666"/>
      <c r="BJ40" s="666"/>
      <c r="BK40" s="666"/>
      <c r="BL40" s="666"/>
      <c r="BM40" s="666"/>
      <c r="BN40" s="666"/>
      <c r="BO40" s="666"/>
      <c r="BP40" s="666"/>
      <c r="BQ40" s="666"/>
      <c r="BR40" s="666"/>
      <c r="BS40" s="666"/>
      <c r="BT40" s="666"/>
      <c r="BU40" s="666"/>
      <c r="BV40" s="666"/>
      <c r="BW40" s="666"/>
      <c r="BX40" s="666"/>
      <c r="BY40" s="666"/>
      <c r="BZ40" s="666"/>
      <c r="CA40" s="666"/>
      <c r="CB40" s="666"/>
      <c r="CC40" s="666"/>
      <c r="CD40" s="666"/>
      <c r="CE40" s="666"/>
      <c r="CF40" s="666"/>
      <c r="CG40" s="666"/>
      <c r="CH40" s="666"/>
      <c r="CI40" s="666"/>
      <c r="CJ40" s="666"/>
      <c r="CK40" s="666"/>
      <c r="CL40" s="666"/>
      <c r="CM40" s="666"/>
      <c r="CN40" s="666"/>
      <c r="CO40" s="666"/>
      <c r="CP40" s="666"/>
      <c r="CQ40" s="666"/>
      <c r="CR40" s="666"/>
      <c r="CS40" s="666"/>
      <c r="CT40" s="666"/>
      <c r="CU40" s="666"/>
      <c r="CV40" s="666"/>
      <c r="CW40" s="666"/>
      <c r="CX40" s="666"/>
      <c r="CY40" s="666"/>
      <c r="CZ40" s="666"/>
      <c r="DA40" s="666"/>
      <c r="DB40" s="666"/>
      <c r="DC40" s="666"/>
      <c r="DD40" s="666"/>
      <c r="DE40" s="666"/>
      <c r="DF40" s="666"/>
      <c r="DG40" s="666"/>
      <c r="DH40" s="666"/>
      <c r="DI40" s="666"/>
      <c r="DJ40" s="666"/>
      <c r="DK40" s="666"/>
      <c r="DL40" s="666"/>
      <c r="DM40" s="666"/>
      <c r="DN40" s="666"/>
      <c r="DO40" s="666"/>
      <c r="DP40" s="666"/>
      <c r="DQ40" s="666"/>
      <c r="DR40" s="666"/>
      <c r="DS40" s="666"/>
      <c r="DT40" s="666"/>
      <c r="DU40" s="666"/>
      <c r="DV40" s="666"/>
      <c r="DW40" s="666"/>
      <c r="DX40" s="666"/>
      <c r="DY40" s="666"/>
      <c r="DZ40" s="666"/>
      <c r="EA40" s="666"/>
      <c r="EB40" s="666"/>
      <c r="EC40" s="666"/>
      <c r="ED40" s="666"/>
      <c r="EE40" s="666"/>
      <c r="EF40" s="666"/>
      <c r="EG40" s="666"/>
      <c r="EH40" s="666"/>
      <c r="EI40" s="666"/>
      <c r="EJ40" s="666"/>
      <c r="EK40" s="666"/>
      <c r="EL40" s="666"/>
      <c r="EM40" s="666"/>
      <c r="EN40" s="666"/>
      <c r="EO40" s="666"/>
      <c r="EP40" s="666"/>
      <c r="EQ40" s="666"/>
      <c r="ER40" s="666"/>
      <c r="ES40" s="666"/>
      <c r="ET40" s="666"/>
      <c r="EU40" s="666"/>
      <c r="EV40" s="666"/>
      <c r="EW40" s="666"/>
      <c r="EX40" s="666"/>
      <c r="EY40" s="666"/>
      <c r="EZ40" s="666"/>
      <c r="FA40" s="666"/>
      <c r="FB40" s="666"/>
      <c r="FC40" s="666"/>
      <c r="FD40" s="666"/>
      <c r="FE40" s="666"/>
      <c r="FF40" s="666"/>
      <c r="FG40" s="666"/>
      <c r="FH40" s="666"/>
      <c r="FI40" s="666"/>
      <c r="FJ40" s="666"/>
      <c r="FK40" s="666"/>
      <c r="FL40" s="666"/>
      <c r="FM40" s="666"/>
      <c r="FN40" s="666"/>
      <c r="FO40" s="666"/>
      <c r="FP40" s="666"/>
      <c r="FQ40" s="666"/>
      <c r="FR40" s="666"/>
      <c r="FS40" s="666"/>
      <c r="FT40" s="666"/>
      <c r="FU40" s="666"/>
      <c r="FV40" s="666"/>
      <c r="FW40" s="666"/>
      <c r="FX40" s="666"/>
      <c r="FY40" s="666"/>
      <c r="FZ40" s="666"/>
      <c r="GA40" s="666"/>
      <c r="GB40" s="666"/>
      <c r="GC40" s="666"/>
      <c r="GD40" s="666"/>
      <c r="GE40" s="666"/>
      <c r="GF40" s="666"/>
      <c r="GG40" s="666"/>
      <c r="GH40" s="666"/>
      <c r="GI40" s="666"/>
      <c r="GJ40" s="666"/>
      <c r="GK40" s="666"/>
      <c r="GL40" s="666"/>
      <c r="GM40" s="666"/>
      <c r="GN40" s="666"/>
      <c r="GO40" s="666"/>
      <c r="GP40" s="666"/>
      <c r="GQ40" s="666"/>
      <c r="GR40" s="666"/>
      <c r="GS40" s="666"/>
      <c r="GT40" s="666"/>
      <c r="GU40" s="666"/>
      <c r="GV40" s="666"/>
      <c r="GW40" s="666"/>
      <c r="GX40" s="666"/>
      <c r="GY40" s="666"/>
      <c r="GZ40" s="666"/>
      <c r="HA40" s="666"/>
      <c r="HB40" s="666"/>
      <c r="HC40" s="666"/>
      <c r="HD40" s="666"/>
      <c r="HE40" s="666"/>
      <c r="HF40" s="666"/>
      <c r="HG40" s="666"/>
      <c r="HH40" s="666"/>
      <c r="HI40" s="666"/>
      <c r="HJ40" s="666"/>
      <c r="HK40" s="666"/>
      <c r="HL40" s="666"/>
      <c r="HM40" s="666"/>
      <c r="HN40" s="666"/>
      <c r="HO40" s="666"/>
      <c r="HP40" s="666"/>
      <c r="HQ40" s="666"/>
      <c r="HR40" s="666"/>
      <c r="HS40" s="666"/>
      <c r="HT40" s="666"/>
      <c r="HU40" s="666"/>
      <c r="HV40" s="666"/>
      <c r="HW40" s="666"/>
      <c r="HX40" s="666"/>
      <c r="HY40" s="666"/>
      <c r="HZ40" s="666"/>
      <c r="IA40" s="666"/>
      <c r="IB40" s="666"/>
      <c r="IC40" s="666"/>
      <c r="ID40" s="666"/>
      <c r="IE40" s="666"/>
      <c r="IF40" s="666"/>
      <c r="IG40" s="666"/>
      <c r="IH40" s="666"/>
      <c r="II40" s="666"/>
      <c r="IJ40" s="666"/>
      <c r="IK40" s="666"/>
      <c r="IL40" s="666"/>
      <c r="IM40" s="666"/>
      <c r="IN40" s="666"/>
      <c r="IO40" s="666"/>
      <c r="IP40" s="666"/>
      <c r="IQ40" s="666"/>
      <c r="IR40" s="666"/>
      <c r="IS40" s="666"/>
      <c r="IT40" s="666"/>
      <c r="IU40" s="666"/>
      <c r="IV40" s="666"/>
      <c r="IW40" s="666"/>
      <c r="IX40" s="666"/>
      <c r="IY40" s="666"/>
      <c r="IZ40" s="666"/>
      <c r="JA40" s="666"/>
      <c r="JB40" s="666"/>
      <c r="JC40" s="666"/>
      <c r="JD40" s="666"/>
      <c r="JE40" s="666"/>
      <c r="JF40" s="666"/>
      <c r="JG40" s="666"/>
      <c r="JH40" s="666"/>
      <c r="JI40" s="666"/>
      <c r="JJ40" s="666"/>
      <c r="JK40" s="666"/>
      <c r="JL40" s="666"/>
      <c r="JM40" s="666"/>
      <c r="JN40" s="666"/>
      <c r="JO40" s="666"/>
      <c r="JP40" s="666"/>
      <c r="JQ40" s="666"/>
      <c r="JR40" s="666"/>
      <c r="JS40" s="666"/>
      <c r="JT40" s="666"/>
      <c r="JU40" s="666"/>
      <c r="JV40" s="666"/>
      <c r="JW40" s="666"/>
      <c r="JX40" s="666"/>
      <c r="JY40" s="666"/>
      <c r="JZ40" s="666"/>
      <c r="KA40" s="666"/>
      <c r="KB40" s="666"/>
      <c r="KC40" s="666"/>
      <c r="KD40" s="666"/>
      <c r="KE40" s="666"/>
      <c r="KF40" s="666"/>
      <c r="KG40" s="666"/>
      <c r="KH40" s="666"/>
      <c r="KI40" s="666"/>
      <c r="KJ40" s="666"/>
      <c r="KK40" s="666"/>
      <c r="KL40" s="666"/>
      <c r="KM40" s="666"/>
      <c r="KN40" s="666"/>
      <c r="KO40" s="666"/>
      <c r="KP40" s="666"/>
      <c r="KQ40" s="666"/>
      <c r="KR40" s="666"/>
      <c r="KS40" s="666"/>
      <c r="KT40" s="666"/>
      <c r="KU40" s="666"/>
      <c r="KV40" s="666"/>
      <c r="KW40" s="666"/>
      <c r="KX40" s="666"/>
      <c r="KY40" s="666"/>
      <c r="KZ40" s="666"/>
      <c r="LA40" s="666"/>
      <c r="LB40" s="666"/>
      <c r="LC40" s="666"/>
      <c r="LD40" s="666"/>
      <c r="LE40" s="666"/>
      <c r="LF40" s="666"/>
      <c r="LG40" s="666"/>
      <c r="LH40" s="666"/>
      <c r="LI40" s="666"/>
      <c r="LJ40" s="666"/>
      <c r="LK40" s="666"/>
      <c r="LL40" s="666"/>
      <c r="LM40" s="666"/>
      <c r="LN40" s="666"/>
      <c r="LO40" s="666"/>
      <c r="LP40" s="666"/>
      <c r="LQ40" s="666"/>
      <c r="LR40" s="666"/>
      <c r="LS40" s="666"/>
      <c r="LT40" s="666"/>
      <c r="LU40" s="666"/>
      <c r="LV40" s="666"/>
      <c r="LW40" s="666"/>
      <c r="LX40" s="666"/>
      <c r="LY40" s="666"/>
      <c r="LZ40" s="666"/>
      <c r="MA40" s="666"/>
      <c r="MB40" s="666"/>
      <c r="MC40" s="666"/>
      <c r="MD40" s="666"/>
      <c r="ME40" s="666"/>
      <c r="MF40" s="666"/>
      <c r="MG40" s="666"/>
      <c r="MH40" s="666"/>
      <c r="MI40" s="666"/>
      <c r="MJ40" s="666"/>
      <c r="MK40" s="666"/>
      <c r="ML40" s="666"/>
      <c r="MM40" s="666"/>
      <c r="MN40" s="666"/>
      <c r="MO40" s="666"/>
      <c r="MP40" s="666"/>
      <c r="MQ40" s="666"/>
      <c r="MR40" s="666"/>
      <c r="MS40" s="666"/>
      <c r="MT40" s="666"/>
      <c r="MU40" s="666"/>
      <c r="MV40" s="666"/>
      <c r="MW40" s="666"/>
      <c r="MX40" s="666"/>
    </row>
    <row r="41" spans="1:362" s="158" customFormat="1">
      <c r="A41" s="606" t="s">
        <v>1184</v>
      </c>
      <c r="B41" s="527">
        <v>768</v>
      </c>
      <c r="C41" s="410" t="s">
        <v>647</v>
      </c>
      <c r="D41" s="528"/>
      <c r="E41" s="528" t="s">
        <v>650</v>
      </c>
      <c r="F41" s="528" t="s">
        <v>650</v>
      </c>
      <c r="G41" s="528"/>
      <c r="H41" s="632"/>
      <c r="I41" s="632"/>
      <c r="J41" s="632"/>
      <c r="K41" s="632"/>
      <c r="L41" s="674" t="str">
        <f t="shared" si="11"/>
        <v>L1210REEDS3601OR</v>
      </c>
      <c r="M41" s="527"/>
      <c r="N41" s="527"/>
      <c r="O41" s="668"/>
      <c r="P41" s="410"/>
      <c r="Q41" s="410"/>
      <c r="R41" s="410"/>
      <c r="S41" s="410"/>
      <c r="T41" s="656"/>
      <c r="U41" s="437">
        <v>98568157</v>
      </c>
      <c r="V41" s="458">
        <v>36901.22</v>
      </c>
      <c r="W41" s="433"/>
      <c r="X41" s="490"/>
      <c r="Y41" s="435" t="s">
        <v>1149</v>
      </c>
      <c r="Z41" s="463"/>
      <c r="AA41" s="454">
        <v>98567318</v>
      </c>
      <c r="AB41" s="536">
        <v>102.41</v>
      </c>
      <c r="AC41" s="439"/>
      <c r="AD41" s="627"/>
      <c r="AE41" s="464">
        <f>U41</f>
        <v>98568157</v>
      </c>
      <c r="AF41" s="465">
        <f>V41+X41+Z41+AB41+AD41</f>
        <v>37003.630000000005</v>
      </c>
      <c r="AG41" s="666"/>
      <c r="AH41" s="439">
        <v>98568157</v>
      </c>
      <c r="AI41" s="440">
        <v>10859.29</v>
      </c>
      <c r="AJ41" s="439"/>
      <c r="AK41" s="627"/>
      <c r="AL41" s="435"/>
      <c r="AM41" s="463"/>
      <c r="AN41" s="433">
        <v>98567288</v>
      </c>
      <c r="AO41" s="490">
        <v>1414.13</v>
      </c>
      <c r="AP41" s="433">
        <v>99009513</v>
      </c>
      <c r="AQ41" s="490">
        <v>-6.75</v>
      </c>
      <c r="AR41" s="464" t="s">
        <v>1185</v>
      </c>
      <c r="AS41" s="465">
        <f>AI41+AK41+AM41+AO41+AQ41</f>
        <v>12266.670000000002</v>
      </c>
      <c r="AT41" s="666"/>
      <c r="AU41" s="439"/>
      <c r="AV41" s="534"/>
      <c r="AW41" s="671"/>
      <c r="AX41" s="672"/>
      <c r="AY41" s="666"/>
      <c r="AZ41" s="666"/>
      <c r="BA41" s="666"/>
      <c r="BB41" s="666"/>
      <c r="BC41" s="666"/>
      <c r="BD41" s="666"/>
      <c r="BE41" s="666"/>
      <c r="BF41" s="666"/>
      <c r="BG41" s="666"/>
      <c r="BH41" s="666"/>
      <c r="BI41" s="666"/>
      <c r="BJ41" s="666"/>
      <c r="BK41" s="666"/>
      <c r="BL41" s="666"/>
      <c r="BM41" s="666"/>
      <c r="BN41" s="666"/>
      <c r="BO41" s="666"/>
      <c r="BP41" s="666"/>
      <c r="BQ41" s="666"/>
      <c r="BR41" s="666"/>
      <c r="BS41" s="666"/>
      <c r="BT41" s="666"/>
      <c r="BU41" s="666"/>
      <c r="BV41" s="666"/>
      <c r="BW41" s="666"/>
      <c r="BX41" s="666"/>
      <c r="BY41" s="666"/>
      <c r="BZ41" s="666"/>
      <c r="CA41" s="666"/>
      <c r="CB41" s="666"/>
      <c r="CC41" s="666"/>
      <c r="CD41" s="666"/>
      <c r="CE41" s="666"/>
      <c r="CF41" s="666"/>
      <c r="CG41" s="666"/>
      <c r="CH41" s="666"/>
      <c r="CI41" s="666"/>
      <c r="CJ41" s="666"/>
      <c r="CK41" s="666"/>
      <c r="CL41" s="666"/>
      <c r="CM41" s="666"/>
      <c r="CN41" s="666"/>
      <c r="CO41" s="666"/>
      <c r="CP41" s="666"/>
      <c r="CQ41" s="666"/>
      <c r="CR41" s="666"/>
      <c r="CS41" s="666"/>
      <c r="CT41" s="666"/>
      <c r="CU41" s="666"/>
      <c r="CV41" s="666"/>
      <c r="CW41" s="666"/>
      <c r="CX41" s="666"/>
      <c r="CY41" s="666"/>
      <c r="CZ41" s="666"/>
      <c r="DA41" s="666"/>
      <c r="DB41" s="666"/>
      <c r="DC41" s="666"/>
      <c r="DD41" s="666"/>
      <c r="DE41" s="666"/>
      <c r="DF41" s="666"/>
      <c r="DG41" s="666"/>
      <c r="DH41" s="666"/>
      <c r="DI41" s="666"/>
      <c r="DJ41" s="666"/>
      <c r="DK41" s="666"/>
      <c r="DL41" s="666"/>
      <c r="DM41" s="666"/>
      <c r="DN41" s="666"/>
      <c r="DO41" s="666"/>
      <c r="DP41" s="666"/>
      <c r="DQ41" s="666"/>
      <c r="DR41" s="666"/>
      <c r="DS41" s="666"/>
      <c r="DT41" s="666"/>
      <c r="DU41" s="666"/>
      <c r="DV41" s="666"/>
      <c r="DW41" s="666"/>
      <c r="DX41" s="666"/>
      <c r="DY41" s="666"/>
      <c r="DZ41" s="666"/>
      <c r="EA41" s="666"/>
      <c r="EB41" s="666"/>
      <c r="EC41" s="666"/>
      <c r="ED41" s="666"/>
      <c r="EE41" s="666"/>
      <c r="EF41" s="666"/>
      <c r="EG41" s="666"/>
      <c r="EH41" s="666"/>
      <c r="EI41" s="666"/>
      <c r="EJ41" s="666"/>
      <c r="EK41" s="666"/>
      <c r="EL41" s="666"/>
      <c r="EM41" s="666"/>
      <c r="EN41" s="666"/>
      <c r="EO41" s="666"/>
      <c r="EP41" s="666"/>
      <c r="EQ41" s="666"/>
      <c r="ER41" s="666"/>
      <c r="ES41" s="666"/>
      <c r="ET41" s="666"/>
      <c r="EU41" s="666"/>
      <c r="EV41" s="666"/>
      <c r="EW41" s="666"/>
      <c r="EX41" s="666"/>
      <c r="EY41" s="666"/>
      <c r="EZ41" s="666"/>
      <c r="FA41" s="666"/>
      <c r="FB41" s="666"/>
      <c r="FC41" s="666"/>
      <c r="FD41" s="666"/>
      <c r="FE41" s="666"/>
      <c r="FF41" s="666"/>
      <c r="FG41" s="666"/>
      <c r="FH41" s="666"/>
      <c r="FI41" s="666"/>
      <c r="FJ41" s="666"/>
      <c r="FK41" s="666"/>
      <c r="FL41" s="666"/>
      <c r="FM41" s="666"/>
      <c r="FN41" s="666"/>
      <c r="FO41" s="666"/>
      <c r="FP41" s="666"/>
      <c r="FQ41" s="666"/>
      <c r="FR41" s="666"/>
      <c r="FS41" s="666"/>
      <c r="FT41" s="666"/>
      <c r="FU41" s="666"/>
      <c r="FV41" s="666"/>
      <c r="FW41" s="666"/>
      <c r="FX41" s="666"/>
      <c r="FY41" s="666"/>
      <c r="FZ41" s="666"/>
      <c r="GA41" s="666"/>
      <c r="GB41" s="666"/>
      <c r="GC41" s="666"/>
      <c r="GD41" s="666"/>
      <c r="GE41" s="666"/>
      <c r="GF41" s="666"/>
      <c r="GG41" s="666"/>
      <c r="GH41" s="666"/>
      <c r="GI41" s="666"/>
      <c r="GJ41" s="666"/>
      <c r="GK41" s="666"/>
      <c r="GL41" s="666"/>
      <c r="GM41" s="666"/>
      <c r="GN41" s="666"/>
      <c r="GO41" s="666"/>
      <c r="GP41" s="666"/>
      <c r="GQ41" s="666"/>
      <c r="GR41" s="666"/>
      <c r="GS41" s="666"/>
      <c r="GT41" s="666"/>
      <c r="GU41" s="666"/>
      <c r="GV41" s="666"/>
      <c r="GW41" s="666"/>
      <c r="GX41" s="666"/>
      <c r="GY41" s="666"/>
      <c r="GZ41" s="666"/>
      <c r="HA41" s="666"/>
      <c r="HB41" s="666"/>
      <c r="HC41" s="666"/>
      <c r="HD41" s="666"/>
      <c r="HE41" s="666"/>
      <c r="HF41" s="666"/>
      <c r="HG41" s="666"/>
      <c r="HH41" s="666"/>
      <c r="HI41" s="666"/>
      <c r="HJ41" s="666"/>
      <c r="HK41" s="666"/>
      <c r="HL41" s="666"/>
      <c r="HM41" s="666"/>
      <c r="HN41" s="666"/>
      <c r="HO41" s="666"/>
      <c r="HP41" s="666"/>
      <c r="HQ41" s="666"/>
      <c r="HR41" s="666"/>
      <c r="HS41" s="666"/>
      <c r="HT41" s="666"/>
      <c r="HU41" s="666"/>
      <c r="HV41" s="666"/>
      <c r="HW41" s="666"/>
      <c r="HX41" s="666"/>
      <c r="HY41" s="666"/>
      <c r="HZ41" s="666"/>
      <c r="IA41" s="666"/>
      <c r="IB41" s="666"/>
      <c r="IC41" s="666"/>
      <c r="ID41" s="666"/>
      <c r="IE41" s="666"/>
      <c r="IF41" s="666"/>
      <c r="IG41" s="666"/>
      <c r="IH41" s="666"/>
      <c r="II41" s="666"/>
      <c r="IJ41" s="666"/>
      <c r="IK41" s="666"/>
      <c r="IL41" s="666"/>
      <c r="IM41" s="666"/>
      <c r="IN41" s="666"/>
      <c r="IO41" s="666"/>
      <c r="IP41" s="666"/>
      <c r="IQ41" s="666"/>
      <c r="IR41" s="666"/>
      <c r="IS41" s="666"/>
      <c r="IT41" s="666"/>
      <c r="IU41" s="666"/>
      <c r="IV41" s="666"/>
      <c r="IW41" s="666"/>
      <c r="IX41" s="666"/>
      <c r="IY41" s="666"/>
      <c r="IZ41" s="666"/>
      <c r="JA41" s="666"/>
      <c r="JB41" s="666"/>
      <c r="JC41" s="666"/>
      <c r="JD41" s="666"/>
      <c r="JE41" s="666"/>
      <c r="JF41" s="666"/>
      <c r="JG41" s="666"/>
      <c r="JH41" s="666"/>
      <c r="JI41" s="666"/>
      <c r="JJ41" s="666"/>
      <c r="JK41" s="666"/>
      <c r="JL41" s="666"/>
      <c r="JM41" s="666"/>
      <c r="JN41" s="666"/>
      <c r="JO41" s="666"/>
      <c r="JP41" s="666"/>
      <c r="JQ41" s="666"/>
      <c r="JR41" s="666"/>
      <c r="JS41" s="666"/>
      <c r="JT41" s="666"/>
      <c r="JU41" s="666"/>
      <c r="JV41" s="666"/>
      <c r="JW41" s="666"/>
      <c r="JX41" s="666"/>
      <c r="JY41" s="666"/>
      <c r="JZ41" s="666"/>
      <c r="KA41" s="666"/>
      <c r="KB41" s="666"/>
      <c r="KC41" s="666"/>
      <c r="KD41" s="666"/>
      <c r="KE41" s="666"/>
      <c r="KF41" s="666"/>
      <c r="KG41" s="666"/>
      <c r="KH41" s="666"/>
      <c r="KI41" s="666"/>
      <c r="KJ41" s="666"/>
      <c r="KK41" s="666"/>
      <c r="KL41" s="666"/>
      <c r="KM41" s="666"/>
      <c r="KN41" s="666"/>
      <c r="KO41" s="666"/>
      <c r="KP41" s="666"/>
      <c r="KQ41" s="666"/>
      <c r="KR41" s="666"/>
      <c r="KS41" s="666"/>
      <c r="KT41" s="666"/>
      <c r="KU41" s="666"/>
      <c r="KV41" s="666"/>
      <c r="KW41" s="666"/>
      <c r="KX41" s="666"/>
      <c r="KY41" s="666"/>
      <c r="KZ41" s="666"/>
      <c r="LA41" s="666"/>
      <c r="LB41" s="666"/>
      <c r="LC41" s="666"/>
      <c r="LD41" s="666"/>
      <c r="LE41" s="666"/>
      <c r="LF41" s="666"/>
      <c r="LG41" s="666"/>
      <c r="LH41" s="666"/>
      <c r="LI41" s="666"/>
      <c r="LJ41" s="666"/>
      <c r="LK41" s="666"/>
      <c r="LL41" s="666"/>
      <c r="LM41" s="666"/>
      <c r="LN41" s="666"/>
      <c r="LO41" s="666"/>
      <c r="LP41" s="666"/>
      <c r="LQ41" s="666"/>
      <c r="LR41" s="666"/>
      <c r="LS41" s="666"/>
      <c r="LT41" s="666"/>
      <c r="LU41" s="666"/>
      <c r="LV41" s="666"/>
      <c r="LW41" s="666"/>
      <c r="LX41" s="666"/>
      <c r="LY41" s="666"/>
      <c r="LZ41" s="666"/>
      <c r="MA41" s="666"/>
      <c r="MB41" s="666"/>
      <c r="MC41" s="666"/>
      <c r="MD41" s="666"/>
      <c r="ME41" s="666"/>
      <c r="MF41" s="666"/>
      <c r="MG41" s="666"/>
      <c r="MH41" s="666"/>
      <c r="MI41" s="666"/>
      <c r="MJ41" s="666"/>
      <c r="MK41" s="666"/>
      <c r="ML41" s="666"/>
      <c r="MM41" s="666"/>
      <c r="MN41" s="666"/>
      <c r="MO41" s="666"/>
      <c r="MP41" s="666"/>
      <c r="MQ41" s="666"/>
      <c r="MR41" s="666"/>
      <c r="MS41" s="666"/>
      <c r="MT41" s="666"/>
      <c r="MU41" s="666"/>
      <c r="MV41" s="666"/>
      <c r="MW41" s="666"/>
      <c r="MX41" s="666"/>
    </row>
    <row r="42" spans="1:362" s="163" customFormat="1" ht="3.75" customHeight="1">
      <c r="A42" s="57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583">
        <f t="shared" si="11"/>
        <v>0</v>
      </c>
      <c r="M42" s="13"/>
      <c r="N42" s="13"/>
      <c r="O42" s="515"/>
      <c r="P42" s="13"/>
      <c r="Q42" s="13"/>
      <c r="R42" s="13"/>
      <c r="S42" s="13"/>
      <c r="T42" s="519"/>
      <c r="U42" s="516"/>
      <c r="V42" s="517"/>
      <c r="W42" s="516"/>
      <c r="X42" s="517"/>
      <c r="Y42" s="516"/>
      <c r="Z42" s="517"/>
      <c r="AA42" s="516"/>
      <c r="AB42" s="517"/>
      <c r="AC42" s="516"/>
      <c r="AD42" s="518"/>
      <c r="AE42" s="520"/>
      <c r="AF42" s="521"/>
      <c r="AH42" s="516"/>
      <c r="AI42" s="518"/>
      <c r="AJ42" s="516"/>
      <c r="AK42" s="518"/>
      <c r="AL42" s="516"/>
      <c r="AM42" s="517"/>
      <c r="AN42" s="516"/>
      <c r="AO42" s="517"/>
      <c r="AP42" s="516"/>
      <c r="AQ42" s="517"/>
      <c r="AR42" s="520"/>
      <c r="AS42" s="521"/>
      <c r="AU42" s="538"/>
      <c r="AV42" s="538"/>
      <c r="AW42" s="538"/>
      <c r="AX42" s="538"/>
    </row>
    <row r="43" spans="1:362" s="158" customFormat="1">
      <c r="A43" s="605" t="s">
        <v>1186</v>
      </c>
      <c r="B43" s="409">
        <v>767</v>
      </c>
      <c r="C43" s="409" t="s">
        <v>647</v>
      </c>
      <c r="D43" s="409" t="s">
        <v>650</v>
      </c>
      <c r="E43" s="651" t="s">
        <v>650</v>
      </c>
      <c r="F43" s="651" t="s">
        <v>650</v>
      </c>
      <c r="G43" s="651"/>
      <c r="H43" s="632"/>
      <c r="I43" s="632"/>
      <c r="J43" s="632"/>
      <c r="K43" s="632"/>
      <c r="L43" s="663" t="s">
        <v>1186</v>
      </c>
      <c r="M43" s="527"/>
      <c r="N43" s="528"/>
      <c r="O43" s="668"/>
      <c r="P43" s="410"/>
      <c r="Q43" s="669"/>
      <c r="R43" s="669"/>
      <c r="S43" s="669"/>
      <c r="T43" s="670"/>
      <c r="U43" s="437">
        <v>97994581</v>
      </c>
      <c r="V43" s="458">
        <v>38024.550000000003</v>
      </c>
      <c r="W43" s="433"/>
      <c r="X43" s="490"/>
      <c r="Y43" s="435"/>
      <c r="Z43" s="463"/>
      <c r="AA43" s="454">
        <v>97993712</v>
      </c>
      <c r="AB43" s="536">
        <v>102.41</v>
      </c>
      <c r="AC43" s="488"/>
      <c r="AD43" s="440"/>
      <c r="AE43" s="464">
        <v>97994581</v>
      </c>
      <c r="AF43" s="465">
        <f>AB43+X43+V43+AB48</f>
        <v>38126.960000000006</v>
      </c>
      <c r="AG43" s="666"/>
      <c r="AH43" s="488">
        <v>97993666</v>
      </c>
      <c r="AI43" s="440">
        <v>10884.99</v>
      </c>
      <c r="AJ43" s="488"/>
      <c r="AK43" s="440"/>
      <c r="AL43" s="435"/>
      <c r="AM43" s="463"/>
      <c r="AN43" s="433">
        <v>97993666</v>
      </c>
      <c r="AO43" s="490">
        <v>4198.6899999999996</v>
      </c>
      <c r="AP43" s="433"/>
      <c r="AQ43" s="490"/>
      <c r="AR43" s="464">
        <v>97993666</v>
      </c>
      <c r="AS43" s="465">
        <f>AI43+AK43+AO43</f>
        <v>15083.68</v>
      </c>
      <c r="AT43" s="666"/>
      <c r="AU43" s="488"/>
      <c r="AV43" s="440"/>
      <c r="AW43" s="464"/>
      <c r="AX43" s="465"/>
      <c r="AY43" s="666"/>
      <c r="AZ43" s="666"/>
      <c r="BA43" s="666"/>
      <c r="BB43" s="666"/>
      <c r="BC43" s="666"/>
      <c r="BD43" s="666"/>
      <c r="BE43" s="666"/>
      <c r="BF43" s="666"/>
      <c r="BG43" s="666"/>
      <c r="BH43" s="666"/>
      <c r="BI43" s="666"/>
      <c r="BJ43" s="666"/>
      <c r="BK43" s="666"/>
      <c r="BL43" s="666"/>
      <c r="BM43" s="666"/>
      <c r="BN43" s="666"/>
      <c r="BO43" s="666"/>
      <c r="BP43" s="666"/>
      <c r="BQ43" s="666"/>
      <c r="BR43" s="666"/>
      <c r="BS43" s="666"/>
      <c r="BT43" s="666"/>
      <c r="BU43" s="666"/>
      <c r="BV43" s="666"/>
      <c r="BW43" s="666"/>
      <c r="BX43" s="666"/>
      <c r="BY43" s="666"/>
      <c r="BZ43" s="666"/>
      <c r="CA43" s="666"/>
      <c r="CB43" s="666"/>
      <c r="CC43" s="666"/>
      <c r="CD43" s="666"/>
      <c r="CE43" s="666"/>
      <c r="CF43" s="666"/>
      <c r="CG43" s="666"/>
      <c r="CH43" s="666"/>
      <c r="CI43" s="666"/>
      <c r="CJ43" s="666"/>
      <c r="CK43" s="666"/>
      <c r="CL43" s="666"/>
      <c r="CM43" s="666"/>
      <c r="CN43" s="666"/>
      <c r="CO43" s="666"/>
      <c r="CP43" s="666"/>
      <c r="CQ43" s="666"/>
      <c r="CR43" s="666"/>
      <c r="CS43" s="666"/>
      <c r="CT43" s="666"/>
      <c r="CU43" s="666"/>
      <c r="CV43" s="666"/>
      <c r="CW43" s="666"/>
      <c r="CX43" s="666"/>
      <c r="CY43" s="666"/>
      <c r="CZ43" s="666"/>
      <c r="DA43" s="666"/>
      <c r="DB43" s="666"/>
      <c r="DC43" s="666"/>
      <c r="DD43" s="666"/>
      <c r="DE43" s="666"/>
      <c r="DF43" s="666"/>
      <c r="DG43" s="666"/>
      <c r="DH43" s="666"/>
      <c r="DI43" s="666"/>
      <c r="DJ43" s="666"/>
      <c r="DK43" s="666"/>
      <c r="DL43" s="666"/>
      <c r="DM43" s="666"/>
      <c r="DN43" s="666"/>
      <c r="DO43" s="666"/>
      <c r="DP43" s="666"/>
      <c r="DQ43" s="666"/>
      <c r="DR43" s="666"/>
      <c r="DS43" s="666"/>
      <c r="DT43" s="666"/>
      <c r="DU43" s="666"/>
      <c r="DV43" s="666"/>
      <c r="DW43" s="666"/>
      <c r="DX43" s="666"/>
      <c r="DY43" s="666"/>
      <c r="DZ43" s="666"/>
      <c r="EA43" s="666"/>
      <c r="EB43" s="666"/>
      <c r="EC43" s="666"/>
      <c r="ED43" s="666"/>
      <c r="EE43" s="666"/>
      <c r="EF43" s="666"/>
      <c r="EG43" s="666"/>
      <c r="EH43" s="666"/>
      <c r="EI43" s="666"/>
      <c r="EJ43" s="666"/>
      <c r="EK43" s="666"/>
      <c r="EL43" s="666"/>
      <c r="EM43" s="666"/>
      <c r="EN43" s="666"/>
      <c r="EO43" s="666"/>
      <c r="EP43" s="666"/>
      <c r="EQ43" s="666"/>
      <c r="ER43" s="666"/>
      <c r="ES43" s="666"/>
      <c r="ET43" s="666"/>
      <c r="EU43" s="666"/>
      <c r="EV43" s="666"/>
      <c r="EW43" s="666"/>
      <c r="EX43" s="666"/>
      <c r="EY43" s="666"/>
      <c r="EZ43" s="666"/>
      <c r="FA43" s="666"/>
      <c r="FB43" s="666"/>
      <c r="FC43" s="666"/>
      <c r="FD43" s="666"/>
      <c r="FE43" s="666"/>
      <c r="FF43" s="666"/>
      <c r="FG43" s="666"/>
      <c r="FH43" s="666"/>
      <c r="FI43" s="666"/>
      <c r="FJ43" s="666"/>
      <c r="FK43" s="666"/>
      <c r="FL43" s="666"/>
      <c r="FM43" s="666"/>
      <c r="FN43" s="666"/>
      <c r="FO43" s="666"/>
      <c r="FP43" s="666"/>
      <c r="FQ43" s="666"/>
      <c r="FR43" s="666"/>
      <c r="FS43" s="666"/>
      <c r="FT43" s="666"/>
      <c r="FU43" s="666"/>
      <c r="FV43" s="666"/>
      <c r="FW43" s="666"/>
      <c r="FX43" s="666"/>
      <c r="FY43" s="666"/>
      <c r="FZ43" s="666"/>
      <c r="GA43" s="666"/>
      <c r="GB43" s="666"/>
      <c r="GC43" s="666"/>
      <c r="GD43" s="666"/>
      <c r="GE43" s="666"/>
      <c r="GF43" s="666"/>
      <c r="GG43" s="666"/>
      <c r="GH43" s="666"/>
      <c r="GI43" s="666"/>
      <c r="GJ43" s="666"/>
      <c r="GK43" s="666"/>
      <c r="GL43" s="666"/>
      <c r="GM43" s="666"/>
      <c r="GN43" s="666"/>
      <c r="GO43" s="666"/>
      <c r="GP43" s="666"/>
      <c r="GQ43" s="666"/>
      <c r="GR43" s="666"/>
      <c r="GS43" s="666"/>
      <c r="GT43" s="666"/>
      <c r="GU43" s="666"/>
      <c r="GV43" s="666"/>
      <c r="GW43" s="666"/>
      <c r="GX43" s="666"/>
      <c r="GY43" s="666"/>
      <c r="GZ43" s="666"/>
      <c r="HA43" s="666"/>
      <c r="HB43" s="666"/>
      <c r="HC43" s="666"/>
      <c r="HD43" s="666"/>
      <c r="HE43" s="666"/>
      <c r="HF43" s="666"/>
      <c r="HG43" s="666"/>
      <c r="HH43" s="666"/>
      <c r="HI43" s="666"/>
      <c r="HJ43" s="666"/>
      <c r="HK43" s="666"/>
      <c r="HL43" s="666"/>
      <c r="HM43" s="666"/>
      <c r="HN43" s="666"/>
      <c r="HO43" s="666"/>
      <c r="HP43" s="666"/>
      <c r="HQ43" s="666"/>
      <c r="HR43" s="666"/>
      <c r="HS43" s="666"/>
      <c r="HT43" s="666"/>
      <c r="HU43" s="666"/>
      <c r="HV43" s="666"/>
      <c r="HW43" s="666"/>
      <c r="HX43" s="666"/>
      <c r="HY43" s="666"/>
      <c r="HZ43" s="666"/>
      <c r="IA43" s="666"/>
      <c r="IB43" s="666"/>
      <c r="IC43" s="666"/>
      <c r="ID43" s="666"/>
      <c r="IE43" s="666"/>
      <c r="IF43" s="666"/>
      <c r="IG43" s="666"/>
      <c r="IH43" s="666"/>
      <c r="II43" s="666"/>
      <c r="IJ43" s="666"/>
      <c r="IK43" s="666"/>
      <c r="IL43" s="666"/>
      <c r="IM43" s="666"/>
      <c r="IN43" s="666"/>
      <c r="IO43" s="666"/>
      <c r="IP43" s="666"/>
      <c r="IQ43" s="666"/>
      <c r="IR43" s="666"/>
      <c r="IS43" s="666"/>
      <c r="IT43" s="666"/>
      <c r="IU43" s="666"/>
      <c r="IV43" s="666"/>
      <c r="IW43" s="666"/>
      <c r="IX43" s="666"/>
      <c r="IY43" s="666"/>
      <c r="IZ43" s="666"/>
      <c r="JA43" s="666"/>
      <c r="JB43" s="666"/>
      <c r="JC43" s="666"/>
      <c r="JD43" s="666"/>
      <c r="JE43" s="666"/>
      <c r="JF43" s="666"/>
      <c r="JG43" s="666"/>
      <c r="JH43" s="666"/>
      <c r="JI43" s="666"/>
      <c r="JJ43" s="666"/>
      <c r="JK43" s="666"/>
      <c r="JL43" s="666"/>
      <c r="JM43" s="666"/>
      <c r="JN43" s="666"/>
      <c r="JO43" s="666"/>
      <c r="JP43" s="666"/>
      <c r="JQ43" s="666"/>
      <c r="JR43" s="666"/>
      <c r="JS43" s="666"/>
      <c r="JT43" s="666"/>
      <c r="JU43" s="666"/>
      <c r="JV43" s="666"/>
      <c r="JW43" s="666"/>
      <c r="JX43" s="666"/>
      <c r="JY43" s="666"/>
      <c r="JZ43" s="666"/>
      <c r="KA43" s="666"/>
      <c r="KB43" s="666"/>
      <c r="KC43" s="666"/>
      <c r="KD43" s="666"/>
      <c r="KE43" s="666"/>
      <c r="KF43" s="666"/>
      <c r="KG43" s="666"/>
      <c r="KH43" s="666"/>
      <c r="KI43" s="666"/>
      <c r="KJ43" s="666"/>
      <c r="KK43" s="666"/>
      <c r="KL43" s="666"/>
      <c r="KM43" s="666"/>
      <c r="KN43" s="666"/>
      <c r="KO43" s="666"/>
      <c r="KP43" s="666"/>
      <c r="KQ43" s="666"/>
      <c r="KR43" s="666"/>
      <c r="KS43" s="666"/>
      <c r="KT43" s="666"/>
      <c r="KU43" s="666"/>
      <c r="KV43" s="666"/>
      <c r="KW43" s="666"/>
      <c r="KX43" s="666"/>
      <c r="KY43" s="666"/>
      <c r="KZ43" s="666"/>
      <c r="LA43" s="666"/>
      <c r="LB43" s="666"/>
      <c r="LC43" s="666"/>
      <c r="LD43" s="666"/>
      <c r="LE43" s="666"/>
      <c r="LF43" s="666"/>
      <c r="LG43" s="666"/>
      <c r="LH43" s="666"/>
      <c r="LI43" s="666"/>
      <c r="LJ43" s="666"/>
      <c r="LK43" s="666"/>
      <c r="LL43" s="666"/>
      <c r="LM43" s="666"/>
      <c r="LN43" s="666"/>
      <c r="LO43" s="666"/>
      <c r="LP43" s="666"/>
      <c r="LQ43" s="666"/>
      <c r="LR43" s="666"/>
      <c r="LS43" s="666"/>
      <c r="LT43" s="666"/>
      <c r="LU43" s="666"/>
      <c r="LV43" s="666"/>
      <c r="LW43" s="666"/>
      <c r="LX43" s="666"/>
      <c r="LY43" s="666"/>
      <c r="LZ43" s="666"/>
      <c r="MA43" s="666"/>
      <c r="MB43" s="666"/>
      <c r="MC43" s="666"/>
      <c r="MD43" s="666"/>
      <c r="ME43" s="666"/>
      <c r="MF43" s="666"/>
      <c r="MG43" s="666"/>
      <c r="MH43" s="666"/>
      <c r="MI43" s="666"/>
      <c r="MJ43" s="666"/>
      <c r="MK43" s="666"/>
      <c r="ML43" s="666"/>
      <c r="MM43" s="666"/>
      <c r="MN43" s="666"/>
      <c r="MO43" s="666"/>
      <c r="MP43" s="666"/>
      <c r="MQ43" s="666"/>
      <c r="MR43" s="666"/>
      <c r="MS43" s="666"/>
      <c r="MT43" s="666"/>
      <c r="MU43" s="666"/>
      <c r="MV43" s="666"/>
      <c r="MW43" s="666"/>
      <c r="MX43" s="666"/>
    </row>
    <row r="44" spans="1:362">
      <c r="A44" s="675" t="s">
        <v>1187</v>
      </c>
      <c r="B44" s="37">
        <v>768</v>
      </c>
      <c r="C44" s="528" t="s">
        <v>647</v>
      </c>
      <c r="D44" s="98" t="s">
        <v>650</v>
      </c>
      <c r="E44" s="528" t="s">
        <v>650</v>
      </c>
      <c r="F44" s="528" t="s">
        <v>650</v>
      </c>
      <c r="G44" s="37"/>
      <c r="H44" s="13"/>
      <c r="I44" s="13"/>
      <c r="J44" s="13"/>
      <c r="K44" s="13"/>
      <c r="L44" s="592" t="s">
        <v>1187</v>
      </c>
      <c r="M44" s="31"/>
      <c r="N44" s="7"/>
      <c r="O44" s="57"/>
      <c r="P44" s="7"/>
      <c r="Q44" s="31"/>
      <c r="R44" s="31"/>
      <c r="S44" s="31"/>
      <c r="T44" s="169"/>
      <c r="U44" s="437">
        <v>97994631</v>
      </c>
      <c r="V44" s="458">
        <v>35554.53</v>
      </c>
      <c r="X44" s="513"/>
      <c r="Y44" s="435"/>
      <c r="Z44" s="463"/>
      <c r="AA44" s="454">
        <v>97993792</v>
      </c>
      <c r="AB44" s="536">
        <v>102.41</v>
      </c>
      <c r="AC44" s="439"/>
      <c r="AD44" s="440"/>
      <c r="AE44" s="464">
        <v>97994631</v>
      </c>
      <c r="AF44" s="465">
        <f>AB44+X44+V44</f>
        <v>35656.94</v>
      </c>
      <c r="AH44" s="439">
        <v>97994631</v>
      </c>
      <c r="AI44" s="440">
        <v>10899.17</v>
      </c>
      <c r="AJ44" s="439"/>
      <c r="AK44" s="440"/>
      <c r="AL44" s="435"/>
      <c r="AM44" s="463"/>
      <c r="AN44" s="433">
        <v>97993748</v>
      </c>
      <c r="AO44" s="602">
        <v>2068.5</v>
      </c>
      <c r="AQ44" s="513"/>
      <c r="AR44" s="464">
        <v>97994631</v>
      </c>
      <c r="AS44" s="465">
        <f>AI44+AO44</f>
        <v>12967.67</v>
      </c>
      <c r="AU44" s="439"/>
      <c r="AV44" s="440"/>
      <c r="AW44" s="309"/>
      <c r="AX44" s="230"/>
    </row>
    <row r="45" spans="1:362" s="163" customFormat="1" ht="3.75" customHeight="1">
      <c r="A45" s="57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583">
        <f t="shared" ref="L45" si="12">A45</f>
        <v>0</v>
      </c>
      <c r="M45" s="13"/>
      <c r="N45" s="13"/>
      <c r="O45" s="515"/>
      <c r="P45" s="13"/>
      <c r="Q45" s="13"/>
      <c r="R45" s="13"/>
      <c r="S45" s="13"/>
      <c r="T45" s="519"/>
      <c r="U45" s="516"/>
      <c r="V45" s="517"/>
      <c r="W45" s="516"/>
      <c r="X45" s="517"/>
      <c r="Y45" s="516"/>
      <c r="Z45" s="517"/>
      <c r="AA45" s="516"/>
      <c r="AB45" s="517"/>
      <c r="AC45" s="516"/>
      <c r="AD45" s="518"/>
      <c r="AE45" s="520"/>
      <c r="AF45" s="521"/>
      <c r="AH45" s="516"/>
      <c r="AI45" s="518"/>
      <c r="AJ45" s="516"/>
      <c r="AK45" s="518"/>
      <c r="AL45" s="516"/>
      <c r="AM45" s="517"/>
      <c r="AN45" s="516"/>
      <c r="AO45" s="517"/>
      <c r="AP45" s="516"/>
      <c r="AQ45" s="517"/>
      <c r="AR45" s="520"/>
      <c r="AS45" s="521"/>
      <c r="AU45" s="538"/>
      <c r="AV45" s="538"/>
      <c r="AW45" s="538"/>
      <c r="AX45" s="538"/>
    </row>
    <row r="46" spans="1:362" hidden="1">
      <c r="A46" s="577" t="s">
        <v>1188</v>
      </c>
      <c r="B46" s="7">
        <v>769</v>
      </c>
      <c r="C46" s="7" t="s">
        <v>985</v>
      </c>
      <c r="D46" s="7" t="s">
        <v>650</v>
      </c>
      <c r="E46" s="7"/>
      <c r="F46" s="13"/>
      <c r="G46" s="13"/>
      <c r="H46" s="13"/>
      <c r="I46" s="98" t="s">
        <v>650</v>
      </c>
      <c r="J46" s="98" t="s">
        <v>650</v>
      </c>
      <c r="K46" s="13"/>
      <c r="L46" s="590" t="s">
        <v>1188</v>
      </c>
      <c r="M46" s="7"/>
      <c r="N46" s="7"/>
      <c r="O46" s="57"/>
      <c r="P46" s="7"/>
      <c r="Q46" s="7"/>
      <c r="R46" s="7"/>
      <c r="S46" s="7"/>
      <c r="T46" s="103"/>
      <c r="U46" s="437">
        <v>97994701</v>
      </c>
      <c r="V46" s="458">
        <v>22707.88</v>
      </c>
      <c r="Y46" s="435">
        <v>97993829</v>
      </c>
      <c r="Z46" s="463">
        <v>450</v>
      </c>
      <c r="AC46" s="439"/>
      <c r="AD46" s="440"/>
      <c r="AE46" s="464">
        <v>97994701</v>
      </c>
      <c r="AF46" s="465">
        <f>Z46+X46+V46</f>
        <v>23157.88</v>
      </c>
      <c r="AH46" s="439">
        <v>97994701</v>
      </c>
      <c r="AI46" s="440">
        <v>6886.05</v>
      </c>
      <c r="AJ46" s="439"/>
      <c r="AK46" s="440"/>
      <c r="AL46" s="435"/>
      <c r="AM46" s="463"/>
      <c r="AN46" s="433">
        <v>97993864</v>
      </c>
      <c r="AO46" s="490">
        <v>3638.96</v>
      </c>
      <c r="AR46" s="464">
        <v>97994701</v>
      </c>
      <c r="AS46" s="465">
        <f>AI46+AO46</f>
        <v>10525.01</v>
      </c>
    </row>
    <row r="47" spans="1:362" hidden="1">
      <c r="A47" s="578" t="s">
        <v>1189</v>
      </c>
      <c r="B47" s="37">
        <v>770</v>
      </c>
      <c r="C47" s="37" t="s">
        <v>985</v>
      </c>
      <c r="D47" s="37" t="s">
        <v>650</v>
      </c>
      <c r="E47" s="37"/>
      <c r="F47" s="13"/>
      <c r="G47" s="13"/>
      <c r="H47" s="50" t="s">
        <v>650</v>
      </c>
      <c r="I47" s="50" t="s">
        <v>650</v>
      </c>
      <c r="J47" s="50" t="s">
        <v>650</v>
      </c>
      <c r="K47" s="13"/>
      <c r="L47" s="591" t="s">
        <v>1189</v>
      </c>
      <c r="M47" s="50"/>
      <c r="N47" s="50"/>
      <c r="O47" s="58"/>
      <c r="P47" s="9"/>
      <c r="Q47" s="9"/>
      <c r="R47" s="9"/>
      <c r="S47" s="9"/>
      <c r="T47" s="141"/>
      <c r="U47" s="437">
        <v>97994779</v>
      </c>
      <c r="V47" s="458">
        <v>22744.76</v>
      </c>
      <c r="Y47" s="435">
        <v>97993903</v>
      </c>
      <c r="Z47" s="463">
        <v>450</v>
      </c>
      <c r="AC47" s="439"/>
      <c r="AD47" s="440"/>
      <c r="AE47" s="464">
        <v>97994779</v>
      </c>
      <c r="AF47" s="465">
        <f>Z47+X47+V47</f>
        <v>23194.76</v>
      </c>
      <c r="AH47" s="439">
        <v>97994779</v>
      </c>
      <c r="AI47" s="440">
        <v>6452.04</v>
      </c>
      <c r="AJ47" s="439"/>
      <c r="AK47" s="440"/>
      <c r="AL47" s="435"/>
      <c r="AM47" s="463"/>
      <c r="AN47" s="433">
        <v>97993944</v>
      </c>
      <c r="AO47" s="490">
        <v>2985.42</v>
      </c>
      <c r="AR47" s="464">
        <v>97994779</v>
      </c>
      <c r="AS47" s="465">
        <f>AI47+AO47</f>
        <v>9437.4599999999991</v>
      </c>
    </row>
    <row r="48" spans="1:362" s="163" customFormat="1" ht="3.75" customHeight="1">
      <c r="A48" s="57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583">
        <f t="shared" ref="L48" si="13">A48</f>
        <v>0</v>
      </c>
      <c r="M48" s="13"/>
      <c r="N48" s="13"/>
      <c r="O48" s="515"/>
      <c r="P48" s="13"/>
      <c r="Q48" s="13"/>
      <c r="R48" s="13"/>
      <c r="S48" s="13"/>
      <c r="T48" s="519"/>
      <c r="U48" s="516"/>
      <c r="V48" s="517"/>
      <c r="W48" s="516"/>
      <c r="X48" s="517"/>
      <c r="Y48" s="516"/>
      <c r="Z48" s="517"/>
      <c r="AA48" s="516"/>
      <c r="AB48" s="517"/>
      <c r="AC48" s="516"/>
      <c r="AD48" s="518"/>
      <c r="AE48" s="520"/>
      <c r="AF48" s="521"/>
      <c r="AH48" s="516"/>
      <c r="AI48" s="518"/>
      <c r="AJ48" s="516"/>
      <c r="AK48" s="518"/>
      <c r="AL48" s="516"/>
      <c r="AM48" s="517"/>
      <c r="AN48" s="516"/>
      <c r="AO48" s="517"/>
      <c r="AP48" s="516"/>
      <c r="AQ48" s="517"/>
      <c r="AR48" s="520"/>
      <c r="AS48" s="521"/>
      <c r="AU48" s="538"/>
      <c r="AV48" s="538"/>
      <c r="AW48" s="538"/>
      <c r="AX48" s="538"/>
    </row>
    <row r="49" spans="1:362">
      <c r="A49" s="605" t="s">
        <v>1190</v>
      </c>
      <c r="B49" s="409">
        <v>767</v>
      </c>
      <c r="C49" s="409" t="s">
        <v>688</v>
      </c>
      <c r="D49" s="409" t="s">
        <v>650</v>
      </c>
      <c r="E49" s="409" t="s">
        <v>650</v>
      </c>
      <c r="F49" s="409" t="s">
        <v>650</v>
      </c>
      <c r="G49" s="7"/>
      <c r="H49" s="13"/>
      <c r="I49" s="13"/>
      <c r="J49" s="13"/>
      <c r="K49" s="13"/>
      <c r="L49" s="588" t="s">
        <v>1190</v>
      </c>
      <c r="M49" s="50"/>
      <c r="N49" s="50"/>
      <c r="O49" s="58"/>
      <c r="P49" s="9"/>
      <c r="Q49" s="9"/>
      <c r="R49" s="9"/>
      <c r="S49" s="9"/>
      <c r="T49" s="141"/>
      <c r="U49" s="437">
        <v>97994834</v>
      </c>
      <c r="V49" s="458">
        <v>38024.550000000003</v>
      </c>
      <c r="Z49" s="463"/>
      <c r="AA49" s="454">
        <v>97994026</v>
      </c>
      <c r="AB49" s="536">
        <v>102.41</v>
      </c>
      <c r="AC49" s="439"/>
      <c r="AD49" s="440"/>
      <c r="AE49" s="464">
        <v>97994834</v>
      </c>
      <c r="AF49" s="465">
        <f>AB49+X49+V49</f>
        <v>38126.960000000006</v>
      </c>
      <c r="AH49" s="439">
        <v>97994834</v>
      </c>
      <c r="AI49" s="440">
        <v>10884.99</v>
      </c>
      <c r="AJ49" s="439"/>
      <c r="AK49" s="440"/>
      <c r="AM49" s="463"/>
      <c r="AN49" s="433">
        <v>97993985</v>
      </c>
      <c r="AO49" s="490">
        <v>5109.49</v>
      </c>
      <c r="AR49" s="464">
        <v>97994834</v>
      </c>
      <c r="AS49" s="465">
        <f>AO49+AI49</f>
        <v>15994.48</v>
      </c>
    </row>
    <row r="50" spans="1:362" s="158" customFormat="1">
      <c r="A50" s="662" t="s">
        <v>1191</v>
      </c>
      <c r="B50" s="409">
        <v>768</v>
      </c>
      <c r="C50" s="409" t="s">
        <v>688</v>
      </c>
      <c r="D50" s="651"/>
      <c r="E50" s="409" t="s">
        <v>650</v>
      </c>
      <c r="F50" s="409" t="s">
        <v>650</v>
      </c>
      <c r="G50" s="409"/>
      <c r="H50" s="632"/>
      <c r="I50" s="632"/>
      <c r="J50" s="632"/>
      <c r="K50" s="632"/>
      <c r="L50" s="600" t="s">
        <v>1191</v>
      </c>
      <c r="M50" s="409"/>
      <c r="N50" s="409"/>
      <c r="O50" s="556"/>
      <c r="P50" s="409"/>
      <c r="Q50" s="409"/>
      <c r="R50" s="409"/>
      <c r="S50" s="409"/>
      <c r="T50" s="557"/>
      <c r="U50" s="437">
        <v>97994870</v>
      </c>
      <c r="V50" s="458">
        <v>35554.53</v>
      </c>
      <c r="W50" s="433"/>
      <c r="X50" s="490"/>
      <c r="Y50" s="435"/>
      <c r="Z50" s="463"/>
      <c r="AA50" s="454">
        <v>97994103</v>
      </c>
      <c r="AB50" s="536">
        <v>102.41</v>
      </c>
      <c r="AC50" s="439"/>
      <c r="AD50" s="440"/>
      <c r="AE50" s="464"/>
      <c r="AF50" s="465">
        <f>V50+X50+Z50+AB50+AD50</f>
        <v>35656.94</v>
      </c>
      <c r="AG50" s="666"/>
      <c r="AH50" s="439">
        <v>97994870</v>
      </c>
      <c r="AI50" s="440">
        <v>10899.17</v>
      </c>
      <c r="AJ50" s="439"/>
      <c r="AK50" s="440"/>
      <c r="AL50" s="435"/>
      <c r="AM50" s="463"/>
      <c r="AN50" s="433">
        <v>97994060</v>
      </c>
      <c r="AO50" s="490">
        <v>2378.2399999999998</v>
      </c>
      <c r="AP50" s="433"/>
      <c r="AQ50" s="490"/>
      <c r="AR50" s="464" t="s">
        <v>1192</v>
      </c>
      <c r="AS50" s="465">
        <f>AI50+AO50</f>
        <v>13277.41</v>
      </c>
      <c r="AT50" s="666"/>
      <c r="AU50" s="439"/>
      <c r="AV50" s="534"/>
      <c r="AW50" s="671"/>
      <c r="AX50" s="672"/>
      <c r="AY50" s="666"/>
      <c r="AZ50" s="666"/>
      <c r="BA50" s="666"/>
      <c r="BB50" s="666"/>
      <c r="BC50" s="666"/>
      <c r="BD50" s="666"/>
      <c r="BE50" s="666"/>
      <c r="BF50" s="666"/>
      <c r="BG50" s="666"/>
      <c r="BH50" s="666"/>
      <c r="BI50" s="666"/>
      <c r="BJ50" s="666"/>
      <c r="BK50" s="666"/>
      <c r="BL50" s="666"/>
      <c r="BM50" s="666"/>
      <c r="BN50" s="666"/>
      <c r="BO50" s="666"/>
      <c r="BP50" s="666"/>
      <c r="BQ50" s="666"/>
      <c r="BR50" s="666"/>
      <c r="BS50" s="666"/>
      <c r="BT50" s="666"/>
      <c r="BU50" s="666"/>
      <c r="BV50" s="666"/>
      <c r="BW50" s="666"/>
      <c r="BX50" s="666"/>
      <c r="BY50" s="666"/>
      <c r="BZ50" s="666"/>
      <c r="CA50" s="666"/>
      <c r="CB50" s="666"/>
      <c r="CC50" s="666"/>
      <c r="CD50" s="666"/>
      <c r="CE50" s="666"/>
      <c r="CF50" s="666"/>
      <c r="CG50" s="666"/>
      <c r="CH50" s="666"/>
      <c r="CI50" s="666"/>
      <c r="CJ50" s="666"/>
      <c r="CK50" s="666"/>
      <c r="CL50" s="666"/>
      <c r="CM50" s="666"/>
      <c r="CN50" s="666"/>
      <c r="CO50" s="666"/>
      <c r="CP50" s="666"/>
      <c r="CQ50" s="666"/>
      <c r="CR50" s="666"/>
      <c r="CS50" s="666"/>
      <c r="CT50" s="666"/>
      <c r="CU50" s="666"/>
      <c r="CV50" s="666"/>
      <c r="CW50" s="666"/>
      <c r="CX50" s="666"/>
      <c r="CY50" s="666"/>
      <c r="CZ50" s="666"/>
      <c r="DA50" s="666"/>
      <c r="DB50" s="666"/>
      <c r="DC50" s="666"/>
      <c r="DD50" s="666"/>
      <c r="DE50" s="666"/>
      <c r="DF50" s="666"/>
      <c r="DG50" s="666"/>
      <c r="DH50" s="666"/>
      <c r="DI50" s="666"/>
      <c r="DJ50" s="666"/>
      <c r="DK50" s="666"/>
      <c r="DL50" s="666"/>
      <c r="DM50" s="666"/>
      <c r="DN50" s="666"/>
      <c r="DO50" s="666"/>
      <c r="DP50" s="666"/>
      <c r="DQ50" s="666"/>
      <c r="DR50" s="666"/>
      <c r="DS50" s="666"/>
      <c r="DT50" s="666"/>
      <c r="DU50" s="666"/>
      <c r="DV50" s="666"/>
      <c r="DW50" s="666"/>
      <c r="DX50" s="666"/>
      <c r="DY50" s="666"/>
      <c r="DZ50" s="666"/>
      <c r="EA50" s="666"/>
      <c r="EB50" s="666"/>
      <c r="EC50" s="666"/>
      <c r="ED50" s="666"/>
      <c r="EE50" s="666"/>
      <c r="EF50" s="666"/>
      <c r="EG50" s="666"/>
      <c r="EH50" s="666"/>
      <c r="EI50" s="666"/>
      <c r="EJ50" s="666"/>
      <c r="EK50" s="666"/>
      <c r="EL50" s="666"/>
      <c r="EM50" s="666"/>
      <c r="EN50" s="666"/>
      <c r="EO50" s="666"/>
      <c r="EP50" s="666"/>
      <c r="EQ50" s="666"/>
      <c r="ER50" s="666"/>
      <c r="ES50" s="666"/>
      <c r="ET50" s="666"/>
      <c r="EU50" s="666"/>
      <c r="EV50" s="666"/>
      <c r="EW50" s="666"/>
      <c r="EX50" s="666"/>
      <c r="EY50" s="666"/>
      <c r="EZ50" s="666"/>
      <c r="FA50" s="666"/>
      <c r="FB50" s="666"/>
      <c r="FC50" s="666"/>
      <c r="FD50" s="666"/>
      <c r="FE50" s="666"/>
      <c r="FF50" s="666"/>
      <c r="FG50" s="666"/>
      <c r="FH50" s="666"/>
      <c r="FI50" s="666"/>
      <c r="FJ50" s="666"/>
      <c r="FK50" s="666"/>
      <c r="FL50" s="666"/>
      <c r="FM50" s="666"/>
      <c r="FN50" s="666"/>
      <c r="FO50" s="666"/>
      <c r="FP50" s="666"/>
      <c r="FQ50" s="666"/>
      <c r="FR50" s="666"/>
      <c r="FS50" s="666"/>
      <c r="FT50" s="666"/>
      <c r="FU50" s="666"/>
      <c r="FV50" s="666"/>
      <c r="FW50" s="666"/>
      <c r="FX50" s="666"/>
      <c r="FY50" s="666"/>
      <c r="FZ50" s="666"/>
      <c r="GA50" s="666"/>
      <c r="GB50" s="666"/>
      <c r="GC50" s="666"/>
      <c r="GD50" s="666"/>
      <c r="GE50" s="666"/>
      <c r="GF50" s="666"/>
      <c r="GG50" s="666"/>
      <c r="GH50" s="666"/>
      <c r="GI50" s="666"/>
      <c r="GJ50" s="666"/>
      <c r="GK50" s="666"/>
      <c r="GL50" s="666"/>
      <c r="GM50" s="666"/>
      <c r="GN50" s="666"/>
      <c r="GO50" s="666"/>
      <c r="GP50" s="666"/>
      <c r="GQ50" s="666"/>
      <c r="GR50" s="666"/>
      <c r="GS50" s="666"/>
      <c r="GT50" s="666"/>
      <c r="GU50" s="666"/>
      <c r="GV50" s="666"/>
      <c r="GW50" s="666"/>
      <c r="GX50" s="666"/>
      <c r="GY50" s="666"/>
      <c r="GZ50" s="666"/>
      <c r="HA50" s="666"/>
      <c r="HB50" s="666"/>
      <c r="HC50" s="666"/>
      <c r="HD50" s="666"/>
      <c r="HE50" s="666"/>
      <c r="HF50" s="666"/>
      <c r="HG50" s="666"/>
      <c r="HH50" s="666"/>
      <c r="HI50" s="666"/>
      <c r="HJ50" s="666"/>
      <c r="HK50" s="666"/>
      <c r="HL50" s="666"/>
      <c r="HM50" s="666"/>
      <c r="HN50" s="666"/>
      <c r="HO50" s="666"/>
      <c r="HP50" s="666"/>
      <c r="HQ50" s="666"/>
      <c r="HR50" s="666"/>
      <c r="HS50" s="666"/>
      <c r="HT50" s="666"/>
      <c r="HU50" s="666"/>
      <c r="HV50" s="666"/>
      <c r="HW50" s="666"/>
      <c r="HX50" s="666"/>
      <c r="HY50" s="666"/>
      <c r="HZ50" s="666"/>
      <c r="IA50" s="666"/>
      <c r="IB50" s="666"/>
      <c r="IC50" s="666"/>
      <c r="ID50" s="666"/>
      <c r="IE50" s="666"/>
      <c r="IF50" s="666"/>
      <c r="IG50" s="666"/>
      <c r="IH50" s="666"/>
      <c r="II50" s="666"/>
      <c r="IJ50" s="666"/>
      <c r="IK50" s="666"/>
      <c r="IL50" s="666"/>
      <c r="IM50" s="666"/>
      <c r="IN50" s="666"/>
      <c r="IO50" s="666"/>
      <c r="IP50" s="666"/>
      <c r="IQ50" s="666"/>
      <c r="IR50" s="666"/>
      <c r="IS50" s="666"/>
      <c r="IT50" s="666"/>
      <c r="IU50" s="666"/>
      <c r="IV50" s="666"/>
      <c r="IW50" s="666"/>
      <c r="IX50" s="666"/>
      <c r="IY50" s="666"/>
      <c r="IZ50" s="666"/>
      <c r="JA50" s="666"/>
      <c r="JB50" s="666"/>
      <c r="JC50" s="666"/>
      <c r="JD50" s="666"/>
      <c r="JE50" s="666"/>
      <c r="JF50" s="666"/>
      <c r="JG50" s="666"/>
      <c r="JH50" s="666"/>
      <c r="JI50" s="666"/>
      <c r="JJ50" s="666"/>
      <c r="JK50" s="666"/>
      <c r="JL50" s="666"/>
      <c r="JM50" s="666"/>
      <c r="JN50" s="666"/>
      <c r="JO50" s="666"/>
      <c r="JP50" s="666"/>
      <c r="JQ50" s="666"/>
      <c r="JR50" s="666"/>
      <c r="JS50" s="666"/>
      <c r="JT50" s="666"/>
      <c r="JU50" s="666"/>
      <c r="JV50" s="666"/>
      <c r="JW50" s="666"/>
      <c r="JX50" s="666"/>
      <c r="JY50" s="666"/>
      <c r="JZ50" s="666"/>
      <c r="KA50" s="666"/>
      <c r="KB50" s="666"/>
      <c r="KC50" s="666"/>
      <c r="KD50" s="666"/>
      <c r="KE50" s="666"/>
      <c r="KF50" s="666"/>
      <c r="KG50" s="666"/>
      <c r="KH50" s="666"/>
      <c r="KI50" s="666"/>
      <c r="KJ50" s="666"/>
      <c r="KK50" s="666"/>
      <c r="KL50" s="666"/>
      <c r="KM50" s="666"/>
      <c r="KN50" s="666"/>
      <c r="KO50" s="666"/>
      <c r="KP50" s="666"/>
      <c r="KQ50" s="666"/>
      <c r="KR50" s="666"/>
      <c r="KS50" s="666"/>
      <c r="KT50" s="666"/>
      <c r="KU50" s="666"/>
      <c r="KV50" s="666"/>
      <c r="KW50" s="666"/>
      <c r="KX50" s="666"/>
      <c r="KY50" s="666"/>
      <c r="KZ50" s="666"/>
      <c r="LA50" s="666"/>
      <c r="LB50" s="666"/>
      <c r="LC50" s="666"/>
      <c r="LD50" s="666"/>
      <c r="LE50" s="666"/>
      <c r="LF50" s="666"/>
      <c r="LG50" s="666"/>
      <c r="LH50" s="666"/>
      <c r="LI50" s="666"/>
      <c r="LJ50" s="666"/>
      <c r="LK50" s="666"/>
      <c r="LL50" s="666"/>
      <c r="LM50" s="666"/>
      <c r="LN50" s="666"/>
      <c r="LO50" s="666"/>
      <c r="LP50" s="666"/>
      <c r="LQ50" s="666"/>
      <c r="LR50" s="666"/>
      <c r="LS50" s="666"/>
      <c r="LT50" s="666"/>
      <c r="LU50" s="666"/>
      <c r="LV50" s="666"/>
      <c r="LW50" s="666"/>
      <c r="LX50" s="666"/>
      <c r="LY50" s="666"/>
      <c r="LZ50" s="666"/>
      <c r="MA50" s="666"/>
      <c r="MB50" s="666"/>
      <c r="MC50" s="666"/>
      <c r="MD50" s="666"/>
      <c r="ME50" s="666"/>
      <c r="MF50" s="666"/>
      <c r="MG50" s="666"/>
      <c r="MH50" s="666"/>
      <c r="MI50" s="666"/>
      <c r="MJ50" s="666"/>
      <c r="MK50" s="666"/>
      <c r="ML50" s="666"/>
      <c r="MM50" s="666"/>
      <c r="MN50" s="666"/>
      <c r="MO50" s="666"/>
      <c r="MP50" s="666"/>
      <c r="MQ50" s="666"/>
      <c r="MR50" s="666"/>
      <c r="MS50" s="666"/>
      <c r="MT50" s="666"/>
      <c r="MU50" s="666"/>
      <c r="MV50" s="666"/>
      <c r="MW50" s="666"/>
      <c r="MX50" s="666"/>
    </row>
    <row r="51" spans="1:362" s="163" customFormat="1" ht="3.75" customHeight="1">
      <c r="A51" s="57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583">
        <f t="shared" ref="L51" si="14">A51</f>
        <v>0</v>
      </c>
      <c r="M51" s="13"/>
      <c r="N51" s="13"/>
      <c r="O51" s="515"/>
      <c r="P51" s="13"/>
      <c r="Q51" s="13"/>
      <c r="R51" s="13"/>
      <c r="S51" s="13"/>
      <c r="T51" s="519"/>
      <c r="U51" s="516"/>
      <c r="V51" s="517"/>
      <c r="W51" s="516"/>
      <c r="X51" s="517"/>
      <c r="Y51" s="516"/>
      <c r="Z51" s="517"/>
      <c r="AA51" s="516"/>
      <c r="AB51" s="517"/>
      <c r="AC51" s="516"/>
      <c r="AD51" s="518"/>
      <c r="AE51" s="520"/>
      <c r="AF51" s="521"/>
      <c r="AH51" s="516"/>
      <c r="AI51" s="518"/>
      <c r="AJ51" s="516"/>
      <c r="AK51" s="518"/>
      <c r="AL51" s="516"/>
      <c r="AM51" s="517"/>
      <c r="AN51" s="516"/>
      <c r="AO51" s="517"/>
      <c r="AP51" s="516"/>
      <c r="AQ51" s="517"/>
      <c r="AR51" s="520"/>
      <c r="AS51" s="521"/>
      <c r="AU51" s="538"/>
      <c r="AV51" s="538"/>
      <c r="AW51" s="538"/>
      <c r="AX51" s="538"/>
    </row>
    <row r="52" spans="1:362" hidden="1">
      <c r="A52" s="577" t="s">
        <v>1193</v>
      </c>
      <c r="B52" s="7">
        <v>769</v>
      </c>
      <c r="C52" s="7" t="s">
        <v>988</v>
      </c>
      <c r="D52" s="7"/>
      <c r="E52" s="7"/>
      <c r="F52" s="13"/>
      <c r="G52" s="13"/>
      <c r="H52" s="13"/>
      <c r="I52" s="7" t="s">
        <v>650</v>
      </c>
      <c r="J52" s="7" t="s">
        <v>650</v>
      </c>
      <c r="K52" s="13"/>
      <c r="L52" s="593" t="s">
        <v>1193</v>
      </c>
      <c r="M52" s="409"/>
      <c r="N52" s="409"/>
      <c r="O52" s="556"/>
      <c r="P52" s="409"/>
      <c r="Q52" s="409"/>
      <c r="R52" s="409"/>
      <c r="S52" s="409"/>
      <c r="T52" s="557"/>
      <c r="U52" s="437">
        <v>97994902</v>
      </c>
      <c r="V52" s="458">
        <v>22707.88</v>
      </c>
      <c r="AC52" s="439"/>
      <c r="AD52" s="440"/>
      <c r="AE52" s="464">
        <v>97994902</v>
      </c>
      <c r="AF52" s="465">
        <f>Z52+X52+V52</f>
        <v>22707.88</v>
      </c>
      <c r="AH52" s="439">
        <v>97994902</v>
      </c>
      <c r="AI52" s="440">
        <v>6886.05</v>
      </c>
      <c r="AJ52" s="439"/>
      <c r="AK52" s="440"/>
      <c r="AL52" s="435">
        <v>97994134</v>
      </c>
      <c r="AM52" s="463">
        <v>450</v>
      </c>
      <c r="AN52" s="433">
        <v>97994192</v>
      </c>
      <c r="AO52" s="490">
        <v>283.86</v>
      </c>
      <c r="AR52" s="464">
        <v>97994902</v>
      </c>
      <c r="AS52" s="465">
        <f>AI52+AK52+AM52+AO52</f>
        <v>7619.91</v>
      </c>
    </row>
    <row r="53" spans="1:362" hidden="1">
      <c r="A53" s="578" t="s">
        <v>1194</v>
      </c>
      <c r="B53" s="9">
        <v>770</v>
      </c>
      <c r="C53" s="9" t="s">
        <v>988</v>
      </c>
      <c r="D53" s="9"/>
      <c r="E53" s="9"/>
      <c r="F53" s="13"/>
      <c r="G53" s="13"/>
      <c r="H53" s="9" t="s">
        <v>650</v>
      </c>
      <c r="I53" s="9" t="s">
        <v>650</v>
      </c>
      <c r="J53" s="9" t="s">
        <v>650</v>
      </c>
      <c r="K53" s="13"/>
      <c r="L53" s="604" t="s">
        <v>1194</v>
      </c>
      <c r="M53" s="50"/>
      <c r="N53" s="50"/>
      <c r="O53" s="58"/>
      <c r="P53" s="9"/>
      <c r="Q53" s="9"/>
      <c r="R53" s="9"/>
      <c r="S53" s="9"/>
      <c r="T53" s="141"/>
      <c r="U53" s="437">
        <v>97994921</v>
      </c>
      <c r="V53" s="458">
        <v>22744.76</v>
      </c>
      <c r="AC53" s="439"/>
      <c r="AD53" s="440"/>
      <c r="AE53" s="464">
        <v>97994921</v>
      </c>
      <c r="AF53" s="465">
        <f>Z53+X53+V53</f>
        <v>22744.76</v>
      </c>
      <c r="AH53" s="439">
        <v>97994921</v>
      </c>
      <c r="AI53" s="440">
        <v>6452.04</v>
      </c>
      <c r="AJ53" s="439"/>
      <c r="AK53" s="440"/>
      <c r="AL53" s="435">
        <v>97994207</v>
      </c>
      <c r="AM53" s="463">
        <v>450</v>
      </c>
      <c r="AN53" s="433">
        <v>97994260</v>
      </c>
      <c r="AO53" s="490">
        <v>947.72</v>
      </c>
      <c r="AR53" s="464">
        <v>97994921</v>
      </c>
      <c r="AS53" s="465">
        <f>AI53+AK53+AM53+AO53</f>
        <v>7849.76</v>
      </c>
    </row>
    <row r="54" spans="1:362" s="163" customFormat="1" ht="3.75" customHeight="1">
      <c r="A54" s="57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583">
        <f t="shared" ref="L54:L89" si="15">A54</f>
        <v>0</v>
      </c>
      <c r="M54" s="13"/>
      <c r="N54" s="13"/>
      <c r="O54" s="515"/>
      <c r="P54" s="13"/>
      <c r="Q54" s="13"/>
      <c r="R54" s="13"/>
      <c r="S54" s="13"/>
      <c r="T54" s="519"/>
      <c r="U54" s="516"/>
      <c r="V54" s="517"/>
      <c r="W54" s="516"/>
      <c r="X54" s="517"/>
      <c r="Y54" s="516"/>
      <c r="Z54" s="517"/>
      <c r="AA54" s="516"/>
      <c r="AB54" s="517"/>
      <c r="AC54" s="516"/>
      <c r="AD54" s="518"/>
      <c r="AE54" s="558"/>
      <c r="AF54" s="559"/>
      <c r="AH54" s="516"/>
      <c r="AI54" s="518"/>
      <c r="AJ54" s="516"/>
      <c r="AK54" s="518"/>
      <c r="AL54" s="516"/>
      <c r="AM54" s="517"/>
      <c r="AN54" s="516"/>
      <c r="AO54" s="517"/>
      <c r="AP54" s="516"/>
      <c r="AQ54" s="517"/>
      <c r="AR54" s="520"/>
      <c r="AS54" s="521"/>
      <c r="AU54" s="538"/>
      <c r="AV54" s="538"/>
      <c r="AW54" s="538"/>
      <c r="AX54" s="538"/>
    </row>
    <row r="55" spans="1:362">
      <c r="A55" s="576"/>
      <c r="B55" s="7"/>
      <c r="C55" s="7"/>
      <c r="D55" s="7"/>
      <c r="E55" s="7"/>
      <c r="F55" s="7"/>
      <c r="G55" s="7"/>
      <c r="H55" s="7"/>
      <c r="I55" s="7"/>
      <c r="J55" s="7"/>
      <c r="K55" s="13"/>
      <c r="L55" s="588">
        <f t="shared" si="15"/>
        <v>0</v>
      </c>
      <c r="M55" s="7"/>
      <c r="N55" s="7"/>
      <c r="O55" s="57"/>
      <c r="P55" s="7"/>
      <c r="Q55" s="7"/>
      <c r="R55" s="7"/>
      <c r="S55" s="7"/>
      <c r="T55" s="103"/>
      <c r="AD55" s="323"/>
      <c r="AE55" s="309"/>
      <c r="AF55" s="230"/>
      <c r="AI55" s="323"/>
      <c r="AK55" s="323"/>
      <c r="AR55" s="309"/>
      <c r="AS55" s="230"/>
    </row>
    <row r="56" spans="1:362">
      <c r="A56" s="579"/>
      <c r="B56" s="50"/>
      <c r="C56" s="9"/>
      <c r="D56" s="9"/>
      <c r="E56" s="9"/>
      <c r="F56" s="9"/>
      <c r="G56" s="9"/>
      <c r="H56" s="9"/>
      <c r="I56" s="9"/>
      <c r="J56" s="9"/>
      <c r="K56" s="13"/>
      <c r="L56" s="589">
        <f t="shared" si="15"/>
        <v>0</v>
      </c>
      <c r="M56" s="50"/>
      <c r="N56" s="50"/>
      <c r="O56" s="58"/>
      <c r="P56" s="9"/>
      <c r="Q56" s="9"/>
      <c r="R56" s="9"/>
      <c r="S56" s="9"/>
      <c r="T56" s="141"/>
      <c r="AD56" s="323"/>
      <c r="AE56" s="309"/>
      <c r="AF56" s="230"/>
      <c r="AI56" s="323"/>
      <c r="AK56" s="323"/>
      <c r="AR56" s="309"/>
      <c r="AS56" s="230"/>
    </row>
    <row r="57" spans="1:362" s="163" customFormat="1" ht="3.75" customHeight="1">
      <c r="A57" s="57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583"/>
      <c r="M57" s="13"/>
      <c r="N57" s="13"/>
      <c r="O57" s="515"/>
      <c r="P57" s="13"/>
      <c r="Q57" s="13"/>
      <c r="R57" s="13"/>
      <c r="S57" s="13"/>
      <c r="T57" s="519"/>
      <c r="U57" s="516"/>
      <c r="V57" s="517"/>
      <c r="W57" s="516"/>
      <c r="X57" s="517"/>
      <c r="Y57" s="516"/>
      <c r="Z57" s="517"/>
      <c r="AA57" s="516"/>
      <c r="AB57" s="517"/>
      <c r="AC57" s="516"/>
      <c r="AD57" s="518"/>
      <c r="AE57" s="520"/>
      <c r="AF57" s="521"/>
      <c r="AH57" s="516"/>
      <c r="AI57" s="518"/>
      <c r="AJ57" s="516"/>
      <c r="AK57" s="518"/>
      <c r="AL57" s="516"/>
      <c r="AM57" s="517"/>
      <c r="AN57" s="516"/>
      <c r="AO57" s="517"/>
      <c r="AP57" s="516"/>
      <c r="AQ57" s="517"/>
      <c r="AR57" s="520"/>
      <c r="AS57" s="521"/>
      <c r="AU57" s="538"/>
      <c r="AV57" s="538"/>
      <c r="AW57" s="538"/>
      <c r="AX57" s="538"/>
    </row>
    <row r="58" spans="1:362">
      <c r="A58" s="576"/>
      <c r="B58" s="7"/>
      <c r="C58" s="7"/>
      <c r="D58" s="7"/>
      <c r="E58" s="7"/>
      <c r="F58" s="7"/>
      <c r="G58" s="7"/>
      <c r="H58" s="7"/>
      <c r="I58" s="7"/>
      <c r="J58" s="7"/>
      <c r="K58" s="13"/>
      <c r="L58" s="588">
        <f t="shared" si="15"/>
        <v>0</v>
      </c>
      <c r="M58" s="7"/>
      <c r="N58" s="7"/>
      <c r="O58" s="57"/>
      <c r="P58" s="7"/>
      <c r="Q58" s="7"/>
      <c r="R58" s="7"/>
      <c r="S58" s="7"/>
      <c r="T58" s="103"/>
      <c r="AD58" s="323"/>
      <c r="AE58" s="309"/>
      <c r="AF58" s="230"/>
      <c r="AI58" s="323"/>
      <c r="AK58" s="323"/>
      <c r="AR58" s="309"/>
      <c r="AS58" s="230"/>
    </row>
    <row r="59" spans="1:362">
      <c r="A59" s="579"/>
      <c r="B59" s="50"/>
      <c r="C59" s="9"/>
      <c r="D59" s="9"/>
      <c r="E59" s="9"/>
      <c r="F59" s="9"/>
      <c r="G59" s="9"/>
      <c r="H59" s="9"/>
      <c r="I59" s="9"/>
      <c r="J59" s="9"/>
      <c r="K59" s="13"/>
      <c r="L59" s="589">
        <f t="shared" si="15"/>
        <v>0</v>
      </c>
      <c r="M59" s="50"/>
      <c r="N59" s="50"/>
      <c r="O59" s="58"/>
      <c r="P59" s="9"/>
      <c r="Q59" s="9"/>
      <c r="R59" s="9"/>
      <c r="S59" s="9"/>
      <c r="T59" s="141"/>
      <c r="AD59" s="323"/>
      <c r="AE59" s="309"/>
      <c r="AF59" s="230"/>
      <c r="AI59" s="323"/>
      <c r="AK59" s="323"/>
      <c r="AR59" s="309"/>
      <c r="AS59" s="230"/>
    </row>
    <row r="60" spans="1:362" s="163" customFormat="1" ht="3.75" customHeight="1">
      <c r="A60" s="57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583">
        <f t="shared" si="15"/>
        <v>0</v>
      </c>
      <c r="M60" s="13"/>
      <c r="N60" s="13"/>
      <c r="O60" s="515"/>
      <c r="P60" s="13"/>
      <c r="Q60" s="13"/>
      <c r="R60" s="13"/>
      <c r="S60" s="13"/>
      <c r="T60" s="519"/>
      <c r="U60" s="516"/>
      <c r="V60" s="517"/>
      <c r="W60" s="516"/>
      <c r="X60" s="517"/>
      <c r="Y60" s="516"/>
      <c r="Z60" s="517"/>
      <c r="AA60" s="516"/>
      <c r="AB60" s="517"/>
      <c r="AC60" s="516"/>
      <c r="AD60" s="518"/>
      <c r="AE60" s="520"/>
      <c r="AF60" s="521"/>
      <c r="AH60" s="516"/>
      <c r="AI60" s="518"/>
      <c r="AJ60" s="516"/>
      <c r="AK60" s="518"/>
      <c r="AL60" s="516"/>
      <c r="AM60" s="517"/>
      <c r="AN60" s="516"/>
      <c r="AO60" s="517"/>
      <c r="AP60" s="516"/>
      <c r="AQ60" s="517"/>
      <c r="AR60" s="520"/>
      <c r="AS60" s="521"/>
      <c r="AU60" s="538"/>
      <c r="AV60" s="538"/>
      <c r="AW60" s="538"/>
      <c r="AX60" s="538"/>
    </row>
    <row r="61" spans="1:362">
      <c r="A61" s="576"/>
      <c r="B61" s="7"/>
      <c r="C61" s="7"/>
      <c r="D61" s="7"/>
      <c r="E61" s="7"/>
      <c r="F61" s="7"/>
      <c r="G61" s="7"/>
      <c r="H61" s="7"/>
      <c r="I61" s="7"/>
      <c r="J61" s="7"/>
      <c r="K61" s="13"/>
      <c r="L61" s="588">
        <f t="shared" si="15"/>
        <v>0</v>
      </c>
      <c r="M61" s="7"/>
      <c r="N61" s="7"/>
      <c r="O61" s="57"/>
      <c r="P61" s="7"/>
      <c r="Q61" s="7"/>
      <c r="R61" s="7"/>
      <c r="S61" s="7"/>
      <c r="T61" s="103"/>
      <c r="AD61" s="323"/>
      <c r="AE61" s="309"/>
      <c r="AF61" s="230"/>
      <c r="AI61" s="323"/>
      <c r="AK61" s="323"/>
      <c r="AR61" s="309"/>
      <c r="AS61" s="230"/>
    </row>
    <row r="62" spans="1:362">
      <c r="A62" s="579"/>
      <c r="B62" s="50"/>
      <c r="C62" s="9"/>
      <c r="D62" s="9"/>
      <c r="E62" s="9"/>
      <c r="F62" s="9"/>
      <c r="G62" s="9"/>
      <c r="H62" s="9"/>
      <c r="I62" s="9"/>
      <c r="J62" s="9"/>
      <c r="K62" s="13"/>
      <c r="L62" s="589">
        <f t="shared" si="15"/>
        <v>0</v>
      </c>
      <c r="M62" s="50"/>
      <c r="N62" s="50"/>
      <c r="O62" s="58"/>
      <c r="P62" s="9"/>
      <c r="Q62" s="9"/>
      <c r="R62" s="9"/>
      <c r="S62" s="9"/>
      <c r="T62" s="141"/>
      <c r="AD62" s="323"/>
      <c r="AE62" s="309"/>
      <c r="AF62" s="230"/>
      <c r="AI62" s="323"/>
      <c r="AK62" s="323"/>
      <c r="AR62" s="309"/>
      <c r="AS62" s="230"/>
    </row>
    <row r="63" spans="1:362" s="163" customFormat="1" ht="3.75" customHeight="1">
      <c r="A63" s="57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583">
        <f t="shared" si="15"/>
        <v>0</v>
      </c>
      <c r="M63" s="13"/>
      <c r="N63" s="13"/>
      <c r="O63" s="515"/>
      <c r="P63" s="13"/>
      <c r="Q63" s="13"/>
      <c r="R63" s="13"/>
      <c r="S63" s="13"/>
      <c r="T63" s="519"/>
      <c r="U63" s="516"/>
      <c r="V63" s="517"/>
      <c r="W63" s="516"/>
      <c r="X63" s="517"/>
      <c r="Y63" s="516"/>
      <c r="Z63" s="517"/>
      <c r="AA63" s="516"/>
      <c r="AB63" s="517"/>
      <c r="AC63" s="516"/>
      <c r="AD63" s="518"/>
      <c r="AE63" s="520"/>
      <c r="AF63" s="521"/>
      <c r="AH63" s="516"/>
      <c r="AI63" s="518"/>
      <c r="AJ63" s="516"/>
      <c r="AK63" s="518"/>
      <c r="AL63" s="516"/>
      <c r="AM63" s="517"/>
      <c r="AN63" s="516"/>
      <c r="AO63" s="517"/>
      <c r="AP63" s="516"/>
      <c r="AQ63" s="517"/>
      <c r="AR63" s="520"/>
      <c r="AS63" s="521"/>
      <c r="AU63" s="538"/>
      <c r="AV63" s="538"/>
      <c r="AW63" s="538"/>
      <c r="AX63" s="538"/>
    </row>
    <row r="64" spans="1:362">
      <c r="A64" s="576"/>
      <c r="B64" s="7"/>
      <c r="C64" s="7"/>
      <c r="D64" s="7"/>
      <c r="E64" s="7"/>
      <c r="F64" s="7"/>
      <c r="G64" s="7"/>
      <c r="H64" s="7"/>
      <c r="I64" s="7"/>
      <c r="J64" s="7"/>
      <c r="K64" s="13"/>
      <c r="L64" s="588">
        <f t="shared" si="15"/>
        <v>0</v>
      </c>
      <c r="M64" s="7"/>
      <c r="N64" s="7"/>
      <c r="O64" s="57"/>
      <c r="P64" s="7"/>
      <c r="Q64" s="7"/>
      <c r="R64" s="7"/>
      <c r="S64" s="7"/>
      <c r="T64" s="103"/>
      <c r="AD64" s="323"/>
      <c r="AE64" s="309"/>
      <c r="AF64" s="230"/>
      <c r="AI64" s="323"/>
      <c r="AK64" s="323"/>
      <c r="AR64" s="309"/>
      <c r="AS64" s="230"/>
    </row>
    <row r="65" spans="1:50">
      <c r="A65" s="579"/>
      <c r="B65" s="50"/>
      <c r="C65" s="9"/>
      <c r="D65" s="9"/>
      <c r="E65" s="9"/>
      <c r="F65" s="9"/>
      <c r="G65" s="9"/>
      <c r="H65" s="9"/>
      <c r="I65" s="9"/>
      <c r="J65" s="9"/>
      <c r="K65" s="13"/>
      <c r="L65" s="589">
        <f t="shared" si="15"/>
        <v>0</v>
      </c>
      <c r="M65" s="50"/>
      <c r="N65" s="50"/>
      <c r="O65" s="58"/>
      <c r="P65" s="9"/>
      <c r="Q65" s="9"/>
      <c r="R65" s="9"/>
      <c r="S65" s="9"/>
      <c r="T65" s="141"/>
      <c r="AD65" s="323"/>
      <c r="AE65" s="309"/>
      <c r="AF65" s="230"/>
      <c r="AI65" s="323"/>
      <c r="AK65" s="323"/>
      <c r="AR65" s="309"/>
      <c r="AS65" s="230"/>
    </row>
    <row r="66" spans="1:50" s="163" customFormat="1" ht="3.75" customHeight="1">
      <c r="A66" s="57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583">
        <f t="shared" si="15"/>
        <v>0</v>
      </c>
      <c r="M66" s="13"/>
      <c r="N66" s="13"/>
      <c r="O66" s="515"/>
      <c r="P66" s="13"/>
      <c r="Q66" s="13"/>
      <c r="R66" s="13"/>
      <c r="S66" s="13"/>
      <c r="T66" s="519"/>
      <c r="U66" s="516"/>
      <c r="V66" s="517"/>
      <c r="W66" s="516"/>
      <c r="X66" s="517"/>
      <c r="Y66" s="516"/>
      <c r="Z66" s="517"/>
      <c r="AA66" s="516"/>
      <c r="AB66" s="517"/>
      <c r="AC66" s="516"/>
      <c r="AD66" s="518"/>
      <c r="AE66" s="520"/>
      <c r="AF66" s="521"/>
      <c r="AH66" s="516"/>
      <c r="AI66" s="518"/>
      <c r="AJ66" s="516"/>
      <c r="AK66" s="518"/>
      <c r="AL66" s="516"/>
      <c r="AM66" s="517"/>
      <c r="AN66" s="516"/>
      <c r="AO66" s="517"/>
      <c r="AP66" s="516"/>
      <c r="AQ66" s="517"/>
      <c r="AR66" s="520"/>
      <c r="AS66" s="521"/>
      <c r="AU66" s="538"/>
      <c r="AV66" s="538"/>
      <c r="AW66" s="538"/>
      <c r="AX66" s="538"/>
    </row>
    <row r="67" spans="1:50">
      <c r="A67" s="576"/>
      <c r="B67" s="7"/>
      <c r="C67" s="7"/>
      <c r="D67" s="7"/>
      <c r="E67" s="7"/>
      <c r="F67" s="7"/>
      <c r="G67" s="7"/>
      <c r="H67" s="7"/>
      <c r="I67" s="7"/>
      <c r="J67" s="7"/>
      <c r="K67" s="13"/>
      <c r="L67" s="588">
        <f t="shared" si="15"/>
        <v>0</v>
      </c>
      <c r="M67" s="7"/>
      <c r="N67" s="7"/>
      <c r="O67" s="57"/>
      <c r="P67" s="7"/>
      <c r="Q67" s="7"/>
      <c r="R67" s="7"/>
      <c r="S67" s="7"/>
      <c r="T67" s="103"/>
      <c r="AD67" s="323"/>
      <c r="AE67" s="309"/>
      <c r="AF67" s="230"/>
      <c r="AI67" s="323"/>
      <c r="AK67" s="323"/>
      <c r="AR67" s="309"/>
      <c r="AS67" s="230"/>
    </row>
    <row r="68" spans="1:50">
      <c r="A68" s="579"/>
      <c r="B68" s="50"/>
      <c r="C68" s="9"/>
      <c r="D68" s="9"/>
      <c r="E68" s="9"/>
      <c r="F68" s="9"/>
      <c r="G68" s="9"/>
      <c r="H68" s="9"/>
      <c r="I68" s="9"/>
      <c r="J68" s="9"/>
      <c r="K68" s="13"/>
      <c r="L68" s="589">
        <f t="shared" si="15"/>
        <v>0</v>
      </c>
      <c r="M68" s="50"/>
      <c r="N68" s="50"/>
      <c r="O68" s="58"/>
      <c r="P68" s="9"/>
      <c r="Q68" s="9"/>
      <c r="R68" s="9"/>
      <c r="S68" s="9"/>
      <c r="T68" s="141"/>
      <c r="AD68" s="323"/>
      <c r="AE68" s="309"/>
      <c r="AF68" s="230"/>
      <c r="AI68" s="323"/>
      <c r="AK68" s="323"/>
      <c r="AR68" s="309"/>
      <c r="AS68" s="230"/>
    </row>
    <row r="69" spans="1:50" s="163" customFormat="1" ht="3.75" customHeight="1">
      <c r="A69" s="57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583">
        <f t="shared" si="15"/>
        <v>0</v>
      </c>
      <c r="M69" s="13"/>
      <c r="N69" s="13"/>
      <c r="O69" s="515"/>
      <c r="P69" s="13"/>
      <c r="Q69" s="13"/>
      <c r="R69" s="13"/>
      <c r="S69" s="13"/>
      <c r="T69" s="519"/>
      <c r="U69" s="516"/>
      <c r="V69" s="517"/>
      <c r="W69" s="516"/>
      <c r="X69" s="517"/>
      <c r="Y69" s="516"/>
      <c r="Z69" s="517"/>
      <c r="AA69" s="516"/>
      <c r="AB69" s="517"/>
      <c r="AC69" s="516"/>
      <c r="AD69" s="518"/>
      <c r="AE69" s="520"/>
      <c r="AF69" s="521"/>
      <c r="AH69" s="516"/>
      <c r="AI69" s="518"/>
      <c r="AJ69" s="516"/>
      <c r="AK69" s="518"/>
      <c r="AL69" s="516"/>
      <c r="AM69" s="517"/>
      <c r="AN69" s="516"/>
      <c r="AO69" s="517"/>
      <c r="AP69" s="516"/>
      <c r="AQ69" s="517"/>
      <c r="AR69" s="520"/>
      <c r="AS69" s="521"/>
      <c r="AU69" s="538"/>
      <c r="AV69" s="538"/>
      <c r="AW69" s="538"/>
      <c r="AX69" s="538"/>
    </row>
    <row r="70" spans="1:50">
      <c r="A70" s="576"/>
      <c r="B70" s="7"/>
      <c r="C70" s="7"/>
      <c r="D70" s="7"/>
      <c r="E70" s="7"/>
      <c r="F70" s="7"/>
      <c r="G70" s="7"/>
      <c r="H70" s="7"/>
      <c r="I70" s="7"/>
      <c r="J70" s="7"/>
      <c r="K70" s="13"/>
      <c r="L70" s="588">
        <f t="shared" si="15"/>
        <v>0</v>
      </c>
      <c r="M70" s="7"/>
      <c r="N70" s="7"/>
      <c r="O70" s="57"/>
      <c r="P70" s="7"/>
      <c r="Q70" s="7"/>
      <c r="R70" s="7"/>
      <c r="S70" s="7"/>
      <c r="T70" s="103"/>
      <c r="AD70" s="323"/>
      <c r="AE70" s="309"/>
      <c r="AF70" s="230"/>
      <c r="AI70" s="323"/>
      <c r="AK70" s="323"/>
      <c r="AR70" s="309"/>
      <c r="AS70" s="230"/>
    </row>
    <row r="71" spans="1:50">
      <c r="A71" s="579"/>
      <c r="B71" s="50"/>
      <c r="C71" s="9"/>
      <c r="D71" s="9"/>
      <c r="E71" s="9"/>
      <c r="F71" s="9"/>
      <c r="G71" s="9"/>
      <c r="H71" s="9"/>
      <c r="I71" s="9"/>
      <c r="J71" s="9"/>
      <c r="K71" s="13"/>
      <c r="L71" s="589">
        <f t="shared" si="15"/>
        <v>0</v>
      </c>
      <c r="M71" s="50"/>
      <c r="N71" s="50"/>
      <c r="O71" s="58"/>
      <c r="P71" s="9"/>
      <c r="Q71" s="9"/>
      <c r="R71" s="9"/>
      <c r="S71" s="9"/>
      <c r="T71" s="141"/>
      <c r="AD71" s="323"/>
      <c r="AE71" s="309"/>
      <c r="AF71" s="230"/>
      <c r="AI71" s="323"/>
      <c r="AK71" s="323"/>
      <c r="AR71" s="309"/>
      <c r="AS71" s="230"/>
    </row>
    <row r="72" spans="1:50" s="163" customFormat="1" ht="3.75" customHeight="1">
      <c r="A72" s="57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583">
        <f t="shared" si="15"/>
        <v>0</v>
      </c>
      <c r="M72" s="13"/>
      <c r="N72" s="13"/>
      <c r="O72" s="515"/>
      <c r="P72" s="13"/>
      <c r="Q72" s="13"/>
      <c r="R72" s="13"/>
      <c r="S72" s="13"/>
      <c r="T72" s="519"/>
      <c r="U72" s="516"/>
      <c r="V72" s="517"/>
      <c r="W72" s="516"/>
      <c r="X72" s="517"/>
      <c r="Y72" s="516"/>
      <c r="Z72" s="517"/>
      <c r="AA72" s="516"/>
      <c r="AB72" s="517"/>
      <c r="AC72" s="516"/>
      <c r="AD72" s="518"/>
      <c r="AE72" s="520"/>
      <c r="AF72" s="521"/>
      <c r="AH72" s="516"/>
      <c r="AI72" s="518"/>
      <c r="AJ72" s="516"/>
      <c r="AK72" s="518"/>
      <c r="AL72" s="516"/>
      <c r="AM72" s="517"/>
      <c r="AN72" s="516"/>
      <c r="AO72" s="517"/>
      <c r="AP72" s="516"/>
      <c r="AQ72" s="517"/>
      <c r="AR72" s="520"/>
      <c r="AS72" s="521"/>
      <c r="AU72" s="538"/>
      <c r="AV72" s="538"/>
      <c r="AW72" s="538"/>
      <c r="AX72" s="538"/>
    </row>
    <row r="73" spans="1:50">
      <c r="A73" s="576"/>
      <c r="B73" s="7"/>
      <c r="C73" s="7"/>
      <c r="D73" s="7"/>
      <c r="E73" s="7"/>
      <c r="F73" s="7"/>
      <c r="G73" s="7"/>
      <c r="H73" s="7"/>
      <c r="I73" s="7"/>
      <c r="J73" s="7"/>
      <c r="K73" s="13"/>
      <c r="L73" s="588">
        <f t="shared" si="15"/>
        <v>0</v>
      </c>
      <c r="M73" s="7"/>
      <c r="N73" s="7"/>
      <c r="O73" s="57"/>
      <c r="P73" s="7"/>
      <c r="Q73" s="7"/>
      <c r="R73" s="7"/>
      <c r="S73" s="7"/>
      <c r="T73" s="103"/>
      <c r="AD73" s="323"/>
      <c r="AE73" s="309"/>
      <c r="AF73" s="230"/>
      <c r="AI73" s="323"/>
      <c r="AK73" s="323"/>
      <c r="AR73" s="309"/>
      <c r="AS73" s="230"/>
    </row>
    <row r="74" spans="1:50">
      <c r="A74" s="579"/>
      <c r="B74" s="50"/>
      <c r="C74" s="9"/>
      <c r="D74" s="9"/>
      <c r="E74" s="9"/>
      <c r="F74" s="9"/>
      <c r="G74" s="9"/>
      <c r="H74" s="9"/>
      <c r="I74" s="9"/>
      <c r="J74" s="9"/>
      <c r="K74" s="13"/>
      <c r="L74" s="589">
        <f t="shared" si="15"/>
        <v>0</v>
      </c>
      <c r="M74" s="50"/>
      <c r="N74" s="50"/>
      <c r="O74" s="58"/>
      <c r="P74" s="9"/>
      <c r="Q74" s="9"/>
      <c r="R74" s="9"/>
      <c r="S74" s="9"/>
      <c r="T74" s="141"/>
      <c r="AD74" s="323"/>
      <c r="AE74" s="309"/>
      <c r="AF74" s="230"/>
      <c r="AI74" s="323"/>
      <c r="AK74" s="323"/>
      <c r="AR74" s="309"/>
      <c r="AS74" s="230"/>
    </row>
    <row r="75" spans="1:50" s="163" customFormat="1" ht="3.75" customHeight="1">
      <c r="A75" s="57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583">
        <f t="shared" si="15"/>
        <v>0</v>
      </c>
      <c r="M75" s="13"/>
      <c r="N75" s="13"/>
      <c r="O75" s="515"/>
      <c r="P75" s="13"/>
      <c r="Q75" s="13"/>
      <c r="R75" s="13"/>
      <c r="S75" s="13"/>
      <c r="T75" s="519"/>
      <c r="U75" s="516"/>
      <c r="V75" s="517"/>
      <c r="W75" s="516"/>
      <c r="X75" s="517"/>
      <c r="Y75" s="516"/>
      <c r="Z75" s="517"/>
      <c r="AA75" s="516"/>
      <c r="AB75" s="517"/>
      <c r="AC75" s="516"/>
      <c r="AD75" s="518"/>
      <c r="AE75" s="520"/>
      <c r="AF75" s="521"/>
      <c r="AH75" s="516"/>
      <c r="AI75" s="518"/>
      <c r="AJ75" s="516"/>
      <c r="AK75" s="518"/>
      <c r="AL75" s="516"/>
      <c r="AM75" s="517"/>
      <c r="AN75" s="516"/>
      <c r="AO75" s="517"/>
      <c r="AP75" s="516"/>
      <c r="AQ75" s="517"/>
      <c r="AR75" s="520"/>
      <c r="AS75" s="521"/>
      <c r="AU75" s="538"/>
      <c r="AV75" s="538"/>
      <c r="AW75" s="538"/>
      <c r="AX75" s="538"/>
    </row>
    <row r="76" spans="1:50">
      <c r="A76" s="576"/>
      <c r="B76" s="7"/>
      <c r="C76" s="7"/>
      <c r="D76" s="7"/>
      <c r="E76" s="7"/>
      <c r="F76" s="7"/>
      <c r="G76" s="7"/>
      <c r="H76" s="7"/>
      <c r="I76" s="7"/>
      <c r="J76" s="7"/>
      <c r="K76" s="13"/>
      <c r="L76" s="588">
        <f t="shared" si="15"/>
        <v>0</v>
      </c>
      <c r="M76" s="7"/>
      <c r="N76" s="7"/>
      <c r="O76" s="57"/>
      <c r="P76" s="7"/>
      <c r="Q76" s="7"/>
      <c r="R76" s="7"/>
      <c r="S76" s="7"/>
      <c r="T76" s="103"/>
      <c r="AD76" s="323"/>
      <c r="AE76" s="309"/>
      <c r="AF76" s="230"/>
      <c r="AI76" s="323"/>
      <c r="AK76" s="323"/>
      <c r="AR76" s="309"/>
      <c r="AS76" s="230"/>
    </row>
    <row r="77" spans="1:50">
      <c r="A77" s="579"/>
      <c r="B77" s="50"/>
      <c r="C77" s="9"/>
      <c r="D77" s="9"/>
      <c r="E77" s="9"/>
      <c r="F77" s="9"/>
      <c r="G77" s="9"/>
      <c r="H77" s="9"/>
      <c r="I77" s="9"/>
      <c r="J77" s="9"/>
      <c r="K77" s="13"/>
      <c r="L77" s="589">
        <f t="shared" si="15"/>
        <v>0</v>
      </c>
      <c r="M77" s="50"/>
      <c r="N77" s="50"/>
      <c r="O77" s="58"/>
      <c r="P77" s="9"/>
      <c r="Q77" s="9"/>
      <c r="R77" s="9"/>
      <c r="S77" s="9"/>
      <c r="T77" s="141"/>
      <c r="AD77" s="323"/>
      <c r="AE77" s="309"/>
      <c r="AF77" s="230"/>
      <c r="AI77" s="323"/>
      <c r="AK77" s="323"/>
      <c r="AR77" s="309"/>
      <c r="AS77" s="230"/>
    </row>
    <row r="78" spans="1:50" s="163" customFormat="1" ht="3.75" customHeight="1">
      <c r="A78" s="57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583">
        <f t="shared" si="15"/>
        <v>0</v>
      </c>
      <c r="M78" s="13"/>
      <c r="N78" s="13"/>
      <c r="O78" s="515"/>
      <c r="P78" s="13"/>
      <c r="Q78" s="13"/>
      <c r="R78" s="13"/>
      <c r="S78" s="13"/>
      <c r="T78" s="519"/>
      <c r="U78" s="516"/>
      <c r="V78" s="517"/>
      <c r="W78" s="516"/>
      <c r="X78" s="517"/>
      <c r="Y78" s="516"/>
      <c r="Z78" s="517"/>
      <c r="AA78" s="516"/>
      <c r="AB78" s="517"/>
      <c r="AC78" s="516"/>
      <c r="AD78" s="518"/>
      <c r="AE78" s="520"/>
      <c r="AF78" s="521"/>
      <c r="AH78" s="516"/>
      <c r="AI78" s="518"/>
      <c r="AJ78" s="516"/>
      <c r="AK78" s="518"/>
      <c r="AL78" s="516"/>
      <c r="AM78" s="517"/>
      <c r="AN78" s="516"/>
      <c r="AO78" s="517"/>
      <c r="AP78" s="516"/>
      <c r="AQ78" s="517"/>
      <c r="AR78" s="520"/>
      <c r="AS78" s="521"/>
      <c r="AU78" s="538"/>
      <c r="AV78" s="538"/>
      <c r="AW78" s="538"/>
      <c r="AX78" s="538"/>
    </row>
    <row r="79" spans="1:50">
      <c r="A79" s="576"/>
      <c r="B79" s="7"/>
      <c r="C79" s="7"/>
      <c r="D79" s="7"/>
      <c r="E79" s="7"/>
      <c r="F79" s="7"/>
      <c r="G79" s="7"/>
      <c r="H79" s="7"/>
      <c r="I79" s="7"/>
      <c r="J79" s="7"/>
      <c r="K79" s="13"/>
      <c r="L79" s="588">
        <f t="shared" si="15"/>
        <v>0</v>
      </c>
      <c r="M79" s="7"/>
      <c r="N79" s="7"/>
      <c r="O79" s="57"/>
      <c r="P79" s="7"/>
      <c r="Q79" s="7"/>
      <c r="R79" s="7"/>
      <c r="S79" s="7"/>
      <c r="T79" s="103"/>
      <c r="AD79" s="323"/>
      <c r="AE79" s="309"/>
      <c r="AF79" s="230"/>
      <c r="AI79" s="323"/>
      <c r="AK79" s="323"/>
      <c r="AR79" s="309"/>
      <c r="AS79" s="230"/>
    </row>
    <row r="80" spans="1:50">
      <c r="A80" s="579"/>
      <c r="B80" s="50"/>
      <c r="C80" s="9"/>
      <c r="D80" s="9"/>
      <c r="E80" s="9"/>
      <c r="F80" s="9"/>
      <c r="G80" s="9"/>
      <c r="H80" s="9"/>
      <c r="I80" s="9"/>
      <c r="J80" s="9"/>
      <c r="K80" s="13"/>
      <c r="L80" s="589">
        <f t="shared" si="15"/>
        <v>0</v>
      </c>
      <c r="M80" s="50"/>
      <c r="N80" s="50"/>
      <c r="O80" s="58"/>
      <c r="P80" s="9"/>
      <c r="Q80" s="9"/>
      <c r="R80" s="9"/>
      <c r="S80" s="9"/>
      <c r="T80" s="141"/>
      <c r="AD80" s="323"/>
      <c r="AE80" s="309"/>
      <c r="AF80" s="230"/>
      <c r="AI80" s="323"/>
      <c r="AK80" s="323"/>
      <c r="AR80" s="309"/>
      <c r="AS80" s="230"/>
    </row>
    <row r="81" spans="1:50" s="163" customFormat="1" ht="3.75" customHeight="1">
      <c r="A81" s="57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583">
        <f t="shared" si="15"/>
        <v>0</v>
      </c>
      <c r="M81" s="13"/>
      <c r="N81" s="13"/>
      <c r="O81" s="515"/>
      <c r="P81" s="13"/>
      <c r="Q81" s="13"/>
      <c r="R81" s="13"/>
      <c r="S81" s="13"/>
      <c r="T81" s="519"/>
      <c r="U81" s="516"/>
      <c r="V81" s="517"/>
      <c r="W81" s="516"/>
      <c r="X81" s="517"/>
      <c r="Y81" s="516"/>
      <c r="Z81" s="517"/>
      <c r="AA81" s="516"/>
      <c r="AB81" s="517"/>
      <c r="AC81" s="516"/>
      <c r="AD81" s="518"/>
      <c r="AE81" s="520"/>
      <c r="AF81" s="521"/>
      <c r="AH81" s="516"/>
      <c r="AI81" s="518"/>
      <c r="AJ81" s="516"/>
      <c r="AK81" s="518"/>
      <c r="AL81" s="516"/>
      <c r="AM81" s="517"/>
      <c r="AN81" s="516"/>
      <c r="AO81" s="517"/>
      <c r="AP81" s="516"/>
      <c r="AQ81" s="517"/>
      <c r="AR81" s="520"/>
      <c r="AS81" s="521"/>
      <c r="AU81" s="538"/>
      <c r="AV81" s="538"/>
      <c r="AW81" s="538"/>
      <c r="AX81" s="538"/>
    </row>
    <row r="82" spans="1:50">
      <c r="A82" s="576"/>
      <c r="B82" s="7"/>
      <c r="C82" s="7"/>
      <c r="D82" s="7"/>
      <c r="E82" s="7"/>
      <c r="F82" s="7"/>
      <c r="G82" s="7"/>
      <c r="H82" s="7"/>
      <c r="I82" s="7"/>
      <c r="J82" s="7"/>
      <c r="K82" s="13"/>
      <c r="L82" s="588">
        <f t="shared" si="15"/>
        <v>0</v>
      </c>
      <c r="M82" s="7"/>
      <c r="N82" s="7"/>
      <c r="O82" s="57"/>
      <c r="P82" s="7"/>
      <c r="Q82" s="7"/>
      <c r="R82" s="7"/>
      <c r="S82" s="7"/>
      <c r="T82" s="103"/>
      <c r="AD82" s="323"/>
      <c r="AE82" s="309"/>
      <c r="AF82" s="230"/>
      <c r="AI82" s="323"/>
      <c r="AK82" s="323"/>
      <c r="AR82" s="309"/>
      <c r="AS82" s="230"/>
    </row>
    <row r="83" spans="1:50">
      <c r="A83" s="579"/>
      <c r="B83" s="50"/>
      <c r="C83" s="9"/>
      <c r="D83" s="9"/>
      <c r="E83" s="9"/>
      <c r="F83" s="9"/>
      <c r="G83" s="9"/>
      <c r="H83" s="9"/>
      <c r="I83" s="9"/>
      <c r="J83" s="9"/>
      <c r="K83" s="13"/>
      <c r="L83" s="589">
        <f t="shared" si="15"/>
        <v>0</v>
      </c>
      <c r="M83" s="50"/>
      <c r="N83" s="50"/>
      <c r="O83" s="58"/>
      <c r="P83" s="9"/>
      <c r="Q83" s="9"/>
      <c r="R83" s="9"/>
      <c r="S83" s="9"/>
      <c r="T83" s="141"/>
      <c r="AD83" s="323"/>
      <c r="AE83" s="309"/>
      <c r="AF83" s="230"/>
      <c r="AI83" s="323"/>
      <c r="AK83" s="323"/>
      <c r="AR83" s="309"/>
      <c r="AS83" s="230"/>
    </row>
    <row r="84" spans="1:50" s="163" customFormat="1" ht="3.75" customHeight="1">
      <c r="A84" s="57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583">
        <f t="shared" si="15"/>
        <v>0</v>
      </c>
      <c r="M84" s="13"/>
      <c r="N84" s="13"/>
      <c r="O84" s="515"/>
      <c r="P84" s="13"/>
      <c r="Q84" s="13"/>
      <c r="R84" s="13"/>
      <c r="S84" s="13"/>
      <c r="T84" s="519"/>
      <c r="U84" s="516"/>
      <c r="V84" s="517"/>
      <c r="W84" s="516"/>
      <c r="X84" s="517"/>
      <c r="Y84" s="516"/>
      <c r="Z84" s="517"/>
      <c r="AA84" s="516"/>
      <c r="AB84" s="517"/>
      <c r="AC84" s="516"/>
      <c r="AD84" s="518"/>
      <c r="AE84" s="520"/>
      <c r="AF84" s="521"/>
      <c r="AH84" s="516"/>
      <c r="AI84" s="518"/>
      <c r="AJ84" s="516"/>
      <c r="AK84" s="518"/>
      <c r="AL84" s="516"/>
      <c r="AM84" s="517"/>
      <c r="AN84" s="516"/>
      <c r="AO84" s="517"/>
      <c r="AP84" s="516"/>
      <c r="AQ84" s="517"/>
      <c r="AR84" s="520"/>
      <c r="AS84" s="521"/>
      <c r="AU84" s="538"/>
      <c r="AV84" s="538"/>
      <c r="AW84" s="538"/>
      <c r="AX84" s="538"/>
    </row>
    <row r="85" spans="1:50">
      <c r="A85" s="576"/>
      <c r="B85" s="7"/>
      <c r="C85" s="7"/>
      <c r="D85" s="7"/>
      <c r="E85" s="7"/>
      <c r="F85" s="7"/>
      <c r="G85" s="7"/>
      <c r="H85" s="7"/>
      <c r="I85" s="7"/>
      <c r="J85" s="7"/>
      <c r="K85" s="13"/>
      <c r="L85" s="588">
        <f t="shared" si="15"/>
        <v>0</v>
      </c>
      <c r="M85" s="7"/>
      <c r="N85" s="7"/>
      <c r="O85" s="57"/>
      <c r="P85" s="7"/>
      <c r="Q85" s="7"/>
      <c r="R85" s="7"/>
      <c r="S85" s="7"/>
      <c r="T85" s="103"/>
      <c r="AD85" s="323"/>
      <c r="AE85" s="309"/>
      <c r="AF85" s="230"/>
      <c r="AI85" s="323"/>
      <c r="AK85" s="323"/>
      <c r="AR85" s="309"/>
      <c r="AS85" s="230"/>
    </row>
    <row r="86" spans="1:50">
      <c r="A86" s="579"/>
      <c r="B86" s="50"/>
      <c r="C86" s="9"/>
      <c r="D86" s="9"/>
      <c r="E86" s="9"/>
      <c r="F86" s="9"/>
      <c r="G86" s="9"/>
      <c r="H86" s="9"/>
      <c r="I86" s="9"/>
      <c r="J86" s="9"/>
      <c r="K86" s="13"/>
      <c r="L86" s="589">
        <f t="shared" si="15"/>
        <v>0</v>
      </c>
      <c r="M86" s="50"/>
      <c r="N86" s="50"/>
      <c r="O86" s="58"/>
      <c r="P86" s="9"/>
      <c r="Q86" s="9"/>
      <c r="R86" s="9"/>
      <c r="S86" s="9"/>
      <c r="T86" s="141"/>
      <c r="AD86" s="323"/>
      <c r="AE86" s="309"/>
      <c r="AF86" s="230"/>
      <c r="AI86" s="323"/>
      <c r="AK86" s="323"/>
      <c r="AR86" s="309"/>
      <c r="AS86" s="230"/>
    </row>
    <row r="87" spans="1:50" s="163" customFormat="1" ht="3.75" customHeight="1">
      <c r="A87" s="57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583">
        <f t="shared" si="15"/>
        <v>0</v>
      </c>
      <c r="M87" s="13"/>
      <c r="N87" s="13"/>
      <c r="O87" s="515"/>
      <c r="P87" s="13"/>
      <c r="Q87" s="13"/>
      <c r="R87" s="13"/>
      <c r="S87" s="13"/>
      <c r="T87" s="519"/>
      <c r="U87" s="516"/>
      <c r="V87" s="517"/>
      <c r="W87" s="516"/>
      <c r="X87" s="517"/>
      <c r="Y87" s="516"/>
      <c r="Z87" s="517"/>
      <c r="AA87" s="516"/>
      <c r="AB87" s="517"/>
      <c r="AC87" s="516"/>
      <c r="AD87" s="518"/>
      <c r="AE87" s="520"/>
      <c r="AF87" s="521"/>
      <c r="AH87" s="516"/>
      <c r="AI87" s="518"/>
      <c r="AJ87" s="516"/>
      <c r="AK87" s="518"/>
      <c r="AL87" s="516"/>
      <c r="AM87" s="517"/>
      <c r="AN87" s="516"/>
      <c r="AO87" s="517"/>
      <c r="AP87" s="516"/>
      <c r="AQ87" s="517"/>
      <c r="AR87" s="520"/>
      <c r="AS87" s="521"/>
      <c r="AU87" s="538"/>
      <c r="AV87" s="538"/>
      <c r="AW87" s="538"/>
      <c r="AX87" s="538"/>
    </row>
    <row r="88" spans="1:50">
      <c r="A88" s="576"/>
      <c r="B88" s="7"/>
      <c r="C88" s="7"/>
      <c r="D88" s="7"/>
      <c r="E88" s="7"/>
      <c r="F88" s="7"/>
      <c r="G88" s="7"/>
      <c r="H88" s="7"/>
      <c r="I88" s="7"/>
      <c r="J88" s="7"/>
      <c r="K88" s="13"/>
      <c r="L88" s="588">
        <f t="shared" si="15"/>
        <v>0</v>
      </c>
      <c r="M88" s="7"/>
      <c r="N88" s="7"/>
      <c r="O88" s="57"/>
      <c r="P88" s="7"/>
      <c r="Q88" s="7"/>
      <c r="R88" s="7"/>
      <c r="S88" s="7"/>
      <c r="T88" s="103"/>
      <c r="AD88" s="323"/>
      <c r="AE88" s="309"/>
      <c r="AF88" s="230"/>
      <c r="AI88" s="323"/>
      <c r="AK88" s="323"/>
      <c r="AR88" s="309"/>
      <c r="AS88" s="230"/>
    </row>
    <row r="89" spans="1:50">
      <c r="A89" s="579"/>
      <c r="B89" s="50"/>
      <c r="C89" s="9"/>
      <c r="D89" s="9"/>
      <c r="E89" s="9"/>
      <c r="F89" s="9"/>
      <c r="G89" s="9"/>
      <c r="H89" s="9"/>
      <c r="I89" s="9"/>
      <c r="J89" s="9"/>
      <c r="K89" s="13"/>
      <c r="L89" s="589">
        <f t="shared" si="15"/>
        <v>0</v>
      </c>
      <c r="M89" s="50"/>
      <c r="N89" s="50"/>
      <c r="O89" s="58"/>
      <c r="P89" s="9"/>
      <c r="Q89" s="9"/>
      <c r="R89" s="9"/>
      <c r="S89" s="9"/>
      <c r="T89" s="141"/>
      <c r="AD89" s="323"/>
      <c r="AE89" s="309"/>
      <c r="AF89" s="230"/>
      <c r="AI89" s="323"/>
      <c r="AK89" s="323"/>
      <c r="AR89" s="309"/>
      <c r="AS89" s="230"/>
    </row>
  </sheetData>
  <pageMargins left="0.7" right="0.7" top="0.75" bottom="0.75" header="0.3" footer="0.3"/>
  <pageSetup fitToWidth="0" fitToHeight="0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7353-CF4F-44A3-B1AE-577491983372}">
  <dimension ref="A1:AP81"/>
  <sheetViews>
    <sheetView topLeftCell="A2" zoomScale="80" zoomScaleNormal="80" workbookViewId="0">
      <selection activeCell="N6" sqref="N6"/>
    </sheetView>
  </sheetViews>
  <sheetFormatPr defaultColWidth="8.85546875" defaultRowHeight="14.45"/>
  <cols>
    <col min="1" max="1" width="21" style="5" bestFit="1" customWidth="1"/>
    <col min="2" max="2" width="15.140625" style="5" bestFit="1" customWidth="1"/>
    <col min="3" max="3" width="5.5703125" style="5" bestFit="1" customWidth="1"/>
    <col min="4" max="10" width="5.28515625" style="5" customWidth="1"/>
    <col min="11" max="11" width="8.5703125" style="5" customWidth="1"/>
    <col min="12" max="15" width="5.28515625" style="5" customWidth="1"/>
    <col min="16" max="17" width="5.28515625" customWidth="1"/>
    <col min="18" max="20" width="5.28515625" style="5" customWidth="1"/>
    <col min="21" max="21" width="0.7109375" style="11" customWidth="1"/>
    <col min="22" max="22" width="20.140625" style="5" bestFit="1" customWidth="1"/>
    <col min="23" max="24" width="4.7109375" style="5" bestFit="1" customWidth="1"/>
    <col min="25" max="25" width="6.5703125" style="96" bestFit="1" customWidth="1"/>
    <col min="26" max="26" width="11.5703125" style="5" bestFit="1" customWidth="1"/>
    <col min="27" max="29" width="10.85546875" style="5" bestFit="1" customWidth="1"/>
    <col min="30" max="30" width="12.7109375" style="5" bestFit="1" customWidth="1"/>
    <col min="31" max="31" width="27" style="234" bestFit="1" customWidth="1"/>
    <col min="32" max="32" width="22.42578125" style="325" customWidth="1"/>
    <col min="33" max="33" width="19.140625" style="187" customWidth="1"/>
    <col min="34" max="34" width="17.5703125" style="348" customWidth="1"/>
    <col min="35" max="35" width="21.42578125" style="269" bestFit="1" customWidth="1"/>
    <col min="36" max="36" width="19" style="351" bestFit="1" customWidth="1"/>
    <col min="37" max="37" width="21.42578125" style="282" bestFit="1" customWidth="1"/>
    <col min="38" max="38" width="19" style="315" bestFit="1" customWidth="1"/>
    <col min="39" max="39" width="28.7109375" style="219" bestFit="1" customWidth="1"/>
    <col min="40" max="40" width="17.140625" style="247" bestFit="1" customWidth="1"/>
    <col min="41" max="41" width="25.7109375" style="343" bestFit="1" customWidth="1"/>
    <col min="42" max="42" width="19" style="344" bestFit="1" customWidth="1"/>
    <col min="43" max="16384" width="8.85546875" style="5"/>
  </cols>
  <sheetData>
    <row r="1" spans="1:42" ht="18.600000000000001">
      <c r="A1" s="22" t="s">
        <v>967</v>
      </c>
      <c r="B1" s="23"/>
      <c r="C1" s="23"/>
      <c r="D1" s="24"/>
      <c r="E1" s="1035" t="s">
        <v>915</v>
      </c>
      <c r="F1" s="1036"/>
      <c r="G1" s="1037"/>
      <c r="H1" s="1037"/>
      <c r="I1" s="1037"/>
      <c r="J1" s="1037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94"/>
      <c r="Z1" s="24"/>
      <c r="AA1" s="24"/>
      <c r="AB1" s="24"/>
      <c r="AC1" s="24"/>
      <c r="AD1" s="24"/>
      <c r="AE1" s="294"/>
      <c r="AF1" s="297"/>
      <c r="AG1" s="294"/>
      <c r="AH1" s="297"/>
      <c r="AI1" s="294"/>
      <c r="AJ1" s="297"/>
      <c r="AK1" s="294"/>
      <c r="AL1" s="297"/>
      <c r="AM1" s="294"/>
      <c r="AN1" s="294"/>
      <c r="AO1" s="295"/>
      <c r="AP1" s="299"/>
    </row>
    <row r="2" spans="1:42" s="81" customFormat="1" ht="138" customHeight="1">
      <c r="A2" s="104" t="s">
        <v>612</v>
      </c>
      <c r="B2" s="101" t="s">
        <v>613</v>
      </c>
      <c r="C2" s="101" t="s">
        <v>614</v>
      </c>
      <c r="D2" s="89" t="s">
        <v>615</v>
      </c>
      <c r="E2" s="92" t="s">
        <v>89</v>
      </c>
      <c r="F2" s="92" t="s">
        <v>365</v>
      </c>
      <c r="G2" s="92" t="s">
        <v>150</v>
      </c>
      <c r="H2" s="92" t="s">
        <v>617</v>
      </c>
      <c r="I2" s="92" t="s">
        <v>159</v>
      </c>
      <c r="J2" s="92" t="s">
        <v>152</v>
      </c>
      <c r="K2" s="90" t="s">
        <v>154</v>
      </c>
      <c r="L2" s="89" t="s">
        <v>107</v>
      </c>
      <c r="M2" s="89" t="s">
        <v>274</v>
      </c>
      <c r="N2" s="89" t="s">
        <v>298</v>
      </c>
      <c r="O2" s="89" t="s">
        <v>111</v>
      </c>
      <c r="P2" s="89" t="s">
        <v>161</v>
      </c>
      <c r="Q2" s="89" t="s">
        <v>146</v>
      </c>
      <c r="R2" s="89" t="s">
        <v>120</v>
      </c>
      <c r="S2" s="89" t="s">
        <v>191</v>
      </c>
      <c r="T2" s="89" t="s">
        <v>1195</v>
      </c>
      <c r="U2" s="91" t="s">
        <v>289</v>
      </c>
      <c r="V2" s="88" t="s">
        <v>612</v>
      </c>
      <c r="W2" s="89" t="s">
        <v>621</v>
      </c>
      <c r="X2" s="89" t="s">
        <v>622</v>
      </c>
      <c r="Y2" s="95" t="s">
        <v>624</v>
      </c>
      <c r="Z2" s="93" t="s">
        <v>918</v>
      </c>
      <c r="AA2" s="89" t="s">
        <v>626</v>
      </c>
      <c r="AB2" s="89" t="s">
        <v>919</v>
      </c>
      <c r="AC2" s="89" t="s">
        <v>920</v>
      </c>
      <c r="AD2" s="165" t="s">
        <v>630</v>
      </c>
      <c r="AE2" s="300" t="s">
        <v>972</v>
      </c>
      <c r="AF2" s="324" t="s">
        <v>922</v>
      </c>
      <c r="AG2" s="331" t="s">
        <v>1196</v>
      </c>
      <c r="AH2" s="347" t="s">
        <v>1197</v>
      </c>
      <c r="AI2" s="349" t="s">
        <v>665</v>
      </c>
      <c r="AJ2" s="350" t="s">
        <v>666</v>
      </c>
      <c r="AK2" s="352" t="s">
        <v>927</v>
      </c>
      <c r="AL2" s="353" t="s">
        <v>928</v>
      </c>
      <c r="AM2" s="333" t="s">
        <v>978</v>
      </c>
      <c r="AN2" s="334" t="s">
        <v>642</v>
      </c>
      <c r="AO2" s="335" t="s">
        <v>930</v>
      </c>
      <c r="AP2" s="232" t="s">
        <v>644</v>
      </c>
    </row>
    <row r="3" spans="1:4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13"/>
      <c r="V3" s="7"/>
      <c r="W3" s="7"/>
      <c r="X3" s="7"/>
      <c r="Y3" s="57"/>
      <c r="Z3" s="7"/>
      <c r="AA3" s="7"/>
      <c r="AB3" s="7"/>
      <c r="AC3" s="7"/>
      <c r="AD3" s="166"/>
      <c r="AN3" s="323"/>
      <c r="AO3" s="336"/>
      <c r="AP3" s="229"/>
    </row>
    <row r="4" spans="1:42">
      <c r="A4" s="79"/>
      <c r="B4" s="79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108"/>
      <c r="O4" s="108"/>
      <c r="P4" s="21"/>
      <c r="Q4" s="21"/>
      <c r="R4" s="108"/>
      <c r="S4" s="21"/>
      <c r="T4" s="21"/>
      <c r="U4" s="12"/>
      <c r="V4" s="21"/>
      <c r="W4" s="79"/>
      <c r="X4" s="21"/>
      <c r="Y4" s="56"/>
      <c r="Z4" s="21"/>
      <c r="AA4" s="21"/>
      <c r="AB4" s="21"/>
      <c r="AC4" s="21"/>
      <c r="AD4" s="164"/>
      <c r="AN4" s="323"/>
      <c r="AO4" s="309"/>
      <c r="AP4" s="230"/>
    </row>
    <row r="5" spans="1:4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3"/>
      <c r="V5" s="7"/>
      <c r="W5" s="7"/>
      <c r="X5" s="7"/>
      <c r="Y5" s="57"/>
      <c r="Z5" s="7"/>
      <c r="AA5" s="7"/>
      <c r="AB5" s="7"/>
      <c r="AC5" s="7"/>
      <c r="AD5" s="103"/>
      <c r="AE5" s="233"/>
      <c r="AN5" s="323"/>
      <c r="AO5" s="309"/>
      <c r="AP5" s="230"/>
    </row>
    <row r="6" spans="1:42">
      <c r="A6" s="50"/>
      <c r="B6" s="5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3"/>
      <c r="V6" s="21"/>
      <c r="W6" s="9"/>
      <c r="X6" s="9"/>
      <c r="Y6" s="58"/>
      <c r="Z6" s="9"/>
      <c r="AA6" s="9"/>
      <c r="AB6" s="9"/>
      <c r="AC6" s="9"/>
      <c r="AD6" s="141"/>
      <c r="AN6" s="225"/>
      <c r="AO6" s="309"/>
      <c r="AP6" s="230"/>
    </row>
    <row r="7" spans="1:42" s="163" customFormat="1">
      <c r="A7" s="98" t="s">
        <v>1198</v>
      </c>
      <c r="B7" s="98" t="s">
        <v>1199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13"/>
      <c r="V7" s="161" t="str">
        <f>A7</f>
        <v>L950REEDSCROSSOR</v>
      </c>
      <c r="W7" s="98"/>
      <c r="X7" s="98"/>
      <c r="Y7" s="162"/>
      <c r="Z7" s="98"/>
      <c r="AA7" s="98"/>
      <c r="AB7" s="98"/>
      <c r="AC7" s="98"/>
      <c r="AD7" s="346"/>
      <c r="AE7" s="234">
        <v>97010450</v>
      </c>
      <c r="AF7" s="325">
        <v>21630.21</v>
      </c>
      <c r="AG7" s="187"/>
      <c r="AH7" s="348"/>
      <c r="AI7" s="269">
        <v>97035402</v>
      </c>
      <c r="AJ7" s="351">
        <v>450</v>
      </c>
      <c r="AK7" s="282"/>
      <c r="AL7" s="315"/>
      <c r="AM7" s="219">
        <v>97010450</v>
      </c>
      <c r="AN7" s="225">
        <v>7389.54</v>
      </c>
      <c r="AO7" s="309">
        <v>97010450</v>
      </c>
      <c r="AP7" s="230">
        <f>AN7+AF7+AJ7</f>
        <v>29469.75</v>
      </c>
    </row>
    <row r="8" spans="1:42" s="107" customFormat="1">
      <c r="A8" s="37" t="s">
        <v>1200</v>
      </c>
      <c r="B8" s="37" t="s">
        <v>1199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13"/>
      <c r="V8" s="37" t="str">
        <f>A8</f>
        <v>L951REEDSCROSSOR</v>
      </c>
      <c r="W8" s="37"/>
      <c r="X8" s="37"/>
      <c r="Y8" s="106"/>
      <c r="Z8" s="37"/>
      <c r="AA8" s="37"/>
      <c r="AB8" s="37"/>
      <c r="AC8" s="37"/>
      <c r="AD8" s="310"/>
      <c r="AE8" s="233">
        <v>97010451</v>
      </c>
      <c r="AF8" s="325">
        <v>21497.65</v>
      </c>
      <c r="AG8" s="187"/>
      <c r="AH8" s="348"/>
      <c r="AI8" s="269">
        <v>97035420</v>
      </c>
      <c r="AJ8" s="351">
        <v>450</v>
      </c>
      <c r="AK8" s="282"/>
      <c r="AL8" s="315"/>
      <c r="AM8" s="219">
        <v>97010451</v>
      </c>
      <c r="AN8" s="225">
        <v>6909.01</v>
      </c>
      <c r="AO8" s="309">
        <v>97010451</v>
      </c>
      <c r="AP8" s="230">
        <f>AN8+AF8+AJ8</f>
        <v>28856.660000000003</v>
      </c>
    </row>
    <row r="9" spans="1:42" s="163" customFormat="1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13"/>
      <c r="V9" s="161"/>
      <c r="W9" s="98"/>
      <c r="X9" s="98"/>
      <c r="Y9" s="162"/>
      <c r="Z9" s="98"/>
      <c r="AA9" s="98"/>
      <c r="AB9" s="98"/>
      <c r="AC9" s="98"/>
      <c r="AD9" s="346"/>
      <c r="AE9" s="233"/>
      <c r="AF9" s="325"/>
      <c r="AG9" s="187"/>
      <c r="AH9" s="348"/>
      <c r="AI9" s="269"/>
      <c r="AJ9" s="351"/>
      <c r="AK9" s="282"/>
      <c r="AL9" s="315"/>
      <c r="AM9" s="219"/>
      <c r="AN9" s="225"/>
      <c r="AO9" s="309"/>
      <c r="AP9" s="230"/>
    </row>
    <row r="10" spans="1:42" s="107" customFormat="1">
      <c r="A10" s="37" t="s">
        <v>1201</v>
      </c>
      <c r="B10" s="37" t="s">
        <v>1202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13"/>
      <c r="V10" s="108" t="str">
        <f>A10</f>
        <v>L952REEDSCROSSOR</v>
      </c>
      <c r="W10" s="37"/>
      <c r="X10" s="37"/>
      <c r="Y10" s="106"/>
      <c r="Z10" s="37"/>
      <c r="AA10" s="37"/>
      <c r="AB10" s="37"/>
      <c r="AC10" s="37"/>
      <c r="AD10" s="310"/>
      <c r="AE10" s="233">
        <v>96933624</v>
      </c>
      <c r="AF10" s="325">
        <v>22237.69</v>
      </c>
      <c r="AG10" s="187"/>
      <c r="AH10" s="348"/>
      <c r="AI10" s="269">
        <v>97035436</v>
      </c>
      <c r="AJ10" s="351">
        <v>450</v>
      </c>
      <c r="AK10" s="282"/>
      <c r="AL10" s="315"/>
      <c r="AM10" s="219">
        <v>96933624</v>
      </c>
      <c r="AN10" s="225">
        <v>7389.54</v>
      </c>
      <c r="AO10" s="309">
        <v>96933624</v>
      </c>
      <c r="AP10" s="230">
        <f>AN10+AJ10+AF10</f>
        <v>30077.23</v>
      </c>
    </row>
    <row r="11" spans="1:42">
      <c r="A11" s="7" t="s">
        <v>1203</v>
      </c>
      <c r="B11" s="7" t="s">
        <v>1202</v>
      </c>
      <c r="C11" s="7"/>
      <c r="D11" s="7"/>
      <c r="E11" s="7"/>
      <c r="F11" s="7"/>
      <c r="G11" s="7"/>
      <c r="H11" s="7"/>
      <c r="I11" s="7"/>
      <c r="J11" s="7"/>
      <c r="K11" s="7"/>
      <c r="L11" s="98"/>
      <c r="M11" s="7"/>
      <c r="N11" s="7"/>
      <c r="O11" s="7"/>
      <c r="P11" s="7"/>
      <c r="Q11" s="7"/>
      <c r="R11" s="7"/>
      <c r="S11" s="7"/>
      <c r="T11" s="7"/>
      <c r="U11" s="13"/>
      <c r="V11" s="6" t="str">
        <f>A11</f>
        <v>L953REEDSCROSSOR</v>
      </c>
      <c r="W11" s="7"/>
      <c r="X11" s="7"/>
      <c r="Y11" s="57"/>
      <c r="Z11" s="7"/>
      <c r="AA11" s="7"/>
      <c r="AB11" s="98"/>
      <c r="AC11" s="98"/>
      <c r="AD11" s="103"/>
      <c r="AE11" s="233">
        <v>96933637</v>
      </c>
      <c r="AF11" s="325">
        <v>22100.16</v>
      </c>
      <c r="AI11" s="269">
        <v>97035459</v>
      </c>
      <c r="AJ11" s="351">
        <v>450</v>
      </c>
      <c r="AM11" s="219">
        <v>96933637</v>
      </c>
      <c r="AN11" s="225">
        <v>6909.01</v>
      </c>
      <c r="AO11" s="309">
        <v>96933637</v>
      </c>
      <c r="AP11" s="230">
        <f>AN11+AJ11+AF11</f>
        <v>29459.17</v>
      </c>
    </row>
    <row r="12" spans="1:42" s="163" customFormat="1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13"/>
      <c r="V12" s="161"/>
      <c r="W12" s="98"/>
      <c r="X12" s="98"/>
      <c r="Y12" s="162"/>
      <c r="AA12" s="98"/>
      <c r="AB12" s="98"/>
      <c r="AC12" s="98"/>
      <c r="AD12" s="346"/>
      <c r="AE12" s="233"/>
      <c r="AF12" s="325"/>
      <c r="AG12" s="187"/>
      <c r="AH12" s="348"/>
      <c r="AI12" s="269"/>
      <c r="AJ12" s="351"/>
      <c r="AK12" s="282"/>
      <c r="AL12" s="315"/>
      <c r="AM12" s="219"/>
      <c r="AN12" s="225"/>
      <c r="AO12" s="309"/>
      <c r="AP12" s="230"/>
    </row>
    <row r="13" spans="1:42" s="107" customFormat="1">
      <c r="A13" s="37" t="s">
        <v>1204</v>
      </c>
      <c r="B13" s="37" t="s">
        <v>1205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13"/>
      <c r="V13" s="108" t="str">
        <f>A13</f>
        <v>L954REEDSCROSSOR</v>
      </c>
      <c r="W13" s="37"/>
      <c r="X13" s="37"/>
      <c r="Y13" s="106"/>
      <c r="Z13" s="37"/>
      <c r="AA13" s="37"/>
      <c r="AB13" s="37"/>
      <c r="AC13" s="37"/>
      <c r="AD13" s="310"/>
      <c r="AE13" s="462">
        <v>97076101</v>
      </c>
      <c r="AF13" s="458">
        <v>21630.21</v>
      </c>
      <c r="AG13" s="187"/>
      <c r="AH13" s="348"/>
      <c r="AI13" s="435">
        <v>97075742</v>
      </c>
      <c r="AJ13" s="463">
        <v>450</v>
      </c>
      <c r="AK13" s="282"/>
      <c r="AL13" s="315"/>
      <c r="AM13" s="439">
        <v>97076101</v>
      </c>
      <c r="AN13" s="440">
        <v>7389.54</v>
      </c>
      <c r="AO13" s="464">
        <v>97076101</v>
      </c>
      <c r="AP13" s="465">
        <f>AN13+AJ13+AF13</f>
        <v>29469.75</v>
      </c>
    </row>
    <row r="14" spans="1:42">
      <c r="A14" s="7" t="s">
        <v>1206</v>
      </c>
      <c r="B14" s="7" t="s">
        <v>1205</v>
      </c>
      <c r="C14" s="7"/>
      <c r="D14" s="7"/>
      <c r="E14" s="7"/>
      <c r="F14" s="7"/>
      <c r="G14" s="7"/>
      <c r="H14" s="7"/>
      <c r="I14" s="7"/>
      <c r="J14" s="7"/>
      <c r="K14" s="7"/>
      <c r="L14" s="98"/>
      <c r="M14" s="7"/>
      <c r="N14" s="7"/>
      <c r="O14" s="7"/>
      <c r="P14" s="7"/>
      <c r="Q14" s="7"/>
      <c r="R14" s="7"/>
      <c r="S14" s="7"/>
      <c r="T14" s="7"/>
      <c r="U14" s="13"/>
      <c r="V14" s="6" t="str">
        <f>A14</f>
        <v>L955REEDSCROSSOR</v>
      </c>
      <c r="W14" s="7"/>
      <c r="X14" s="7"/>
      <c r="Y14" s="57"/>
      <c r="Z14" s="7"/>
      <c r="AA14" s="7"/>
      <c r="AB14" s="98"/>
      <c r="AC14" s="98"/>
      <c r="AD14" s="103"/>
      <c r="AE14" s="462">
        <v>97076126</v>
      </c>
      <c r="AF14" s="458">
        <v>21497.64</v>
      </c>
      <c r="AI14" s="435">
        <v>97075783</v>
      </c>
      <c r="AJ14" s="463">
        <v>450</v>
      </c>
      <c r="AM14" s="439">
        <v>97076126</v>
      </c>
      <c r="AN14" s="440">
        <v>6909.01</v>
      </c>
      <c r="AO14" s="464">
        <v>97076126</v>
      </c>
      <c r="AP14" s="465">
        <f>AN14+AJ14+AF14</f>
        <v>28856.65</v>
      </c>
    </row>
    <row r="15" spans="1:42" s="107" customForma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13"/>
      <c r="V15" s="108"/>
      <c r="W15" s="37"/>
      <c r="X15" s="37"/>
      <c r="Y15" s="106"/>
      <c r="AA15" s="37"/>
      <c r="AB15" s="37"/>
      <c r="AC15" s="37"/>
      <c r="AD15" s="310"/>
      <c r="AE15" s="233"/>
      <c r="AF15" s="325"/>
      <c r="AG15" s="187"/>
      <c r="AH15" s="348"/>
      <c r="AI15" s="269"/>
      <c r="AJ15" s="351"/>
      <c r="AK15" s="282"/>
      <c r="AL15" s="315"/>
      <c r="AM15" s="219"/>
      <c r="AN15" s="225"/>
      <c r="AO15" s="309"/>
      <c r="AP15" s="230"/>
    </row>
    <row r="16" spans="1:42">
      <c r="A16" s="7" t="s">
        <v>1207</v>
      </c>
      <c r="B16" s="7" t="s">
        <v>1199</v>
      </c>
      <c r="C16" s="7"/>
      <c r="D16" s="7"/>
      <c r="E16" s="7"/>
      <c r="F16" s="7"/>
      <c r="G16" s="7"/>
      <c r="H16" s="7"/>
      <c r="I16" s="7"/>
      <c r="J16" s="7"/>
      <c r="K16" s="7"/>
      <c r="L16" s="98"/>
      <c r="M16" s="7"/>
      <c r="N16" s="7"/>
      <c r="O16" s="7"/>
      <c r="P16" s="7"/>
      <c r="Q16" s="7"/>
      <c r="R16" s="7"/>
      <c r="S16" s="7"/>
      <c r="T16" s="7"/>
      <c r="U16" s="13"/>
      <c r="V16" s="6" t="str">
        <f>A16</f>
        <v>L956REEDSCROSSOR</v>
      </c>
      <c r="W16" s="7"/>
      <c r="X16" s="7"/>
      <c r="Y16" s="57"/>
      <c r="Z16" s="7"/>
      <c r="AA16" s="7"/>
      <c r="AB16" s="98"/>
      <c r="AC16" s="98"/>
      <c r="AD16" s="103"/>
      <c r="AE16" s="462">
        <v>97076149</v>
      </c>
      <c r="AF16" s="458">
        <v>21630.21</v>
      </c>
      <c r="AI16" s="435">
        <v>97075823</v>
      </c>
      <c r="AJ16" s="463">
        <v>450</v>
      </c>
      <c r="AM16" s="439">
        <v>97076149</v>
      </c>
      <c r="AN16" s="440">
        <v>7389.54</v>
      </c>
      <c r="AO16" s="464">
        <v>97076149</v>
      </c>
      <c r="AP16" s="465">
        <f>AN16+AJ16+AF16</f>
        <v>29469.75</v>
      </c>
    </row>
    <row r="17" spans="1:42" s="107" customFormat="1">
      <c r="A17" s="37" t="s">
        <v>1208</v>
      </c>
      <c r="B17" s="37" t="s">
        <v>1199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13"/>
      <c r="V17" s="108" t="str">
        <f>A17</f>
        <v>L957REEDSCROSSOR</v>
      </c>
      <c r="W17" s="37"/>
      <c r="X17" s="37"/>
      <c r="Y17" s="106"/>
      <c r="Z17" s="37"/>
      <c r="AA17" s="37"/>
      <c r="AB17" s="37"/>
      <c r="AC17" s="37"/>
      <c r="AD17" s="310"/>
      <c r="AE17" s="462">
        <v>97076163</v>
      </c>
      <c r="AF17" s="458">
        <v>21497.64</v>
      </c>
      <c r="AG17" s="187"/>
      <c r="AH17" s="348"/>
      <c r="AI17" s="435">
        <v>97075884</v>
      </c>
      <c r="AJ17" s="463">
        <v>450</v>
      </c>
      <c r="AK17" s="282"/>
      <c r="AL17" s="315"/>
      <c r="AM17" s="439">
        <v>97076163</v>
      </c>
      <c r="AN17" s="440">
        <v>6909.01</v>
      </c>
      <c r="AO17" s="464">
        <v>97076163</v>
      </c>
      <c r="AP17" s="465">
        <f>AN17+AJ17+AF17</f>
        <v>28856.65</v>
      </c>
    </row>
    <row r="18" spans="1:4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13"/>
      <c r="V18" s="7" t="s">
        <v>289</v>
      </c>
      <c r="W18" s="7"/>
      <c r="X18" s="7"/>
      <c r="Y18" s="57"/>
      <c r="Z18" s="7"/>
      <c r="AA18" s="7"/>
      <c r="AB18" s="7"/>
      <c r="AC18" s="7"/>
      <c r="AD18" s="103"/>
      <c r="AN18" s="323"/>
      <c r="AO18" s="309"/>
      <c r="AP18" s="230"/>
    </row>
    <row r="19" spans="1:42">
      <c r="A19" s="7" t="s">
        <v>1209</v>
      </c>
      <c r="B19" s="7" t="s">
        <v>1202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13"/>
      <c r="V19" s="7" t="str">
        <f t="shared" ref="V19:V20" si="0">A19</f>
        <v>L958REEDSCROSSOR</v>
      </c>
      <c r="W19" s="31"/>
      <c r="X19" s="7"/>
      <c r="Y19" s="57"/>
      <c r="Z19" s="7"/>
      <c r="AA19" s="31"/>
      <c r="AB19" s="31"/>
      <c r="AC19" s="31"/>
      <c r="AD19" s="169"/>
      <c r="AE19" s="437">
        <v>97076178</v>
      </c>
      <c r="AF19" s="458">
        <v>21630.21</v>
      </c>
      <c r="AI19" s="435">
        <v>97075939</v>
      </c>
      <c r="AJ19" s="463">
        <v>450</v>
      </c>
      <c r="AM19" s="439">
        <v>97076178</v>
      </c>
      <c r="AN19" s="440">
        <v>7389.54</v>
      </c>
      <c r="AO19" s="464">
        <v>97076178</v>
      </c>
      <c r="AP19" s="465">
        <f>AN19+AJ19+AF19</f>
        <v>29469.75</v>
      </c>
    </row>
    <row r="20" spans="1:42">
      <c r="A20" s="37" t="s">
        <v>1210</v>
      </c>
      <c r="B20" s="37" t="s">
        <v>1202</v>
      </c>
      <c r="C20" s="9"/>
      <c r="D20" s="9"/>
      <c r="E20" s="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9"/>
      <c r="T20" s="9"/>
      <c r="U20" s="13"/>
      <c r="V20" s="21" t="str">
        <f t="shared" si="0"/>
        <v>L959REEDSCROSSOR</v>
      </c>
      <c r="W20" s="50"/>
      <c r="X20" s="37"/>
      <c r="Y20" s="58"/>
      <c r="Z20" s="9"/>
      <c r="AA20" s="32"/>
      <c r="AB20" s="32"/>
      <c r="AC20" s="32"/>
      <c r="AD20" s="168"/>
      <c r="AE20" s="437">
        <v>97076194</v>
      </c>
      <c r="AF20" s="458">
        <v>21497.64</v>
      </c>
      <c r="AI20" s="435">
        <v>97075978</v>
      </c>
      <c r="AJ20" s="463">
        <v>450</v>
      </c>
      <c r="AM20" s="439">
        <v>97076194</v>
      </c>
      <c r="AN20" s="440">
        <v>6909.01</v>
      </c>
      <c r="AO20" s="464">
        <v>97076178</v>
      </c>
      <c r="AP20" s="465">
        <f>AN20+AJ20+AF20</f>
        <v>28856.65</v>
      </c>
    </row>
    <row r="21" spans="1:42" s="163" customFormat="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13"/>
      <c r="V21" s="161"/>
      <c r="W21" s="98"/>
      <c r="X21" s="98"/>
      <c r="Y21" s="162"/>
      <c r="Z21" s="98"/>
      <c r="AA21" s="98"/>
      <c r="AB21" s="98"/>
      <c r="AC21" s="98"/>
      <c r="AD21" s="346"/>
      <c r="AE21" s="234"/>
      <c r="AF21" s="325"/>
      <c r="AG21" s="187"/>
      <c r="AH21" s="348"/>
      <c r="AI21" s="269"/>
      <c r="AJ21" s="351"/>
      <c r="AK21" s="282"/>
      <c r="AL21" s="315"/>
      <c r="AM21" s="219"/>
      <c r="AN21" s="323"/>
      <c r="AO21" s="309"/>
      <c r="AP21" s="230"/>
    </row>
    <row r="22" spans="1:42">
      <c r="A22" s="7" t="s">
        <v>1211</v>
      </c>
      <c r="B22" s="7" t="s">
        <v>1205</v>
      </c>
      <c r="C22" s="7"/>
      <c r="D22" s="7"/>
      <c r="E22" s="9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98"/>
      <c r="S22" s="7"/>
      <c r="T22" s="7"/>
      <c r="U22" s="13"/>
      <c r="V22" s="7" t="str">
        <f>A22</f>
        <v>L960REEDSCROSSOR</v>
      </c>
      <c r="W22" s="7"/>
      <c r="X22" s="7"/>
      <c r="Y22" s="57"/>
      <c r="Z22" s="7"/>
      <c r="AA22" s="7"/>
      <c r="AB22" s="7"/>
      <c r="AC22" s="7"/>
      <c r="AD22" s="103"/>
      <c r="AE22" s="234">
        <v>96933650</v>
      </c>
      <c r="AF22" s="325">
        <v>22237.69</v>
      </c>
      <c r="AG22" s="189"/>
      <c r="AI22" s="269">
        <v>97035475</v>
      </c>
      <c r="AJ22" s="351">
        <v>450</v>
      </c>
      <c r="AM22" s="219">
        <v>96933650</v>
      </c>
      <c r="AN22" s="225">
        <v>7389.54</v>
      </c>
      <c r="AO22" s="309">
        <v>96933650</v>
      </c>
      <c r="AP22" s="230">
        <f>AN22+AF22+AJ22</f>
        <v>30077.23</v>
      </c>
    </row>
    <row r="23" spans="1:42">
      <c r="A23" s="37" t="s">
        <v>1212</v>
      </c>
      <c r="B23" s="37" t="s">
        <v>1205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3"/>
      <c r="V23" s="21" t="str">
        <f>A23</f>
        <v>L961REEDSCROSSOR</v>
      </c>
      <c r="W23" s="9"/>
      <c r="X23" s="9"/>
      <c r="Y23" s="58"/>
      <c r="Z23" s="9"/>
      <c r="AA23" s="9"/>
      <c r="AB23" s="9"/>
      <c r="AC23" s="9"/>
      <c r="AD23" s="141"/>
      <c r="AE23" s="234">
        <v>96986290</v>
      </c>
      <c r="AF23" s="325">
        <v>22100.16</v>
      </c>
      <c r="AG23" s="189"/>
      <c r="AI23" s="269">
        <v>97035502</v>
      </c>
      <c r="AJ23" s="351">
        <v>450</v>
      </c>
      <c r="AM23" s="219">
        <v>96986290</v>
      </c>
      <c r="AN23" s="225">
        <v>6909.01</v>
      </c>
      <c r="AO23" s="309">
        <v>96986290</v>
      </c>
      <c r="AP23" s="230">
        <f>AN23+AF23+AJ23</f>
        <v>29459.17</v>
      </c>
    </row>
    <row r="24" spans="1:4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3"/>
      <c r="V24" s="7"/>
      <c r="W24" s="8"/>
      <c r="X24" s="8"/>
      <c r="Y24" s="57"/>
      <c r="Z24" s="7"/>
      <c r="AA24" s="8"/>
      <c r="AB24" s="8"/>
      <c r="AC24" s="8"/>
      <c r="AD24" s="167"/>
      <c r="AM24" s="224"/>
      <c r="AN24" s="323"/>
      <c r="AO24" s="309"/>
      <c r="AP24" s="230"/>
    </row>
    <row r="25" spans="1:42" s="107" customFormat="1">
      <c r="A25" s="37" t="s">
        <v>1213</v>
      </c>
      <c r="B25" s="37" t="s">
        <v>1199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13"/>
      <c r="V25" s="108" t="str">
        <f t="shared" ref="V25:V81" si="1">A25</f>
        <v>L962REEDSCROSSOR</v>
      </c>
      <c r="W25" s="43"/>
      <c r="X25" s="37"/>
      <c r="Y25" s="106"/>
      <c r="Z25" s="37"/>
      <c r="AA25" s="40"/>
      <c r="AB25" s="40"/>
      <c r="AC25" s="40"/>
      <c r="AD25" s="311"/>
      <c r="AE25" s="234">
        <v>96933678</v>
      </c>
      <c r="AF25" s="325">
        <v>22237.69</v>
      </c>
      <c r="AG25" s="187"/>
      <c r="AH25" s="348"/>
      <c r="AI25" s="269">
        <v>97035515</v>
      </c>
      <c r="AJ25" s="351">
        <v>450</v>
      </c>
      <c r="AK25" s="282"/>
      <c r="AL25" s="315"/>
      <c r="AM25" s="219">
        <v>96933678</v>
      </c>
      <c r="AN25" s="225">
        <v>7389.54</v>
      </c>
      <c r="AO25" s="309">
        <v>96933678</v>
      </c>
      <c r="AP25" s="230">
        <f>AN25+AF25+AJ25</f>
        <v>30077.23</v>
      </c>
    </row>
    <row r="26" spans="1:42" s="163" customFormat="1">
      <c r="A26" s="98" t="s">
        <v>1214</v>
      </c>
      <c r="B26" s="98" t="s">
        <v>1199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13"/>
      <c r="V26" s="98" t="str">
        <f t="shared" si="1"/>
        <v>L963REEDSCROSSOR</v>
      </c>
      <c r="W26" s="308"/>
      <c r="X26" s="145"/>
      <c r="Y26" s="162"/>
      <c r="Z26" s="98"/>
      <c r="AA26" s="98"/>
      <c r="AB26" s="98"/>
      <c r="AC26" s="98"/>
      <c r="AD26" s="312"/>
      <c r="AE26" s="234">
        <v>96933694</v>
      </c>
      <c r="AF26" s="325">
        <v>22100.16</v>
      </c>
      <c r="AG26" s="187"/>
      <c r="AH26" s="348"/>
      <c r="AI26" s="269">
        <v>97035539</v>
      </c>
      <c r="AJ26" s="351">
        <v>450</v>
      </c>
      <c r="AK26" s="282"/>
      <c r="AL26" s="315"/>
      <c r="AM26" s="219">
        <v>96933694</v>
      </c>
      <c r="AN26" s="225">
        <v>6909.01</v>
      </c>
      <c r="AO26" s="309">
        <v>96933694</v>
      </c>
      <c r="AP26" s="230">
        <f>AN26+AF26+AJ26</f>
        <v>29459.17</v>
      </c>
    </row>
    <row r="27" spans="1:42">
      <c r="A27" s="37" t="s">
        <v>289</v>
      </c>
      <c r="B27" s="3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3"/>
      <c r="V27" s="21" t="str">
        <f t="shared" si="1"/>
        <v xml:space="preserve"> </v>
      </c>
      <c r="W27" s="40"/>
      <c r="X27" s="50"/>
      <c r="Y27" s="58"/>
      <c r="Z27" s="9"/>
      <c r="AA27" s="32"/>
      <c r="AB27" s="32"/>
      <c r="AC27" s="32"/>
      <c r="AD27" s="168"/>
      <c r="AE27" s="233" t="s">
        <v>289</v>
      </c>
      <c r="AF27" s="345" t="s">
        <v>289</v>
      </c>
      <c r="AG27" s="187" t="s">
        <v>289</v>
      </c>
      <c r="AH27" s="348" t="s">
        <v>289</v>
      </c>
      <c r="AN27" s="323"/>
      <c r="AO27" s="309" t="s">
        <v>289</v>
      </c>
      <c r="AP27" s="230" t="s">
        <v>289</v>
      </c>
    </row>
    <row r="28" spans="1:42">
      <c r="A28" s="7" t="s">
        <v>1215</v>
      </c>
      <c r="B28" s="7" t="s">
        <v>1205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13"/>
      <c r="V28" s="7" t="str">
        <f>A28</f>
        <v>L987REEDSCROSSOR</v>
      </c>
      <c r="W28" s="31"/>
      <c r="X28" s="7"/>
      <c r="Y28" s="57"/>
      <c r="Z28" s="7"/>
      <c r="AA28" s="31"/>
      <c r="AB28" s="31"/>
      <c r="AC28" s="31"/>
      <c r="AD28" s="169"/>
      <c r="AE28" s="234">
        <v>96988442</v>
      </c>
      <c r="AF28" s="325">
        <v>22237.69</v>
      </c>
      <c r="AI28" s="269">
        <v>97035548</v>
      </c>
      <c r="AJ28" s="351">
        <v>450</v>
      </c>
      <c r="AM28" s="219">
        <v>96988442</v>
      </c>
      <c r="AN28" s="225">
        <v>7389.54</v>
      </c>
      <c r="AO28" s="309">
        <v>96988442</v>
      </c>
      <c r="AP28" s="230">
        <f>AN28+AF28+AJ28</f>
        <v>30077.23</v>
      </c>
    </row>
    <row r="29" spans="1:42">
      <c r="A29" s="50" t="s">
        <v>1216</v>
      </c>
      <c r="B29" s="50" t="s">
        <v>1205</v>
      </c>
      <c r="C29" s="9"/>
      <c r="D29" s="9"/>
      <c r="E29" s="9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9"/>
      <c r="T29" s="9"/>
      <c r="U29" s="13"/>
      <c r="V29" s="21" t="str">
        <f>A29</f>
        <v>L988REEDSCROSSOR</v>
      </c>
      <c r="W29" s="9"/>
      <c r="X29" s="50"/>
      <c r="Y29" s="58"/>
      <c r="Z29" s="9"/>
      <c r="AA29" s="9"/>
      <c r="AB29" s="9"/>
      <c r="AC29" s="9"/>
      <c r="AD29" s="141"/>
      <c r="AE29" s="234">
        <v>96988443</v>
      </c>
      <c r="AF29" s="325">
        <v>22100.16</v>
      </c>
      <c r="AI29" s="269">
        <v>97035557</v>
      </c>
      <c r="AJ29" s="351">
        <v>450</v>
      </c>
      <c r="AM29" s="219">
        <v>96988443</v>
      </c>
      <c r="AN29" s="225">
        <v>6909.01</v>
      </c>
      <c r="AO29" s="309">
        <v>96988443</v>
      </c>
      <c r="AP29" s="230">
        <f>AN29+AF29+AJ29</f>
        <v>29459.17</v>
      </c>
    </row>
    <row r="30" spans="1:4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13"/>
      <c r="V30" s="7" t="s">
        <v>289</v>
      </c>
      <c r="W30" s="7"/>
      <c r="X30" s="7"/>
      <c r="Y30" s="57"/>
      <c r="Z30" s="7"/>
      <c r="AA30" s="7"/>
      <c r="AB30" s="7"/>
      <c r="AC30" s="7"/>
      <c r="AD30" s="103"/>
      <c r="AN30" s="323"/>
      <c r="AO30" s="309"/>
      <c r="AP30" s="230"/>
    </row>
    <row r="31" spans="1:42">
      <c r="A31" s="37">
        <v>989</v>
      </c>
      <c r="B31" s="37"/>
      <c r="C31" s="9"/>
      <c r="D31" s="9"/>
      <c r="E31" s="9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9"/>
      <c r="T31" s="9"/>
      <c r="U31" s="13"/>
      <c r="V31" s="21" t="s">
        <v>1217</v>
      </c>
      <c r="W31" s="50"/>
      <c r="X31" s="37"/>
      <c r="Y31" s="58"/>
      <c r="Z31" s="9"/>
      <c r="AA31" s="32"/>
      <c r="AB31" s="32"/>
      <c r="AC31" s="32"/>
      <c r="AD31" s="168"/>
      <c r="AE31" s="437">
        <v>97468954</v>
      </c>
      <c r="AF31" s="458">
        <v>21508.87</v>
      </c>
      <c r="AG31" s="433">
        <v>97648282</v>
      </c>
      <c r="AH31" s="490">
        <v>2179.11</v>
      </c>
      <c r="AI31" s="435">
        <v>97468617</v>
      </c>
      <c r="AJ31" s="463">
        <v>450</v>
      </c>
      <c r="AM31" s="488">
        <v>97468954</v>
      </c>
      <c r="AN31" s="440">
        <v>6856.98</v>
      </c>
      <c r="AO31" s="309">
        <v>97468954</v>
      </c>
      <c r="AP31" s="230">
        <f>AN31+AJ31+AF31+AH31</f>
        <v>30994.959999999999</v>
      </c>
    </row>
    <row r="32" spans="1:42">
      <c r="A32" s="7">
        <v>990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13"/>
      <c r="V32" s="7" t="s">
        <v>1218</v>
      </c>
      <c r="W32" s="31"/>
      <c r="X32" s="7"/>
      <c r="Y32" s="57"/>
      <c r="Z32" s="7"/>
      <c r="AA32" s="31"/>
      <c r="AB32" s="31"/>
      <c r="AC32" s="31"/>
      <c r="AD32" s="169"/>
      <c r="AE32" s="437">
        <v>97468967</v>
      </c>
      <c r="AF32" s="458">
        <v>21399.57</v>
      </c>
      <c r="AG32" s="433">
        <v>97701065</v>
      </c>
      <c r="AH32" s="490">
        <v>2258.54</v>
      </c>
      <c r="AI32" s="435">
        <v>97468657</v>
      </c>
      <c r="AJ32" s="463">
        <v>450</v>
      </c>
      <c r="AM32" s="439">
        <v>97468967</v>
      </c>
      <c r="AN32" s="440">
        <v>6446.39</v>
      </c>
      <c r="AO32" s="309">
        <v>97468967</v>
      </c>
      <c r="AP32" s="230">
        <f>AN32+AJ32+AF32+AH32</f>
        <v>30554.5</v>
      </c>
    </row>
    <row r="33" spans="1:42">
      <c r="A33" s="37"/>
      <c r="B33" s="37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3"/>
      <c r="V33" s="21" t="s">
        <v>289</v>
      </c>
      <c r="W33" s="50"/>
      <c r="X33" s="50"/>
      <c r="Y33" s="58"/>
      <c r="Z33" s="9"/>
      <c r="AA33" s="9"/>
      <c r="AB33" s="9"/>
      <c r="AC33" s="9"/>
      <c r="AD33" s="141"/>
      <c r="AN33" s="323"/>
      <c r="AO33" s="309"/>
      <c r="AP33" s="230"/>
    </row>
    <row r="34" spans="1:42">
      <c r="A34" s="7">
        <v>991</v>
      </c>
      <c r="B34" s="7" t="s">
        <v>1205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13"/>
      <c r="V34" s="7" t="s">
        <v>1219</v>
      </c>
      <c r="W34" s="7"/>
      <c r="X34" s="7"/>
      <c r="Y34" s="57"/>
      <c r="Z34" s="7"/>
      <c r="AA34" s="7"/>
      <c r="AB34" s="7"/>
      <c r="AC34" s="7"/>
      <c r="AD34" s="103"/>
      <c r="AE34" s="437">
        <v>97205838</v>
      </c>
      <c r="AF34" s="458">
        <v>21393.78</v>
      </c>
      <c r="AG34" s="189"/>
      <c r="AI34" s="435">
        <v>97205726</v>
      </c>
      <c r="AJ34" s="463">
        <v>450</v>
      </c>
      <c r="AM34" s="439">
        <v>97205838</v>
      </c>
      <c r="AN34" s="440">
        <v>7389.54</v>
      </c>
      <c r="AO34" s="464">
        <v>97205838</v>
      </c>
      <c r="AP34" s="465">
        <f>AN34+AJ34+AF34</f>
        <v>29233.32</v>
      </c>
    </row>
    <row r="35" spans="1:42">
      <c r="A35" s="50">
        <v>992</v>
      </c>
      <c r="B35" s="50" t="s">
        <v>1205</v>
      </c>
      <c r="C35" s="9"/>
      <c r="D35" s="9"/>
      <c r="E35" s="9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9"/>
      <c r="T35" s="9"/>
      <c r="U35" s="13"/>
      <c r="V35" s="9" t="s">
        <v>1220</v>
      </c>
      <c r="W35" s="50"/>
      <c r="X35" s="50"/>
      <c r="Y35" s="58"/>
      <c r="Z35" s="9"/>
      <c r="AA35" s="9"/>
      <c r="AB35" s="9"/>
      <c r="AC35" s="9"/>
      <c r="AD35" s="141"/>
      <c r="AE35" s="437">
        <v>97205857</v>
      </c>
      <c r="AF35" s="458">
        <v>21258.31</v>
      </c>
      <c r="AI35" s="435">
        <v>97205771</v>
      </c>
      <c r="AJ35" s="463">
        <v>450</v>
      </c>
      <c r="AM35" s="439">
        <v>97205857</v>
      </c>
      <c r="AN35" s="440">
        <v>6909.01</v>
      </c>
      <c r="AO35" s="464">
        <v>97205857</v>
      </c>
      <c r="AP35" s="465">
        <f>AN35+AJ35+AF35</f>
        <v>28617.32</v>
      </c>
    </row>
    <row r="36" spans="1:4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13"/>
      <c r="V36" s="7" t="s">
        <v>289</v>
      </c>
      <c r="W36" s="7"/>
      <c r="X36" s="57"/>
      <c r="Y36" s="57"/>
      <c r="Z36" s="7"/>
      <c r="AA36" s="7"/>
      <c r="AB36" s="7"/>
      <c r="AC36" s="7"/>
      <c r="AD36" s="103"/>
      <c r="AN36" s="323"/>
      <c r="AO36" s="309"/>
      <c r="AP36" s="230"/>
    </row>
    <row r="37" spans="1:42">
      <c r="A37" s="50">
        <v>993</v>
      </c>
      <c r="B37" s="50" t="s">
        <v>1199</v>
      </c>
      <c r="C37" s="9"/>
      <c r="D37" s="9"/>
      <c r="E37" s="9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9"/>
      <c r="T37" s="9"/>
      <c r="U37" s="13"/>
      <c r="V37" s="472" t="s">
        <v>1221</v>
      </c>
      <c r="W37" s="50"/>
      <c r="X37" s="50"/>
      <c r="Y37" s="58"/>
      <c r="Z37" s="9"/>
      <c r="AA37" s="9"/>
      <c r="AB37" s="9"/>
      <c r="AC37" s="9"/>
      <c r="AD37" s="141"/>
      <c r="AE37" s="437">
        <v>97152802</v>
      </c>
      <c r="AF37" s="458">
        <v>21393.78</v>
      </c>
      <c r="AI37" s="435">
        <v>97152386</v>
      </c>
      <c r="AJ37" s="463">
        <v>450</v>
      </c>
      <c r="AM37" s="439">
        <v>97152802</v>
      </c>
      <c r="AN37" s="440">
        <v>7389.54</v>
      </c>
      <c r="AO37" s="309">
        <v>97152802</v>
      </c>
      <c r="AP37" s="230">
        <f>AN37+AJ37+AF37</f>
        <v>29233.32</v>
      </c>
    </row>
    <row r="38" spans="1:42">
      <c r="A38" s="7">
        <v>994</v>
      </c>
      <c r="B38" s="7" t="s">
        <v>1199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3"/>
      <c r="V38" s="473" t="s">
        <v>1222</v>
      </c>
      <c r="W38" s="7"/>
      <c r="X38" s="7"/>
      <c r="Y38" s="57"/>
      <c r="Z38" s="7"/>
      <c r="AA38" s="7"/>
      <c r="AB38" s="7"/>
      <c r="AC38" s="7"/>
      <c r="AD38" s="103"/>
      <c r="AE38" s="437">
        <v>97152815</v>
      </c>
      <c r="AF38" s="458">
        <v>21258.31</v>
      </c>
      <c r="AI38" s="435">
        <v>97152427</v>
      </c>
      <c r="AJ38" s="463">
        <v>450</v>
      </c>
      <c r="AM38" s="439">
        <v>97152815</v>
      </c>
      <c r="AN38" s="440">
        <v>6909.01</v>
      </c>
      <c r="AO38" s="309">
        <v>97152815</v>
      </c>
      <c r="AP38" s="230">
        <f>AN38+AJ38+AF38</f>
        <v>28617.32</v>
      </c>
    </row>
    <row r="39" spans="1:42">
      <c r="A39" s="50"/>
      <c r="B39" s="5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13"/>
      <c r="V39" s="21">
        <f>A39</f>
        <v>0</v>
      </c>
      <c r="W39" s="9"/>
      <c r="X39" s="50"/>
      <c r="Y39" s="58"/>
      <c r="Z39" s="9"/>
      <c r="AA39" s="9"/>
      <c r="AB39" s="9"/>
      <c r="AC39" s="9"/>
      <c r="AD39" s="141"/>
      <c r="AN39" s="323"/>
      <c r="AO39" s="309"/>
      <c r="AP39" s="230"/>
    </row>
    <row r="40" spans="1:42">
      <c r="A40" s="7">
        <v>995</v>
      </c>
      <c r="B40" s="7" t="s">
        <v>1202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13"/>
      <c r="V40" s="7" t="s">
        <v>1223</v>
      </c>
      <c r="W40" s="7"/>
      <c r="X40" s="7"/>
      <c r="Y40" s="57"/>
      <c r="Z40" s="7"/>
      <c r="AA40" s="7"/>
      <c r="AB40" s="7"/>
      <c r="AC40" s="7"/>
      <c r="AD40" s="103"/>
      <c r="AE40" s="437">
        <v>97169926</v>
      </c>
      <c r="AF40" s="458">
        <v>21393.78</v>
      </c>
      <c r="AI40" s="435">
        <v>97168512</v>
      </c>
      <c r="AJ40" s="463">
        <v>450</v>
      </c>
      <c r="AM40" s="439">
        <v>97169926</v>
      </c>
      <c r="AN40" s="440">
        <v>7389.54</v>
      </c>
      <c r="AO40" s="464">
        <v>97169926</v>
      </c>
      <c r="AP40" s="465">
        <f>AN40+AJ40+AF40</f>
        <v>29233.32</v>
      </c>
    </row>
    <row r="41" spans="1:42">
      <c r="A41" s="50">
        <v>996</v>
      </c>
      <c r="B41" s="50" t="s">
        <v>1202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3"/>
      <c r="V41" s="21" t="s">
        <v>1224</v>
      </c>
      <c r="W41" s="50"/>
      <c r="X41" s="50"/>
      <c r="Y41" s="58"/>
      <c r="Z41" s="9"/>
      <c r="AA41" s="9"/>
      <c r="AB41" s="9"/>
      <c r="AC41" s="9"/>
      <c r="AD41" s="141"/>
      <c r="AE41" s="437">
        <v>97169945</v>
      </c>
      <c r="AF41" s="458">
        <v>21258.31</v>
      </c>
      <c r="AI41" s="435">
        <v>97168559</v>
      </c>
      <c r="AJ41" s="463">
        <v>450</v>
      </c>
      <c r="AM41" s="439">
        <v>97169945</v>
      </c>
      <c r="AN41" s="440">
        <v>6909.01</v>
      </c>
      <c r="AO41" s="464">
        <v>97169945</v>
      </c>
      <c r="AP41" s="465">
        <f>AN41+AJ41+AF41</f>
        <v>28617.32</v>
      </c>
    </row>
    <row r="42" spans="1: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2"/>
      <c r="Q42" s="2"/>
      <c r="R42" s="7"/>
      <c r="S42" s="7"/>
      <c r="T42" s="7"/>
      <c r="U42" s="13"/>
      <c r="V42" s="7">
        <f t="shared" si="1"/>
        <v>0</v>
      </c>
      <c r="W42" s="7"/>
      <c r="X42" s="7"/>
      <c r="Y42" s="57"/>
      <c r="Z42" s="7"/>
      <c r="AA42" s="7"/>
      <c r="AB42" s="7"/>
      <c r="AC42" s="7"/>
      <c r="AD42" s="103"/>
      <c r="AN42" s="323"/>
      <c r="AO42" s="309"/>
      <c r="AP42" s="230"/>
    </row>
    <row r="43" spans="1:42">
      <c r="A43" s="50"/>
      <c r="B43" s="50"/>
      <c r="C43" s="50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4"/>
      <c r="Q43" s="4"/>
      <c r="R43" s="9"/>
      <c r="S43" s="9"/>
      <c r="T43" s="9"/>
      <c r="U43" s="13"/>
      <c r="V43" s="21">
        <f t="shared" si="1"/>
        <v>0</v>
      </c>
      <c r="W43" s="50"/>
      <c r="X43" s="50"/>
      <c r="Y43" s="58"/>
      <c r="Z43" s="9"/>
      <c r="AA43" s="9"/>
      <c r="AB43" s="9"/>
      <c r="AC43" s="9"/>
      <c r="AD43" s="141"/>
      <c r="AN43" s="323"/>
      <c r="AO43" s="309"/>
      <c r="AP43" s="230"/>
    </row>
    <row r="44" spans="1:4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2"/>
      <c r="Q44" s="2"/>
      <c r="R44" s="7"/>
      <c r="S44" s="7"/>
      <c r="T44" s="7"/>
      <c r="U44" s="13"/>
      <c r="V44" s="7">
        <f t="shared" si="1"/>
        <v>0</v>
      </c>
      <c r="W44" s="7"/>
      <c r="X44" s="7"/>
      <c r="Y44" s="57"/>
      <c r="Z44" s="7"/>
      <c r="AA44" s="7"/>
      <c r="AB44" s="7"/>
      <c r="AC44" s="7"/>
      <c r="AD44" s="103"/>
      <c r="AN44" s="323"/>
      <c r="AO44" s="309"/>
      <c r="AP44" s="230"/>
    </row>
    <row r="45" spans="1:42">
      <c r="A45" s="50"/>
      <c r="B45" s="5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3"/>
      <c r="V45" s="21">
        <f t="shared" si="1"/>
        <v>0</v>
      </c>
      <c r="W45" s="50"/>
      <c r="X45" s="50"/>
      <c r="Y45" s="58"/>
      <c r="Z45" s="9"/>
      <c r="AA45" s="9"/>
      <c r="AB45" s="9"/>
      <c r="AC45" s="9"/>
      <c r="AD45" s="141"/>
      <c r="AN45" s="323"/>
      <c r="AO45" s="309"/>
      <c r="AP45" s="230"/>
    </row>
    <row r="46" spans="1:4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13"/>
      <c r="V46" s="7">
        <f t="shared" si="1"/>
        <v>0</v>
      </c>
      <c r="W46" s="7"/>
      <c r="X46" s="7"/>
      <c r="Y46" s="57"/>
      <c r="Z46" s="7"/>
      <c r="AA46" s="7"/>
      <c r="AB46" s="7"/>
      <c r="AC46" s="7"/>
      <c r="AD46" s="103"/>
      <c r="AO46" s="309"/>
      <c r="AP46" s="230"/>
    </row>
    <row r="47" spans="1:4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4"/>
      <c r="Q47" s="4"/>
      <c r="R47" s="9"/>
      <c r="S47" s="9"/>
      <c r="T47" s="9"/>
      <c r="U47" s="13"/>
      <c r="V47" s="21">
        <f t="shared" si="1"/>
        <v>0</v>
      </c>
      <c r="W47" s="9"/>
      <c r="X47" s="9"/>
      <c r="Y47" s="58"/>
      <c r="Z47" s="9"/>
      <c r="AA47" s="9"/>
      <c r="AB47" s="9"/>
      <c r="AC47" s="9"/>
      <c r="AD47" s="141"/>
      <c r="AO47" s="309"/>
      <c r="AP47" s="230"/>
    </row>
    <row r="48" spans="1:4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2"/>
      <c r="Q48" s="2"/>
      <c r="R48" s="7"/>
      <c r="S48" s="7"/>
      <c r="T48" s="7"/>
      <c r="U48" s="13"/>
      <c r="V48" s="7">
        <f t="shared" si="1"/>
        <v>0</v>
      </c>
      <c r="W48" s="7"/>
      <c r="X48" s="7"/>
      <c r="Y48" s="57"/>
      <c r="Z48" s="7"/>
      <c r="AA48" s="7"/>
      <c r="AB48" s="7"/>
      <c r="AC48" s="7"/>
      <c r="AD48" s="103"/>
      <c r="AO48" s="309"/>
      <c r="AP48" s="230"/>
    </row>
    <row r="49" spans="22:22">
      <c r="V49" s="21">
        <f t="shared" si="1"/>
        <v>0</v>
      </c>
    </row>
    <row r="50" spans="22:22">
      <c r="V50" s="7">
        <f t="shared" si="1"/>
        <v>0</v>
      </c>
    </row>
    <row r="51" spans="22:22">
      <c r="V51" s="21">
        <f t="shared" si="1"/>
        <v>0</v>
      </c>
    </row>
    <row r="52" spans="22:22">
      <c r="V52" s="7">
        <f t="shared" si="1"/>
        <v>0</v>
      </c>
    </row>
    <row r="53" spans="22:22">
      <c r="V53" s="21">
        <f t="shared" si="1"/>
        <v>0</v>
      </c>
    </row>
    <row r="54" spans="22:22">
      <c r="V54" s="7">
        <f t="shared" si="1"/>
        <v>0</v>
      </c>
    </row>
    <row r="55" spans="22:22">
      <c r="V55" s="21">
        <f t="shared" si="1"/>
        <v>0</v>
      </c>
    </row>
    <row r="56" spans="22:22">
      <c r="V56" s="7">
        <f t="shared" si="1"/>
        <v>0</v>
      </c>
    </row>
    <row r="57" spans="22:22">
      <c r="V57" s="21">
        <f t="shared" si="1"/>
        <v>0</v>
      </c>
    </row>
    <row r="58" spans="22:22">
      <c r="V58" s="7">
        <f t="shared" si="1"/>
        <v>0</v>
      </c>
    </row>
    <row r="59" spans="22:22">
      <c r="V59" s="21">
        <f t="shared" si="1"/>
        <v>0</v>
      </c>
    </row>
    <row r="60" spans="22:22">
      <c r="V60" s="7">
        <f t="shared" si="1"/>
        <v>0</v>
      </c>
    </row>
    <row r="61" spans="22:22">
      <c r="V61" s="21">
        <f t="shared" si="1"/>
        <v>0</v>
      </c>
    </row>
    <row r="62" spans="22:22">
      <c r="V62" s="7">
        <f t="shared" si="1"/>
        <v>0</v>
      </c>
    </row>
    <row r="63" spans="22:22">
      <c r="V63" s="21">
        <f t="shared" si="1"/>
        <v>0</v>
      </c>
    </row>
    <row r="64" spans="22:22">
      <c r="V64" s="7">
        <f t="shared" si="1"/>
        <v>0</v>
      </c>
    </row>
    <row r="65" spans="22:22">
      <c r="V65" s="21">
        <f t="shared" si="1"/>
        <v>0</v>
      </c>
    </row>
    <row r="66" spans="22:22">
      <c r="V66" s="7">
        <f t="shared" si="1"/>
        <v>0</v>
      </c>
    </row>
    <row r="67" spans="22:22">
      <c r="V67" s="21">
        <f t="shared" si="1"/>
        <v>0</v>
      </c>
    </row>
    <row r="68" spans="22:22">
      <c r="V68" s="7">
        <f t="shared" si="1"/>
        <v>0</v>
      </c>
    </row>
    <row r="69" spans="22:22">
      <c r="V69" s="21">
        <f t="shared" si="1"/>
        <v>0</v>
      </c>
    </row>
    <row r="70" spans="22:22">
      <c r="V70" s="7">
        <f t="shared" si="1"/>
        <v>0</v>
      </c>
    </row>
    <row r="71" spans="22:22">
      <c r="V71" s="21">
        <f t="shared" si="1"/>
        <v>0</v>
      </c>
    </row>
    <row r="72" spans="22:22">
      <c r="V72" s="7">
        <f t="shared" si="1"/>
        <v>0</v>
      </c>
    </row>
    <row r="73" spans="22:22">
      <c r="V73" s="21">
        <f t="shared" si="1"/>
        <v>0</v>
      </c>
    </row>
    <row r="74" spans="22:22">
      <c r="V74" s="7">
        <f t="shared" si="1"/>
        <v>0</v>
      </c>
    </row>
    <row r="75" spans="22:22">
      <c r="V75" s="21">
        <f t="shared" si="1"/>
        <v>0</v>
      </c>
    </row>
    <row r="76" spans="22:22">
      <c r="V76" s="7">
        <f t="shared" si="1"/>
        <v>0</v>
      </c>
    </row>
    <row r="77" spans="22:22">
      <c r="V77" s="21">
        <f t="shared" si="1"/>
        <v>0</v>
      </c>
    </row>
    <row r="78" spans="22:22">
      <c r="V78" s="7">
        <f t="shared" si="1"/>
        <v>0</v>
      </c>
    </row>
    <row r="79" spans="22:22">
      <c r="V79" s="21">
        <f t="shared" si="1"/>
        <v>0</v>
      </c>
    </row>
    <row r="80" spans="22:22">
      <c r="V80" s="7">
        <f t="shared" si="1"/>
        <v>0</v>
      </c>
    </row>
    <row r="81" spans="22:22">
      <c r="V81" s="21">
        <f t="shared" si="1"/>
        <v>0</v>
      </c>
    </row>
  </sheetData>
  <mergeCells count="2">
    <mergeCell ref="E1:F1"/>
    <mergeCell ref="G1:J1"/>
  </mergeCell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E236-D3CC-42BB-8AD2-4F809255D178}">
  <dimension ref="A1:CP26"/>
  <sheetViews>
    <sheetView zoomScale="80" zoomScaleNormal="80" workbookViewId="0">
      <pane ySplit="2" topLeftCell="A16" activePane="bottomLeft" state="frozen"/>
      <selection pane="bottomLeft" activeCell="L16" sqref="L16"/>
    </sheetView>
  </sheetViews>
  <sheetFormatPr defaultColWidth="8.85546875" defaultRowHeight="14.45"/>
  <cols>
    <col min="1" max="1" width="6.42578125" style="5" customWidth="1"/>
    <col min="2" max="3" width="4.7109375" style="5" bestFit="1" customWidth="1"/>
    <col min="4" max="4" width="5.42578125" style="5" bestFit="1" customWidth="1"/>
    <col min="5" max="5" width="8.85546875" style="5" bestFit="1" customWidth="1"/>
    <col min="6" max="6" width="5.42578125" style="5" bestFit="1" customWidth="1"/>
    <col min="7" max="7" width="6.28515625" style="5" bestFit="1" customWidth="1"/>
    <col min="8" max="8" width="7" style="5" bestFit="1" customWidth="1"/>
    <col min="9" max="9" width="8.7109375" style="5" bestFit="1" customWidth="1"/>
    <col min="10" max="10" width="6.42578125" style="5" bestFit="1" customWidth="1"/>
    <col min="11" max="11" width="7.140625" style="5" bestFit="1" customWidth="1"/>
    <col min="12" max="12" width="8.85546875" style="5" bestFit="1" customWidth="1"/>
    <col min="13" max="19" width="4.7109375" style="5" bestFit="1" customWidth="1"/>
    <col min="20" max="20" width="4.28515625" style="5" customWidth="1"/>
    <col min="21" max="32" width="4.7109375" style="5" bestFit="1" customWidth="1"/>
    <col min="33" max="33" width="6.85546875" style="5" customWidth="1"/>
    <col min="34" max="53" width="4.7109375" style="5" bestFit="1" customWidth="1"/>
    <col min="54" max="54" width="6.42578125" style="5" customWidth="1"/>
    <col min="55" max="55" width="6.140625" style="5" customWidth="1"/>
    <col min="56" max="59" width="4.7109375" style="5" bestFit="1" customWidth="1"/>
    <col min="60" max="60" width="5.85546875" style="5" customWidth="1"/>
    <col min="61" max="62" width="4.7109375" style="5" bestFit="1" customWidth="1"/>
    <col min="63" max="63" width="8.7109375" style="5" customWidth="1"/>
    <col min="64" max="64" width="8.5703125" style="5" customWidth="1"/>
    <col min="65" max="65" width="4.7109375" style="5" bestFit="1" customWidth="1"/>
    <col min="66" max="66" width="19.5703125" style="5" bestFit="1" customWidth="1"/>
    <col min="67" max="72" width="4.7109375" style="5" bestFit="1" customWidth="1"/>
    <col min="73" max="73" width="9.5703125" style="5" customWidth="1"/>
    <col min="74" max="74" width="19" style="187" bestFit="1" customWidth="1"/>
    <col min="75" max="75" width="23.42578125" style="265" bestFit="1" customWidth="1"/>
    <col min="76" max="76" width="21.42578125" style="180" bestFit="1" customWidth="1"/>
    <col min="77" max="77" width="19" style="357" bestFit="1" customWidth="1"/>
    <col min="78" max="78" width="21.42578125" style="180" bestFit="1" customWidth="1"/>
    <col min="79" max="79" width="19" style="357" bestFit="1" customWidth="1"/>
    <col min="80" max="80" width="21.42578125" style="271" bestFit="1" customWidth="1"/>
    <col min="81" max="81" width="19" style="272" bestFit="1" customWidth="1"/>
    <col min="82" max="82" width="21.42578125" style="361" bestFit="1" customWidth="1"/>
    <col min="83" max="83" width="19" style="362" bestFit="1" customWidth="1"/>
    <col min="84" max="84" width="15.28515625" style="226" customWidth="1"/>
    <col min="85" max="85" width="18.7109375" style="248" customWidth="1"/>
    <col min="86" max="86" width="23.42578125" style="384" customWidth="1"/>
    <col min="87" max="87" width="19" style="385" bestFit="1" customWidth="1"/>
    <col min="88" max="88" width="8.85546875" style="5"/>
    <col min="89" max="89" width="15.28515625" style="226" customWidth="1"/>
    <col min="90" max="90" width="18.7109375" style="494" customWidth="1"/>
    <col min="91" max="91" width="21.42578125" style="180" bestFit="1" customWidth="1"/>
    <col min="92" max="92" width="19" style="626" bestFit="1" customWidth="1"/>
    <col min="93" max="93" width="23.42578125" style="384" customWidth="1"/>
    <col min="94" max="94" width="19" style="385" bestFit="1" customWidth="1"/>
    <col min="95" max="16384" width="8.85546875" style="5"/>
  </cols>
  <sheetData>
    <row r="1" spans="1:94" ht="18.600000000000001">
      <c r="A1" s="10" t="s">
        <v>1225</v>
      </c>
      <c r="E1" s="5" t="s">
        <v>611</v>
      </c>
      <c r="F1" s="5" t="s">
        <v>66</v>
      </c>
      <c r="G1" s="5" t="s">
        <v>119</v>
      </c>
      <c r="H1" s="5" t="s">
        <v>232</v>
      </c>
      <c r="I1" s="5" t="s">
        <v>251</v>
      </c>
      <c r="J1" s="5" t="s">
        <v>322</v>
      </c>
      <c r="K1" s="5" t="s">
        <v>324</v>
      </c>
      <c r="L1" s="5" t="s">
        <v>395</v>
      </c>
      <c r="BM1" s="11"/>
      <c r="BV1" s="294"/>
      <c r="BW1" s="294"/>
      <c r="BX1" s="294"/>
      <c r="BY1" s="294"/>
      <c r="BZ1" s="294"/>
      <c r="CA1" s="294"/>
      <c r="CB1" s="294"/>
      <c r="CC1" s="294"/>
      <c r="CD1" s="294"/>
      <c r="CE1" s="294"/>
      <c r="CF1" s="294"/>
      <c r="CG1" s="294"/>
      <c r="CH1" s="295"/>
      <c r="CI1" s="295"/>
      <c r="CJ1" s="294"/>
      <c r="CK1" s="294"/>
      <c r="CL1" s="297"/>
      <c r="CM1" s="294"/>
      <c r="CN1" s="621"/>
      <c r="CO1" s="295"/>
      <c r="CP1" s="295"/>
    </row>
    <row r="2" spans="1:94" s="81" customFormat="1" ht="83.1">
      <c r="A2" s="102" t="s">
        <v>612</v>
      </c>
      <c r="B2" s="102" t="s">
        <v>613</v>
      </c>
      <c r="C2" s="102" t="s">
        <v>614</v>
      </c>
      <c r="D2" s="82" t="s">
        <v>615</v>
      </c>
      <c r="E2" s="82" t="s">
        <v>771</v>
      </c>
      <c r="F2" s="82" t="s">
        <v>772</v>
      </c>
      <c r="G2" s="82" t="s">
        <v>89</v>
      </c>
      <c r="H2" s="82" t="s">
        <v>270</v>
      </c>
      <c r="I2" s="82" t="s">
        <v>93</v>
      </c>
      <c r="J2" s="83" t="s">
        <v>83</v>
      </c>
      <c r="K2" s="83" t="s">
        <v>278</v>
      </c>
      <c r="L2" s="83" t="s">
        <v>85</v>
      </c>
      <c r="M2" s="83" t="s">
        <v>303</v>
      </c>
      <c r="N2" s="83" t="s">
        <v>150</v>
      </c>
      <c r="O2" s="83" t="s">
        <v>617</v>
      </c>
      <c r="P2" s="83" t="s">
        <v>79</v>
      </c>
      <c r="Q2" s="83" t="s">
        <v>120</v>
      </c>
      <c r="R2" s="83" t="s">
        <v>191</v>
      </c>
      <c r="S2" s="82" t="s">
        <v>226</v>
      </c>
      <c r="T2" s="82" t="s">
        <v>128</v>
      </c>
      <c r="U2" s="82" t="s">
        <v>284</v>
      </c>
      <c r="V2" s="82" t="s">
        <v>130</v>
      </c>
      <c r="W2" s="82" t="s">
        <v>254</v>
      </c>
      <c r="X2" s="82" t="s">
        <v>239</v>
      </c>
      <c r="Y2" s="82" t="s">
        <v>132</v>
      </c>
      <c r="Z2" s="82" t="s">
        <v>81</v>
      </c>
      <c r="AA2" s="82" t="s">
        <v>134</v>
      </c>
      <c r="AB2" s="82" t="s">
        <v>124</v>
      </c>
      <c r="AC2" s="82" t="s">
        <v>140</v>
      </c>
      <c r="AD2" s="82" t="s">
        <v>142</v>
      </c>
      <c r="AE2" s="82" t="s">
        <v>144</v>
      </c>
      <c r="AF2" s="82" t="s">
        <v>197</v>
      </c>
      <c r="AG2" s="82" t="s">
        <v>99</v>
      </c>
      <c r="AH2" s="82" t="s">
        <v>200</v>
      </c>
      <c r="AI2" s="82" t="s">
        <v>221</v>
      </c>
      <c r="AJ2" s="84" t="s">
        <v>309</v>
      </c>
      <c r="AK2" s="82" t="s">
        <v>146</v>
      </c>
      <c r="AL2" s="82" t="s">
        <v>101</v>
      </c>
      <c r="AM2" s="82" t="s">
        <v>312</v>
      </c>
      <c r="AN2" s="82" t="s">
        <v>103</v>
      </c>
      <c r="AO2" s="82" t="s">
        <v>773</v>
      </c>
      <c r="AP2" s="84" t="s">
        <v>223</v>
      </c>
      <c r="AQ2" s="82" t="s">
        <v>113</v>
      </c>
      <c r="AR2" s="82" t="s">
        <v>115</v>
      </c>
      <c r="AS2" s="82" t="s">
        <v>166</v>
      </c>
      <c r="AT2" s="82" t="s">
        <v>168</v>
      </c>
      <c r="AU2" s="82" t="s">
        <v>117</v>
      </c>
      <c r="AV2" s="82" t="s">
        <v>352</v>
      </c>
      <c r="AW2" s="82" t="s">
        <v>369</v>
      </c>
      <c r="AX2" s="82" t="s">
        <v>105</v>
      </c>
      <c r="AY2" s="82" t="s">
        <v>244</v>
      </c>
      <c r="AZ2" s="82" t="s">
        <v>246</v>
      </c>
      <c r="BA2" s="83" t="s">
        <v>152</v>
      </c>
      <c r="BB2" s="83" t="s">
        <v>154</v>
      </c>
      <c r="BC2" s="82" t="s">
        <v>107</v>
      </c>
      <c r="BD2" s="82" t="s">
        <v>157</v>
      </c>
      <c r="BE2" s="82" t="s">
        <v>159</v>
      </c>
      <c r="BF2" s="82" t="s">
        <v>109</v>
      </c>
      <c r="BG2" s="82" t="s">
        <v>298</v>
      </c>
      <c r="BH2" s="82" t="s">
        <v>111</v>
      </c>
      <c r="BI2" s="82" t="s">
        <v>319</v>
      </c>
      <c r="BJ2" s="82" t="s">
        <v>274</v>
      </c>
      <c r="BK2" s="82" t="s">
        <v>161</v>
      </c>
      <c r="BL2" s="82" t="s">
        <v>657</v>
      </c>
      <c r="BM2" s="85" t="s">
        <v>289</v>
      </c>
      <c r="BN2" s="88" t="s">
        <v>612</v>
      </c>
      <c r="BO2" s="82" t="s">
        <v>621</v>
      </c>
      <c r="BP2" s="82" t="s">
        <v>622</v>
      </c>
      <c r="BQ2" s="89" t="s">
        <v>626</v>
      </c>
      <c r="BR2" s="89" t="s">
        <v>627</v>
      </c>
      <c r="BS2" s="89" t="s">
        <v>628</v>
      </c>
      <c r="BT2" s="89" t="s">
        <v>629</v>
      </c>
      <c r="BU2" s="140" t="s">
        <v>630</v>
      </c>
      <c r="BV2" s="331" t="s">
        <v>631</v>
      </c>
      <c r="BW2" s="373" t="s">
        <v>632</v>
      </c>
      <c r="BX2" s="376" t="s">
        <v>663</v>
      </c>
      <c r="BY2" s="377" t="s">
        <v>1226</v>
      </c>
      <c r="BZ2" s="376" t="s">
        <v>659</v>
      </c>
      <c r="CA2" s="377" t="s">
        <v>776</v>
      </c>
      <c r="CB2" s="366" t="s">
        <v>665</v>
      </c>
      <c r="CC2" s="367" t="s">
        <v>666</v>
      </c>
      <c r="CD2" s="368" t="s">
        <v>639</v>
      </c>
      <c r="CE2" s="369" t="s">
        <v>640</v>
      </c>
      <c r="CF2" s="333" t="s">
        <v>668</v>
      </c>
      <c r="CG2" s="334" t="s">
        <v>669</v>
      </c>
      <c r="CH2" s="380" t="s">
        <v>777</v>
      </c>
      <c r="CI2" s="381" t="s">
        <v>778</v>
      </c>
      <c r="CK2" s="333" t="s">
        <v>668</v>
      </c>
      <c r="CL2" s="552" t="s">
        <v>669</v>
      </c>
      <c r="CM2" s="376" t="s">
        <v>659</v>
      </c>
      <c r="CN2" s="622" t="s">
        <v>776</v>
      </c>
      <c r="CO2" s="380" t="s">
        <v>777</v>
      </c>
      <c r="CP2" s="381" t="s">
        <v>778</v>
      </c>
    </row>
    <row r="3" spans="1:94">
      <c r="A3" s="410">
        <v>79</v>
      </c>
      <c r="B3" s="9">
        <v>742</v>
      </c>
      <c r="C3" s="9" t="s">
        <v>647</v>
      </c>
      <c r="D3" s="9">
        <v>2</v>
      </c>
      <c r="E3" s="13"/>
      <c r="F3" s="9">
        <v>2</v>
      </c>
      <c r="G3" s="9"/>
      <c r="H3" s="13"/>
      <c r="I3" s="13"/>
      <c r="J3" s="9" t="s">
        <v>650</v>
      </c>
      <c r="K3" s="13"/>
      <c r="L3" s="13"/>
      <c r="M3" s="13"/>
      <c r="N3" s="13"/>
      <c r="O3" s="9" t="s">
        <v>650</v>
      </c>
      <c r="P3" s="9" t="s">
        <v>650</v>
      </c>
      <c r="Q3" s="9"/>
      <c r="R3" s="13"/>
      <c r="S3" s="13"/>
      <c r="T3" s="13"/>
      <c r="U3" s="13"/>
      <c r="V3" s="9" t="s">
        <v>650</v>
      </c>
      <c r="W3" s="13"/>
      <c r="X3" s="13"/>
      <c r="Y3" s="13"/>
      <c r="Z3" s="9"/>
      <c r="AA3" s="9"/>
      <c r="AB3" s="9" t="s">
        <v>650</v>
      </c>
      <c r="AC3" s="9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9"/>
      <c r="AQ3" s="9" t="s">
        <v>650</v>
      </c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9"/>
      <c r="BD3" s="13"/>
      <c r="BE3" s="9" t="s">
        <v>650</v>
      </c>
      <c r="BF3" s="9" t="s">
        <v>650</v>
      </c>
      <c r="BG3" s="13"/>
      <c r="BH3" s="9" t="s">
        <v>650</v>
      </c>
      <c r="BI3" s="13"/>
      <c r="BJ3" s="13"/>
      <c r="BK3" s="13"/>
      <c r="BL3" s="13"/>
      <c r="BM3" s="13"/>
      <c r="BN3" s="9" t="s">
        <v>1227</v>
      </c>
      <c r="BO3" s="9"/>
      <c r="BP3" s="50"/>
      <c r="BQ3" s="50"/>
      <c r="BR3" s="9"/>
      <c r="BS3" s="9"/>
      <c r="BT3" s="9"/>
      <c r="BU3" s="141"/>
      <c r="BV3" s="486">
        <v>97343043</v>
      </c>
      <c r="BW3" s="434">
        <v>18392.68</v>
      </c>
      <c r="BX3" s="234"/>
      <c r="BY3" s="174"/>
      <c r="BZ3" s="437">
        <v>97342802</v>
      </c>
      <c r="CA3" s="531">
        <v>11631.5</v>
      </c>
      <c r="CB3" s="532">
        <v>97342776</v>
      </c>
      <c r="CC3" s="436">
        <v>450</v>
      </c>
      <c r="CD3" s="533">
        <v>97342821</v>
      </c>
      <c r="CE3" s="442">
        <v>102.41</v>
      </c>
      <c r="CF3" s="439">
        <v>97343043</v>
      </c>
      <c r="CG3" s="440">
        <v>10069.19</v>
      </c>
      <c r="CH3" s="496">
        <f>BV3</f>
        <v>97343043</v>
      </c>
      <c r="CI3" s="497">
        <f>CG3+CE3+CC3+CA3+BW3</f>
        <v>40645.78</v>
      </c>
      <c r="CK3" s="219"/>
      <c r="CL3" s="225"/>
      <c r="CM3" s="234"/>
      <c r="CN3" s="623"/>
      <c r="CO3" s="382"/>
      <c r="CP3" s="383"/>
    </row>
    <row r="4" spans="1:94">
      <c r="A4" s="409">
        <v>80</v>
      </c>
      <c r="B4" s="7">
        <v>603</v>
      </c>
      <c r="C4" s="7" t="s">
        <v>648</v>
      </c>
      <c r="D4" s="7">
        <v>2</v>
      </c>
      <c r="E4" s="13"/>
      <c r="F4" s="7">
        <v>2</v>
      </c>
      <c r="G4" s="7"/>
      <c r="H4" s="13"/>
      <c r="I4" s="13"/>
      <c r="J4" s="7" t="s">
        <v>113</v>
      </c>
      <c r="K4" s="13"/>
      <c r="L4" s="13"/>
      <c r="M4" s="13"/>
      <c r="N4" s="13"/>
      <c r="O4" s="7" t="s">
        <v>650</v>
      </c>
      <c r="P4" s="7" t="s">
        <v>650</v>
      </c>
      <c r="Q4" s="13"/>
      <c r="R4" s="13"/>
      <c r="S4" s="13"/>
      <c r="T4" s="13"/>
      <c r="U4" s="13"/>
      <c r="V4" s="7" t="s">
        <v>650</v>
      </c>
      <c r="W4" s="13"/>
      <c r="X4" s="7" t="s">
        <v>650</v>
      </c>
      <c r="Y4" s="13"/>
      <c r="Z4" s="7"/>
      <c r="AA4" s="13"/>
      <c r="AB4" s="7" t="s">
        <v>289</v>
      </c>
      <c r="AC4" s="7" t="s">
        <v>650</v>
      </c>
      <c r="AD4" s="13"/>
      <c r="AE4" s="13"/>
      <c r="AF4" s="13"/>
      <c r="AG4" s="7"/>
      <c r="AH4" s="7" t="s">
        <v>289</v>
      </c>
      <c r="AI4" s="7"/>
      <c r="AJ4" s="13"/>
      <c r="AK4" s="13"/>
      <c r="AL4" s="13"/>
      <c r="AM4" s="13"/>
      <c r="AN4" s="13"/>
      <c r="AO4" s="13"/>
      <c r="AP4" s="13"/>
      <c r="AQ4" s="7" t="s">
        <v>650</v>
      </c>
      <c r="AR4" s="7"/>
      <c r="AS4" s="13"/>
      <c r="AT4" s="13"/>
      <c r="AU4" s="7"/>
      <c r="AV4" s="13"/>
      <c r="AW4" s="13"/>
      <c r="AX4" s="7"/>
      <c r="AY4" s="7" t="s">
        <v>650</v>
      </c>
      <c r="AZ4" s="7" t="s">
        <v>650</v>
      </c>
      <c r="BA4" s="13"/>
      <c r="BB4" s="13"/>
      <c r="BC4" s="7"/>
      <c r="BD4" s="13"/>
      <c r="BE4" s="13"/>
      <c r="BF4" s="13"/>
      <c r="BG4" s="13"/>
      <c r="BH4" s="13"/>
      <c r="BI4" s="13"/>
      <c r="BJ4" s="13"/>
      <c r="BK4" s="7" t="s">
        <v>289</v>
      </c>
      <c r="BL4" s="13"/>
      <c r="BM4" s="13"/>
      <c r="BN4" s="7" t="s">
        <v>1228</v>
      </c>
      <c r="BO4" s="8"/>
      <c r="BP4" s="8"/>
      <c r="BQ4" s="8"/>
      <c r="BR4" s="7"/>
      <c r="BS4" s="7"/>
      <c r="BT4" s="7"/>
      <c r="BU4" s="372"/>
      <c r="BV4" s="486">
        <v>97343057</v>
      </c>
      <c r="BW4" s="434">
        <v>19488.71</v>
      </c>
      <c r="BX4" s="437">
        <v>97647125</v>
      </c>
      <c r="BY4" s="487">
        <v>4868.97</v>
      </c>
      <c r="BZ4" s="437">
        <v>97342875</v>
      </c>
      <c r="CA4" s="438">
        <v>5752.39</v>
      </c>
      <c r="CB4" s="435">
        <v>97342838</v>
      </c>
      <c r="CC4" s="436">
        <v>450</v>
      </c>
      <c r="CD4" s="441">
        <v>97342880</v>
      </c>
      <c r="CE4" s="442">
        <v>102.41</v>
      </c>
      <c r="CF4" s="439">
        <v>97343057</v>
      </c>
      <c r="CG4" s="440">
        <v>12297.11</v>
      </c>
      <c r="CH4" s="496">
        <v>97343057</v>
      </c>
      <c r="CI4" s="497">
        <f>CG4+CE4+CC4+CA4+BW4+BY4</f>
        <v>42959.59</v>
      </c>
      <c r="CK4" s="219"/>
      <c r="CL4" s="440"/>
      <c r="CM4" s="437"/>
      <c r="CN4" s="624"/>
      <c r="CO4" s="496"/>
      <c r="CP4" s="497"/>
    </row>
    <row r="5" spans="1:94">
      <c r="A5" s="9">
        <v>81</v>
      </c>
      <c r="B5" s="9">
        <v>742</v>
      </c>
      <c r="C5" s="9" t="s">
        <v>649</v>
      </c>
      <c r="D5" s="9">
        <v>2</v>
      </c>
      <c r="E5" s="13"/>
      <c r="F5" s="9">
        <v>2</v>
      </c>
      <c r="G5" s="9"/>
      <c r="H5" s="13"/>
      <c r="I5" s="13"/>
      <c r="J5" s="9" t="s">
        <v>113</v>
      </c>
      <c r="K5" s="13"/>
      <c r="L5" s="13"/>
      <c r="M5" s="13"/>
      <c r="N5" s="13"/>
      <c r="O5" s="9" t="s">
        <v>650</v>
      </c>
      <c r="P5" s="9" t="s">
        <v>650</v>
      </c>
      <c r="Q5" s="9"/>
      <c r="R5" s="13"/>
      <c r="S5" s="13"/>
      <c r="T5" s="13"/>
      <c r="U5" s="13"/>
      <c r="V5" s="9" t="s">
        <v>1003</v>
      </c>
      <c r="W5" s="13"/>
      <c r="X5" s="13"/>
      <c r="Y5" s="13"/>
      <c r="Z5" s="9"/>
      <c r="AA5" s="9"/>
      <c r="AB5" s="9"/>
      <c r="AC5" s="9" t="s">
        <v>650</v>
      </c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9"/>
      <c r="AQ5" s="9" t="s">
        <v>650</v>
      </c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9"/>
      <c r="BD5" s="13"/>
      <c r="BE5" s="9" t="s">
        <v>650</v>
      </c>
      <c r="BF5" s="9" t="s">
        <v>650</v>
      </c>
      <c r="BG5" s="13"/>
      <c r="BH5" s="9" t="s">
        <v>650</v>
      </c>
      <c r="BI5" s="13"/>
      <c r="BJ5" s="13"/>
      <c r="BK5" s="13"/>
      <c r="BL5" s="13"/>
      <c r="BM5" s="13"/>
      <c r="BN5" s="9" t="s">
        <v>1229</v>
      </c>
      <c r="BO5" s="9"/>
      <c r="BP5" s="50"/>
      <c r="BQ5" s="50"/>
      <c r="BR5" s="9"/>
      <c r="BS5" s="9"/>
      <c r="BT5" s="9"/>
      <c r="BU5" s="141"/>
      <c r="BV5" s="486">
        <v>97521043</v>
      </c>
      <c r="BW5" s="434">
        <v>18029.07</v>
      </c>
      <c r="BX5" s="234"/>
      <c r="BY5" s="174"/>
      <c r="BZ5" s="437">
        <v>97520962</v>
      </c>
      <c r="CA5" s="438">
        <v>11596.07</v>
      </c>
      <c r="CB5" s="532">
        <v>97520927</v>
      </c>
      <c r="CC5" s="436">
        <v>450</v>
      </c>
      <c r="CD5" s="533">
        <v>97750097</v>
      </c>
      <c r="CE5" s="442">
        <v>102.41</v>
      </c>
      <c r="CF5" s="439">
        <v>97521043</v>
      </c>
      <c r="CG5" s="440">
        <v>10057.790000000001</v>
      </c>
      <c r="CH5" s="496">
        <v>97521043</v>
      </c>
      <c r="CI5" s="497">
        <f>CG5+CE5+CC5+CA5+BW5</f>
        <v>40235.339999999997</v>
      </c>
      <c r="CK5" s="219"/>
      <c r="CL5" s="225"/>
      <c r="CM5" s="234"/>
      <c r="CN5" s="623"/>
      <c r="CO5" s="382"/>
      <c r="CP5" s="383"/>
    </row>
    <row r="6" spans="1:94">
      <c r="A6" s="409">
        <v>82</v>
      </c>
      <c r="B6" s="409">
        <v>603</v>
      </c>
      <c r="C6" s="409" t="s">
        <v>647</v>
      </c>
      <c r="D6" s="409">
        <v>2</v>
      </c>
      <c r="E6" s="13"/>
      <c r="F6" s="7"/>
      <c r="G6" s="7"/>
      <c r="H6" s="13"/>
      <c r="I6" s="13"/>
      <c r="J6" s="409" t="s">
        <v>113</v>
      </c>
      <c r="K6" s="13"/>
      <c r="L6" s="13"/>
      <c r="M6" s="13"/>
      <c r="N6" s="13"/>
      <c r="O6" s="409" t="s">
        <v>650</v>
      </c>
      <c r="P6" s="7"/>
      <c r="Q6" s="13"/>
      <c r="R6" s="13"/>
      <c r="S6" s="13"/>
      <c r="T6" s="13"/>
      <c r="U6" s="13"/>
      <c r="V6" s="409" t="s">
        <v>650</v>
      </c>
      <c r="W6" s="13"/>
      <c r="X6" s="7"/>
      <c r="Y6" s="13"/>
      <c r="Z6" s="7"/>
      <c r="AA6" s="13"/>
      <c r="AB6" s="409" t="s">
        <v>650</v>
      </c>
      <c r="AC6" s="7"/>
      <c r="AD6" s="13"/>
      <c r="AE6" s="13"/>
      <c r="AF6" s="13"/>
      <c r="AG6" s="7"/>
      <c r="AH6" s="409" t="s">
        <v>650</v>
      </c>
      <c r="AI6" s="7"/>
      <c r="AJ6" s="13"/>
      <c r="AK6" s="13"/>
      <c r="AL6" s="13"/>
      <c r="AM6" s="13"/>
      <c r="AN6" s="13"/>
      <c r="AO6" s="13"/>
      <c r="AP6" s="13"/>
      <c r="AQ6" s="7"/>
      <c r="AR6" s="409" t="s">
        <v>650</v>
      </c>
      <c r="AS6" s="13"/>
      <c r="AT6" s="13"/>
      <c r="AU6" s="7"/>
      <c r="AV6" s="13"/>
      <c r="AW6" s="13"/>
      <c r="AX6" s="7"/>
      <c r="AY6" s="409" t="s">
        <v>650</v>
      </c>
      <c r="AZ6" s="409" t="s">
        <v>650</v>
      </c>
      <c r="BA6" s="13"/>
      <c r="BB6" s="13"/>
      <c r="BC6" s="7"/>
      <c r="BD6" s="13"/>
      <c r="BE6" s="13"/>
      <c r="BF6" s="13"/>
      <c r="BG6" s="13"/>
      <c r="BH6" s="13"/>
      <c r="BI6" s="13"/>
      <c r="BJ6" s="13"/>
      <c r="BK6" s="7" t="s">
        <v>289</v>
      </c>
      <c r="BL6" s="13"/>
      <c r="BM6" s="13"/>
      <c r="BN6" s="7" t="s">
        <v>1230</v>
      </c>
      <c r="BO6" s="7"/>
      <c r="BP6" s="7"/>
      <c r="BQ6" s="7"/>
      <c r="BR6" s="7"/>
      <c r="BS6" s="7"/>
      <c r="BT6" s="7"/>
      <c r="BU6" s="103"/>
      <c r="BV6" s="264">
        <v>98769057</v>
      </c>
      <c r="BW6" s="375">
        <v>24634.16</v>
      </c>
      <c r="BX6" s="233"/>
      <c r="BY6" s="174"/>
      <c r="BZ6" s="233"/>
      <c r="CA6" s="174"/>
      <c r="CB6" s="378">
        <v>98769003</v>
      </c>
      <c r="CC6" s="301">
        <v>450</v>
      </c>
      <c r="CD6" s="379">
        <v>98769034</v>
      </c>
      <c r="CE6" s="360">
        <v>102.41</v>
      </c>
      <c r="CF6" s="219"/>
      <c r="CG6" s="247"/>
      <c r="CH6" s="382">
        <v>98769057</v>
      </c>
      <c r="CI6" s="383">
        <f>CG6+CE6+CC6+CA6+BY6+BW6</f>
        <v>25186.57</v>
      </c>
      <c r="CK6" s="219">
        <v>98769057</v>
      </c>
      <c r="CL6" s="225">
        <v>12705.26</v>
      </c>
      <c r="CM6" s="234">
        <v>98769028</v>
      </c>
      <c r="CN6" s="625">
        <v>7333.96</v>
      </c>
      <c r="CO6" s="382">
        <f>CK6</f>
        <v>98769057</v>
      </c>
      <c r="CP6" s="383">
        <f>CN6+CL6</f>
        <v>20039.22</v>
      </c>
    </row>
    <row r="7" spans="1:94">
      <c r="A7" s="410">
        <v>83</v>
      </c>
      <c r="B7" s="410">
        <v>603</v>
      </c>
      <c r="C7" s="410" t="s">
        <v>649</v>
      </c>
      <c r="D7" s="9"/>
      <c r="E7" s="13"/>
      <c r="F7" s="9"/>
      <c r="G7" s="9"/>
      <c r="H7" s="13"/>
      <c r="I7" s="13"/>
      <c r="J7" s="410" t="s">
        <v>115</v>
      </c>
      <c r="K7" s="13"/>
      <c r="L7" s="13"/>
      <c r="M7" s="13"/>
      <c r="N7" s="13"/>
      <c r="O7" s="410" t="s">
        <v>650</v>
      </c>
      <c r="P7" s="9"/>
      <c r="Q7" s="13"/>
      <c r="R7" s="13"/>
      <c r="S7" s="13"/>
      <c r="T7" s="13"/>
      <c r="U7" s="13"/>
      <c r="V7" s="410" t="s">
        <v>650</v>
      </c>
      <c r="W7" s="13"/>
      <c r="X7" s="9"/>
      <c r="Y7" s="13"/>
      <c r="Z7" s="410" t="s">
        <v>650</v>
      </c>
      <c r="AA7" s="9"/>
      <c r="AB7" s="9"/>
      <c r="AC7" s="410" t="s">
        <v>650</v>
      </c>
      <c r="AD7" s="13"/>
      <c r="AE7" s="13"/>
      <c r="AF7" s="13"/>
      <c r="AG7" s="9"/>
      <c r="AH7" s="410" t="s">
        <v>650</v>
      </c>
      <c r="AI7" s="9"/>
      <c r="AJ7" s="13"/>
      <c r="AK7" s="13"/>
      <c r="AL7" s="13"/>
      <c r="AM7" s="13"/>
      <c r="AN7" s="13"/>
      <c r="AO7" s="13"/>
      <c r="AP7" s="13"/>
      <c r="AQ7" s="9"/>
      <c r="AR7" s="410" t="s">
        <v>650</v>
      </c>
      <c r="AS7" s="13"/>
      <c r="AT7" s="13"/>
      <c r="AU7" s="9"/>
      <c r="AV7" s="13"/>
      <c r="AW7" s="13"/>
      <c r="AX7" s="9"/>
      <c r="AY7" s="410" t="s">
        <v>650</v>
      </c>
      <c r="AZ7" s="410" t="s">
        <v>650</v>
      </c>
      <c r="BA7" s="13"/>
      <c r="BB7" s="13"/>
      <c r="BC7" s="9"/>
      <c r="BD7" s="13"/>
      <c r="BE7" s="13"/>
      <c r="BF7" s="13"/>
      <c r="BG7" s="13"/>
      <c r="BH7" s="13"/>
      <c r="BI7" s="13"/>
      <c r="BJ7" s="13"/>
      <c r="BK7" s="410" t="s">
        <v>650</v>
      </c>
      <c r="BL7" s="13"/>
      <c r="BM7" s="13"/>
      <c r="BN7" s="9" t="s">
        <v>1231</v>
      </c>
      <c r="BO7" s="9"/>
      <c r="BP7" s="9"/>
      <c r="BQ7" s="9"/>
      <c r="BR7" s="9"/>
      <c r="BS7" s="9"/>
      <c r="BT7" s="9"/>
      <c r="BU7" s="141"/>
      <c r="BV7" s="486">
        <v>98162886</v>
      </c>
      <c r="BW7" s="489">
        <v>22709.82</v>
      </c>
      <c r="BX7" s="234"/>
      <c r="BY7" s="263"/>
      <c r="BZ7" s="437">
        <v>98162007</v>
      </c>
      <c r="CA7" s="487">
        <v>8254.66</v>
      </c>
      <c r="CB7" s="435">
        <v>98161982</v>
      </c>
      <c r="CC7" s="539">
        <v>450</v>
      </c>
      <c r="CD7" s="441">
        <v>98162013</v>
      </c>
      <c r="CE7" s="491">
        <v>102.41</v>
      </c>
      <c r="CF7" s="219"/>
      <c r="CG7" s="247"/>
      <c r="CH7" s="496">
        <v>98162886</v>
      </c>
      <c r="CI7" s="497">
        <f>CE7+CC7+CA7+BY7+BW7</f>
        <v>31516.89</v>
      </c>
      <c r="CK7" s="439">
        <v>98162886</v>
      </c>
      <c r="CL7" s="440">
        <v>12404.28</v>
      </c>
      <c r="CM7" s="234"/>
      <c r="CN7" s="625"/>
      <c r="CO7" s="382"/>
      <c r="CP7" s="497">
        <f>CN7+CL7</f>
        <v>12404.28</v>
      </c>
    </row>
    <row r="8" spans="1:94">
      <c r="A8" s="409">
        <v>84</v>
      </c>
      <c r="B8" s="409">
        <v>603</v>
      </c>
      <c r="C8" s="409" t="s">
        <v>648</v>
      </c>
      <c r="D8" s="409">
        <v>2</v>
      </c>
      <c r="E8" s="632"/>
      <c r="F8" s="409"/>
      <c r="G8" s="409"/>
      <c r="H8" s="632"/>
      <c r="I8" s="632"/>
      <c r="J8" s="409" t="s">
        <v>115</v>
      </c>
      <c r="K8" s="632"/>
      <c r="L8" s="632"/>
      <c r="M8" s="632"/>
      <c r="N8" s="632"/>
      <c r="O8" s="409" t="s">
        <v>650</v>
      </c>
      <c r="P8" s="409"/>
      <c r="Q8" s="632"/>
      <c r="R8" s="632"/>
      <c r="S8" s="632"/>
      <c r="T8" s="632"/>
      <c r="U8" s="632"/>
      <c r="V8" s="409"/>
      <c r="W8" s="632"/>
      <c r="X8" s="409"/>
      <c r="Y8" s="632"/>
      <c r="Z8" s="409"/>
      <c r="AA8" s="632"/>
      <c r="AB8" s="409" t="s">
        <v>289</v>
      </c>
      <c r="AC8" s="409" t="s">
        <v>650</v>
      </c>
      <c r="AD8" s="632"/>
      <c r="AE8" s="632"/>
      <c r="AF8" s="632"/>
      <c r="AG8" s="409"/>
      <c r="AH8" s="409" t="s">
        <v>650</v>
      </c>
      <c r="AI8" s="409"/>
      <c r="AJ8" s="632"/>
      <c r="AK8" s="632"/>
      <c r="AL8" s="632"/>
      <c r="AM8" s="632"/>
      <c r="AN8" s="632"/>
      <c r="AO8" s="632"/>
      <c r="AP8" s="632"/>
      <c r="AQ8" s="409"/>
      <c r="AR8" s="409" t="s">
        <v>650</v>
      </c>
      <c r="AS8" s="632"/>
      <c r="AT8" s="632"/>
      <c r="AU8" s="409"/>
      <c r="AV8" s="632"/>
      <c r="AW8" s="632"/>
      <c r="AX8" s="409"/>
      <c r="AY8" s="409" t="s">
        <v>650</v>
      </c>
      <c r="AZ8" s="409"/>
      <c r="BA8" s="632"/>
      <c r="BB8" s="632"/>
      <c r="BC8" s="409"/>
      <c r="BD8" s="632"/>
      <c r="BE8" s="632"/>
      <c r="BF8" s="632"/>
      <c r="BG8" s="632"/>
      <c r="BH8" s="632"/>
      <c r="BI8" s="632"/>
      <c r="BJ8" s="632"/>
      <c r="BK8" s="409" t="s">
        <v>650</v>
      </c>
      <c r="BL8" s="632"/>
      <c r="BM8" s="13"/>
      <c r="BN8" s="7" t="s">
        <v>1232</v>
      </c>
      <c r="BO8" s="7"/>
      <c r="BP8" s="7"/>
      <c r="BQ8" s="7"/>
      <c r="BR8" s="7"/>
      <c r="BS8" s="7"/>
      <c r="BT8" s="7"/>
      <c r="BU8" s="103"/>
      <c r="BV8" s="374">
        <v>98777293</v>
      </c>
      <c r="BW8" s="267">
        <v>24634.16</v>
      </c>
      <c r="BX8" s="234"/>
      <c r="BY8" s="261"/>
      <c r="BZ8" s="234"/>
      <c r="CA8" s="263"/>
      <c r="CB8" s="269">
        <v>98777152</v>
      </c>
      <c r="CC8" s="526">
        <v>450</v>
      </c>
      <c r="CD8" s="358">
        <v>98777185</v>
      </c>
      <c r="CE8" s="535">
        <v>102.41</v>
      </c>
      <c r="CF8" s="219"/>
      <c r="CG8" s="247"/>
      <c r="CH8" s="382">
        <f>BV8</f>
        <v>98777293</v>
      </c>
      <c r="CI8" s="383">
        <f>BW8+BY8+CA8+CC8+CE8+CG8</f>
        <v>25186.57</v>
      </c>
      <c r="CK8" s="219">
        <v>98777293</v>
      </c>
      <c r="CL8" s="225">
        <v>12705.26</v>
      </c>
      <c r="CM8" s="234">
        <v>98777182</v>
      </c>
      <c r="CN8" s="625">
        <v>7273.3</v>
      </c>
      <c r="CO8" s="382" t="s">
        <v>1233</v>
      </c>
      <c r="CP8" s="383">
        <f>CL8+CN8</f>
        <v>19978.560000000001</v>
      </c>
    </row>
    <row r="9" spans="1:94" s="158" customFormat="1">
      <c r="A9" s="410">
        <v>85</v>
      </c>
      <c r="B9" s="410">
        <v>603</v>
      </c>
      <c r="C9" s="410" t="s">
        <v>649</v>
      </c>
      <c r="D9" s="410">
        <v>2</v>
      </c>
      <c r="E9" s="410"/>
      <c r="F9" s="410"/>
      <c r="G9" s="410"/>
      <c r="H9" s="410"/>
      <c r="I9" s="410"/>
      <c r="J9" s="410" t="s">
        <v>115</v>
      </c>
      <c r="K9" s="410"/>
      <c r="L9" s="410"/>
      <c r="M9" s="410"/>
      <c r="N9" s="410"/>
      <c r="O9" s="410" t="s">
        <v>650</v>
      </c>
      <c r="P9" s="410"/>
      <c r="Q9" s="410"/>
      <c r="R9" s="410"/>
      <c r="S9" s="410"/>
      <c r="T9" s="410"/>
      <c r="U9" s="410"/>
      <c r="V9" s="410"/>
      <c r="W9" s="410"/>
      <c r="X9" s="410"/>
      <c r="Y9" s="410"/>
      <c r="Z9" s="410"/>
      <c r="AA9" s="410"/>
      <c r="AB9" s="410" t="s">
        <v>650</v>
      </c>
      <c r="AC9" s="410"/>
      <c r="AD9" s="410"/>
      <c r="AE9" s="410"/>
      <c r="AF9" s="410"/>
      <c r="AG9" s="410"/>
      <c r="AH9" s="410" t="s">
        <v>650</v>
      </c>
      <c r="AI9" s="410"/>
      <c r="AJ9" s="410"/>
      <c r="AK9" s="410"/>
      <c r="AL9" s="410"/>
      <c r="AM9" s="410"/>
      <c r="AN9" s="410"/>
      <c r="AO9" s="410"/>
      <c r="AP9" s="410"/>
      <c r="AQ9" s="410"/>
      <c r="AR9" s="410" t="s">
        <v>650</v>
      </c>
      <c r="AS9" s="410"/>
      <c r="AT9" s="410"/>
      <c r="AU9" s="410"/>
      <c r="AV9" s="410"/>
      <c r="AW9" s="410"/>
      <c r="AX9" s="410"/>
      <c r="AY9" s="410" t="s">
        <v>650</v>
      </c>
      <c r="AZ9" s="410"/>
      <c r="BA9" s="410"/>
      <c r="BB9" s="410"/>
      <c r="BC9" s="410"/>
      <c r="BD9" s="410"/>
      <c r="BE9" s="410"/>
      <c r="BF9" s="410"/>
      <c r="BG9" s="410"/>
      <c r="BH9" s="410"/>
      <c r="BI9" s="410"/>
      <c r="BJ9" s="410"/>
      <c r="BK9" s="410" t="s">
        <v>650</v>
      </c>
      <c r="BL9" s="410"/>
      <c r="BM9" s="632"/>
      <c r="BN9" s="410" t="s">
        <v>1234</v>
      </c>
      <c r="BO9" s="410"/>
      <c r="BP9" s="527"/>
      <c r="BQ9" s="527"/>
      <c r="BR9" s="410"/>
      <c r="BS9" s="410"/>
      <c r="BT9" s="410"/>
      <c r="BU9" s="656"/>
      <c r="BV9" s="486">
        <v>99658053</v>
      </c>
      <c r="BW9" s="489">
        <v>24513.16</v>
      </c>
      <c r="BX9" s="437"/>
      <c r="BY9" s="778"/>
      <c r="BZ9" s="437">
        <v>99657302</v>
      </c>
      <c r="CA9" s="487">
        <v>9288.7099999999991</v>
      </c>
      <c r="CB9" s="435" t="s">
        <v>1235</v>
      </c>
      <c r="CC9" s="779"/>
      <c r="CD9" s="441"/>
      <c r="CE9" s="634"/>
      <c r="CF9" s="439"/>
      <c r="CG9" s="534"/>
      <c r="CH9" s="496">
        <f>BV9</f>
        <v>99658053</v>
      </c>
      <c r="CI9" s="497">
        <f>CG9+CE9+CC9+CA9+BY9+BW9</f>
        <v>33801.869999999995</v>
      </c>
      <c r="CK9" s="439">
        <v>99658053</v>
      </c>
      <c r="CL9" s="440">
        <v>12759.86</v>
      </c>
      <c r="CM9" s="437"/>
      <c r="CN9" s="781"/>
      <c r="CO9" s="496" t="s">
        <v>1236</v>
      </c>
      <c r="CP9" s="497">
        <f>CL9</f>
        <v>12759.86</v>
      </c>
    </row>
    <row r="10" spans="1:94">
      <c r="A10" s="409">
        <v>86</v>
      </c>
      <c r="B10" s="7">
        <v>603</v>
      </c>
      <c r="C10" s="7" t="s">
        <v>647</v>
      </c>
      <c r="D10" s="7">
        <v>2</v>
      </c>
      <c r="E10" s="13"/>
      <c r="F10" s="7">
        <v>2</v>
      </c>
      <c r="G10" s="7"/>
      <c r="H10" s="13"/>
      <c r="I10" s="13"/>
      <c r="J10" s="7" t="s">
        <v>113</v>
      </c>
      <c r="K10" s="13"/>
      <c r="L10" s="13"/>
      <c r="M10" s="13"/>
      <c r="N10" s="13"/>
      <c r="O10" s="7" t="s">
        <v>650</v>
      </c>
      <c r="P10" s="7"/>
      <c r="Q10" s="13"/>
      <c r="R10" s="13"/>
      <c r="S10" s="13"/>
      <c r="T10" s="13"/>
      <c r="U10" s="13"/>
      <c r="V10" s="7"/>
      <c r="W10" s="13"/>
      <c r="X10" s="7"/>
      <c r="Y10" s="13"/>
      <c r="Z10" s="7"/>
      <c r="AA10" s="13"/>
      <c r="AB10" s="7" t="s">
        <v>650</v>
      </c>
      <c r="AC10" s="7"/>
      <c r="AD10" s="13"/>
      <c r="AE10" s="13"/>
      <c r="AF10" s="13"/>
      <c r="AG10" s="7"/>
      <c r="AH10" s="7" t="s">
        <v>650</v>
      </c>
      <c r="AI10" s="7"/>
      <c r="AJ10" s="13"/>
      <c r="AK10" s="13"/>
      <c r="AL10" s="13"/>
      <c r="AM10" s="13"/>
      <c r="AN10" s="13"/>
      <c r="AO10" s="13"/>
      <c r="AP10" s="13"/>
      <c r="AQ10" s="7" t="s">
        <v>650</v>
      </c>
      <c r="AR10" s="7"/>
      <c r="AS10" s="13"/>
      <c r="AT10" s="13"/>
      <c r="AU10" s="7"/>
      <c r="AV10" s="13"/>
      <c r="AW10" s="13"/>
      <c r="AX10" s="7"/>
      <c r="AY10" s="7" t="s">
        <v>650</v>
      </c>
      <c r="AZ10" s="7" t="s">
        <v>650</v>
      </c>
      <c r="BA10" s="13"/>
      <c r="BB10" s="13"/>
      <c r="BC10" s="7"/>
      <c r="BD10" s="13"/>
      <c r="BE10" s="13"/>
      <c r="BF10" s="13"/>
      <c r="BG10" s="13"/>
      <c r="BH10" s="13"/>
      <c r="BI10" s="13"/>
      <c r="BJ10" s="13"/>
      <c r="BK10" s="7" t="s">
        <v>650</v>
      </c>
      <c r="BL10" s="13"/>
      <c r="BM10" s="13"/>
      <c r="BN10" s="7" t="s">
        <v>1237</v>
      </c>
      <c r="BO10" s="7"/>
      <c r="BP10" s="7"/>
      <c r="BQ10" s="7"/>
      <c r="BR10" s="7"/>
      <c r="BS10" s="7"/>
      <c r="BT10" s="7"/>
      <c r="BU10" s="103"/>
      <c r="BV10" s="486">
        <v>97343071</v>
      </c>
      <c r="BW10" s="434">
        <v>19488.71</v>
      </c>
      <c r="BX10" s="437">
        <v>97551788</v>
      </c>
      <c r="BY10" s="438">
        <v>4868.97</v>
      </c>
      <c r="BZ10" s="437">
        <v>97372693</v>
      </c>
      <c r="CA10" s="438">
        <v>5159.09</v>
      </c>
      <c r="CB10" s="435">
        <v>97342899</v>
      </c>
      <c r="CC10" s="436">
        <v>450</v>
      </c>
      <c r="CD10" s="441">
        <v>97372700</v>
      </c>
      <c r="CE10" s="442">
        <v>102.41</v>
      </c>
      <c r="CF10" s="439">
        <v>97343071</v>
      </c>
      <c r="CG10" s="440">
        <v>12297.11</v>
      </c>
      <c r="CH10" s="496">
        <v>97343071</v>
      </c>
      <c r="CI10" s="497">
        <f>CG10+CE10+CC10+CA10+BW10+BY10</f>
        <v>42366.29</v>
      </c>
      <c r="CK10" s="219"/>
      <c r="CL10" s="440"/>
      <c r="CM10" s="437"/>
      <c r="CN10" s="624"/>
      <c r="CO10" s="496"/>
      <c r="CP10" s="497"/>
    </row>
    <row r="11" spans="1:94">
      <c r="A11" s="410">
        <v>114</v>
      </c>
      <c r="B11" s="410">
        <v>941</v>
      </c>
      <c r="C11" s="410" t="s">
        <v>648</v>
      </c>
      <c r="D11" s="410">
        <v>2</v>
      </c>
      <c r="E11" s="13"/>
      <c r="F11" s="13"/>
      <c r="G11" s="9"/>
      <c r="H11" s="13"/>
      <c r="I11" s="13"/>
      <c r="J11" s="9"/>
      <c r="K11" s="13"/>
      <c r="L11" s="13"/>
      <c r="M11" s="13"/>
      <c r="N11" s="13"/>
      <c r="O11" s="410" t="s">
        <v>650</v>
      </c>
      <c r="P11" s="410" t="s">
        <v>650</v>
      </c>
      <c r="Q11" s="9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410" t="s">
        <v>650</v>
      </c>
      <c r="AW11" s="410" t="s">
        <v>650</v>
      </c>
      <c r="AX11" s="410" t="s">
        <v>650</v>
      </c>
      <c r="AY11" s="13"/>
      <c r="AZ11" s="13"/>
      <c r="BA11" s="410" t="s">
        <v>650</v>
      </c>
      <c r="BB11" s="13"/>
      <c r="BC11" s="9"/>
      <c r="BD11" s="13"/>
      <c r="BE11" s="410" t="s">
        <v>650</v>
      </c>
      <c r="BF11" s="13"/>
      <c r="BG11" s="13"/>
      <c r="BH11" s="410" t="s">
        <v>650</v>
      </c>
      <c r="BI11" s="13"/>
      <c r="BJ11" s="13"/>
      <c r="BK11" s="13"/>
      <c r="BL11" s="13"/>
      <c r="BM11" s="13"/>
      <c r="BN11" s="9" t="s">
        <v>1238</v>
      </c>
      <c r="BO11" s="9"/>
      <c r="BP11" s="9"/>
      <c r="BQ11" s="9"/>
      <c r="BR11" s="9"/>
      <c r="BS11" s="9"/>
      <c r="BT11" s="9"/>
      <c r="BU11" s="141"/>
      <c r="BV11" s="486">
        <v>98273419</v>
      </c>
      <c r="BW11" s="489">
        <v>15145.91</v>
      </c>
      <c r="BX11" s="234"/>
      <c r="BY11" s="261"/>
      <c r="BZ11" s="234"/>
      <c r="CA11" s="261"/>
      <c r="CB11" s="435">
        <v>98268117</v>
      </c>
      <c r="CC11" s="539">
        <v>450</v>
      </c>
      <c r="CD11" s="441">
        <v>98268170</v>
      </c>
      <c r="CE11" s="491">
        <v>102.41</v>
      </c>
      <c r="CF11" s="219"/>
      <c r="CG11" s="247"/>
      <c r="CH11" s="496">
        <v>98273419</v>
      </c>
      <c r="CI11" s="497">
        <f>CG11+CE11+CC11+CA11+BY11+BW11</f>
        <v>15698.32</v>
      </c>
      <c r="CK11" s="439">
        <v>98273419</v>
      </c>
      <c r="CL11" s="440">
        <v>9187.93</v>
      </c>
      <c r="CM11" s="437">
        <v>98268158</v>
      </c>
      <c r="CN11" s="624">
        <v>1224.3599999999999</v>
      </c>
      <c r="CO11" s="496">
        <v>98273419</v>
      </c>
      <c r="CP11" s="497">
        <f>CN11+CL11</f>
        <v>10412.290000000001</v>
      </c>
    </row>
    <row r="12" spans="1:94">
      <c r="A12" s="409">
        <v>115</v>
      </c>
      <c r="B12" s="409">
        <v>744</v>
      </c>
      <c r="C12" s="409" t="s">
        <v>649</v>
      </c>
      <c r="D12" s="409">
        <v>2</v>
      </c>
      <c r="E12" s="13"/>
      <c r="F12" s="7"/>
      <c r="G12" s="13"/>
      <c r="H12" s="7"/>
      <c r="I12" s="13"/>
      <c r="J12" s="7"/>
      <c r="K12" s="7"/>
      <c r="L12" s="13"/>
      <c r="M12" s="7"/>
      <c r="N12" s="13"/>
      <c r="O12" s="409" t="s">
        <v>650</v>
      </c>
      <c r="P12" s="7"/>
      <c r="Q12" s="409" t="s">
        <v>650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7"/>
      <c r="AC12" s="7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7"/>
      <c r="AR12" s="13"/>
      <c r="AS12" s="13"/>
      <c r="AT12" s="13"/>
      <c r="AU12" s="13"/>
      <c r="AV12" s="13"/>
      <c r="AW12" s="13"/>
      <c r="AX12" s="13"/>
      <c r="AY12" s="13"/>
      <c r="AZ12" s="13"/>
      <c r="BA12" s="409" t="s">
        <v>650</v>
      </c>
      <c r="BB12" s="13"/>
      <c r="BC12" s="7"/>
      <c r="BD12" s="13"/>
      <c r="BE12" s="409" t="s">
        <v>650</v>
      </c>
      <c r="BF12" s="7"/>
      <c r="BG12" s="13"/>
      <c r="BH12" s="409" t="s">
        <v>650</v>
      </c>
      <c r="BI12" s="13"/>
      <c r="BJ12" s="409" t="s">
        <v>650</v>
      </c>
      <c r="BK12" s="13"/>
      <c r="BL12" s="13"/>
      <c r="BM12" s="13"/>
      <c r="BN12" s="7" t="s">
        <v>1239</v>
      </c>
      <c r="BO12" s="7"/>
      <c r="BP12" s="7"/>
      <c r="BQ12" s="7"/>
      <c r="BR12" s="7"/>
      <c r="BS12" s="7"/>
      <c r="BT12" s="7"/>
      <c r="BU12" s="103"/>
      <c r="BV12" s="374">
        <v>98920390</v>
      </c>
      <c r="BW12" s="265">
        <v>18462.73</v>
      </c>
      <c r="BX12" s="234"/>
      <c r="BY12" s="261"/>
      <c r="BZ12" s="234">
        <v>98920153</v>
      </c>
      <c r="CA12" s="625">
        <v>1402.04</v>
      </c>
      <c r="CB12" s="269">
        <v>98920128</v>
      </c>
      <c r="CC12" s="635">
        <v>450</v>
      </c>
      <c r="CD12" s="358">
        <v>98920159</v>
      </c>
      <c r="CE12" s="535">
        <v>102.41</v>
      </c>
      <c r="CF12" s="219"/>
      <c r="CG12" s="247"/>
      <c r="CH12" s="382">
        <v>98920390</v>
      </c>
      <c r="CI12" s="383">
        <f>CE12+CA12+CC12+BW12</f>
        <v>20417.18</v>
      </c>
      <c r="CK12" s="219">
        <v>98920390</v>
      </c>
      <c r="CL12" s="225">
        <v>10747.14</v>
      </c>
      <c r="CM12" s="234"/>
      <c r="CN12" s="625"/>
      <c r="CO12" s="382">
        <v>98920390</v>
      </c>
      <c r="CP12" s="383">
        <f>CN12+CL12</f>
        <v>10747.14</v>
      </c>
    </row>
    <row r="13" spans="1:94">
      <c r="A13" s="410">
        <v>116</v>
      </c>
      <c r="B13" s="410" t="s">
        <v>1240</v>
      </c>
      <c r="C13" s="410" t="s">
        <v>647</v>
      </c>
      <c r="D13" s="410">
        <v>2</v>
      </c>
      <c r="E13" s="13"/>
      <c r="F13" s="9"/>
      <c r="G13" s="9"/>
      <c r="H13" s="13"/>
      <c r="I13" s="13"/>
      <c r="J13" s="9"/>
      <c r="K13" s="13"/>
      <c r="L13" s="13"/>
      <c r="M13" s="9"/>
      <c r="N13" s="13"/>
      <c r="O13" s="410" t="s">
        <v>650</v>
      </c>
      <c r="P13" s="9"/>
      <c r="Q13" s="9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9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9"/>
      <c r="AR13" s="13"/>
      <c r="AS13" s="13"/>
      <c r="AT13" s="13"/>
      <c r="AU13" s="13"/>
      <c r="AV13" s="13"/>
      <c r="AW13" s="13"/>
      <c r="AX13" s="410" t="s">
        <v>650</v>
      </c>
      <c r="AY13" s="13"/>
      <c r="AZ13" s="13"/>
      <c r="BA13" s="13"/>
      <c r="BB13" s="13"/>
      <c r="BC13" s="410" t="s">
        <v>650</v>
      </c>
      <c r="BD13" s="13"/>
      <c r="BE13" s="13"/>
      <c r="BF13" s="13"/>
      <c r="BG13" s="13"/>
      <c r="BH13" s="410" t="s">
        <v>650</v>
      </c>
      <c r="BI13" s="13"/>
      <c r="BJ13" s="13"/>
      <c r="BK13" s="13"/>
      <c r="BL13" s="13"/>
      <c r="BM13" s="13"/>
      <c r="BN13" s="9" t="s">
        <v>1241</v>
      </c>
      <c r="BO13" s="9"/>
      <c r="BP13" s="9"/>
      <c r="BQ13" s="9"/>
      <c r="BR13" s="9"/>
      <c r="BS13" s="9"/>
      <c r="BT13" s="9"/>
      <c r="BU13" s="141"/>
      <c r="BV13" s="374">
        <v>98920405</v>
      </c>
      <c r="BW13" s="265">
        <v>14561.24</v>
      </c>
      <c r="BX13" s="234"/>
      <c r="BY13" s="261"/>
      <c r="BZ13" s="234">
        <v>98920206</v>
      </c>
      <c r="CA13" s="261">
        <v>-2665.52</v>
      </c>
      <c r="CB13" s="269">
        <v>98920179</v>
      </c>
      <c r="CC13" s="635">
        <v>450</v>
      </c>
      <c r="CD13" s="358">
        <v>98920210</v>
      </c>
      <c r="CE13" s="535">
        <v>102.41</v>
      </c>
      <c r="CF13" s="219"/>
      <c r="CG13" s="247"/>
      <c r="CH13" s="382">
        <v>98920405</v>
      </c>
      <c r="CI13" s="383">
        <f>CE13+BY13+CA13+CC13+BW13</f>
        <v>12448.13</v>
      </c>
      <c r="CK13" s="219">
        <v>98920405</v>
      </c>
      <c r="CL13" s="225">
        <v>9313.77</v>
      </c>
      <c r="CM13" s="234"/>
      <c r="CN13" s="623"/>
      <c r="CO13" s="382" t="s">
        <v>1242</v>
      </c>
      <c r="CP13" s="383">
        <f>CN13+CL13</f>
        <v>9313.77</v>
      </c>
    </row>
    <row r="14" spans="1:94">
      <c r="A14" s="409">
        <v>117</v>
      </c>
      <c r="B14" s="409" t="s">
        <v>1240</v>
      </c>
      <c r="C14" s="409" t="s">
        <v>648</v>
      </c>
      <c r="D14" s="409">
        <v>2</v>
      </c>
      <c r="E14" s="13"/>
      <c r="F14" s="7"/>
      <c r="G14" s="7"/>
      <c r="H14" s="13"/>
      <c r="I14" s="13"/>
      <c r="J14" s="7"/>
      <c r="K14" s="13"/>
      <c r="L14" s="13"/>
      <c r="M14" s="7"/>
      <c r="N14" s="13"/>
      <c r="O14" s="409" t="s">
        <v>650</v>
      </c>
      <c r="P14" s="7"/>
      <c r="Q14" s="647" t="s">
        <v>650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7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7"/>
      <c r="AR14" s="13"/>
      <c r="AS14" s="13"/>
      <c r="AT14" s="13"/>
      <c r="AU14" s="13"/>
      <c r="AV14" s="13"/>
      <c r="AW14" s="13"/>
      <c r="AX14" s="409" t="s">
        <v>650</v>
      </c>
      <c r="AY14" s="13"/>
      <c r="AZ14" s="13"/>
      <c r="BA14" s="13"/>
      <c r="BB14" s="13"/>
      <c r="BC14" s="7"/>
      <c r="BD14" s="13"/>
      <c r="BE14" s="13"/>
      <c r="BF14" s="13"/>
      <c r="BG14" s="13"/>
      <c r="BH14" s="409" t="s">
        <v>650</v>
      </c>
      <c r="BI14" s="13"/>
      <c r="BJ14" s="13"/>
      <c r="BK14" s="13"/>
      <c r="BL14" s="13"/>
      <c r="BM14" s="13"/>
      <c r="BN14" s="7" t="s">
        <v>1243</v>
      </c>
      <c r="BO14" s="7"/>
      <c r="BP14" s="7"/>
      <c r="BQ14" s="7"/>
      <c r="BR14" s="7"/>
      <c r="BS14" s="7"/>
      <c r="BT14" s="7"/>
      <c r="BU14" s="103"/>
      <c r="BV14" s="374">
        <v>99314120</v>
      </c>
      <c r="BW14" s="267">
        <v>15267.88</v>
      </c>
      <c r="BX14" s="234"/>
      <c r="BY14" s="261"/>
      <c r="BZ14" s="234">
        <v>99313773</v>
      </c>
      <c r="CA14" s="263">
        <v>289.89999999999998</v>
      </c>
      <c r="CB14" s="269"/>
      <c r="CC14" s="635"/>
      <c r="CD14" s="358">
        <v>99313778</v>
      </c>
      <c r="CE14" s="535">
        <v>102.41</v>
      </c>
      <c r="CF14" s="219"/>
      <c r="CG14" s="302"/>
      <c r="CH14" s="382">
        <f>BV14</f>
        <v>99314120</v>
      </c>
      <c r="CI14" s="383">
        <f t="shared" ref="CI14:CI15" si="0">CE14+BY14+CA14+CC14+BW14</f>
        <v>15660.189999999999</v>
      </c>
      <c r="CK14" s="219">
        <v>99314120</v>
      </c>
      <c r="CL14" s="225">
        <v>9341.67</v>
      </c>
      <c r="CM14" s="234">
        <v>99313747</v>
      </c>
      <c r="CN14" s="625">
        <v>450</v>
      </c>
      <c r="CO14" s="382" t="s">
        <v>1244</v>
      </c>
      <c r="CP14" s="383">
        <f>CL14+CN14</f>
        <v>9791.67</v>
      </c>
    </row>
    <row r="15" spans="1:94">
      <c r="A15" s="410">
        <v>118</v>
      </c>
      <c r="B15" s="409">
        <v>744</v>
      </c>
      <c r="C15" s="409" t="s">
        <v>649</v>
      </c>
      <c r="D15" s="409">
        <v>2</v>
      </c>
      <c r="E15" s="13"/>
      <c r="F15" s="7"/>
      <c r="G15" s="13"/>
      <c r="H15" s="7"/>
      <c r="I15" s="13"/>
      <c r="J15" s="7"/>
      <c r="K15" s="7"/>
      <c r="L15" s="13"/>
      <c r="M15" s="7"/>
      <c r="N15" s="13"/>
      <c r="O15" s="409" t="s">
        <v>650</v>
      </c>
      <c r="P15" s="7"/>
      <c r="Q15" s="7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7"/>
      <c r="AC15" s="409" t="s">
        <v>650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7"/>
      <c r="AR15" s="13"/>
      <c r="AS15" s="13"/>
      <c r="AT15" s="13"/>
      <c r="AU15" s="13"/>
      <c r="AV15" s="13"/>
      <c r="AW15" s="13"/>
      <c r="AX15" s="13"/>
      <c r="AY15" s="13"/>
      <c r="AZ15" s="13"/>
      <c r="BA15" s="409" t="s">
        <v>650</v>
      </c>
      <c r="BB15" s="13"/>
      <c r="BC15" s="7"/>
      <c r="BD15" s="13"/>
      <c r="BE15" s="409" t="s">
        <v>650</v>
      </c>
      <c r="BF15" s="7"/>
      <c r="BG15" s="13"/>
      <c r="BH15" s="409" t="s">
        <v>650</v>
      </c>
      <c r="BI15" s="13"/>
      <c r="BJ15" s="409" t="s">
        <v>650</v>
      </c>
      <c r="BK15" s="13"/>
      <c r="BL15" s="13"/>
      <c r="BM15" s="13"/>
      <c r="BN15" s="9" t="s">
        <v>1245</v>
      </c>
      <c r="BO15" s="9"/>
      <c r="BP15" s="9"/>
      <c r="BQ15" s="9"/>
      <c r="BR15" s="9"/>
      <c r="BS15" s="9"/>
      <c r="BT15" s="9"/>
      <c r="BU15" s="141"/>
      <c r="BV15" s="374">
        <v>99314135</v>
      </c>
      <c r="BW15" s="267">
        <v>19300.13</v>
      </c>
      <c r="BX15" s="234"/>
      <c r="BY15" s="261"/>
      <c r="BZ15" s="234">
        <v>99313826</v>
      </c>
      <c r="CA15" s="263">
        <v>1685.91</v>
      </c>
      <c r="CB15" s="269">
        <v>99313800</v>
      </c>
      <c r="CC15" s="635">
        <v>450</v>
      </c>
      <c r="CD15" s="358">
        <v>99313831</v>
      </c>
      <c r="CE15" s="535">
        <v>102.41</v>
      </c>
      <c r="CF15" s="637"/>
      <c r="CG15" s="636"/>
      <c r="CH15" s="382"/>
      <c r="CI15" s="383">
        <f t="shared" si="0"/>
        <v>21538.45</v>
      </c>
      <c r="CK15" s="219">
        <v>99314135</v>
      </c>
      <c r="CL15" s="302">
        <v>10772.04</v>
      </c>
      <c r="CM15" s="234"/>
      <c r="CN15" s="623"/>
      <c r="CO15" s="382">
        <f>CK15</f>
        <v>99314135</v>
      </c>
      <c r="CP15" s="383">
        <f>CL15+CN15</f>
        <v>10772.04</v>
      </c>
    </row>
    <row r="16" spans="1:94">
      <c r="A16" s="409">
        <v>119</v>
      </c>
      <c r="B16" s="409" t="s">
        <v>1240</v>
      </c>
      <c r="C16" s="409" t="s">
        <v>647</v>
      </c>
      <c r="D16" s="409">
        <v>2</v>
      </c>
      <c r="E16" s="13"/>
      <c r="F16" s="7"/>
      <c r="G16" s="647" t="s">
        <v>650</v>
      </c>
      <c r="H16" s="13"/>
      <c r="I16" s="13"/>
      <c r="J16" s="7"/>
      <c r="K16" s="13"/>
      <c r="L16" s="13"/>
      <c r="M16" s="7"/>
      <c r="N16" s="13"/>
      <c r="O16" s="409" t="s">
        <v>650</v>
      </c>
      <c r="P16" s="409" t="s">
        <v>650</v>
      </c>
      <c r="Q16" s="7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768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7"/>
      <c r="AR16" s="13"/>
      <c r="AS16" s="13"/>
      <c r="AT16" s="13"/>
      <c r="AU16" s="13"/>
      <c r="AV16" s="13"/>
      <c r="AW16" s="13"/>
      <c r="AX16" s="409" t="s">
        <v>650</v>
      </c>
      <c r="AY16" s="13"/>
      <c r="AZ16" s="13"/>
      <c r="BA16" s="13"/>
      <c r="BB16" s="13"/>
      <c r="BC16" s="7"/>
      <c r="BD16" s="13"/>
      <c r="BE16" s="13"/>
      <c r="BF16" s="13"/>
      <c r="BG16" s="13"/>
      <c r="BH16" s="409" t="s">
        <v>650</v>
      </c>
      <c r="BI16" s="13"/>
      <c r="BJ16" s="13"/>
      <c r="BK16" s="13"/>
      <c r="BL16" s="13"/>
      <c r="BM16" s="13"/>
      <c r="BN16" s="7" t="s">
        <v>1246</v>
      </c>
      <c r="BO16" s="7"/>
      <c r="BP16" s="7"/>
      <c r="BQ16" s="7"/>
      <c r="BR16" s="7"/>
      <c r="BS16" s="7"/>
      <c r="BT16" s="7"/>
      <c r="BU16" s="103"/>
      <c r="BV16" s="374">
        <v>99314150</v>
      </c>
      <c r="BW16" s="267">
        <v>15267.88</v>
      </c>
      <c r="BX16" s="234"/>
      <c r="BY16" s="261"/>
      <c r="BZ16" s="234"/>
      <c r="CA16" s="263"/>
      <c r="CB16" s="269">
        <v>99313853</v>
      </c>
      <c r="CC16" s="635">
        <v>450</v>
      </c>
      <c r="CD16" s="358">
        <v>99313889</v>
      </c>
      <c r="CE16" s="535">
        <v>102.41</v>
      </c>
      <c r="CF16" s="638"/>
      <c r="CG16" s="636"/>
      <c r="CH16" s="382">
        <f>BV16</f>
        <v>99314150</v>
      </c>
      <c r="CI16" s="383">
        <f>CE16+BY16+CA16+CC16+BW16</f>
        <v>15820.289999999999</v>
      </c>
      <c r="CK16" s="219">
        <v>99314150</v>
      </c>
      <c r="CL16" s="302">
        <v>9341.67</v>
      </c>
      <c r="CM16" s="437">
        <v>99313879</v>
      </c>
      <c r="CN16" s="624">
        <v>-410.15</v>
      </c>
      <c r="CO16" s="382" t="s">
        <v>1247</v>
      </c>
      <c r="CP16" s="383">
        <f>CL16+CN16</f>
        <v>8931.52</v>
      </c>
    </row>
    <row r="17" spans="1:94" s="158" customFormat="1">
      <c r="A17" s="410">
        <v>120</v>
      </c>
      <c r="B17" s="410" t="s">
        <v>1240</v>
      </c>
      <c r="C17" s="410" t="s">
        <v>648</v>
      </c>
      <c r="D17" s="410">
        <v>2</v>
      </c>
      <c r="E17" s="632"/>
      <c r="F17" s="409"/>
      <c r="G17" s="409"/>
      <c r="H17" s="632"/>
      <c r="I17" s="632"/>
      <c r="J17" s="409"/>
      <c r="K17" s="632"/>
      <c r="L17" s="632"/>
      <c r="M17" s="409"/>
      <c r="N17" s="632"/>
      <c r="O17" s="409"/>
      <c r="P17" s="409"/>
      <c r="Q17" s="409"/>
      <c r="R17" s="632"/>
      <c r="S17" s="632"/>
      <c r="T17" s="632"/>
      <c r="U17" s="632"/>
      <c r="V17" s="632"/>
      <c r="W17" s="632"/>
      <c r="X17" s="632"/>
      <c r="Y17" s="632"/>
      <c r="Z17" s="632"/>
      <c r="AA17" s="632"/>
      <c r="AB17" s="409" t="s">
        <v>650</v>
      </c>
      <c r="AC17" s="632"/>
      <c r="AD17" s="632"/>
      <c r="AE17" s="632"/>
      <c r="AF17" s="632"/>
      <c r="AG17" s="632"/>
      <c r="AH17" s="632"/>
      <c r="AI17" s="632"/>
      <c r="AJ17" s="632"/>
      <c r="AK17" s="632"/>
      <c r="AL17" s="632"/>
      <c r="AM17" s="632"/>
      <c r="AN17" s="632"/>
      <c r="AO17" s="632"/>
      <c r="AP17" s="632"/>
      <c r="AQ17" s="409" t="s">
        <v>650</v>
      </c>
      <c r="AR17" s="632"/>
      <c r="AS17" s="632"/>
      <c r="AT17" s="632"/>
      <c r="AU17" s="632"/>
      <c r="AV17" s="632"/>
      <c r="AW17" s="632"/>
      <c r="AX17" s="409" t="s">
        <v>650</v>
      </c>
      <c r="AY17" s="632"/>
      <c r="AZ17" s="632"/>
      <c r="BA17" s="632"/>
      <c r="BB17" s="632"/>
      <c r="BC17" s="409"/>
      <c r="BD17" s="632"/>
      <c r="BE17" s="632"/>
      <c r="BF17" s="632"/>
      <c r="BG17" s="632"/>
      <c r="BH17" s="409" t="s">
        <v>650</v>
      </c>
      <c r="BI17" s="632"/>
      <c r="BJ17" s="632"/>
      <c r="BK17" s="632"/>
      <c r="BL17" s="632"/>
      <c r="BM17" s="632"/>
      <c r="BN17" s="410" t="s">
        <v>1248</v>
      </c>
      <c r="BO17" s="410"/>
      <c r="BP17" s="410"/>
      <c r="BQ17" s="410"/>
      <c r="BR17" s="410"/>
      <c r="BS17" s="410"/>
      <c r="BT17" s="410"/>
      <c r="BU17" s="656"/>
      <c r="BV17" s="486">
        <v>99692435</v>
      </c>
      <c r="BW17" s="489">
        <v>9341.4699999999993</v>
      </c>
      <c r="BX17" s="437"/>
      <c r="BY17" s="778"/>
      <c r="BZ17" s="437">
        <v>99692335</v>
      </c>
      <c r="CA17" s="487">
        <v>11020.84</v>
      </c>
      <c r="CB17" s="435" t="s">
        <v>1130</v>
      </c>
      <c r="CC17" s="779"/>
      <c r="CD17" s="441"/>
      <c r="CE17" s="634"/>
      <c r="CF17" s="439"/>
      <c r="CG17" s="780"/>
      <c r="CH17" s="496">
        <f>BV17</f>
        <v>99692435</v>
      </c>
      <c r="CI17" s="497">
        <f>BW17+CA17+CC17+CE17+CG17+BY17</f>
        <v>20362.309999999998</v>
      </c>
      <c r="CK17" s="439"/>
      <c r="CL17" s="440"/>
      <c r="CM17" s="437">
        <v>99692435</v>
      </c>
      <c r="CN17" s="781">
        <v>16829.61</v>
      </c>
      <c r="CO17" s="496"/>
      <c r="CP17" s="497">
        <f>CL17+CN17</f>
        <v>16829.61</v>
      </c>
    </row>
    <row r="18" spans="1:94" ht="14.25" customHeight="1">
      <c r="A18" s="38">
        <v>121</v>
      </c>
      <c r="B18" s="7">
        <v>698</v>
      </c>
      <c r="C18" s="409" t="s">
        <v>647</v>
      </c>
      <c r="D18" s="7">
        <v>2</v>
      </c>
      <c r="E18" s="7"/>
      <c r="F18" s="13"/>
      <c r="G18" s="98"/>
      <c r="H18" s="13"/>
      <c r="I18" s="13"/>
      <c r="J18" s="639" t="s">
        <v>115</v>
      </c>
      <c r="K18" s="13"/>
      <c r="L18" s="13"/>
      <c r="M18" s="13"/>
      <c r="N18" s="13"/>
      <c r="O18" s="409" t="s">
        <v>650</v>
      </c>
      <c r="P18" s="651" t="s">
        <v>650</v>
      </c>
      <c r="Q18" s="13"/>
      <c r="R18" s="13"/>
      <c r="S18" s="13"/>
      <c r="T18" s="13"/>
      <c r="U18" s="13"/>
      <c r="V18" s="7"/>
      <c r="W18" s="7"/>
      <c r="X18" s="13"/>
      <c r="Y18" s="13"/>
      <c r="Z18" s="13"/>
      <c r="AA18" s="7"/>
      <c r="AB18" s="688" t="s">
        <v>650</v>
      </c>
      <c r="AC18" s="7"/>
      <c r="AD18" s="98"/>
      <c r="AE18" s="13"/>
      <c r="AF18" s="38" t="s">
        <v>650</v>
      </c>
      <c r="AG18" s="7"/>
      <c r="AH18" s="13"/>
      <c r="AI18" s="7"/>
      <c r="AJ18" s="13"/>
      <c r="AK18" s="13"/>
      <c r="AL18" s="13"/>
      <c r="AM18" s="13"/>
      <c r="AN18" s="13"/>
      <c r="AO18" s="13"/>
      <c r="AP18" s="7"/>
      <c r="AQ18" s="7"/>
      <c r="AR18" s="651" t="s">
        <v>650</v>
      </c>
      <c r="AS18" s="13"/>
      <c r="AT18" s="13"/>
      <c r="AU18" s="13"/>
      <c r="AV18" s="651" t="s">
        <v>650</v>
      </c>
      <c r="AW18" s="13"/>
      <c r="AX18" s="13"/>
      <c r="AY18" s="13"/>
      <c r="AZ18" s="13"/>
      <c r="BA18" s="13"/>
      <c r="BB18" s="13"/>
      <c r="BC18" s="7"/>
      <c r="BD18" s="13"/>
      <c r="BE18" s="13"/>
      <c r="BF18" s="13"/>
      <c r="BG18" s="13"/>
      <c r="BH18" s="651" t="s">
        <v>650</v>
      </c>
      <c r="BI18" s="13"/>
      <c r="BJ18" s="13"/>
      <c r="BK18" s="13"/>
      <c r="BL18" s="13"/>
      <c r="BM18" s="13"/>
      <c r="BN18" s="7" t="s">
        <v>1249</v>
      </c>
      <c r="BO18" s="7"/>
      <c r="BP18" s="7"/>
      <c r="BQ18" s="7"/>
      <c r="BR18" s="7"/>
      <c r="BS18" s="7"/>
      <c r="BT18" s="7"/>
      <c r="BU18" s="103"/>
      <c r="BV18" s="374">
        <v>99365884</v>
      </c>
      <c r="BW18" s="267">
        <v>20884.259999999998</v>
      </c>
      <c r="BX18" s="234">
        <v>99486566</v>
      </c>
      <c r="BY18" s="263">
        <v>220.22</v>
      </c>
      <c r="BZ18" s="650">
        <v>99486560</v>
      </c>
      <c r="CA18" s="263">
        <v>10122.39</v>
      </c>
      <c r="CB18" s="652" t="s">
        <v>1250</v>
      </c>
      <c r="CC18" s="653">
        <v>450</v>
      </c>
      <c r="CD18" s="358">
        <v>99295469</v>
      </c>
      <c r="CE18" s="535">
        <v>102.41</v>
      </c>
      <c r="CF18" s="219"/>
      <c r="CG18" s="247"/>
      <c r="CH18" s="382">
        <v>99365884</v>
      </c>
      <c r="CI18" s="383">
        <f>CE18+BY18+CA18+BW18</f>
        <v>31329.279999999999</v>
      </c>
      <c r="CK18" s="219">
        <v>99365884</v>
      </c>
      <c r="CL18" s="225">
        <v>11103.86</v>
      </c>
      <c r="CM18" s="437"/>
      <c r="CN18" s="624"/>
      <c r="CO18" s="382"/>
      <c r="CP18" s="383"/>
    </row>
    <row r="19" spans="1:94">
      <c r="A19" s="9">
        <v>122</v>
      </c>
      <c r="B19" s="9">
        <v>742</v>
      </c>
      <c r="C19" s="9" t="s">
        <v>648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13"/>
      <c r="BN19" s="9" t="s">
        <v>1251</v>
      </c>
      <c r="BO19" s="9"/>
      <c r="BP19" s="9"/>
      <c r="BQ19" s="9"/>
      <c r="BR19" s="9"/>
      <c r="BS19" s="9"/>
      <c r="BT19" s="9"/>
      <c r="BU19" s="141"/>
      <c r="BV19" s="374"/>
      <c r="BX19" s="234"/>
      <c r="BY19" s="261"/>
      <c r="BZ19" s="234"/>
      <c r="CA19" s="261"/>
      <c r="CB19" s="269"/>
      <c r="CC19" s="270"/>
      <c r="CD19" s="358"/>
      <c r="CE19" s="359"/>
      <c r="CF19" s="219"/>
      <c r="CG19" s="247"/>
      <c r="CH19" s="382"/>
      <c r="CI19" s="383"/>
      <c r="CK19" s="219"/>
      <c r="CL19" s="225"/>
      <c r="CM19" s="234"/>
      <c r="CN19" s="623"/>
      <c r="CO19" s="382"/>
      <c r="CP19" s="383"/>
    </row>
    <row r="20" spans="1:94">
      <c r="A20" s="409">
        <v>123</v>
      </c>
      <c r="B20" s="7">
        <v>744</v>
      </c>
      <c r="C20" s="7" t="s">
        <v>649</v>
      </c>
      <c r="D20" s="7">
        <v>2</v>
      </c>
      <c r="E20" s="13"/>
      <c r="F20" s="7">
        <v>2</v>
      </c>
      <c r="G20" s="13"/>
      <c r="H20" s="7"/>
      <c r="I20" s="13"/>
      <c r="J20" s="7"/>
      <c r="K20" s="7"/>
      <c r="L20" s="13"/>
      <c r="M20" s="7"/>
      <c r="N20" s="13"/>
      <c r="O20" s="7" t="s">
        <v>650</v>
      </c>
      <c r="P20" s="7" t="s">
        <v>650</v>
      </c>
      <c r="Q20" s="7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7"/>
      <c r="AC20" s="7" t="s">
        <v>650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7"/>
      <c r="AR20" s="13"/>
      <c r="AS20" s="13"/>
      <c r="AT20" s="13"/>
      <c r="AU20" s="13"/>
      <c r="AV20" s="13"/>
      <c r="AW20" s="13"/>
      <c r="AX20" s="13"/>
      <c r="AY20" s="13"/>
      <c r="AZ20" s="13"/>
      <c r="BA20" s="7" t="s">
        <v>650</v>
      </c>
      <c r="BB20" s="13"/>
      <c r="BC20" s="7"/>
      <c r="BD20" s="13"/>
      <c r="BE20" s="7" t="s">
        <v>650</v>
      </c>
      <c r="BF20" s="7"/>
      <c r="BG20" s="13"/>
      <c r="BH20" s="7"/>
      <c r="BI20" s="13"/>
      <c r="BJ20" s="7" t="s">
        <v>650</v>
      </c>
      <c r="BK20" s="13"/>
      <c r="BL20" s="13"/>
      <c r="BM20" s="13"/>
      <c r="BN20" s="7" t="s">
        <v>1252</v>
      </c>
      <c r="BO20" s="7"/>
      <c r="BP20" s="7"/>
      <c r="BQ20" s="7"/>
      <c r="BR20" s="7"/>
      <c r="BS20" s="7"/>
      <c r="BT20" s="7"/>
      <c r="BU20" s="103"/>
      <c r="BV20" s="486">
        <v>97343080</v>
      </c>
      <c r="BW20" s="434">
        <v>18928.189999999999</v>
      </c>
      <c r="BX20" s="234" t="s">
        <v>289</v>
      </c>
      <c r="BY20" s="174" t="s">
        <v>289</v>
      </c>
      <c r="BZ20" s="437">
        <v>97342954</v>
      </c>
      <c r="CA20" s="438">
        <v>2324.27</v>
      </c>
      <c r="CB20" s="435">
        <v>97342929</v>
      </c>
      <c r="CC20" s="436">
        <v>450</v>
      </c>
      <c r="CD20" s="441">
        <v>97342960</v>
      </c>
      <c r="CE20" s="442">
        <v>102.41</v>
      </c>
      <c r="CF20" s="439">
        <v>97343080</v>
      </c>
      <c r="CG20" s="440">
        <v>10398.02</v>
      </c>
      <c r="CH20" s="382">
        <v>97343080</v>
      </c>
      <c r="CI20" s="383">
        <f>CG20+CE20+CC20+CA20+BW20</f>
        <v>32202.89</v>
      </c>
      <c r="CK20" s="219"/>
      <c r="CL20" s="440"/>
      <c r="CM20" s="437"/>
      <c r="CN20" s="624"/>
      <c r="CO20" s="382"/>
      <c r="CP20" s="383"/>
    </row>
    <row r="21" spans="1:94">
      <c r="A21" s="9">
        <v>124</v>
      </c>
      <c r="B21" s="9" t="s">
        <v>1240</v>
      </c>
      <c r="C21" s="9" t="s">
        <v>647</v>
      </c>
      <c r="D21" s="9">
        <v>2</v>
      </c>
      <c r="E21" s="13"/>
      <c r="F21" s="9"/>
      <c r="G21" s="9"/>
      <c r="H21" s="13"/>
      <c r="I21" s="13"/>
      <c r="J21" s="9"/>
      <c r="K21" s="13"/>
      <c r="L21" s="13"/>
      <c r="M21" s="9"/>
      <c r="N21" s="13"/>
      <c r="O21" s="9" t="s">
        <v>650</v>
      </c>
      <c r="P21" s="9" t="s">
        <v>650</v>
      </c>
      <c r="Q21" s="9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9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9"/>
      <c r="AR21" s="13"/>
      <c r="AS21" s="13"/>
      <c r="AT21" s="13"/>
      <c r="AU21" s="13"/>
      <c r="AV21" s="13"/>
      <c r="AW21" s="13"/>
      <c r="AX21" s="50"/>
      <c r="AY21" s="13"/>
      <c r="AZ21" s="13"/>
      <c r="BA21" s="13"/>
      <c r="BB21" s="13"/>
      <c r="BC21" s="9"/>
      <c r="BD21" s="13"/>
      <c r="BE21" s="13"/>
      <c r="BF21" s="13"/>
      <c r="BG21" s="13"/>
      <c r="BH21" s="9" t="s">
        <v>650</v>
      </c>
      <c r="BI21" s="13"/>
      <c r="BJ21" s="13"/>
      <c r="BK21" s="13"/>
      <c r="BL21" s="13"/>
      <c r="BM21" s="13"/>
      <c r="BN21" s="9" t="s">
        <v>1253</v>
      </c>
      <c r="BO21" s="9"/>
      <c r="BP21" s="9"/>
      <c r="BQ21" s="9"/>
      <c r="BR21" s="9"/>
      <c r="BS21" s="9"/>
      <c r="BT21" s="9"/>
      <c r="BU21" s="141"/>
      <c r="BV21" s="486">
        <v>97469039</v>
      </c>
      <c r="BW21" s="489">
        <v>14503.7</v>
      </c>
      <c r="BX21" s="234"/>
      <c r="BY21" s="261"/>
      <c r="BZ21" s="437">
        <v>97468895</v>
      </c>
      <c r="CA21" s="487">
        <v>-389.09</v>
      </c>
      <c r="CB21" s="435">
        <v>97468871</v>
      </c>
      <c r="CC21" s="436">
        <v>450</v>
      </c>
      <c r="CD21" s="441">
        <v>97468905</v>
      </c>
      <c r="CE21" s="491">
        <v>102.41</v>
      </c>
      <c r="CF21" s="439">
        <v>97469039</v>
      </c>
      <c r="CG21" s="492">
        <v>8949.26</v>
      </c>
      <c r="CH21" s="496">
        <v>97469039</v>
      </c>
      <c r="CI21" s="497">
        <f>CG21+CE21+CC21+CA21+BW21</f>
        <v>23616.28</v>
      </c>
      <c r="CK21" s="219"/>
      <c r="CL21" s="440"/>
      <c r="CM21" s="234"/>
      <c r="CN21" s="623"/>
      <c r="CO21" s="496"/>
      <c r="CP21" s="497"/>
    </row>
    <row r="22" spans="1:94">
      <c r="A22" s="409">
        <v>125</v>
      </c>
      <c r="B22" s="7">
        <v>744</v>
      </c>
      <c r="C22" s="7" t="s">
        <v>648</v>
      </c>
      <c r="D22" s="7">
        <v>2</v>
      </c>
      <c r="E22" s="13"/>
      <c r="F22" s="7">
        <v>2</v>
      </c>
      <c r="G22" s="13"/>
      <c r="H22" s="7" t="s">
        <v>650</v>
      </c>
      <c r="I22" s="13"/>
      <c r="J22" s="7"/>
      <c r="K22" s="7"/>
      <c r="L22" s="13"/>
      <c r="M22" s="7"/>
      <c r="N22" s="13"/>
      <c r="O22" s="7" t="s">
        <v>650</v>
      </c>
      <c r="P22" s="7" t="s">
        <v>650</v>
      </c>
      <c r="Q22" s="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7"/>
      <c r="AC22" s="7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7"/>
      <c r="AR22" s="13"/>
      <c r="AS22" s="13"/>
      <c r="AT22" s="13"/>
      <c r="AU22" s="13"/>
      <c r="AV22" s="13"/>
      <c r="AW22" s="13"/>
      <c r="AX22" s="13"/>
      <c r="AY22" s="13"/>
      <c r="AZ22" s="13"/>
      <c r="BA22" s="7" t="s">
        <v>650</v>
      </c>
      <c r="BB22" s="13"/>
      <c r="BC22" s="7"/>
      <c r="BD22" s="13"/>
      <c r="BE22" s="7" t="s">
        <v>650</v>
      </c>
      <c r="BF22" s="7" t="s">
        <v>650</v>
      </c>
      <c r="BG22" s="13"/>
      <c r="BH22" s="7" t="s">
        <v>650</v>
      </c>
      <c r="BI22" s="13"/>
      <c r="BJ22" s="7" t="s">
        <v>650</v>
      </c>
      <c r="BK22" s="13"/>
      <c r="BL22" s="13"/>
      <c r="BM22" s="13"/>
      <c r="BN22" s="7" t="s">
        <v>1254</v>
      </c>
      <c r="BO22" s="7"/>
      <c r="BP22" s="7"/>
      <c r="BQ22" s="7"/>
      <c r="BR22" s="7"/>
      <c r="BS22" s="7"/>
      <c r="BT22" s="7"/>
      <c r="BU22" s="103"/>
      <c r="BV22" s="486">
        <v>97370871</v>
      </c>
      <c r="BW22" s="434">
        <v>18928.189999999999</v>
      </c>
      <c r="BX22" s="234" t="s">
        <v>289</v>
      </c>
      <c r="BY22" s="174" t="s">
        <v>289</v>
      </c>
      <c r="BZ22" s="437">
        <v>97370685</v>
      </c>
      <c r="CA22" s="438">
        <v>1435.42</v>
      </c>
      <c r="CB22" s="435">
        <v>97370655</v>
      </c>
      <c r="CC22" s="436">
        <v>450</v>
      </c>
      <c r="CD22" s="441">
        <v>97370689</v>
      </c>
      <c r="CE22" s="442">
        <v>102.41</v>
      </c>
      <c r="CF22" s="439">
        <v>97370871</v>
      </c>
      <c r="CG22" s="440">
        <v>10398.02</v>
      </c>
      <c r="CH22" s="382">
        <v>97370871</v>
      </c>
      <c r="CI22" s="383">
        <f>CG22+CE22+CC22+CA22+BW22</f>
        <v>31314.04</v>
      </c>
      <c r="CK22" s="219"/>
      <c r="CL22" s="440"/>
      <c r="CM22" s="437"/>
      <c r="CN22" s="624"/>
      <c r="CO22" s="382"/>
      <c r="CP22" s="383"/>
    </row>
    <row r="23" spans="1:94">
      <c r="A23" s="410">
        <v>126</v>
      </c>
      <c r="B23" s="410" t="s">
        <v>1240</v>
      </c>
      <c r="C23" s="410" t="s">
        <v>649</v>
      </c>
      <c r="D23" s="410">
        <v>2</v>
      </c>
      <c r="E23" s="13"/>
      <c r="F23" s="9"/>
      <c r="G23" s="410" t="s">
        <v>650</v>
      </c>
      <c r="H23" s="13"/>
      <c r="I23" s="13"/>
      <c r="J23" s="9"/>
      <c r="K23" s="13"/>
      <c r="L23" s="13"/>
      <c r="M23" s="9"/>
      <c r="N23" s="13"/>
      <c r="O23" s="410" t="s">
        <v>650</v>
      </c>
      <c r="P23" s="410" t="s">
        <v>650</v>
      </c>
      <c r="Q23" s="9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10" t="s">
        <v>650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9"/>
      <c r="AR23" s="13"/>
      <c r="AS23" s="13"/>
      <c r="AT23" s="13"/>
      <c r="AU23" s="13"/>
      <c r="AV23" s="13"/>
      <c r="AW23" s="13"/>
      <c r="AX23" s="527" t="s">
        <v>650</v>
      </c>
      <c r="AY23" s="13"/>
      <c r="AZ23" s="13"/>
      <c r="BA23" s="13"/>
      <c r="BB23" s="13"/>
      <c r="BC23" s="9"/>
      <c r="BD23" s="13"/>
      <c r="BE23" s="13"/>
      <c r="BF23" s="13"/>
      <c r="BG23" s="13"/>
      <c r="BH23" s="410" t="s">
        <v>650</v>
      </c>
      <c r="BI23" s="13"/>
      <c r="BJ23" s="13"/>
      <c r="BK23" s="13"/>
      <c r="BL23" s="13"/>
      <c r="BM23" s="13"/>
      <c r="BN23" s="9" t="s">
        <v>1255</v>
      </c>
      <c r="BO23" s="9"/>
      <c r="BP23" s="9"/>
      <c r="BQ23" s="9"/>
      <c r="BR23" s="9"/>
      <c r="BS23" s="9"/>
      <c r="BT23" s="9"/>
      <c r="BU23" s="141"/>
      <c r="BV23" s="486">
        <v>98213410</v>
      </c>
      <c r="BW23" s="434">
        <v>14034.92</v>
      </c>
      <c r="BX23" s="234"/>
      <c r="BY23" s="263"/>
      <c r="BZ23" s="437">
        <v>98212802</v>
      </c>
      <c r="CA23" s="487">
        <v>2781.63</v>
      </c>
      <c r="CB23" s="435">
        <v>98212776</v>
      </c>
      <c r="CC23" s="539">
        <v>450</v>
      </c>
      <c r="CD23" s="358">
        <v>98212812</v>
      </c>
      <c r="CE23" s="491">
        <v>102.41</v>
      </c>
      <c r="CF23" s="219"/>
      <c r="CG23" s="247"/>
      <c r="CH23" s="496">
        <v>98213410</v>
      </c>
      <c r="CI23" s="497">
        <f>CE23+CC23+CA23+BW23</f>
        <v>17368.96</v>
      </c>
      <c r="CK23" s="439">
        <v>98213410</v>
      </c>
      <c r="CL23" s="440">
        <v>9078.16</v>
      </c>
      <c r="CM23" s="234"/>
      <c r="CN23" s="623"/>
      <c r="CO23" s="496">
        <v>98213410</v>
      </c>
      <c r="CP23" s="497">
        <f>CN23+CL23</f>
        <v>9078.16</v>
      </c>
    </row>
    <row r="24" spans="1:94">
      <c r="A24" s="409">
        <v>127</v>
      </c>
      <c r="B24" s="409" t="s">
        <v>1256</v>
      </c>
      <c r="C24" s="409" t="s">
        <v>647</v>
      </c>
      <c r="D24" s="409">
        <v>2</v>
      </c>
      <c r="E24" s="13"/>
      <c r="F24" s="7"/>
      <c r="G24" s="7"/>
      <c r="H24" s="7"/>
      <c r="I24" s="7"/>
      <c r="J24" s="7"/>
      <c r="K24" s="7"/>
      <c r="L24" s="7"/>
      <c r="M24" s="7"/>
      <c r="N24" s="13"/>
      <c r="O24" s="7"/>
      <c r="P24" s="409" t="s">
        <v>650</v>
      </c>
      <c r="Q24" s="13"/>
      <c r="R24" s="13"/>
      <c r="S24" s="13"/>
      <c r="T24" s="13"/>
      <c r="U24" s="13"/>
      <c r="V24" s="13"/>
      <c r="W24" s="13"/>
      <c r="X24" s="13"/>
      <c r="Y24" s="13"/>
      <c r="Z24" s="7"/>
      <c r="AA24" s="13"/>
      <c r="AB24" s="655"/>
      <c r="AC24" s="13"/>
      <c r="AD24" s="13"/>
      <c r="AE24" s="13"/>
      <c r="AF24" s="13"/>
      <c r="AG24" s="7"/>
      <c r="AH24" s="13"/>
      <c r="AI24" s="13"/>
      <c r="AJ24" s="13"/>
      <c r="AK24" s="13"/>
      <c r="AL24" s="7"/>
      <c r="AM24" s="13"/>
      <c r="AN24" s="7"/>
      <c r="AO24" s="13"/>
      <c r="AP24" s="13"/>
      <c r="AQ24" s="7"/>
      <c r="AR24" s="7"/>
      <c r="AS24" s="13"/>
      <c r="AT24" s="13"/>
      <c r="AU24" s="7"/>
      <c r="AV24" s="13"/>
      <c r="AW24" s="13"/>
      <c r="AX24" s="409" t="s">
        <v>650</v>
      </c>
      <c r="AY24" s="13"/>
      <c r="AZ24" s="13"/>
      <c r="BA24" s="13"/>
      <c r="BB24" s="13"/>
      <c r="BC24" s="7"/>
      <c r="BD24" s="13"/>
      <c r="BE24" s="13"/>
      <c r="BF24" s="7"/>
      <c r="BG24" s="13"/>
      <c r="BH24" s="409" t="s">
        <v>650</v>
      </c>
      <c r="BI24" s="13"/>
      <c r="BJ24" s="13"/>
      <c r="BK24" s="13"/>
      <c r="BL24" s="13"/>
      <c r="BM24" s="13"/>
      <c r="BN24" s="7" t="s">
        <v>1257</v>
      </c>
      <c r="BO24" s="7"/>
      <c r="BP24" s="7"/>
      <c r="BQ24" s="7"/>
      <c r="BR24" s="7"/>
      <c r="BS24" s="7"/>
      <c r="BT24" s="7"/>
      <c r="BU24" s="103"/>
      <c r="BV24" s="486">
        <v>97994429</v>
      </c>
      <c r="BW24" s="489">
        <v>16552.53</v>
      </c>
      <c r="BX24" s="234"/>
      <c r="BY24" s="514"/>
      <c r="BZ24" s="437">
        <v>97993628</v>
      </c>
      <c r="CA24" s="537">
        <v>-1897.59</v>
      </c>
      <c r="CB24" s="435">
        <v>97993590</v>
      </c>
      <c r="CC24" s="436">
        <v>450</v>
      </c>
      <c r="CD24" s="358"/>
      <c r="CE24" s="359"/>
      <c r="CF24" s="219"/>
      <c r="CG24" s="247"/>
      <c r="CH24" s="496">
        <v>97994429</v>
      </c>
      <c r="CI24" s="497">
        <f>CC24+BW24+CA24</f>
        <v>15104.939999999999</v>
      </c>
      <c r="CK24" s="439">
        <v>97994429</v>
      </c>
      <c r="CL24" s="440">
        <v>8866.4500000000007</v>
      </c>
      <c r="CM24" s="437"/>
      <c r="CN24" s="624"/>
      <c r="CO24" s="496">
        <v>97994429</v>
      </c>
      <c r="CP24" s="497">
        <f>CL24</f>
        <v>8866.4500000000007</v>
      </c>
    </row>
    <row r="25" spans="1:94">
      <c r="A25" s="410">
        <v>128</v>
      </c>
      <c r="B25" s="410">
        <v>744</v>
      </c>
      <c r="C25" s="410" t="s">
        <v>648</v>
      </c>
      <c r="D25" s="410">
        <v>2</v>
      </c>
      <c r="E25" s="13"/>
      <c r="F25" s="9"/>
      <c r="G25" s="13"/>
      <c r="H25" s="9"/>
      <c r="I25" s="13"/>
      <c r="J25" s="9"/>
      <c r="K25" s="9"/>
      <c r="L25" s="13"/>
      <c r="M25" s="9"/>
      <c r="N25" s="13"/>
      <c r="O25" s="410" t="s">
        <v>650</v>
      </c>
      <c r="P25" s="410" t="s">
        <v>650</v>
      </c>
      <c r="Q25" s="9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9"/>
      <c r="AC25" s="410" t="s">
        <v>650</v>
      </c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9"/>
      <c r="AR25" s="13"/>
      <c r="AS25" s="13"/>
      <c r="AT25" s="13"/>
      <c r="AU25" s="13"/>
      <c r="AV25" s="13"/>
      <c r="AW25" s="13"/>
      <c r="AX25" s="13"/>
      <c r="AY25" s="13"/>
      <c r="AZ25" s="13"/>
      <c r="BA25" s="528" t="s">
        <v>650</v>
      </c>
      <c r="BB25" s="13"/>
      <c r="BC25" s="9"/>
      <c r="BD25" s="13"/>
      <c r="BE25" s="410" t="s">
        <v>650</v>
      </c>
      <c r="BF25" s="9"/>
      <c r="BG25" s="13"/>
      <c r="BH25" s="410" t="s">
        <v>650</v>
      </c>
      <c r="BI25" s="13"/>
      <c r="BJ25" s="410" t="s">
        <v>650</v>
      </c>
      <c r="BK25" s="13"/>
      <c r="BL25" s="13"/>
      <c r="BM25" s="13"/>
      <c r="BN25" s="9" t="s">
        <v>1258</v>
      </c>
      <c r="BO25" s="9"/>
      <c r="BP25" s="9"/>
      <c r="BQ25" s="9"/>
      <c r="BR25" s="9"/>
      <c r="BS25" s="9"/>
      <c r="BT25" s="9"/>
      <c r="BU25" s="141"/>
      <c r="BV25" s="486">
        <v>98162950</v>
      </c>
      <c r="BW25" s="489">
        <v>17329.310000000001</v>
      </c>
      <c r="BX25" s="234"/>
      <c r="BY25" s="261"/>
      <c r="BZ25" s="234"/>
      <c r="CA25" s="263"/>
      <c r="CB25" s="435">
        <v>98162035</v>
      </c>
      <c r="CC25" s="539">
        <v>450</v>
      </c>
      <c r="CD25" s="441">
        <v>98162071</v>
      </c>
      <c r="CE25" s="491">
        <v>102.41</v>
      </c>
      <c r="CF25" s="219"/>
      <c r="CG25" s="247"/>
      <c r="CH25" s="496">
        <v>98162950</v>
      </c>
      <c r="CI25" s="497">
        <f>CE25+CC25+CA25+BW25</f>
        <v>17881.72</v>
      </c>
      <c r="CK25" s="219">
        <v>98162950</v>
      </c>
      <c r="CL25" s="225">
        <v>10494.68</v>
      </c>
      <c r="CM25" s="234">
        <v>98162061</v>
      </c>
      <c r="CN25" s="625">
        <v>1662.54</v>
      </c>
      <c r="CO25" s="382">
        <v>98162950</v>
      </c>
      <c r="CP25" s="383">
        <f>CL25+CN25</f>
        <v>12157.220000000001</v>
      </c>
    </row>
    <row r="26" spans="1:94">
      <c r="A26" s="7">
        <v>129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3"/>
      <c r="BN26" s="7" t="s">
        <v>1259</v>
      </c>
      <c r="BO26" s="7"/>
      <c r="BP26" s="7"/>
      <c r="BQ26" s="7"/>
      <c r="BR26" s="7"/>
      <c r="BS26" s="7"/>
      <c r="BT26" s="7"/>
      <c r="BU26" s="103"/>
      <c r="BV26" s="374"/>
      <c r="BX26" s="234"/>
      <c r="BY26" s="261"/>
      <c r="BZ26" s="234"/>
      <c r="CA26" s="261"/>
      <c r="CB26" s="269"/>
      <c r="CC26" s="270"/>
      <c r="CD26" s="358"/>
      <c r="CE26" s="359"/>
      <c r="CF26" s="219"/>
      <c r="CG26" s="247"/>
      <c r="CH26" s="382"/>
      <c r="CI26" s="383"/>
      <c r="CK26" s="219"/>
      <c r="CL26" s="225"/>
      <c r="CM26" s="234"/>
      <c r="CN26" s="623"/>
      <c r="CO26" s="382"/>
      <c r="CP26" s="383"/>
    </row>
  </sheetData>
  <conditionalFormatting sqref="E3:E100">
    <cfRule type="expression" dxfId="259" priority="49">
      <formula>B3=941</formula>
    </cfRule>
    <cfRule type="expression" dxfId="258" priority="93">
      <formula>B3=744</formula>
    </cfRule>
    <cfRule type="expression" dxfId="257" priority="139">
      <formula>B3=742</formula>
    </cfRule>
  </conditionalFormatting>
  <conditionalFormatting sqref="F3:F100">
    <cfRule type="expression" dxfId="256" priority="48">
      <formula>B3=941</formula>
    </cfRule>
    <cfRule type="expression" dxfId="255" priority="92">
      <formula>B3=744</formula>
    </cfRule>
    <cfRule type="expression" dxfId="254" priority="138">
      <formula>B3=742</formula>
    </cfRule>
    <cfRule type="expression" dxfId="253" priority="181">
      <formula>B3=698</formula>
    </cfRule>
  </conditionalFormatting>
  <conditionalFormatting sqref="G3:G100">
    <cfRule type="expression" dxfId="252" priority="91">
      <formula>B3=744</formula>
    </cfRule>
    <cfRule type="expression" dxfId="251" priority="222">
      <formula>B3=603</formula>
    </cfRule>
  </conditionalFormatting>
  <conditionalFormatting sqref="H3:H100">
    <cfRule type="expression" dxfId="250" priority="47">
      <formula>B3=941</formula>
    </cfRule>
    <cfRule type="expression" dxfId="249" priority="137">
      <formula>B3=742</formula>
    </cfRule>
    <cfRule type="expression" dxfId="248" priority="180">
      <formula>B3=698</formula>
    </cfRule>
    <cfRule type="expression" dxfId="247" priority="221">
      <formula>B3=603</formula>
    </cfRule>
  </conditionalFormatting>
  <conditionalFormatting sqref="I3:I100">
    <cfRule type="expression" dxfId="246" priority="46">
      <formula>B3=941</formula>
    </cfRule>
    <cfRule type="expression" dxfId="245" priority="90">
      <formula>B3=744</formula>
    </cfRule>
    <cfRule type="expression" dxfId="244" priority="136">
      <formula>B3=742</formula>
    </cfRule>
    <cfRule type="expression" dxfId="243" priority="179">
      <formula>B3=698</formula>
    </cfRule>
    <cfRule type="expression" dxfId="242" priority="220">
      <formula>B3=603</formula>
    </cfRule>
  </conditionalFormatting>
  <conditionalFormatting sqref="J3:J100">
    <cfRule type="expression" dxfId="241" priority="45">
      <formula>B3=941</formula>
    </cfRule>
  </conditionalFormatting>
  <conditionalFormatting sqref="K3:K100">
    <cfRule type="expression" dxfId="240" priority="44">
      <formula>B3=941</formula>
    </cfRule>
    <cfRule type="expression" dxfId="239" priority="135">
      <formula>B3=742</formula>
    </cfRule>
    <cfRule type="expression" dxfId="238" priority="178">
      <formula>B3=698</formula>
    </cfRule>
    <cfRule type="expression" dxfId="237" priority="219">
      <formula>B3=603</formula>
    </cfRule>
  </conditionalFormatting>
  <conditionalFormatting sqref="L3:L100">
    <cfRule type="expression" dxfId="236" priority="43">
      <formula>B3=941</formula>
    </cfRule>
    <cfRule type="expression" dxfId="235" priority="89">
      <formula>B3=744</formula>
    </cfRule>
    <cfRule type="expression" dxfId="234" priority="134">
      <formula>B3=742</formula>
    </cfRule>
    <cfRule type="expression" dxfId="233" priority="177">
      <formula>B3=698</formula>
    </cfRule>
    <cfRule type="expression" dxfId="232" priority="218">
      <formula>B3=603</formula>
    </cfRule>
  </conditionalFormatting>
  <conditionalFormatting sqref="M3:M100">
    <cfRule type="expression" dxfId="231" priority="42">
      <formula>B3=941</formula>
    </cfRule>
    <cfRule type="expression" dxfId="230" priority="133">
      <formula>B3=742</formula>
    </cfRule>
    <cfRule type="expression" dxfId="229" priority="176">
      <formula>B3=698</formula>
    </cfRule>
    <cfRule type="expression" dxfId="228" priority="217">
      <formula>B3=603</formula>
    </cfRule>
  </conditionalFormatting>
  <conditionalFormatting sqref="N3:N100">
    <cfRule type="expression" dxfId="227" priority="41">
      <formula>B3=941</formula>
    </cfRule>
    <cfRule type="expression" dxfId="226" priority="88">
      <formula>B3=744</formula>
    </cfRule>
    <cfRule type="expression" dxfId="225" priority="132">
      <formula>B3=742</formula>
    </cfRule>
    <cfRule type="expression" dxfId="224" priority="175">
      <formula>B3=698</formula>
    </cfRule>
    <cfRule type="expression" dxfId="223" priority="216">
      <formula>B3=603</formula>
    </cfRule>
  </conditionalFormatting>
  <conditionalFormatting sqref="Q3:Q100">
    <cfRule type="expression" dxfId="222" priority="174">
      <formula>B3=698</formula>
    </cfRule>
    <cfRule type="expression" dxfId="221" priority="215">
      <formula>B3=603</formula>
    </cfRule>
  </conditionalFormatting>
  <conditionalFormatting sqref="R3:R100">
    <cfRule type="expression" dxfId="220" priority="40">
      <formula>B3=941</formula>
    </cfRule>
    <cfRule type="expression" dxfId="219" priority="87">
      <formula>B3=744</formula>
    </cfRule>
    <cfRule type="expression" dxfId="218" priority="131">
      <formula>B3=742</formula>
    </cfRule>
    <cfRule type="expression" dxfId="217" priority="173">
      <formula>B3=698</formula>
    </cfRule>
    <cfRule type="expression" dxfId="216" priority="214">
      <formula>B3=603</formula>
    </cfRule>
  </conditionalFormatting>
  <conditionalFormatting sqref="S3:S100">
    <cfRule type="expression" dxfId="215" priority="39">
      <formula>B3=941</formula>
    </cfRule>
    <cfRule type="expression" dxfId="214" priority="86">
      <formula>B3=744</formula>
    </cfRule>
    <cfRule type="expression" dxfId="213" priority="130">
      <formula>B3=742</formula>
    </cfRule>
    <cfRule type="expression" dxfId="212" priority="172">
      <formula>B3=698</formula>
    </cfRule>
    <cfRule type="expression" dxfId="211" priority="213">
      <formula>B3=603</formula>
    </cfRule>
  </conditionalFormatting>
  <conditionalFormatting sqref="T3:T100">
    <cfRule type="expression" dxfId="210" priority="38">
      <formula>B3=941</formula>
    </cfRule>
    <cfRule type="expression" dxfId="209" priority="85">
      <formula>B3=744</formula>
    </cfRule>
    <cfRule type="expression" dxfId="208" priority="129">
      <formula>B3=742</formula>
    </cfRule>
    <cfRule type="expression" dxfId="207" priority="171">
      <formula>B3=698</formula>
    </cfRule>
    <cfRule type="expression" dxfId="206" priority="212">
      <formula>B3=603</formula>
    </cfRule>
  </conditionalFormatting>
  <conditionalFormatting sqref="U3:U100">
    <cfRule type="expression" dxfId="205" priority="37">
      <formula>B3=941</formula>
    </cfRule>
    <cfRule type="expression" dxfId="204" priority="84">
      <formula>B3=744</formula>
    </cfRule>
    <cfRule type="expression" dxfId="203" priority="128">
      <formula>B3=742</formula>
    </cfRule>
    <cfRule type="expression" dxfId="202" priority="170">
      <formula>B3=698</formula>
    </cfRule>
    <cfRule type="expression" dxfId="201" priority="211">
      <formula>B3=603</formula>
    </cfRule>
  </conditionalFormatting>
  <conditionalFormatting sqref="V3:V100">
    <cfRule type="expression" dxfId="200" priority="36">
      <formula>B3=941</formula>
    </cfRule>
    <cfRule type="expression" dxfId="199" priority="83">
      <formula>B3=744</formula>
    </cfRule>
  </conditionalFormatting>
  <conditionalFormatting sqref="W3:W100">
    <cfRule type="expression" dxfId="198" priority="35">
      <formula>B3=941</formula>
    </cfRule>
    <cfRule type="expression" dxfId="197" priority="82">
      <formula>B3=744</formula>
    </cfRule>
    <cfRule type="expression" dxfId="196" priority="127">
      <formula>B3=742</formula>
    </cfRule>
    <cfRule type="expression" dxfId="195" priority="210">
      <formula>B3=603</formula>
    </cfRule>
  </conditionalFormatting>
  <conditionalFormatting sqref="X3:X100">
    <cfRule type="expression" dxfId="194" priority="34">
      <formula>B3=941</formula>
    </cfRule>
    <cfRule type="expression" dxfId="193" priority="81">
      <formula>B3=744</formula>
    </cfRule>
    <cfRule type="expression" dxfId="192" priority="126">
      <formula>B3=742</formula>
    </cfRule>
    <cfRule type="expression" dxfId="191" priority="169">
      <formula>B3=698</formula>
    </cfRule>
  </conditionalFormatting>
  <conditionalFormatting sqref="Y3:Y100">
    <cfRule type="expression" dxfId="190" priority="33">
      <formula>B3=941</formula>
    </cfRule>
    <cfRule type="expression" dxfId="189" priority="80">
      <formula>B3=744</formula>
    </cfRule>
    <cfRule type="expression" dxfId="188" priority="125">
      <formula>B3=742</formula>
    </cfRule>
    <cfRule type="expression" dxfId="187" priority="168">
      <formula>B3=698</formula>
    </cfRule>
    <cfRule type="expression" dxfId="186" priority="209">
      <formula>B3=603</formula>
    </cfRule>
  </conditionalFormatting>
  <conditionalFormatting sqref="Z3:Z100">
    <cfRule type="expression" dxfId="185" priority="32">
      <formula>B3=941</formula>
    </cfRule>
    <cfRule type="expression" dxfId="184" priority="167">
      <formula>B3=698</formula>
    </cfRule>
  </conditionalFormatting>
  <conditionalFormatting sqref="AA3:AA100">
    <cfRule type="expression" dxfId="183" priority="31">
      <formula>B3=941</formula>
    </cfRule>
    <cfRule type="expression" dxfId="182" priority="79">
      <formula>B3=744</formula>
    </cfRule>
    <cfRule type="expression" dxfId="181" priority="166">
      <formula>B3=698</formula>
    </cfRule>
    <cfRule type="expression" dxfId="180" priority="208">
      <formula>B3=603</formula>
    </cfRule>
  </conditionalFormatting>
  <conditionalFormatting sqref="AB3:AB100">
    <cfRule type="expression" dxfId="179" priority="30">
      <formula>B3=941</formula>
    </cfRule>
    <cfRule type="expression" dxfId="178" priority="165">
      <formula>B3=698</formula>
    </cfRule>
  </conditionalFormatting>
  <conditionalFormatting sqref="AC3:AC100">
    <cfRule type="expression" dxfId="177" priority="29">
      <formula>B3=941</formula>
    </cfRule>
  </conditionalFormatting>
  <conditionalFormatting sqref="AD3:AD100">
    <cfRule type="expression" dxfId="176" priority="28">
      <formula>B3=941</formula>
    </cfRule>
    <cfRule type="expression" dxfId="175" priority="78">
      <formula>B3=744</formula>
    </cfRule>
    <cfRule type="expression" dxfId="174" priority="124">
      <formula>B3=742</formula>
    </cfRule>
    <cfRule type="expression" dxfId="173" priority="207">
      <formula>B3=603</formula>
    </cfRule>
  </conditionalFormatting>
  <conditionalFormatting sqref="AE3:AE100">
    <cfRule type="expression" dxfId="172" priority="27">
      <formula>B3=941</formula>
    </cfRule>
    <cfRule type="expression" dxfId="171" priority="77">
      <formula>B3=744</formula>
    </cfRule>
    <cfRule type="expression" dxfId="170" priority="123">
      <formula>B3=742</formula>
    </cfRule>
    <cfRule type="expression" dxfId="169" priority="164">
      <formula>B3=698</formula>
    </cfRule>
    <cfRule type="expression" dxfId="168" priority="206">
      <formula>B3=603</formula>
    </cfRule>
  </conditionalFormatting>
  <conditionalFormatting sqref="AF3:AF100">
    <cfRule type="expression" dxfId="167" priority="26">
      <formula>B3=941</formula>
    </cfRule>
    <cfRule type="expression" dxfId="166" priority="76">
      <formula>B3=744</formula>
    </cfRule>
    <cfRule type="expression" dxfId="165" priority="122">
      <formula>B3=742</formula>
    </cfRule>
    <cfRule type="expression" dxfId="164" priority="205">
      <formula>B3=603</formula>
    </cfRule>
  </conditionalFormatting>
  <conditionalFormatting sqref="AG3:AG100">
    <cfRule type="expression" dxfId="163" priority="25">
      <formula>B3=941</formula>
    </cfRule>
    <cfRule type="expression" dxfId="162" priority="75">
      <formula>B3=744</formula>
    </cfRule>
    <cfRule type="expression" dxfId="161" priority="121">
      <formula>B3=742</formula>
    </cfRule>
  </conditionalFormatting>
  <conditionalFormatting sqref="AH3:AH100">
    <cfRule type="expression" dxfId="160" priority="24">
      <formula>B3=941</formula>
    </cfRule>
    <cfRule type="expression" dxfId="159" priority="74">
      <formula>B3=744</formula>
    </cfRule>
    <cfRule type="expression" dxfId="158" priority="120">
      <formula>B3=742</formula>
    </cfRule>
    <cfRule type="expression" dxfId="157" priority="163">
      <formula>B3=698</formula>
    </cfRule>
  </conditionalFormatting>
  <conditionalFormatting sqref="AI3:AI100">
    <cfRule type="expression" dxfId="156" priority="23">
      <formula>B3=941</formula>
    </cfRule>
    <cfRule type="expression" dxfId="155" priority="73">
      <formula>B3=744</formula>
    </cfRule>
    <cfRule type="expression" dxfId="154" priority="119">
      <formula>B3=742</formula>
    </cfRule>
    <cfRule type="expression" dxfId="153" priority="204">
      <formula>B3=603</formula>
    </cfRule>
  </conditionalFormatting>
  <conditionalFormatting sqref="AJ3:AJ100">
    <cfRule type="expression" dxfId="152" priority="22">
      <formula>B3=941</formula>
    </cfRule>
    <cfRule type="expression" dxfId="151" priority="72">
      <formula>B3=744</formula>
    </cfRule>
    <cfRule type="expression" dxfId="150" priority="118">
      <formula>B3=742</formula>
    </cfRule>
    <cfRule type="expression" dxfId="149" priority="162">
      <formula>B3=698</formula>
    </cfRule>
    <cfRule type="expression" dxfId="148" priority="203">
      <formula>B3=603</formula>
    </cfRule>
  </conditionalFormatting>
  <conditionalFormatting sqref="AK3:AK100">
    <cfRule type="expression" dxfId="147" priority="21">
      <formula>B3=941</formula>
    </cfRule>
    <cfRule type="expression" dxfId="146" priority="71">
      <formula>B3=744</formula>
    </cfRule>
    <cfRule type="expression" dxfId="145" priority="117">
      <formula>B3=742</formula>
    </cfRule>
    <cfRule type="expression" dxfId="144" priority="161">
      <formula>B3=698</formula>
    </cfRule>
    <cfRule type="expression" dxfId="143" priority="202">
      <formula>B3=603</formula>
    </cfRule>
  </conditionalFormatting>
  <conditionalFormatting sqref="AL3:AL100">
    <cfRule type="expression" dxfId="142" priority="20">
      <formula>B3=941</formula>
    </cfRule>
    <cfRule type="expression" dxfId="141" priority="70">
      <formula>B3=744</formula>
    </cfRule>
    <cfRule type="expression" dxfId="140" priority="116">
      <formula>B3=742</formula>
    </cfRule>
    <cfRule type="expression" dxfId="139" priority="160">
      <formula>B3=698</formula>
    </cfRule>
    <cfRule type="expression" dxfId="138" priority="201">
      <formula>B3=603</formula>
    </cfRule>
  </conditionalFormatting>
  <conditionalFormatting sqref="AM3:AM100">
    <cfRule type="expression" dxfId="137" priority="19">
      <formula>B3=941</formula>
    </cfRule>
    <cfRule type="expression" dxfId="136" priority="69">
      <formula>B3=744</formula>
    </cfRule>
    <cfRule type="expression" dxfId="135" priority="115">
      <formula>B3=742</formula>
    </cfRule>
    <cfRule type="expression" dxfId="134" priority="159">
      <formula>B3=698</formula>
    </cfRule>
    <cfRule type="expression" dxfId="133" priority="200">
      <formula>B3=603</formula>
    </cfRule>
  </conditionalFormatting>
  <conditionalFormatting sqref="AN3:AN100">
    <cfRule type="expression" dxfId="132" priority="18">
      <formula>B3=941</formula>
    </cfRule>
    <cfRule type="expression" dxfId="131" priority="68">
      <formula>B3=744</formula>
    </cfRule>
    <cfRule type="expression" dxfId="130" priority="114">
      <formula>B3=742</formula>
    </cfRule>
    <cfRule type="expression" dxfId="129" priority="158">
      <formula>B3=698</formula>
    </cfRule>
    <cfRule type="expression" dxfId="128" priority="199">
      <formula>B3=603</formula>
    </cfRule>
  </conditionalFormatting>
  <conditionalFormatting sqref="AO3:AO100">
    <cfRule type="expression" dxfId="127" priority="17">
      <formula>B3=941</formula>
    </cfRule>
    <cfRule type="expression" dxfId="126" priority="67">
      <formula>B3=744</formula>
    </cfRule>
    <cfRule type="expression" dxfId="125" priority="113">
      <formula>B3=742</formula>
    </cfRule>
    <cfRule type="expression" dxfId="124" priority="157">
      <formula>B3=698</formula>
    </cfRule>
    <cfRule type="expression" dxfId="123" priority="198">
      <formula>B3=603</formula>
    </cfRule>
  </conditionalFormatting>
  <conditionalFormatting sqref="AP3:AP100">
    <cfRule type="expression" dxfId="122" priority="16">
      <formula>B3=941</formula>
    </cfRule>
    <cfRule type="expression" dxfId="121" priority="66">
      <formula>B3=744</formula>
    </cfRule>
    <cfRule type="expression" dxfId="120" priority="197">
      <formula>B3=603</formula>
    </cfRule>
  </conditionalFormatting>
  <conditionalFormatting sqref="AQ3:AQ100">
    <cfRule type="expression" dxfId="119" priority="15">
      <formula>B3=941</formula>
    </cfRule>
  </conditionalFormatting>
  <conditionalFormatting sqref="AR3:AR100">
    <cfRule type="expression" dxfId="118" priority="14">
      <formula>B3=941</formula>
    </cfRule>
    <cfRule type="expression" dxfId="117" priority="65">
      <formula>B3=744</formula>
    </cfRule>
    <cfRule type="expression" dxfId="116" priority="112">
      <formula>B3=742</formula>
    </cfRule>
  </conditionalFormatting>
  <conditionalFormatting sqref="AS3:AS100">
    <cfRule type="expression" dxfId="115" priority="13">
      <formula>B3=941</formula>
    </cfRule>
    <cfRule type="expression" dxfId="114" priority="64">
      <formula>B3=744</formula>
    </cfRule>
    <cfRule type="expression" dxfId="113" priority="111">
      <formula>B3=742</formula>
    </cfRule>
    <cfRule type="expression" dxfId="112" priority="156">
      <formula>B3=698</formula>
    </cfRule>
    <cfRule type="expression" dxfId="111" priority="196">
      <formula>B3=603</formula>
    </cfRule>
  </conditionalFormatting>
  <conditionalFormatting sqref="AT3:AT100">
    <cfRule type="expression" dxfId="110" priority="12">
      <formula>B3=941</formula>
    </cfRule>
    <cfRule type="expression" dxfId="109" priority="63">
      <formula>B3=744</formula>
    </cfRule>
    <cfRule type="expression" dxfId="108" priority="110">
      <formula>B3=742</formula>
    </cfRule>
    <cfRule type="expression" dxfId="107" priority="155">
      <formula>B3=698</formula>
    </cfRule>
    <cfRule type="expression" dxfId="106" priority="195">
      <formula>B3=603</formula>
    </cfRule>
  </conditionalFormatting>
  <conditionalFormatting sqref="AU3:AU100">
    <cfRule type="expression" dxfId="105" priority="11">
      <formula>B3=941</formula>
    </cfRule>
    <cfRule type="expression" dxfId="104" priority="62">
      <formula>B3=744</formula>
    </cfRule>
    <cfRule type="expression" dxfId="103" priority="109">
      <formula>B3=742</formula>
    </cfRule>
    <cfRule type="expression" dxfId="102" priority="154">
      <formula>B3=698</formula>
    </cfRule>
    <cfRule type="expression" dxfId="101" priority="194">
      <formula>B3=603</formula>
    </cfRule>
  </conditionalFormatting>
  <conditionalFormatting sqref="AV3:AV100">
    <cfRule type="expression" dxfId="100" priority="61">
      <formula>B3=744</formula>
    </cfRule>
    <cfRule type="expression" dxfId="99" priority="108">
      <formula>B3=742</formula>
    </cfRule>
    <cfRule type="expression" dxfId="98" priority="193">
      <formula>B3=603</formula>
    </cfRule>
  </conditionalFormatting>
  <conditionalFormatting sqref="AW3:AW100">
    <cfRule type="expression" dxfId="97" priority="60">
      <formula>B3=744</formula>
    </cfRule>
    <cfRule type="expression" dxfId="96" priority="107">
      <formula>B3=742</formula>
    </cfRule>
    <cfRule type="expression" dxfId="95" priority="153">
      <formula>B3=698</formula>
    </cfRule>
    <cfRule type="expression" dxfId="94" priority="192">
      <formula>B3=603</formula>
    </cfRule>
  </conditionalFormatting>
  <conditionalFormatting sqref="AX3:AX100">
    <cfRule type="expression" dxfId="93" priority="59">
      <formula>B3=744</formula>
    </cfRule>
    <cfRule type="expression" dxfId="92" priority="106">
      <formula>B3=742</formula>
    </cfRule>
    <cfRule type="expression" dxfId="91" priority="152">
      <formula>B3=698</formula>
    </cfRule>
  </conditionalFormatting>
  <conditionalFormatting sqref="AY3:AY100">
    <cfRule type="expression" dxfId="90" priority="10">
      <formula>B3=941</formula>
    </cfRule>
    <cfRule type="expression" dxfId="89" priority="58">
      <formula>B3=744</formula>
    </cfRule>
    <cfRule type="expression" dxfId="88" priority="105">
      <formula>B3=742</formula>
    </cfRule>
    <cfRule type="expression" dxfId="87" priority="151">
      <formula>B3=698</formula>
    </cfRule>
  </conditionalFormatting>
  <conditionalFormatting sqref="AZ3:AZ100">
    <cfRule type="expression" dxfId="86" priority="9">
      <formula>B3=941</formula>
    </cfRule>
    <cfRule type="expression" dxfId="85" priority="57">
      <formula>B3=744</formula>
    </cfRule>
    <cfRule type="expression" dxfId="84" priority="104">
      <formula>B3=742</formula>
    </cfRule>
    <cfRule type="expression" dxfId="83" priority="150">
      <formula>B3=698</formula>
    </cfRule>
  </conditionalFormatting>
  <conditionalFormatting sqref="BA3:BA100">
    <cfRule type="expression" dxfId="82" priority="103">
      <formula>B3=742</formula>
    </cfRule>
    <cfRule type="expression" dxfId="81" priority="149">
      <formula>B3=698</formula>
    </cfRule>
    <cfRule type="expression" dxfId="80" priority="191">
      <formula>B3=603</formula>
    </cfRule>
  </conditionalFormatting>
  <conditionalFormatting sqref="BB3:BB100">
    <cfRule type="expression" dxfId="79" priority="8">
      <formula>B3=941</formula>
    </cfRule>
    <cfRule type="expression" dxfId="78" priority="56">
      <formula>B3=744</formula>
    </cfRule>
    <cfRule type="expression" dxfId="77" priority="102">
      <formula>B3=742</formula>
    </cfRule>
    <cfRule type="expression" dxfId="76" priority="148">
      <formula>B3=698</formula>
    </cfRule>
    <cfRule type="expression" dxfId="75" priority="190">
      <formula>B3=603</formula>
    </cfRule>
  </conditionalFormatting>
  <conditionalFormatting sqref="BD3:BD100">
    <cfRule type="expression" dxfId="74" priority="7">
      <formula>B3=941</formula>
    </cfRule>
    <cfRule type="expression" dxfId="73" priority="55">
      <formula>B3=744</formula>
    </cfRule>
    <cfRule type="expression" dxfId="72" priority="101">
      <formula>B3=742</formula>
    </cfRule>
    <cfRule type="expression" dxfId="71" priority="147">
      <formula>B3=698</formula>
    </cfRule>
    <cfRule type="expression" dxfId="70" priority="189">
      <formula>B3=603</formula>
    </cfRule>
  </conditionalFormatting>
  <conditionalFormatting sqref="BE3:BE100">
    <cfRule type="expression" dxfId="69" priority="146">
      <formula>B3=698</formula>
    </cfRule>
    <cfRule type="expression" dxfId="68" priority="188">
      <formula>B3=603</formula>
    </cfRule>
  </conditionalFormatting>
  <conditionalFormatting sqref="BF3:BF100">
    <cfRule type="expression" dxfId="67" priority="6">
      <formula>B3=941</formula>
    </cfRule>
    <cfRule type="expression" dxfId="66" priority="54">
      <formula>B3=744</formula>
    </cfRule>
    <cfRule type="expression" dxfId="65" priority="100">
      <formula>B3=742</formula>
    </cfRule>
    <cfRule type="expression" dxfId="64" priority="145">
      <formula>B3=698</formula>
    </cfRule>
    <cfRule type="expression" dxfId="63" priority="187">
      <formula>B3=603</formula>
    </cfRule>
  </conditionalFormatting>
  <conditionalFormatting sqref="BG3:BG100">
    <cfRule type="expression" dxfId="62" priority="5">
      <formula>B3=941</formula>
    </cfRule>
    <cfRule type="expression" dxfId="61" priority="53">
      <formula>B3=744</formula>
    </cfRule>
    <cfRule type="expression" dxfId="60" priority="99">
      <formula>B3=742</formula>
    </cfRule>
    <cfRule type="expression" dxfId="59" priority="144">
      <formula>B3=698</formula>
    </cfRule>
    <cfRule type="expression" dxfId="58" priority="186">
      <formula>B3=603</formula>
    </cfRule>
  </conditionalFormatting>
  <conditionalFormatting sqref="BH3:BH100">
    <cfRule type="expression" dxfId="57" priority="185">
      <formula>B3=603</formula>
    </cfRule>
  </conditionalFormatting>
  <conditionalFormatting sqref="BI3:BI100">
    <cfRule type="expression" dxfId="56" priority="4">
      <formula>B3=941</formula>
    </cfRule>
    <cfRule type="expression" dxfId="55" priority="52">
      <formula>B3=744</formula>
    </cfRule>
    <cfRule type="expression" dxfId="54" priority="98">
      <formula>B3=742</formula>
    </cfRule>
    <cfRule type="expression" dxfId="53" priority="143">
      <formula>B3=698</formula>
    </cfRule>
    <cfRule type="expression" dxfId="52" priority="184">
      <formula>B3=603</formula>
    </cfRule>
  </conditionalFormatting>
  <conditionalFormatting sqref="BJ3:BJ100">
    <cfRule type="expression" dxfId="51" priority="3">
      <formula>B3=941</formula>
    </cfRule>
    <cfRule type="expression" dxfId="50" priority="97">
      <formula>B3=742</formula>
    </cfRule>
    <cfRule type="expression" dxfId="49" priority="142">
      <formula>B3=698</formula>
    </cfRule>
    <cfRule type="expression" dxfId="48" priority="183">
      <formula>B3=603</formula>
    </cfRule>
  </conditionalFormatting>
  <conditionalFormatting sqref="BK3:BK100">
    <cfRule type="expression" dxfId="47" priority="2">
      <formula>B3=941</formula>
    </cfRule>
    <cfRule type="expression" dxfId="46" priority="51">
      <formula>B3=744</formula>
    </cfRule>
    <cfRule type="expression" dxfId="45" priority="96">
      <formula>B3=742</formula>
    </cfRule>
    <cfRule type="expression" dxfId="44" priority="141">
      <formula>B3=698</formula>
    </cfRule>
  </conditionalFormatting>
  <conditionalFormatting sqref="BL3:BL100">
    <cfRule type="expression" dxfId="43" priority="1">
      <formula>B3=941</formula>
    </cfRule>
    <cfRule type="expression" dxfId="42" priority="50">
      <formula>B3=744</formula>
    </cfRule>
    <cfRule type="expression" dxfId="41" priority="95">
      <formula>B3=742</formula>
    </cfRule>
    <cfRule type="expression" dxfId="40" priority="140">
      <formula>B3=698</formula>
    </cfRule>
    <cfRule type="expression" dxfId="39" priority="182">
      <formula>B3=603</formula>
    </cfRule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16AC-63CC-4455-8EF5-2944E6BE04FA}">
  <dimension ref="A1:BA66"/>
  <sheetViews>
    <sheetView zoomScale="80" zoomScaleNormal="80" workbookViewId="0">
      <pane ySplit="2" topLeftCell="A12" activePane="bottomLeft" state="frozen"/>
      <selection pane="bottomLeft" activeCell="V12" sqref="V12"/>
      <selection activeCell="V12" sqref="V12"/>
    </sheetView>
  </sheetViews>
  <sheetFormatPr defaultColWidth="8.85546875" defaultRowHeight="14.45"/>
  <cols>
    <col min="1" max="1" width="24.5703125" style="5" bestFit="1" customWidth="1"/>
    <col min="2" max="2" width="8.85546875" style="5"/>
    <col min="3" max="3" width="5.5703125" style="5" bestFit="1" customWidth="1"/>
    <col min="4" max="4" width="5.42578125" style="5" bestFit="1" customWidth="1"/>
    <col min="5" max="5" width="6.28515625" style="5" bestFit="1" customWidth="1"/>
    <col min="6" max="6" width="6" style="5" bestFit="1" customWidth="1"/>
    <col min="7" max="7" width="9.28515625" style="5" bestFit="1" customWidth="1"/>
    <col min="8" max="8" width="7.28515625" style="5" bestFit="1" customWidth="1"/>
    <col min="9" max="10" width="5.7109375" style="5" bestFit="1" customWidth="1"/>
    <col min="11" max="13" width="6.140625" style="5" bestFit="1" customWidth="1"/>
    <col min="14" max="14" width="8.28515625" style="5" bestFit="1" customWidth="1"/>
    <col min="15" max="15" width="5.42578125" style="5" bestFit="1" customWidth="1"/>
    <col min="16" max="17" width="6.28515625" style="5" bestFit="1" customWidth="1"/>
    <col min="18" max="19" width="17.85546875" style="5" bestFit="1" customWidth="1"/>
    <col min="20" max="20" width="6.140625" style="5" bestFit="1" customWidth="1"/>
    <col min="21" max="22" width="8.28515625" style="5" bestFit="1" customWidth="1"/>
    <col min="23" max="23" width="10.140625" style="5" bestFit="1" customWidth="1"/>
    <col min="24" max="24" width="6.85546875" bestFit="1" customWidth="1"/>
    <col min="25" max="25" width="8.85546875" style="5" bestFit="1" customWidth="1"/>
    <col min="26" max="26" width="8.7109375" style="5" bestFit="1" customWidth="1"/>
    <col min="27" max="27" width="9.28515625" style="5" bestFit="1" customWidth="1"/>
    <col min="28" max="28" width="9" style="5" bestFit="1" customWidth="1"/>
    <col min="29" max="29" width="10.5703125" style="5" bestFit="1" customWidth="1"/>
    <col min="30" max="30" width="10.7109375" style="5" bestFit="1" customWidth="1"/>
    <col min="31" max="31" width="9.42578125" style="5" bestFit="1" customWidth="1"/>
    <col min="32" max="32" width="10" style="5" bestFit="1" customWidth="1"/>
    <col min="33" max="33" width="10.28515625" bestFit="1" customWidth="1"/>
    <col min="34" max="34" width="0.7109375" style="11" customWidth="1"/>
    <col min="35" max="35" width="20.28515625" style="5" bestFit="1" customWidth="1"/>
    <col min="36" max="38" width="10.85546875" style="5" bestFit="1" customWidth="1"/>
    <col min="39" max="39" width="12.7109375" style="5" bestFit="1" customWidth="1"/>
    <col min="40" max="40" width="27" style="187" bestFit="1" customWidth="1"/>
    <col min="41" max="41" width="26.28515625" style="348" bestFit="1" customWidth="1"/>
    <col min="42" max="42" width="27" style="234" bestFit="1" customWidth="1"/>
    <col min="43" max="43" width="26.28515625" style="325" bestFit="1" customWidth="1"/>
    <col min="44" max="44" width="27" style="234" bestFit="1" customWidth="1"/>
    <col min="45" max="45" width="26.28515625" style="325" bestFit="1" customWidth="1"/>
    <col min="46" max="46" width="21.42578125" style="269" bestFit="1" customWidth="1"/>
    <col min="47" max="47" width="19" style="351" bestFit="1" customWidth="1"/>
    <col min="48" max="48" width="21.42578125" style="393" bestFit="1" customWidth="1"/>
    <col min="49" max="49" width="19" style="394" bestFit="1" customWidth="1"/>
    <col min="50" max="50" width="23.85546875" style="219" customWidth="1"/>
    <col min="51" max="51" width="20.7109375" style="390" customWidth="1"/>
    <col min="52" max="52" width="25.7109375" style="397" bestFit="1" customWidth="1"/>
    <col min="53" max="53" width="19" style="398" bestFit="1" customWidth="1"/>
    <col min="54" max="16384" width="8.85546875" style="5"/>
  </cols>
  <sheetData>
    <row r="1" spans="1:53" ht="18.600000000000001">
      <c r="A1" s="22" t="s">
        <v>1260</v>
      </c>
      <c r="B1" s="23"/>
      <c r="C1" s="23"/>
      <c r="D1" s="24"/>
      <c r="E1" s="1035" t="s">
        <v>915</v>
      </c>
      <c r="F1" s="1036"/>
      <c r="G1" s="158" t="s">
        <v>355</v>
      </c>
      <c r="H1" s="158"/>
      <c r="I1" s="158"/>
      <c r="J1" s="158"/>
      <c r="K1" s="158"/>
      <c r="L1" s="158"/>
      <c r="M1" s="158"/>
      <c r="O1" s="158"/>
      <c r="P1" s="24"/>
      <c r="Q1" s="24"/>
      <c r="R1" s="24" t="s">
        <v>1019</v>
      </c>
      <c r="S1" s="24" t="s">
        <v>1019</v>
      </c>
      <c r="T1" s="158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94"/>
      <c r="AO1" s="297"/>
      <c r="AP1" s="294"/>
      <c r="AQ1" s="297"/>
      <c r="AR1" s="294"/>
      <c r="AS1" s="297"/>
      <c r="AT1" s="294"/>
      <c r="AU1" s="297"/>
      <c r="AV1" s="294"/>
      <c r="AW1" s="297"/>
      <c r="AX1" s="294"/>
      <c r="AY1" s="294"/>
      <c r="AZ1" s="295"/>
      <c r="BA1" s="299"/>
    </row>
    <row r="2" spans="1:53" s="81" customFormat="1" ht="138" customHeight="1">
      <c r="A2" s="104" t="s">
        <v>612</v>
      </c>
      <c r="B2" s="101" t="s">
        <v>613</v>
      </c>
      <c r="C2" s="101" t="s">
        <v>614</v>
      </c>
      <c r="D2" s="89" t="s">
        <v>615</v>
      </c>
      <c r="E2" s="92" t="s">
        <v>89</v>
      </c>
      <c r="F2" s="92" t="s">
        <v>365</v>
      </c>
      <c r="G2" s="92" t="s">
        <v>150</v>
      </c>
      <c r="H2" s="92" t="s">
        <v>617</v>
      </c>
      <c r="I2" s="92" t="s">
        <v>79</v>
      </c>
      <c r="J2" s="92" t="s">
        <v>656</v>
      </c>
      <c r="K2" s="92" t="s">
        <v>120</v>
      </c>
      <c r="L2" s="92" t="s">
        <v>191</v>
      </c>
      <c r="M2" s="92" t="s">
        <v>226</v>
      </c>
      <c r="N2" s="82" t="s">
        <v>81</v>
      </c>
      <c r="O2" s="92" t="s">
        <v>124</v>
      </c>
      <c r="P2" s="92" t="s">
        <v>140</v>
      </c>
      <c r="Q2" s="92" t="s">
        <v>142</v>
      </c>
      <c r="R2" s="92" t="s">
        <v>144</v>
      </c>
      <c r="S2" s="92" t="s">
        <v>1195</v>
      </c>
      <c r="T2" s="92" t="s">
        <v>99</v>
      </c>
      <c r="U2" s="82" t="s">
        <v>200</v>
      </c>
      <c r="V2" s="92" t="s">
        <v>221</v>
      </c>
      <c r="W2" s="92" t="s">
        <v>1261</v>
      </c>
      <c r="X2" s="92" t="s">
        <v>146</v>
      </c>
      <c r="Y2" s="82" t="s">
        <v>369</v>
      </c>
      <c r="Z2" s="92" t="s">
        <v>152</v>
      </c>
      <c r="AA2" s="92" t="s">
        <v>154</v>
      </c>
      <c r="AB2" s="92" t="s">
        <v>107</v>
      </c>
      <c r="AC2" s="92" t="s">
        <v>159</v>
      </c>
      <c r="AD2" s="92" t="s">
        <v>298</v>
      </c>
      <c r="AE2" s="92" t="s">
        <v>111</v>
      </c>
      <c r="AF2" s="92" t="s">
        <v>274</v>
      </c>
      <c r="AG2" s="92" t="s">
        <v>161</v>
      </c>
      <c r="AH2" s="91" t="s">
        <v>289</v>
      </c>
      <c r="AI2" s="88" t="s">
        <v>612</v>
      </c>
      <c r="AJ2" s="89" t="s">
        <v>626</v>
      </c>
      <c r="AK2" s="89" t="s">
        <v>919</v>
      </c>
      <c r="AL2" s="89" t="s">
        <v>920</v>
      </c>
      <c r="AM2" s="165" t="s">
        <v>630</v>
      </c>
      <c r="AN2" s="331" t="s">
        <v>631</v>
      </c>
      <c r="AO2" s="347" t="s">
        <v>632</v>
      </c>
      <c r="AP2" s="300" t="s">
        <v>1053</v>
      </c>
      <c r="AQ2" s="324" t="s">
        <v>1054</v>
      </c>
      <c r="AR2" s="300" t="s">
        <v>1053</v>
      </c>
      <c r="AS2" s="324" t="s">
        <v>1054</v>
      </c>
      <c r="AT2" s="349" t="s">
        <v>665</v>
      </c>
      <c r="AU2" s="350" t="s">
        <v>1262</v>
      </c>
      <c r="AV2" s="391" t="s">
        <v>1055</v>
      </c>
      <c r="AW2" s="392" t="s">
        <v>1056</v>
      </c>
      <c r="AX2" s="333" t="s">
        <v>641</v>
      </c>
      <c r="AY2" s="387" t="s">
        <v>669</v>
      </c>
      <c r="AZ2" s="395" t="s">
        <v>930</v>
      </c>
      <c r="BA2" s="396" t="s">
        <v>644</v>
      </c>
    </row>
    <row r="3" spans="1:5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13"/>
      <c r="AI3" s="7"/>
      <c r="AJ3" s="7"/>
      <c r="AK3" s="7"/>
      <c r="AL3" s="7"/>
      <c r="AM3" s="166"/>
      <c r="AY3" s="388"/>
    </row>
    <row r="4" spans="1:53" s="107" customFormat="1">
      <c r="A4" s="108"/>
      <c r="B4" s="108"/>
      <c r="C4" s="108"/>
      <c r="D4" s="108"/>
      <c r="E4" s="108"/>
      <c r="F4" s="108"/>
      <c r="G4" s="108"/>
      <c r="H4" s="108"/>
      <c r="I4" s="9"/>
      <c r="J4" s="9"/>
      <c r="K4" s="108"/>
      <c r="L4" s="108"/>
      <c r="M4" s="108"/>
      <c r="N4" s="9"/>
      <c r="O4" s="9"/>
      <c r="P4" s="9"/>
      <c r="Q4" s="9"/>
      <c r="R4" s="108"/>
      <c r="S4" s="108"/>
      <c r="T4" s="108"/>
      <c r="U4" s="9"/>
      <c r="V4" s="9"/>
      <c r="W4" s="9"/>
      <c r="X4" s="108"/>
      <c r="Y4" s="9"/>
      <c r="Z4" s="108"/>
      <c r="AA4" s="108"/>
      <c r="AB4" s="108"/>
      <c r="AC4" s="9"/>
      <c r="AD4" s="108"/>
      <c r="AE4" s="108"/>
      <c r="AF4" s="108"/>
      <c r="AG4" s="108"/>
      <c r="AH4" s="12"/>
      <c r="AI4" s="108"/>
      <c r="AJ4" s="108"/>
      <c r="AK4" s="108"/>
      <c r="AL4" s="108"/>
      <c r="AM4" s="386"/>
      <c r="AN4" s="187"/>
      <c r="AO4" s="348"/>
      <c r="AP4" s="234"/>
      <c r="AQ4" s="325"/>
      <c r="AR4" s="234"/>
      <c r="AS4" s="325"/>
      <c r="AT4" s="269"/>
      <c r="AU4" s="351"/>
      <c r="AV4" s="393"/>
      <c r="AW4" s="394"/>
      <c r="AX4" s="219"/>
      <c r="AY4" s="388"/>
      <c r="AZ4" s="397"/>
      <c r="BA4" s="398"/>
    </row>
    <row r="5" spans="1:53" s="163" customFormat="1">
      <c r="A5" s="98" t="s">
        <v>1263</v>
      </c>
      <c r="B5" s="98" t="s">
        <v>355</v>
      </c>
      <c r="C5" s="98" t="s">
        <v>648</v>
      </c>
      <c r="D5" s="98" t="s">
        <v>1042</v>
      </c>
      <c r="E5" s="98"/>
      <c r="F5" s="98"/>
      <c r="G5" s="98"/>
      <c r="H5" s="98" t="s">
        <v>650</v>
      </c>
      <c r="I5" s="7"/>
      <c r="J5" s="7" t="s">
        <v>650</v>
      </c>
      <c r="K5" s="98"/>
      <c r="L5" s="98"/>
      <c r="M5" s="98"/>
      <c r="N5" s="38" t="s">
        <v>650</v>
      </c>
      <c r="O5" s="7"/>
      <c r="P5" s="7" t="s">
        <v>650</v>
      </c>
      <c r="Q5" s="7"/>
      <c r="R5" s="7" t="s">
        <v>650</v>
      </c>
      <c r="S5" s="98"/>
      <c r="T5" s="98"/>
      <c r="U5" s="7" t="s">
        <v>650</v>
      </c>
      <c r="V5" s="7"/>
      <c r="W5" s="7"/>
      <c r="X5" s="98"/>
      <c r="Y5" s="38" t="s">
        <v>650</v>
      </c>
      <c r="Z5" s="98"/>
      <c r="AA5" s="98"/>
      <c r="AB5" s="7" t="s">
        <v>650</v>
      </c>
      <c r="AC5" s="7" t="s">
        <v>650</v>
      </c>
      <c r="AD5" s="98"/>
      <c r="AE5" s="7" t="s">
        <v>650</v>
      </c>
      <c r="AF5" s="98"/>
      <c r="AG5" s="98"/>
      <c r="AH5" s="13"/>
      <c r="AI5" s="98" t="s">
        <v>1263</v>
      </c>
      <c r="AJ5" s="98"/>
      <c r="AK5" s="98"/>
      <c r="AL5" s="98"/>
      <c r="AM5" s="346"/>
      <c r="AN5" s="511">
        <v>97521012</v>
      </c>
      <c r="AO5" s="490">
        <v>24186.04</v>
      </c>
      <c r="AP5" s="437">
        <v>97751595</v>
      </c>
      <c r="AQ5" s="458">
        <v>1997.26</v>
      </c>
      <c r="AR5" s="234" t="s">
        <v>289</v>
      </c>
      <c r="AS5" s="325" t="s">
        <v>289</v>
      </c>
      <c r="AT5" s="435">
        <v>97520842</v>
      </c>
      <c r="AU5" s="463">
        <v>488.25</v>
      </c>
      <c r="AV5" s="508">
        <v>97631803</v>
      </c>
      <c r="AW5" s="509">
        <v>111.11</v>
      </c>
      <c r="AX5" s="512">
        <v>97521012</v>
      </c>
      <c r="AY5" s="510">
        <v>11640.2</v>
      </c>
      <c r="AZ5" s="457">
        <v>97521012</v>
      </c>
      <c r="BA5" s="450">
        <f>AY5+AW5+AU5+AO5+AQ5</f>
        <v>38422.860000000008</v>
      </c>
    </row>
    <row r="6" spans="1:53">
      <c r="A6" s="50" t="s">
        <v>1264</v>
      </c>
      <c r="B6" s="50" t="s">
        <v>355</v>
      </c>
      <c r="C6" s="9" t="s">
        <v>647</v>
      </c>
      <c r="D6" s="9">
        <v>3</v>
      </c>
      <c r="E6" s="9" t="s">
        <v>650</v>
      </c>
      <c r="F6" s="9"/>
      <c r="G6" s="9"/>
      <c r="H6" s="9" t="s">
        <v>650</v>
      </c>
      <c r="I6" s="9"/>
      <c r="J6" s="9"/>
      <c r="K6" s="9"/>
      <c r="L6" s="9"/>
      <c r="M6" s="9"/>
      <c r="N6" s="9" t="s">
        <v>650</v>
      </c>
      <c r="O6" s="9"/>
      <c r="P6" s="9"/>
      <c r="Q6" s="9" t="s">
        <v>650</v>
      </c>
      <c r="R6" s="9"/>
      <c r="S6" s="9"/>
      <c r="T6" s="9"/>
      <c r="U6" s="9" t="s">
        <v>650</v>
      </c>
      <c r="V6" s="9"/>
      <c r="W6" s="9" t="s">
        <v>650</v>
      </c>
      <c r="X6" s="9"/>
      <c r="Y6" s="9" t="s">
        <v>650</v>
      </c>
      <c r="Z6" s="9"/>
      <c r="AA6" s="9"/>
      <c r="AB6" s="9"/>
      <c r="AC6" s="9" t="s">
        <v>650</v>
      </c>
      <c r="AD6" s="9"/>
      <c r="AE6" s="9" t="s">
        <v>650</v>
      </c>
      <c r="AF6" s="9"/>
      <c r="AG6" s="9"/>
      <c r="AH6" s="13"/>
      <c r="AI6" s="21" t="str">
        <f>A6</f>
        <v>L5TRAILHEADESTWA</v>
      </c>
      <c r="AJ6" s="9"/>
      <c r="AK6" s="9"/>
      <c r="AL6" s="9"/>
      <c r="AM6" s="141"/>
      <c r="AN6" s="187">
        <v>97126535</v>
      </c>
      <c r="AO6" s="348">
        <v>23644.51</v>
      </c>
      <c r="AT6" s="269">
        <v>97126162</v>
      </c>
      <c r="AU6" s="351">
        <v>488.25</v>
      </c>
      <c r="AV6" s="393">
        <v>97126193</v>
      </c>
      <c r="AW6" s="394">
        <v>111.11</v>
      </c>
      <c r="AX6" s="219">
        <v>97126535</v>
      </c>
      <c r="AY6" s="389">
        <v>12400.83</v>
      </c>
      <c r="AZ6" s="397">
        <v>97126535</v>
      </c>
      <c r="BA6" s="398">
        <f>AW6+AU6+AO6+AY6</f>
        <v>36644.699999999997</v>
      </c>
    </row>
    <row r="7" spans="1:53" s="163" customFormat="1">
      <c r="A7" s="98"/>
      <c r="B7" s="98"/>
      <c r="C7" s="98"/>
      <c r="D7" s="98"/>
      <c r="E7" s="98"/>
      <c r="F7" s="98"/>
      <c r="G7" s="98"/>
      <c r="H7" s="98"/>
      <c r="I7" s="7"/>
      <c r="J7" s="7"/>
      <c r="K7" s="98"/>
      <c r="L7" s="98"/>
      <c r="M7" s="98"/>
      <c r="N7" s="7"/>
      <c r="O7" s="7"/>
      <c r="P7" s="7"/>
      <c r="Q7" s="7"/>
      <c r="R7" s="98"/>
      <c r="S7" s="98"/>
      <c r="T7" s="98"/>
      <c r="U7" s="7"/>
      <c r="V7" s="7"/>
      <c r="W7" s="7"/>
      <c r="X7" s="98"/>
      <c r="Y7" s="7"/>
      <c r="Z7" s="98"/>
      <c r="AA7" s="98"/>
      <c r="AB7" s="98"/>
      <c r="AC7" s="7"/>
      <c r="AD7" s="98"/>
      <c r="AE7" s="98"/>
      <c r="AF7" s="98"/>
      <c r="AG7" s="98"/>
      <c r="AH7" s="13"/>
      <c r="AI7" s="161"/>
      <c r="AJ7" s="98"/>
      <c r="AK7" s="98"/>
      <c r="AL7" s="98"/>
      <c r="AM7" s="346"/>
      <c r="AN7" s="187"/>
      <c r="AO7" s="348"/>
      <c r="AP7" s="234"/>
      <c r="AQ7" s="325"/>
      <c r="AR7" s="234"/>
      <c r="AS7" s="325"/>
      <c r="AT7" s="269"/>
      <c r="AU7" s="351"/>
      <c r="AV7" s="393"/>
      <c r="AW7" s="394"/>
      <c r="AX7" s="219"/>
      <c r="AY7" s="390"/>
      <c r="AZ7" s="397"/>
      <c r="BA7" s="398"/>
    </row>
    <row r="8" spans="1:53" s="107" customFormat="1">
      <c r="A8" s="37"/>
      <c r="B8" s="37"/>
      <c r="C8" s="37"/>
      <c r="D8" s="37"/>
      <c r="E8" s="37"/>
      <c r="F8" s="37"/>
      <c r="G8" s="37"/>
      <c r="H8" s="37"/>
      <c r="I8" s="9"/>
      <c r="J8" s="9"/>
      <c r="K8" s="37"/>
      <c r="L8" s="37"/>
      <c r="M8" s="37"/>
      <c r="N8" s="9"/>
      <c r="O8" s="9"/>
      <c r="P8" s="9"/>
      <c r="Q8" s="9"/>
      <c r="R8" s="37"/>
      <c r="S8" s="37"/>
      <c r="T8" s="37"/>
      <c r="U8" s="9"/>
      <c r="V8" s="9"/>
      <c r="W8" s="9"/>
      <c r="X8" s="37"/>
      <c r="Y8" s="9"/>
      <c r="Z8" s="37"/>
      <c r="AA8" s="37"/>
      <c r="AB8" s="37"/>
      <c r="AC8" s="9"/>
      <c r="AD8" s="37"/>
      <c r="AE8" s="37"/>
      <c r="AF8" s="37"/>
      <c r="AG8" s="37"/>
      <c r="AH8" s="13"/>
      <c r="AI8" s="37"/>
      <c r="AJ8" s="37"/>
      <c r="AK8" s="37"/>
      <c r="AL8" s="37"/>
      <c r="AM8" s="310"/>
      <c r="AN8" s="187"/>
      <c r="AO8" s="348"/>
      <c r="AP8" s="234"/>
      <c r="AQ8" s="325"/>
      <c r="AR8" s="234"/>
      <c r="AS8" s="325"/>
      <c r="AT8" s="269"/>
      <c r="AU8" s="351"/>
      <c r="AV8" s="393"/>
      <c r="AW8" s="394"/>
      <c r="AX8" s="219"/>
      <c r="AY8" s="388"/>
      <c r="AZ8" s="399"/>
      <c r="BA8" s="398"/>
    </row>
    <row r="9" spans="1:53" s="163" customFormat="1">
      <c r="A9" s="98" t="s">
        <v>1265</v>
      </c>
      <c r="B9" s="98" t="s">
        <v>225</v>
      </c>
      <c r="C9" s="98" t="s">
        <v>648</v>
      </c>
      <c r="D9" s="98" t="s">
        <v>1266</v>
      </c>
      <c r="E9" s="38">
        <v>1</v>
      </c>
      <c r="F9" s="98"/>
      <c r="G9" s="13"/>
      <c r="H9" s="98" t="s">
        <v>650</v>
      </c>
      <c r="I9" s="38" t="s">
        <v>650</v>
      </c>
      <c r="J9" s="13"/>
      <c r="K9" s="13"/>
      <c r="L9" s="13"/>
      <c r="M9" s="98"/>
      <c r="N9" s="38" t="s">
        <v>650</v>
      </c>
      <c r="O9" s="13"/>
      <c r="P9" s="13"/>
      <c r="Q9" s="13"/>
      <c r="R9" s="13"/>
      <c r="S9" s="13"/>
      <c r="T9" s="98"/>
      <c r="U9" s="7"/>
      <c r="V9" s="38" t="s">
        <v>650</v>
      </c>
      <c r="W9" s="13"/>
      <c r="X9" s="13"/>
      <c r="Y9" s="13"/>
      <c r="Z9" s="13"/>
      <c r="AA9" s="13"/>
      <c r="AB9" s="98"/>
      <c r="AC9" s="13"/>
      <c r="AD9" s="13"/>
      <c r="AE9" s="13"/>
      <c r="AF9" s="13"/>
      <c r="AG9" s="13"/>
      <c r="AH9" s="13"/>
      <c r="AI9" s="161" t="s">
        <v>1265</v>
      </c>
      <c r="AJ9" s="98" t="s">
        <v>1267</v>
      </c>
      <c r="AK9" s="98" t="s">
        <v>1267</v>
      </c>
      <c r="AL9" s="98" t="s">
        <v>1267</v>
      </c>
      <c r="AM9" s="346" t="s">
        <v>711</v>
      </c>
      <c r="AN9" s="433">
        <v>97342979</v>
      </c>
      <c r="AO9" s="490">
        <v>30534.01</v>
      </c>
      <c r="AP9" s="437">
        <v>97751636</v>
      </c>
      <c r="AQ9" s="458">
        <v>3055.38</v>
      </c>
      <c r="AR9" s="437">
        <v>97907300</v>
      </c>
      <c r="AS9" s="458">
        <v>200.91</v>
      </c>
      <c r="AT9" s="435">
        <v>97342560</v>
      </c>
      <c r="AU9" s="463">
        <v>759.5</v>
      </c>
      <c r="AV9" s="508">
        <v>97342591</v>
      </c>
      <c r="AW9" s="509">
        <v>222.22</v>
      </c>
      <c r="AX9" s="439">
        <v>97342979</v>
      </c>
      <c r="AY9" s="510">
        <v>15039.42</v>
      </c>
      <c r="AZ9" s="397">
        <v>97342979</v>
      </c>
      <c r="BA9" s="398">
        <f>AY9+AW9+AU9+AO9+AQ9+AS9</f>
        <v>49811.439999999995</v>
      </c>
    </row>
    <row r="10" spans="1:53" s="107" customFormat="1">
      <c r="A10" s="37"/>
      <c r="B10" s="37"/>
      <c r="C10" s="37"/>
      <c r="D10" s="37"/>
      <c r="E10" s="37"/>
      <c r="F10" s="37"/>
      <c r="G10" s="37"/>
      <c r="H10" s="37"/>
      <c r="I10" s="9"/>
      <c r="J10" s="9"/>
      <c r="K10" s="37"/>
      <c r="L10" s="37"/>
      <c r="M10" s="37"/>
      <c r="N10" s="9"/>
      <c r="O10" s="9"/>
      <c r="P10" s="9"/>
      <c r="Q10" s="9"/>
      <c r="R10" s="37"/>
      <c r="S10" s="37"/>
      <c r="T10" s="37"/>
      <c r="U10" s="9"/>
      <c r="V10" s="9"/>
      <c r="W10" s="9"/>
      <c r="X10" s="37"/>
      <c r="Y10" s="9"/>
      <c r="Z10" s="37"/>
      <c r="AA10" s="37"/>
      <c r="AB10" s="37"/>
      <c r="AC10" s="9"/>
      <c r="AD10" s="37"/>
      <c r="AE10" s="37"/>
      <c r="AF10" s="37"/>
      <c r="AG10" s="37"/>
      <c r="AH10" s="13"/>
      <c r="AI10" s="37"/>
      <c r="AJ10" s="37"/>
      <c r="AK10" s="37"/>
      <c r="AL10" s="37"/>
      <c r="AM10" s="310"/>
      <c r="AN10" s="187"/>
      <c r="AO10" s="348"/>
      <c r="AP10" s="235"/>
      <c r="AQ10" s="325"/>
      <c r="AR10" s="235"/>
      <c r="AS10" s="325"/>
      <c r="AT10" s="269"/>
      <c r="AU10" s="351"/>
      <c r="AV10" s="393"/>
      <c r="AW10" s="394"/>
      <c r="AX10" s="219"/>
      <c r="AY10" s="388"/>
      <c r="AZ10" s="397"/>
      <c r="BA10" s="398"/>
    </row>
    <row r="11" spans="1:5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3"/>
      <c r="AI11" s="7">
        <f t="shared" ref="AI11:AI49" si="0">A11</f>
        <v>0</v>
      </c>
      <c r="AJ11" s="8"/>
      <c r="AK11" s="8"/>
      <c r="AL11" s="8"/>
      <c r="AM11" s="167"/>
      <c r="AX11" s="224"/>
      <c r="AY11" s="388"/>
    </row>
    <row r="12" spans="1:53">
      <c r="A12" s="37"/>
      <c r="B12" s="37"/>
      <c r="C12" s="9"/>
      <c r="D12" s="9"/>
      <c r="E12" s="9"/>
      <c r="F12" s="50"/>
      <c r="G12" s="50"/>
      <c r="H12" s="50"/>
      <c r="I12" s="9"/>
      <c r="J12" s="9"/>
      <c r="K12" s="50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50"/>
      <c r="Y12" s="9"/>
      <c r="Z12" s="50"/>
      <c r="AA12" s="50"/>
      <c r="AB12" s="50"/>
      <c r="AC12" s="9"/>
      <c r="AD12" s="50"/>
      <c r="AE12" s="50"/>
      <c r="AF12" s="50"/>
      <c r="AG12" s="50"/>
      <c r="AH12" s="13"/>
      <c r="AI12" s="21">
        <f t="shared" si="0"/>
        <v>0</v>
      </c>
      <c r="AJ12" s="32"/>
      <c r="AK12" s="32"/>
      <c r="AL12" s="32"/>
      <c r="AM12" s="168"/>
      <c r="AY12" s="388"/>
    </row>
    <row r="13" spans="1:5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3"/>
      <c r="AI13" s="7">
        <f t="shared" si="0"/>
        <v>0</v>
      </c>
      <c r="AJ13" s="7"/>
      <c r="AK13" s="7"/>
      <c r="AL13" s="7"/>
      <c r="AM13" s="169"/>
      <c r="AY13" s="388"/>
    </row>
    <row r="14" spans="1:53">
      <c r="A14" s="37"/>
      <c r="B14" s="37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3"/>
      <c r="AI14" s="21">
        <f t="shared" si="0"/>
        <v>0</v>
      </c>
      <c r="AJ14" s="32"/>
      <c r="AK14" s="32"/>
      <c r="AL14" s="32"/>
      <c r="AM14" s="168"/>
      <c r="AY14" s="388"/>
    </row>
    <row r="15" spans="1:5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3"/>
      <c r="AI15" s="7">
        <f t="shared" si="0"/>
        <v>0</v>
      </c>
      <c r="AJ15" s="31"/>
      <c r="AK15" s="31"/>
      <c r="AL15" s="31"/>
      <c r="AM15" s="169"/>
      <c r="AY15" s="388"/>
    </row>
    <row r="16" spans="1:53">
      <c r="A16" s="50"/>
      <c r="B16" s="50"/>
      <c r="C16" s="9"/>
      <c r="D16" s="9"/>
      <c r="E16" s="9"/>
      <c r="F16" s="50"/>
      <c r="G16" s="50"/>
      <c r="H16" s="50"/>
      <c r="I16" s="9"/>
      <c r="J16" s="9"/>
      <c r="K16" s="50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50"/>
      <c r="Y16" s="9"/>
      <c r="Z16" s="50"/>
      <c r="AA16" s="50"/>
      <c r="AB16" s="50"/>
      <c r="AC16" s="9"/>
      <c r="AD16" s="50"/>
      <c r="AE16" s="50"/>
      <c r="AF16" s="50"/>
      <c r="AG16" s="50"/>
      <c r="AH16" s="13"/>
      <c r="AI16" s="21">
        <f t="shared" si="0"/>
        <v>0</v>
      </c>
      <c r="AJ16" s="9"/>
      <c r="AK16" s="9"/>
      <c r="AL16" s="9"/>
      <c r="AM16" s="141"/>
      <c r="AY16" s="388"/>
    </row>
    <row r="17" spans="35:35">
      <c r="AI17" s="7">
        <f t="shared" si="0"/>
        <v>0</v>
      </c>
    </row>
    <row r="18" spans="35:35">
      <c r="AI18" s="21">
        <f t="shared" si="0"/>
        <v>0</v>
      </c>
    </row>
    <row r="19" spans="35:35">
      <c r="AI19" s="7">
        <f t="shared" si="0"/>
        <v>0</v>
      </c>
    </row>
    <row r="20" spans="35:35">
      <c r="AI20" s="21">
        <f t="shared" si="0"/>
        <v>0</v>
      </c>
    </row>
    <row r="21" spans="35:35">
      <c r="AI21" s="7">
        <f t="shared" si="0"/>
        <v>0</v>
      </c>
    </row>
    <row r="22" spans="35:35">
      <c r="AI22" s="21">
        <f t="shared" si="0"/>
        <v>0</v>
      </c>
    </row>
    <row r="23" spans="35:35">
      <c r="AI23" s="7">
        <f t="shared" si="0"/>
        <v>0</v>
      </c>
    </row>
    <row r="24" spans="35:35">
      <c r="AI24" s="21">
        <f t="shared" si="0"/>
        <v>0</v>
      </c>
    </row>
    <row r="25" spans="35:35">
      <c r="AI25" s="7">
        <f t="shared" si="0"/>
        <v>0</v>
      </c>
    </row>
    <row r="26" spans="35:35">
      <c r="AI26" s="21">
        <f t="shared" si="0"/>
        <v>0</v>
      </c>
    </row>
    <row r="27" spans="35:35">
      <c r="AI27" s="7">
        <f t="shared" si="0"/>
        <v>0</v>
      </c>
    </row>
    <row r="28" spans="35:35">
      <c r="AI28" s="21">
        <f t="shared" si="0"/>
        <v>0</v>
      </c>
    </row>
    <row r="29" spans="35:35">
      <c r="AI29" s="7">
        <f t="shared" si="0"/>
        <v>0</v>
      </c>
    </row>
    <row r="30" spans="35:35">
      <c r="AI30" s="21">
        <f t="shared" si="0"/>
        <v>0</v>
      </c>
    </row>
    <row r="31" spans="35:35">
      <c r="AI31" s="7">
        <f t="shared" si="0"/>
        <v>0</v>
      </c>
    </row>
    <row r="32" spans="35:35">
      <c r="AI32" s="21">
        <f t="shared" si="0"/>
        <v>0</v>
      </c>
    </row>
    <row r="33" spans="29:35">
      <c r="AC33" s="7"/>
      <c r="AD33" s="7"/>
      <c r="AE33" s="7"/>
      <c r="AF33" s="7"/>
      <c r="AG33" s="7"/>
      <c r="AH33" s="13"/>
      <c r="AI33" s="7">
        <f t="shared" si="0"/>
        <v>0</v>
      </c>
    </row>
    <row r="34" spans="29:35">
      <c r="AC34" s="9"/>
      <c r="AD34" s="9"/>
      <c r="AE34" s="9"/>
      <c r="AF34" s="9"/>
      <c r="AG34" s="4"/>
      <c r="AH34" s="13"/>
      <c r="AI34" s="21">
        <f t="shared" si="0"/>
        <v>0</v>
      </c>
    </row>
    <row r="35" spans="29:35">
      <c r="AC35" s="7"/>
      <c r="AD35" s="7"/>
      <c r="AE35" s="7"/>
      <c r="AF35" s="7"/>
      <c r="AG35" s="2"/>
      <c r="AH35" s="13"/>
      <c r="AI35" s="7">
        <f t="shared" si="0"/>
        <v>0</v>
      </c>
    </row>
    <row r="36" spans="29:35">
      <c r="AC36" s="9"/>
      <c r="AD36" s="9"/>
      <c r="AE36" s="9"/>
      <c r="AF36" s="9"/>
      <c r="AG36" s="4"/>
      <c r="AH36" s="13"/>
      <c r="AI36" s="21">
        <f t="shared" si="0"/>
        <v>0</v>
      </c>
    </row>
    <row r="37" spans="29:35">
      <c r="AC37" s="7"/>
      <c r="AD37" s="7"/>
      <c r="AE37" s="7"/>
      <c r="AF37" s="7"/>
      <c r="AG37" s="2"/>
      <c r="AH37" s="13"/>
      <c r="AI37" s="7">
        <f t="shared" si="0"/>
        <v>0</v>
      </c>
    </row>
    <row r="38" spans="29:35">
      <c r="AC38" s="9"/>
      <c r="AD38" s="9"/>
      <c r="AE38" s="9"/>
      <c r="AF38" s="9"/>
      <c r="AG38" s="4"/>
      <c r="AH38" s="13"/>
      <c r="AI38" s="21">
        <f t="shared" si="0"/>
        <v>0</v>
      </c>
    </row>
    <row r="39" spans="29:35">
      <c r="AC39" s="7"/>
      <c r="AD39" s="7"/>
      <c r="AE39" s="7"/>
      <c r="AF39" s="7"/>
      <c r="AG39" s="2"/>
      <c r="AH39" s="13"/>
      <c r="AI39" s="7">
        <f t="shared" si="0"/>
        <v>0</v>
      </c>
    </row>
    <row r="40" spans="29:35">
      <c r="AC40" s="9"/>
      <c r="AD40" s="9"/>
      <c r="AE40" s="9"/>
      <c r="AF40" s="9"/>
      <c r="AG40" s="4"/>
      <c r="AH40" s="13"/>
      <c r="AI40" s="21">
        <f t="shared" si="0"/>
        <v>0</v>
      </c>
    </row>
    <row r="41" spans="29:35">
      <c r="AC41" s="7"/>
      <c r="AD41" s="7"/>
      <c r="AE41" s="7"/>
      <c r="AF41" s="7"/>
      <c r="AG41" s="2"/>
      <c r="AH41" s="13"/>
      <c r="AI41" s="7">
        <f t="shared" si="0"/>
        <v>0</v>
      </c>
    </row>
    <row r="42" spans="29:35">
      <c r="AC42" s="9"/>
      <c r="AD42" s="9"/>
      <c r="AE42" s="9"/>
      <c r="AF42" s="9"/>
      <c r="AG42" s="4"/>
      <c r="AH42" s="13"/>
      <c r="AI42" s="21">
        <f t="shared" si="0"/>
        <v>0</v>
      </c>
    </row>
    <row r="43" spans="29:35">
      <c r="AC43" s="7"/>
      <c r="AD43" s="7"/>
      <c r="AE43" s="7"/>
      <c r="AF43" s="7"/>
      <c r="AG43" s="2"/>
      <c r="AH43" s="13"/>
      <c r="AI43" s="7">
        <f t="shared" si="0"/>
        <v>0</v>
      </c>
    </row>
    <row r="44" spans="29:35">
      <c r="AC44" s="9"/>
      <c r="AD44" s="9"/>
      <c r="AE44" s="9"/>
      <c r="AF44" s="9"/>
      <c r="AG44" s="4"/>
      <c r="AH44" s="13"/>
      <c r="AI44" s="21">
        <f t="shared" si="0"/>
        <v>0</v>
      </c>
    </row>
    <row r="45" spans="29:35">
      <c r="AC45" s="7"/>
      <c r="AD45" s="7"/>
      <c r="AE45" s="7"/>
      <c r="AF45" s="7"/>
      <c r="AG45" s="2"/>
      <c r="AH45" s="13"/>
      <c r="AI45" s="7">
        <f t="shared" si="0"/>
        <v>0</v>
      </c>
    </row>
    <row r="46" spans="29:35">
      <c r="AC46" s="9"/>
      <c r="AD46" s="9"/>
      <c r="AE46" s="9"/>
      <c r="AF46" s="9"/>
      <c r="AG46" s="4"/>
      <c r="AH46" s="13"/>
      <c r="AI46" s="21">
        <f t="shared" si="0"/>
        <v>0</v>
      </c>
    </row>
    <row r="47" spans="29:35">
      <c r="AC47" s="7" t="s">
        <v>650</v>
      </c>
      <c r="AD47" s="7"/>
      <c r="AE47" s="7"/>
      <c r="AF47" s="7"/>
      <c r="AG47" s="2"/>
      <c r="AH47" s="13"/>
      <c r="AI47" s="7">
        <f t="shared" si="0"/>
        <v>0</v>
      </c>
    </row>
    <row r="48" spans="29:35">
      <c r="AC48" s="9"/>
      <c r="AD48" s="9"/>
      <c r="AE48" s="9"/>
      <c r="AF48" s="9"/>
      <c r="AG48" s="4"/>
      <c r="AH48" s="13"/>
      <c r="AI48" s="21">
        <f t="shared" si="0"/>
        <v>0</v>
      </c>
    </row>
    <row r="49" spans="9:35"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2"/>
      <c r="Y49" s="7"/>
      <c r="Z49" s="7"/>
      <c r="AA49" s="7"/>
      <c r="AB49" s="7"/>
      <c r="AC49" s="38" t="s">
        <v>650</v>
      </c>
      <c r="AD49" s="7"/>
      <c r="AE49" s="7"/>
      <c r="AF49" s="7"/>
      <c r="AG49" s="2"/>
      <c r="AH49" s="13"/>
      <c r="AI49" s="7">
        <f t="shared" si="0"/>
        <v>0</v>
      </c>
    </row>
    <row r="50" spans="9:35"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4"/>
      <c r="Y50" s="9"/>
      <c r="Z50" s="9"/>
      <c r="AA50" s="9"/>
      <c r="AB50" s="9"/>
      <c r="AC50" s="9" t="s">
        <v>650</v>
      </c>
      <c r="AD50" s="9"/>
      <c r="AE50" s="9"/>
      <c r="AF50" s="9"/>
      <c r="AG50" s="4"/>
      <c r="AH50" s="13"/>
      <c r="AI50" s="21"/>
    </row>
    <row r="51" spans="9:35"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2"/>
      <c r="Y51" s="7"/>
      <c r="Z51" s="7"/>
      <c r="AA51" s="7"/>
      <c r="AB51" s="7"/>
      <c r="AC51" s="7"/>
      <c r="AD51" s="7"/>
      <c r="AE51" s="7"/>
      <c r="AF51" s="7"/>
      <c r="AG51" s="2"/>
      <c r="AH51" s="13"/>
      <c r="AI51" s="7"/>
    </row>
    <row r="52" spans="9:35"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4"/>
      <c r="Y52" s="9"/>
      <c r="Z52" s="9"/>
      <c r="AA52" s="9"/>
      <c r="AB52" s="9"/>
      <c r="AC52" s="9"/>
      <c r="AD52" s="9"/>
      <c r="AE52" s="9"/>
      <c r="AF52" s="9"/>
      <c r="AG52" s="4"/>
      <c r="AH52" s="13"/>
      <c r="AI52" s="21"/>
    </row>
    <row r="53" spans="9:35"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2"/>
      <c r="Y53" s="7"/>
      <c r="Z53" s="7"/>
      <c r="AA53" s="7"/>
      <c r="AB53" s="7"/>
      <c r="AC53" s="7"/>
      <c r="AD53" s="7"/>
      <c r="AE53" s="7"/>
      <c r="AF53" s="7"/>
      <c r="AG53" s="2"/>
      <c r="AH53" s="13"/>
      <c r="AI53" s="7"/>
    </row>
    <row r="54" spans="9:35"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4"/>
      <c r="Y54" s="9"/>
      <c r="Z54" s="9"/>
      <c r="AA54" s="9"/>
      <c r="AB54" s="9"/>
      <c r="AC54" s="9"/>
      <c r="AD54" s="9"/>
      <c r="AE54" s="9"/>
      <c r="AF54" s="9"/>
      <c r="AG54" s="4"/>
      <c r="AH54" s="13"/>
      <c r="AI54" s="21"/>
    </row>
    <row r="55" spans="9:35"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2"/>
      <c r="Y55" s="7"/>
      <c r="Z55" s="7"/>
      <c r="AA55" s="7"/>
      <c r="AB55" s="7"/>
      <c r="AC55" s="7"/>
      <c r="AD55" s="7"/>
      <c r="AE55" s="7"/>
      <c r="AF55" s="7"/>
      <c r="AG55" s="2"/>
      <c r="AH55" s="13"/>
      <c r="AI55" s="7"/>
    </row>
    <row r="56" spans="9:35"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4"/>
      <c r="Y56" s="9"/>
      <c r="Z56" s="9"/>
      <c r="AA56" s="9"/>
      <c r="AB56" s="9"/>
      <c r="AC56" s="9"/>
      <c r="AD56" s="9"/>
      <c r="AE56" s="9"/>
      <c r="AF56" s="9"/>
      <c r="AG56" s="4"/>
      <c r="AH56" s="13"/>
      <c r="AI56" s="21"/>
    </row>
    <row r="57" spans="9:35"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2"/>
      <c r="Y57" s="7"/>
      <c r="Z57" s="7"/>
      <c r="AA57" s="7"/>
      <c r="AB57" s="7"/>
      <c r="AC57" s="7"/>
      <c r="AD57" s="7"/>
      <c r="AE57" s="7"/>
      <c r="AF57" s="7"/>
      <c r="AG57" s="2"/>
      <c r="AH57" s="13"/>
      <c r="AI57" s="7"/>
    </row>
    <row r="58" spans="9:35"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4"/>
      <c r="Y58" s="9"/>
      <c r="Z58" s="9"/>
      <c r="AA58" s="9"/>
      <c r="AB58" s="9"/>
      <c r="AC58" s="9"/>
      <c r="AD58" s="9"/>
      <c r="AE58" s="9"/>
      <c r="AF58" s="9"/>
      <c r="AG58" s="4"/>
      <c r="AH58" s="13"/>
      <c r="AI58" s="21"/>
    </row>
    <row r="59" spans="9:35"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2"/>
      <c r="Y59" s="7"/>
      <c r="Z59" s="7"/>
      <c r="AA59" s="7"/>
      <c r="AB59" s="7"/>
      <c r="AC59" s="7"/>
      <c r="AD59" s="7"/>
      <c r="AE59" s="7"/>
      <c r="AF59" s="7"/>
      <c r="AG59" s="2"/>
      <c r="AH59" s="13"/>
      <c r="AI59" s="7"/>
    </row>
    <row r="60" spans="9:35"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4"/>
      <c r="Y60" s="9"/>
      <c r="Z60" s="9"/>
      <c r="AA60" s="9"/>
      <c r="AB60" s="9"/>
      <c r="AC60" s="9"/>
      <c r="AD60" s="9"/>
      <c r="AE60" s="9"/>
      <c r="AF60" s="9"/>
      <c r="AG60" s="4"/>
      <c r="AH60" s="13"/>
      <c r="AI60" s="21"/>
    </row>
    <row r="61" spans="9:35"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2"/>
      <c r="Y61" s="7"/>
      <c r="Z61" s="7"/>
      <c r="AA61" s="7"/>
      <c r="AB61" s="7"/>
      <c r="AC61" s="7"/>
      <c r="AD61" s="7"/>
      <c r="AE61" s="7"/>
      <c r="AF61" s="7"/>
      <c r="AG61" s="2"/>
      <c r="AH61" s="13"/>
      <c r="AI61" s="7"/>
    </row>
    <row r="62" spans="9:35"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4"/>
      <c r="Y62" s="9"/>
      <c r="Z62" s="9"/>
      <c r="AA62" s="9"/>
      <c r="AB62" s="9"/>
      <c r="AC62" s="9"/>
      <c r="AD62" s="9"/>
      <c r="AE62" s="9"/>
      <c r="AF62" s="9"/>
      <c r="AG62" s="4"/>
      <c r="AH62" s="13"/>
      <c r="AI62" s="21"/>
    </row>
    <row r="63" spans="9:35">
      <c r="I63" s="38" t="s">
        <v>650</v>
      </c>
      <c r="J63" s="38" t="s">
        <v>650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2"/>
      <c r="Y63" s="7"/>
      <c r="Z63" s="7"/>
      <c r="AA63" s="7"/>
      <c r="AB63" s="7"/>
      <c r="AC63" s="7"/>
      <c r="AD63" s="7"/>
      <c r="AE63" s="7"/>
      <c r="AF63" s="7"/>
      <c r="AG63" s="2"/>
      <c r="AH63" s="13"/>
      <c r="AI63" s="7"/>
    </row>
    <row r="64" spans="9:35"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2"/>
      <c r="Y64" s="9"/>
      <c r="Z64" s="9"/>
      <c r="AA64" s="9"/>
      <c r="AB64" s="9"/>
      <c r="AC64" s="9" t="s">
        <v>650</v>
      </c>
      <c r="AD64" s="9"/>
      <c r="AE64" s="9"/>
      <c r="AF64" s="9"/>
      <c r="AG64" s="2"/>
      <c r="AH64" s="13"/>
      <c r="AI64" s="21"/>
    </row>
    <row r="66" spans="14:29">
      <c r="N66" s="86" t="s">
        <v>650</v>
      </c>
      <c r="O66" s="86" t="s">
        <v>650</v>
      </c>
      <c r="P66" s="86"/>
      <c r="Q66" s="86"/>
      <c r="R66" s="9"/>
      <c r="S66" s="9"/>
      <c r="T66" s="9"/>
      <c r="U66" s="86" t="s">
        <v>650</v>
      </c>
      <c r="V66" s="86"/>
      <c r="W66" s="86"/>
      <c r="X66" s="2"/>
      <c r="Y66" s="86"/>
      <c r="Z66" s="9"/>
      <c r="AA66" s="9"/>
      <c r="AB66" s="9"/>
      <c r="AC66" s="86" t="s">
        <v>650</v>
      </c>
    </row>
  </sheetData>
  <mergeCells count="1">
    <mergeCell ref="E1:F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2340-1C30-49F4-AA65-ABC00D3FA47A}">
  <dimension ref="B1:L21"/>
  <sheetViews>
    <sheetView zoomScale="110" zoomScaleNormal="110" workbookViewId="0">
      <selection activeCell="B6" sqref="B6:H6"/>
    </sheetView>
  </sheetViews>
  <sheetFormatPr defaultColWidth="9.140625" defaultRowHeight="12.95"/>
  <cols>
    <col min="1" max="1" width="9.140625" style="111"/>
    <col min="2" max="2" width="9.42578125" style="111" bestFit="1" customWidth="1"/>
    <col min="3" max="4" width="9.140625" style="111"/>
    <col min="5" max="5" width="14" style="111" bestFit="1" customWidth="1"/>
    <col min="6" max="6" width="13.42578125" style="111" bestFit="1" customWidth="1"/>
    <col min="7" max="7" width="14.7109375" style="128" bestFit="1" customWidth="1"/>
    <col min="8" max="8" width="9.85546875" style="111" bestFit="1" customWidth="1"/>
    <col min="9" max="9" width="11.85546875" style="111" bestFit="1" customWidth="1"/>
    <col min="10" max="10" width="8.5703125" style="128" bestFit="1" customWidth="1"/>
    <col min="11" max="11" width="7.28515625" style="111" bestFit="1" customWidth="1"/>
    <col min="12" max="12" width="8.42578125" style="111" bestFit="1" customWidth="1"/>
    <col min="13" max="16384" width="9.140625" style="111"/>
  </cols>
  <sheetData>
    <row r="1" spans="2:12">
      <c r="B1" s="109" t="s">
        <v>1268</v>
      </c>
      <c r="C1" s="109" t="s">
        <v>1269</v>
      </c>
      <c r="D1" s="109" t="s">
        <v>1270</v>
      </c>
      <c r="E1" s="109" t="s">
        <v>1271</v>
      </c>
      <c r="F1" s="109" t="s">
        <v>1272</v>
      </c>
      <c r="G1" s="110" t="s">
        <v>1273</v>
      </c>
      <c r="H1" s="109" t="s">
        <v>1274</v>
      </c>
      <c r="I1" s="109" t="s">
        <v>1275</v>
      </c>
      <c r="J1" s="110" t="s">
        <v>1276</v>
      </c>
      <c r="K1" s="109" t="s">
        <v>1277</v>
      </c>
      <c r="L1" s="109" t="s">
        <v>1278</v>
      </c>
    </row>
    <row r="2" spans="2:12">
      <c r="B2" s="112"/>
      <c r="C2" s="113"/>
      <c r="D2" s="113"/>
      <c r="E2" s="113"/>
      <c r="F2" s="113"/>
      <c r="G2" s="114"/>
      <c r="H2" s="113"/>
      <c r="I2" s="112"/>
      <c r="J2" s="113"/>
      <c r="K2" s="115"/>
      <c r="L2" s="113"/>
    </row>
    <row r="3" spans="2:12">
      <c r="B3" s="116">
        <v>45000</v>
      </c>
      <c r="C3" s="117" t="s">
        <v>1279</v>
      </c>
      <c r="D3" s="117">
        <v>59</v>
      </c>
      <c r="E3" s="117" t="s">
        <v>1280</v>
      </c>
      <c r="F3" s="117"/>
      <c r="G3" s="118">
        <v>486</v>
      </c>
      <c r="H3" s="117">
        <v>66747539</v>
      </c>
      <c r="I3" s="112"/>
      <c r="J3" s="113"/>
      <c r="K3" s="115"/>
      <c r="L3" s="119"/>
    </row>
    <row r="4" spans="2:12">
      <c r="B4" s="112"/>
      <c r="C4" s="113"/>
      <c r="D4" s="113"/>
      <c r="E4" s="113"/>
      <c r="F4" s="113"/>
      <c r="G4" s="114"/>
      <c r="H4" s="113"/>
      <c r="I4" s="112"/>
      <c r="J4" s="113"/>
      <c r="K4" s="115"/>
      <c r="L4" s="113"/>
    </row>
    <row r="5" spans="2:12">
      <c r="B5" s="112"/>
      <c r="C5" s="113"/>
      <c r="D5" s="113"/>
      <c r="E5" s="113"/>
      <c r="F5" s="113"/>
      <c r="G5" s="114"/>
      <c r="H5" s="113"/>
      <c r="I5" s="120"/>
      <c r="J5" s="121"/>
      <c r="K5" s="123"/>
      <c r="L5" s="113"/>
    </row>
    <row r="6" spans="2:12">
      <c r="B6" s="112"/>
      <c r="C6" s="113"/>
      <c r="D6" s="113"/>
      <c r="E6" s="113"/>
      <c r="F6" s="113"/>
      <c r="G6" s="114"/>
      <c r="H6" s="113"/>
      <c r="I6" s="120"/>
      <c r="J6" s="121"/>
      <c r="K6" s="124"/>
      <c r="L6" s="113"/>
    </row>
    <row r="7" spans="2:12">
      <c r="B7" s="120">
        <v>45005</v>
      </c>
      <c r="C7" s="121" t="s">
        <v>1281</v>
      </c>
      <c r="D7" s="121">
        <v>254</v>
      </c>
      <c r="E7" s="121"/>
      <c r="F7" s="121"/>
      <c r="G7" s="122">
        <v>470.33</v>
      </c>
      <c r="H7" s="121">
        <v>66819106</v>
      </c>
      <c r="I7" s="120"/>
      <c r="J7" s="121"/>
      <c r="K7" s="124"/>
      <c r="L7" s="113"/>
    </row>
    <row r="8" spans="2:12">
      <c r="B8" s="112">
        <v>45005</v>
      </c>
      <c r="C8" s="113" t="s">
        <v>1281</v>
      </c>
      <c r="D8" s="113">
        <v>269</v>
      </c>
      <c r="E8" s="113"/>
      <c r="F8" s="113"/>
      <c r="G8" s="114">
        <v>831.55</v>
      </c>
      <c r="H8" s="113">
        <v>66820268</v>
      </c>
      <c r="I8" s="112"/>
      <c r="J8" s="114"/>
      <c r="K8" s="115"/>
      <c r="L8" s="113"/>
    </row>
    <row r="9" spans="2:12">
      <c r="B9" s="125">
        <v>45008</v>
      </c>
      <c r="C9" s="126" t="s">
        <v>1279</v>
      </c>
      <c r="D9" s="126">
        <v>30</v>
      </c>
      <c r="E9" s="126" t="s">
        <v>1282</v>
      </c>
      <c r="F9" s="126"/>
      <c r="G9" s="127">
        <v>651</v>
      </c>
      <c r="H9" s="126">
        <v>66890761</v>
      </c>
      <c r="I9" s="120"/>
      <c r="J9" s="121"/>
      <c r="K9" s="124"/>
      <c r="L9" s="113"/>
    </row>
    <row r="10" spans="2:12">
      <c r="B10" s="116">
        <v>45008</v>
      </c>
      <c r="C10" s="117" t="s">
        <v>1279</v>
      </c>
      <c r="D10" s="117">
        <v>31</v>
      </c>
      <c r="E10" s="117" t="s">
        <v>1282</v>
      </c>
      <c r="F10" s="117"/>
      <c r="G10" s="118">
        <v>715</v>
      </c>
      <c r="H10" s="117">
        <v>66891567</v>
      </c>
      <c r="I10" s="112"/>
      <c r="J10" s="113"/>
      <c r="K10" s="115"/>
      <c r="L10" s="119"/>
    </row>
    <row r="11" spans="2:12">
      <c r="B11" s="112">
        <v>45008</v>
      </c>
      <c r="C11" s="113" t="s">
        <v>1281</v>
      </c>
      <c r="D11" s="113">
        <v>269</v>
      </c>
      <c r="E11" s="113"/>
      <c r="F11" s="113"/>
      <c r="G11" s="114">
        <v>4716.34</v>
      </c>
      <c r="H11" s="113">
        <v>66906737</v>
      </c>
      <c r="I11" s="112"/>
      <c r="J11" s="113"/>
      <c r="K11" s="115"/>
      <c r="L11" s="113"/>
    </row>
    <row r="12" spans="2:12">
      <c r="B12" s="120">
        <v>45008</v>
      </c>
      <c r="C12" s="121" t="s">
        <v>1281</v>
      </c>
      <c r="D12" s="121">
        <v>254</v>
      </c>
      <c r="E12" s="121"/>
      <c r="F12" s="121"/>
      <c r="G12" s="122">
        <v>2245.44</v>
      </c>
      <c r="H12" s="121">
        <v>66925993</v>
      </c>
      <c r="I12" s="120"/>
      <c r="J12" s="121"/>
      <c r="K12" s="123"/>
      <c r="L12" s="113"/>
    </row>
    <row r="13" spans="2:12">
      <c r="B13" s="112" t="s">
        <v>1283</v>
      </c>
      <c r="C13" s="113" t="s">
        <v>1281</v>
      </c>
      <c r="D13" s="113">
        <v>254</v>
      </c>
      <c r="E13" s="113"/>
      <c r="F13" s="113"/>
      <c r="G13" s="114">
        <v>512.55999999999995</v>
      </c>
      <c r="H13" s="113">
        <v>66926634</v>
      </c>
      <c r="I13" s="112"/>
      <c r="J13" s="113"/>
      <c r="K13" s="115"/>
      <c r="L13" s="119"/>
    </row>
    <row r="14" spans="2:12">
      <c r="B14" s="125">
        <v>45005</v>
      </c>
      <c r="C14" s="126" t="s">
        <v>1284</v>
      </c>
      <c r="D14" s="126">
        <v>250</v>
      </c>
      <c r="E14" s="126" t="s">
        <v>1280</v>
      </c>
      <c r="F14" s="126"/>
      <c r="G14" s="127">
        <v>541.5</v>
      </c>
      <c r="H14" s="126">
        <v>66828456</v>
      </c>
      <c r="I14" s="120"/>
      <c r="J14" s="121"/>
      <c r="K14" s="124"/>
      <c r="L14" s="113"/>
    </row>
    <row r="15" spans="2:12">
      <c r="B15" s="154">
        <v>44992</v>
      </c>
      <c r="C15" s="155" t="s">
        <v>1285</v>
      </c>
      <c r="D15" s="155">
        <v>73</v>
      </c>
      <c r="E15" s="155"/>
      <c r="F15" s="155"/>
      <c r="G15" s="156">
        <v>31.6</v>
      </c>
      <c r="H15" s="155">
        <v>66544489</v>
      </c>
      <c r="I15" s="120"/>
      <c r="J15" s="121"/>
      <c r="K15" s="124"/>
      <c r="L15" s="121"/>
    </row>
    <row r="16" spans="2:12">
      <c r="B16" s="154">
        <v>44994</v>
      </c>
      <c r="C16" s="155" t="s">
        <v>1284</v>
      </c>
      <c r="D16" s="155">
        <v>269</v>
      </c>
      <c r="E16" s="155"/>
      <c r="F16" s="155"/>
      <c r="G16" s="156">
        <v>980.03</v>
      </c>
      <c r="H16" s="155">
        <v>66615988</v>
      </c>
      <c r="I16" s="120"/>
      <c r="J16" s="121"/>
      <c r="K16" s="124"/>
      <c r="L16" s="121"/>
    </row>
    <row r="17" spans="2:12">
      <c r="B17" s="142">
        <v>45013</v>
      </c>
      <c r="C17" s="121" t="s">
        <v>1286</v>
      </c>
      <c r="D17" s="121">
        <v>208</v>
      </c>
      <c r="E17" s="121"/>
      <c r="F17" s="121"/>
      <c r="G17" s="122">
        <v>4885.26</v>
      </c>
      <c r="H17" s="121">
        <v>66977745</v>
      </c>
      <c r="I17" s="120"/>
      <c r="J17" s="121"/>
      <c r="K17" s="124"/>
      <c r="L17" s="121"/>
    </row>
    <row r="18" spans="2:12">
      <c r="B18" s="142">
        <v>45013</v>
      </c>
      <c r="C18" s="121" t="s">
        <v>1285</v>
      </c>
      <c r="D18" s="121">
        <v>30</v>
      </c>
      <c r="E18" s="121"/>
      <c r="F18" s="121"/>
      <c r="G18" s="122">
        <v>201.08</v>
      </c>
      <c r="H18" s="121">
        <v>66974760</v>
      </c>
      <c r="I18" s="120"/>
      <c r="J18" s="121"/>
      <c r="K18" s="124"/>
      <c r="L18" s="121"/>
    </row>
    <row r="19" spans="2:12">
      <c r="B19" s="142">
        <v>45013</v>
      </c>
      <c r="C19" s="121" t="s">
        <v>1285</v>
      </c>
      <c r="D19" s="121">
        <v>31</v>
      </c>
      <c r="E19" s="121"/>
      <c r="F19" s="121"/>
      <c r="G19" s="122">
        <v>175.27</v>
      </c>
      <c r="H19" s="121">
        <v>66975528</v>
      </c>
      <c r="I19" s="120"/>
      <c r="J19" s="121"/>
      <c r="K19" s="124"/>
      <c r="L19" s="121"/>
    </row>
    <row r="20" spans="2:12">
      <c r="B20" s="142">
        <v>45034</v>
      </c>
      <c r="C20" s="121" t="s">
        <v>1285</v>
      </c>
      <c r="D20" s="121">
        <v>32</v>
      </c>
      <c r="E20" s="121"/>
      <c r="F20" s="121"/>
      <c r="G20" s="122">
        <v>21.6</v>
      </c>
      <c r="H20" s="121">
        <v>67367324</v>
      </c>
      <c r="I20" s="120"/>
      <c r="J20" s="121"/>
      <c r="K20" s="124"/>
      <c r="L20" s="121"/>
    </row>
    <row r="21" spans="2:12">
      <c r="B21" s="142">
        <v>45034</v>
      </c>
      <c r="C21" s="121" t="s">
        <v>1284</v>
      </c>
      <c r="D21" s="121">
        <v>266</v>
      </c>
      <c r="E21" s="121"/>
      <c r="F21" s="121"/>
      <c r="G21" s="122">
        <v>480.14</v>
      </c>
      <c r="H21" s="121">
        <v>67380262</v>
      </c>
      <c r="I21" s="121"/>
      <c r="J21" s="121"/>
      <c r="K21" s="124"/>
      <c r="L21" s="121"/>
    </row>
  </sheetData>
  <conditionalFormatting sqref="F2:F4">
    <cfRule type="containsText" dxfId="38" priority="9" operator="containsText" text="Y">
      <formula>NOT(ISERROR(SEARCH("Y",F2)))</formula>
    </cfRule>
  </conditionalFormatting>
  <conditionalFormatting sqref="F7">
    <cfRule type="containsText" dxfId="37" priority="1" operator="containsText" text="Y">
      <formula>NOT(ISERROR(SEARCH("Y",F7)))</formula>
    </cfRule>
  </conditionalFormatting>
  <conditionalFormatting sqref="F9:F20">
    <cfRule type="containsText" dxfId="36" priority="15" operator="containsText" text="Y">
      <formula>NOT(ISERROR(SEARCH("Y",F9)))</formula>
    </cfRule>
  </conditionalFormatting>
  <conditionalFormatting sqref="J2">
    <cfRule type="colorScale" priority="2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3">
    <cfRule type="colorScale" priority="1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4">
    <cfRule type="colorScale" priority="1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5">
    <cfRule type="colorScale" priority="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6">
    <cfRule type="colorScale" priority="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">
    <cfRule type="colorScale" priority="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9">
    <cfRule type="colorScale" priority="3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0">
    <cfRule type="colorScale" priority="3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1">
    <cfRule type="colorScale" priority="2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2">
    <cfRule type="colorScale" priority="21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3">
    <cfRule type="colorScale" priority="19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4">
    <cfRule type="colorScale" priority="1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5">
    <cfRule type="colorScale" priority="3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6">
    <cfRule type="colorScale" priority="3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7">
    <cfRule type="colorScale" priority="3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8">
    <cfRule type="colorScale" priority="4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9">
    <cfRule type="colorScale" priority="4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20">
    <cfRule type="colorScale" priority="4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4830-F2D0-4A06-8490-8C933A6261A0}">
  <dimension ref="A1:L21"/>
  <sheetViews>
    <sheetView zoomScale="90" zoomScaleNormal="90" workbookViewId="0">
      <selection activeCell="B2" sqref="B2"/>
    </sheetView>
  </sheetViews>
  <sheetFormatPr defaultColWidth="9.140625" defaultRowHeight="14.45"/>
  <cols>
    <col min="1" max="1" width="8.7109375" style="135" bestFit="1" customWidth="1"/>
    <col min="2" max="2" width="16.140625" style="135" customWidth="1"/>
    <col min="3" max="3" width="14.5703125" style="135" customWidth="1"/>
    <col min="4" max="4" width="6.5703125" style="135" customWidth="1"/>
    <col min="5" max="5" width="20.85546875" style="135" bestFit="1" customWidth="1"/>
    <col min="6" max="6" width="20.85546875" style="135" customWidth="1"/>
    <col min="7" max="7" width="15.85546875" style="139" customWidth="1"/>
    <col min="8" max="8" width="14.5703125" style="135" customWidth="1"/>
    <col min="9" max="9" width="13.42578125" style="135" customWidth="1"/>
    <col min="10" max="10" width="9.28515625" style="139" customWidth="1"/>
    <col min="11" max="12" width="14.5703125" style="135" customWidth="1"/>
    <col min="13" max="16384" width="9.140625" style="135"/>
  </cols>
  <sheetData>
    <row r="1" spans="1:12" s="132" customFormat="1">
      <c r="A1" s="129" t="s">
        <v>650</v>
      </c>
      <c r="B1" s="130" t="s">
        <v>1268</v>
      </c>
      <c r="C1" s="130" t="s">
        <v>1269</v>
      </c>
      <c r="D1" s="130" t="s">
        <v>1270</v>
      </c>
      <c r="E1" s="130" t="s">
        <v>1271</v>
      </c>
      <c r="F1" s="130" t="s">
        <v>1272</v>
      </c>
      <c r="G1" s="131" t="s">
        <v>1273</v>
      </c>
      <c r="H1" s="130" t="s">
        <v>1274</v>
      </c>
      <c r="I1" s="130" t="s">
        <v>1275</v>
      </c>
      <c r="J1" s="131" t="s">
        <v>1276</v>
      </c>
      <c r="K1" s="130" t="s">
        <v>1277</v>
      </c>
      <c r="L1" s="130" t="s">
        <v>1278</v>
      </c>
    </row>
    <row r="2" spans="1:12">
      <c r="A2" s="76"/>
      <c r="B2" s="133"/>
      <c r="C2" s="18"/>
      <c r="D2" s="18"/>
      <c r="E2" s="18"/>
      <c r="F2" s="18"/>
      <c r="G2" s="134"/>
      <c r="H2" s="18"/>
      <c r="I2" s="18"/>
      <c r="J2" s="18"/>
      <c r="K2" s="18"/>
      <c r="L2" s="18"/>
    </row>
    <row r="3" spans="1:12">
      <c r="A3" s="76"/>
      <c r="B3" s="144">
        <v>45001</v>
      </c>
      <c r="C3" s="145" t="s">
        <v>1284</v>
      </c>
      <c r="D3" s="145">
        <v>254</v>
      </c>
      <c r="E3" s="145"/>
      <c r="F3" s="145"/>
      <c r="G3" s="146">
        <v>32.159999999999997</v>
      </c>
      <c r="H3" s="145">
        <v>66756055</v>
      </c>
      <c r="I3" s="133"/>
      <c r="J3" s="18"/>
      <c r="K3" s="143">
        <v>1122826</v>
      </c>
      <c r="L3" s="136"/>
    </row>
    <row r="4" spans="1:12">
      <c r="A4" s="76"/>
      <c r="B4" s="144">
        <v>45005</v>
      </c>
      <c r="C4" s="145" t="s">
        <v>1284</v>
      </c>
      <c r="D4" s="145">
        <v>250</v>
      </c>
      <c r="E4" s="145"/>
      <c r="F4" s="145"/>
      <c r="G4" s="146">
        <v>798.92</v>
      </c>
      <c r="H4" s="145">
        <v>66828439</v>
      </c>
      <c r="I4" s="133"/>
      <c r="J4" s="18"/>
      <c r="K4" s="18">
        <v>1126665</v>
      </c>
      <c r="L4" s="18"/>
    </row>
    <row r="5" spans="1:12">
      <c r="A5" s="76"/>
      <c r="B5" s="147">
        <v>44988</v>
      </c>
      <c r="C5" s="148" t="s">
        <v>1287</v>
      </c>
      <c r="D5" s="148">
        <v>72</v>
      </c>
      <c r="E5" s="148"/>
      <c r="F5" s="148"/>
      <c r="G5" s="149">
        <v>5728.16</v>
      </c>
      <c r="H5" s="148">
        <v>66410968</v>
      </c>
      <c r="I5" s="133"/>
      <c r="J5" s="18"/>
      <c r="K5" s="18">
        <v>1108383</v>
      </c>
      <c r="L5" s="18"/>
    </row>
    <row r="6" spans="1:12">
      <c r="A6" s="76"/>
      <c r="B6" s="147">
        <v>44995</v>
      </c>
      <c r="C6" s="148" t="s">
        <v>1285</v>
      </c>
      <c r="D6" s="148">
        <v>73</v>
      </c>
      <c r="E6" s="148"/>
      <c r="F6" s="148"/>
      <c r="G6" s="149">
        <v>6304.98</v>
      </c>
      <c r="H6" s="148">
        <v>66624743</v>
      </c>
      <c r="I6" s="133"/>
      <c r="J6" s="18"/>
      <c r="K6" s="18">
        <v>1115701</v>
      </c>
      <c r="L6" s="18"/>
    </row>
    <row r="7" spans="1:12">
      <c r="A7" s="76"/>
      <c r="B7" s="144">
        <v>44994</v>
      </c>
      <c r="C7" s="145" t="s">
        <v>1284</v>
      </c>
      <c r="D7" s="145">
        <v>253</v>
      </c>
      <c r="E7" s="145"/>
      <c r="F7" s="145"/>
      <c r="G7" s="146">
        <v>548.52</v>
      </c>
      <c r="H7" s="145">
        <v>66613421</v>
      </c>
      <c r="I7" s="133"/>
      <c r="J7" s="18"/>
      <c r="K7" s="18">
        <v>1115331</v>
      </c>
      <c r="L7" s="18"/>
    </row>
    <row r="8" spans="1:12">
      <c r="A8" s="76"/>
      <c r="B8" s="147">
        <v>44994</v>
      </c>
      <c r="C8" s="148" t="s">
        <v>1284</v>
      </c>
      <c r="D8" s="148">
        <v>269</v>
      </c>
      <c r="E8" s="148"/>
      <c r="F8" s="148"/>
      <c r="G8" s="149">
        <v>308.60000000000002</v>
      </c>
      <c r="H8" s="148">
        <v>66615834</v>
      </c>
      <c r="I8" s="133"/>
      <c r="J8" s="18"/>
      <c r="K8" s="18">
        <v>1116146</v>
      </c>
      <c r="L8" s="18"/>
    </row>
    <row r="9" spans="1:12">
      <c r="A9" s="76"/>
      <c r="B9" s="147">
        <v>44995</v>
      </c>
      <c r="C9" s="148" t="s">
        <v>1284</v>
      </c>
      <c r="D9" s="148">
        <v>254</v>
      </c>
      <c r="E9" s="148"/>
      <c r="F9" s="148"/>
      <c r="G9" s="149">
        <v>1776.52</v>
      </c>
      <c r="H9" s="148">
        <v>66609813</v>
      </c>
      <c r="I9" s="133"/>
      <c r="J9" s="18"/>
      <c r="K9" s="18">
        <v>1115378</v>
      </c>
      <c r="L9" s="18"/>
    </row>
    <row r="10" spans="1:12">
      <c r="A10" s="76"/>
      <c r="B10" s="147">
        <v>45000</v>
      </c>
      <c r="C10" s="148" t="s">
        <v>1279</v>
      </c>
      <c r="D10" s="148">
        <v>59</v>
      </c>
      <c r="E10" s="148"/>
      <c r="F10" s="148"/>
      <c r="G10" s="149">
        <v>641.44000000000005</v>
      </c>
      <c r="H10" s="148">
        <v>66677980</v>
      </c>
      <c r="I10" s="133"/>
      <c r="J10" s="18"/>
      <c r="K10" s="18">
        <v>1122047</v>
      </c>
      <c r="L10" s="136"/>
    </row>
    <row r="11" spans="1:12">
      <c r="A11" s="76"/>
      <c r="B11" s="147">
        <v>45001</v>
      </c>
      <c r="C11" s="148" t="s">
        <v>1279</v>
      </c>
      <c r="D11" s="148">
        <v>59</v>
      </c>
      <c r="E11" s="148"/>
      <c r="F11" s="148"/>
      <c r="G11" s="149">
        <v>566.84</v>
      </c>
      <c r="H11" s="148">
        <v>66772877</v>
      </c>
      <c r="I11" s="133"/>
      <c r="J11" s="18"/>
      <c r="K11" s="143">
        <v>1126306</v>
      </c>
      <c r="L11" s="136"/>
    </row>
    <row r="12" spans="1:12">
      <c r="A12" s="76"/>
      <c r="B12" s="144">
        <v>45001</v>
      </c>
      <c r="C12" s="145" t="s">
        <v>1279</v>
      </c>
      <c r="D12" s="145">
        <v>59</v>
      </c>
      <c r="E12" s="145"/>
      <c r="F12" s="145"/>
      <c r="G12" s="146">
        <v>162.74</v>
      </c>
      <c r="H12" s="145">
        <v>66778649</v>
      </c>
      <c r="I12" s="133"/>
      <c r="J12" s="18"/>
      <c r="K12" s="18">
        <v>1126315</v>
      </c>
      <c r="L12" s="18"/>
    </row>
    <row r="13" spans="1:12">
      <c r="A13" s="76"/>
      <c r="B13" s="150">
        <v>44985</v>
      </c>
      <c r="C13" s="148" t="s">
        <v>1284</v>
      </c>
      <c r="D13" s="148">
        <v>254</v>
      </c>
      <c r="E13" s="148"/>
      <c r="F13" s="148"/>
      <c r="G13" s="149">
        <v>1628.63</v>
      </c>
      <c r="H13" s="148">
        <v>66273815</v>
      </c>
      <c r="I13" s="138"/>
      <c r="J13" s="18"/>
      <c r="K13" s="136">
        <v>1134491</v>
      </c>
      <c r="L13" s="136"/>
    </row>
    <row r="14" spans="1:12">
      <c r="A14" s="76"/>
      <c r="B14" s="133">
        <v>45006</v>
      </c>
      <c r="C14" s="18" t="s">
        <v>1285</v>
      </c>
      <c r="D14" s="18">
        <v>59</v>
      </c>
      <c r="E14" s="18"/>
      <c r="F14" s="18"/>
      <c r="G14" s="134">
        <v>815.94</v>
      </c>
      <c r="H14" s="18">
        <v>66778748</v>
      </c>
      <c r="I14" s="18"/>
      <c r="J14" s="18"/>
      <c r="K14" s="18">
        <v>1126320</v>
      </c>
      <c r="L14" s="18"/>
    </row>
    <row r="15" spans="1:12">
      <c r="A15" s="76"/>
      <c r="B15" s="133">
        <v>45006</v>
      </c>
      <c r="C15" s="18" t="s">
        <v>1287</v>
      </c>
      <c r="D15" s="18">
        <v>59</v>
      </c>
      <c r="E15" s="18"/>
      <c r="F15" s="18"/>
      <c r="G15" s="134">
        <v>567</v>
      </c>
      <c r="H15" s="18">
        <v>66772877</v>
      </c>
      <c r="I15" s="18"/>
      <c r="J15" s="18"/>
      <c r="K15" s="18">
        <v>1126306</v>
      </c>
      <c r="L15" s="18"/>
    </row>
    <row r="16" spans="1:12">
      <c r="A16" s="76"/>
      <c r="B16" s="151">
        <v>44998</v>
      </c>
      <c r="C16" s="152" t="s">
        <v>1285</v>
      </c>
      <c r="D16" s="152">
        <v>74</v>
      </c>
      <c r="E16" s="152"/>
      <c r="F16" s="152"/>
      <c r="G16" s="153">
        <v>54.29</v>
      </c>
      <c r="H16" s="152">
        <v>66672158</v>
      </c>
      <c r="I16" s="138"/>
      <c r="J16" s="18"/>
      <c r="K16" s="18">
        <v>1122003</v>
      </c>
      <c r="L16" s="18"/>
    </row>
    <row r="17" spans="2:11">
      <c r="B17" s="159">
        <v>45019</v>
      </c>
      <c r="C17" s="113" t="s">
        <v>1288</v>
      </c>
      <c r="D17" s="113">
        <v>15</v>
      </c>
      <c r="E17" s="113"/>
      <c r="F17" s="113"/>
      <c r="G17" s="114">
        <v>478.58</v>
      </c>
      <c r="H17" s="113">
        <v>67055057</v>
      </c>
      <c r="I17" s="133"/>
      <c r="J17" s="18"/>
      <c r="K17" s="18">
        <v>1138274</v>
      </c>
    </row>
    <row r="18" spans="2:11">
      <c r="B18" s="112">
        <v>45000</v>
      </c>
      <c r="C18" s="113" t="s">
        <v>1279</v>
      </c>
      <c r="D18" s="113">
        <v>59</v>
      </c>
      <c r="E18" s="113"/>
      <c r="F18" s="113"/>
      <c r="G18" s="114">
        <v>1032.97</v>
      </c>
      <c r="H18" s="113">
        <v>66746077</v>
      </c>
      <c r="I18" s="133"/>
      <c r="J18" s="18"/>
      <c r="K18" s="18">
        <v>1149688</v>
      </c>
    </row>
    <row r="19" spans="2:11">
      <c r="B19" s="112">
        <v>45000</v>
      </c>
      <c r="C19" s="113" t="s">
        <v>1279</v>
      </c>
      <c r="D19" s="113">
        <v>31</v>
      </c>
      <c r="E19" s="113"/>
      <c r="F19" s="113"/>
      <c r="G19" s="114">
        <v>92.46</v>
      </c>
      <c r="H19" s="113">
        <v>66748795</v>
      </c>
      <c r="I19" s="137"/>
      <c r="J19" s="18"/>
      <c r="K19" s="136">
        <v>1145155</v>
      </c>
    </row>
    <row r="20" spans="2:11">
      <c r="B20" s="112">
        <v>45020</v>
      </c>
      <c r="C20" s="113" t="s">
        <v>1289</v>
      </c>
      <c r="D20" s="113">
        <v>988</v>
      </c>
      <c r="E20" s="113"/>
      <c r="F20" s="113"/>
      <c r="G20" s="114">
        <v>137.71</v>
      </c>
      <c r="H20" s="113">
        <v>67109617</v>
      </c>
      <c r="I20" s="133"/>
      <c r="J20" s="18"/>
      <c r="K20" s="18">
        <v>1141025</v>
      </c>
    </row>
    <row r="21" spans="2:11">
      <c r="B21" s="112">
        <v>45020</v>
      </c>
      <c r="C21" s="113" t="s">
        <v>1289</v>
      </c>
      <c r="D21" s="113">
        <v>987</v>
      </c>
      <c r="E21" s="113"/>
      <c r="F21" s="113"/>
      <c r="G21" s="114">
        <v>240.56</v>
      </c>
      <c r="H21" s="113">
        <v>67109411</v>
      </c>
      <c r="I21" s="133"/>
      <c r="J21" s="18"/>
      <c r="K21" s="307">
        <v>1141020</v>
      </c>
    </row>
  </sheetData>
  <conditionalFormatting sqref="F3:F8">
    <cfRule type="containsText" dxfId="21" priority="7" operator="containsText" text="Y">
      <formula>NOT(ISERROR(SEARCH("Y",F3)))</formula>
    </cfRule>
  </conditionalFormatting>
  <conditionalFormatting sqref="F10:F11">
    <cfRule type="containsText" dxfId="20" priority="5" operator="containsText" text="Y">
      <formula>NOT(ISERROR(SEARCH("Y",F10)))</formula>
    </cfRule>
  </conditionalFormatting>
  <conditionalFormatting sqref="F13">
    <cfRule type="containsText" dxfId="19" priority="4" operator="containsText" text="Y">
      <formula>NOT(ISERROR(SEARCH("Y",F13)))</formula>
    </cfRule>
  </conditionalFormatting>
  <conditionalFormatting sqref="F17:F19">
    <cfRule type="containsText" dxfId="18" priority="1" operator="containsText" text="Y">
      <formula>NOT(ISERROR(SEARCH("Y",F17)))</formula>
    </cfRule>
  </conditionalFormatting>
  <conditionalFormatting sqref="F46:F48">
    <cfRule type="containsText" dxfId="17" priority="61" operator="containsText" text="Y">
      <formula>NOT(ISERROR(SEARCH("Y",F46)))</formula>
    </cfRule>
  </conditionalFormatting>
  <conditionalFormatting sqref="F50:F54 F56">
    <cfRule type="containsText" dxfId="16" priority="55" operator="containsText" text="Y">
      <formula>NOT(ISERROR(SEARCH("Y",F50)))</formula>
    </cfRule>
  </conditionalFormatting>
  <conditionalFormatting sqref="F58:F75">
    <cfRule type="containsText" dxfId="15" priority="31" operator="containsText" text="Y">
      <formula>NOT(ISERROR(SEARCH("Y",F58)))</formula>
    </cfRule>
  </conditionalFormatting>
  <conditionalFormatting sqref="F77:F85">
    <cfRule type="containsText" dxfId="14" priority="13" operator="containsText" text="Y">
      <formula>NOT(ISERROR(SEARCH("Y",F77)))</formula>
    </cfRule>
  </conditionalFormatting>
  <conditionalFormatting sqref="J2">
    <cfRule type="colorScale" priority="83">
      <colorScale>
        <cfvo type="num" val="0"/>
        <cfvo type="num" val="5"/>
        <cfvo type="num" val="8"/>
        <color theme="0"/>
        <color rgb="FFFFEB84"/>
        <color rgb="FFFF0000"/>
      </colorScale>
    </cfRule>
  </conditionalFormatting>
  <conditionalFormatting sqref="J3">
    <cfRule type="colorScale" priority="8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4:J9">
    <cfRule type="colorScale" priority="81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0">
    <cfRule type="colorScale" priority="8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1">
    <cfRule type="colorScale" priority="79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2">
    <cfRule type="colorScale" priority="7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3">
    <cfRule type="colorScale" priority="77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4:J15">
    <cfRule type="colorScale" priority="7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16:J20">
    <cfRule type="colorScale" priority="75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21">
    <cfRule type="colorScale" priority="7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22">
    <cfRule type="colorScale" priority="73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23">
    <cfRule type="colorScale" priority="7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24:J25">
    <cfRule type="colorScale" priority="71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26:J28">
    <cfRule type="colorScale" priority="7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29:J32">
    <cfRule type="colorScale" priority="69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33">
    <cfRule type="colorScale" priority="6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34">
    <cfRule type="colorScale" priority="67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35:J42">
    <cfRule type="colorScale" priority="6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43:J45">
    <cfRule type="colorScale" priority="65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46">
    <cfRule type="colorScale" priority="6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47:J48">
    <cfRule type="colorScale" priority="6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50">
    <cfRule type="colorScale" priority="6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51:J53">
    <cfRule type="colorScale" priority="5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56 J54">
    <cfRule type="colorScale" priority="5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58">
    <cfRule type="colorScale" priority="5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59">
    <cfRule type="colorScale" priority="5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60">
    <cfRule type="colorScale" priority="5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61">
    <cfRule type="colorScale" priority="4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62">
    <cfRule type="colorScale" priority="4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63:J65">
    <cfRule type="colorScale" priority="4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66">
    <cfRule type="colorScale" priority="4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67:J70">
    <cfRule type="colorScale" priority="4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1">
    <cfRule type="colorScale" priority="3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2:J73">
    <cfRule type="colorScale" priority="3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4">
    <cfRule type="colorScale" priority="3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5">
    <cfRule type="colorScale" priority="3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7">
    <cfRule type="colorScale" priority="3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8">
    <cfRule type="colorScale" priority="2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79">
    <cfRule type="colorScale" priority="2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80">
    <cfRule type="colorScale" priority="2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81">
    <cfRule type="colorScale" priority="22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82">
    <cfRule type="colorScale" priority="20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83">
    <cfRule type="colorScale" priority="18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84">
    <cfRule type="colorScale" priority="16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conditionalFormatting sqref="J85">
    <cfRule type="colorScale" priority="14">
      <colorScale>
        <cfvo type="num" val="0"/>
        <cfvo type="num" val="7"/>
        <cfvo type="num" val="16"/>
        <color theme="0"/>
        <color rgb="FFFFEB84"/>
        <color rgb="FFFF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2"/>
  <sheetViews>
    <sheetView workbookViewId="0">
      <selection activeCell="B2" sqref="B2"/>
    </sheetView>
  </sheetViews>
  <sheetFormatPr defaultColWidth="8.85546875" defaultRowHeight="14.45"/>
  <cols>
    <col min="1" max="1" width="44" bestFit="1" customWidth="1"/>
    <col min="2" max="2" width="9.5703125" style="5" bestFit="1" customWidth="1"/>
    <col min="3" max="3" width="13.85546875" style="5" bestFit="1" customWidth="1"/>
    <col min="4" max="16384" width="8.85546875" style="5"/>
  </cols>
  <sheetData>
    <row r="1" spans="1:3" ht="17.45" customHeight="1" thickBot="1">
      <c r="A1" s="46" t="s">
        <v>1290</v>
      </c>
      <c r="B1" s="47" t="s">
        <v>1291</v>
      </c>
      <c r="C1" s="48" t="s">
        <v>1292</v>
      </c>
    </row>
    <row r="2" spans="1:3">
      <c r="A2" s="2" t="s">
        <v>1293</v>
      </c>
      <c r="B2" s="7"/>
      <c r="C2" s="18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E40"/>
  <sheetViews>
    <sheetView topLeftCell="I1" zoomScale="85" zoomScaleNormal="85" workbookViewId="0">
      <pane ySplit="2" topLeftCell="A3" activePane="bottomLeft" state="frozen"/>
      <selection pane="bottomLeft" sqref="A1:S22"/>
      <selection sqref="A1:S22"/>
    </sheetView>
  </sheetViews>
  <sheetFormatPr defaultColWidth="8.85546875" defaultRowHeight="14.45"/>
  <cols>
    <col min="3" max="3" width="5.5703125" bestFit="1" customWidth="1"/>
    <col min="4" max="9" width="5.28515625" customWidth="1"/>
    <col min="10" max="10" width="11.28515625" bestFit="1" customWidth="1"/>
    <col min="11" max="18" width="5.28515625" customWidth="1"/>
    <col min="19" max="19" width="0.7109375" style="1" customWidth="1"/>
    <col min="21" max="21" width="10.7109375" bestFit="1" customWidth="1"/>
    <col min="22" max="22" width="16.7109375" bestFit="1" customWidth="1"/>
    <col min="23" max="23" width="21.7109375" bestFit="1" customWidth="1"/>
    <col min="24" max="24" width="16.42578125" bestFit="1" customWidth="1"/>
    <col min="25" max="25" width="24.5703125" bestFit="1" customWidth="1"/>
    <col min="26" max="26" width="17.85546875" customWidth="1"/>
    <col min="27" max="27" width="14.28515625" bestFit="1" customWidth="1"/>
    <col min="28" max="28" width="18.140625" bestFit="1" customWidth="1"/>
    <col min="29" max="29" width="12.85546875" bestFit="1" customWidth="1"/>
    <col min="30" max="30" width="13.85546875" bestFit="1" customWidth="1"/>
  </cols>
  <sheetData>
    <row r="1" spans="1:31" ht="18.600000000000001">
      <c r="A1" s="3" t="s">
        <v>1294</v>
      </c>
      <c r="T1" s="3"/>
    </row>
    <row r="2" spans="1:31" s="5" customFormat="1" ht="15" thickBot="1">
      <c r="A2" s="25" t="s">
        <v>612</v>
      </c>
      <c r="B2" s="26" t="s">
        <v>613</v>
      </c>
      <c r="C2" s="26" t="s">
        <v>614</v>
      </c>
      <c r="D2" s="26" t="s">
        <v>615</v>
      </c>
      <c r="E2" s="26" t="s">
        <v>1295</v>
      </c>
      <c r="F2" s="26" t="s">
        <v>1296</v>
      </c>
      <c r="G2" s="26" t="s">
        <v>1297</v>
      </c>
      <c r="H2" s="26" t="s">
        <v>1298</v>
      </c>
      <c r="I2" s="26" t="s">
        <v>1299</v>
      </c>
      <c r="J2" s="26" t="s">
        <v>1300</v>
      </c>
      <c r="K2" s="26" t="s">
        <v>1301</v>
      </c>
      <c r="L2" s="26" t="s">
        <v>1302</v>
      </c>
      <c r="M2" s="26" t="s">
        <v>1303</v>
      </c>
      <c r="N2" s="26" t="s">
        <v>1304</v>
      </c>
      <c r="O2" s="26" t="s">
        <v>1305</v>
      </c>
      <c r="P2" s="6" t="s">
        <v>1306</v>
      </c>
      <c r="Q2" s="26" t="s">
        <v>1307</v>
      </c>
      <c r="R2" s="26" t="s">
        <v>1308</v>
      </c>
      <c r="S2" s="27" t="s">
        <v>289</v>
      </c>
      <c r="T2" s="25" t="s">
        <v>612</v>
      </c>
      <c r="U2" s="26" t="s">
        <v>626</v>
      </c>
      <c r="V2" s="26" t="s">
        <v>1309</v>
      </c>
      <c r="W2" s="26" t="s">
        <v>621</v>
      </c>
      <c r="X2" s="26" t="s">
        <v>922</v>
      </c>
      <c r="Y2" s="26" t="s">
        <v>972</v>
      </c>
      <c r="Z2" s="26" t="s">
        <v>622</v>
      </c>
      <c r="AA2" s="26" t="s">
        <v>642</v>
      </c>
      <c r="AB2" s="26" t="s">
        <v>978</v>
      </c>
      <c r="AC2" s="26" t="s">
        <v>1310</v>
      </c>
      <c r="AD2" s="28" t="s">
        <v>1311</v>
      </c>
    </row>
    <row r="3" spans="1:31">
      <c r="A3" s="4">
        <v>210</v>
      </c>
      <c r="B3" s="9">
        <v>903</v>
      </c>
      <c r="C3" s="9" t="s">
        <v>649</v>
      </c>
      <c r="D3" s="9">
        <v>2</v>
      </c>
      <c r="E3" s="9" t="s">
        <v>289</v>
      </c>
      <c r="F3" s="50" t="s">
        <v>650</v>
      </c>
      <c r="G3" s="9"/>
      <c r="H3" s="9" t="s">
        <v>650</v>
      </c>
      <c r="I3" s="9"/>
      <c r="J3" s="9"/>
      <c r="K3" s="9"/>
      <c r="L3" s="9"/>
      <c r="M3" s="9"/>
      <c r="N3" s="9"/>
      <c r="O3" s="9"/>
      <c r="P3" s="9"/>
      <c r="Q3" s="9"/>
      <c r="R3" s="9"/>
      <c r="S3" s="17"/>
      <c r="T3" s="4">
        <v>210</v>
      </c>
      <c r="U3" s="9"/>
      <c r="V3" s="9"/>
      <c r="W3" s="9"/>
      <c r="X3" s="32"/>
      <c r="Y3" s="9" t="s">
        <v>1312</v>
      </c>
      <c r="Z3" s="9" t="s">
        <v>1313</v>
      </c>
      <c r="AA3" s="32">
        <v>9459</v>
      </c>
      <c r="AB3" s="9">
        <v>87854904</v>
      </c>
      <c r="AC3" s="9">
        <v>155.57</v>
      </c>
      <c r="AD3" s="9">
        <v>59120457</v>
      </c>
      <c r="AE3" s="59" t="s">
        <v>1314</v>
      </c>
    </row>
    <row r="4" spans="1:31">
      <c r="A4" s="2">
        <v>211</v>
      </c>
      <c r="B4" s="7">
        <v>913</v>
      </c>
      <c r="C4" s="7" t="s">
        <v>647</v>
      </c>
      <c r="D4" s="7">
        <v>3</v>
      </c>
      <c r="E4" s="7"/>
      <c r="F4" s="7" t="s">
        <v>650</v>
      </c>
      <c r="G4" s="38" t="s">
        <v>650</v>
      </c>
      <c r="H4" s="7"/>
      <c r="I4" s="7"/>
      <c r="J4" s="7"/>
      <c r="K4" s="7"/>
      <c r="L4" s="7"/>
      <c r="M4" s="7"/>
      <c r="N4" s="38" t="s">
        <v>650</v>
      </c>
      <c r="O4" s="38" t="s">
        <v>650</v>
      </c>
      <c r="P4" s="7"/>
      <c r="Q4" s="38" t="s">
        <v>650</v>
      </c>
      <c r="R4" s="7"/>
      <c r="S4" s="16"/>
      <c r="T4" s="2">
        <v>211</v>
      </c>
      <c r="U4" s="8"/>
      <c r="V4" s="8"/>
      <c r="W4" s="8"/>
      <c r="X4" s="31"/>
      <c r="Y4" s="7"/>
      <c r="Z4" s="8"/>
      <c r="AA4" s="7"/>
      <c r="AB4" s="7"/>
      <c r="AC4" s="7">
        <v>155.57</v>
      </c>
      <c r="AD4" s="7">
        <v>56926059</v>
      </c>
      <c r="AE4" s="60" t="s">
        <v>1315</v>
      </c>
    </row>
    <row r="5" spans="1:31">
      <c r="A5" s="4">
        <v>212</v>
      </c>
      <c r="B5" s="9">
        <v>915</v>
      </c>
      <c r="C5" s="9" t="s">
        <v>648</v>
      </c>
      <c r="D5" s="9">
        <v>3</v>
      </c>
      <c r="E5" s="9"/>
      <c r="F5" s="50" t="s">
        <v>650</v>
      </c>
      <c r="G5" s="9"/>
      <c r="H5" s="9"/>
      <c r="I5" s="9"/>
      <c r="J5" s="9"/>
      <c r="K5" s="9"/>
      <c r="L5" s="9"/>
      <c r="M5" s="9"/>
      <c r="N5" s="38" t="s">
        <v>650</v>
      </c>
      <c r="O5" s="9"/>
      <c r="P5" s="38" t="s">
        <v>650</v>
      </c>
      <c r="Q5" s="9"/>
      <c r="R5" s="9"/>
      <c r="S5" s="17"/>
      <c r="T5" s="4">
        <v>212</v>
      </c>
      <c r="U5" s="9"/>
      <c r="V5" s="9"/>
      <c r="W5" s="9"/>
      <c r="X5" s="32"/>
      <c r="Y5" s="9"/>
      <c r="Z5" s="9"/>
      <c r="AA5" s="9"/>
      <c r="AB5" s="9"/>
      <c r="AC5" s="9">
        <v>155.57</v>
      </c>
      <c r="AD5" s="9"/>
      <c r="AE5" s="61" t="s">
        <v>1316</v>
      </c>
    </row>
    <row r="6" spans="1:31">
      <c r="A6" s="2">
        <v>213</v>
      </c>
      <c r="B6" s="7">
        <v>902</v>
      </c>
      <c r="C6" s="7" t="s">
        <v>649</v>
      </c>
      <c r="D6" s="7">
        <v>2</v>
      </c>
      <c r="E6" s="7" t="s">
        <v>650</v>
      </c>
      <c r="F6" s="7" t="s">
        <v>650</v>
      </c>
      <c r="G6" s="7" t="s">
        <v>650</v>
      </c>
      <c r="H6" s="7"/>
      <c r="I6" s="7"/>
      <c r="J6" s="7"/>
      <c r="K6" s="7"/>
      <c r="L6" s="7"/>
      <c r="M6" s="7"/>
      <c r="N6" s="7"/>
      <c r="O6" s="38" t="s">
        <v>650</v>
      </c>
      <c r="P6" s="7"/>
      <c r="Q6" s="7"/>
      <c r="R6" s="7"/>
      <c r="S6" s="17"/>
      <c r="T6" s="2">
        <v>213</v>
      </c>
      <c r="U6" s="7"/>
      <c r="V6" s="7"/>
      <c r="W6" s="7"/>
      <c r="X6" s="31"/>
      <c r="Y6" s="7"/>
      <c r="Z6" s="7"/>
      <c r="AA6" s="34"/>
      <c r="AB6" s="7"/>
      <c r="AC6" s="7">
        <v>155.57</v>
      </c>
      <c r="AD6" s="7"/>
    </row>
    <row r="7" spans="1:31">
      <c r="A7" s="4">
        <v>214</v>
      </c>
      <c r="B7" s="9">
        <v>921</v>
      </c>
      <c r="C7" s="9" t="s">
        <v>647</v>
      </c>
      <c r="D7" s="9">
        <v>2</v>
      </c>
      <c r="E7" s="9" t="s">
        <v>650</v>
      </c>
      <c r="F7" s="50" t="s">
        <v>650</v>
      </c>
      <c r="G7" s="9" t="s">
        <v>650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7"/>
      <c r="T7" s="4">
        <v>214</v>
      </c>
      <c r="U7" s="9"/>
      <c r="V7" s="9"/>
      <c r="W7" s="9"/>
      <c r="X7" s="32"/>
      <c r="Y7" s="9"/>
      <c r="Z7" s="9"/>
      <c r="AA7" s="35"/>
      <c r="AB7" s="9"/>
      <c r="AC7" s="9">
        <v>155.57</v>
      </c>
      <c r="AD7" s="9"/>
    </row>
    <row r="8" spans="1:31">
      <c r="A8" s="2">
        <v>215</v>
      </c>
      <c r="B8" s="7">
        <v>921</v>
      </c>
      <c r="C8" s="7" t="s">
        <v>649</v>
      </c>
      <c r="D8" s="7">
        <v>2</v>
      </c>
      <c r="E8" s="7" t="s">
        <v>650</v>
      </c>
      <c r="F8" s="7" t="s">
        <v>650</v>
      </c>
      <c r="G8" s="7" t="s">
        <v>650</v>
      </c>
      <c r="H8" s="7"/>
      <c r="I8" s="7"/>
      <c r="J8" s="7"/>
      <c r="K8" s="38" t="s">
        <v>650</v>
      </c>
      <c r="L8" s="7"/>
      <c r="M8" s="7"/>
      <c r="N8" s="7"/>
      <c r="O8" s="7"/>
      <c r="P8" s="7"/>
      <c r="Q8" s="7" t="s">
        <v>650</v>
      </c>
      <c r="R8" s="7"/>
      <c r="S8" s="17"/>
      <c r="T8" s="2">
        <v>215</v>
      </c>
      <c r="U8" s="7"/>
      <c r="V8" s="7"/>
      <c r="W8" s="7"/>
      <c r="X8" s="31"/>
      <c r="Y8" s="7"/>
      <c r="Z8" s="7"/>
      <c r="AA8" s="34"/>
      <c r="AB8" s="7"/>
      <c r="AC8" s="7">
        <v>155.57</v>
      </c>
      <c r="AD8" s="7"/>
    </row>
    <row r="9" spans="1:31">
      <c r="A9" s="4">
        <v>216</v>
      </c>
      <c r="B9" s="9">
        <v>902</v>
      </c>
      <c r="C9" s="9" t="s">
        <v>648</v>
      </c>
      <c r="D9" s="9">
        <v>2</v>
      </c>
      <c r="E9" s="9" t="s">
        <v>650</v>
      </c>
      <c r="F9" s="50" t="s">
        <v>650</v>
      </c>
      <c r="G9" s="9" t="s">
        <v>650</v>
      </c>
      <c r="H9" s="9"/>
      <c r="I9" s="9"/>
      <c r="J9" s="9"/>
      <c r="K9" s="9"/>
      <c r="L9" s="9"/>
      <c r="M9" s="9"/>
      <c r="N9" s="9"/>
      <c r="O9" s="38" t="s">
        <v>650</v>
      </c>
      <c r="P9" s="9"/>
      <c r="Q9" s="9"/>
      <c r="R9" s="9"/>
      <c r="S9" s="17"/>
      <c r="T9" s="4">
        <v>216</v>
      </c>
      <c r="U9" s="9"/>
      <c r="V9" s="9"/>
      <c r="W9" s="9"/>
      <c r="X9" s="32"/>
      <c r="Y9" s="9"/>
      <c r="Z9" s="37" t="s">
        <v>1317</v>
      </c>
      <c r="AA9" s="35">
        <v>9462</v>
      </c>
      <c r="AB9" s="9"/>
      <c r="AC9" s="9">
        <v>155.57</v>
      </c>
      <c r="AD9" s="9"/>
    </row>
    <row r="10" spans="1:31">
      <c r="A10" s="2">
        <v>217</v>
      </c>
      <c r="B10" s="7">
        <v>921</v>
      </c>
      <c r="C10" s="7" t="s">
        <v>649</v>
      </c>
      <c r="D10" s="7">
        <v>2</v>
      </c>
      <c r="E10" s="7"/>
      <c r="F10" s="7" t="s">
        <v>650</v>
      </c>
      <c r="G10" s="7" t="s">
        <v>650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7"/>
      <c r="T10" s="2">
        <v>217</v>
      </c>
      <c r="U10" s="7"/>
      <c r="V10" s="7"/>
      <c r="W10" s="7"/>
      <c r="X10" s="31"/>
      <c r="Y10" s="7"/>
      <c r="Z10" s="7"/>
      <c r="AA10" s="34"/>
      <c r="AB10" s="7"/>
      <c r="AC10" s="7">
        <v>155.57</v>
      </c>
      <c r="AD10" s="7"/>
    </row>
    <row r="11" spans="1:31">
      <c r="A11" s="4">
        <v>218</v>
      </c>
      <c r="B11" s="9">
        <v>902</v>
      </c>
      <c r="C11" s="9" t="s">
        <v>648</v>
      </c>
      <c r="D11" s="9">
        <v>2</v>
      </c>
      <c r="E11" s="9"/>
      <c r="F11" s="9"/>
      <c r="G11" s="9"/>
      <c r="H11" s="9"/>
      <c r="I11" s="9" t="s">
        <v>650</v>
      </c>
      <c r="J11" s="9"/>
      <c r="K11" s="9"/>
      <c r="L11" s="9"/>
      <c r="M11" s="9"/>
      <c r="N11" s="9"/>
      <c r="O11" s="9"/>
      <c r="P11" s="9"/>
      <c r="Q11" s="9"/>
      <c r="R11" s="9"/>
      <c r="S11" s="17"/>
      <c r="T11" s="4">
        <v>218</v>
      </c>
      <c r="U11" s="9"/>
      <c r="V11" s="9"/>
      <c r="W11" s="9"/>
      <c r="X11" s="32"/>
      <c r="Y11" s="9"/>
      <c r="Z11" s="37" t="s">
        <v>1317</v>
      </c>
      <c r="AA11" s="35">
        <v>9462</v>
      </c>
      <c r="AB11" s="9"/>
      <c r="AC11" s="9" t="s">
        <v>1318</v>
      </c>
      <c r="AD11" s="9"/>
    </row>
    <row r="12" spans="1:31">
      <c r="A12" s="2">
        <v>219</v>
      </c>
      <c r="B12" s="7">
        <v>921</v>
      </c>
      <c r="C12" s="7" t="s">
        <v>647</v>
      </c>
      <c r="D12" s="7">
        <v>2</v>
      </c>
      <c r="E12" s="7"/>
      <c r="F12" s="7" t="s">
        <v>650</v>
      </c>
      <c r="G12" s="7" t="s">
        <v>650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7"/>
      <c r="T12" s="2">
        <v>219</v>
      </c>
      <c r="U12" s="7"/>
      <c r="V12" s="7"/>
      <c r="W12" s="7"/>
      <c r="X12" s="31"/>
      <c r="Y12" s="7"/>
      <c r="Z12" s="7"/>
      <c r="AA12" s="34"/>
      <c r="AB12" s="7" t="s">
        <v>1319</v>
      </c>
      <c r="AC12" s="7">
        <v>155.57</v>
      </c>
      <c r="AD12" s="7">
        <v>59814073</v>
      </c>
    </row>
    <row r="13" spans="1:31">
      <c r="A13" s="4">
        <v>220</v>
      </c>
      <c r="B13" s="9">
        <v>902</v>
      </c>
      <c r="C13" s="9" t="s">
        <v>649</v>
      </c>
      <c r="D13" s="9">
        <v>2</v>
      </c>
      <c r="E13" s="9" t="s">
        <v>289</v>
      </c>
      <c r="F13" s="50" t="s">
        <v>650</v>
      </c>
      <c r="G13" s="9" t="s">
        <v>650</v>
      </c>
      <c r="H13" s="9"/>
      <c r="I13" s="9"/>
      <c r="J13" s="9"/>
      <c r="K13" s="9"/>
      <c r="L13" s="9"/>
      <c r="M13" s="9"/>
      <c r="N13" s="9" t="s">
        <v>289</v>
      </c>
      <c r="O13" s="38" t="s">
        <v>650</v>
      </c>
      <c r="P13" s="9"/>
      <c r="Q13" s="9"/>
      <c r="R13" s="9"/>
      <c r="S13" s="17"/>
      <c r="T13" s="4">
        <v>220</v>
      </c>
      <c r="U13" s="9"/>
      <c r="V13" s="9"/>
      <c r="W13" s="52">
        <v>44608</v>
      </c>
      <c r="X13" s="40">
        <v>24188</v>
      </c>
      <c r="Y13" s="9" t="s">
        <v>1320</v>
      </c>
      <c r="Z13" s="50" t="s">
        <v>1321</v>
      </c>
      <c r="AA13" s="51">
        <v>9755</v>
      </c>
      <c r="AB13" s="9" t="s">
        <v>1322</v>
      </c>
      <c r="AC13" s="9">
        <v>155.57</v>
      </c>
      <c r="AD13" s="38"/>
    </row>
    <row r="14" spans="1:31">
      <c r="A14" s="2">
        <v>221</v>
      </c>
      <c r="B14" s="7">
        <v>913</v>
      </c>
      <c r="C14" s="7" t="s">
        <v>647</v>
      </c>
      <c r="D14" s="7">
        <v>2</v>
      </c>
      <c r="E14" s="7">
        <v>1</v>
      </c>
      <c r="F14" s="7"/>
      <c r="G14" s="38" t="s">
        <v>650</v>
      </c>
      <c r="H14" s="7"/>
      <c r="I14" s="7"/>
      <c r="J14" s="7"/>
      <c r="K14" s="7"/>
      <c r="L14" s="7"/>
      <c r="M14" s="7"/>
      <c r="N14" s="38" t="s">
        <v>650</v>
      </c>
      <c r="O14" s="38" t="s">
        <v>650</v>
      </c>
      <c r="P14" s="7"/>
      <c r="Q14" s="38" t="s">
        <v>650</v>
      </c>
      <c r="R14" s="7"/>
      <c r="S14" s="17"/>
      <c r="T14" s="2">
        <v>221</v>
      </c>
      <c r="U14" s="7"/>
      <c r="V14" s="7"/>
      <c r="W14" s="7"/>
      <c r="X14" s="31"/>
      <c r="Y14" s="7"/>
      <c r="Z14" s="7"/>
      <c r="AA14" s="34"/>
      <c r="AB14" s="7" t="s">
        <v>1312</v>
      </c>
      <c r="AC14" s="7" t="s">
        <v>1318</v>
      </c>
      <c r="AD14" s="7"/>
    </row>
    <row r="15" spans="1:31">
      <c r="A15" s="4">
        <v>222</v>
      </c>
      <c r="B15" s="9">
        <v>913</v>
      </c>
      <c r="C15" s="9" t="s">
        <v>649</v>
      </c>
      <c r="D15" s="9">
        <v>2</v>
      </c>
      <c r="E15" s="9">
        <v>1</v>
      </c>
      <c r="F15" s="50" t="s">
        <v>650</v>
      </c>
      <c r="G15" s="38" t="s">
        <v>650</v>
      </c>
      <c r="H15" s="9"/>
      <c r="I15" s="9"/>
      <c r="J15" s="9"/>
      <c r="K15" s="9"/>
      <c r="L15" s="9"/>
      <c r="M15" s="9"/>
      <c r="N15" s="38" t="s">
        <v>650</v>
      </c>
      <c r="O15" s="38" t="s">
        <v>650</v>
      </c>
      <c r="P15" s="9"/>
      <c r="Q15" s="38" t="s">
        <v>650</v>
      </c>
      <c r="R15" s="9"/>
      <c r="S15" s="17"/>
      <c r="T15" s="4">
        <v>222</v>
      </c>
      <c r="U15" s="9"/>
      <c r="V15" s="9"/>
      <c r="W15" s="9"/>
      <c r="X15" s="32"/>
      <c r="Y15" s="9"/>
      <c r="Z15" s="9"/>
      <c r="AA15" s="35"/>
      <c r="AB15" s="9"/>
      <c r="AC15" s="9">
        <v>155.57</v>
      </c>
      <c r="AD15" s="9"/>
    </row>
    <row r="16" spans="1:31">
      <c r="A16" s="2">
        <v>223</v>
      </c>
      <c r="B16" s="7">
        <v>915</v>
      </c>
      <c r="C16" s="7" t="s">
        <v>647</v>
      </c>
      <c r="D16" s="7">
        <v>2</v>
      </c>
      <c r="E16" s="7">
        <v>1</v>
      </c>
      <c r="F16" s="7" t="s">
        <v>650</v>
      </c>
      <c r="G16" s="7"/>
      <c r="H16" s="7"/>
      <c r="I16" s="7"/>
      <c r="J16" s="7"/>
      <c r="K16" s="7"/>
      <c r="L16" s="7"/>
      <c r="M16" s="7"/>
      <c r="N16" s="38" t="s">
        <v>650</v>
      </c>
      <c r="O16" s="7"/>
      <c r="P16" s="38" t="s">
        <v>650</v>
      </c>
      <c r="Q16" s="7"/>
      <c r="R16" s="7"/>
      <c r="S16" s="17"/>
      <c r="T16" s="2">
        <v>223</v>
      </c>
      <c r="U16" s="7"/>
      <c r="V16" s="7"/>
      <c r="W16" s="31"/>
      <c r="X16" s="7"/>
      <c r="Y16" s="7" t="s">
        <v>1312</v>
      </c>
      <c r="Z16" s="7" t="s">
        <v>1323</v>
      </c>
      <c r="AA16" s="34">
        <v>9715</v>
      </c>
      <c r="AB16" s="75" t="s">
        <v>1324</v>
      </c>
      <c r="AC16" s="7">
        <v>155.57</v>
      </c>
      <c r="AD16" s="7">
        <v>59396653</v>
      </c>
    </row>
    <row r="17" spans="1:30">
      <c r="A17" s="4">
        <v>224</v>
      </c>
      <c r="B17" s="9">
        <v>903</v>
      </c>
      <c r="C17" s="9" t="s">
        <v>648</v>
      </c>
      <c r="D17" s="9">
        <v>2</v>
      </c>
      <c r="E17" s="9"/>
      <c r="F17" s="50" t="s">
        <v>650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7"/>
      <c r="T17" s="4">
        <v>224</v>
      </c>
      <c r="U17" s="9"/>
      <c r="V17" s="9"/>
      <c r="W17" s="9"/>
      <c r="X17" s="32"/>
      <c r="Y17" s="9"/>
      <c r="Z17" s="9" t="s">
        <v>1325</v>
      </c>
      <c r="AA17" s="35">
        <v>9459</v>
      </c>
      <c r="AB17" s="9" t="s">
        <v>1326</v>
      </c>
      <c r="AC17" s="9">
        <v>155.57</v>
      </c>
      <c r="AD17" s="9">
        <v>59814081</v>
      </c>
    </row>
    <row r="18" spans="1:30">
      <c r="A18" s="2">
        <v>225</v>
      </c>
      <c r="B18" s="7">
        <v>915</v>
      </c>
      <c r="C18" s="7" t="s">
        <v>647</v>
      </c>
      <c r="D18" s="7">
        <v>2</v>
      </c>
      <c r="E18" s="7">
        <v>1</v>
      </c>
      <c r="F18" s="7" t="s">
        <v>650</v>
      </c>
      <c r="G18" s="7"/>
      <c r="H18" s="7"/>
      <c r="I18" s="7"/>
      <c r="J18" s="7"/>
      <c r="K18" s="7"/>
      <c r="L18" s="7"/>
      <c r="M18" s="7"/>
      <c r="N18" s="38" t="s">
        <v>650</v>
      </c>
      <c r="O18" s="38" t="s">
        <v>650</v>
      </c>
      <c r="P18" s="38" t="s">
        <v>650</v>
      </c>
      <c r="Q18" s="7"/>
      <c r="R18" s="7"/>
      <c r="S18" s="17"/>
      <c r="T18" s="2">
        <v>225</v>
      </c>
      <c r="U18" s="7"/>
      <c r="V18" s="7"/>
      <c r="W18" s="7"/>
      <c r="X18" s="31"/>
      <c r="Y18" s="7"/>
      <c r="Z18" s="7" t="s">
        <v>1323</v>
      </c>
      <c r="AA18" s="34">
        <v>10015</v>
      </c>
      <c r="AB18" s="7" t="s">
        <v>1327</v>
      </c>
      <c r="AC18" s="7">
        <v>155.57</v>
      </c>
      <c r="AD18" s="38"/>
    </row>
    <row r="19" spans="1:30">
      <c r="A19" s="55">
        <v>226</v>
      </c>
      <c r="B19" s="37">
        <v>913</v>
      </c>
      <c r="C19" s="9" t="s">
        <v>648</v>
      </c>
      <c r="D19" s="9">
        <v>2</v>
      </c>
      <c r="E19" s="9" t="s">
        <v>289</v>
      </c>
      <c r="F19" s="50" t="s">
        <v>650</v>
      </c>
      <c r="G19" s="38" t="s">
        <v>650</v>
      </c>
      <c r="H19" s="9"/>
      <c r="I19" s="9"/>
      <c r="J19" s="9"/>
      <c r="K19" s="9"/>
      <c r="L19" s="9"/>
      <c r="M19" s="9"/>
      <c r="N19" s="38" t="s">
        <v>650</v>
      </c>
      <c r="O19" s="38" t="s">
        <v>650</v>
      </c>
      <c r="P19" s="9"/>
      <c r="Q19" s="9"/>
      <c r="R19" s="9"/>
      <c r="S19" s="17"/>
      <c r="T19" s="4">
        <v>226</v>
      </c>
      <c r="U19" s="9"/>
      <c r="V19" s="9" t="s">
        <v>1328</v>
      </c>
      <c r="W19" s="9" t="s">
        <v>1329</v>
      </c>
      <c r="X19" s="32">
        <v>35472.699999999997</v>
      </c>
      <c r="Y19" s="9" t="s">
        <v>1327</v>
      </c>
      <c r="Z19" s="9" t="s">
        <v>1329</v>
      </c>
      <c r="AA19" s="35">
        <v>11922.32</v>
      </c>
      <c r="AB19" s="9"/>
      <c r="AC19" s="9">
        <v>155.57</v>
      </c>
      <c r="AD19" s="38"/>
    </row>
    <row r="20" spans="1:30">
      <c r="A20" s="2">
        <v>227</v>
      </c>
      <c r="B20" s="7">
        <v>915</v>
      </c>
      <c r="C20" s="7" t="s">
        <v>649</v>
      </c>
      <c r="D20" s="7">
        <v>2</v>
      </c>
      <c r="E20" s="7">
        <v>1</v>
      </c>
      <c r="F20" s="7" t="s">
        <v>650</v>
      </c>
      <c r="G20" s="7"/>
      <c r="H20" s="7"/>
      <c r="I20" s="7"/>
      <c r="J20" s="7" t="s">
        <v>650</v>
      </c>
      <c r="K20" s="7"/>
      <c r="L20" s="7"/>
      <c r="M20" s="7"/>
      <c r="N20" s="7"/>
      <c r="O20" s="7"/>
      <c r="P20" s="38" t="s">
        <v>650</v>
      </c>
      <c r="Q20" s="7"/>
      <c r="R20" s="7"/>
      <c r="S20" s="17"/>
      <c r="T20" s="2">
        <v>227</v>
      </c>
      <c r="U20" s="7"/>
      <c r="V20" s="7" t="s">
        <v>1328</v>
      </c>
      <c r="W20" s="7" t="s">
        <v>1330</v>
      </c>
      <c r="X20" s="31">
        <v>39801.379999999997</v>
      </c>
      <c r="Y20" s="7" t="s">
        <v>1331</v>
      </c>
      <c r="Z20" s="7" t="s">
        <v>1332</v>
      </c>
      <c r="AA20" s="34">
        <v>10015</v>
      </c>
      <c r="AB20" s="7">
        <v>90262871</v>
      </c>
      <c r="AC20" s="7">
        <v>155.57</v>
      </c>
      <c r="AD20" s="7"/>
    </row>
    <row r="21" spans="1:30">
      <c r="A21" s="77">
        <v>228</v>
      </c>
      <c r="B21" s="50">
        <v>913</v>
      </c>
      <c r="C21" s="9" t="s">
        <v>647</v>
      </c>
      <c r="D21" s="9">
        <v>2</v>
      </c>
      <c r="E21" s="9">
        <v>1</v>
      </c>
      <c r="F21" s="50" t="s">
        <v>650</v>
      </c>
      <c r="G21" s="38" t="s">
        <v>650</v>
      </c>
      <c r="H21" s="9"/>
      <c r="I21" s="9"/>
      <c r="J21" s="9"/>
      <c r="K21" s="9"/>
      <c r="L21" s="9"/>
      <c r="M21" s="9"/>
      <c r="N21" s="38" t="s">
        <v>650</v>
      </c>
      <c r="O21" s="38" t="s">
        <v>650</v>
      </c>
      <c r="P21" s="9"/>
      <c r="Q21" s="38" t="s">
        <v>650</v>
      </c>
      <c r="R21" s="9"/>
      <c r="S21" s="17"/>
      <c r="T21" s="4">
        <v>228</v>
      </c>
      <c r="U21" s="9"/>
      <c r="V21" s="9"/>
      <c r="W21" s="9" t="s">
        <v>1333</v>
      </c>
      <c r="X21" s="32">
        <v>51106.64</v>
      </c>
      <c r="Y21" s="9">
        <v>91834720</v>
      </c>
      <c r="Z21" s="9" t="s">
        <v>1334</v>
      </c>
      <c r="AA21" s="35">
        <v>12291.05</v>
      </c>
      <c r="AB21" s="9">
        <v>91834720</v>
      </c>
      <c r="AC21" s="9">
        <v>155.57</v>
      </c>
      <c r="AD21" s="9"/>
    </row>
    <row r="22" spans="1:30">
      <c r="A22" s="2">
        <v>229</v>
      </c>
      <c r="B22" s="7">
        <v>913</v>
      </c>
      <c r="C22" s="7" t="s">
        <v>648</v>
      </c>
      <c r="D22" s="7">
        <v>3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 t="s">
        <v>650</v>
      </c>
      <c r="R22" s="7"/>
      <c r="S22" s="17"/>
      <c r="T22" s="2">
        <v>229</v>
      </c>
      <c r="U22" s="7"/>
      <c r="V22" s="7" t="s">
        <v>1328</v>
      </c>
      <c r="W22" s="7" t="s">
        <v>1335</v>
      </c>
      <c r="X22" s="31">
        <v>44980.65</v>
      </c>
      <c r="Y22" s="7" t="s">
        <v>1336</v>
      </c>
      <c r="Z22" s="7" t="s">
        <v>1332</v>
      </c>
      <c r="AA22" s="34">
        <v>11922.32</v>
      </c>
      <c r="AB22" s="7">
        <v>90262930</v>
      </c>
      <c r="AC22" s="7" t="s">
        <v>1318</v>
      </c>
      <c r="AD22" s="7"/>
    </row>
    <row r="23" spans="1:30">
      <c r="A23" s="77">
        <v>230</v>
      </c>
      <c r="B23" s="50">
        <v>913</v>
      </c>
      <c r="C23" s="9" t="s">
        <v>647</v>
      </c>
      <c r="D23" s="9">
        <v>3</v>
      </c>
      <c r="E23" s="9"/>
      <c r="F23" s="9"/>
      <c r="G23" s="9"/>
      <c r="H23" s="9"/>
      <c r="I23" s="9"/>
      <c r="J23" s="9"/>
      <c r="K23" s="9"/>
      <c r="L23" s="9"/>
      <c r="M23" s="9"/>
      <c r="N23" s="38" t="s">
        <v>650</v>
      </c>
      <c r="O23" s="38" t="s">
        <v>650</v>
      </c>
      <c r="P23" s="9"/>
      <c r="Q23" s="38" t="s">
        <v>650</v>
      </c>
      <c r="R23" s="9"/>
      <c r="S23" s="17"/>
      <c r="T23" s="4">
        <v>230</v>
      </c>
      <c r="U23" s="9"/>
      <c r="V23" s="9" t="s">
        <v>1328</v>
      </c>
      <c r="W23" s="37" t="s">
        <v>1337</v>
      </c>
      <c r="X23" s="32">
        <v>44585.2</v>
      </c>
      <c r="Y23" s="9" t="s">
        <v>1338</v>
      </c>
      <c r="Z23" s="37" t="s">
        <v>1339</v>
      </c>
      <c r="AA23" s="35">
        <v>11922.32</v>
      </c>
      <c r="AB23" s="9">
        <v>90262988</v>
      </c>
      <c r="AC23" s="9" t="s">
        <v>1318</v>
      </c>
      <c r="AD23" s="9"/>
    </row>
    <row r="24" spans="1:30">
      <c r="A24" s="2">
        <v>231</v>
      </c>
      <c r="B24" s="7">
        <v>915</v>
      </c>
      <c r="C24" s="7" t="s">
        <v>649</v>
      </c>
      <c r="D24" s="7">
        <v>3</v>
      </c>
      <c r="E24" s="7" t="s">
        <v>289</v>
      </c>
      <c r="F24" s="7" t="s">
        <v>650</v>
      </c>
      <c r="G24" s="7"/>
      <c r="H24" s="7"/>
      <c r="I24" s="7"/>
      <c r="J24" s="7" t="s">
        <v>289</v>
      </c>
      <c r="K24" s="7"/>
      <c r="L24" s="7"/>
      <c r="M24" s="7"/>
      <c r="N24" s="38" t="s">
        <v>650</v>
      </c>
      <c r="O24" s="7" t="s">
        <v>650</v>
      </c>
      <c r="P24" s="7"/>
      <c r="Q24" s="7"/>
      <c r="R24" s="7"/>
      <c r="S24" s="17"/>
      <c r="T24" s="2">
        <v>231</v>
      </c>
      <c r="U24" s="7"/>
      <c r="V24" s="7" t="s">
        <v>1328</v>
      </c>
      <c r="W24" s="7" t="s">
        <v>1340</v>
      </c>
      <c r="X24" s="31">
        <v>38463</v>
      </c>
      <c r="Y24" s="7"/>
      <c r="Z24" s="7" t="s">
        <v>1341</v>
      </c>
      <c r="AA24" s="34">
        <v>10015</v>
      </c>
      <c r="AB24" s="75" t="s">
        <v>1342</v>
      </c>
      <c r="AC24" s="7">
        <v>155.57</v>
      </c>
      <c r="AD24" s="38"/>
    </row>
    <row r="25" spans="1:30">
      <c r="A25" s="55">
        <v>232</v>
      </c>
      <c r="B25" s="37">
        <v>913</v>
      </c>
      <c r="C25" s="9" t="s">
        <v>647</v>
      </c>
      <c r="D25" s="9">
        <v>3</v>
      </c>
      <c r="E25" s="9" t="s">
        <v>289</v>
      </c>
      <c r="F25" s="50" t="s">
        <v>650</v>
      </c>
      <c r="G25" s="38" t="s">
        <v>650</v>
      </c>
      <c r="H25" s="9"/>
      <c r="I25" s="9"/>
      <c r="J25" s="9"/>
      <c r="K25" s="9"/>
      <c r="L25" s="9"/>
      <c r="M25" s="9"/>
      <c r="N25" s="38" t="s">
        <v>650</v>
      </c>
      <c r="O25" s="38" t="s">
        <v>650</v>
      </c>
      <c r="P25" s="9"/>
      <c r="Q25" s="9"/>
      <c r="R25" s="9"/>
      <c r="S25" s="17"/>
      <c r="T25" s="4">
        <v>232</v>
      </c>
      <c r="U25" s="9"/>
      <c r="V25" s="9"/>
      <c r="W25" s="37" t="s">
        <v>1340</v>
      </c>
      <c r="X25" s="32">
        <v>28340</v>
      </c>
      <c r="Y25" s="9"/>
      <c r="Z25" s="9" t="s">
        <v>1343</v>
      </c>
      <c r="AA25" s="51">
        <v>11565</v>
      </c>
      <c r="AB25" s="9">
        <v>88262932</v>
      </c>
      <c r="AC25" s="9">
        <v>155.57</v>
      </c>
      <c r="AD25" s="38"/>
    </row>
    <row r="26" spans="1:30">
      <c r="A26" s="2">
        <v>233</v>
      </c>
      <c r="B26" s="7">
        <v>903</v>
      </c>
      <c r="C26" s="7" t="s">
        <v>649</v>
      </c>
      <c r="D26" s="7">
        <v>3</v>
      </c>
      <c r="E26" s="7">
        <v>1</v>
      </c>
      <c r="F26" s="7" t="s">
        <v>650</v>
      </c>
      <c r="G26" s="7"/>
      <c r="H26" s="7" t="s">
        <v>650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17"/>
      <c r="T26" s="2">
        <v>233</v>
      </c>
      <c r="U26" s="7"/>
      <c r="V26" s="7" t="s">
        <v>1328</v>
      </c>
      <c r="W26" s="7" t="s">
        <v>1340</v>
      </c>
      <c r="X26" s="31">
        <v>45329</v>
      </c>
      <c r="Y26" s="7"/>
      <c r="Z26" s="7" t="s">
        <v>1344</v>
      </c>
      <c r="AA26" s="34">
        <v>9751</v>
      </c>
      <c r="AB26" s="7">
        <v>89393660</v>
      </c>
      <c r="AC26" s="7">
        <v>155.57</v>
      </c>
      <c r="AD26" s="38"/>
    </row>
    <row r="27" spans="1:30">
      <c r="A27" s="4">
        <v>234</v>
      </c>
      <c r="B27" s="9">
        <v>913</v>
      </c>
      <c r="C27" s="9" t="s">
        <v>648</v>
      </c>
      <c r="D27" s="9">
        <v>3</v>
      </c>
      <c r="E27" s="9" t="s">
        <v>289</v>
      </c>
      <c r="F27" s="50" t="s">
        <v>650</v>
      </c>
      <c r="G27" s="38" t="s">
        <v>650</v>
      </c>
      <c r="H27" s="9"/>
      <c r="I27" s="9"/>
      <c r="J27" s="9"/>
      <c r="K27" s="9"/>
      <c r="L27" s="9"/>
      <c r="M27" s="9"/>
      <c r="N27" s="9"/>
      <c r="O27" s="9"/>
      <c r="P27" s="9"/>
      <c r="Q27" s="38" t="s">
        <v>650</v>
      </c>
      <c r="R27" s="9"/>
      <c r="S27" s="17"/>
      <c r="T27" s="4">
        <v>234</v>
      </c>
      <c r="U27" s="9"/>
      <c r="V27" s="9"/>
      <c r="W27" s="9"/>
      <c r="X27" s="32"/>
      <c r="Y27" s="9"/>
      <c r="Z27" s="35" t="s">
        <v>1345</v>
      </c>
      <c r="AA27" s="35">
        <v>11565</v>
      </c>
      <c r="AB27" s="9"/>
      <c r="AC27" s="9">
        <v>155.57</v>
      </c>
      <c r="AD27" s="9"/>
    </row>
    <row r="28" spans="1:30">
      <c r="A28" s="2">
        <v>235</v>
      </c>
      <c r="B28" s="7">
        <v>913</v>
      </c>
      <c r="C28" s="7" t="s">
        <v>647</v>
      </c>
      <c r="D28" s="7">
        <v>3</v>
      </c>
      <c r="E28" s="7"/>
      <c r="F28" s="7" t="s">
        <v>650</v>
      </c>
      <c r="G28" s="38" t="s">
        <v>650</v>
      </c>
      <c r="H28" s="7"/>
      <c r="I28" s="7"/>
      <c r="J28" s="7"/>
      <c r="K28" s="38" t="s">
        <v>650</v>
      </c>
      <c r="L28" s="7"/>
      <c r="M28" s="7"/>
      <c r="N28" s="38" t="s">
        <v>650</v>
      </c>
      <c r="O28" s="38" t="s">
        <v>650</v>
      </c>
      <c r="P28" s="2"/>
      <c r="Q28" s="38" t="s">
        <v>650</v>
      </c>
      <c r="R28" s="7"/>
      <c r="S28" s="17"/>
      <c r="T28" s="2">
        <v>235</v>
      </c>
      <c r="U28" s="7"/>
      <c r="V28" s="7"/>
      <c r="W28" s="7"/>
      <c r="X28" s="31"/>
      <c r="Y28" s="7"/>
      <c r="Z28" s="7"/>
      <c r="AA28" s="34"/>
      <c r="AB28" s="7"/>
      <c r="AC28" s="7">
        <v>155.57</v>
      </c>
      <c r="AD28" s="7">
        <v>59120277</v>
      </c>
    </row>
    <row r="29" spans="1:30">
      <c r="A29" s="55">
        <v>236</v>
      </c>
      <c r="B29" s="37">
        <v>902</v>
      </c>
      <c r="C29" s="9" t="s">
        <v>648</v>
      </c>
      <c r="D29" s="9">
        <v>2</v>
      </c>
      <c r="E29" s="9" t="s">
        <v>289</v>
      </c>
      <c r="F29" s="50" t="s">
        <v>650</v>
      </c>
      <c r="G29" s="9" t="s">
        <v>650</v>
      </c>
      <c r="H29" s="9"/>
      <c r="I29" s="9"/>
      <c r="J29" s="9"/>
      <c r="K29" s="9"/>
      <c r="L29" s="9"/>
      <c r="M29" s="9"/>
      <c r="N29" s="9"/>
      <c r="O29" s="38" t="s">
        <v>650</v>
      </c>
      <c r="P29" s="4"/>
      <c r="Q29" s="9"/>
      <c r="R29" s="9"/>
      <c r="S29" s="17"/>
      <c r="T29" s="4">
        <v>236</v>
      </c>
      <c r="U29" s="9"/>
      <c r="V29" s="9"/>
      <c r="W29" s="52">
        <v>44609</v>
      </c>
      <c r="X29" s="32">
        <v>24188</v>
      </c>
      <c r="Y29" s="9"/>
      <c r="Z29" s="50" t="s">
        <v>1346</v>
      </c>
      <c r="AA29" s="51">
        <v>9755</v>
      </c>
      <c r="AB29" s="9">
        <v>89235600</v>
      </c>
      <c r="AC29" s="9">
        <v>155.57</v>
      </c>
      <c r="AD29" s="38"/>
    </row>
    <row r="30" spans="1:30">
      <c r="A30" s="2">
        <v>237</v>
      </c>
      <c r="B30" s="7">
        <v>921</v>
      </c>
      <c r="C30" s="7" t="s">
        <v>649</v>
      </c>
      <c r="D30" s="7">
        <v>2</v>
      </c>
      <c r="E30" s="7"/>
      <c r="F30" s="7" t="s">
        <v>650</v>
      </c>
      <c r="G30" s="7" t="s">
        <v>650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7"/>
      <c r="T30" s="2">
        <v>237</v>
      </c>
      <c r="U30" s="7" t="s">
        <v>1347</v>
      </c>
      <c r="V30" s="7" t="s">
        <v>1328</v>
      </c>
      <c r="W30" s="7" t="s">
        <v>1348</v>
      </c>
      <c r="X30" s="31">
        <v>31021.17</v>
      </c>
      <c r="Y30" s="75" t="s">
        <v>1349</v>
      </c>
      <c r="Z30" s="7" t="s">
        <v>1350</v>
      </c>
      <c r="AA30" s="34">
        <v>8995.4699999999993</v>
      </c>
      <c r="AB30" s="7">
        <v>89640651</v>
      </c>
      <c r="AC30" s="7">
        <v>155.57</v>
      </c>
      <c r="AD30" s="38"/>
    </row>
    <row r="31" spans="1:30">
      <c r="A31" s="77">
        <v>238</v>
      </c>
      <c r="B31" s="50">
        <v>921</v>
      </c>
      <c r="C31" s="9" t="s">
        <v>647</v>
      </c>
      <c r="D31" s="9">
        <v>2</v>
      </c>
      <c r="E31" s="9"/>
      <c r="F31" s="50" t="s">
        <v>650</v>
      </c>
      <c r="G31" s="9" t="s">
        <v>650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7"/>
      <c r="T31" s="4">
        <v>238</v>
      </c>
      <c r="U31" s="9"/>
      <c r="V31" s="9"/>
      <c r="W31" s="9" t="s">
        <v>1333</v>
      </c>
      <c r="X31" s="32">
        <v>38631.527999999998</v>
      </c>
      <c r="Y31" s="9"/>
      <c r="Z31" s="9" t="s">
        <v>1351</v>
      </c>
      <c r="AA31" s="35">
        <v>9273.68</v>
      </c>
      <c r="AB31" s="9">
        <v>91362809</v>
      </c>
      <c r="AC31" s="9">
        <v>155.57</v>
      </c>
      <c r="AD31" s="9"/>
    </row>
    <row r="32" spans="1:30">
      <c r="A32" s="2">
        <v>239</v>
      </c>
      <c r="B32" s="7">
        <v>921</v>
      </c>
      <c r="C32" s="7" t="s">
        <v>647</v>
      </c>
      <c r="D32" s="7">
        <v>2</v>
      </c>
      <c r="E32" s="7"/>
      <c r="F32" s="7" t="s">
        <v>650</v>
      </c>
      <c r="G32" s="7" t="s">
        <v>650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7"/>
      <c r="T32" s="2">
        <v>239</v>
      </c>
      <c r="U32" s="7"/>
      <c r="V32" s="7"/>
      <c r="W32" s="7" t="s">
        <v>1352</v>
      </c>
      <c r="X32" s="31">
        <v>29065.49</v>
      </c>
      <c r="Y32" s="7"/>
      <c r="Z32" s="7" t="s">
        <v>1353</v>
      </c>
      <c r="AA32" s="34">
        <v>8995.4699999999993</v>
      </c>
      <c r="AB32" s="7">
        <v>90263081</v>
      </c>
      <c r="AC32" s="7">
        <v>155.57</v>
      </c>
      <c r="AD32" s="7"/>
    </row>
    <row r="33" spans="1:30">
      <c r="A33" s="77">
        <v>240</v>
      </c>
      <c r="B33" s="50">
        <v>921</v>
      </c>
      <c r="C33" s="9" t="s">
        <v>648</v>
      </c>
      <c r="D33" s="9">
        <v>2</v>
      </c>
      <c r="E33" s="9"/>
      <c r="F33" s="9" t="s">
        <v>650</v>
      </c>
      <c r="G33" s="9" t="s">
        <v>650</v>
      </c>
      <c r="H33" s="9"/>
      <c r="I33" s="9"/>
      <c r="J33" s="9"/>
      <c r="K33" s="9"/>
      <c r="L33" s="9"/>
      <c r="M33" s="9"/>
      <c r="N33" s="9"/>
      <c r="O33" s="9"/>
      <c r="P33" s="9" t="s">
        <v>650</v>
      </c>
      <c r="Q33" s="9"/>
      <c r="R33" s="9"/>
      <c r="S33" s="17"/>
      <c r="T33" s="4">
        <v>240</v>
      </c>
      <c r="U33" s="9"/>
      <c r="V33" s="9" t="s">
        <v>711</v>
      </c>
      <c r="W33" s="9" t="s">
        <v>1354</v>
      </c>
      <c r="X33" s="32">
        <v>39703.74</v>
      </c>
      <c r="Y33" s="9">
        <v>92608558</v>
      </c>
      <c r="Z33" s="53">
        <v>44708</v>
      </c>
      <c r="AA33" s="35">
        <v>9273.68</v>
      </c>
      <c r="AB33" s="9">
        <v>92608558</v>
      </c>
      <c r="AC33" s="9">
        <v>155.57</v>
      </c>
      <c r="AD33" s="9"/>
    </row>
    <row r="34" spans="1:30">
      <c r="A34" s="2">
        <v>241</v>
      </c>
      <c r="B34" s="7">
        <v>902</v>
      </c>
      <c r="C34" s="7" t="s">
        <v>647</v>
      </c>
      <c r="D34" s="7">
        <v>2</v>
      </c>
      <c r="E34" s="7">
        <v>1</v>
      </c>
      <c r="F34" s="7" t="s">
        <v>650</v>
      </c>
      <c r="G34" s="7" t="s">
        <v>650</v>
      </c>
      <c r="H34" s="7"/>
      <c r="I34" s="7"/>
      <c r="J34" s="7"/>
      <c r="K34" s="7"/>
      <c r="L34" s="7"/>
      <c r="M34" s="7"/>
      <c r="N34" s="7"/>
      <c r="O34" s="38" t="s">
        <v>650</v>
      </c>
      <c r="P34" s="7"/>
      <c r="Q34" s="7"/>
      <c r="R34" s="7"/>
      <c r="S34" s="17"/>
      <c r="T34" s="2">
        <v>241</v>
      </c>
      <c r="U34" s="7"/>
      <c r="V34" s="7"/>
      <c r="W34" s="7" t="s">
        <v>1355</v>
      </c>
      <c r="X34" s="31">
        <v>38939.019999999997</v>
      </c>
      <c r="Y34" s="7">
        <v>90939868</v>
      </c>
      <c r="Z34" s="7" t="s">
        <v>1356</v>
      </c>
      <c r="AA34" s="34">
        <v>8992.11</v>
      </c>
      <c r="AB34" s="7">
        <v>90939868</v>
      </c>
      <c r="AC34" s="7">
        <v>155.57</v>
      </c>
      <c r="AD34" s="7"/>
    </row>
    <row r="35" spans="1:30">
      <c r="A35" s="77">
        <v>242</v>
      </c>
      <c r="B35" s="50">
        <v>913</v>
      </c>
      <c r="C35" s="9" t="s">
        <v>647</v>
      </c>
      <c r="D35" s="9">
        <v>3</v>
      </c>
      <c r="E35" s="9"/>
      <c r="F35" s="50" t="s">
        <v>650</v>
      </c>
      <c r="G35" s="9"/>
      <c r="H35" s="9"/>
      <c r="I35" s="9"/>
      <c r="J35" s="9"/>
      <c r="K35" s="38" t="s">
        <v>650</v>
      </c>
      <c r="L35" s="9"/>
      <c r="M35" s="9"/>
      <c r="N35" s="38" t="s">
        <v>650</v>
      </c>
      <c r="O35" s="38" t="s">
        <v>650</v>
      </c>
      <c r="P35" s="9"/>
      <c r="Q35" s="38" t="s">
        <v>650</v>
      </c>
      <c r="R35" s="9"/>
      <c r="S35" s="17"/>
      <c r="T35" s="4">
        <v>242</v>
      </c>
      <c r="U35" s="9"/>
      <c r="V35" s="9"/>
      <c r="W35" s="9" t="s">
        <v>1357</v>
      </c>
      <c r="X35" s="32">
        <v>57024.28</v>
      </c>
      <c r="Y35" s="9">
        <v>91102117</v>
      </c>
      <c r="Z35" s="50" t="s">
        <v>1351</v>
      </c>
      <c r="AA35" s="35">
        <v>12291.05</v>
      </c>
      <c r="AB35" s="9">
        <v>91102117</v>
      </c>
      <c r="AC35" s="9">
        <v>155.57</v>
      </c>
      <c r="AD35" s="9"/>
    </row>
    <row r="36" spans="1:30">
      <c r="A36" s="2">
        <v>243</v>
      </c>
      <c r="B36" s="7">
        <v>915</v>
      </c>
      <c r="C36" s="7" t="s">
        <v>648</v>
      </c>
      <c r="D36" s="7">
        <v>3</v>
      </c>
      <c r="E36" s="7"/>
      <c r="F36" s="7" t="s">
        <v>650</v>
      </c>
      <c r="G36" s="7"/>
      <c r="H36" s="7"/>
      <c r="I36" s="7"/>
      <c r="J36" s="7" t="s">
        <v>650</v>
      </c>
      <c r="K36" s="7"/>
      <c r="L36" s="7"/>
      <c r="M36" s="7"/>
      <c r="N36" s="38" t="s">
        <v>650</v>
      </c>
      <c r="O36" s="7"/>
      <c r="P36" s="38" t="s">
        <v>650</v>
      </c>
      <c r="Q36" s="7"/>
      <c r="R36" s="7"/>
      <c r="S36" s="17"/>
      <c r="T36" s="2">
        <v>243</v>
      </c>
      <c r="U36" s="7"/>
      <c r="V36" s="7"/>
      <c r="W36" s="7" t="s">
        <v>1358</v>
      </c>
      <c r="X36" s="31">
        <v>52412.26</v>
      </c>
      <c r="Y36" s="7">
        <v>91584150</v>
      </c>
      <c r="Z36" s="7" t="s">
        <v>1359</v>
      </c>
      <c r="AA36" s="34">
        <v>10324.379999999999</v>
      </c>
      <c r="AB36" s="7">
        <v>91584150</v>
      </c>
      <c r="AC36" s="7">
        <v>155.57</v>
      </c>
      <c r="AD36" s="7"/>
    </row>
    <row r="37" spans="1:30">
      <c r="A37" s="77">
        <v>244</v>
      </c>
      <c r="B37" s="50">
        <v>903</v>
      </c>
      <c r="C37" s="9" t="s">
        <v>649</v>
      </c>
      <c r="D37" s="9">
        <v>3</v>
      </c>
      <c r="E37" s="9">
        <v>1</v>
      </c>
      <c r="F37" s="9" t="s">
        <v>650</v>
      </c>
      <c r="G37" s="9"/>
      <c r="H37" s="9" t="s">
        <v>650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17"/>
      <c r="T37" s="4">
        <v>244</v>
      </c>
      <c r="U37" s="4"/>
      <c r="V37" s="4"/>
      <c r="W37" s="9" t="s">
        <v>1360</v>
      </c>
      <c r="X37" s="32">
        <v>56869.59</v>
      </c>
      <c r="Y37" s="9">
        <v>92608694</v>
      </c>
      <c r="Z37" s="77" t="s">
        <v>1361</v>
      </c>
      <c r="AA37" s="35">
        <v>10052.31</v>
      </c>
      <c r="AB37" s="9">
        <v>92608694</v>
      </c>
      <c r="AC37" s="9">
        <v>155.57</v>
      </c>
      <c r="AD37" s="4"/>
    </row>
    <row r="38" spans="1:30">
      <c r="A38" s="2">
        <v>245</v>
      </c>
      <c r="B38" s="7">
        <v>913</v>
      </c>
      <c r="C38" s="7" t="s">
        <v>647</v>
      </c>
      <c r="D38" s="7">
        <v>3</v>
      </c>
      <c r="E38" s="2"/>
      <c r="F38" s="7" t="s">
        <v>650</v>
      </c>
      <c r="G38" s="7" t="s">
        <v>650</v>
      </c>
      <c r="H38" s="7"/>
      <c r="I38" s="7"/>
      <c r="J38" s="7"/>
      <c r="K38" s="7"/>
      <c r="L38" s="7"/>
      <c r="M38" s="7"/>
      <c r="N38" s="7" t="s">
        <v>650</v>
      </c>
      <c r="O38" s="7" t="s">
        <v>650</v>
      </c>
      <c r="P38" s="7"/>
      <c r="Q38" s="7" t="s">
        <v>650</v>
      </c>
      <c r="R38" s="7"/>
      <c r="S38" s="17"/>
      <c r="T38" s="2">
        <v>245</v>
      </c>
      <c r="U38" s="7"/>
      <c r="V38" s="7"/>
      <c r="W38" s="7" t="s">
        <v>1362</v>
      </c>
      <c r="X38" s="31">
        <v>57024.28</v>
      </c>
      <c r="Y38" s="7">
        <v>92608911</v>
      </c>
      <c r="Z38" s="7" t="s">
        <v>1363</v>
      </c>
      <c r="AA38" s="34">
        <v>12291.05</v>
      </c>
      <c r="AB38" s="7">
        <v>92608911</v>
      </c>
      <c r="AC38" s="7">
        <v>155.57</v>
      </c>
      <c r="AD38" s="7"/>
    </row>
    <row r="39" spans="1:30">
      <c r="A39" s="4">
        <v>246</v>
      </c>
      <c r="B39" s="4" t="s">
        <v>1364</v>
      </c>
      <c r="C39" s="4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7"/>
      <c r="T39" s="4">
        <v>246</v>
      </c>
      <c r="U39" s="4"/>
      <c r="V39" s="4"/>
      <c r="W39" s="4"/>
      <c r="X39" s="39"/>
      <c r="Y39" s="4"/>
      <c r="Z39" s="4"/>
      <c r="AA39" s="36"/>
      <c r="AB39" s="4"/>
      <c r="AC39" s="4"/>
      <c r="AD39" s="4"/>
    </row>
    <row r="40" spans="1:30">
      <c r="A40" s="2">
        <v>247</v>
      </c>
      <c r="B40" s="7">
        <v>915</v>
      </c>
      <c r="C40" s="7" t="s">
        <v>649</v>
      </c>
      <c r="D40" s="7">
        <v>2</v>
      </c>
      <c r="E40" s="7">
        <v>1</v>
      </c>
      <c r="F40" s="7" t="s">
        <v>650</v>
      </c>
      <c r="G40" s="7"/>
      <c r="H40" s="7"/>
      <c r="I40" s="7"/>
      <c r="J40" s="7" t="s">
        <v>650</v>
      </c>
      <c r="K40" s="7"/>
      <c r="L40" s="7"/>
      <c r="M40" s="7"/>
      <c r="N40" s="7" t="s">
        <v>650</v>
      </c>
      <c r="O40" s="7"/>
      <c r="P40" s="7" t="s">
        <v>650</v>
      </c>
      <c r="Q40" s="7"/>
      <c r="R40" s="7"/>
      <c r="S40" s="17"/>
      <c r="T40" s="2">
        <v>247</v>
      </c>
      <c r="U40" s="7" t="s">
        <v>1365</v>
      </c>
      <c r="V40" s="7" t="s">
        <v>1328</v>
      </c>
      <c r="W40" s="7" t="s">
        <v>1366</v>
      </c>
      <c r="X40" s="31" t="s">
        <v>1367</v>
      </c>
      <c r="Y40" s="7" t="s">
        <v>1368</v>
      </c>
      <c r="Z40" s="7" t="s">
        <v>1369</v>
      </c>
      <c r="AA40" s="7">
        <v>10324.379999999999</v>
      </c>
      <c r="AB40" s="7">
        <v>92608994</v>
      </c>
      <c r="AC40" s="7">
        <v>155.57</v>
      </c>
      <c r="AD40" s="7"/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90"/>
  <sheetViews>
    <sheetView topLeftCell="A51" workbookViewId="0">
      <selection activeCell="A2" sqref="A2"/>
    </sheetView>
  </sheetViews>
  <sheetFormatPr defaultColWidth="8.85546875" defaultRowHeight="14.45"/>
  <cols>
    <col min="1" max="1" width="18" bestFit="1" customWidth="1"/>
    <col min="2" max="2" width="9.5703125" style="5" bestFit="1" customWidth="1"/>
    <col min="3" max="3" width="11.28515625" style="5" bestFit="1" customWidth="1"/>
    <col min="4" max="16384" width="8.85546875" style="5"/>
  </cols>
  <sheetData>
    <row r="1" spans="1:3" ht="17.45" customHeight="1">
      <c r="A1" s="3" t="s">
        <v>1290</v>
      </c>
      <c r="B1" s="5" t="s">
        <v>1291</v>
      </c>
      <c r="C1" s="5" t="s">
        <v>1292</v>
      </c>
    </row>
    <row r="2" spans="1:3">
      <c r="A2" s="2" t="s">
        <v>1370</v>
      </c>
      <c r="B2" s="7"/>
      <c r="C2" s="18" t="s">
        <v>1371</v>
      </c>
    </row>
    <row r="3" spans="1:3">
      <c r="A3" s="2" t="s">
        <v>1372</v>
      </c>
      <c r="B3" s="7"/>
      <c r="C3" s="18" t="s">
        <v>1373</v>
      </c>
    </row>
    <row r="4" spans="1:3">
      <c r="A4" s="2" t="s">
        <v>1374</v>
      </c>
      <c r="B4" s="7"/>
      <c r="C4" s="18" t="s">
        <v>1375</v>
      </c>
    </row>
    <row r="5" spans="1:3">
      <c r="A5" s="2" t="s">
        <v>1376</v>
      </c>
      <c r="B5" s="8"/>
      <c r="C5" s="18" t="s">
        <v>1377</v>
      </c>
    </row>
    <row r="6" spans="1:3">
      <c r="A6" s="2" t="s">
        <v>1378</v>
      </c>
      <c r="B6" s="8"/>
      <c r="C6" s="18" t="s">
        <v>1379</v>
      </c>
    </row>
    <row r="7" spans="1:3">
      <c r="A7" s="2" t="s">
        <v>1380</v>
      </c>
      <c r="B7" s="7"/>
      <c r="C7" s="18" t="s">
        <v>1381</v>
      </c>
    </row>
    <row r="8" spans="1:3">
      <c r="A8" s="2" t="s">
        <v>1382</v>
      </c>
      <c r="B8" s="8">
        <v>44690</v>
      </c>
      <c r="C8" s="18" t="s">
        <v>1373</v>
      </c>
    </row>
    <row r="9" spans="1:3">
      <c r="A9" s="2" t="s">
        <v>1383</v>
      </c>
      <c r="B9" s="8">
        <v>44690</v>
      </c>
      <c r="C9" s="18" t="s">
        <v>1384</v>
      </c>
    </row>
    <row r="10" spans="1:3">
      <c r="A10" s="2" t="s">
        <v>1385</v>
      </c>
      <c r="B10" s="8">
        <v>44690</v>
      </c>
      <c r="C10" s="18" t="s">
        <v>1386</v>
      </c>
    </row>
    <row r="11" spans="1:3">
      <c r="A11" s="2" t="s">
        <v>1387</v>
      </c>
      <c r="B11" s="8">
        <v>44687</v>
      </c>
      <c r="C11" s="18" t="s">
        <v>1388</v>
      </c>
    </row>
    <row r="12" spans="1:3">
      <c r="A12" s="2" t="s">
        <v>1389</v>
      </c>
      <c r="B12" s="7"/>
      <c r="C12" s="18" t="s">
        <v>1390</v>
      </c>
    </row>
    <row r="13" spans="1:3">
      <c r="A13" s="2" t="s">
        <v>1391</v>
      </c>
      <c r="B13" s="7"/>
      <c r="C13" s="18" t="s">
        <v>1392</v>
      </c>
    </row>
    <row r="14" spans="1:3">
      <c r="A14" s="2" t="s">
        <v>1393</v>
      </c>
      <c r="B14" s="7"/>
      <c r="C14" s="18" t="s">
        <v>1394</v>
      </c>
    </row>
    <row r="15" spans="1:3">
      <c r="A15" s="2" t="s">
        <v>1395</v>
      </c>
      <c r="B15" s="7"/>
      <c r="C15" s="18" t="s">
        <v>1379</v>
      </c>
    </row>
    <row r="16" spans="1:3">
      <c r="A16" s="2" t="s">
        <v>1396</v>
      </c>
      <c r="B16" s="7"/>
      <c r="C16" s="18"/>
    </row>
    <row r="17" spans="1:3">
      <c r="A17" s="2" t="s">
        <v>1397</v>
      </c>
      <c r="B17" s="7"/>
      <c r="C17" s="18"/>
    </row>
    <row r="18" spans="1:3">
      <c r="A18" s="2" t="s">
        <v>1398</v>
      </c>
      <c r="B18" s="8">
        <v>44678</v>
      </c>
      <c r="C18" s="18" t="s">
        <v>1399</v>
      </c>
    </row>
    <row r="19" spans="1:3">
      <c r="A19" s="2" t="s">
        <v>1400</v>
      </c>
      <c r="B19" s="8">
        <v>44677</v>
      </c>
      <c r="C19" s="18" t="s">
        <v>1401</v>
      </c>
    </row>
    <row r="20" spans="1:3">
      <c r="A20" s="2" t="s">
        <v>1402</v>
      </c>
      <c r="B20" s="8">
        <v>44676</v>
      </c>
      <c r="C20" s="76" t="s">
        <v>1403</v>
      </c>
    </row>
    <row r="21" spans="1:3">
      <c r="A21" s="2" t="s">
        <v>1404</v>
      </c>
      <c r="B21" s="7"/>
      <c r="C21" s="18" t="s">
        <v>1373</v>
      </c>
    </row>
    <row r="22" spans="1:3">
      <c r="A22" s="2" t="s">
        <v>1405</v>
      </c>
      <c r="B22" s="7"/>
      <c r="C22" s="18" t="s">
        <v>1375</v>
      </c>
    </row>
    <row r="23" spans="1:3">
      <c r="A23" s="2" t="s">
        <v>1406</v>
      </c>
      <c r="B23" s="8">
        <v>44671</v>
      </c>
      <c r="C23" s="18" t="s">
        <v>1377</v>
      </c>
    </row>
    <row r="24" spans="1:3">
      <c r="A24" s="2" t="s">
        <v>1407</v>
      </c>
      <c r="B24" s="7"/>
      <c r="C24" s="18" t="s">
        <v>1408</v>
      </c>
    </row>
    <row r="25" spans="1:3" ht="13.9" customHeight="1">
      <c r="A25" s="2" t="s">
        <v>1409</v>
      </c>
      <c r="B25" s="7"/>
      <c r="C25" s="18" t="s">
        <v>1386</v>
      </c>
    </row>
    <row r="26" spans="1:3">
      <c r="A26" s="2" t="s">
        <v>1410</v>
      </c>
      <c r="B26" s="8"/>
      <c r="C26" s="18" t="s">
        <v>1411</v>
      </c>
    </row>
    <row r="27" spans="1:3">
      <c r="A27" s="2" t="s">
        <v>1412</v>
      </c>
      <c r="B27" s="8">
        <v>44670</v>
      </c>
      <c r="C27" s="18" t="s">
        <v>1379</v>
      </c>
    </row>
    <row r="28" spans="1:3">
      <c r="A28" s="2" t="s">
        <v>1413</v>
      </c>
      <c r="B28" s="8">
        <v>44670</v>
      </c>
      <c r="C28" s="18" t="s">
        <v>1414</v>
      </c>
    </row>
    <row r="29" spans="1:3">
      <c r="A29" s="2" t="s">
        <v>1415</v>
      </c>
      <c r="B29" s="7"/>
      <c r="C29" s="18" t="s">
        <v>1386</v>
      </c>
    </row>
    <row r="30" spans="1:3">
      <c r="A30" s="2" t="s">
        <v>1416</v>
      </c>
      <c r="B30" s="7"/>
      <c r="C30" s="18" t="s">
        <v>1381</v>
      </c>
    </row>
    <row r="31" spans="1:3">
      <c r="A31" s="2" t="s">
        <v>1417</v>
      </c>
      <c r="B31" s="8">
        <v>44664</v>
      </c>
      <c r="C31" s="18" t="s">
        <v>1418</v>
      </c>
    </row>
    <row r="32" spans="1:3">
      <c r="A32" s="2" t="s">
        <v>1419</v>
      </c>
      <c r="B32" s="8">
        <v>44662</v>
      </c>
      <c r="C32" s="18" t="s">
        <v>1420</v>
      </c>
    </row>
    <row r="33" spans="1:3">
      <c r="A33" s="2" t="s">
        <v>1421</v>
      </c>
      <c r="B33" s="8"/>
      <c r="C33" s="18" t="s">
        <v>1422</v>
      </c>
    </row>
    <row r="34" spans="1:3">
      <c r="A34" s="2" t="s">
        <v>1423</v>
      </c>
      <c r="B34" s="7"/>
      <c r="C34" s="18" t="s">
        <v>1424</v>
      </c>
    </row>
    <row r="35" spans="1:3">
      <c r="A35" s="2" t="s">
        <v>1425</v>
      </c>
      <c r="B35" s="7"/>
      <c r="C35" s="18" t="s">
        <v>1426</v>
      </c>
    </row>
    <row r="36" spans="1:3">
      <c r="A36" s="2" t="s">
        <v>1427</v>
      </c>
      <c r="B36" s="7"/>
      <c r="C36" s="18"/>
    </row>
    <row r="37" spans="1:3">
      <c r="A37" s="2" t="s">
        <v>1428</v>
      </c>
      <c r="B37" s="7"/>
      <c r="C37" s="18" t="s">
        <v>1373</v>
      </c>
    </row>
    <row r="38" spans="1:3">
      <c r="A38" t="s">
        <v>1429</v>
      </c>
      <c r="B38" s="65">
        <v>44650</v>
      </c>
      <c r="C38" s="5" t="s">
        <v>1430</v>
      </c>
    </row>
    <row r="39" spans="1:3">
      <c r="A39" s="2" t="s">
        <v>1431</v>
      </c>
      <c r="B39" s="8">
        <v>44650</v>
      </c>
      <c r="C39" s="18" t="s">
        <v>1432</v>
      </c>
    </row>
    <row r="40" spans="1:3">
      <c r="A40" s="2" t="s">
        <v>1433</v>
      </c>
      <c r="B40" s="7"/>
      <c r="C40" s="18" t="s">
        <v>1379</v>
      </c>
    </row>
    <row r="41" spans="1:3">
      <c r="A41" s="2" t="s">
        <v>1434</v>
      </c>
      <c r="B41" s="8">
        <v>44649</v>
      </c>
      <c r="C41" s="18" t="s">
        <v>1399</v>
      </c>
    </row>
    <row r="42" spans="1:3">
      <c r="A42" s="2" t="s">
        <v>1435</v>
      </c>
      <c r="B42" s="8">
        <v>44644</v>
      </c>
      <c r="C42" s="18" t="s">
        <v>1411</v>
      </c>
    </row>
    <row r="43" spans="1:3">
      <c r="A43" s="2" t="s">
        <v>1436</v>
      </c>
      <c r="B43" s="7"/>
      <c r="C43" s="18" t="s">
        <v>1408</v>
      </c>
    </row>
    <row r="44" spans="1:3" ht="13.9" customHeight="1">
      <c r="A44" s="2" t="s">
        <v>1437</v>
      </c>
      <c r="B44" s="7"/>
      <c r="C44" s="18" t="s">
        <v>1386</v>
      </c>
    </row>
    <row r="45" spans="1:3">
      <c r="A45" s="2" t="s">
        <v>1438</v>
      </c>
      <c r="B45" s="8"/>
      <c r="C45" s="18" t="s">
        <v>1439</v>
      </c>
    </row>
    <row r="46" spans="1:3">
      <c r="A46" s="2" t="s">
        <v>1440</v>
      </c>
      <c r="B46" s="8">
        <v>44642</v>
      </c>
      <c r="C46" s="18" t="s">
        <v>1441</v>
      </c>
    </row>
    <row r="47" spans="1:3">
      <c r="A47" s="2" t="s">
        <v>1442</v>
      </c>
      <c r="B47" s="7"/>
      <c r="C47" s="18" t="s">
        <v>1443</v>
      </c>
    </row>
    <row r="48" spans="1:3">
      <c r="A48" s="2" t="s">
        <v>1444</v>
      </c>
      <c r="B48" s="7"/>
      <c r="C48" s="18" t="s">
        <v>1445</v>
      </c>
    </row>
    <row r="49" spans="1:3">
      <c r="A49" s="2" t="s">
        <v>1446</v>
      </c>
      <c r="B49" s="7"/>
      <c r="C49" s="18" t="s">
        <v>1392</v>
      </c>
    </row>
    <row r="50" spans="1:3">
      <c r="A50" s="2" t="s">
        <v>1447</v>
      </c>
      <c r="B50" s="7"/>
      <c r="C50" s="18" t="s">
        <v>1420</v>
      </c>
    </row>
    <row r="51" spans="1:3">
      <c r="A51" s="2" t="s">
        <v>1448</v>
      </c>
      <c r="B51" s="7" t="s">
        <v>289</v>
      </c>
      <c r="C51" s="18" t="s">
        <v>1375</v>
      </c>
    </row>
    <row r="52" spans="1:3">
      <c r="A52" s="2" t="s">
        <v>1449</v>
      </c>
      <c r="B52" s="7"/>
      <c r="C52" s="18" t="s">
        <v>1450</v>
      </c>
    </row>
    <row r="53" spans="1:3">
      <c r="A53" s="2" t="s">
        <v>1451</v>
      </c>
      <c r="B53" s="7"/>
      <c r="C53" s="18" t="s">
        <v>1375</v>
      </c>
    </row>
    <row r="54" spans="1:3">
      <c r="A54" s="2" t="s">
        <v>1452</v>
      </c>
      <c r="B54" s="7"/>
      <c r="C54" s="18" t="s">
        <v>1453</v>
      </c>
    </row>
    <row r="55" spans="1:3">
      <c r="A55" s="2" t="s">
        <v>1454</v>
      </c>
      <c r="B55" s="7"/>
      <c r="C55" s="18" t="s">
        <v>1455</v>
      </c>
    </row>
    <row r="56" spans="1:3">
      <c r="A56" s="2" t="s">
        <v>1456</v>
      </c>
      <c r="B56" s="7"/>
      <c r="C56" s="18" t="s">
        <v>1418</v>
      </c>
    </row>
    <row r="57" spans="1:3">
      <c r="A57" s="2" t="s">
        <v>1457</v>
      </c>
      <c r="B57" s="7"/>
      <c r="C57" s="18" t="s">
        <v>1411</v>
      </c>
    </row>
    <row r="58" spans="1:3">
      <c r="A58" s="2" t="s">
        <v>1458</v>
      </c>
      <c r="B58" s="7"/>
      <c r="C58" s="18" t="s">
        <v>1408</v>
      </c>
    </row>
    <row r="59" spans="1:3">
      <c r="A59" s="2" t="s">
        <v>1459</v>
      </c>
      <c r="B59" s="7"/>
      <c r="C59" s="18" t="s">
        <v>1399</v>
      </c>
    </row>
    <row r="60" spans="1:3">
      <c r="A60" s="2" t="s">
        <v>1460</v>
      </c>
      <c r="B60" s="7"/>
      <c r="C60" s="18" t="s">
        <v>1401</v>
      </c>
    </row>
    <row r="61" spans="1:3">
      <c r="A61" s="2" t="s">
        <v>1461</v>
      </c>
      <c r="B61" s="7"/>
      <c r="C61" s="18" t="s">
        <v>1420</v>
      </c>
    </row>
    <row r="62" spans="1:3">
      <c r="A62" s="2" t="s">
        <v>1462</v>
      </c>
      <c r="B62" s="8">
        <v>44620</v>
      </c>
      <c r="C62" s="18" t="s">
        <v>1463</v>
      </c>
    </row>
    <row r="63" spans="1:3">
      <c r="A63" s="2" t="s">
        <v>1464</v>
      </c>
      <c r="B63" s="8">
        <v>44620</v>
      </c>
      <c r="C63" s="18" t="s">
        <v>1465</v>
      </c>
    </row>
    <row r="64" spans="1:3">
      <c r="A64" s="2" t="s">
        <v>1466</v>
      </c>
      <c r="B64" s="8">
        <v>44620</v>
      </c>
      <c r="C64" s="18" t="s">
        <v>1467</v>
      </c>
    </row>
    <row r="65" spans="1:3">
      <c r="A65" s="2" t="s">
        <v>1468</v>
      </c>
      <c r="B65" s="8">
        <v>44620</v>
      </c>
      <c r="C65" s="18" t="s">
        <v>1388</v>
      </c>
    </row>
    <row r="66" spans="1:3">
      <c r="A66" s="2" t="s">
        <v>1469</v>
      </c>
      <c r="B66" s="8">
        <v>44613</v>
      </c>
      <c r="C66" s="18" t="s">
        <v>1470</v>
      </c>
    </row>
    <row r="67" spans="1:3">
      <c r="A67" s="42" t="s">
        <v>1471</v>
      </c>
      <c r="B67" s="38"/>
      <c r="C67" s="41" t="s">
        <v>1386</v>
      </c>
    </row>
    <row r="68" spans="1:3">
      <c r="A68" s="2" t="s">
        <v>1472</v>
      </c>
      <c r="B68" s="8">
        <v>44613</v>
      </c>
      <c r="C68" s="18" t="s">
        <v>1473</v>
      </c>
    </row>
    <row r="69" spans="1:3">
      <c r="A69" s="2" t="s">
        <v>1474</v>
      </c>
      <c r="B69" s="8">
        <v>44617</v>
      </c>
      <c r="C69" s="18" t="s">
        <v>1475</v>
      </c>
    </row>
    <row r="70" spans="1:3">
      <c r="A70" s="2" t="s">
        <v>1476</v>
      </c>
      <c r="B70" s="8">
        <v>44610</v>
      </c>
      <c r="C70" s="18" t="s">
        <v>1477</v>
      </c>
    </row>
    <row r="71" spans="1:3">
      <c r="A71" s="2" t="s">
        <v>1478</v>
      </c>
      <c r="B71" s="8">
        <v>44609</v>
      </c>
      <c r="C71" s="18" t="s">
        <v>1386</v>
      </c>
    </row>
    <row r="72" spans="1:3">
      <c r="A72" s="2" t="s">
        <v>1479</v>
      </c>
      <c r="B72" s="8">
        <v>44610</v>
      </c>
      <c r="C72" s="18" t="s">
        <v>1480</v>
      </c>
    </row>
    <row r="73" spans="1:3">
      <c r="A73" s="2" t="s">
        <v>1481</v>
      </c>
      <c r="B73" s="8">
        <v>44610</v>
      </c>
      <c r="C73" s="18" t="s">
        <v>1445</v>
      </c>
    </row>
    <row r="74" spans="1:3">
      <c r="A74" s="44" t="s">
        <v>1482</v>
      </c>
      <c r="B74" s="49">
        <v>44610</v>
      </c>
      <c r="C74" s="45" t="s">
        <v>1432</v>
      </c>
    </row>
    <row r="75" spans="1:3">
      <c r="A75" s="19" t="s">
        <v>1483</v>
      </c>
      <c r="B75" s="14">
        <v>44608</v>
      </c>
      <c r="C75" s="33" t="s">
        <v>1426</v>
      </c>
    </row>
    <row r="76" spans="1:3">
      <c r="A76" s="44" t="s">
        <v>1484</v>
      </c>
      <c r="B76" s="49">
        <v>44608</v>
      </c>
      <c r="C76" s="45" t="s">
        <v>1420</v>
      </c>
    </row>
    <row r="77" spans="1:3">
      <c r="A77" s="2" t="s">
        <v>1485</v>
      </c>
      <c r="B77" s="7"/>
      <c r="C77" s="18" t="s">
        <v>1426</v>
      </c>
    </row>
    <row r="78" spans="1:3">
      <c r="A78" s="42" t="s">
        <v>1486</v>
      </c>
      <c r="B78" s="38"/>
      <c r="C78" s="41"/>
    </row>
    <row r="79" spans="1:3">
      <c r="A79" s="2" t="s">
        <v>1487</v>
      </c>
      <c r="B79" s="8">
        <v>44607</v>
      </c>
      <c r="C79" s="18" t="s">
        <v>1422</v>
      </c>
    </row>
    <row r="80" spans="1:3">
      <c r="A80" s="2" t="s">
        <v>1488</v>
      </c>
      <c r="B80" s="7"/>
      <c r="C80" s="18"/>
    </row>
    <row r="81" spans="1:3">
      <c r="A81" s="2" t="s">
        <v>1489</v>
      </c>
      <c r="B81" s="8">
        <v>44602</v>
      </c>
      <c r="C81" s="18" t="s">
        <v>1490</v>
      </c>
    </row>
    <row r="82" spans="1:3">
      <c r="A82" s="20" t="s">
        <v>1491</v>
      </c>
      <c r="B82" s="7"/>
      <c r="C82" s="18" t="s">
        <v>1492</v>
      </c>
    </row>
    <row r="83" spans="1:3">
      <c r="A83" s="2" t="s">
        <v>1493</v>
      </c>
      <c r="B83" s="7"/>
      <c r="C83" s="18" t="s">
        <v>1494</v>
      </c>
    </row>
    <row r="84" spans="1:3">
      <c r="A84" s="19" t="s">
        <v>1495</v>
      </c>
      <c r="B84" s="7"/>
      <c r="C84" s="18" t="s">
        <v>1463</v>
      </c>
    </row>
    <row r="85" spans="1:3">
      <c r="A85" s="19" t="s">
        <v>1496</v>
      </c>
      <c r="B85" s="8">
        <v>44594</v>
      </c>
      <c r="C85" s="18" t="s">
        <v>1375</v>
      </c>
    </row>
    <row r="86" spans="1:3">
      <c r="A86" s="19" t="s">
        <v>1458</v>
      </c>
      <c r="B86" s="14">
        <v>44594</v>
      </c>
      <c r="C86" s="33" t="s">
        <v>1497</v>
      </c>
    </row>
    <row r="87" spans="1:3">
      <c r="A87" s="19" t="s">
        <v>1498</v>
      </c>
      <c r="B87" s="7"/>
      <c r="C87" s="18"/>
    </row>
    <row r="88" spans="1:3">
      <c r="A88" s="20" t="s">
        <v>1499</v>
      </c>
      <c r="B88" s="7"/>
      <c r="C88" s="18" t="s">
        <v>1497</v>
      </c>
    </row>
    <row r="89" spans="1:3" ht="13.9" customHeight="1">
      <c r="A89" s="2" t="s">
        <v>1500</v>
      </c>
      <c r="B89" s="7"/>
      <c r="C89" s="18"/>
    </row>
    <row r="90" spans="1:3">
      <c r="A90" s="2" t="s">
        <v>1501</v>
      </c>
      <c r="B90" s="7"/>
      <c r="C90" s="18"/>
    </row>
  </sheetData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5855-277E-4B60-B6B0-BEA8DFE06DDD}">
  <sheetPr codeName="Sheet1"/>
  <dimension ref="A1:AR73"/>
  <sheetViews>
    <sheetView zoomScale="80" zoomScaleNormal="80" workbookViewId="0">
      <pane ySplit="2" topLeftCell="A3" activePane="bottomLeft" state="frozen"/>
      <selection pane="bottomLeft" activeCell="V12" sqref="V12"/>
      <selection activeCell="V12" sqref="V12"/>
    </sheetView>
  </sheetViews>
  <sheetFormatPr defaultColWidth="8.85546875" defaultRowHeight="14.45"/>
  <cols>
    <col min="1" max="1" width="23.7109375" style="5" bestFit="1" customWidth="1"/>
    <col min="2" max="2" width="8.85546875" style="5"/>
    <col min="3" max="3" width="5.5703125" style="5" bestFit="1" customWidth="1"/>
    <col min="4" max="10" width="5.28515625" style="5" customWidth="1"/>
    <col min="11" max="11" width="8.5703125" style="5" customWidth="1"/>
    <col min="12" max="15" width="5.28515625" style="5" customWidth="1"/>
    <col min="16" max="17" width="5.28515625" customWidth="1"/>
    <col min="18" max="20" width="5.28515625" style="5" customWidth="1"/>
    <col min="21" max="21" width="0.7109375" style="11" customWidth="1"/>
    <col min="22" max="22" width="24.42578125" style="5" bestFit="1" customWidth="1"/>
    <col min="23" max="24" width="4.7109375" style="5" bestFit="1" customWidth="1"/>
    <col min="25" max="25" width="8.140625" style="96" bestFit="1" customWidth="1"/>
    <col min="26" max="26" width="11.5703125" style="5" bestFit="1" customWidth="1"/>
    <col min="27" max="29" width="10.85546875" style="5" bestFit="1" customWidth="1"/>
    <col min="30" max="30" width="12.7109375" style="5" bestFit="1" customWidth="1"/>
    <col min="31" max="31" width="27" style="180" bestFit="1" customWidth="1"/>
    <col min="32" max="32" width="26.28515625" style="325" bestFit="1" customWidth="1"/>
    <col min="33" max="33" width="27" style="187" bestFit="1" customWidth="1"/>
    <col min="34" max="34" width="26.28515625" style="188" bestFit="1" customWidth="1"/>
    <col min="35" max="35" width="27" style="187" bestFit="1" customWidth="1"/>
    <col min="36" max="36" width="26.28515625" style="188" bestFit="1" customWidth="1"/>
    <col min="37" max="37" width="21.42578125" style="317" bestFit="1" customWidth="1"/>
    <col min="38" max="38" width="21.42578125" style="404" bestFit="1" customWidth="1"/>
    <col min="39" max="39" width="21.42578125" style="215" bestFit="1" customWidth="1"/>
    <col min="40" max="40" width="19" style="316" bestFit="1" customWidth="1"/>
    <col min="41" max="41" width="28.7109375" style="219" bestFit="1" customWidth="1"/>
    <col min="42" max="42" width="17.140625" style="247" bestFit="1" customWidth="1"/>
    <col min="43" max="43" width="25.7109375" style="343" bestFit="1" customWidth="1"/>
    <col min="44" max="44" width="19" style="344" bestFit="1" customWidth="1"/>
    <col min="45" max="16384" width="8.85546875" style="5"/>
  </cols>
  <sheetData>
    <row r="1" spans="1:44" ht="18.600000000000001">
      <c r="A1" s="22" t="s">
        <v>1502</v>
      </c>
      <c r="B1" s="23"/>
      <c r="C1" s="23"/>
      <c r="D1" s="24"/>
      <c r="E1" s="1035" t="s">
        <v>915</v>
      </c>
      <c r="F1" s="1036"/>
      <c r="G1" s="1037" t="s">
        <v>1503</v>
      </c>
      <c r="H1" s="1037"/>
      <c r="I1" s="1037"/>
      <c r="J1" s="1037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94"/>
      <c r="Z1" s="24"/>
      <c r="AA1" s="24"/>
      <c r="AB1" s="24"/>
      <c r="AC1" s="24"/>
      <c r="AD1" s="24"/>
      <c r="AE1" s="293"/>
      <c r="AF1" s="297"/>
      <c r="AG1" s="294"/>
      <c r="AH1" s="297"/>
      <c r="AI1" s="294"/>
      <c r="AJ1" s="297"/>
      <c r="AK1" s="294"/>
      <c r="AL1" s="298"/>
      <c r="AM1" s="294"/>
      <c r="AN1" s="297"/>
      <c r="AO1" s="294"/>
      <c r="AP1" s="294"/>
      <c r="AQ1" s="295"/>
      <c r="AR1" s="299"/>
    </row>
    <row r="2" spans="1:44" s="81" customFormat="1" ht="138" customHeight="1" thickBot="1">
      <c r="A2" s="104" t="s">
        <v>612</v>
      </c>
      <c r="B2" s="101" t="s">
        <v>613</v>
      </c>
      <c r="C2" s="101" t="s">
        <v>614</v>
      </c>
      <c r="D2" s="89" t="s">
        <v>615</v>
      </c>
      <c r="E2" s="92" t="s">
        <v>89</v>
      </c>
      <c r="F2" s="92" t="s">
        <v>365</v>
      </c>
      <c r="G2" s="92" t="s">
        <v>150</v>
      </c>
      <c r="H2" s="92" t="s">
        <v>617</v>
      </c>
      <c r="I2" s="92" t="s">
        <v>159</v>
      </c>
      <c r="J2" s="92" t="s">
        <v>152</v>
      </c>
      <c r="K2" s="90" t="s">
        <v>154</v>
      </c>
      <c r="L2" s="89" t="s">
        <v>107</v>
      </c>
      <c r="M2" s="89" t="s">
        <v>274</v>
      </c>
      <c r="N2" s="89" t="s">
        <v>298</v>
      </c>
      <c r="O2" s="89" t="s">
        <v>111</v>
      </c>
      <c r="P2" s="89" t="s">
        <v>161</v>
      </c>
      <c r="Q2" s="89" t="s">
        <v>146</v>
      </c>
      <c r="R2" s="89" t="s">
        <v>120</v>
      </c>
      <c r="S2" s="89" t="s">
        <v>191</v>
      </c>
      <c r="T2" s="89" t="s">
        <v>1195</v>
      </c>
      <c r="U2" s="91" t="s">
        <v>289</v>
      </c>
      <c r="V2" s="88" t="s">
        <v>612</v>
      </c>
      <c r="W2" s="89" t="s">
        <v>621</v>
      </c>
      <c r="X2" s="89" t="s">
        <v>622</v>
      </c>
      <c r="Y2" s="95" t="s">
        <v>624</v>
      </c>
      <c r="Z2" s="93" t="s">
        <v>918</v>
      </c>
      <c r="AA2" s="89" t="s">
        <v>626</v>
      </c>
      <c r="AB2" s="89" t="s">
        <v>919</v>
      </c>
      <c r="AC2" s="89" t="s">
        <v>920</v>
      </c>
      <c r="AD2" s="165" t="s">
        <v>630</v>
      </c>
      <c r="AE2" s="306" t="s">
        <v>631</v>
      </c>
      <c r="AF2" s="324" t="s">
        <v>632</v>
      </c>
      <c r="AG2" s="331" t="s">
        <v>663</v>
      </c>
      <c r="AH2" s="332" t="s">
        <v>664</v>
      </c>
      <c r="AI2" s="331" t="s">
        <v>1053</v>
      </c>
      <c r="AJ2" s="332" t="s">
        <v>1054</v>
      </c>
      <c r="AK2" s="326" t="s">
        <v>665</v>
      </c>
      <c r="AL2" s="400" t="s">
        <v>666</v>
      </c>
      <c r="AM2" s="206" t="s">
        <v>927</v>
      </c>
      <c r="AN2" s="318" t="s">
        <v>928</v>
      </c>
      <c r="AO2" s="333" t="s">
        <v>978</v>
      </c>
      <c r="AP2" s="334" t="s">
        <v>642</v>
      </c>
      <c r="AQ2" s="335" t="s">
        <v>930</v>
      </c>
      <c r="AR2" s="232" t="s">
        <v>644</v>
      </c>
    </row>
    <row r="3" spans="1:44">
      <c r="A3" s="7" t="s">
        <v>1504</v>
      </c>
      <c r="B3" s="7">
        <v>915</v>
      </c>
      <c r="C3" s="7" t="s">
        <v>649</v>
      </c>
      <c r="D3" s="7">
        <v>2</v>
      </c>
      <c r="E3" s="7"/>
      <c r="F3" s="7"/>
      <c r="G3" s="7" t="s">
        <v>289</v>
      </c>
      <c r="H3" s="7" t="s">
        <v>650</v>
      </c>
      <c r="I3" s="7"/>
      <c r="J3" s="7"/>
      <c r="K3" s="7" t="s">
        <v>289</v>
      </c>
      <c r="L3" s="7"/>
      <c r="M3" s="7"/>
      <c r="N3" s="7"/>
      <c r="O3" s="7"/>
      <c r="P3" s="7" t="s">
        <v>650</v>
      </c>
      <c r="Q3" s="7" t="s">
        <v>650</v>
      </c>
      <c r="R3" s="7"/>
      <c r="S3" s="7"/>
      <c r="T3" s="7"/>
      <c r="U3" s="13"/>
      <c r="V3" s="7" t="s">
        <v>1504</v>
      </c>
      <c r="W3" s="7"/>
      <c r="X3" s="7"/>
      <c r="Y3" s="57">
        <v>651</v>
      </c>
      <c r="Z3" s="7"/>
      <c r="AA3" s="7"/>
      <c r="AB3" s="7"/>
      <c r="AC3" s="7"/>
      <c r="AD3" s="166" t="s">
        <v>1505</v>
      </c>
      <c r="AE3" s="173">
        <v>96744586</v>
      </c>
      <c r="AF3" s="325">
        <v>25190.16</v>
      </c>
      <c r="AI3" s="187">
        <v>96743218</v>
      </c>
      <c r="AJ3" s="188">
        <v>-1.69</v>
      </c>
      <c r="AK3" s="327"/>
      <c r="AL3" s="401"/>
      <c r="AM3" s="313"/>
      <c r="AN3" s="319"/>
      <c r="AP3" s="323"/>
      <c r="AQ3" s="337">
        <v>96744586</v>
      </c>
      <c r="AR3" s="338">
        <f>AF3+AJ3+AM3</f>
        <v>25188.47</v>
      </c>
    </row>
    <row r="4" spans="1:44">
      <c r="A4" s="79" t="s">
        <v>1506</v>
      </c>
      <c r="B4" s="79">
        <v>913</v>
      </c>
      <c r="C4" s="21" t="s">
        <v>648</v>
      </c>
      <c r="D4" s="21">
        <v>2</v>
      </c>
      <c r="E4" s="21">
        <v>1</v>
      </c>
      <c r="F4" s="21"/>
      <c r="G4" s="21"/>
      <c r="H4" s="21" t="s">
        <v>650</v>
      </c>
      <c r="I4" s="21" t="s">
        <v>650</v>
      </c>
      <c r="J4" s="21"/>
      <c r="K4" s="21"/>
      <c r="L4" s="21"/>
      <c r="M4" s="21"/>
      <c r="N4" s="78" t="s">
        <v>650</v>
      </c>
      <c r="O4" s="78" t="s">
        <v>650</v>
      </c>
      <c r="P4" s="21"/>
      <c r="Q4" s="21"/>
      <c r="R4" s="78" t="s">
        <v>650</v>
      </c>
      <c r="S4" s="21"/>
      <c r="T4" s="21"/>
      <c r="U4" s="12"/>
      <c r="V4" s="21" t="s">
        <v>1506</v>
      </c>
      <c r="W4" s="79"/>
      <c r="X4" s="21"/>
      <c r="Y4" s="56">
        <v>715</v>
      </c>
      <c r="Z4" s="21"/>
      <c r="AA4" s="21"/>
      <c r="AB4" s="21"/>
      <c r="AC4" s="21"/>
      <c r="AD4" s="164" t="s">
        <v>1505</v>
      </c>
      <c r="AE4" s="173">
        <v>96744611</v>
      </c>
      <c r="AF4" s="325">
        <v>26361.68</v>
      </c>
      <c r="AK4" s="328" t="s">
        <v>289</v>
      </c>
      <c r="AL4" s="402" t="s">
        <v>289</v>
      </c>
      <c r="AM4" s="210">
        <v>96743319</v>
      </c>
      <c r="AN4" s="314">
        <v>1892.77</v>
      </c>
      <c r="AP4" s="323"/>
      <c r="AQ4" s="309">
        <v>96744611</v>
      </c>
      <c r="AR4" s="230">
        <f t="shared" ref="AR4:AR16" si="0">AF4+AJ4+AN4</f>
        <v>28254.45</v>
      </c>
    </row>
    <row r="5" spans="1:44">
      <c r="A5" s="7" t="s">
        <v>1507</v>
      </c>
      <c r="B5" s="7">
        <v>943</v>
      </c>
      <c r="C5" s="7" t="s">
        <v>647</v>
      </c>
      <c r="D5" s="7">
        <v>2</v>
      </c>
      <c r="E5" s="7">
        <v>1</v>
      </c>
      <c r="F5" s="7"/>
      <c r="G5" s="7"/>
      <c r="H5" s="7" t="s">
        <v>650</v>
      </c>
      <c r="I5" s="7"/>
      <c r="J5" s="7"/>
      <c r="K5" s="7"/>
      <c r="L5" s="7"/>
      <c r="M5" s="7"/>
      <c r="N5" s="7"/>
      <c r="O5" s="7"/>
      <c r="P5" s="7"/>
      <c r="Q5" s="7"/>
      <c r="R5" s="38" t="s">
        <v>650</v>
      </c>
      <c r="S5" s="7"/>
      <c r="T5" s="7"/>
      <c r="U5" s="13"/>
      <c r="V5" s="7" t="s">
        <v>1507</v>
      </c>
      <c r="W5" s="7"/>
      <c r="X5" s="7"/>
      <c r="Y5" s="57">
        <v>597.75</v>
      </c>
      <c r="Z5" s="7"/>
      <c r="AA5" s="7"/>
      <c r="AB5" s="7"/>
      <c r="AC5" s="7"/>
      <c r="AD5" s="103" t="s">
        <v>1505</v>
      </c>
      <c r="AE5" s="175">
        <v>96921126</v>
      </c>
      <c r="AF5" s="325">
        <v>16709.740000000002</v>
      </c>
      <c r="AI5" s="187">
        <v>96852368</v>
      </c>
      <c r="AJ5" s="188">
        <v>102.41</v>
      </c>
      <c r="AK5" s="328">
        <v>97035302</v>
      </c>
      <c r="AL5" s="407">
        <v>450</v>
      </c>
      <c r="AM5" s="210"/>
      <c r="AN5" s="314"/>
      <c r="AO5" s="322">
        <v>96921126</v>
      </c>
      <c r="AP5" s="323">
        <v>9033.35</v>
      </c>
      <c r="AQ5" s="309" t="s">
        <v>1508</v>
      </c>
      <c r="AR5" s="230">
        <f>AF5+AJ5+AL5+AN5+AP5</f>
        <v>26295.5</v>
      </c>
    </row>
    <row r="6" spans="1:44">
      <c r="A6" s="50" t="s">
        <v>1509</v>
      </c>
      <c r="B6" s="50">
        <v>915</v>
      </c>
      <c r="C6" s="9" t="s">
        <v>648</v>
      </c>
      <c r="D6" s="9">
        <v>2</v>
      </c>
      <c r="E6" s="9">
        <v>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 t="s">
        <v>650</v>
      </c>
      <c r="R6" s="9"/>
      <c r="S6" s="9"/>
      <c r="T6" s="9"/>
      <c r="U6" s="13"/>
      <c r="V6" s="21" t="s">
        <v>1509</v>
      </c>
      <c r="W6" s="9"/>
      <c r="X6" s="9"/>
      <c r="Y6" s="58"/>
      <c r="Z6" s="9"/>
      <c r="AA6" s="9"/>
      <c r="AB6" s="9"/>
      <c r="AC6" s="9"/>
      <c r="AD6" s="141" t="s">
        <v>1505</v>
      </c>
      <c r="AE6" s="176">
        <v>96878169</v>
      </c>
      <c r="AF6" s="325">
        <v>16845.169999999998</v>
      </c>
      <c r="AI6" s="187">
        <v>96877279</v>
      </c>
      <c r="AJ6" s="188">
        <v>3324.11</v>
      </c>
      <c r="AK6" s="328">
        <v>97035318</v>
      </c>
      <c r="AL6" s="407">
        <v>450</v>
      </c>
      <c r="AM6" s="210"/>
      <c r="AN6" s="314">
        <v>0</v>
      </c>
      <c r="AO6" s="219">
        <v>96921128</v>
      </c>
      <c r="AP6" s="225">
        <v>9153.0300000000007</v>
      </c>
      <c r="AQ6" s="309">
        <v>96878169</v>
      </c>
      <c r="AR6" s="230">
        <f>AP6+AN6+AL6+AJ6+AF6</f>
        <v>29772.309999999998</v>
      </c>
    </row>
    <row r="7" spans="1:44">
      <c r="A7" s="7" t="s">
        <v>1510</v>
      </c>
      <c r="B7" s="7">
        <v>913</v>
      </c>
      <c r="C7" s="7" t="s">
        <v>649</v>
      </c>
      <c r="D7" s="7">
        <v>2</v>
      </c>
      <c r="E7" s="7">
        <v>2</v>
      </c>
      <c r="F7" s="7"/>
      <c r="G7" s="7"/>
      <c r="H7" s="7" t="s">
        <v>650</v>
      </c>
      <c r="I7" s="7"/>
      <c r="J7" s="7"/>
      <c r="K7" s="7"/>
      <c r="L7" s="7"/>
      <c r="M7" s="7"/>
      <c r="N7" s="7"/>
      <c r="O7" s="7"/>
      <c r="P7" s="7"/>
      <c r="Q7" s="7" t="s">
        <v>289</v>
      </c>
      <c r="R7" s="7"/>
      <c r="S7" s="7"/>
      <c r="T7" s="7"/>
      <c r="U7" s="13"/>
      <c r="V7" s="6" t="s">
        <v>1510</v>
      </c>
      <c r="W7" s="7"/>
      <c r="X7" s="7"/>
      <c r="Y7" s="57"/>
      <c r="Z7" s="7"/>
      <c r="AA7" s="7"/>
      <c r="AB7" s="7"/>
      <c r="AC7" s="7"/>
      <c r="AD7" s="103" t="s">
        <v>289</v>
      </c>
      <c r="AE7" s="176">
        <v>97152751</v>
      </c>
      <c r="AF7" s="325">
        <v>16349.32</v>
      </c>
      <c r="AG7" s="187">
        <v>97388063</v>
      </c>
      <c r="AH7" s="188">
        <v>56.69</v>
      </c>
      <c r="AI7" s="187">
        <v>97152238</v>
      </c>
      <c r="AJ7" s="188">
        <v>3379.41</v>
      </c>
      <c r="AK7" s="328">
        <v>97152203</v>
      </c>
      <c r="AL7" s="407">
        <v>450</v>
      </c>
      <c r="AM7" s="210"/>
      <c r="AN7" s="314">
        <v>0</v>
      </c>
      <c r="AO7" s="219">
        <v>97152751</v>
      </c>
      <c r="AP7" s="225">
        <v>9718.49</v>
      </c>
      <c r="AQ7" s="309">
        <v>97152751</v>
      </c>
      <c r="AR7" s="230">
        <f>AL7+AJ7+AF7+AP7+AH7</f>
        <v>29953.91</v>
      </c>
    </row>
    <row r="8" spans="1:44">
      <c r="A8" s="50" t="s">
        <v>1511</v>
      </c>
      <c r="B8" s="50">
        <v>913</v>
      </c>
      <c r="C8" s="50" t="s">
        <v>647</v>
      </c>
      <c r="D8" s="50">
        <v>2</v>
      </c>
      <c r="E8" s="50">
        <v>1</v>
      </c>
      <c r="F8" s="50"/>
      <c r="G8" s="50"/>
      <c r="H8" s="50" t="s">
        <v>650</v>
      </c>
      <c r="I8" s="38" t="s">
        <v>650</v>
      </c>
      <c r="J8" s="50"/>
      <c r="K8" s="50"/>
      <c r="L8" s="50"/>
      <c r="M8" s="50"/>
      <c r="N8" s="38" t="s">
        <v>650</v>
      </c>
      <c r="O8" s="38" t="s">
        <v>650</v>
      </c>
      <c r="P8" s="50"/>
      <c r="Q8" s="50"/>
      <c r="R8" s="50"/>
      <c r="S8" s="50"/>
      <c r="T8" s="50"/>
      <c r="U8" s="13"/>
      <c r="V8" s="79" t="s">
        <v>1511</v>
      </c>
      <c r="W8" s="53"/>
      <c r="X8" s="50"/>
      <c r="Y8" s="80"/>
      <c r="Z8" s="50"/>
      <c r="AA8" s="405"/>
      <c r="AB8" s="405"/>
      <c r="AC8" s="405"/>
      <c r="AD8" s="406"/>
      <c r="AE8" s="176">
        <v>97152774</v>
      </c>
      <c r="AF8" s="325">
        <v>16349.32</v>
      </c>
      <c r="AG8" s="187">
        <v>97388065</v>
      </c>
      <c r="AH8" s="188">
        <v>282.51</v>
      </c>
      <c r="AI8" s="187">
        <v>97152309</v>
      </c>
      <c r="AJ8" s="188">
        <v>1939.41</v>
      </c>
      <c r="AK8" s="328">
        <v>97152275</v>
      </c>
      <c r="AL8" s="407">
        <v>450</v>
      </c>
      <c r="AM8" s="210"/>
      <c r="AN8" s="314"/>
      <c r="AO8" s="219">
        <v>97152774</v>
      </c>
      <c r="AP8" s="225">
        <v>9718.49</v>
      </c>
      <c r="AQ8" s="309">
        <v>97152774</v>
      </c>
      <c r="AR8" s="230">
        <f>AL8+AJ8+AF8+AP8+AH8</f>
        <v>28739.73</v>
      </c>
    </row>
    <row r="9" spans="1:44">
      <c r="A9" s="7" t="s">
        <v>1512</v>
      </c>
      <c r="B9" s="7">
        <v>915</v>
      </c>
      <c r="C9" s="7" t="s">
        <v>649</v>
      </c>
      <c r="D9" s="7">
        <v>2</v>
      </c>
      <c r="E9" s="7"/>
      <c r="F9" s="7"/>
      <c r="G9" s="7"/>
      <c r="H9" s="7" t="s">
        <v>650</v>
      </c>
      <c r="I9" s="7"/>
      <c r="J9" s="7"/>
      <c r="K9" s="7"/>
      <c r="L9" s="7"/>
      <c r="M9" s="7"/>
      <c r="N9" s="38" t="s">
        <v>650</v>
      </c>
      <c r="O9" s="7"/>
      <c r="P9" s="7" t="s">
        <v>650</v>
      </c>
      <c r="Q9" s="7" t="s">
        <v>650</v>
      </c>
      <c r="R9" s="7"/>
      <c r="S9" s="7"/>
      <c r="T9" s="7"/>
      <c r="U9" s="13"/>
      <c r="V9" s="6" t="s">
        <v>1512</v>
      </c>
      <c r="W9" s="8"/>
      <c r="X9" s="7"/>
      <c r="Y9" s="57"/>
      <c r="Z9" s="7"/>
      <c r="AA9" s="31"/>
      <c r="AB9" s="31"/>
      <c r="AC9" s="31"/>
      <c r="AD9" s="169"/>
      <c r="AE9" s="449">
        <v>97213887</v>
      </c>
      <c r="AF9" s="458">
        <v>15748.24</v>
      </c>
      <c r="AI9" s="433">
        <v>97213784</v>
      </c>
      <c r="AJ9" s="434">
        <v>162.26</v>
      </c>
      <c r="AK9" s="459">
        <v>97213702</v>
      </c>
      <c r="AL9" s="460">
        <v>450</v>
      </c>
      <c r="AM9" s="445">
        <v>97213788</v>
      </c>
      <c r="AN9" s="461">
        <v>102.41</v>
      </c>
      <c r="AO9" s="439">
        <v>97213887</v>
      </c>
      <c r="AP9" s="440">
        <v>9153.0300000000007</v>
      </c>
      <c r="AQ9" s="309">
        <v>97213887</v>
      </c>
      <c r="AR9" s="230">
        <f>AN9+AL9+AJ9+AF9+AP9</f>
        <v>25615.940000000002</v>
      </c>
    </row>
    <row r="10" spans="1:44">
      <c r="A10" s="7" t="s">
        <v>1513</v>
      </c>
      <c r="B10" s="7">
        <v>943</v>
      </c>
      <c r="C10" s="7" t="s">
        <v>648</v>
      </c>
      <c r="D10" s="7">
        <v>2</v>
      </c>
      <c r="E10" s="7">
        <v>1</v>
      </c>
      <c r="F10" s="7"/>
      <c r="G10" s="7"/>
      <c r="H10" s="38" t="s">
        <v>650</v>
      </c>
      <c r="I10" s="7"/>
      <c r="J10" s="7"/>
      <c r="K10" s="7"/>
      <c r="L10" s="7"/>
      <c r="M10" s="7"/>
      <c r="N10" s="7"/>
      <c r="O10" s="7"/>
      <c r="P10" s="7"/>
      <c r="Q10" s="7"/>
      <c r="R10" s="38" t="s">
        <v>650</v>
      </c>
      <c r="S10" s="7"/>
      <c r="T10" s="7"/>
      <c r="U10" s="13"/>
      <c r="V10" s="6" t="s">
        <v>1513</v>
      </c>
      <c r="W10" s="8"/>
      <c r="X10" s="7"/>
      <c r="Y10" s="57"/>
      <c r="Z10" s="7"/>
      <c r="AA10" s="31"/>
      <c r="AB10" s="31"/>
      <c r="AC10" s="31"/>
      <c r="AD10" s="169"/>
      <c r="AE10" s="449">
        <v>97209751</v>
      </c>
      <c r="AF10" s="458">
        <v>15851.33</v>
      </c>
      <c r="AI10" s="187" t="s">
        <v>289</v>
      </c>
      <c r="AJ10" s="188" t="s">
        <v>289</v>
      </c>
      <c r="AK10" s="459">
        <v>97209690</v>
      </c>
      <c r="AL10" s="460">
        <v>450</v>
      </c>
      <c r="AM10" s="210" t="s">
        <v>289</v>
      </c>
      <c r="AN10" s="314" t="s">
        <v>289</v>
      </c>
      <c r="AO10" s="439">
        <v>97209751</v>
      </c>
      <c r="AP10" s="440">
        <v>9033.35</v>
      </c>
      <c r="AQ10" s="309">
        <v>97209751</v>
      </c>
      <c r="AR10" s="230">
        <f>AL10+AF10+AP10</f>
        <v>25334.68</v>
      </c>
    </row>
    <row r="11" spans="1:44">
      <c r="A11" s="50" t="s">
        <v>1514</v>
      </c>
      <c r="B11" s="50">
        <v>148</v>
      </c>
      <c r="C11" s="9" t="s">
        <v>648</v>
      </c>
      <c r="D11" s="9">
        <v>2</v>
      </c>
      <c r="E11" s="9">
        <v>1</v>
      </c>
      <c r="F11" s="9"/>
      <c r="G11" s="9"/>
      <c r="H11" s="9"/>
      <c r="I11" s="9" t="s">
        <v>650</v>
      </c>
      <c r="J11" s="9"/>
      <c r="K11" s="9"/>
      <c r="L11" s="9"/>
      <c r="M11" s="9"/>
      <c r="N11" s="9"/>
      <c r="O11" s="9" t="s">
        <v>650</v>
      </c>
      <c r="P11" s="9"/>
      <c r="Q11" s="9"/>
      <c r="R11" s="9"/>
      <c r="S11" s="9"/>
      <c r="T11" s="38" t="s">
        <v>650</v>
      </c>
      <c r="U11" s="13"/>
      <c r="V11" s="21" t="s">
        <v>1514</v>
      </c>
      <c r="W11" s="9"/>
      <c r="X11" s="9"/>
      <c r="Y11" s="58">
        <v>486</v>
      </c>
      <c r="Z11" s="9">
        <v>66747539</v>
      </c>
      <c r="AA11" s="9" t="s">
        <v>1267</v>
      </c>
      <c r="AB11" s="9"/>
      <c r="AC11" s="9" t="s">
        <v>1267</v>
      </c>
      <c r="AD11" s="141" t="s">
        <v>1505</v>
      </c>
      <c r="AE11" s="176">
        <v>96744632</v>
      </c>
      <c r="AF11" s="325">
        <v>19307.21</v>
      </c>
      <c r="AI11" s="187">
        <v>96743414</v>
      </c>
      <c r="AJ11" s="188">
        <v>1238.02</v>
      </c>
      <c r="AK11" s="328">
        <v>97035332</v>
      </c>
      <c r="AL11" s="407">
        <v>450</v>
      </c>
      <c r="AM11" s="210"/>
      <c r="AN11" s="314"/>
      <c r="AQ11" s="309">
        <v>96744632</v>
      </c>
      <c r="AR11" s="230">
        <f>AF11+AJ11+AL11+AN11+AP11</f>
        <v>20995.23</v>
      </c>
    </row>
    <row r="12" spans="1:44">
      <c r="A12" s="7" t="s">
        <v>1515</v>
      </c>
      <c r="B12" s="7">
        <v>915</v>
      </c>
      <c r="C12" s="7" t="s">
        <v>647</v>
      </c>
      <c r="D12" s="7">
        <v>2</v>
      </c>
      <c r="E12" s="7"/>
      <c r="F12" s="7">
        <v>1</v>
      </c>
      <c r="G12" s="7" t="s">
        <v>650</v>
      </c>
      <c r="H12" s="7" t="s">
        <v>650</v>
      </c>
      <c r="I12" s="7"/>
      <c r="J12" s="7"/>
      <c r="K12" s="7"/>
      <c r="L12" s="38" t="s">
        <v>650</v>
      </c>
      <c r="M12" s="7"/>
      <c r="N12" s="7"/>
      <c r="O12" s="7"/>
      <c r="P12" s="7" t="s">
        <v>650</v>
      </c>
      <c r="Q12" s="7" t="s">
        <v>650</v>
      </c>
      <c r="R12" s="7"/>
      <c r="S12" s="7"/>
      <c r="T12" s="7"/>
      <c r="U12" s="13"/>
      <c r="V12" s="7" t="s">
        <v>1515</v>
      </c>
      <c r="W12" s="7" t="s">
        <v>650</v>
      </c>
      <c r="X12" s="7"/>
      <c r="Y12" s="57">
        <v>651</v>
      </c>
      <c r="Z12" s="7">
        <v>65927942</v>
      </c>
      <c r="AA12" s="7" t="s">
        <v>650</v>
      </c>
      <c r="AB12" s="98">
        <v>65819500</v>
      </c>
      <c r="AC12" s="38"/>
      <c r="AD12" s="103" t="s">
        <v>1505</v>
      </c>
      <c r="AE12" s="176">
        <v>96590665</v>
      </c>
      <c r="AF12" s="325">
        <v>17590.439999999999</v>
      </c>
      <c r="AI12" s="187" t="s">
        <v>1516</v>
      </c>
      <c r="AJ12" s="188">
        <v>3146.01</v>
      </c>
      <c r="AK12" s="328" t="s">
        <v>289</v>
      </c>
      <c r="AL12" s="402" t="s">
        <v>289</v>
      </c>
      <c r="AM12" s="210">
        <v>96741300</v>
      </c>
      <c r="AN12" s="314">
        <v>-3233.16</v>
      </c>
      <c r="AO12" s="219" t="s">
        <v>1517</v>
      </c>
      <c r="AP12" s="323">
        <v>8907.84</v>
      </c>
      <c r="AQ12" s="339">
        <f>AJ12+AN12</f>
        <v>-87.149999999999636</v>
      </c>
      <c r="AR12" s="230">
        <f>AF12+AJ12+AN12</f>
        <v>17503.289999999997</v>
      </c>
    </row>
    <row r="13" spans="1:44">
      <c r="A13" s="50" t="s">
        <v>1518</v>
      </c>
      <c r="B13" s="50">
        <v>913</v>
      </c>
      <c r="C13" s="9" t="s">
        <v>649</v>
      </c>
      <c r="D13" s="9">
        <v>2</v>
      </c>
      <c r="E13" s="9">
        <v>2</v>
      </c>
      <c r="F13" s="50">
        <v>2</v>
      </c>
      <c r="G13" s="50" t="s">
        <v>650</v>
      </c>
      <c r="H13" s="50" t="s">
        <v>650</v>
      </c>
      <c r="I13" s="38" t="s">
        <v>650</v>
      </c>
      <c r="J13" s="9"/>
      <c r="K13" s="9"/>
      <c r="L13" s="9"/>
      <c r="M13" s="9"/>
      <c r="N13" s="38" t="s">
        <v>650</v>
      </c>
      <c r="O13" s="38" t="s">
        <v>650</v>
      </c>
      <c r="P13" s="9"/>
      <c r="Q13" s="9"/>
      <c r="R13" s="38" t="s">
        <v>650</v>
      </c>
      <c r="S13" s="9"/>
      <c r="T13" s="9"/>
      <c r="U13" s="13"/>
      <c r="V13" s="21" t="s">
        <v>1518</v>
      </c>
      <c r="W13" s="9" t="s">
        <v>650</v>
      </c>
      <c r="X13" s="9"/>
      <c r="Y13" s="80">
        <v>752</v>
      </c>
      <c r="Z13" s="97">
        <v>65928078</v>
      </c>
      <c r="AA13" s="50" t="s">
        <v>650</v>
      </c>
      <c r="AB13" s="50">
        <v>65830785</v>
      </c>
      <c r="AC13" s="38"/>
      <c r="AD13" s="141" t="s">
        <v>1505</v>
      </c>
      <c r="AE13" s="176">
        <v>96590711</v>
      </c>
      <c r="AF13" s="325">
        <v>18216.759999999998</v>
      </c>
      <c r="AI13" s="187" t="s">
        <v>1519</v>
      </c>
      <c r="AJ13" s="188">
        <v>3379.41</v>
      </c>
      <c r="AK13" s="328"/>
      <c r="AL13" s="402"/>
      <c r="AM13" s="210"/>
      <c r="AN13" s="314"/>
      <c r="AO13" s="219" t="s">
        <v>1520</v>
      </c>
      <c r="AP13" s="323">
        <v>9426.44</v>
      </c>
      <c r="AQ13" s="309"/>
      <c r="AR13" s="230">
        <f t="shared" si="0"/>
        <v>21596.17</v>
      </c>
    </row>
    <row r="14" spans="1:44">
      <c r="A14" s="7" t="s">
        <v>1521</v>
      </c>
      <c r="B14" s="7">
        <v>943</v>
      </c>
      <c r="C14" s="7" t="s">
        <v>648</v>
      </c>
      <c r="D14" s="7">
        <v>2</v>
      </c>
      <c r="E14" s="38">
        <v>2</v>
      </c>
      <c r="F14" s="7">
        <v>2</v>
      </c>
      <c r="G14" s="7" t="s">
        <v>650</v>
      </c>
      <c r="H14" s="7" t="s">
        <v>650</v>
      </c>
      <c r="I14" s="7"/>
      <c r="J14" s="7"/>
      <c r="K14" s="7"/>
      <c r="L14" s="7"/>
      <c r="M14" s="7"/>
      <c r="N14" s="7"/>
      <c r="O14" s="7"/>
      <c r="P14" s="7"/>
      <c r="Q14" s="7"/>
      <c r="R14" s="38" t="s">
        <v>650</v>
      </c>
      <c r="S14" s="7"/>
      <c r="T14" s="7"/>
      <c r="U14" s="13"/>
      <c r="V14" s="7" t="s">
        <v>1521</v>
      </c>
      <c r="W14" s="7" t="s">
        <v>897</v>
      </c>
      <c r="X14" s="7"/>
      <c r="Y14" s="57">
        <v>582.5</v>
      </c>
      <c r="Z14" s="7">
        <v>65928126</v>
      </c>
      <c r="AA14" s="7"/>
      <c r="AB14" s="7"/>
      <c r="AC14" s="7">
        <v>66121634</v>
      </c>
      <c r="AD14" s="103" t="s">
        <v>1505</v>
      </c>
      <c r="AE14" s="176">
        <v>96590758</v>
      </c>
      <c r="AF14" s="325">
        <v>23697.63</v>
      </c>
      <c r="AG14" s="189"/>
      <c r="AI14" s="189"/>
      <c r="AK14" s="328"/>
      <c r="AL14" s="402"/>
      <c r="AM14" s="210"/>
      <c r="AN14" s="314"/>
      <c r="AO14" s="219" t="s">
        <v>1522</v>
      </c>
      <c r="AP14" s="323">
        <v>9769.39</v>
      </c>
      <c r="AQ14" s="309"/>
      <c r="AR14" s="230">
        <f t="shared" si="0"/>
        <v>23697.63</v>
      </c>
    </row>
    <row r="15" spans="1:44">
      <c r="A15" s="37"/>
      <c r="B15" s="3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3"/>
      <c r="V15" s="21">
        <v>0</v>
      </c>
      <c r="W15" s="9"/>
      <c r="X15" s="9"/>
      <c r="Y15" s="58"/>
      <c r="Z15" s="9"/>
      <c r="AA15" s="9"/>
      <c r="AB15" s="9"/>
      <c r="AC15" s="9"/>
      <c r="AD15" s="141"/>
      <c r="AE15" s="177"/>
      <c r="AG15" s="189"/>
      <c r="AI15" s="189"/>
      <c r="AK15" s="328"/>
      <c r="AL15" s="402"/>
      <c r="AM15" s="210"/>
      <c r="AN15" s="314"/>
      <c r="AP15" s="323"/>
      <c r="AQ15" s="309"/>
      <c r="AR15" s="230">
        <f t="shared" si="0"/>
        <v>0</v>
      </c>
    </row>
    <row r="16" spans="1:4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13"/>
      <c r="V16" s="7">
        <v>0</v>
      </c>
      <c r="W16" s="8"/>
      <c r="X16" s="8"/>
      <c r="Y16" s="57"/>
      <c r="Z16" s="7"/>
      <c r="AA16" s="8"/>
      <c r="AB16" s="8"/>
      <c r="AC16" s="8"/>
      <c r="AD16" s="167"/>
      <c r="AE16" s="176"/>
      <c r="AK16" s="328"/>
      <c r="AL16" s="402"/>
      <c r="AM16" s="210"/>
      <c r="AN16" s="314"/>
      <c r="AO16" s="224"/>
      <c r="AP16" s="323"/>
      <c r="AQ16" s="309"/>
      <c r="AR16" s="230">
        <f t="shared" si="0"/>
        <v>0</v>
      </c>
    </row>
    <row r="17" spans="1:44">
      <c r="A17" s="37"/>
      <c r="B17" s="37"/>
      <c r="C17" s="9"/>
      <c r="D17" s="9"/>
      <c r="E17" s="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9"/>
      <c r="T17" s="9"/>
      <c r="U17" s="13"/>
      <c r="V17" s="21">
        <v>0</v>
      </c>
      <c r="W17" s="53"/>
      <c r="X17" s="9"/>
      <c r="Y17" s="58"/>
      <c r="Z17" s="9"/>
      <c r="AA17" s="32"/>
      <c r="AB17" s="32"/>
      <c r="AC17" s="32"/>
      <c r="AD17" s="168"/>
      <c r="AE17" s="176"/>
      <c r="AK17" s="328"/>
      <c r="AL17" s="402"/>
      <c r="AM17" s="210"/>
      <c r="AN17" s="314"/>
      <c r="AP17" s="323"/>
      <c r="AQ17" s="309"/>
      <c r="AR17" s="230"/>
    </row>
    <row r="18" spans="1:4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13"/>
      <c r="V18" s="7">
        <v>0</v>
      </c>
      <c r="W18" s="31"/>
      <c r="X18" s="18"/>
      <c r="Y18" s="57"/>
      <c r="Z18" s="7"/>
      <c r="AA18" s="7"/>
      <c r="AB18" s="7"/>
      <c r="AC18" s="7"/>
      <c r="AD18" s="169"/>
      <c r="AE18" s="176"/>
      <c r="AK18" s="328"/>
      <c r="AL18" s="402"/>
      <c r="AM18" s="210"/>
      <c r="AN18" s="314"/>
      <c r="AP18" s="323"/>
      <c r="AQ18" s="309"/>
      <c r="AR18" s="230"/>
    </row>
    <row r="19" spans="1:44">
      <c r="A19" s="37"/>
      <c r="B19" s="3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3"/>
      <c r="V19" s="21">
        <v>0</v>
      </c>
      <c r="W19" s="40"/>
      <c r="X19" s="50"/>
      <c r="Y19" s="58"/>
      <c r="Z19" s="9"/>
      <c r="AA19" s="32"/>
      <c r="AB19" s="32"/>
      <c r="AC19" s="32"/>
      <c r="AD19" s="168"/>
      <c r="AE19" s="176"/>
      <c r="AK19" s="328"/>
      <c r="AL19" s="402"/>
      <c r="AM19" s="210"/>
      <c r="AN19" s="314"/>
      <c r="AP19" s="323"/>
      <c r="AQ19" s="309"/>
      <c r="AR19" s="230"/>
    </row>
    <row r="20" spans="1:4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13"/>
      <c r="V20" s="7">
        <v>0</v>
      </c>
      <c r="W20" s="31"/>
      <c r="X20" s="7"/>
      <c r="Y20" s="57"/>
      <c r="Z20" s="7"/>
      <c r="AA20" s="31"/>
      <c r="AB20" s="31"/>
      <c r="AC20" s="31"/>
      <c r="AD20" s="169"/>
      <c r="AE20" s="176"/>
      <c r="AK20" s="328"/>
      <c r="AL20" s="402"/>
      <c r="AM20" s="210"/>
      <c r="AN20" s="314"/>
      <c r="AP20" s="323"/>
      <c r="AQ20" s="309"/>
      <c r="AR20" s="230"/>
    </row>
    <row r="21" spans="1:44">
      <c r="A21" s="50"/>
      <c r="B21" s="50"/>
      <c r="C21" s="9"/>
      <c r="D21" s="9"/>
      <c r="E21" s="9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9"/>
      <c r="T21" s="9"/>
      <c r="U21" s="13"/>
      <c r="V21" s="21">
        <v>0</v>
      </c>
      <c r="W21" s="9"/>
      <c r="X21" s="50"/>
      <c r="Y21" s="58"/>
      <c r="Z21" s="9"/>
      <c r="AA21" s="9"/>
      <c r="AB21" s="9"/>
      <c r="AC21" s="9"/>
      <c r="AD21" s="141"/>
      <c r="AE21" s="176"/>
      <c r="AK21" s="328"/>
      <c r="AL21" s="402"/>
      <c r="AM21" s="210"/>
      <c r="AN21" s="314"/>
      <c r="AP21" s="323"/>
      <c r="AQ21" s="309"/>
      <c r="AR21" s="230"/>
    </row>
    <row r="22" spans="1:4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13"/>
      <c r="V22" s="7">
        <v>0</v>
      </c>
      <c r="W22" s="7"/>
      <c r="X22" s="7"/>
      <c r="Y22" s="57"/>
      <c r="Z22" s="7"/>
      <c r="AA22" s="7"/>
      <c r="AB22" s="7"/>
      <c r="AC22" s="7"/>
      <c r="AD22" s="103"/>
      <c r="AE22" s="176"/>
      <c r="AK22" s="328"/>
      <c r="AL22" s="402"/>
      <c r="AM22" s="210"/>
      <c r="AN22" s="314"/>
      <c r="AP22" s="323"/>
      <c r="AQ22" s="309"/>
      <c r="AR22" s="230"/>
    </row>
    <row r="23" spans="1:44">
      <c r="A23" s="37"/>
      <c r="B23" s="37"/>
      <c r="C23" s="9"/>
      <c r="D23" s="9"/>
      <c r="E23" s="9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9"/>
      <c r="T23" s="9"/>
      <c r="U23" s="13"/>
      <c r="V23" s="21">
        <v>0</v>
      </c>
      <c r="W23" s="50"/>
      <c r="X23" s="37"/>
      <c r="Y23" s="58"/>
      <c r="Z23" s="9"/>
      <c r="AA23" s="32"/>
      <c r="AB23" s="32"/>
      <c r="AC23" s="32"/>
      <c r="AD23" s="168"/>
      <c r="AE23" s="176"/>
      <c r="AK23" s="328"/>
      <c r="AL23" s="402"/>
      <c r="AM23" s="210"/>
      <c r="AN23" s="314"/>
      <c r="AO23" s="224"/>
      <c r="AP23" s="323"/>
      <c r="AQ23" s="309"/>
      <c r="AR23" s="230"/>
    </row>
    <row r="24" spans="1:4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3"/>
      <c r="V24" s="7">
        <v>0</v>
      </c>
      <c r="W24" s="31"/>
      <c r="X24" s="7"/>
      <c r="Y24" s="57"/>
      <c r="Z24" s="7"/>
      <c r="AA24" s="31"/>
      <c r="AB24" s="31"/>
      <c r="AC24" s="31"/>
      <c r="AD24" s="169"/>
      <c r="AE24" s="176"/>
      <c r="AK24" s="328"/>
      <c r="AL24" s="402"/>
      <c r="AM24" s="210"/>
      <c r="AN24" s="314"/>
      <c r="AO24" s="224"/>
      <c r="AP24" s="323"/>
      <c r="AQ24" s="309"/>
      <c r="AR24" s="230"/>
    </row>
    <row r="25" spans="1:44">
      <c r="A25" s="37"/>
      <c r="B25" s="3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3"/>
      <c r="V25" s="21">
        <v>0</v>
      </c>
      <c r="W25" s="50"/>
      <c r="X25" s="50"/>
      <c r="Y25" s="58"/>
      <c r="Z25" s="9"/>
      <c r="AA25" s="9"/>
      <c r="AB25" s="9"/>
      <c r="AC25" s="9"/>
      <c r="AD25" s="141"/>
      <c r="AE25" s="176"/>
      <c r="AK25" s="328"/>
      <c r="AL25" s="402"/>
      <c r="AM25" s="210"/>
      <c r="AN25" s="314"/>
      <c r="AP25" s="323"/>
      <c r="AQ25" s="309"/>
      <c r="AR25" s="230"/>
    </row>
    <row r="26" spans="1:4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13"/>
      <c r="V26" s="7">
        <v>0</v>
      </c>
      <c r="W26" s="7"/>
      <c r="X26" s="7"/>
      <c r="Y26" s="57"/>
      <c r="Z26" s="7"/>
      <c r="AA26" s="7"/>
      <c r="AB26" s="7"/>
      <c r="AC26" s="7"/>
      <c r="AD26" s="103"/>
      <c r="AE26" s="177"/>
      <c r="AG26" s="189"/>
      <c r="AI26" s="189"/>
      <c r="AK26" s="328"/>
      <c r="AL26" s="402"/>
      <c r="AM26" s="210"/>
      <c r="AN26" s="314"/>
      <c r="AP26" s="223"/>
      <c r="AQ26" s="309"/>
      <c r="AR26" s="230"/>
    </row>
    <row r="27" spans="1:44">
      <c r="A27" s="50"/>
      <c r="B27" s="50"/>
      <c r="C27" s="9"/>
      <c r="D27" s="9"/>
      <c r="E27" s="9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9"/>
      <c r="T27" s="9"/>
      <c r="U27" s="13"/>
      <c r="V27" s="21">
        <v>0</v>
      </c>
      <c r="W27" s="50"/>
      <c r="X27" s="50"/>
      <c r="Y27" s="58"/>
      <c r="Z27" s="9"/>
      <c r="AA27" s="9"/>
      <c r="AB27" s="9"/>
      <c r="AC27" s="9"/>
      <c r="AD27" s="141"/>
      <c r="AE27" s="176"/>
      <c r="AK27" s="328"/>
      <c r="AL27" s="402"/>
      <c r="AM27" s="210"/>
      <c r="AN27" s="314"/>
      <c r="AP27" s="323"/>
      <c r="AQ27" s="309"/>
      <c r="AR27" s="230"/>
    </row>
    <row r="28" spans="1:4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13"/>
      <c r="V28" s="7">
        <v>0</v>
      </c>
      <c r="W28" s="7"/>
      <c r="X28" s="57"/>
      <c r="Y28" s="57"/>
      <c r="Z28" s="7"/>
      <c r="AA28" s="7"/>
      <c r="AB28" s="7"/>
      <c r="AC28" s="7"/>
      <c r="AD28" s="103"/>
      <c r="AE28" s="176"/>
      <c r="AK28" s="328"/>
      <c r="AL28" s="402"/>
      <c r="AM28" s="210"/>
      <c r="AN28" s="314"/>
      <c r="AP28" s="323"/>
      <c r="AQ28" s="309"/>
      <c r="AR28" s="230"/>
    </row>
    <row r="29" spans="1:44">
      <c r="A29" s="50"/>
      <c r="B29" s="50"/>
      <c r="C29" s="9"/>
      <c r="D29" s="9"/>
      <c r="E29" s="9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9"/>
      <c r="T29" s="9"/>
      <c r="U29" s="13"/>
      <c r="V29" s="21">
        <v>0</v>
      </c>
      <c r="W29" s="50"/>
      <c r="X29" s="50"/>
      <c r="Y29" s="58"/>
      <c r="Z29" s="9"/>
      <c r="AA29" s="9"/>
      <c r="AB29" s="9"/>
      <c r="AC29" s="9"/>
      <c r="AD29" s="141"/>
      <c r="AE29" s="176"/>
      <c r="AK29" s="328"/>
      <c r="AL29" s="402"/>
      <c r="AM29" s="210"/>
      <c r="AN29" s="314"/>
      <c r="AP29" s="323"/>
      <c r="AQ29" s="309"/>
      <c r="AR29" s="230"/>
    </row>
    <row r="30" spans="1:4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13"/>
      <c r="V30" s="7">
        <v>0</v>
      </c>
      <c r="W30" s="7"/>
      <c r="X30" s="7"/>
      <c r="Y30" s="57"/>
      <c r="Z30" s="7"/>
      <c r="AA30" s="7"/>
      <c r="AB30" s="7"/>
      <c r="AC30" s="7"/>
      <c r="AD30" s="103"/>
      <c r="AE30" s="176"/>
      <c r="AK30" s="328"/>
      <c r="AL30" s="402"/>
      <c r="AM30" s="210"/>
      <c r="AN30" s="314"/>
      <c r="AP30" s="323"/>
      <c r="AQ30" s="309"/>
      <c r="AR30" s="230"/>
    </row>
    <row r="31" spans="1:44">
      <c r="A31" s="50"/>
      <c r="B31" s="5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3"/>
      <c r="V31" s="21">
        <v>0</v>
      </c>
      <c r="W31" s="9"/>
      <c r="X31" s="50"/>
      <c r="Y31" s="58"/>
      <c r="Z31" s="9"/>
      <c r="AA31" s="9"/>
      <c r="AB31" s="9"/>
      <c r="AC31" s="9"/>
      <c r="AD31" s="141"/>
      <c r="AE31" s="176"/>
      <c r="AK31" s="328"/>
      <c r="AL31" s="402"/>
      <c r="AM31" s="210"/>
      <c r="AN31" s="314"/>
      <c r="AP31" s="323"/>
      <c r="AQ31" s="309"/>
      <c r="AR31" s="230"/>
    </row>
    <row r="32" spans="1:4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13"/>
      <c r="V32" s="7">
        <v>0</v>
      </c>
      <c r="W32" s="7"/>
      <c r="X32" s="7"/>
      <c r="Y32" s="57"/>
      <c r="Z32" s="7"/>
      <c r="AA32" s="7"/>
      <c r="AB32" s="7"/>
      <c r="AC32" s="7"/>
      <c r="AD32" s="103"/>
      <c r="AE32" s="176"/>
      <c r="AK32" s="328"/>
      <c r="AL32" s="402"/>
      <c r="AM32" s="210"/>
      <c r="AN32" s="314"/>
      <c r="AP32" s="323"/>
      <c r="AQ32" s="309"/>
      <c r="AR32" s="230"/>
    </row>
    <row r="33" spans="1:44">
      <c r="A33" s="50"/>
      <c r="B33" s="5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3"/>
      <c r="V33" s="21">
        <v>0</v>
      </c>
      <c r="W33" s="50"/>
      <c r="X33" s="50"/>
      <c r="Y33" s="58"/>
      <c r="Z33" s="9"/>
      <c r="AA33" s="9"/>
      <c r="AB33" s="9"/>
      <c r="AC33" s="9"/>
      <c r="AD33" s="141"/>
      <c r="AE33" s="176"/>
      <c r="AK33" s="328"/>
      <c r="AL33" s="402"/>
      <c r="AM33" s="210"/>
      <c r="AN33" s="314"/>
      <c r="AP33" s="323"/>
      <c r="AQ33" s="309"/>
      <c r="AR33" s="230"/>
    </row>
    <row r="34" spans="1:4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2"/>
      <c r="Q34" s="2"/>
      <c r="R34" s="7"/>
      <c r="S34" s="7"/>
      <c r="T34" s="7"/>
      <c r="U34" s="13"/>
      <c r="V34" s="7">
        <v>0</v>
      </c>
      <c r="W34" s="7"/>
      <c r="X34" s="7"/>
      <c r="Y34" s="57"/>
      <c r="Z34" s="7"/>
      <c r="AA34" s="7"/>
      <c r="AB34" s="7"/>
      <c r="AC34" s="7"/>
      <c r="AD34" s="103"/>
      <c r="AE34" s="176"/>
      <c r="AK34" s="328"/>
      <c r="AL34" s="402"/>
      <c r="AM34" s="210"/>
      <c r="AN34" s="314"/>
      <c r="AP34" s="323"/>
      <c r="AQ34" s="309"/>
      <c r="AR34" s="230"/>
    </row>
    <row r="35" spans="1:44">
      <c r="A35" s="50"/>
      <c r="B35" s="50"/>
      <c r="C35" s="5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4"/>
      <c r="Q35" s="4"/>
      <c r="R35" s="9"/>
      <c r="S35" s="9"/>
      <c r="T35" s="9"/>
      <c r="U35" s="13"/>
      <c r="V35" s="21">
        <v>0</v>
      </c>
      <c r="W35" s="50"/>
      <c r="X35" s="50"/>
      <c r="Y35" s="58"/>
      <c r="Z35" s="9"/>
      <c r="AA35" s="9"/>
      <c r="AB35" s="9"/>
      <c r="AC35" s="9"/>
      <c r="AD35" s="141"/>
      <c r="AE35" s="176"/>
      <c r="AK35" s="328"/>
      <c r="AL35" s="402"/>
      <c r="AM35" s="210"/>
      <c r="AN35" s="314"/>
      <c r="AP35" s="323"/>
      <c r="AQ35" s="309"/>
      <c r="AR35" s="230"/>
    </row>
    <row r="36" spans="1:4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2"/>
      <c r="Q36" s="2"/>
      <c r="R36" s="7"/>
      <c r="S36" s="7"/>
      <c r="T36" s="7"/>
      <c r="U36" s="13"/>
      <c r="V36" s="7">
        <v>0</v>
      </c>
      <c r="W36" s="7"/>
      <c r="X36" s="7"/>
      <c r="Y36" s="57"/>
      <c r="Z36" s="7"/>
      <c r="AA36" s="7"/>
      <c r="AB36" s="7"/>
      <c r="AC36" s="7"/>
      <c r="AD36" s="103"/>
      <c r="AE36" s="176"/>
      <c r="AK36" s="328"/>
      <c r="AL36" s="402"/>
      <c r="AM36" s="210"/>
      <c r="AN36" s="314"/>
      <c r="AP36" s="323"/>
      <c r="AQ36" s="309"/>
      <c r="AR36" s="230"/>
    </row>
    <row r="37" spans="1:44">
      <c r="A37" s="50"/>
      <c r="B37" s="5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3"/>
      <c r="V37" s="21">
        <v>0</v>
      </c>
      <c r="W37" s="50"/>
      <c r="X37" s="50"/>
      <c r="Y37" s="58"/>
      <c r="Z37" s="9"/>
      <c r="AA37" s="9"/>
      <c r="AB37" s="9"/>
      <c r="AC37" s="9"/>
      <c r="AD37" s="141"/>
      <c r="AE37" s="176"/>
      <c r="AK37" s="328"/>
      <c r="AL37" s="402"/>
      <c r="AM37" s="210"/>
      <c r="AN37" s="314"/>
      <c r="AP37" s="323"/>
      <c r="AQ37" s="309"/>
      <c r="AR37" s="230"/>
    </row>
    <row r="38" spans="1:4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3"/>
      <c r="V38" s="7">
        <v>0</v>
      </c>
      <c r="W38" s="7"/>
      <c r="X38" s="7"/>
      <c r="Y38" s="57"/>
      <c r="Z38" s="7"/>
      <c r="AA38" s="7"/>
      <c r="AB38" s="7"/>
      <c r="AC38" s="7"/>
      <c r="AD38" s="103"/>
      <c r="AE38" s="176"/>
      <c r="AK38" s="328"/>
      <c r="AL38" s="402"/>
      <c r="AM38" s="210"/>
      <c r="AN38" s="314"/>
      <c r="AQ38" s="309"/>
      <c r="AR38" s="230"/>
    </row>
    <row r="39" spans="1:44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4"/>
      <c r="Q39" s="4"/>
      <c r="R39" s="9"/>
      <c r="S39" s="9"/>
      <c r="T39" s="9"/>
      <c r="U39" s="13"/>
      <c r="V39" s="21">
        <v>0</v>
      </c>
      <c r="W39" s="9"/>
      <c r="X39" s="9"/>
      <c r="Y39" s="58"/>
      <c r="Z39" s="9"/>
      <c r="AA39" s="9"/>
      <c r="AB39" s="9"/>
      <c r="AC39" s="9"/>
      <c r="AD39" s="141"/>
      <c r="AE39" s="176"/>
      <c r="AK39" s="328"/>
      <c r="AL39" s="402"/>
      <c r="AM39" s="210"/>
      <c r="AN39" s="314"/>
      <c r="AQ39" s="309"/>
      <c r="AR39" s="230"/>
    </row>
    <row r="40" spans="1:4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2"/>
      <c r="Q40" s="2"/>
      <c r="R40" s="7"/>
      <c r="S40" s="7"/>
      <c r="T40" s="7"/>
      <c r="U40" s="13"/>
      <c r="V40" s="7">
        <v>0</v>
      </c>
      <c r="W40" s="7"/>
      <c r="X40" s="7"/>
      <c r="Y40" s="57"/>
      <c r="Z40" s="7"/>
      <c r="AA40" s="7"/>
      <c r="AB40" s="7"/>
      <c r="AC40" s="7"/>
      <c r="AD40" s="103"/>
      <c r="AE40" s="176"/>
      <c r="AK40" s="328"/>
      <c r="AL40" s="402"/>
      <c r="AM40" s="210"/>
      <c r="AN40" s="314"/>
      <c r="AQ40" s="309"/>
      <c r="AR40" s="230"/>
    </row>
    <row r="41" spans="1:44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4"/>
      <c r="Q41" s="4"/>
      <c r="R41" s="9"/>
      <c r="S41" s="9"/>
      <c r="T41" s="9"/>
      <c r="U41" s="13"/>
      <c r="V41" s="21">
        <v>0</v>
      </c>
      <c r="W41" s="9"/>
      <c r="X41" s="9"/>
      <c r="Y41" s="58"/>
      <c r="Z41" s="9"/>
      <c r="AA41" s="9"/>
      <c r="AB41" s="9"/>
      <c r="AC41" s="9"/>
      <c r="AD41" s="141"/>
      <c r="AE41" s="176"/>
      <c r="AK41" s="328"/>
      <c r="AL41" s="402"/>
      <c r="AM41" s="210"/>
      <c r="AN41" s="314"/>
      <c r="AQ41" s="309"/>
      <c r="AR41" s="230"/>
    </row>
    <row r="42" spans="1:4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2"/>
      <c r="Q42" s="2"/>
      <c r="R42" s="7"/>
      <c r="S42" s="7"/>
      <c r="T42" s="7"/>
      <c r="U42" s="13"/>
      <c r="V42" s="7">
        <v>0</v>
      </c>
      <c r="W42" s="7"/>
      <c r="X42" s="7"/>
      <c r="Y42" s="57"/>
      <c r="Z42" s="7"/>
      <c r="AA42" s="7"/>
      <c r="AB42" s="7"/>
      <c r="AC42" s="7"/>
      <c r="AD42" s="103"/>
      <c r="AE42" s="176"/>
      <c r="AK42" s="328"/>
      <c r="AL42" s="402"/>
      <c r="AM42" s="210"/>
      <c r="AN42" s="314"/>
      <c r="AQ42" s="309"/>
      <c r="AR42" s="230"/>
    </row>
    <row r="43" spans="1:4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4"/>
      <c r="Q43" s="4"/>
      <c r="R43" s="9"/>
      <c r="S43" s="9"/>
      <c r="T43" s="9"/>
      <c r="U43" s="13"/>
      <c r="V43" s="21">
        <v>0</v>
      </c>
      <c r="W43" s="9"/>
      <c r="X43" s="9"/>
      <c r="Y43" s="58"/>
      <c r="Z43" s="9"/>
      <c r="AA43" s="9"/>
      <c r="AB43" s="9"/>
      <c r="AC43" s="9"/>
      <c r="AD43" s="141"/>
      <c r="AE43" s="176"/>
      <c r="AK43" s="328"/>
      <c r="AL43" s="402"/>
      <c r="AM43" s="210"/>
      <c r="AN43" s="314"/>
      <c r="AQ43" s="309"/>
      <c r="AR43" s="230"/>
    </row>
    <row r="44" spans="1: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2"/>
      <c r="Q44" s="2"/>
      <c r="R44" s="7"/>
      <c r="S44" s="7"/>
      <c r="T44" s="7"/>
      <c r="U44" s="13"/>
      <c r="V44" s="7">
        <v>0</v>
      </c>
      <c r="W44" s="7"/>
      <c r="X44" s="7"/>
      <c r="Y44" s="57"/>
      <c r="Z44" s="7"/>
      <c r="AA44" s="7"/>
      <c r="AB44" s="7"/>
      <c r="AC44" s="7"/>
      <c r="AD44" s="103"/>
      <c r="AE44" s="176"/>
      <c r="AK44" s="328"/>
      <c r="AL44" s="402"/>
      <c r="AM44" s="210"/>
      <c r="AN44" s="314"/>
      <c r="AQ44" s="309"/>
      <c r="AR44" s="230"/>
    </row>
    <row r="45" spans="1:4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4"/>
      <c r="Q45" s="4"/>
      <c r="R45" s="9"/>
      <c r="S45" s="9"/>
      <c r="T45" s="9"/>
      <c r="U45" s="13"/>
      <c r="V45" s="21">
        <v>0</v>
      </c>
      <c r="W45" s="9"/>
      <c r="X45" s="9"/>
      <c r="Y45" s="58"/>
      <c r="Z45" s="9"/>
      <c r="AA45" s="9"/>
      <c r="AB45" s="9"/>
      <c r="AC45" s="9"/>
      <c r="AD45" s="141"/>
      <c r="AE45" s="176"/>
      <c r="AK45" s="328"/>
      <c r="AL45" s="402"/>
      <c r="AM45" s="210"/>
      <c r="AN45" s="314"/>
      <c r="AQ45" s="309"/>
      <c r="AR45" s="230"/>
    </row>
    <row r="46" spans="1:4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2"/>
      <c r="Q46" s="2"/>
      <c r="R46" s="7"/>
      <c r="S46" s="7"/>
      <c r="T46" s="7"/>
      <c r="U46" s="13"/>
      <c r="V46" s="7">
        <v>0</v>
      </c>
      <c r="W46" s="7"/>
      <c r="X46" s="7"/>
      <c r="Y46" s="57"/>
      <c r="Z46" s="7"/>
      <c r="AA46" s="7"/>
      <c r="AB46" s="7"/>
      <c r="AC46" s="7"/>
      <c r="AD46" s="103"/>
      <c r="AE46" s="176"/>
      <c r="AK46" s="328"/>
      <c r="AL46" s="402"/>
      <c r="AM46" s="210"/>
      <c r="AN46" s="314"/>
      <c r="AQ46" s="309"/>
      <c r="AR46" s="230"/>
    </row>
    <row r="47" spans="1:4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4"/>
      <c r="Q47" s="4"/>
      <c r="R47" s="9"/>
      <c r="S47" s="9"/>
      <c r="T47" s="9"/>
      <c r="U47" s="13"/>
      <c r="V47" s="21">
        <v>0</v>
      </c>
      <c r="W47" s="9"/>
      <c r="X47" s="9"/>
      <c r="Y47" s="58"/>
      <c r="Z47" s="9"/>
      <c r="AA47" s="9"/>
      <c r="AB47" s="9"/>
      <c r="AC47" s="9"/>
      <c r="AD47" s="141"/>
      <c r="AE47" s="176"/>
      <c r="AK47" s="328"/>
      <c r="AL47" s="402"/>
      <c r="AM47" s="210"/>
      <c r="AN47" s="314"/>
      <c r="AQ47" s="309"/>
      <c r="AR47" s="230"/>
    </row>
    <row r="48" spans="1:4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2"/>
      <c r="Q48" s="2"/>
      <c r="R48" s="7"/>
      <c r="S48" s="7"/>
      <c r="T48" s="7"/>
      <c r="U48" s="13"/>
      <c r="V48" s="7">
        <v>0</v>
      </c>
      <c r="W48" s="7"/>
      <c r="X48" s="7"/>
      <c r="Y48" s="57"/>
      <c r="Z48" s="7"/>
      <c r="AA48" s="7"/>
      <c r="AB48" s="7"/>
      <c r="AC48" s="7"/>
      <c r="AD48" s="103"/>
      <c r="AE48" s="176"/>
      <c r="AK48" s="328"/>
      <c r="AL48" s="402"/>
      <c r="AM48" s="210"/>
      <c r="AN48" s="314"/>
      <c r="AQ48" s="309"/>
      <c r="AR48" s="230"/>
    </row>
    <row r="49" spans="1:4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4"/>
      <c r="Q49" s="4"/>
      <c r="R49" s="9"/>
      <c r="S49" s="9"/>
      <c r="T49" s="9"/>
      <c r="U49" s="13"/>
      <c r="V49" s="21">
        <v>0</v>
      </c>
      <c r="W49" s="9"/>
      <c r="X49" s="9"/>
      <c r="Y49" s="58"/>
      <c r="Z49" s="9"/>
      <c r="AA49" s="9"/>
      <c r="AB49" s="9"/>
      <c r="AC49" s="9"/>
      <c r="AD49" s="141"/>
      <c r="AE49" s="176"/>
      <c r="AK49" s="328"/>
      <c r="AL49" s="402"/>
      <c r="AM49" s="210"/>
      <c r="AN49" s="314"/>
      <c r="AQ49" s="309"/>
      <c r="AR49" s="230"/>
    </row>
    <row r="50" spans="1:4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2"/>
      <c r="Q50" s="2"/>
      <c r="R50" s="7"/>
      <c r="S50" s="7"/>
      <c r="T50" s="7"/>
      <c r="U50" s="13"/>
      <c r="V50" s="7">
        <v>0</v>
      </c>
      <c r="W50" s="7"/>
      <c r="X50" s="7"/>
      <c r="Y50" s="57"/>
      <c r="Z50" s="7"/>
      <c r="AA50" s="7"/>
      <c r="AB50" s="7"/>
      <c r="AC50" s="7"/>
      <c r="AD50" s="103"/>
      <c r="AE50" s="176"/>
      <c r="AK50" s="328"/>
      <c r="AL50" s="402"/>
      <c r="AM50" s="210"/>
      <c r="AN50" s="314"/>
      <c r="AQ50" s="309"/>
      <c r="AR50" s="230"/>
    </row>
    <row r="51" spans="1:4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4"/>
      <c r="Q51" s="4"/>
      <c r="R51" s="9"/>
      <c r="S51" s="9"/>
      <c r="T51" s="9"/>
      <c r="U51" s="13"/>
      <c r="V51" s="21">
        <v>0</v>
      </c>
      <c r="W51" s="9"/>
      <c r="X51" s="9"/>
      <c r="Y51" s="58"/>
      <c r="Z51" s="9"/>
      <c r="AA51" s="9"/>
      <c r="AB51" s="9"/>
      <c r="AC51" s="9"/>
      <c r="AD51" s="141"/>
      <c r="AE51" s="176"/>
      <c r="AK51" s="328"/>
      <c r="AL51" s="402"/>
      <c r="AM51" s="210"/>
      <c r="AN51" s="314"/>
      <c r="AQ51" s="309"/>
      <c r="AR51" s="230"/>
    </row>
    <row r="52" spans="1:4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2"/>
      <c r="Q52" s="2"/>
      <c r="R52" s="7"/>
      <c r="S52" s="7"/>
      <c r="T52" s="7"/>
      <c r="U52" s="13"/>
      <c r="V52" s="7">
        <v>0</v>
      </c>
      <c r="W52" s="7"/>
      <c r="X52" s="7"/>
      <c r="Y52" s="57"/>
      <c r="Z52" s="7"/>
      <c r="AA52" s="7"/>
      <c r="AB52" s="7"/>
      <c r="AC52" s="7"/>
      <c r="AD52" s="103"/>
      <c r="AE52" s="176"/>
      <c r="AK52" s="328"/>
      <c r="AL52" s="402"/>
      <c r="AM52" s="210"/>
      <c r="AN52" s="314"/>
      <c r="AQ52" s="309"/>
      <c r="AR52" s="230"/>
    </row>
    <row r="53" spans="1:4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4"/>
      <c r="Q53" s="4"/>
      <c r="R53" s="9"/>
      <c r="S53" s="9"/>
      <c r="T53" s="9"/>
      <c r="U53" s="13"/>
      <c r="V53" s="21">
        <v>0</v>
      </c>
      <c r="W53" s="9"/>
      <c r="X53" s="9"/>
      <c r="Y53" s="58"/>
      <c r="Z53" s="9"/>
      <c r="AA53" s="9"/>
      <c r="AB53" s="9"/>
      <c r="AC53" s="9"/>
      <c r="AD53" s="141"/>
      <c r="AE53" s="176"/>
      <c r="AK53" s="328"/>
      <c r="AL53" s="402"/>
      <c r="AM53" s="210"/>
      <c r="AN53" s="314"/>
      <c r="AQ53" s="309"/>
      <c r="AR53" s="230"/>
    </row>
    <row r="54" spans="1:4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2"/>
      <c r="Q54" s="2"/>
      <c r="R54" s="7"/>
      <c r="S54" s="7"/>
      <c r="T54" s="7"/>
      <c r="U54" s="13"/>
      <c r="V54" s="7">
        <v>0</v>
      </c>
      <c r="W54" s="7"/>
      <c r="X54" s="7"/>
      <c r="Y54" s="57"/>
      <c r="Z54" s="7"/>
      <c r="AA54" s="7"/>
      <c r="AB54" s="7"/>
      <c r="AC54" s="7"/>
      <c r="AD54" s="103"/>
      <c r="AE54" s="176"/>
      <c r="AK54" s="328"/>
      <c r="AL54" s="402"/>
      <c r="AM54" s="210"/>
      <c r="AN54" s="314"/>
      <c r="AQ54" s="309"/>
      <c r="AR54" s="230"/>
    </row>
    <row r="55" spans="1:4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4"/>
      <c r="Q55" s="4"/>
      <c r="R55" s="9"/>
      <c r="S55" s="9"/>
      <c r="T55" s="9"/>
      <c r="U55" s="13"/>
      <c r="V55" s="21">
        <v>0</v>
      </c>
      <c r="W55" s="9"/>
      <c r="X55" s="9"/>
      <c r="Y55" s="58"/>
      <c r="Z55" s="9"/>
      <c r="AA55" s="9"/>
      <c r="AB55" s="9"/>
      <c r="AC55" s="9"/>
      <c r="AD55" s="141"/>
      <c r="AE55" s="176"/>
      <c r="AK55" s="328">
        <v>96688865</v>
      </c>
      <c r="AL55" s="402">
        <v>96688865</v>
      </c>
      <c r="AM55" s="210">
        <v>96688865</v>
      </c>
      <c r="AN55" s="314">
        <v>118.45</v>
      </c>
      <c r="AQ55" s="309">
        <v>96688975</v>
      </c>
      <c r="AR55" s="230" t="e">
        <f>AN55+#REF!+#REF!+AP55</f>
        <v>#REF!</v>
      </c>
    </row>
    <row r="56" spans="1:4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2"/>
      <c r="Q56" s="2"/>
      <c r="R56" s="7"/>
      <c r="S56" s="7"/>
      <c r="T56" s="7"/>
      <c r="U56" s="13"/>
      <c r="V56" s="7">
        <v>0</v>
      </c>
      <c r="W56" s="7"/>
      <c r="X56" s="7"/>
      <c r="Y56" s="57"/>
      <c r="Z56" s="7"/>
      <c r="AA56" s="7"/>
      <c r="AB56" s="7"/>
      <c r="AC56" s="7"/>
      <c r="AD56" s="103"/>
      <c r="AE56" s="176"/>
      <c r="AK56" s="328">
        <v>96708906</v>
      </c>
      <c r="AL56" s="402">
        <v>96708906</v>
      </c>
      <c r="AM56" s="210">
        <v>96708906</v>
      </c>
      <c r="AN56" s="314">
        <v>118.45</v>
      </c>
      <c r="AQ56" s="309" t="s">
        <v>1523</v>
      </c>
      <c r="AR56" s="230" t="e">
        <f>AN56+#REF!+AP56</f>
        <v>#REF!</v>
      </c>
    </row>
    <row r="57" spans="1:4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4"/>
      <c r="Q57" s="4"/>
      <c r="R57" s="9"/>
      <c r="S57" s="9"/>
      <c r="T57" s="9"/>
      <c r="U57" s="13"/>
      <c r="V57" s="21">
        <v>0</v>
      </c>
      <c r="W57" s="9"/>
      <c r="X57" s="9"/>
      <c r="Y57" s="58"/>
      <c r="Z57" s="9"/>
      <c r="AA57" s="9"/>
      <c r="AB57" s="9"/>
      <c r="AC57" s="9"/>
      <c r="AD57" s="141"/>
      <c r="AE57" s="176"/>
      <c r="AK57" s="328"/>
      <c r="AL57" s="402"/>
      <c r="AM57" s="210"/>
      <c r="AN57" s="314"/>
      <c r="AQ57" s="309"/>
      <c r="AR57" s="230"/>
    </row>
    <row r="58" spans="1:4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2"/>
      <c r="Q58" s="2"/>
      <c r="R58" s="7"/>
      <c r="S58" s="7"/>
      <c r="T58" s="7"/>
      <c r="U58" s="13"/>
      <c r="V58" s="7">
        <v>0</v>
      </c>
      <c r="W58" s="7"/>
      <c r="X58" s="7"/>
      <c r="Y58" s="57"/>
      <c r="Z58" s="7"/>
      <c r="AA58" s="7"/>
      <c r="AB58" s="7"/>
      <c r="AC58" s="7"/>
      <c r="AD58" s="103"/>
      <c r="AE58" s="176"/>
      <c r="AK58" s="328"/>
      <c r="AL58" s="402"/>
      <c r="AM58" s="210"/>
      <c r="AN58" s="314"/>
      <c r="AQ58" s="309"/>
      <c r="AR58" s="230"/>
    </row>
    <row r="59" spans="1:4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4"/>
      <c r="Q59" s="4"/>
      <c r="R59" s="9"/>
      <c r="S59" s="9"/>
      <c r="T59" s="9"/>
      <c r="U59" s="13"/>
      <c r="V59" s="21">
        <v>0</v>
      </c>
      <c r="W59" s="9"/>
      <c r="X59" s="9"/>
      <c r="Y59" s="58"/>
      <c r="Z59" s="9"/>
      <c r="AA59" s="9"/>
      <c r="AB59" s="9"/>
      <c r="AC59" s="9"/>
      <c r="AD59" s="141"/>
      <c r="AE59" s="176"/>
      <c r="AK59" s="328"/>
      <c r="AL59" s="402"/>
      <c r="AM59" s="210"/>
      <c r="AN59" s="314"/>
      <c r="AQ59" s="309"/>
      <c r="AR59" s="230"/>
    </row>
    <row r="60" spans="1:4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2"/>
      <c r="Q60" s="2"/>
      <c r="R60" s="7"/>
      <c r="S60" s="7"/>
      <c r="T60" s="7"/>
      <c r="U60" s="13"/>
      <c r="V60" s="7">
        <v>0</v>
      </c>
      <c r="W60" s="7"/>
      <c r="X60" s="7"/>
      <c r="Y60" s="57"/>
      <c r="Z60" s="7"/>
      <c r="AA60" s="7"/>
      <c r="AB60" s="7"/>
      <c r="AC60" s="7"/>
      <c r="AD60" s="103"/>
      <c r="AE60" s="176"/>
      <c r="AK60" s="328"/>
      <c r="AL60" s="402"/>
      <c r="AM60" s="210"/>
      <c r="AN60" s="314"/>
      <c r="AQ60" s="309"/>
      <c r="AR60" s="230"/>
    </row>
    <row r="61" spans="1:4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4"/>
      <c r="Q61" s="4"/>
      <c r="R61" s="9"/>
      <c r="S61" s="9"/>
      <c r="T61" s="9"/>
      <c r="U61" s="13"/>
      <c r="V61" s="21">
        <v>0</v>
      </c>
      <c r="W61" s="9"/>
      <c r="X61" s="9"/>
      <c r="Y61" s="58"/>
      <c r="Z61" s="9"/>
      <c r="AA61" s="9"/>
      <c r="AB61" s="9"/>
      <c r="AC61" s="9"/>
      <c r="AD61" s="141"/>
      <c r="AE61" s="176"/>
      <c r="AK61" s="328"/>
      <c r="AL61" s="402"/>
      <c r="AM61" s="210"/>
      <c r="AN61" s="314"/>
      <c r="AQ61" s="309"/>
      <c r="AR61" s="230"/>
    </row>
    <row r="62" spans="1:4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2"/>
      <c r="Q62" s="2"/>
      <c r="R62" s="7"/>
      <c r="S62" s="7"/>
      <c r="T62" s="7"/>
      <c r="U62" s="13"/>
      <c r="V62" s="7">
        <v>0</v>
      </c>
      <c r="W62" s="7"/>
      <c r="X62" s="7"/>
      <c r="Y62" s="57"/>
      <c r="Z62" s="7"/>
      <c r="AA62" s="7"/>
      <c r="AB62" s="7"/>
      <c r="AC62" s="7"/>
      <c r="AD62" s="103"/>
      <c r="AE62" s="176"/>
      <c r="AK62" s="328"/>
      <c r="AL62" s="402"/>
      <c r="AM62" s="210"/>
      <c r="AN62" s="314"/>
      <c r="AQ62" s="309"/>
      <c r="AR62" s="230"/>
    </row>
    <row r="63" spans="1:4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4"/>
      <c r="Q63" s="4"/>
      <c r="R63" s="9"/>
      <c r="S63" s="9"/>
      <c r="T63" s="9"/>
      <c r="U63" s="13"/>
      <c r="V63" s="21">
        <v>0</v>
      </c>
      <c r="W63" s="9"/>
      <c r="X63" s="9"/>
      <c r="Y63" s="58"/>
      <c r="Z63" s="9"/>
      <c r="AA63" s="9"/>
      <c r="AB63" s="9"/>
      <c r="AC63" s="9"/>
      <c r="AD63" s="141"/>
      <c r="AE63" s="176"/>
      <c r="AK63" s="328"/>
      <c r="AL63" s="402"/>
      <c r="AM63" s="210"/>
      <c r="AN63" s="314"/>
      <c r="AQ63" s="309"/>
      <c r="AR63" s="230"/>
    </row>
    <row r="64" spans="1:4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2"/>
      <c r="Q64" s="2"/>
      <c r="R64" s="7"/>
      <c r="S64" s="7"/>
      <c r="T64" s="7"/>
      <c r="U64" s="13"/>
      <c r="V64" s="7">
        <v>0</v>
      </c>
      <c r="W64" s="7"/>
      <c r="X64" s="7"/>
      <c r="Y64" s="57"/>
      <c r="Z64" s="7"/>
      <c r="AA64" s="7"/>
      <c r="AB64" s="7"/>
      <c r="AC64" s="7"/>
      <c r="AD64" s="103"/>
      <c r="AE64" s="176"/>
      <c r="AK64" s="328"/>
      <c r="AL64" s="402"/>
      <c r="AM64" s="210"/>
      <c r="AN64" s="314"/>
      <c r="AQ64" s="309"/>
      <c r="AR64" s="230"/>
    </row>
    <row r="65" spans="1:4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4"/>
      <c r="Q65" s="4"/>
      <c r="R65" s="9"/>
      <c r="S65" s="9"/>
      <c r="T65" s="9"/>
      <c r="U65" s="13"/>
      <c r="V65" s="21">
        <v>0</v>
      </c>
      <c r="W65" s="9"/>
      <c r="X65" s="9"/>
      <c r="Y65" s="58"/>
      <c r="Z65" s="9"/>
      <c r="AA65" s="9"/>
      <c r="AB65" s="9"/>
      <c r="AC65" s="9"/>
      <c r="AD65" s="141"/>
      <c r="AE65" s="176"/>
      <c r="AK65" s="328"/>
      <c r="AL65" s="402"/>
      <c r="AM65" s="210"/>
      <c r="AN65" s="314"/>
      <c r="AQ65" s="309"/>
      <c r="AR65" s="230"/>
    </row>
    <row r="66" spans="1:4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2"/>
      <c r="Q66" s="2"/>
      <c r="R66" s="7"/>
      <c r="S66" s="7"/>
      <c r="T66" s="7"/>
      <c r="U66" s="13"/>
      <c r="V66" s="7">
        <v>0</v>
      </c>
      <c r="W66" s="7"/>
      <c r="X66" s="7"/>
      <c r="Y66" s="57"/>
      <c r="Z66" s="7"/>
      <c r="AA66" s="7"/>
      <c r="AB66" s="7"/>
      <c r="AC66" s="7"/>
      <c r="AD66" s="103"/>
      <c r="AE66" s="176"/>
      <c r="AK66" s="328"/>
      <c r="AL66" s="402"/>
      <c r="AM66" s="210"/>
      <c r="AN66" s="314"/>
      <c r="AQ66" s="309"/>
      <c r="AR66" s="230"/>
    </row>
    <row r="67" spans="1:4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4"/>
      <c r="Q67" s="4"/>
      <c r="R67" s="9"/>
      <c r="S67" s="9"/>
      <c r="T67" s="9"/>
      <c r="U67" s="13"/>
      <c r="V67" s="21">
        <v>0</v>
      </c>
      <c r="W67" s="9"/>
      <c r="X67" s="9"/>
      <c r="Y67" s="58"/>
      <c r="Z67" s="9"/>
      <c r="AA67" s="9"/>
      <c r="AB67" s="9"/>
      <c r="AC67" s="9"/>
      <c r="AD67" s="141"/>
      <c r="AE67" s="176"/>
      <c r="AK67" s="328"/>
      <c r="AL67" s="402"/>
      <c r="AM67" s="210"/>
      <c r="AN67" s="314"/>
      <c r="AQ67" s="309"/>
      <c r="AR67" s="230"/>
    </row>
    <row r="68" spans="1:4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2"/>
      <c r="Q68" s="2"/>
      <c r="R68" s="7"/>
      <c r="S68" s="7"/>
      <c r="T68" s="7"/>
      <c r="U68" s="13"/>
      <c r="V68" s="7">
        <v>0</v>
      </c>
      <c r="W68" s="7"/>
      <c r="X68" s="7"/>
      <c r="Y68" s="57"/>
      <c r="Z68" s="7"/>
      <c r="AA68" s="7"/>
      <c r="AB68" s="7"/>
      <c r="AC68" s="7"/>
      <c r="AD68" s="103"/>
      <c r="AE68" s="176"/>
      <c r="AK68" s="328"/>
      <c r="AL68" s="402"/>
      <c r="AM68" s="210"/>
      <c r="AN68" s="314"/>
      <c r="AQ68" s="309"/>
      <c r="AR68" s="230"/>
    </row>
    <row r="69" spans="1:4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2"/>
      <c r="Q69" s="2"/>
      <c r="R69" s="9"/>
      <c r="S69" s="9"/>
      <c r="T69" s="9"/>
      <c r="U69" s="13"/>
      <c r="V69" s="21">
        <v>0</v>
      </c>
      <c r="W69" s="9"/>
      <c r="X69" s="9"/>
      <c r="Y69" s="58"/>
      <c r="Z69" s="9"/>
      <c r="AA69" s="9"/>
      <c r="AB69" s="9"/>
      <c r="AC69" s="9"/>
      <c r="AD69" s="141"/>
      <c r="AE69" s="176"/>
      <c r="AK69" s="328"/>
      <c r="AL69" s="402"/>
      <c r="AM69" s="210"/>
      <c r="AN69" s="314"/>
      <c r="AQ69" s="309"/>
      <c r="AR69" s="230"/>
    </row>
    <row r="70" spans="1:4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2"/>
      <c r="Q70" s="2"/>
      <c r="R70" s="7"/>
      <c r="S70" s="7"/>
      <c r="T70" s="7"/>
      <c r="U70" s="13"/>
      <c r="V70" s="7">
        <v>0</v>
      </c>
      <c r="W70" s="7"/>
      <c r="X70" s="7"/>
      <c r="Y70" s="57"/>
      <c r="Z70" s="7"/>
      <c r="AA70" s="7"/>
      <c r="AB70" s="7"/>
      <c r="AC70" s="7"/>
      <c r="AD70" s="103"/>
      <c r="AE70" s="179"/>
      <c r="AK70" s="329"/>
      <c r="AL70" s="403"/>
      <c r="AM70" s="211"/>
      <c r="AN70" s="320"/>
      <c r="AQ70" s="340"/>
      <c r="AR70" s="231"/>
    </row>
    <row r="71" spans="1:4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2"/>
      <c r="Q71" s="2"/>
      <c r="R71" s="9"/>
      <c r="S71" s="9"/>
      <c r="T71" s="9"/>
      <c r="U71" s="13"/>
      <c r="V71" s="21">
        <v>0</v>
      </c>
      <c r="W71" s="9"/>
      <c r="X71" s="9"/>
      <c r="Y71" s="58"/>
      <c r="Z71" s="9"/>
      <c r="AA71" s="9"/>
      <c r="AB71" s="9"/>
      <c r="AC71" s="9"/>
      <c r="AD71" s="141"/>
      <c r="AE71" s="173"/>
      <c r="AK71" s="330">
        <v>118.45</v>
      </c>
      <c r="AL71" s="404">
        <v>118.45</v>
      </c>
      <c r="AM71" s="213">
        <v>118.45</v>
      </c>
      <c r="AN71" s="321"/>
      <c r="AQ71" s="341" t="s">
        <v>1524</v>
      </c>
      <c r="AR71" s="342" t="s">
        <v>1525</v>
      </c>
    </row>
    <row r="72" spans="1:4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2"/>
      <c r="Q72" s="2"/>
      <c r="R72" s="7"/>
      <c r="S72" s="7"/>
      <c r="T72" s="7"/>
      <c r="U72" s="13"/>
      <c r="V72" s="7">
        <v>0</v>
      </c>
      <c r="W72" s="7"/>
      <c r="X72" s="7"/>
      <c r="Y72" s="57"/>
      <c r="Z72" s="7"/>
      <c r="AA72" s="7"/>
      <c r="AB72" s="7"/>
      <c r="AC72" s="7"/>
      <c r="AD72" s="103"/>
      <c r="AE72" s="176"/>
    </row>
    <row r="73" spans="1:4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2"/>
      <c r="Q73" s="2"/>
      <c r="R73" s="9"/>
      <c r="S73" s="9"/>
      <c r="T73" s="9"/>
      <c r="U73" s="13"/>
      <c r="V73" s="21">
        <v>0</v>
      </c>
      <c r="W73" s="9"/>
      <c r="X73" s="9"/>
      <c r="Y73" s="58"/>
      <c r="Z73" s="9"/>
      <c r="AA73" s="9"/>
      <c r="AB73" s="9"/>
      <c r="AC73" s="9"/>
      <c r="AD73" s="141"/>
      <c r="AE73" s="176"/>
    </row>
  </sheetData>
  <mergeCells count="2">
    <mergeCell ref="G1:J1"/>
    <mergeCell ref="E1:F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X8"/>
  <sheetViews>
    <sheetView workbookViewId="0">
      <selection activeCell="J2" sqref="J2"/>
    </sheetView>
  </sheetViews>
  <sheetFormatPr defaultColWidth="8.85546875" defaultRowHeight="14.45"/>
  <cols>
    <col min="1" max="2" width="8.85546875" style="5"/>
    <col min="3" max="3" width="5.5703125" style="5" bestFit="1" customWidth="1"/>
    <col min="4" max="15" width="5.28515625" style="5" customWidth="1"/>
    <col min="16" max="16" width="0.7109375" style="11" customWidth="1"/>
    <col min="17" max="17" width="21.7109375" style="5" bestFit="1" customWidth="1"/>
    <col min="18" max="18" width="16.42578125" style="5" bestFit="1" customWidth="1"/>
    <col min="19" max="19" width="15.140625" style="5" bestFit="1" customWidth="1"/>
    <col min="20" max="20" width="16.7109375" style="5" bestFit="1" customWidth="1"/>
    <col min="21" max="21" width="14.28515625" style="5" bestFit="1" customWidth="1"/>
    <col min="22" max="22" width="13.28515625" style="5" customWidth="1"/>
    <col min="23" max="23" width="8.85546875" style="5"/>
    <col min="24" max="24" width="13.85546875" style="5" bestFit="1" customWidth="1"/>
    <col min="25" max="16384" width="8.85546875" style="5"/>
  </cols>
  <sheetData>
    <row r="1" spans="1:24" ht="18.600000000000001">
      <c r="A1" s="10" t="s">
        <v>1526</v>
      </c>
    </row>
    <row r="2" spans="1:24">
      <c r="A2" s="6" t="s">
        <v>612</v>
      </c>
      <c r="B2" s="6" t="s">
        <v>613</v>
      </c>
      <c r="C2" s="6" t="s">
        <v>614</v>
      </c>
      <c r="D2" s="6" t="s">
        <v>615</v>
      </c>
      <c r="E2" s="6" t="s">
        <v>1295</v>
      </c>
      <c r="F2" s="6" t="s">
        <v>1297</v>
      </c>
      <c r="G2" s="6" t="s">
        <v>1298</v>
      </c>
      <c r="H2" s="6" t="s">
        <v>1301</v>
      </c>
      <c r="I2" s="6" t="s">
        <v>1302</v>
      </c>
      <c r="J2" s="6" t="s">
        <v>1303</v>
      </c>
      <c r="K2" s="6" t="s">
        <v>1304</v>
      </c>
      <c r="L2" s="6" t="s">
        <v>1305</v>
      </c>
      <c r="M2" s="6" t="s">
        <v>1306</v>
      </c>
      <c r="N2" s="6" t="s">
        <v>1307</v>
      </c>
      <c r="O2" s="6" t="s">
        <v>1308</v>
      </c>
      <c r="P2" s="12" t="s">
        <v>289</v>
      </c>
      <c r="Q2" s="6" t="s">
        <v>621</v>
      </c>
      <c r="R2" s="6" t="s">
        <v>922</v>
      </c>
      <c r="S2" s="6" t="s">
        <v>972</v>
      </c>
      <c r="T2" s="6" t="s">
        <v>622</v>
      </c>
      <c r="U2" s="6" t="s">
        <v>642</v>
      </c>
      <c r="V2" s="6" t="s">
        <v>978</v>
      </c>
      <c r="W2" s="6" t="s">
        <v>1310</v>
      </c>
      <c r="X2" s="6" t="s">
        <v>1311</v>
      </c>
    </row>
    <row r="3" spans="1:24">
      <c r="A3" s="7">
        <v>1</v>
      </c>
      <c r="B3" s="7">
        <v>892</v>
      </c>
      <c r="C3" s="7" t="s">
        <v>688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3"/>
      <c r="Q3" s="8"/>
      <c r="R3" s="13"/>
      <c r="S3" s="13"/>
      <c r="T3" s="8"/>
      <c r="U3" s="7"/>
      <c r="V3" s="7"/>
      <c r="W3" s="7"/>
      <c r="X3" s="7"/>
    </row>
    <row r="4" spans="1:24">
      <c r="A4" s="9">
        <v>2</v>
      </c>
      <c r="B4" s="9">
        <v>893</v>
      </c>
      <c r="C4" s="9" t="s">
        <v>688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9"/>
      <c r="R4" s="13"/>
      <c r="S4" s="13"/>
      <c r="T4" s="9"/>
      <c r="U4" s="9"/>
      <c r="V4" s="9"/>
      <c r="W4" s="9"/>
      <c r="X4" s="9"/>
    </row>
    <row r="5" spans="1:2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3"/>
      <c r="Q5" s="7"/>
      <c r="R5" s="7"/>
      <c r="S5" s="7"/>
      <c r="T5" s="7"/>
      <c r="U5" s="7"/>
      <c r="V5" s="7"/>
      <c r="W5" s="7"/>
      <c r="X5" s="7"/>
    </row>
    <row r="6" spans="1:2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3"/>
      <c r="Q6" s="9"/>
      <c r="R6" s="9"/>
      <c r="S6" s="9"/>
      <c r="T6" s="9"/>
      <c r="U6" s="9"/>
      <c r="V6" s="9"/>
      <c r="W6" s="9"/>
      <c r="X6" s="9"/>
    </row>
    <row r="7" spans="1:24">
      <c r="A7" s="7">
        <v>5</v>
      </c>
      <c r="B7" s="7">
        <v>892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3"/>
      <c r="Q7" s="7"/>
      <c r="R7" s="13"/>
      <c r="S7" s="13"/>
      <c r="T7" s="7"/>
      <c r="U7" s="7"/>
      <c r="V7" s="7"/>
      <c r="W7" s="7"/>
      <c r="X7" s="7"/>
    </row>
    <row r="8" spans="1:24">
      <c r="A8" s="9">
        <v>6</v>
      </c>
      <c r="B8" s="9">
        <v>893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3"/>
      <c r="Q8" s="9"/>
      <c r="R8" s="13"/>
      <c r="S8" s="13"/>
      <c r="T8" s="9"/>
      <c r="U8" s="9"/>
      <c r="V8" s="9"/>
      <c r="W8" s="9"/>
      <c r="X8" s="9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B28"/>
  <sheetViews>
    <sheetView zoomScaleNormal="100" workbookViewId="0">
      <selection activeCell="X17" sqref="X17"/>
    </sheetView>
  </sheetViews>
  <sheetFormatPr defaultColWidth="8.85546875" defaultRowHeight="14.45"/>
  <cols>
    <col min="3" max="3" width="5.5703125" bestFit="1" customWidth="1"/>
    <col min="4" max="17" width="5.28515625" customWidth="1"/>
    <col min="18" max="18" width="0.7109375" style="1" customWidth="1"/>
    <col min="19" max="19" width="5.7109375" bestFit="1" customWidth="1"/>
    <col min="20" max="20" width="10.7109375" bestFit="1" customWidth="1"/>
    <col min="21" max="21" width="18.85546875" bestFit="1" customWidth="1"/>
    <col min="22" max="22" width="16.42578125" bestFit="1" customWidth="1"/>
    <col min="23" max="23" width="15.140625" bestFit="1" customWidth="1"/>
    <col min="24" max="24" width="16.7109375" bestFit="1" customWidth="1"/>
    <col min="25" max="25" width="14.28515625" bestFit="1" customWidth="1"/>
    <col min="26" max="26" width="15.28515625" bestFit="1" customWidth="1"/>
    <col min="28" max="28" width="13.85546875" bestFit="1" customWidth="1"/>
  </cols>
  <sheetData>
    <row r="1" spans="1:28" ht="18.600000000000001">
      <c r="A1" s="3" t="s">
        <v>1527</v>
      </c>
      <c r="S1" s="3"/>
    </row>
    <row r="2" spans="1:28" s="5" customFormat="1">
      <c r="A2" s="6" t="s">
        <v>612</v>
      </c>
      <c r="B2" s="6" t="s">
        <v>613</v>
      </c>
      <c r="C2" s="6" t="s">
        <v>614</v>
      </c>
      <c r="D2" s="6" t="s">
        <v>615</v>
      </c>
      <c r="E2" s="6" t="s">
        <v>1295</v>
      </c>
      <c r="F2" s="6" t="s">
        <v>1296</v>
      </c>
      <c r="G2" s="6" t="s">
        <v>1297</v>
      </c>
      <c r="H2" s="6" t="s">
        <v>1298</v>
      </c>
      <c r="I2" s="6" t="s">
        <v>1299</v>
      </c>
      <c r="J2" s="6" t="s">
        <v>1528</v>
      </c>
      <c r="K2" s="6" t="s">
        <v>1301</v>
      </c>
      <c r="L2" s="6" t="s">
        <v>1302</v>
      </c>
      <c r="M2" s="6" t="s">
        <v>1304</v>
      </c>
      <c r="N2" s="6" t="s">
        <v>1305</v>
      </c>
      <c r="O2" s="6" t="s">
        <v>1306</v>
      </c>
      <c r="P2" s="6" t="s">
        <v>1307</v>
      </c>
      <c r="Q2" s="6" t="s">
        <v>1308</v>
      </c>
      <c r="R2" s="12" t="s">
        <v>289</v>
      </c>
      <c r="S2" s="6" t="s">
        <v>612</v>
      </c>
      <c r="T2" s="6" t="s">
        <v>626</v>
      </c>
      <c r="U2" s="6" t="s">
        <v>621</v>
      </c>
      <c r="V2" s="6" t="s">
        <v>922</v>
      </c>
      <c r="W2" s="6" t="s">
        <v>972</v>
      </c>
      <c r="X2" s="6" t="s">
        <v>622</v>
      </c>
      <c r="Y2" s="6" t="s">
        <v>642</v>
      </c>
      <c r="Z2" s="6" t="s">
        <v>978</v>
      </c>
      <c r="AA2" s="6" t="s">
        <v>1310</v>
      </c>
      <c r="AB2" s="6" t="s">
        <v>1311</v>
      </c>
    </row>
    <row r="3" spans="1:28">
      <c r="A3" s="19">
        <v>3</v>
      </c>
      <c r="B3" s="15">
        <v>921</v>
      </c>
      <c r="C3" s="7" t="s">
        <v>648</v>
      </c>
      <c r="D3" s="7">
        <v>2</v>
      </c>
      <c r="E3" s="7" t="s">
        <v>1529</v>
      </c>
      <c r="F3" s="7" t="s">
        <v>650</v>
      </c>
      <c r="G3" s="7" t="s">
        <v>650</v>
      </c>
      <c r="H3" s="7"/>
      <c r="I3" s="7"/>
      <c r="J3" s="7"/>
      <c r="K3" s="7" t="s">
        <v>650</v>
      </c>
      <c r="L3" s="7"/>
      <c r="M3" s="7"/>
      <c r="N3" s="7"/>
      <c r="O3" s="7"/>
      <c r="P3" s="7" t="s">
        <v>650</v>
      </c>
      <c r="Q3" s="7"/>
      <c r="R3" s="16"/>
      <c r="S3" s="2">
        <v>16</v>
      </c>
      <c r="T3" s="8" t="s">
        <v>1365</v>
      </c>
      <c r="U3" s="8">
        <v>44669</v>
      </c>
      <c r="V3" s="31">
        <v>42451.5</v>
      </c>
      <c r="W3" s="7">
        <v>91709227</v>
      </c>
      <c r="X3" s="8" t="s">
        <v>1530</v>
      </c>
      <c r="Y3" s="31">
        <v>9273.68</v>
      </c>
      <c r="Z3" s="7">
        <v>91709227</v>
      </c>
      <c r="AA3" s="7">
        <v>155.57</v>
      </c>
      <c r="AB3" s="7"/>
    </row>
    <row r="4" spans="1:28">
      <c r="A4" s="4">
        <v>15</v>
      </c>
      <c r="B4" s="9">
        <v>942</v>
      </c>
      <c r="C4" s="9" t="s">
        <v>649</v>
      </c>
      <c r="D4" s="9">
        <v>3</v>
      </c>
      <c r="E4" s="9">
        <v>2</v>
      </c>
      <c r="F4" s="38" t="s">
        <v>650</v>
      </c>
      <c r="G4" s="9"/>
      <c r="H4" s="9" t="s">
        <v>650</v>
      </c>
      <c r="I4" s="9"/>
      <c r="J4" s="9"/>
      <c r="K4" s="38" t="s">
        <v>650</v>
      </c>
      <c r="L4" s="9"/>
      <c r="M4" s="9"/>
      <c r="N4" s="9"/>
      <c r="O4" s="9"/>
      <c r="P4" s="9"/>
      <c r="Q4" s="9"/>
      <c r="R4" s="17"/>
      <c r="S4" s="4">
        <v>15</v>
      </c>
      <c r="T4" s="9"/>
      <c r="U4" s="9"/>
      <c r="V4" s="32"/>
      <c r="W4" s="9"/>
      <c r="X4" s="43">
        <v>44602</v>
      </c>
      <c r="Y4" s="32">
        <v>8922.85</v>
      </c>
      <c r="Z4" s="9" t="s">
        <v>1531</v>
      </c>
      <c r="AA4" s="9">
        <v>155.57</v>
      </c>
      <c r="AB4" s="9" t="s">
        <v>9</v>
      </c>
    </row>
    <row r="5" spans="1:28">
      <c r="A5" s="2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16"/>
      <c r="S5" s="2">
        <v>16</v>
      </c>
      <c r="T5" s="8"/>
      <c r="U5" s="8"/>
      <c r="V5" s="31"/>
      <c r="W5" s="7"/>
      <c r="X5" s="8"/>
      <c r="Y5" s="31"/>
      <c r="Z5" s="7"/>
      <c r="AA5" s="7"/>
      <c r="AB5" s="7"/>
    </row>
    <row r="6" spans="1:28">
      <c r="A6" s="4">
        <v>17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7"/>
      <c r="S6" s="4">
        <v>17</v>
      </c>
      <c r="T6" s="9"/>
      <c r="U6" s="9"/>
      <c r="V6" s="32"/>
      <c r="W6" s="9"/>
      <c r="X6" s="43" t="s">
        <v>1532</v>
      </c>
      <c r="Y6" s="32">
        <v>7374.9</v>
      </c>
      <c r="Z6" s="9" t="s">
        <v>1533</v>
      </c>
      <c r="AA6" s="9" t="s">
        <v>650</v>
      </c>
      <c r="AB6" s="9" t="s">
        <v>9</v>
      </c>
    </row>
    <row r="7" spans="1:28">
      <c r="A7" s="2">
        <v>18</v>
      </c>
      <c r="B7" s="7">
        <v>913</v>
      </c>
      <c r="C7" s="7" t="s">
        <v>647</v>
      </c>
      <c r="D7" s="7">
        <v>3</v>
      </c>
      <c r="E7" s="7">
        <v>2</v>
      </c>
      <c r="F7" s="7" t="s">
        <v>650</v>
      </c>
      <c r="G7" s="7" t="s">
        <v>650</v>
      </c>
      <c r="H7" s="7"/>
      <c r="I7" s="7"/>
      <c r="J7" s="7"/>
      <c r="K7" s="7" t="s">
        <v>650</v>
      </c>
      <c r="L7" s="7"/>
      <c r="M7" s="7" t="s">
        <v>650</v>
      </c>
      <c r="N7" s="7"/>
      <c r="O7" s="7"/>
      <c r="P7" s="7" t="s">
        <v>650</v>
      </c>
      <c r="Q7" s="7"/>
      <c r="R7" s="17"/>
      <c r="S7" s="2">
        <v>18</v>
      </c>
      <c r="T7" s="7"/>
      <c r="U7" s="7"/>
      <c r="V7" s="31"/>
      <c r="W7" s="7"/>
      <c r="X7" s="7" t="s">
        <v>1534</v>
      </c>
      <c r="Y7" s="31">
        <v>10910.05</v>
      </c>
      <c r="Z7" s="7"/>
      <c r="AA7" s="7"/>
      <c r="AB7" s="7"/>
    </row>
    <row r="8" spans="1:28">
      <c r="A8" s="4">
        <v>19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7"/>
      <c r="S8" s="4">
        <v>19</v>
      </c>
      <c r="T8" s="9"/>
      <c r="U8" s="9"/>
      <c r="V8" s="32"/>
      <c r="W8" s="9"/>
      <c r="X8" s="32"/>
      <c r="Y8" s="32"/>
      <c r="Z8" s="9" t="s">
        <v>1319</v>
      </c>
      <c r="AA8" s="9">
        <v>155.57</v>
      </c>
      <c r="AB8" s="9">
        <v>59814040</v>
      </c>
    </row>
    <row r="9" spans="1:28">
      <c r="A9" s="2">
        <v>20</v>
      </c>
      <c r="B9" s="7">
        <v>942</v>
      </c>
      <c r="C9" s="7" t="s">
        <v>648</v>
      </c>
      <c r="D9" s="7">
        <v>3</v>
      </c>
      <c r="E9" s="7">
        <v>2</v>
      </c>
      <c r="F9" s="7" t="s">
        <v>650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17"/>
      <c r="S9" s="2">
        <v>20</v>
      </c>
      <c r="T9" s="7"/>
      <c r="U9" s="7"/>
      <c r="V9" s="31"/>
      <c r="W9" s="7" t="s">
        <v>1312</v>
      </c>
      <c r="X9" s="7" t="s">
        <v>1535</v>
      </c>
      <c r="Y9" s="31">
        <v>9459</v>
      </c>
      <c r="Z9" s="7" t="s">
        <v>1536</v>
      </c>
      <c r="AA9" s="7">
        <v>155.57</v>
      </c>
      <c r="AB9" s="7">
        <v>59396493</v>
      </c>
    </row>
    <row r="10" spans="1:28">
      <c r="A10" s="4">
        <v>21</v>
      </c>
      <c r="B10" s="9">
        <v>942</v>
      </c>
      <c r="C10" s="9" t="s">
        <v>649</v>
      </c>
      <c r="D10" s="9">
        <v>3</v>
      </c>
      <c r="E10" s="9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7"/>
      <c r="S10" s="4">
        <v>21</v>
      </c>
      <c r="T10" s="9"/>
      <c r="U10" s="9"/>
      <c r="V10" s="32"/>
      <c r="W10" s="9" t="s">
        <v>1312</v>
      </c>
      <c r="X10" s="9"/>
      <c r="Y10" s="32"/>
      <c r="Z10" s="9"/>
      <c r="AA10" s="9">
        <v>155.57</v>
      </c>
      <c r="AB10" s="50">
        <v>59396537</v>
      </c>
    </row>
    <row r="11" spans="1:28">
      <c r="A11" s="2">
        <v>22</v>
      </c>
      <c r="B11" s="7">
        <v>913</v>
      </c>
      <c r="C11" s="7" t="s">
        <v>648</v>
      </c>
      <c r="D11" s="7">
        <v>3</v>
      </c>
      <c r="E11" s="7">
        <v>2</v>
      </c>
      <c r="F11" s="7" t="s">
        <v>650</v>
      </c>
      <c r="G11" s="7" t="s">
        <v>650</v>
      </c>
      <c r="H11" s="7"/>
      <c r="I11" s="7"/>
      <c r="J11" s="7"/>
      <c r="K11" s="7" t="s">
        <v>650</v>
      </c>
      <c r="L11" s="7"/>
      <c r="M11" s="7" t="s">
        <v>650</v>
      </c>
      <c r="N11" s="7" t="s">
        <v>650</v>
      </c>
      <c r="O11" s="7"/>
      <c r="P11" s="7"/>
      <c r="Q11" s="7"/>
      <c r="R11" s="17"/>
      <c r="S11" s="2">
        <v>22</v>
      </c>
      <c r="T11" s="7"/>
      <c r="U11" s="7"/>
      <c r="V11" s="31"/>
      <c r="W11" s="7"/>
      <c r="X11" s="7"/>
      <c r="Y11" s="31"/>
      <c r="Z11" s="7"/>
      <c r="AA11" s="7"/>
      <c r="AB11" s="7"/>
    </row>
    <row r="12" spans="1:28">
      <c r="A12" s="4">
        <v>23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7"/>
      <c r="S12" s="4">
        <v>23</v>
      </c>
      <c r="T12" s="9"/>
      <c r="U12" s="9"/>
      <c r="V12" s="32"/>
      <c r="W12" s="9"/>
      <c r="X12" s="37" t="s">
        <v>1535</v>
      </c>
      <c r="Y12" s="40">
        <v>10910.05</v>
      </c>
      <c r="Z12" s="9"/>
      <c r="AA12" s="9"/>
      <c r="AB12" s="9"/>
    </row>
    <row r="13" spans="1:28">
      <c r="A13" s="2">
        <v>24</v>
      </c>
      <c r="B13" s="7">
        <v>942</v>
      </c>
      <c r="C13" s="7" t="s">
        <v>647</v>
      </c>
      <c r="D13" s="7">
        <v>3</v>
      </c>
      <c r="E13" s="7">
        <v>1</v>
      </c>
      <c r="F13" s="7"/>
      <c r="G13" s="7"/>
      <c r="H13" s="7" t="s">
        <v>650</v>
      </c>
      <c r="I13" s="7"/>
      <c r="J13" s="7"/>
      <c r="K13" s="7"/>
      <c r="L13" s="7"/>
      <c r="M13" s="7"/>
      <c r="N13" s="7"/>
      <c r="O13" s="7"/>
      <c r="P13" s="7"/>
      <c r="Q13" s="7"/>
      <c r="R13" s="17"/>
      <c r="S13" s="2">
        <v>24</v>
      </c>
      <c r="T13" s="7"/>
      <c r="U13" s="7"/>
      <c r="V13" s="31"/>
      <c r="W13" s="7"/>
      <c r="X13" s="15"/>
      <c r="Y13" s="31"/>
      <c r="Z13" s="7"/>
      <c r="AA13" s="7"/>
      <c r="AB13" s="7"/>
    </row>
    <row r="14" spans="1:28">
      <c r="A14" s="4">
        <v>25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7"/>
      <c r="S14" s="4">
        <v>25</v>
      </c>
      <c r="T14" s="9"/>
      <c r="U14" s="9"/>
      <c r="V14" s="32"/>
      <c r="W14" s="9"/>
      <c r="X14" s="9"/>
      <c r="Y14" s="32"/>
      <c r="Z14" s="9"/>
      <c r="AA14" s="9"/>
      <c r="AB14" s="9"/>
    </row>
    <row r="15" spans="1:28">
      <c r="A15" s="2">
        <v>26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17"/>
      <c r="S15" s="2">
        <v>26</v>
      </c>
      <c r="T15" s="7"/>
      <c r="U15" s="7"/>
      <c r="V15" s="31"/>
      <c r="W15" s="7"/>
      <c r="X15" s="7"/>
      <c r="Y15" s="31"/>
      <c r="Z15" s="7"/>
      <c r="AA15" s="7"/>
      <c r="AB15" s="7"/>
    </row>
    <row r="16" spans="1:28">
      <c r="A16" s="4">
        <v>27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7"/>
      <c r="S16" s="4">
        <v>27</v>
      </c>
      <c r="T16" s="9"/>
      <c r="U16" s="9"/>
      <c r="V16" s="32"/>
      <c r="W16" s="9"/>
      <c r="X16" s="9"/>
      <c r="Y16" s="32"/>
      <c r="Z16" s="9"/>
      <c r="AA16" s="9"/>
      <c r="AB16" s="9"/>
    </row>
    <row r="17" spans="1:28">
      <c r="A17" s="2">
        <v>28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17"/>
      <c r="S17" s="2">
        <v>28</v>
      </c>
      <c r="T17" s="7"/>
      <c r="U17" s="7"/>
      <c r="V17" s="31"/>
      <c r="W17" s="7"/>
      <c r="X17" s="7"/>
      <c r="Y17" s="31"/>
      <c r="Z17" s="7"/>
      <c r="AA17" s="7"/>
      <c r="AB17" s="7"/>
    </row>
    <row r="18" spans="1:28">
      <c r="A18" s="4">
        <v>29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7"/>
      <c r="S18" s="4">
        <v>29</v>
      </c>
      <c r="T18" s="9"/>
      <c r="U18" s="9"/>
      <c r="V18" s="32"/>
      <c r="W18" s="9"/>
      <c r="X18" s="9"/>
      <c r="Y18" s="32"/>
      <c r="Z18" s="9"/>
      <c r="AA18" s="9"/>
      <c r="AB18" s="9"/>
    </row>
    <row r="19" spans="1:28">
      <c r="A19" s="2">
        <v>30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7"/>
      <c r="S19" s="2">
        <v>30</v>
      </c>
      <c r="T19" s="7"/>
      <c r="U19" s="7"/>
      <c r="V19" s="31"/>
      <c r="W19" s="7"/>
      <c r="X19" s="7"/>
      <c r="Y19" s="31"/>
      <c r="Z19" s="7"/>
      <c r="AA19" s="7"/>
      <c r="AB19" s="7"/>
    </row>
    <row r="20" spans="1:28">
      <c r="A20" s="4">
        <v>31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7"/>
      <c r="S20" s="4">
        <v>31</v>
      </c>
      <c r="T20" s="9"/>
      <c r="U20" s="9"/>
      <c r="V20" s="32"/>
      <c r="W20" s="9"/>
      <c r="X20" s="9"/>
      <c r="Y20" s="32"/>
      <c r="Z20" s="9"/>
      <c r="AA20" s="9"/>
      <c r="AB20" s="9"/>
    </row>
    <row r="21" spans="1:28">
      <c r="A21" s="2">
        <v>32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7"/>
      <c r="S21" s="2">
        <v>32</v>
      </c>
      <c r="T21" s="7"/>
      <c r="U21" s="7"/>
      <c r="V21" s="31"/>
      <c r="W21" s="7"/>
      <c r="X21" s="7"/>
      <c r="Y21" s="31"/>
      <c r="Z21" s="7"/>
      <c r="AA21" s="7"/>
      <c r="AB21" s="7"/>
    </row>
    <row r="22" spans="1:28">
      <c r="A22" s="4">
        <v>33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7"/>
      <c r="S22" s="4">
        <v>33</v>
      </c>
      <c r="T22" s="9"/>
      <c r="U22" s="9"/>
      <c r="V22" s="32"/>
      <c r="W22" s="9"/>
      <c r="X22" s="9"/>
      <c r="Y22" s="32"/>
      <c r="Z22" s="9"/>
      <c r="AA22" s="9"/>
      <c r="AB22" s="9"/>
    </row>
    <row r="23" spans="1:28">
      <c r="A23" s="2">
        <v>34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17"/>
      <c r="S23" s="2">
        <v>34</v>
      </c>
      <c r="T23" s="7"/>
      <c r="U23" s="7"/>
      <c r="V23" s="31"/>
      <c r="W23" s="7"/>
      <c r="X23" s="7"/>
      <c r="Y23" s="31"/>
      <c r="Z23" s="7"/>
      <c r="AA23" s="7"/>
      <c r="AB23" s="7"/>
    </row>
    <row r="24" spans="1:28">
      <c r="A24" s="4">
        <v>35</v>
      </c>
      <c r="B24" s="9">
        <v>921</v>
      </c>
      <c r="C24" s="9" t="s">
        <v>647</v>
      </c>
      <c r="D24" s="9">
        <v>2</v>
      </c>
      <c r="E24" s="9" t="s">
        <v>1529</v>
      </c>
      <c r="F24" s="9" t="s">
        <v>650</v>
      </c>
      <c r="G24" s="9" t="s">
        <v>650</v>
      </c>
      <c r="H24" s="9"/>
      <c r="I24" s="9"/>
      <c r="J24" s="9"/>
      <c r="K24" s="9" t="s">
        <v>650</v>
      </c>
      <c r="L24" s="9"/>
      <c r="M24" s="9"/>
      <c r="N24" s="9"/>
      <c r="O24" s="9"/>
      <c r="P24" s="9" t="s">
        <v>650</v>
      </c>
      <c r="Q24" s="9"/>
      <c r="R24" s="17"/>
      <c r="S24" s="4">
        <v>35</v>
      </c>
      <c r="T24" s="9"/>
      <c r="U24" s="9"/>
      <c r="V24" s="32">
        <v>31329.119999999999</v>
      </c>
      <c r="W24" s="9"/>
      <c r="X24" s="37" t="s">
        <v>1537</v>
      </c>
      <c r="Y24" s="32">
        <v>8995.4699999999993</v>
      </c>
      <c r="Z24" s="9"/>
      <c r="AA24" s="9">
        <v>155.57</v>
      </c>
      <c r="AB24" s="38"/>
    </row>
    <row r="25" spans="1:28">
      <c r="A25" s="2">
        <v>36</v>
      </c>
      <c r="B25" s="7">
        <v>901</v>
      </c>
      <c r="C25" s="7" t="s">
        <v>649</v>
      </c>
      <c r="D25" s="7">
        <v>2</v>
      </c>
      <c r="E25" s="7">
        <v>1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7"/>
      <c r="S25" s="2">
        <v>36</v>
      </c>
      <c r="T25" s="7"/>
      <c r="U25" s="7"/>
      <c r="V25" s="31"/>
      <c r="W25" s="7"/>
      <c r="X25" s="8">
        <v>44609</v>
      </c>
      <c r="Y25" s="31">
        <v>7818</v>
      </c>
      <c r="Z25" s="7"/>
      <c r="AA25" s="7"/>
      <c r="AB25" s="7"/>
    </row>
    <row r="26" spans="1:28">
      <c r="A26" s="4">
        <v>37</v>
      </c>
      <c r="B26" s="9">
        <v>913</v>
      </c>
      <c r="C26" s="9" t="s">
        <v>649</v>
      </c>
      <c r="D26" s="9">
        <v>2</v>
      </c>
      <c r="E26" s="9">
        <v>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7"/>
      <c r="S26" s="4">
        <v>37</v>
      </c>
      <c r="T26" s="9"/>
      <c r="U26" s="9"/>
      <c r="V26" s="32">
        <v>36137</v>
      </c>
      <c r="W26" s="9"/>
      <c r="X26" s="15"/>
      <c r="Y26" s="32">
        <v>11923</v>
      </c>
      <c r="Z26" s="9"/>
      <c r="AA26" s="9">
        <v>155.57</v>
      </c>
      <c r="AB26" s="38"/>
    </row>
    <row r="27" spans="1:28">
      <c r="A27" s="2">
        <v>38</v>
      </c>
      <c r="B27" s="7">
        <v>915</v>
      </c>
      <c r="C27" s="7" t="s">
        <v>647</v>
      </c>
      <c r="D27" s="7">
        <v>2</v>
      </c>
      <c r="E27" s="7">
        <v>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7"/>
      <c r="S27" s="2">
        <v>38</v>
      </c>
      <c r="T27" s="7"/>
      <c r="U27" s="7"/>
      <c r="V27" s="31"/>
      <c r="W27" s="7"/>
      <c r="X27" s="7" t="s">
        <v>1538</v>
      </c>
      <c r="Y27" s="31"/>
      <c r="Z27" s="7"/>
      <c r="AA27" s="7">
        <v>155.57</v>
      </c>
      <c r="AB27" s="7">
        <v>59814019</v>
      </c>
    </row>
    <row r="28" spans="1:28">
      <c r="A28" s="4">
        <v>39</v>
      </c>
      <c r="B28" s="9">
        <v>913</v>
      </c>
      <c r="C28" s="9" t="s">
        <v>648</v>
      </c>
      <c r="D28" s="9">
        <v>3</v>
      </c>
      <c r="E28" s="9">
        <v>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7"/>
      <c r="S28" s="4">
        <v>39</v>
      </c>
      <c r="T28" s="9"/>
      <c r="U28" s="9"/>
      <c r="V28" s="32"/>
      <c r="W28" s="9" t="s">
        <v>1312</v>
      </c>
      <c r="X28" s="9" t="s">
        <v>1539</v>
      </c>
      <c r="Y28" s="32">
        <v>11565</v>
      </c>
      <c r="Z28" s="9" t="s">
        <v>1540</v>
      </c>
      <c r="AA28" s="9">
        <v>155.57</v>
      </c>
      <c r="AB28" s="50">
        <v>59396611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F31"/>
  <sheetViews>
    <sheetView zoomScale="85" zoomScaleNormal="85" workbookViewId="0">
      <pane ySplit="2" topLeftCell="A19" activePane="bottomLeft" state="frozen"/>
      <selection pane="bottomLeft" activeCell="V12" sqref="V12"/>
      <selection activeCell="V12" sqref="V12"/>
    </sheetView>
  </sheetViews>
  <sheetFormatPr defaultColWidth="8.85546875" defaultRowHeight="14.45"/>
  <cols>
    <col min="1" max="2" width="8.85546875" style="5"/>
    <col min="3" max="3" width="5.5703125" style="5" bestFit="1" customWidth="1"/>
    <col min="4" max="8" width="5.28515625" style="5" customWidth="1"/>
    <col min="9" max="9" width="6.28515625" style="5" bestFit="1" customWidth="1"/>
    <col min="10" max="10" width="5.28515625" style="5" customWidth="1"/>
    <col min="11" max="11" width="8.5703125" style="5" customWidth="1"/>
    <col min="12" max="16" width="5.28515625" style="5" customWidth="1"/>
    <col min="17" max="17" width="5.28515625" customWidth="1"/>
    <col min="18" max="19" width="5.28515625" style="5" customWidth="1"/>
    <col min="20" max="20" width="0.7109375" style="11" customWidth="1"/>
    <col min="21" max="21" width="5.7109375" style="5" bestFit="1" customWidth="1"/>
    <col min="22" max="22" width="10.85546875" style="5" bestFit="1" customWidth="1"/>
    <col min="23" max="23" width="12.7109375" style="5" bestFit="1" customWidth="1"/>
    <col min="24" max="24" width="24" style="5" bestFit="1" customWidth="1"/>
    <col min="25" max="25" width="26.28515625" style="5" bestFit="1" customWidth="1"/>
    <col min="26" max="26" width="19.7109375" style="5" bestFit="1" customWidth="1"/>
    <col min="27" max="27" width="20.42578125" style="5" customWidth="1"/>
    <col min="28" max="28" width="17.140625" style="5" bestFit="1" customWidth="1"/>
    <col min="29" max="29" width="28.7109375" style="5" bestFit="1" customWidth="1"/>
    <col min="30" max="30" width="14.140625" style="5" bestFit="1" customWidth="1"/>
    <col min="31" max="31" width="13.85546875" style="5" bestFit="1" customWidth="1"/>
    <col min="32" max="16384" width="8.85546875" style="5"/>
  </cols>
  <sheetData>
    <row r="1" spans="1:32" ht="18.600000000000001">
      <c r="A1" s="22" t="s">
        <v>1502</v>
      </c>
      <c r="B1" s="23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9"/>
    </row>
    <row r="2" spans="1:32" ht="44.1" thickBot="1">
      <c r="A2" s="25" t="s">
        <v>612</v>
      </c>
      <c r="B2" s="26" t="s">
        <v>613</v>
      </c>
      <c r="C2" s="26" t="s">
        <v>614</v>
      </c>
      <c r="D2" s="26" t="s">
        <v>615</v>
      </c>
      <c r="E2" s="26" t="s">
        <v>1295</v>
      </c>
      <c r="F2" s="26" t="s">
        <v>1296</v>
      </c>
      <c r="G2" s="26" t="s">
        <v>1297</v>
      </c>
      <c r="H2" s="26" t="s">
        <v>1298</v>
      </c>
      <c r="I2" s="26" t="s">
        <v>1541</v>
      </c>
      <c r="J2" s="26" t="s">
        <v>1299</v>
      </c>
      <c r="K2" s="54" t="s">
        <v>1542</v>
      </c>
      <c r="L2" s="26" t="s">
        <v>1301</v>
      </c>
      <c r="M2" s="26" t="s">
        <v>1302</v>
      </c>
      <c r="N2" s="26" t="s">
        <v>1303</v>
      </c>
      <c r="O2" s="26" t="s">
        <v>1304</v>
      </c>
      <c r="P2" s="26" t="s">
        <v>1305</v>
      </c>
      <c r="Q2" s="6" t="s">
        <v>1306</v>
      </c>
      <c r="R2" s="26" t="s">
        <v>1307</v>
      </c>
      <c r="S2" s="26" t="s">
        <v>1308</v>
      </c>
      <c r="T2" s="27" t="s">
        <v>289</v>
      </c>
      <c r="U2" s="25" t="s">
        <v>612</v>
      </c>
      <c r="V2" s="26" t="s">
        <v>626</v>
      </c>
      <c r="W2" s="26" t="s">
        <v>630</v>
      </c>
      <c r="X2" s="26" t="s">
        <v>621</v>
      </c>
      <c r="Y2" s="26" t="s">
        <v>922</v>
      </c>
      <c r="Z2" s="26" t="s">
        <v>972</v>
      </c>
      <c r="AA2" s="26" t="s">
        <v>622</v>
      </c>
      <c r="AB2" s="26" t="s">
        <v>642</v>
      </c>
      <c r="AC2" s="26" t="s">
        <v>978</v>
      </c>
      <c r="AD2" s="26" t="s">
        <v>1310</v>
      </c>
      <c r="AE2" s="28" t="s">
        <v>1311</v>
      </c>
    </row>
    <row r="3" spans="1:32">
      <c r="A3" s="79">
        <v>1</v>
      </c>
      <c r="B3" s="79">
        <v>943</v>
      </c>
      <c r="C3" s="21" t="s">
        <v>648</v>
      </c>
      <c r="D3" s="21">
        <v>2</v>
      </c>
      <c r="E3" s="21">
        <v>1</v>
      </c>
      <c r="F3" s="21" t="s">
        <v>650</v>
      </c>
      <c r="G3" s="21"/>
      <c r="H3" s="21"/>
      <c r="I3" s="78" t="s">
        <v>650</v>
      </c>
      <c r="J3" s="21"/>
      <c r="K3" s="21"/>
      <c r="L3" s="21"/>
      <c r="M3" s="21"/>
      <c r="N3" s="21"/>
      <c r="O3" s="21"/>
      <c r="P3" s="21"/>
      <c r="Q3" s="9"/>
      <c r="R3" s="78" t="s">
        <v>650</v>
      </c>
      <c r="S3" s="21"/>
      <c r="T3" s="12"/>
      <c r="U3" s="21">
        <v>1</v>
      </c>
      <c r="V3" s="21" t="s">
        <v>1365</v>
      </c>
      <c r="W3" s="21" t="s">
        <v>1543</v>
      </c>
      <c r="X3" s="79" t="s">
        <v>1544</v>
      </c>
      <c r="Y3" s="30">
        <v>32328.400000000001</v>
      </c>
      <c r="Z3" s="21">
        <v>93888285</v>
      </c>
      <c r="AA3" s="21" t="s">
        <v>1545</v>
      </c>
      <c r="AB3" s="56">
        <v>9889.0300000000007</v>
      </c>
      <c r="AC3" s="21">
        <v>93888309</v>
      </c>
      <c r="AD3" s="21">
        <v>155.57</v>
      </c>
      <c r="AE3" s="21"/>
      <c r="AF3" s="59" t="s">
        <v>1314</v>
      </c>
    </row>
    <row r="4" spans="1:32">
      <c r="A4" s="7">
        <v>2</v>
      </c>
      <c r="B4" s="7">
        <v>915</v>
      </c>
      <c r="C4" s="7" t="s">
        <v>649</v>
      </c>
      <c r="D4" s="7">
        <v>2</v>
      </c>
      <c r="E4" s="7">
        <v>1</v>
      </c>
      <c r="F4" s="7" t="s">
        <v>650</v>
      </c>
      <c r="G4" s="7"/>
      <c r="H4" s="7"/>
      <c r="I4" s="7"/>
      <c r="J4" s="7"/>
      <c r="K4" s="7" t="s">
        <v>650</v>
      </c>
      <c r="L4" s="7"/>
      <c r="M4" s="7"/>
      <c r="N4" s="7"/>
      <c r="O4" s="7" t="s">
        <v>650</v>
      </c>
      <c r="P4" s="7"/>
      <c r="Q4" s="7"/>
      <c r="R4" s="7"/>
      <c r="S4" s="7"/>
      <c r="T4" s="13"/>
      <c r="U4" s="7">
        <v>2</v>
      </c>
      <c r="V4" s="7" t="s">
        <v>1365</v>
      </c>
      <c r="W4" s="7" t="s">
        <v>1546</v>
      </c>
      <c r="X4" s="7"/>
      <c r="Y4" s="31" t="s">
        <v>1547</v>
      </c>
      <c r="Z4" s="7" t="s">
        <v>1548</v>
      </c>
      <c r="AA4" s="7" t="s">
        <v>1549</v>
      </c>
      <c r="AB4" s="57">
        <v>10324.379999999999</v>
      </c>
      <c r="AC4" s="7">
        <v>92993994</v>
      </c>
      <c r="AD4" s="7">
        <v>155.57</v>
      </c>
      <c r="AE4" s="7"/>
      <c r="AF4" s="60" t="s">
        <v>1315</v>
      </c>
    </row>
    <row r="5" spans="1:32">
      <c r="A5" s="50">
        <v>3</v>
      </c>
      <c r="B5" s="50">
        <v>913</v>
      </c>
      <c r="C5" s="9" t="s">
        <v>647</v>
      </c>
      <c r="D5" s="9">
        <v>2</v>
      </c>
      <c r="E5" s="9">
        <v>1</v>
      </c>
      <c r="F5" s="50" t="s">
        <v>650</v>
      </c>
      <c r="G5" s="38" t="s">
        <v>650</v>
      </c>
      <c r="H5" s="9"/>
      <c r="I5" s="9"/>
      <c r="J5" s="9"/>
      <c r="K5" s="9"/>
      <c r="L5" s="9"/>
      <c r="M5" s="9"/>
      <c r="N5" s="9"/>
      <c r="O5" s="38" t="s">
        <v>650</v>
      </c>
      <c r="P5" s="38" t="s">
        <v>650</v>
      </c>
      <c r="Q5" s="9"/>
      <c r="R5" s="38" t="s">
        <v>650</v>
      </c>
      <c r="S5" s="9"/>
      <c r="T5" s="13"/>
      <c r="U5" s="9">
        <v>3</v>
      </c>
      <c r="V5" s="9"/>
      <c r="W5" s="9" t="s">
        <v>711</v>
      </c>
      <c r="X5" s="9" t="s">
        <v>1356</v>
      </c>
      <c r="Y5" s="32">
        <v>51106.64</v>
      </c>
      <c r="Z5" s="9">
        <v>91584227</v>
      </c>
      <c r="AA5" s="9" t="s">
        <v>1550</v>
      </c>
      <c r="AB5" s="9">
        <v>12291.05</v>
      </c>
      <c r="AC5" s="9">
        <v>91584227</v>
      </c>
      <c r="AD5" s="9">
        <v>155.57</v>
      </c>
      <c r="AE5" s="9"/>
      <c r="AF5" s="61" t="s">
        <v>1316</v>
      </c>
    </row>
    <row r="6" spans="1:32">
      <c r="A6" s="7">
        <v>4</v>
      </c>
      <c r="B6" s="7">
        <v>943</v>
      </c>
      <c r="C6" s="7" t="s">
        <v>648</v>
      </c>
      <c r="D6" s="7">
        <v>2</v>
      </c>
      <c r="E6" s="7">
        <v>1</v>
      </c>
      <c r="F6" s="7"/>
      <c r="G6" s="7"/>
      <c r="H6" s="7"/>
      <c r="I6" s="7" t="s">
        <v>650</v>
      </c>
      <c r="J6" s="7"/>
      <c r="K6" s="7"/>
      <c r="L6" s="7" t="s">
        <v>650</v>
      </c>
      <c r="M6" s="7"/>
      <c r="N6" s="7"/>
      <c r="O6" s="7"/>
      <c r="P6" s="7"/>
      <c r="Q6" s="7"/>
      <c r="R6" s="7" t="s">
        <v>650</v>
      </c>
      <c r="S6" s="7"/>
      <c r="T6" s="13"/>
      <c r="U6" s="7">
        <v>4</v>
      </c>
      <c r="V6" s="7"/>
      <c r="W6" s="7" t="s">
        <v>1505</v>
      </c>
      <c r="X6" s="7" t="s">
        <v>1551</v>
      </c>
      <c r="Y6" s="31" t="s">
        <v>1552</v>
      </c>
      <c r="Z6" s="7" t="s">
        <v>1553</v>
      </c>
      <c r="AA6" s="7" t="s">
        <v>1554</v>
      </c>
      <c r="AB6" s="57">
        <v>9889.0300000000007</v>
      </c>
      <c r="AC6" s="7">
        <v>91845042</v>
      </c>
      <c r="AD6" s="7" t="s">
        <v>1365</v>
      </c>
      <c r="AE6" s="7"/>
    </row>
    <row r="7" spans="1:32">
      <c r="A7" s="50">
        <v>5</v>
      </c>
      <c r="B7" s="50">
        <v>915</v>
      </c>
      <c r="C7" s="9" t="s">
        <v>648</v>
      </c>
      <c r="D7" s="9">
        <v>2</v>
      </c>
      <c r="E7" s="9"/>
      <c r="F7" s="50" t="s">
        <v>650</v>
      </c>
      <c r="G7" s="9"/>
      <c r="H7" s="9"/>
      <c r="I7" s="9"/>
      <c r="J7" s="9"/>
      <c r="K7" s="9" t="s">
        <v>650</v>
      </c>
      <c r="L7" s="9"/>
      <c r="M7" s="9"/>
      <c r="N7" s="9"/>
      <c r="O7" s="9"/>
      <c r="P7" s="9"/>
      <c r="Q7" s="38" t="s">
        <v>650</v>
      </c>
      <c r="R7" s="9"/>
      <c r="S7" s="9"/>
      <c r="T7" s="13"/>
      <c r="U7" s="9">
        <v>5</v>
      </c>
      <c r="V7" s="9"/>
      <c r="W7" s="9" t="s">
        <v>1505</v>
      </c>
      <c r="X7" s="9" t="s">
        <v>1551</v>
      </c>
      <c r="Y7" s="32">
        <v>41222.53</v>
      </c>
      <c r="Z7" s="9">
        <v>91584296</v>
      </c>
      <c r="AA7" s="9" t="s">
        <v>1555</v>
      </c>
      <c r="AB7" s="58">
        <v>10324.379999999999</v>
      </c>
      <c r="AC7" s="9">
        <v>91584296</v>
      </c>
      <c r="AD7" s="9">
        <v>155.57</v>
      </c>
      <c r="AE7" s="9"/>
    </row>
    <row r="8" spans="1:32">
      <c r="A8" s="7">
        <v>6</v>
      </c>
      <c r="B8" s="7">
        <v>913</v>
      </c>
      <c r="C8" s="7" t="s">
        <v>647</v>
      </c>
      <c r="D8" s="7">
        <v>2</v>
      </c>
      <c r="E8" s="7">
        <v>1</v>
      </c>
      <c r="F8" s="7" t="s">
        <v>650</v>
      </c>
      <c r="G8" s="38" t="s">
        <v>650</v>
      </c>
      <c r="H8" s="7"/>
      <c r="I8" s="7"/>
      <c r="J8" s="7"/>
      <c r="K8" s="7"/>
      <c r="L8" s="38" t="s">
        <v>650</v>
      </c>
      <c r="M8" s="38" t="s">
        <v>650</v>
      </c>
      <c r="N8" s="7"/>
      <c r="O8" s="38" t="s">
        <v>650</v>
      </c>
      <c r="P8" s="38" t="s">
        <v>650</v>
      </c>
      <c r="Q8" s="7"/>
      <c r="R8" s="38" t="s">
        <v>650</v>
      </c>
      <c r="S8" s="7"/>
      <c r="T8" s="13"/>
      <c r="U8" s="7">
        <v>6</v>
      </c>
      <c r="V8" s="7"/>
      <c r="W8" s="7" t="s">
        <v>711</v>
      </c>
      <c r="X8" s="7" t="s">
        <v>1556</v>
      </c>
      <c r="Y8" s="31">
        <v>39710.199999999997</v>
      </c>
      <c r="Z8" s="75" t="s">
        <v>1557</v>
      </c>
      <c r="AA8" s="7" t="s">
        <v>1558</v>
      </c>
      <c r="AB8" s="57">
        <v>11922.32</v>
      </c>
      <c r="AC8" s="7"/>
      <c r="AD8" s="7">
        <v>155.57</v>
      </c>
      <c r="AE8" s="38"/>
    </row>
    <row r="9" spans="1:32">
      <c r="A9" s="37">
        <v>7</v>
      </c>
      <c r="B9" s="37">
        <v>943</v>
      </c>
      <c r="C9" s="9" t="s">
        <v>649</v>
      </c>
      <c r="D9" s="9">
        <v>2</v>
      </c>
      <c r="E9" s="9">
        <v>1</v>
      </c>
      <c r="F9" s="38" t="s">
        <v>650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38" t="s">
        <v>650</v>
      </c>
      <c r="S9" s="9"/>
      <c r="T9" s="13"/>
      <c r="U9" s="9">
        <v>7</v>
      </c>
      <c r="V9" s="9"/>
      <c r="W9" s="9" t="s">
        <v>711</v>
      </c>
      <c r="X9" s="9" t="s">
        <v>1559</v>
      </c>
      <c r="Y9" s="32">
        <v>37739.74</v>
      </c>
      <c r="Z9" s="74" t="s">
        <v>1560</v>
      </c>
      <c r="AA9" s="9" t="s">
        <v>1561</v>
      </c>
      <c r="AB9" s="58">
        <v>8778</v>
      </c>
      <c r="AC9" s="37">
        <v>89902251</v>
      </c>
      <c r="AD9" s="9" t="s">
        <v>1365</v>
      </c>
      <c r="AE9" s="9"/>
    </row>
    <row r="10" spans="1:32">
      <c r="A10" s="7">
        <v>8</v>
      </c>
      <c r="B10" s="7">
        <v>915</v>
      </c>
      <c r="C10" s="7" t="s">
        <v>647</v>
      </c>
      <c r="D10" s="7">
        <v>2</v>
      </c>
      <c r="E10" s="7">
        <v>2</v>
      </c>
      <c r="F10" s="7" t="s">
        <v>650</v>
      </c>
      <c r="G10" s="7"/>
      <c r="H10" s="7"/>
      <c r="I10" s="7" t="s">
        <v>289</v>
      </c>
      <c r="J10" s="7"/>
      <c r="K10" s="7" t="s">
        <v>650</v>
      </c>
      <c r="L10" s="7"/>
      <c r="M10" s="7"/>
      <c r="N10" s="7"/>
      <c r="O10" s="38" t="s">
        <v>650</v>
      </c>
      <c r="P10" s="7"/>
      <c r="Q10" s="38" t="s">
        <v>650</v>
      </c>
      <c r="R10" s="7"/>
      <c r="S10" s="7"/>
      <c r="T10" s="13"/>
      <c r="U10" s="7">
        <v>8</v>
      </c>
      <c r="V10" s="8"/>
      <c r="W10" s="8" t="s">
        <v>711</v>
      </c>
      <c r="X10" s="8" t="s">
        <v>1562</v>
      </c>
      <c r="Y10" s="31">
        <v>24721</v>
      </c>
      <c r="Z10" s="7" t="s">
        <v>1563</v>
      </c>
      <c r="AA10" s="8" t="s">
        <v>1564</v>
      </c>
      <c r="AB10" s="57">
        <v>9715</v>
      </c>
      <c r="AC10" s="75" t="s">
        <v>1565</v>
      </c>
      <c r="AD10" s="7">
        <v>155.57</v>
      </c>
      <c r="AE10" s="7">
        <v>59814062</v>
      </c>
    </row>
    <row r="11" spans="1:32">
      <c r="A11" s="37">
        <v>9</v>
      </c>
      <c r="B11" s="37">
        <v>913</v>
      </c>
      <c r="C11" s="9" t="s">
        <v>648</v>
      </c>
      <c r="D11" s="9">
        <v>2</v>
      </c>
      <c r="E11" s="9">
        <v>1</v>
      </c>
      <c r="F11" s="50" t="s">
        <v>650</v>
      </c>
      <c r="G11" s="38" t="s">
        <v>650</v>
      </c>
      <c r="H11" s="9"/>
      <c r="I11" s="9"/>
      <c r="J11" s="9"/>
      <c r="K11" s="9"/>
      <c r="L11" s="9"/>
      <c r="M11" s="9"/>
      <c r="N11" s="9"/>
      <c r="O11" s="38" t="s">
        <v>650</v>
      </c>
      <c r="P11" s="38" t="s">
        <v>650</v>
      </c>
      <c r="Q11" s="9"/>
      <c r="R11" s="38" t="s">
        <v>650</v>
      </c>
      <c r="S11" s="9"/>
      <c r="T11" s="13"/>
      <c r="U11" s="9">
        <v>9</v>
      </c>
      <c r="V11" s="32"/>
      <c r="W11" s="32" t="s">
        <v>711</v>
      </c>
      <c r="X11" s="53" t="s">
        <v>1566</v>
      </c>
      <c r="Y11" s="32">
        <v>34810</v>
      </c>
      <c r="Z11" s="9"/>
      <c r="AA11" s="9" t="s">
        <v>1564</v>
      </c>
      <c r="AB11" s="58">
        <v>11923</v>
      </c>
      <c r="AC11" s="9" t="s">
        <v>1567</v>
      </c>
      <c r="AD11" s="9">
        <v>155.57</v>
      </c>
      <c r="AE11" s="38"/>
    </row>
    <row r="12" spans="1:32">
      <c r="A12" s="7">
        <v>10</v>
      </c>
      <c r="B12" s="7">
        <v>915</v>
      </c>
      <c r="C12" s="7" t="s">
        <v>648</v>
      </c>
      <c r="D12" s="7">
        <v>2</v>
      </c>
      <c r="E12" s="7">
        <v>2</v>
      </c>
      <c r="F12" s="7" t="s">
        <v>650</v>
      </c>
      <c r="G12" s="7"/>
      <c r="H12" s="7"/>
      <c r="I12" s="7"/>
      <c r="J12" s="7"/>
      <c r="K12" s="7" t="s">
        <v>650</v>
      </c>
      <c r="L12" s="7"/>
      <c r="M12" s="7"/>
      <c r="N12" s="7"/>
      <c r="O12" s="38" t="s">
        <v>650</v>
      </c>
      <c r="P12" s="7"/>
      <c r="Q12" s="38" t="s">
        <v>650</v>
      </c>
      <c r="R12" s="7"/>
      <c r="S12" s="7"/>
      <c r="T12" s="13"/>
      <c r="U12" s="7">
        <v>10</v>
      </c>
      <c r="V12" s="7" t="s">
        <v>1568</v>
      </c>
      <c r="W12" s="31" t="s">
        <v>711</v>
      </c>
      <c r="X12" s="31" t="s">
        <v>1569</v>
      </c>
      <c r="Y12" s="31">
        <v>61112.18</v>
      </c>
      <c r="Z12" s="7">
        <v>91650524</v>
      </c>
      <c r="AA12" s="18" t="s">
        <v>1549</v>
      </c>
      <c r="AB12" s="57">
        <v>10324.379999999999</v>
      </c>
      <c r="AC12" s="7"/>
      <c r="AD12" s="7">
        <v>155.57</v>
      </c>
      <c r="AE12" s="7"/>
    </row>
    <row r="13" spans="1:32">
      <c r="A13" s="37">
        <v>11</v>
      </c>
      <c r="B13" s="37">
        <v>913</v>
      </c>
      <c r="C13" s="9" t="s">
        <v>647</v>
      </c>
      <c r="D13" s="9">
        <v>2</v>
      </c>
      <c r="E13" s="9">
        <v>2</v>
      </c>
      <c r="F13" s="38" t="s">
        <v>650</v>
      </c>
      <c r="G13" s="38" t="s">
        <v>650</v>
      </c>
      <c r="H13" s="9"/>
      <c r="I13" s="9"/>
      <c r="J13" s="9"/>
      <c r="K13" s="9"/>
      <c r="L13" s="9"/>
      <c r="M13" s="9"/>
      <c r="N13" s="9"/>
      <c r="O13" s="38" t="s">
        <v>650</v>
      </c>
      <c r="P13" s="38" t="s">
        <v>650</v>
      </c>
      <c r="Q13" s="9"/>
      <c r="R13" s="38" t="s">
        <v>650</v>
      </c>
      <c r="S13" s="9"/>
      <c r="T13" s="13"/>
      <c r="U13" s="9">
        <v>11</v>
      </c>
      <c r="V13" s="32" t="s">
        <v>1568</v>
      </c>
      <c r="W13" s="32" t="s">
        <v>711</v>
      </c>
      <c r="X13" s="40" t="s">
        <v>1570</v>
      </c>
      <c r="Y13" s="32" t="s">
        <v>1571</v>
      </c>
      <c r="Z13" s="9" t="s">
        <v>1572</v>
      </c>
      <c r="AA13" s="50" t="s">
        <v>1573</v>
      </c>
      <c r="AB13" s="58">
        <v>11922.32</v>
      </c>
      <c r="AC13" s="9">
        <v>91062633</v>
      </c>
      <c r="AD13" s="9">
        <v>155.57</v>
      </c>
      <c r="AE13" s="9"/>
    </row>
    <row r="14" spans="1:32">
      <c r="A14" s="7">
        <v>12</v>
      </c>
      <c r="B14" s="7">
        <v>943</v>
      </c>
      <c r="C14" s="7" t="s">
        <v>649</v>
      </c>
      <c r="D14" s="7">
        <v>2</v>
      </c>
      <c r="E14" s="7">
        <v>2</v>
      </c>
      <c r="F14" s="7" t="s">
        <v>650</v>
      </c>
      <c r="G14" s="7"/>
      <c r="H14" s="7"/>
      <c r="I14" s="7"/>
      <c r="J14" s="7"/>
      <c r="K14" s="7" t="s">
        <v>650</v>
      </c>
      <c r="L14" s="7"/>
      <c r="M14" s="7"/>
      <c r="N14" s="7"/>
      <c r="O14" s="7"/>
      <c r="P14" s="7"/>
      <c r="Q14" s="7"/>
      <c r="R14" s="7" t="s">
        <v>897</v>
      </c>
      <c r="S14" s="7"/>
      <c r="T14" s="13"/>
      <c r="U14" s="7">
        <v>12</v>
      </c>
      <c r="V14" s="31" t="s">
        <v>1568</v>
      </c>
      <c r="W14" s="31" t="s">
        <v>711</v>
      </c>
      <c r="X14" s="31" t="s">
        <v>1574</v>
      </c>
      <c r="Y14" s="31" t="s">
        <v>1575</v>
      </c>
      <c r="Z14" s="7" t="s">
        <v>1576</v>
      </c>
      <c r="AA14" s="7" t="s">
        <v>1573</v>
      </c>
      <c r="AB14" s="57" t="s">
        <v>1577</v>
      </c>
      <c r="AC14" s="7" t="s">
        <v>1578</v>
      </c>
      <c r="AD14" s="7"/>
      <c r="AE14" s="7"/>
    </row>
    <row r="15" spans="1:32">
      <c r="A15" s="50">
        <v>13</v>
      </c>
      <c r="B15" s="50">
        <v>913</v>
      </c>
      <c r="C15" s="9" t="s">
        <v>648</v>
      </c>
      <c r="D15" s="9">
        <v>2</v>
      </c>
      <c r="E15" s="9">
        <v>2</v>
      </c>
      <c r="F15" s="50" t="s">
        <v>650</v>
      </c>
      <c r="G15" s="38" t="s">
        <v>650</v>
      </c>
      <c r="H15" s="9"/>
      <c r="I15" s="9"/>
      <c r="J15" s="9"/>
      <c r="K15" s="9"/>
      <c r="L15" s="9"/>
      <c r="M15" s="9"/>
      <c r="N15" s="9"/>
      <c r="O15" s="38" t="s">
        <v>650</v>
      </c>
      <c r="P15" s="38" t="s">
        <v>650</v>
      </c>
      <c r="Q15" s="9"/>
      <c r="R15" s="38" t="s">
        <v>650</v>
      </c>
      <c r="S15" s="9"/>
      <c r="T15" s="13"/>
      <c r="U15" s="9">
        <v>13</v>
      </c>
      <c r="V15" s="9" t="s">
        <v>1568</v>
      </c>
      <c r="W15" s="9" t="s">
        <v>711</v>
      </c>
      <c r="X15" s="9" t="s">
        <v>1579</v>
      </c>
      <c r="Y15" s="32">
        <v>65256.12</v>
      </c>
      <c r="Z15" s="9">
        <v>91098229</v>
      </c>
      <c r="AA15" s="50" t="s">
        <v>1555</v>
      </c>
      <c r="AB15" s="58">
        <v>12291.05</v>
      </c>
      <c r="AC15" s="9">
        <v>91098229</v>
      </c>
      <c r="AD15" s="9">
        <v>155.57</v>
      </c>
      <c r="AE15" s="9"/>
    </row>
    <row r="16" spans="1:32">
      <c r="A16" s="7">
        <v>14</v>
      </c>
      <c r="B16" s="7">
        <v>915</v>
      </c>
      <c r="C16" s="7" t="s">
        <v>647</v>
      </c>
      <c r="D16" s="7">
        <v>2</v>
      </c>
      <c r="E16" s="7">
        <v>2</v>
      </c>
      <c r="F16" s="7" t="s">
        <v>650</v>
      </c>
      <c r="G16" s="7"/>
      <c r="H16" s="7"/>
      <c r="I16" s="7"/>
      <c r="J16" s="7"/>
      <c r="K16" s="7" t="s">
        <v>650</v>
      </c>
      <c r="L16" s="7"/>
      <c r="M16" s="7"/>
      <c r="N16" s="7"/>
      <c r="O16" s="38" t="s">
        <v>650</v>
      </c>
      <c r="P16" s="7"/>
      <c r="Q16" s="38" t="s">
        <v>650</v>
      </c>
      <c r="R16" s="7"/>
      <c r="S16" s="7"/>
      <c r="T16" s="13"/>
      <c r="U16" s="7">
        <v>14</v>
      </c>
      <c r="V16" s="7" t="s">
        <v>1568</v>
      </c>
      <c r="W16" s="7" t="s">
        <v>711</v>
      </c>
      <c r="X16" s="7" t="s">
        <v>1579</v>
      </c>
      <c r="Y16" s="31">
        <v>49686.57</v>
      </c>
      <c r="Z16" s="7">
        <v>90941817</v>
      </c>
      <c r="AA16" s="7" t="s">
        <v>1555</v>
      </c>
      <c r="AB16" s="57">
        <v>10324.379999999999</v>
      </c>
      <c r="AC16" s="7">
        <v>90941817</v>
      </c>
      <c r="AD16" s="7">
        <v>155.57</v>
      </c>
      <c r="AE16" s="7"/>
    </row>
    <row r="17" spans="1:31">
      <c r="A17" s="37">
        <v>15</v>
      </c>
      <c r="B17" s="37">
        <v>712</v>
      </c>
      <c r="C17" s="9" t="s">
        <v>649</v>
      </c>
      <c r="D17" s="9">
        <v>2</v>
      </c>
      <c r="E17" s="9" t="s">
        <v>289</v>
      </c>
      <c r="F17" s="50" t="s">
        <v>650</v>
      </c>
      <c r="G17" s="38" t="s">
        <v>650</v>
      </c>
      <c r="H17" s="38" t="s">
        <v>650</v>
      </c>
      <c r="I17" s="9"/>
      <c r="J17" s="9"/>
      <c r="K17" s="9" t="s">
        <v>289</v>
      </c>
      <c r="L17" s="9"/>
      <c r="M17" s="9"/>
      <c r="N17" s="38" t="s">
        <v>650</v>
      </c>
      <c r="O17" s="9"/>
      <c r="P17" s="38" t="s">
        <v>650</v>
      </c>
      <c r="Q17" s="9"/>
      <c r="R17" s="9"/>
      <c r="S17" s="9"/>
      <c r="T17" s="13"/>
      <c r="U17" s="9">
        <v>15</v>
      </c>
      <c r="V17" s="32" t="s">
        <v>9</v>
      </c>
      <c r="W17" s="32" t="s">
        <v>1505</v>
      </c>
      <c r="X17" s="50" t="s">
        <v>1580</v>
      </c>
      <c r="Y17" s="32">
        <v>27953</v>
      </c>
      <c r="Z17" s="9" t="s">
        <v>1581</v>
      </c>
      <c r="AA17" s="37" t="s">
        <v>1582</v>
      </c>
      <c r="AB17" s="58">
        <v>9552.1</v>
      </c>
      <c r="AC17" s="74" t="s">
        <v>1583</v>
      </c>
      <c r="AD17" s="9">
        <v>155.57</v>
      </c>
      <c r="AE17" s="38"/>
    </row>
    <row r="18" spans="1:31">
      <c r="A18" s="7">
        <v>16</v>
      </c>
      <c r="B18" s="7">
        <v>943</v>
      </c>
      <c r="C18" s="7" t="s">
        <v>648</v>
      </c>
      <c r="D18" s="7">
        <v>2</v>
      </c>
      <c r="E18" s="7">
        <v>1</v>
      </c>
      <c r="F18" s="7" t="s">
        <v>650</v>
      </c>
      <c r="G18" s="7"/>
      <c r="H18" s="7"/>
      <c r="I18" s="7"/>
      <c r="J18" s="7"/>
      <c r="K18" s="7" t="s">
        <v>289</v>
      </c>
      <c r="L18" s="7"/>
      <c r="M18" s="7"/>
      <c r="N18" s="7"/>
      <c r="O18" s="7"/>
      <c r="P18" s="7"/>
      <c r="Q18" s="7"/>
      <c r="R18" s="7" t="s">
        <v>650</v>
      </c>
      <c r="S18" s="7"/>
      <c r="T18" s="13"/>
      <c r="U18" s="7">
        <v>16</v>
      </c>
      <c r="V18" s="31" t="s">
        <v>1365</v>
      </c>
      <c r="W18" s="31" t="s">
        <v>1505</v>
      </c>
      <c r="X18" s="31" t="s">
        <v>1584</v>
      </c>
      <c r="Y18" s="31">
        <v>31461</v>
      </c>
      <c r="Z18" s="7" t="s">
        <v>1585</v>
      </c>
      <c r="AA18" s="7" t="s">
        <v>1564</v>
      </c>
      <c r="AB18" s="57">
        <v>8778</v>
      </c>
      <c r="AC18" s="75" t="s">
        <v>1586</v>
      </c>
      <c r="AD18" s="7" t="s">
        <v>1365</v>
      </c>
      <c r="AE18" s="7"/>
    </row>
    <row r="19" spans="1:31">
      <c r="A19" s="37">
        <v>17</v>
      </c>
      <c r="B19" s="37">
        <v>712</v>
      </c>
      <c r="C19" s="9" t="s">
        <v>647</v>
      </c>
      <c r="D19" s="9">
        <v>2</v>
      </c>
      <c r="E19" s="9" t="s">
        <v>289</v>
      </c>
      <c r="F19" s="50" t="s">
        <v>650</v>
      </c>
      <c r="G19" s="38" t="s">
        <v>650</v>
      </c>
      <c r="H19" s="38" t="s">
        <v>650</v>
      </c>
      <c r="I19" s="9"/>
      <c r="J19" s="9"/>
      <c r="K19" s="9" t="s">
        <v>289</v>
      </c>
      <c r="L19" s="9"/>
      <c r="M19" s="9"/>
      <c r="N19" s="9"/>
      <c r="O19" s="9"/>
      <c r="P19" s="38" t="s">
        <v>650</v>
      </c>
      <c r="Q19" s="9"/>
      <c r="R19" s="9"/>
      <c r="S19" s="9"/>
      <c r="T19" s="13"/>
      <c r="U19" s="9">
        <v>17</v>
      </c>
      <c r="V19" s="9"/>
      <c r="W19" s="9"/>
      <c r="X19" s="50" t="s">
        <v>1587</v>
      </c>
      <c r="Y19" s="32">
        <v>37796.99</v>
      </c>
      <c r="Z19" s="9" t="s">
        <v>1588</v>
      </c>
      <c r="AA19" s="50" t="s">
        <v>1589</v>
      </c>
      <c r="AB19" s="58">
        <v>10328.86</v>
      </c>
      <c r="AC19" s="9">
        <v>90660937</v>
      </c>
      <c r="AD19" s="9">
        <v>155.57</v>
      </c>
      <c r="AE19" s="9"/>
    </row>
    <row r="20" spans="1:31">
      <c r="A20" s="7">
        <v>18</v>
      </c>
      <c r="B20" s="7">
        <v>915</v>
      </c>
      <c r="C20" s="7" t="s">
        <v>648</v>
      </c>
      <c r="D20" s="7">
        <v>2</v>
      </c>
      <c r="E20" s="7">
        <v>1</v>
      </c>
      <c r="F20" s="7" t="s">
        <v>650</v>
      </c>
      <c r="G20" s="7"/>
      <c r="H20" s="7"/>
      <c r="I20" s="7"/>
      <c r="J20" s="7"/>
      <c r="K20" s="7"/>
      <c r="L20" s="7"/>
      <c r="M20" s="7"/>
      <c r="N20" s="7"/>
      <c r="O20" s="38" t="s">
        <v>650</v>
      </c>
      <c r="P20" s="7" t="s">
        <v>289</v>
      </c>
      <c r="Q20" s="7"/>
      <c r="R20" s="7" t="s">
        <v>650</v>
      </c>
      <c r="S20" s="7"/>
      <c r="T20" s="13"/>
      <c r="U20" s="7">
        <v>18</v>
      </c>
      <c r="V20" s="7"/>
      <c r="W20" s="7"/>
      <c r="X20" s="7" t="s">
        <v>1590</v>
      </c>
      <c r="Y20" s="31">
        <v>39524.11</v>
      </c>
      <c r="Z20" s="75" t="s">
        <v>1591</v>
      </c>
      <c r="AA20" s="7" t="s">
        <v>1592</v>
      </c>
      <c r="AB20" s="31">
        <v>10015</v>
      </c>
      <c r="AC20" s="7">
        <v>89902617</v>
      </c>
      <c r="AD20" s="7">
        <v>155.57</v>
      </c>
      <c r="AE20" s="38"/>
    </row>
    <row r="21" spans="1:31">
      <c r="A21" s="50">
        <v>19</v>
      </c>
      <c r="B21" s="50">
        <v>913</v>
      </c>
      <c r="C21" s="9" t="s">
        <v>648</v>
      </c>
      <c r="D21" s="9">
        <v>2</v>
      </c>
      <c r="E21" s="9">
        <v>2</v>
      </c>
      <c r="F21" s="50" t="s">
        <v>650</v>
      </c>
      <c r="G21" s="38" t="s">
        <v>650</v>
      </c>
      <c r="H21" s="9"/>
      <c r="I21" s="9"/>
      <c r="J21" s="9"/>
      <c r="K21" s="9"/>
      <c r="L21" s="38" t="s">
        <v>650</v>
      </c>
      <c r="M21" s="9"/>
      <c r="N21" s="9"/>
      <c r="O21" s="9"/>
      <c r="P21" s="9"/>
      <c r="Q21" s="9"/>
      <c r="R21" s="38" t="s">
        <v>650</v>
      </c>
      <c r="S21" s="9"/>
      <c r="T21" s="13"/>
      <c r="U21" s="9">
        <v>19</v>
      </c>
      <c r="V21" s="9" t="s">
        <v>1593</v>
      </c>
      <c r="W21" s="9" t="s">
        <v>711</v>
      </c>
      <c r="X21" s="50" t="s">
        <v>1594</v>
      </c>
      <c r="Y21" s="32">
        <v>54833.78</v>
      </c>
      <c r="Z21" s="9" t="s">
        <v>1595</v>
      </c>
      <c r="AA21" s="50" t="s">
        <v>1362</v>
      </c>
      <c r="AB21" s="58">
        <v>12291.05</v>
      </c>
      <c r="AC21" s="9">
        <v>90942075</v>
      </c>
      <c r="AD21" s="9">
        <v>155.57</v>
      </c>
      <c r="AE21" s="9"/>
    </row>
    <row r="22" spans="1:31">
      <c r="A22" s="7">
        <v>20</v>
      </c>
      <c r="B22" s="7">
        <v>943</v>
      </c>
      <c r="C22" s="7" t="s">
        <v>648</v>
      </c>
      <c r="D22" s="7">
        <v>2</v>
      </c>
      <c r="E22" s="7">
        <v>1</v>
      </c>
      <c r="F22" s="7" t="s">
        <v>650</v>
      </c>
      <c r="G22" s="7"/>
      <c r="H22" s="7" t="s">
        <v>650</v>
      </c>
      <c r="I22" s="7" t="s">
        <v>650</v>
      </c>
      <c r="J22" s="7"/>
      <c r="K22" s="7"/>
      <c r="L22" s="38" t="s">
        <v>650</v>
      </c>
      <c r="M22" s="7" t="s">
        <v>650</v>
      </c>
      <c r="N22" s="7"/>
      <c r="O22" s="7"/>
      <c r="P22" s="7"/>
      <c r="Q22" s="7"/>
      <c r="R22" s="7" t="s">
        <v>650</v>
      </c>
      <c r="S22" s="7"/>
      <c r="T22" s="13"/>
      <c r="U22" s="7">
        <v>20</v>
      </c>
      <c r="V22" s="7" t="s">
        <v>9</v>
      </c>
      <c r="W22" s="7" t="s">
        <v>711</v>
      </c>
      <c r="X22" s="7" t="s">
        <v>1596</v>
      </c>
      <c r="Y22" s="31">
        <v>44197.58</v>
      </c>
      <c r="Z22" s="7">
        <v>92246675</v>
      </c>
      <c r="AA22" s="57" t="s">
        <v>1589</v>
      </c>
      <c r="AB22" s="57">
        <v>9889.0300000000007</v>
      </c>
      <c r="AC22" s="7"/>
      <c r="AD22" s="7" t="s">
        <v>1365</v>
      </c>
      <c r="AE22" s="7"/>
    </row>
    <row r="23" spans="1:31">
      <c r="A23" s="50">
        <v>21</v>
      </c>
      <c r="B23" s="50">
        <v>913</v>
      </c>
      <c r="C23" s="9" t="s">
        <v>647</v>
      </c>
      <c r="D23" s="9">
        <v>2</v>
      </c>
      <c r="E23" s="9">
        <v>2</v>
      </c>
      <c r="F23" s="50" t="s">
        <v>650</v>
      </c>
      <c r="G23" s="38" t="s">
        <v>650</v>
      </c>
      <c r="H23" s="9"/>
      <c r="I23" s="9"/>
      <c r="J23" s="9"/>
      <c r="K23" s="9"/>
      <c r="L23" s="9"/>
      <c r="M23" s="9"/>
      <c r="N23" s="9"/>
      <c r="O23" s="38" t="s">
        <v>650</v>
      </c>
      <c r="P23" s="38" t="s">
        <v>650</v>
      </c>
      <c r="Q23" s="9"/>
      <c r="R23" s="38" t="s">
        <v>650</v>
      </c>
      <c r="S23" s="9"/>
      <c r="T23" s="13"/>
      <c r="U23" s="9">
        <v>21</v>
      </c>
      <c r="V23" s="9" t="s">
        <v>9</v>
      </c>
      <c r="W23" s="9" t="s">
        <v>711</v>
      </c>
      <c r="X23" s="50" t="s">
        <v>1597</v>
      </c>
      <c r="Y23" s="32">
        <v>54741.36</v>
      </c>
      <c r="Z23" s="9" t="s">
        <v>1598</v>
      </c>
      <c r="AA23" s="50" t="s">
        <v>1589</v>
      </c>
      <c r="AB23" s="58"/>
      <c r="AC23" s="9"/>
      <c r="AD23" s="9">
        <v>155.57</v>
      </c>
      <c r="AE23" s="9"/>
    </row>
    <row r="24" spans="1:31">
      <c r="A24" s="7">
        <v>22</v>
      </c>
      <c r="B24" s="7">
        <v>943</v>
      </c>
      <c r="C24" s="7" t="s">
        <v>648</v>
      </c>
      <c r="D24" s="7">
        <v>2</v>
      </c>
      <c r="E24" s="7">
        <v>2</v>
      </c>
      <c r="F24" s="7" t="s">
        <v>650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3"/>
      <c r="U24" s="7">
        <v>22</v>
      </c>
      <c r="V24" s="7" t="s">
        <v>1365</v>
      </c>
      <c r="W24" s="7" t="s">
        <v>711</v>
      </c>
      <c r="X24" s="7" t="s">
        <v>1594</v>
      </c>
      <c r="Y24" s="31" t="s">
        <v>1599</v>
      </c>
      <c r="Z24" s="7" t="s">
        <v>1600</v>
      </c>
      <c r="AA24" s="7" t="s">
        <v>1362</v>
      </c>
      <c r="AB24" s="57">
        <v>9889.0300000000007</v>
      </c>
      <c r="AC24" s="7">
        <v>90942623</v>
      </c>
      <c r="AD24" s="7" t="s">
        <v>1365</v>
      </c>
      <c r="AE24" s="7"/>
    </row>
    <row r="25" spans="1:31">
      <c r="A25" s="50">
        <v>23</v>
      </c>
      <c r="B25" s="50">
        <v>915</v>
      </c>
      <c r="C25" s="9" t="s">
        <v>649</v>
      </c>
      <c r="D25" s="9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3"/>
      <c r="U25" s="9">
        <v>23</v>
      </c>
      <c r="V25" s="9" t="s">
        <v>1365</v>
      </c>
      <c r="W25" s="9" t="s">
        <v>1505</v>
      </c>
      <c r="X25" s="9" t="s">
        <v>1601</v>
      </c>
      <c r="Y25" s="32">
        <v>39382.300000000003</v>
      </c>
      <c r="Z25" s="9">
        <v>92243565</v>
      </c>
      <c r="AA25" s="50" t="s">
        <v>1602</v>
      </c>
      <c r="AB25" s="58">
        <v>10324.379999999999</v>
      </c>
      <c r="AC25" s="9">
        <v>92243583</v>
      </c>
      <c r="AD25" s="9" t="s">
        <v>9</v>
      </c>
      <c r="AE25" s="9">
        <v>427.61</v>
      </c>
    </row>
    <row r="26" spans="1:31">
      <c r="A26" s="7">
        <v>24</v>
      </c>
      <c r="B26" s="7">
        <v>712</v>
      </c>
      <c r="C26" s="7" t="s">
        <v>648</v>
      </c>
      <c r="D26" s="7">
        <v>2</v>
      </c>
      <c r="E26" s="7" t="s">
        <v>1529</v>
      </c>
      <c r="F26" s="7" t="s">
        <v>650</v>
      </c>
      <c r="G26" s="7" t="s">
        <v>650</v>
      </c>
      <c r="H26" s="7" t="s">
        <v>650</v>
      </c>
      <c r="I26" s="7"/>
      <c r="J26" s="7"/>
      <c r="K26" s="7"/>
      <c r="L26" s="7"/>
      <c r="M26" s="7"/>
      <c r="N26" s="7" t="s">
        <v>650</v>
      </c>
      <c r="O26" s="7"/>
      <c r="P26" s="7"/>
      <c r="Q26" s="7"/>
      <c r="R26" s="7"/>
      <c r="S26" s="7"/>
      <c r="T26" s="13"/>
      <c r="U26" s="7">
        <v>24</v>
      </c>
      <c r="V26" s="7" t="s">
        <v>9</v>
      </c>
      <c r="W26" s="7" t="s">
        <v>711</v>
      </c>
      <c r="X26" s="7" t="s">
        <v>1361</v>
      </c>
      <c r="Y26" s="31" t="s">
        <v>1603</v>
      </c>
      <c r="Z26" s="7" t="s">
        <v>1604</v>
      </c>
      <c r="AA26" s="7" t="s">
        <v>1605</v>
      </c>
      <c r="AB26" s="57">
        <v>11215.46</v>
      </c>
      <c r="AC26" s="7">
        <v>92994074</v>
      </c>
      <c r="AD26" s="7">
        <v>155.57</v>
      </c>
      <c r="AE26" s="7"/>
    </row>
    <row r="27" spans="1:31">
      <c r="A27" s="50">
        <v>25</v>
      </c>
      <c r="B27" s="50">
        <v>712</v>
      </c>
      <c r="C27" s="9" t="s">
        <v>649</v>
      </c>
      <c r="D27" s="9">
        <v>2</v>
      </c>
      <c r="E27" s="9" t="s">
        <v>1529</v>
      </c>
      <c r="F27" s="9" t="s">
        <v>650</v>
      </c>
      <c r="G27" s="38" t="s">
        <v>650</v>
      </c>
      <c r="H27" s="38" t="s">
        <v>650</v>
      </c>
      <c r="I27" s="9"/>
      <c r="J27" s="9"/>
      <c r="K27" s="9"/>
      <c r="L27" s="9"/>
      <c r="M27" s="9"/>
      <c r="N27" s="38" t="s">
        <v>650</v>
      </c>
      <c r="O27" s="9"/>
      <c r="P27" s="9"/>
      <c r="Q27" s="9"/>
      <c r="R27" s="9"/>
      <c r="S27" s="9"/>
      <c r="T27" s="13"/>
      <c r="U27" s="9">
        <v>25</v>
      </c>
      <c r="V27" s="9" t="s">
        <v>1365</v>
      </c>
      <c r="W27" s="9" t="s">
        <v>1546</v>
      </c>
      <c r="X27" s="50" t="s">
        <v>1544</v>
      </c>
      <c r="Y27" s="32" t="s">
        <v>1606</v>
      </c>
      <c r="Z27" s="9" t="s">
        <v>1607</v>
      </c>
      <c r="AA27" s="50" t="s">
        <v>1545</v>
      </c>
      <c r="AB27" s="58">
        <v>11215.46</v>
      </c>
      <c r="AC27" s="9">
        <v>92994121</v>
      </c>
      <c r="AD27" s="9">
        <v>155.57</v>
      </c>
      <c r="AE27" s="9"/>
    </row>
    <row r="28" spans="1:31">
      <c r="A28" s="7">
        <v>26</v>
      </c>
      <c r="B28" s="7">
        <v>712</v>
      </c>
      <c r="C28" s="7" t="s">
        <v>647</v>
      </c>
      <c r="D28" s="7">
        <v>2</v>
      </c>
      <c r="E28" s="7" t="s">
        <v>1529</v>
      </c>
      <c r="F28" s="7" t="s">
        <v>650</v>
      </c>
      <c r="G28" s="7" t="s">
        <v>650</v>
      </c>
      <c r="H28" s="7" t="s">
        <v>650</v>
      </c>
      <c r="I28" s="7"/>
      <c r="J28" s="7"/>
      <c r="K28" s="7"/>
      <c r="L28" s="7"/>
      <c r="M28" s="7"/>
      <c r="N28" s="7" t="s">
        <v>650</v>
      </c>
      <c r="O28" s="7"/>
      <c r="P28" s="7"/>
      <c r="Q28" s="2"/>
      <c r="R28" s="7"/>
      <c r="S28" s="7"/>
      <c r="T28" s="13"/>
      <c r="U28" s="7">
        <v>26</v>
      </c>
      <c r="V28" s="7" t="s">
        <v>9</v>
      </c>
      <c r="W28" s="7" t="s">
        <v>1505</v>
      </c>
      <c r="X28" s="7" t="s">
        <v>1608</v>
      </c>
      <c r="Y28" s="31" t="s">
        <v>1609</v>
      </c>
      <c r="Z28" s="7" t="s">
        <v>1610</v>
      </c>
      <c r="AA28" s="7" t="s">
        <v>1611</v>
      </c>
      <c r="AB28" s="57">
        <v>11215.46</v>
      </c>
      <c r="AC28" s="7">
        <v>92243658</v>
      </c>
      <c r="AD28" s="7">
        <v>155.57</v>
      </c>
      <c r="AE28" s="7"/>
    </row>
    <row r="29" spans="1:31">
      <c r="A29" s="50">
        <v>27</v>
      </c>
      <c r="B29" s="50">
        <v>943</v>
      </c>
      <c r="C29" s="50" t="s">
        <v>648</v>
      </c>
      <c r="D29" s="9">
        <v>2</v>
      </c>
      <c r="E29" s="9">
        <v>2</v>
      </c>
      <c r="F29" s="9" t="s">
        <v>650</v>
      </c>
      <c r="G29" s="9"/>
      <c r="H29" s="9"/>
      <c r="I29" s="9" t="s">
        <v>650</v>
      </c>
      <c r="J29" s="9"/>
      <c r="K29" s="9"/>
      <c r="L29" s="9"/>
      <c r="M29" s="9"/>
      <c r="N29" s="9"/>
      <c r="O29" s="9"/>
      <c r="P29" s="9"/>
      <c r="Q29" s="4"/>
      <c r="R29" s="9" t="s">
        <v>650</v>
      </c>
      <c r="S29" s="9"/>
      <c r="T29" s="13"/>
      <c r="U29" s="9">
        <v>27</v>
      </c>
      <c r="V29" s="9" t="s">
        <v>1365</v>
      </c>
      <c r="W29" s="9" t="s">
        <v>1505</v>
      </c>
      <c r="X29" s="50" t="s">
        <v>1612</v>
      </c>
      <c r="Y29" s="32" t="s">
        <v>1613</v>
      </c>
      <c r="Z29" s="9" t="s">
        <v>1614</v>
      </c>
      <c r="AA29" s="50" t="s">
        <v>1550</v>
      </c>
      <c r="AB29" s="80">
        <v>9889.0300000000007</v>
      </c>
      <c r="AC29" s="9">
        <v>92243733</v>
      </c>
      <c r="AD29" s="9" t="s">
        <v>1365</v>
      </c>
      <c r="AE29" s="9"/>
    </row>
    <row r="30" spans="1:31">
      <c r="A30" s="7">
        <v>28</v>
      </c>
      <c r="B30" s="7">
        <v>913</v>
      </c>
      <c r="C30" s="7" t="s">
        <v>647</v>
      </c>
      <c r="D30" s="7">
        <v>2</v>
      </c>
      <c r="E30" s="7"/>
      <c r="F30" s="7" t="s">
        <v>650</v>
      </c>
      <c r="G30" s="7" t="s">
        <v>650</v>
      </c>
      <c r="H30" s="7"/>
      <c r="I30" s="7"/>
      <c r="J30" s="7"/>
      <c r="K30" s="7"/>
      <c r="L30" s="7"/>
      <c r="M30" s="7"/>
      <c r="N30" s="7"/>
      <c r="O30" s="7" t="s">
        <v>650</v>
      </c>
      <c r="P30" s="7" t="s">
        <v>650</v>
      </c>
      <c r="Q30" s="2"/>
      <c r="R30" s="7" t="s">
        <v>650</v>
      </c>
      <c r="S30" s="7"/>
      <c r="T30" s="13"/>
      <c r="U30" s="7">
        <v>28</v>
      </c>
      <c r="V30" s="7" t="s">
        <v>1365</v>
      </c>
      <c r="W30" s="7" t="s">
        <v>711</v>
      </c>
      <c r="X30" s="7" t="s">
        <v>1615</v>
      </c>
      <c r="Y30" s="31">
        <v>43001.04</v>
      </c>
      <c r="Z30" s="7">
        <v>92243790</v>
      </c>
      <c r="AA30" s="7" t="s">
        <v>1550</v>
      </c>
      <c r="AB30" s="57">
        <v>12291.05</v>
      </c>
      <c r="AC30" s="7">
        <v>92243809</v>
      </c>
      <c r="AD30" s="7" t="s">
        <v>1616</v>
      </c>
      <c r="AE30" s="7" t="s">
        <v>9</v>
      </c>
    </row>
    <row r="31" spans="1:31">
      <c r="A31" s="50">
        <v>29</v>
      </c>
      <c r="B31" s="50">
        <v>915</v>
      </c>
      <c r="C31" s="9" t="s">
        <v>649</v>
      </c>
      <c r="D31" s="9">
        <v>2</v>
      </c>
      <c r="E31" s="9">
        <v>2</v>
      </c>
      <c r="F31" s="9" t="s">
        <v>650</v>
      </c>
      <c r="G31" s="9"/>
      <c r="H31" s="9"/>
      <c r="I31" s="9"/>
      <c r="J31" s="9"/>
      <c r="K31" s="9" t="s">
        <v>650</v>
      </c>
      <c r="L31" s="9"/>
      <c r="M31" s="9"/>
      <c r="N31" s="9"/>
      <c r="O31" s="38" t="s">
        <v>650</v>
      </c>
      <c r="P31" s="9"/>
      <c r="Q31" s="9" t="s">
        <v>650</v>
      </c>
      <c r="R31" s="9"/>
      <c r="S31" s="9"/>
      <c r="T31" s="13"/>
      <c r="U31" s="9">
        <v>29</v>
      </c>
      <c r="V31" s="9" t="s">
        <v>1365</v>
      </c>
      <c r="W31" s="9" t="s">
        <v>1546</v>
      </c>
      <c r="X31" s="50" t="s">
        <v>1544</v>
      </c>
      <c r="Y31" s="32" t="s">
        <v>1617</v>
      </c>
      <c r="Z31" s="9" t="s">
        <v>1618</v>
      </c>
      <c r="AA31" s="50" t="s">
        <v>1605</v>
      </c>
      <c r="AB31" s="58">
        <v>10324.379999999999</v>
      </c>
      <c r="AC31" s="9">
        <v>92994168</v>
      </c>
      <c r="AD31" s="9">
        <v>155.57</v>
      </c>
      <c r="AE31" s="9"/>
    </row>
  </sheetData>
  <pageMargins left="0.7" right="0.7" top="0.75" bottom="0.75" header="0.3" footer="0.3"/>
  <pageSetup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H15"/>
  <sheetViews>
    <sheetView workbookViewId="0">
      <selection activeCell="E18" sqref="E18"/>
    </sheetView>
  </sheetViews>
  <sheetFormatPr defaultColWidth="8.85546875" defaultRowHeight="14.45"/>
  <cols>
    <col min="1" max="1" width="13.85546875" style="5" bestFit="1" customWidth="1"/>
    <col min="2" max="2" width="9.5703125" style="5" bestFit="1" customWidth="1"/>
    <col min="3" max="3" width="35.42578125" bestFit="1" customWidth="1"/>
    <col min="4" max="4" width="11.42578125" style="5" bestFit="1" customWidth="1"/>
    <col min="5" max="5" width="13.85546875" style="5" bestFit="1" customWidth="1"/>
    <col min="6" max="6" width="13.85546875" style="64" bestFit="1" customWidth="1"/>
    <col min="7" max="7" width="13.85546875" style="5" bestFit="1" customWidth="1"/>
    <col min="8" max="8" width="24.28515625" style="5" bestFit="1" customWidth="1"/>
    <col min="9" max="16384" width="8.85546875" style="5"/>
  </cols>
  <sheetData>
    <row r="1" spans="1:8" ht="17.45" customHeight="1" thickBot="1">
      <c r="A1" s="48" t="s">
        <v>1619</v>
      </c>
      <c r="B1" s="47" t="s">
        <v>1620</v>
      </c>
      <c r="C1" s="62" t="s">
        <v>1621</v>
      </c>
      <c r="D1" s="47" t="s">
        <v>1622</v>
      </c>
      <c r="E1" s="48" t="s">
        <v>1623</v>
      </c>
      <c r="F1" s="63" t="s">
        <v>1624</v>
      </c>
      <c r="G1" s="48" t="s">
        <v>1625</v>
      </c>
      <c r="H1" s="48" t="s">
        <v>1626</v>
      </c>
    </row>
    <row r="2" spans="1:8">
      <c r="A2" s="8">
        <v>44630</v>
      </c>
      <c r="B2" s="7" t="s">
        <v>1627</v>
      </c>
      <c r="C2" s="2" t="s">
        <v>1628</v>
      </c>
      <c r="D2" s="7" t="s">
        <v>1629</v>
      </c>
      <c r="E2" s="7">
        <v>59842139</v>
      </c>
      <c r="F2" s="31">
        <v>571.52</v>
      </c>
      <c r="G2" s="7"/>
      <c r="H2" s="7" t="s">
        <v>1630</v>
      </c>
    </row>
    <row r="3" spans="1:8">
      <c r="A3" s="8">
        <v>44630</v>
      </c>
      <c r="B3" s="7" t="s">
        <v>1631</v>
      </c>
      <c r="C3" s="2" t="s">
        <v>1628</v>
      </c>
      <c r="D3" s="7" t="s">
        <v>1629</v>
      </c>
      <c r="E3" s="7">
        <v>59842141</v>
      </c>
      <c r="F3" s="31">
        <v>603.72</v>
      </c>
      <c r="G3" s="7"/>
      <c r="H3" s="7" t="s">
        <v>1630</v>
      </c>
    </row>
    <row r="4" spans="1:8">
      <c r="A4" s="8">
        <v>44630</v>
      </c>
      <c r="B4" s="7" t="s">
        <v>1632</v>
      </c>
      <c r="C4" s="2" t="s">
        <v>1633</v>
      </c>
      <c r="D4" s="7" t="s">
        <v>1634</v>
      </c>
      <c r="E4" s="7">
        <v>59842137</v>
      </c>
      <c r="F4" s="31">
        <v>39.619999999999997</v>
      </c>
      <c r="G4" s="7"/>
      <c r="H4" s="7" t="s">
        <v>1630</v>
      </c>
    </row>
    <row r="5" spans="1:8">
      <c r="A5" s="8">
        <v>44644</v>
      </c>
      <c r="B5" s="7" t="s">
        <v>1635</v>
      </c>
      <c r="C5" s="2" t="s">
        <v>1628</v>
      </c>
      <c r="D5" s="7" t="s">
        <v>1629</v>
      </c>
      <c r="E5" s="7">
        <v>60108910</v>
      </c>
      <c r="F5" s="31">
        <v>1046.5</v>
      </c>
      <c r="G5" s="7"/>
      <c r="H5" s="7" t="s">
        <v>1630</v>
      </c>
    </row>
    <row r="6" spans="1:8">
      <c r="A6" s="8">
        <v>44644</v>
      </c>
      <c r="B6" s="7" t="s">
        <v>1636</v>
      </c>
      <c r="C6" s="2" t="s">
        <v>1637</v>
      </c>
      <c r="D6" s="7" t="s">
        <v>1634</v>
      </c>
      <c r="E6" s="7">
        <v>60112002</v>
      </c>
      <c r="F6" s="31">
        <v>1121.42</v>
      </c>
      <c r="G6" s="7"/>
      <c r="H6" s="7" t="s">
        <v>1630</v>
      </c>
    </row>
    <row r="7" spans="1:8">
      <c r="A7" s="8">
        <v>44644</v>
      </c>
      <c r="B7" s="7" t="s">
        <v>1638</v>
      </c>
      <c r="C7" s="2" t="s">
        <v>1637</v>
      </c>
      <c r="D7" s="7" t="s">
        <v>1634</v>
      </c>
      <c r="E7" s="7">
        <v>60112015</v>
      </c>
      <c r="F7" s="31">
        <v>731.36</v>
      </c>
      <c r="G7" s="7"/>
      <c r="H7" s="7" t="s">
        <v>1630</v>
      </c>
    </row>
    <row r="8" spans="1:8">
      <c r="A8" s="8">
        <v>44649</v>
      </c>
      <c r="B8" s="7" t="s">
        <v>1638</v>
      </c>
      <c r="C8" s="2" t="s">
        <v>1639</v>
      </c>
      <c r="D8" s="7" t="s">
        <v>1634</v>
      </c>
      <c r="E8" s="7">
        <v>60191735</v>
      </c>
      <c r="F8" s="31">
        <v>297.67</v>
      </c>
      <c r="G8" s="7"/>
      <c r="H8" s="7" t="s">
        <v>1630</v>
      </c>
    </row>
    <row r="9" spans="1:8">
      <c r="A9" s="8">
        <v>44656</v>
      </c>
      <c r="B9" s="7" t="s">
        <v>1640</v>
      </c>
      <c r="C9" s="2" t="s">
        <v>1641</v>
      </c>
      <c r="D9" s="7" t="s">
        <v>1629</v>
      </c>
      <c r="E9" s="7">
        <v>60359516</v>
      </c>
      <c r="F9" s="31">
        <v>701.92</v>
      </c>
      <c r="G9" s="7"/>
      <c r="H9" s="7" t="s">
        <v>1642</v>
      </c>
    </row>
    <row r="10" spans="1:8">
      <c r="A10" s="8">
        <v>44658</v>
      </c>
      <c r="B10" s="7" t="s">
        <v>1635</v>
      </c>
      <c r="C10" s="2" t="s">
        <v>1643</v>
      </c>
      <c r="D10" s="7" t="s">
        <v>1629</v>
      </c>
      <c r="E10" s="7">
        <v>60392497</v>
      </c>
      <c r="F10" s="31">
        <v>60.64</v>
      </c>
      <c r="G10" s="7"/>
      <c r="H10" s="7" t="s">
        <v>1630</v>
      </c>
    </row>
    <row r="11" spans="1:8">
      <c r="A11" s="8">
        <v>44659</v>
      </c>
      <c r="B11" s="7" t="s">
        <v>1635</v>
      </c>
      <c r="C11" s="2" t="s">
        <v>1643</v>
      </c>
      <c r="D11" s="7" t="s">
        <v>1629</v>
      </c>
      <c r="E11" s="7">
        <v>60430403</v>
      </c>
      <c r="F11" s="31">
        <v>160.26</v>
      </c>
      <c r="G11" s="7"/>
      <c r="H11" s="7" t="s">
        <v>1644</v>
      </c>
    </row>
    <row r="12" spans="1:8">
      <c r="A12" s="8">
        <v>44659</v>
      </c>
      <c r="B12" s="7" t="s">
        <v>1645</v>
      </c>
      <c r="C12" s="2" t="s">
        <v>1628</v>
      </c>
      <c r="D12" s="7" t="s">
        <v>1629</v>
      </c>
      <c r="E12" s="7">
        <v>60443289</v>
      </c>
      <c r="F12" s="31">
        <v>724.5</v>
      </c>
      <c r="G12" s="7"/>
      <c r="H12" s="7" t="s">
        <v>1646</v>
      </c>
    </row>
    <row r="13" spans="1:8">
      <c r="A13" s="8">
        <v>44659</v>
      </c>
      <c r="B13" s="7" t="s">
        <v>1647</v>
      </c>
      <c r="C13" s="2" t="s">
        <v>1628</v>
      </c>
      <c r="D13" s="7" t="s">
        <v>1629</v>
      </c>
      <c r="E13" s="7">
        <v>60443301</v>
      </c>
      <c r="F13" s="31">
        <v>724.5</v>
      </c>
      <c r="G13" s="7"/>
      <c r="H13" s="7" t="s">
        <v>1646</v>
      </c>
    </row>
    <row r="14" spans="1:8">
      <c r="A14" s="8">
        <v>44662</v>
      </c>
      <c r="B14" s="7" t="s">
        <v>1632</v>
      </c>
      <c r="C14" s="2" t="s">
        <v>1648</v>
      </c>
      <c r="D14" s="7" t="s">
        <v>1634</v>
      </c>
      <c r="E14" s="7">
        <v>60432498</v>
      </c>
      <c r="F14" s="31">
        <v>47.8</v>
      </c>
      <c r="G14" s="7"/>
      <c r="H14" s="7" t="s">
        <v>1630</v>
      </c>
    </row>
    <row r="15" spans="1:8">
      <c r="A15" s="8">
        <v>44663</v>
      </c>
      <c r="B15" s="7" t="s">
        <v>1635</v>
      </c>
      <c r="C15" s="2" t="s">
        <v>1649</v>
      </c>
      <c r="D15" s="7" t="s">
        <v>1629</v>
      </c>
      <c r="E15" s="7">
        <v>60504952</v>
      </c>
      <c r="F15" s="31">
        <v>64.599999999999994</v>
      </c>
      <c r="G15" s="7"/>
      <c r="H15" s="7" t="s">
        <v>1646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9905-FBD9-4201-9DDE-24CC235DF685}">
  <sheetPr codeName="Sheet10"/>
  <dimension ref="A1:H5"/>
  <sheetViews>
    <sheetView workbookViewId="0">
      <selection activeCell="E3" sqref="E3"/>
    </sheetView>
  </sheetViews>
  <sheetFormatPr defaultColWidth="8.85546875" defaultRowHeight="14.45"/>
  <cols>
    <col min="1" max="1" width="13.85546875" style="5" bestFit="1" customWidth="1"/>
    <col min="2" max="2" width="9.5703125" style="5" bestFit="1" customWidth="1"/>
    <col min="3" max="3" width="35.42578125" bestFit="1" customWidth="1"/>
    <col min="4" max="4" width="11.42578125" style="5" bestFit="1" customWidth="1"/>
    <col min="5" max="5" width="13.85546875" style="5" bestFit="1" customWidth="1"/>
    <col min="6" max="6" width="13.85546875" style="64" bestFit="1" customWidth="1"/>
    <col min="7" max="8" width="13.85546875" style="5" bestFit="1" customWidth="1"/>
    <col min="9" max="16384" width="8.85546875" style="5"/>
  </cols>
  <sheetData>
    <row r="1" spans="1:8" ht="17.45" customHeight="1" thickBot="1">
      <c r="A1" s="48" t="s">
        <v>1619</v>
      </c>
      <c r="B1" s="47" t="s">
        <v>1620</v>
      </c>
      <c r="C1" s="62" t="s">
        <v>1621</v>
      </c>
      <c r="D1" s="47" t="s">
        <v>1622</v>
      </c>
      <c r="E1" s="48" t="s">
        <v>1623</v>
      </c>
      <c r="F1" s="63" t="s">
        <v>1624</v>
      </c>
      <c r="G1" s="48" t="s">
        <v>868</v>
      </c>
      <c r="H1" s="48" t="s">
        <v>1626</v>
      </c>
    </row>
    <row r="2" spans="1:8">
      <c r="A2" s="8">
        <v>44631</v>
      </c>
      <c r="B2" s="7" t="s">
        <v>1650</v>
      </c>
      <c r="C2" s="2" t="s">
        <v>1651</v>
      </c>
      <c r="D2" s="7" t="s">
        <v>1652</v>
      </c>
      <c r="E2" s="7">
        <v>59879256</v>
      </c>
      <c r="F2" s="31" t="s">
        <v>1653</v>
      </c>
      <c r="G2" s="8">
        <v>44654</v>
      </c>
      <c r="H2" s="7" t="s">
        <v>1654</v>
      </c>
    </row>
    <row r="3" spans="1:8">
      <c r="A3" s="8">
        <v>44656</v>
      </c>
      <c r="B3" s="7" t="s">
        <v>1655</v>
      </c>
      <c r="C3" s="2" t="s">
        <v>1656</v>
      </c>
      <c r="D3" s="7" t="s">
        <v>1629</v>
      </c>
      <c r="E3" s="7">
        <v>60357760</v>
      </c>
      <c r="F3" s="31">
        <v>1495.98</v>
      </c>
      <c r="G3" s="7" t="s">
        <v>1657</v>
      </c>
      <c r="H3" s="7" t="s">
        <v>1630</v>
      </c>
    </row>
    <row r="4" spans="1:8">
      <c r="A4" s="8">
        <v>44656</v>
      </c>
      <c r="B4" s="7" t="s">
        <v>1658</v>
      </c>
      <c r="C4" s="2" t="s">
        <v>1656</v>
      </c>
      <c r="D4" s="7" t="s">
        <v>1629</v>
      </c>
      <c r="E4" s="7">
        <v>60357524</v>
      </c>
      <c r="F4" s="31">
        <v>492.54</v>
      </c>
      <c r="G4" s="7" t="s">
        <v>1659</v>
      </c>
      <c r="H4" s="7" t="s">
        <v>1630</v>
      </c>
    </row>
    <row r="5" spans="1:8">
      <c r="A5" s="8">
        <v>44629</v>
      </c>
      <c r="B5" s="7" t="s">
        <v>1660</v>
      </c>
      <c r="C5" s="2" t="s">
        <v>1661</v>
      </c>
      <c r="D5" s="7" t="s">
        <v>1629</v>
      </c>
      <c r="E5" s="7">
        <v>59812579</v>
      </c>
      <c r="F5" s="31">
        <v>227.47</v>
      </c>
      <c r="G5" s="7" t="s">
        <v>1662</v>
      </c>
      <c r="H5" s="7" t="s">
        <v>1630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B877-3C25-4C45-AF6A-89A6B2897114}">
  <sheetPr codeName="Sheet11"/>
  <dimension ref="A1:H14"/>
  <sheetViews>
    <sheetView workbookViewId="0">
      <selection activeCell="L26" sqref="L26"/>
    </sheetView>
  </sheetViews>
  <sheetFormatPr defaultRowHeight="14.45"/>
  <cols>
    <col min="1" max="1" width="24.85546875" bestFit="1" customWidth="1"/>
  </cols>
  <sheetData>
    <row r="1" spans="1:8" ht="21">
      <c r="C1" s="66" t="s">
        <v>1663</v>
      </c>
    </row>
    <row r="2" spans="1:8" ht="15" thickBot="1"/>
    <row r="3" spans="1:8" ht="15.95" thickBot="1">
      <c r="A3" s="67" t="s">
        <v>1664</v>
      </c>
      <c r="B3" s="1038"/>
      <c r="C3" s="1039"/>
      <c r="D3" s="1039"/>
      <c r="E3" s="1039"/>
      <c r="F3" s="1039"/>
      <c r="G3" s="1039"/>
      <c r="H3" s="1040"/>
    </row>
    <row r="4" spans="1:8" ht="15.95" thickBot="1">
      <c r="A4" s="68" t="s">
        <v>1665</v>
      </c>
      <c r="B4" s="1041"/>
      <c r="C4" s="1042"/>
      <c r="D4" s="1042"/>
      <c r="E4" s="1042"/>
      <c r="F4" s="1042"/>
      <c r="G4" s="1042"/>
      <c r="H4" s="1043"/>
    </row>
    <row r="5" spans="1:8" ht="15.95" thickBot="1">
      <c r="A5" s="67" t="s">
        <v>1666</v>
      </c>
      <c r="B5" s="1038"/>
      <c r="C5" s="1039"/>
      <c r="D5" s="1039"/>
      <c r="E5" s="1039"/>
      <c r="F5" s="1039"/>
      <c r="G5" s="1039"/>
      <c r="H5" s="1040"/>
    </row>
    <row r="6" spans="1:8" ht="15.95" thickBot="1">
      <c r="A6" s="67" t="s">
        <v>1667</v>
      </c>
      <c r="B6" s="1038"/>
      <c r="C6" s="1039"/>
      <c r="D6" s="1039"/>
      <c r="E6" s="1039"/>
      <c r="F6" s="1039"/>
      <c r="G6" s="1039"/>
      <c r="H6" s="1040"/>
    </row>
    <row r="7" spans="1:8" ht="15.95" thickBot="1">
      <c r="A7" s="67" t="s">
        <v>1668</v>
      </c>
      <c r="B7" s="1038"/>
      <c r="C7" s="1039"/>
      <c r="D7" s="1039"/>
      <c r="E7" s="1039"/>
      <c r="F7" s="1039"/>
      <c r="G7" s="1039"/>
      <c r="H7" s="1040"/>
    </row>
    <row r="8" spans="1:8" ht="15.95" thickBot="1">
      <c r="A8" s="67" t="s">
        <v>1669</v>
      </c>
      <c r="B8" s="1038"/>
      <c r="C8" s="1039"/>
      <c r="D8" s="1039"/>
      <c r="E8" s="1039"/>
      <c r="F8" s="1039"/>
      <c r="G8" s="1039"/>
      <c r="H8" s="1040"/>
    </row>
    <row r="9" spans="1:8" ht="15.95" thickBot="1">
      <c r="A9" s="67" t="s">
        <v>1670</v>
      </c>
      <c r="B9" s="1038"/>
      <c r="C9" s="1039"/>
      <c r="D9" s="1039"/>
      <c r="E9" s="1039"/>
      <c r="F9" s="1039"/>
      <c r="G9" s="1039"/>
      <c r="H9" s="1040"/>
    </row>
    <row r="10" spans="1:8" ht="6" customHeight="1" thickBot="1">
      <c r="A10" s="69"/>
      <c r="B10" s="1044"/>
      <c r="C10" s="1045"/>
      <c r="D10" s="1045"/>
      <c r="E10" s="1045"/>
      <c r="F10" s="1045"/>
      <c r="G10" s="1045"/>
      <c r="H10" s="1046"/>
    </row>
    <row r="11" spans="1:8" ht="15.6">
      <c r="A11" s="70" t="s">
        <v>1671</v>
      </c>
      <c r="B11" s="1047"/>
      <c r="C11" s="1047"/>
      <c r="D11" s="1047"/>
      <c r="E11" s="1047"/>
      <c r="F11" s="1047"/>
      <c r="G11" s="1047"/>
      <c r="H11" s="1048"/>
    </row>
    <row r="12" spans="1:8" ht="6" customHeight="1" thickBot="1">
      <c r="A12" s="71"/>
      <c r="B12" s="72"/>
      <c r="C12" s="72"/>
      <c r="D12" s="72"/>
      <c r="E12" s="72"/>
      <c r="F12" s="72"/>
      <c r="G12" s="72"/>
      <c r="H12" s="73"/>
    </row>
    <row r="13" spans="1:8" ht="15.95" thickBot="1">
      <c r="A13" s="67" t="s">
        <v>1672</v>
      </c>
      <c r="B13" s="1049"/>
      <c r="C13" s="1050"/>
      <c r="D13" s="1050"/>
      <c r="E13" s="1050"/>
      <c r="F13" s="1050"/>
      <c r="G13" s="1050"/>
      <c r="H13" s="1051"/>
    </row>
    <row r="14" spans="1:8" ht="15.95" thickBot="1">
      <c r="A14" s="67" t="s">
        <v>1673</v>
      </c>
      <c r="B14" s="1049"/>
      <c r="C14" s="1050"/>
      <c r="D14" s="1050"/>
      <c r="E14" s="1050"/>
      <c r="F14" s="1050"/>
      <c r="G14" s="1050"/>
      <c r="H14" s="1051"/>
    </row>
  </sheetData>
  <mergeCells count="11">
    <mergeCell ref="B10:H10"/>
    <mergeCell ref="B11:H11"/>
    <mergeCell ref="B13:H13"/>
    <mergeCell ref="B14:H14"/>
    <mergeCell ref="B7:H7"/>
    <mergeCell ref="B9:H9"/>
    <mergeCell ref="B3:H3"/>
    <mergeCell ref="B4:H4"/>
    <mergeCell ref="B5:H5"/>
    <mergeCell ref="B6:H6"/>
    <mergeCell ref="B8:H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AD463C-3F3D-4E3F-928D-5ADDD60D6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Builders FirstSource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Corey Boser</dc:creator>
  <cp:keywords/>
  <dc:description/>
  <cp:lastModifiedBy>William Hatley</cp:lastModifiedBy>
  <cp:revision/>
  <dcterms:created xsi:type="dcterms:W3CDTF">2022-02-02T02:42:58Z</dcterms:created>
  <dcterms:modified xsi:type="dcterms:W3CDTF">2025-10-28T14:57:18Z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{67AD463C-3F3D-4E3F-928D-5ADDD60D67AE}</vt:lpwstr>
  </property>
</Properties>
</file>