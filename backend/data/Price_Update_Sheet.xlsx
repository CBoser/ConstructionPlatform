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I:\FOREST-GROVE\SALES\I_Corey Boser\Customer Files\HOLT HOMES\3 Resources\3BAT\"/>
    </mc:Choice>
  </mc:AlternateContent>
  <xr:revisionPtr revIDLastSave="0" documentId="13_ncr:1_{418CE892-B758-4063-9073-3F4F92982A64}" xr6:coauthVersionLast="47" xr6:coauthVersionMax="47" xr10:uidLastSave="{00000000-0000-0000-0000-000000000000}"/>
  <bookViews>
    <workbookView xWindow="-24770" yWindow="-14510" windowWidth="34620" windowHeight="13900" xr2:uid="{CBC14392-FAF2-4D78-A8C1-43B72F002E8E}"/>
  </bookViews>
  <sheets>
    <sheet name="PRICES TO CHANGE" sheetId="1" r:id="rId1"/>
  </sheets>
  <externalReferences>
    <externalReference r:id="rId2"/>
  </externalReferences>
  <definedNames>
    <definedName name="BSIWhichPageSetup" hidden="1">1</definedName>
    <definedName name="BSIWhichPageSetup_0" hidden="1">"0þ"</definedName>
    <definedName name="PD">[1]Unconverted!$D$2:INDEX([1]Unconverted!$BA:$BA, COUNTA([1]Unconverted!$D:$D) + 1)</definedName>
    <definedName name="PLcolumns">{20,23,26,29,32,35,38,41,44,47,50,53}</definedName>
    <definedName name="RL" localSheetId="0">[1]!pricing_SpecialOrder[#Data]</definedName>
    <definedName name="RL">[1]!pricing_SpecialOrder[#Data]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5" i="1" l="1" a="1"/>
  <c r="D135" i="1" s="1"/>
  <c r="C135" i="1"/>
  <c r="B135" i="1"/>
  <c r="A135" i="1"/>
  <c r="D134" i="1" a="1"/>
  <c r="D134" i="1" s="1"/>
  <c r="D133" i="1" a="1"/>
  <c r="D133" i="1" s="1"/>
  <c r="K132" i="1"/>
  <c r="M132" i="1" s="1"/>
  <c r="L132" i="1" s="1"/>
  <c r="G132" i="1" s="1"/>
  <c r="I132" i="1" s="1"/>
  <c r="J132" i="1"/>
  <c r="E132" i="1"/>
  <c r="D132" i="1"/>
  <c r="F132" i="1" s="1"/>
  <c r="D132" i="1" a="1"/>
  <c r="B132" i="1"/>
  <c r="A132" i="1"/>
  <c r="D131" i="1" a="1"/>
  <c r="D131" i="1" s="1"/>
  <c r="F131" i="1" s="1"/>
  <c r="C131" i="1"/>
  <c r="D130" i="1" a="1"/>
  <c r="D130" i="1" s="1"/>
  <c r="D129" i="1" a="1"/>
  <c r="D129" i="1" s="1"/>
  <c r="B129" i="1"/>
  <c r="D128" i="1"/>
  <c r="D128" i="1" a="1"/>
  <c r="D127" i="1" a="1"/>
  <c r="D127" i="1" s="1"/>
  <c r="D126" i="1"/>
  <c r="D126" i="1" a="1"/>
  <c r="D125" i="1" a="1"/>
  <c r="D125" i="1" s="1"/>
  <c r="D124" i="1" a="1"/>
  <c r="D124" i="1" s="1"/>
  <c r="A124" i="1"/>
  <c r="M123" i="1"/>
  <c r="L123" i="1"/>
  <c r="K123" i="1"/>
  <c r="G123" i="1"/>
  <c r="I123" i="1" s="1"/>
  <c r="F123" i="1"/>
  <c r="D123" i="1" a="1"/>
  <c r="D123" i="1" s="1"/>
  <c r="C123" i="1"/>
  <c r="D122" i="1" a="1"/>
  <c r="D122" i="1" s="1"/>
  <c r="M121" i="1"/>
  <c r="L121" i="1" s="1"/>
  <c r="G121" i="1"/>
  <c r="J121" i="1" s="1"/>
  <c r="F121" i="1"/>
  <c r="E121" i="1"/>
  <c r="D121" i="1"/>
  <c r="K121" i="1" s="1"/>
  <c r="D121" i="1" a="1"/>
  <c r="B121" i="1"/>
  <c r="A121" i="1"/>
  <c r="D120" i="1" a="1"/>
  <c r="D120" i="1" s="1"/>
  <c r="D119" i="1"/>
  <c r="D119" i="1" a="1"/>
  <c r="D118" i="1" a="1"/>
  <c r="D118" i="1" s="1"/>
  <c r="D117" i="1"/>
  <c r="B117" i="1" s="1"/>
  <c r="D117" i="1" a="1"/>
  <c r="D116" i="1" a="1"/>
  <c r="D116" i="1" s="1"/>
  <c r="D115" i="1" a="1"/>
  <c r="D115" i="1" s="1"/>
  <c r="C115" i="1"/>
  <c r="B115" i="1"/>
  <c r="K114" i="1"/>
  <c r="M114" i="1" s="1"/>
  <c r="L114" i="1" s="1"/>
  <c r="G114" i="1" s="1"/>
  <c r="F114" i="1"/>
  <c r="D114" i="1"/>
  <c r="A114" i="1" s="1"/>
  <c r="D114" i="1" a="1"/>
  <c r="D113" i="1"/>
  <c r="D113" i="1" a="1"/>
  <c r="C113" i="1"/>
  <c r="B113" i="1"/>
  <c r="A113" i="1"/>
  <c r="K112" i="1"/>
  <c r="M112" i="1" s="1"/>
  <c r="L112" i="1" s="1"/>
  <c r="G112" i="1" s="1"/>
  <c r="F112" i="1"/>
  <c r="E112" i="1"/>
  <c r="D112" i="1"/>
  <c r="A112" i="1" s="1"/>
  <c r="D112" i="1" a="1"/>
  <c r="C112" i="1"/>
  <c r="B112" i="1"/>
  <c r="F111" i="1"/>
  <c r="D111" i="1" a="1"/>
  <c r="D111" i="1" s="1"/>
  <c r="C111" i="1"/>
  <c r="E110" i="1"/>
  <c r="D110" i="1"/>
  <c r="D110" i="1" a="1"/>
  <c r="D109" i="1" a="1"/>
  <c r="D109" i="1" s="1"/>
  <c r="A109" i="1"/>
  <c r="M108" i="1"/>
  <c r="L108" i="1"/>
  <c r="K108" i="1"/>
  <c r="I108" i="1"/>
  <c r="G108" i="1"/>
  <c r="F108" i="1"/>
  <c r="E108" i="1"/>
  <c r="D108" i="1"/>
  <c r="A108" i="1" s="1"/>
  <c r="D108" i="1" a="1"/>
  <c r="C108" i="1"/>
  <c r="B108" i="1"/>
  <c r="D107" i="1" a="1"/>
  <c r="D107" i="1" s="1"/>
  <c r="K107" i="1" s="1"/>
  <c r="M107" i="1" s="1"/>
  <c r="L107" i="1" s="1"/>
  <c r="G107" i="1" s="1"/>
  <c r="D106" i="1" a="1"/>
  <c r="D106" i="1" s="1"/>
  <c r="C106" i="1" s="1"/>
  <c r="B106" i="1"/>
  <c r="A106" i="1"/>
  <c r="K105" i="1"/>
  <c r="M105" i="1" s="1"/>
  <c r="L105" i="1" s="1"/>
  <c r="G105" i="1" s="1"/>
  <c r="F105" i="1"/>
  <c r="E105" i="1"/>
  <c r="D105" i="1"/>
  <c r="C105" i="1" s="1"/>
  <c r="D105" i="1" a="1"/>
  <c r="B105" i="1"/>
  <c r="A105" i="1"/>
  <c r="D104" i="1" a="1"/>
  <c r="D104" i="1" s="1"/>
  <c r="K103" i="1"/>
  <c r="M103" i="1" s="1"/>
  <c r="L103" i="1" s="1"/>
  <c r="G103" i="1"/>
  <c r="I103" i="1" s="1"/>
  <c r="F103" i="1"/>
  <c r="D103" i="1" a="1"/>
  <c r="D103" i="1" s="1"/>
  <c r="E103" i="1" s="1"/>
  <c r="C103" i="1"/>
  <c r="B103" i="1"/>
  <c r="D102" i="1" a="1"/>
  <c r="D102" i="1" s="1"/>
  <c r="D101" i="1"/>
  <c r="E101" i="1" s="1"/>
  <c r="D101" i="1" a="1"/>
  <c r="K100" i="1"/>
  <c r="M100" i="1" s="1"/>
  <c r="L100" i="1" s="1"/>
  <c r="G100" i="1" s="1"/>
  <c r="D100" i="1" a="1"/>
  <c r="D100" i="1" s="1"/>
  <c r="D99" i="1" a="1"/>
  <c r="D99" i="1" s="1"/>
  <c r="C99" i="1"/>
  <c r="B99" i="1"/>
  <c r="D98" i="1" a="1"/>
  <c r="D98" i="1" s="1"/>
  <c r="D97" i="1"/>
  <c r="D97" i="1" a="1"/>
  <c r="B97" i="1"/>
  <c r="A97" i="1"/>
  <c r="D96" i="1" a="1"/>
  <c r="D96" i="1" s="1"/>
  <c r="F96" i="1" s="1"/>
  <c r="C96" i="1"/>
  <c r="D95" i="1" a="1"/>
  <c r="D95" i="1" s="1"/>
  <c r="K94" i="1"/>
  <c r="M94" i="1" s="1"/>
  <c r="L94" i="1" s="1"/>
  <c r="G94" i="1" s="1"/>
  <c r="F94" i="1"/>
  <c r="D94" i="1"/>
  <c r="D94" i="1" a="1"/>
  <c r="D93" i="1" a="1"/>
  <c r="D93" i="1" s="1"/>
  <c r="C93" i="1"/>
  <c r="B93" i="1"/>
  <c r="F92" i="1"/>
  <c r="E92" i="1"/>
  <c r="D92" i="1" a="1"/>
  <c r="D92" i="1" s="1"/>
  <c r="K91" i="1"/>
  <c r="M91" i="1" s="1"/>
  <c r="L91" i="1" s="1"/>
  <c r="G91" i="1" s="1"/>
  <c r="I91" i="1" s="1"/>
  <c r="J91" i="1"/>
  <c r="E91" i="1"/>
  <c r="D91" i="1" a="1"/>
  <c r="D91" i="1" s="1"/>
  <c r="C91" i="1"/>
  <c r="D90" i="1" a="1"/>
  <c r="D90" i="1" s="1"/>
  <c r="C90" i="1"/>
  <c r="B90" i="1"/>
  <c r="A90" i="1"/>
  <c r="D89" i="1" a="1"/>
  <c r="D89" i="1" s="1"/>
  <c r="E88" i="1"/>
  <c r="D88" i="1"/>
  <c r="D88" i="1" a="1"/>
  <c r="C88" i="1"/>
  <c r="B88" i="1"/>
  <c r="K87" i="1"/>
  <c r="M87" i="1" s="1"/>
  <c r="L87" i="1" s="1"/>
  <c r="G87" i="1" s="1"/>
  <c r="D87" i="1" a="1"/>
  <c r="D87" i="1" s="1"/>
  <c r="D86" i="1" a="1"/>
  <c r="D86" i="1" s="1"/>
  <c r="D85" i="1" a="1"/>
  <c r="D85" i="1" s="1"/>
  <c r="E85" i="1" s="1"/>
  <c r="D84" i="1" a="1"/>
  <c r="D84" i="1" s="1"/>
  <c r="A84" i="1"/>
  <c r="D83" i="1" a="1"/>
  <c r="D83" i="1" s="1"/>
  <c r="E83" i="1" s="1"/>
  <c r="D82" i="1" a="1"/>
  <c r="D82" i="1" s="1"/>
  <c r="D81" i="1" a="1"/>
  <c r="D81" i="1" s="1"/>
  <c r="C81" i="1"/>
  <c r="B81" i="1"/>
  <c r="K80" i="1"/>
  <c r="M80" i="1" s="1"/>
  <c r="L80" i="1" s="1"/>
  <c r="G80" i="1" s="1"/>
  <c r="F80" i="1"/>
  <c r="E80" i="1"/>
  <c r="D80" i="1"/>
  <c r="D80" i="1" a="1"/>
  <c r="C80" i="1"/>
  <c r="B80" i="1"/>
  <c r="A80" i="1"/>
  <c r="F79" i="1"/>
  <c r="D79" i="1" a="1"/>
  <c r="D79" i="1" s="1"/>
  <c r="C79" i="1"/>
  <c r="B79" i="1"/>
  <c r="D78" i="1" a="1"/>
  <c r="D78" i="1" s="1"/>
  <c r="D77" i="1"/>
  <c r="D77" i="1" a="1"/>
  <c r="B77" i="1"/>
  <c r="M76" i="1"/>
  <c r="L76" i="1"/>
  <c r="G76" i="1" s="1"/>
  <c r="I76" i="1" s="1"/>
  <c r="K76" i="1"/>
  <c r="J76" i="1"/>
  <c r="E76" i="1"/>
  <c r="D76" i="1"/>
  <c r="F76" i="1" s="1"/>
  <c r="D76" i="1" a="1"/>
  <c r="C76" i="1"/>
  <c r="B76" i="1"/>
  <c r="A76" i="1"/>
  <c r="D75" i="1" a="1"/>
  <c r="D75" i="1" s="1"/>
  <c r="D74" i="1" a="1"/>
  <c r="D74" i="1" s="1"/>
  <c r="A74" i="1"/>
  <c r="D73" i="1" a="1"/>
  <c r="D73" i="1" s="1"/>
  <c r="D72" i="1" a="1"/>
  <c r="D72" i="1" s="1"/>
  <c r="C72" i="1" s="1"/>
  <c r="F71" i="1"/>
  <c r="E71" i="1"/>
  <c r="D71" i="1" a="1"/>
  <c r="D71" i="1" s="1"/>
  <c r="C71" i="1"/>
  <c r="F70" i="1"/>
  <c r="E70" i="1"/>
  <c r="D70" i="1"/>
  <c r="D70" i="1" a="1"/>
  <c r="A70" i="1"/>
  <c r="D69" i="1" a="1"/>
  <c r="D69" i="1" s="1"/>
  <c r="F68" i="1"/>
  <c r="E68" i="1"/>
  <c r="D68" i="1"/>
  <c r="C68" i="1" s="1"/>
  <c r="D68" i="1" a="1"/>
  <c r="K67" i="1"/>
  <c r="M67" i="1" s="1"/>
  <c r="L67" i="1" s="1"/>
  <c r="G67" i="1" s="1"/>
  <c r="I67" i="1" s="1"/>
  <c r="J67" i="1" s="1"/>
  <c r="E67" i="1"/>
  <c r="D67" i="1"/>
  <c r="F67" i="1" s="1"/>
  <c r="D67" i="1" a="1"/>
  <c r="C67" i="1"/>
  <c r="B67" i="1"/>
  <c r="A67" i="1"/>
  <c r="D66" i="1" a="1"/>
  <c r="D66" i="1" s="1"/>
  <c r="D65" i="1" a="1"/>
  <c r="D65" i="1" s="1"/>
  <c r="D64" i="1" a="1"/>
  <c r="D64" i="1" s="1"/>
  <c r="D63" i="1" a="1"/>
  <c r="D63" i="1" s="1"/>
  <c r="C63" i="1"/>
  <c r="B63" i="1"/>
  <c r="A63" i="1"/>
  <c r="D62" i="1" a="1"/>
  <c r="D62" i="1" s="1"/>
  <c r="D61" i="1" a="1"/>
  <c r="D61" i="1" s="1"/>
  <c r="M60" i="1"/>
  <c r="L60" i="1"/>
  <c r="G60" i="1" s="1"/>
  <c r="K60" i="1"/>
  <c r="F60" i="1"/>
  <c r="E60" i="1"/>
  <c r="D60" i="1"/>
  <c r="D60" i="1" a="1"/>
  <c r="C60" i="1"/>
  <c r="B60" i="1"/>
  <c r="A60" i="1"/>
  <c r="D59" i="1" a="1"/>
  <c r="D59" i="1" s="1"/>
  <c r="D58" i="1" a="1"/>
  <c r="D58" i="1" s="1"/>
  <c r="C58" i="1"/>
  <c r="B58" i="1"/>
  <c r="A58" i="1"/>
  <c r="M57" i="1"/>
  <c r="L57" i="1" s="1"/>
  <c r="G57" i="1" s="1"/>
  <c r="K57" i="1"/>
  <c r="D57" i="1"/>
  <c r="D57" i="1" a="1"/>
  <c r="B57" i="1"/>
  <c r="A57" i="1"/>
  <c r="D56" i="1"/>
  <c r="K56" i="1" s="1"/>
  <c r="M56" i="1" s="1"/>
  <c r="L56" i="1" s="1"/>
  <c r="G56" i="1" s="1"/>
  <c r="D56" i="1" a="1"/>
  <c r="C56" i="1"/>
  <c r="B56" i="1"/>
  <c r="A56" i="1"/>
  <c r="D55" i="1"/>
  <c r="F55" i="1" s="1"/>
  <c r="D55" i="1" a="1"/>
  <c r="F54" i="1"/>
  <c r="D54" i="1"/>
  <c r="D54" i="1" a="1"/>
  <c r="A54" i="1"/>
  <c r="D53" i="1" a="1"/>
  <c r="D53" i="1" s="1"/>
  <c r="D52" i="1" a="1"/>
  <c r="D52" i="1" s="1"/>
  <c r="K51" i="1"/>
  <c r="M51" i="1" s="1"/>
  <c r="L51" i="1" s="1"/>
  <c r="G51" i="1" s="1"/>
  <c r="F51" i="1"/>
  <c r="E51" i="1"/>
  <c r="D51" i="1" a="1"/>
  <c r="D51" i="1" s="1"/>
  <c r="C51" i="1"/>
  <c r="D50" i="1"/>
  <c r="K50" i="1" s="1"/>
  <c r="M50" i="1" s="1"/>
  <c r="L50" i="1" s="1"/>
  <c r="G50" i="1" s="1"/>
  <c r="D50" i="1" a="1"/>
  <c r="D49" i="1" a="1"/>
  <c r="D49" i="1" s="1"/>
  <c r="C49" i="1"/>
  <c r="B49" i="1"/>
  <c r="A49" i="1"/>
  <c r="K48" i="1"/>
  <c r="M48" i="1" s="1"/>
  <c r="L48" i="1" s="1"/>
  <c r="G48" i="1" s="1"/>
  <c r="D48" i="1"/>
  <c r="D48" i="1" a="1"/>
  <c r="D47" i="1" a="1"/>
  <c r="D47" i="1" s="1"/>
  <c r="D46" i="1"/>
  <c r="K46" i="1" s="1"/>
  <c r="M46" i="1" s="1"/>
  <c r="L46" i="1" s="1"/>
  <c r="G46" i="1" s="1"/>
  <c r="D46" i="1" a="1"/>
  <c r="D45" i="1" a="1"/>
  <c r="D45" i="1" s="1"/>
  <c r="F44" i="1"/>
  <c r="D44" i="1" a="1"/>
  <c r="D44" i="1" s="1"/>
  <c r="D43" i="1" a="1"/>
  <c r="D43" i="1" s="1"/>
  <c r="D42" i="1" a="1"/>
  <c r="D42" i="1" s="1"/>
  <c r="A42" i="1" s="1"/>
  <c r="C42" i="1"/>
  <c r="D41" i="1" a="1"/>
  <c r="D41" i="1" s="1"/>
  <c r="C41" i="1"/>
  <c r="M40" i="1"/>
  <c r="L40" i="1"/>
  <c r="G40" i="1" s="1"/>
  <c r="K40" i="1"/>
  <c r="F40" i="1"/>
  <c r="E40" i="1"/>
  <c r="D40" i="1"/>
  <c r="D40" i="1" a="1"/>
  <c r="C40" i="1"/>
  <c r="B40" i="1"/>
  <c r="A40" i="1"/>
  <c r="K39" i="1"/>
  <c r="M39" i="1" s="1"/>
  <c r="L39" i="1" s="1"/>
  <c r="G39" i="1" s="1"/>
  <c r="F39" i="1"/>
  <c r="E39" i="1"/>
  <c r="D39" i="1"/>
  <c r="D39" i="1" a="1"/>
  <c r="D38" i="1" a="1"/>
  <c r="D38" i="1" s="1"/>
  <c r="C38" i="1"/>
  <c r="B38" i="1"/>
  <c r="A38" i="1"/>
  <c r="M37" i="1"/>
  <c r="L37" i="1"/>
  <c r="G37" i="1" s="1"/>
  <c r="K37" i="1"/>
  <c r="E37" i="1"/>
  <c r="D37" i="1"/>
  <c r="B37" i="1" s="1"/>
  <c r="D37" i="1" a="1"/>
  <c r="D36" i="1" a="1"/>
  <c r="D36" i="1" s="1"/>
  <c r="C36" i="1"/>
  <c r="B36" i="1"/>
  <c r="A36" i="1"/>
  <c r="K35" i="1"/>
  <c r="M35" i="1" s="1"/>
  <c r="L35" i="1" s="1"/>
  <c r="G35" i="1" s="1"/>
  <c r="F35" i="1"/>
  <c r="E35" i="1"/>
  <c r="D35" i="1"/>
  <c r="D35" i="1" a="1"/>
  <c r="C35" i="1"/>
  <c r="B35" i="1"/>
  <c r="A35" i="1"/>
  <c r="D34" i="1" a="1"/>
  <c r="D34" i="1" s="1"/>
  <c r="D33" i="1"/>
  <c r="K33" i="1" s="1"/>
  <c r="M33" i="1" s="1"/>
  <c r="L33" i="1" s="1"/>
  <c r="G33" i="1" s="1"/>
  <c r="D33" i="1" a="1"/>
  <c r="A33" i="1"/>
  <c r="D32" i="1" a="1"/>
  <c r="D32" i="1" s="1"/>
  <c r="B32" i="1"/>
  <c r="A32" i="1"/>
  <c r="D31" i="1" a="1"/>
  <c r="D31" i="1" s="1"/>
  <c r="C31" i="1"/>
  <c r="D30" i="1" a="1"/>
  <c r="D30" i="1" s="1"/>
  <c r="D29" i="1"/>
  <c r="D29" i="1" a="1"/>
  <c r="K28" i="1"/>
  <c r="M28" i="1" s="1"/>
  <c r="L28" i="1" s="1"/>
  <c r="G28" i="1" s="1"/>
  <c r="F28" i="1"/>
  <c r="D28" i="1"/>
  <c r="A28" i="1" s="1"/>
  <c r="D28" i="1" a="1"/>
  <c r="D27" i="1" a="1"/>
  <c r="D27" i="1" s="1"/>
  <c r="M26" i="1"/>
  <c r="L26" i="1"/>
  <c r="G26" i="1" s="1"/>
  <c r="K26" i="1"/>
  <c r="D26" i="1"/>
  <c r="D26" i="1" a="1"/>
  <c r="C26" i="1"/>
  <c r="B26" i="1"/>
  <c r="A26" i="1"/>
  <c r="D25" i="1" a="1"/>
  <c r="D25" i="1" s="1"/>
  <c r="D24" i="1" a="1"/>
  <c r="D24" i="1" s="1"/>
  <c r="C24" i="1"/>
  <c r="B24" i="1"/>
  <c r="D23" i="1" a="1"/>
  <c r="D23" i="1" s="1"/>
  <c r="C23" i="1" s="1"/>
  <c r="F22" i="1"/>
  <c r="E22" i="1"/>
  <c r="D22" i="1"/>
  <c r="D22" i="1" a="1"/>
  <c r="C22" i="1"/>
  <c r="A22" i="1"/>
  <c r="D21" i="1" a="1"/>
  <c r="D21" i="1" s="1"/>
  <c r="B21" i="1"/>
  <c r="K20" i="1"/>
  <c r="M20" i="1" s="1"/>
  <c r="L20" i="1" s="1"/>
  <c r="G20" i="1" s="1"/>
  <c r="J20" i="1" s="1"/>
  <c r="I20" i="1"/>
  <c r="F20" i="1"/>
  <c r="E20" i="1"/>
  <c r="D20" i="1"/>
  <c r="D20" i="1" a="1"/>
  <c r="C20" i="1"/>
  <c r="B20" i="1"/>
  <c r="A20" i="1"/>
  <c r="F19" i="1"/>
  <c r="D19" i="1" a="1"/>
  <c r="D19" i="1" s="1"/>
  <c r="C19" i="1"/>
  <c r="B19" i="1"/>
  <c r="D18" i="1" a="1"/>
  <c r="D18" i="1" s="1"/>
  <c r="D17" i="1"/>
  <c r="D17" i="1" a="1"/>
  <c r="B17" i="1"/>
  <c r="A17" i="1"/>
  <c r="D16" i="1" a="1"/>
  <c r="D16" i="1" s="1"/>
  <c r="D15" i="1"/>
  <c r="D15" i="1" a="1"/>
  <c r="F14" i="1"/>
  <c r="D14" i="1"/>
  <c r="A14" i="1" s="1"/>
  <c r="D14" i="1" a="1"/>
  <c r="E13" i="1"/>
  <c r="D13" i="1"/>
  <c r="D13" i="1" a="1"/>
  <c r="D12" i="1" a="1"/>
  <c r="D12" i="1" s="1"/>
  <c r="D11" i="1" a="1"/>
  <c r="D11" i="1" s="1"/>
  <c r="C11" i="1"/>
  <c r="D10" i="1" a="1"/>
  <c r="D10" i="1" s="1"/>
  <c r="E10" i="1" s="1"/>
  <c r="C10" i="1"/>
  <c r="B10" i="1"/>
  <c r="A10" i="1"/>
  <c r="E9" i="1"/>
  <c r="D9" i="1"/>
  <c r="D9" i="1" a="1"/>
  <c r="C9" i="1"/>
  <c r="B9" i="1"/>
  <c r="A9" i="1"/>
  <c r="D8" i="1"/>
  <c r="D8" i="1" a="1"/>
  <c r="C8" i="1"/>
  <c r="B8" i="1"/>
  <c r="K7" i="1"/>
  <c r="M7" i="1" s="1"/>
  <c r="L7" i="1" s="1"/>
  <c r="G7" i="1" s="1"/>
  <c r="F7" i="1"/>
  <c r="E7" i="1"/>
  <c r="D7" i="1"/>
  <c r="B7" i="1" s="1"/>
  <c r="D7" i="1" a="1"/>
  <c r="C7" i="1"/>
  <c r="A7" i="1"/>
  <c r="D6" i="1" a="1"/>
  <c r="D6" i="1" s="1"/>
  <c r="D5" i="1" a="1"/>
  <c r="D5" i="1" s="1"/>
  <c r="I50" i="1" l="1"/>
  <c r="J50" i="1"/>
  <c r="K61" i="1"/>
  <c r="M61" i="1" s="1"/>
  <c r="L61" i="1" s="1"/>
  <c r="G61" i="1" s="1"/>
  <c r="C61" i="1"/>
  <c r="B61" i="1"/>
  <c r="A61" i="1"/>
  <c r="E61" i="1"/>
  <c r="F61" i="1"/>
  <c r="C25" i="1"/>
  <c r="K25" i="1"/>
  <c r="M25" i="1" s="1"/>
  <c r="L25" i="1" s="1"/>
  <c r="G25" i="1" s="1"/>
  <c r="F25" i="1"/>
  <c r="E25" i="1"/>
  <c r="B25" i="1"/>
  <c r="A25" i="1"/>
  <c r="J37" i="1"/>
  <c r="I7" i="1"/>
  <c r="J7" i="1" s="1"/>
  <c r="B62" i="1"/>
  <c r="C62" i="1"/>
  <c r="A62" i="1"/>
  <c r="K62" i="1"/>
  <c r="M62" i="1" s="1"/>
  <c r="L62" i="1" s="1"/>
  <c r="G62" i="1" s="1"/>
  <c r="F62" i="1"/>
  <c r="E62" i="1"/>
  <c r="J33" i="1"/>
  <c r="I33" i="1"/>
  <c r="E34" i="1"/>
  <c r="C34" i="1"/>
  <c r="B34" i="1"/>
  <c r="K34" i="1"/>
  <c r="M34" i="1" s="1"/>
  <c r="L34" i="1" s="1"/>
  <c r="G34" i="1" s="1"/>
  <c r="F34" i="1"/>
  <c r="A34" i="1"/>
  <c r="B16" i="1"/>
  <c r="C16" i="1"/>
  <c r="A16" i="1"/>
  <c r="K16" i="1"/>
  <c r="M16" i="1" s="1"/>
  <c r="L16" i="1" s="1"/>
  <c r="G16" i="1" s="1"/>
  <c r="F16" i="1"/>
  <c r="E16" i="1"/>
  <c r="F66" i="1"/>
  <c r="E66" i="1"/>
  <c r="B66" i="1"/>
  <c r="A66" i="1"/>
  <c r="K66" i="1"/>
  <c r="M66" i="1" s="1"/>
  <c r="L66" i="1" s="1"/>
  <c r="G66" i="1" s="1"/>
  <c r="C66" i="1"/>
  <c r="A59" i="1"/>
  <c r="C59" i="1"/>
  <c r="B59" i="1"/>
  <c r="F59" i="1"/>
  <c r="E59" i="1"/>
  <c r="K59" i="1"/>
  <c r="M59" i="1" s="1"/>
  <c r="L59" i="1" s="1"/>
  <c r="G59" i="1" s="1"/>
  <c r="I39" i="1"/>
  <c r="J39" i="1" s="1"/>
  <c r="I28" i="1"/>
  <c r="J28" i="1" s="1"/>
  <c r="I35" i="1"/>
  <c r="J35" i="1" s="1"/>
  <c r="K73" i="1"/>
  <c r="M73" i="1" s="1"/>
  <c r="L73" i="1" s="1"/>
  <c r="G73" i="1" s="1"/>
  <c r="A73" i="1"/>
  <c r="F73" i="1"/>
  <c r="E73" i="1"/>
  <c r="B73" i="1"/>
  <c r="C73" i="1"/>
  <c r="I87" i="1"/>
  <c r="J87" i="1" s="1"/>
  <c r="K18" i="1"/>
  <c r="M18" i="1" s="1"/>
  <c r="L18" i="1" s="1"/>
  <c r="G18" i="1" s="1"/>
  <c r="C18" i="1"/>
  <c r="B18" i="1"/>
  <c r="A18" i="1"/>
  <c r="E18" i="1"/>
  <c r="F18" i="1"/>
  <c r="K118" i="1"/>
  <c r="M118" i="1" s="1"/>
  <c r="L118" i="1" s="1"/>
  <c r="G118" i="1" s="1"/>
  <c r="F118" i="1"/>
  <c r="E118" i="1"/>
  <c r="C118" i="1"/>
  <c r="B118" i="1"/>
  <c r="A118" i="1"/>
  <c r="K133" i="1"/>
  <c r="M133" i="1" s="1"/>
  <c r="L133" i="1" s="1"/>
  <c r="G133" i="1" s="1"/>
  <c r="E133" i="1"/>
  <c r="F133" i="1"/>
  <c r="B133" i="1"/>
  <c r="A133" i="1"/>
  <c r="C133" i="1"/>
  <c r="K64" i="1"/>
  <c r="M64" i="1" s="1"/>
  <c r="L64" i="1" s="1"/>
  <c r="G64" i="1" s="1"/>
  <c r="E64" i="1"/>
  <c r="C64" i="1"/>
  <c r="B64" i="1"/>
  <c r="A64" i="1"/>
  <c r="F64" i="1"/>
  <c r="K27" i="1"/>
  <c r="M27" i="1" s="1"/>
  <c r="L27" i="1" s="1"/>
  <c r="G27" i="1" s="1"/>
  <c r="F27" i="1"/>
  <c r="A27" i="1"/>
  <c r="C27" i="1"/>
  <c r="B27" i="1"/>
  <c r="E27" i="1"/>
  <c r="I100" i="1"/>
  <c r="J100" i="1"/>
  <c r="I57" i="1"/>
  <c r="J57" i="1" s="1"/>
  <c r="B82" i="1"/>
  <c r="A82" i="1"/>
  <c r="K82" i="1"/>
  <c r="M82" i="1" s="1"/>
  <c r="L82" i="1" s="1"/>
  <c r="G82" i="1" s="1"/>
  <c r="C82" i="1"/>
  <c r="E82" i="1"/>
  <c r="F82" i="1"/>
  <c r="K98" i="1"/>
  <c r="M98" i="1" s="1"/>
  <c r="L98" i="1" s="1"/>
  <c r="G98" i="1" s="1"/>
  <c r="B98" i="1"/>
  <c r="A98" i="1"/>
  <c r="F98" i="1"/>
  <c r="E98" i="1"/>
  <c r="C98" i="1"/>
  <c r="I105" i="1"/>
  <c r="J105" i="1"/>
  <c r="I46" i="1"/>
  <c r="J46" i="1" s="1"/>
  <c r="I48" i="1"/>
  <c r="J48" i="1" s="1"/>
  <c r="C75" i="1"/>
  <c r="B75" i="1"/>
  <c r="A75" i="1"/>
  <c r="F75" i="1"/>
  <c r="E75" i="1"/>
  <c r="K75" i="1"/>
  <c r="M75" i="1" s="1"/>
  <c r="L75" i="1" s="1"/>
  <c r="G75" i="1" s="1"/>
  <c r="I112" i="1"/>
  <c r="J112" i="1" s="1"/>
  <c r="I114" i="1"/>
  <c r="J114" i="1" s="1"/>
  <c r="I107" i="1"/>
  <c r="J107" i="1" s="1"/>
  <c r="K95" i="1"/>
  <c r="M95" i="1" s="1"/>
  <c r="L95" i="1" s="1"/>
  <c r="G95" i="1" s="1"/>
  <c r="F95" i="1"/>
  <c r="B95" i="1"/>
  <c r="A95" i="1"/>
  <c r="E95" i="1"/>
  <c r="C95" i="1"/>
  <c r="K127" i="1"/>
  <c r="M127" i="1" s="1"/>
  <c r="L127" i="1" s="1"/>
  <c r="G127" i="1" s="1"/>
  <c r="B127" i="1"/>
  <c r="E127" i="1"/>
  <c r="C127" i="1"/>
  <c r="A127" i="1"/>
  <c r="F127" i="1"/>
  <c r="B52" i="1"/>
  <c r="A52" i="1"/>
  <c r="F52" i="1"/>
  <c r="E52" i="1"/>
  <c r="B31" i="1"/>
  <c r="A31" i="1"/>
  <c r="K31" i="1"/>
  <c r="M31" i="1" s="1"/>
  <c r="L31" i="1" s="1"/>
  <c r="G31" i="1" s="1"/>
  <c r="K41" i="1"/>
  <c r="M41" i="1" s="1"/>
  <c r="L41" i="1" s="1"/>
  <c r="G41" i="1" s="1"/>
  <c r="B41" i="1"/>
  <c r="A41" i="1"/>
  <c r="F41" i="1"/>
  <c r="E41" i="1"/>
  <c r="K84" i="1"/>
  <c r="M84" i="1" s="1"/>
  <c r="L84" i="1" s="1"/>
  <c r="G84" i="1" s="1"/>
  <c r="C84" i="1"/>
  <c r="B84" i="1"/>
  <c r="B102" i="1"/>
  <c r="K102" i="1"/>
  <c r="M102" i="1" s="1"/>
  <c r="L102" i="1" s="1"/>
  <c r="G102" i="1" s="1"/>
  <c r="C102" i="1"/>
  <c r="A102" i="1"/>
  <c r="F102" i="1"/>
  <c r="E102" i="1"/>
  <c r="C45" i="1"/>
  <c r="K45" i="1"/>
  <c r="M45" i="1" s="1"/>
  <c r="L45" i="1" s="1"/>
  <c r="G45" i="1" s="1"/>
  <c r="F45" i="1"/>
  <c r="E45" i="1"/>
  <c r="B45" i="1"/>
  <c r="A45" i="1"/>
  <c r="B122" i="1"/>
  <c r="F122" i="1"/>
  <c r="E122" i="1"/>
  <c r="C122" i="1"/>
  <c r="A122" i="1"/>
  <c r="K122" i="1"/>
  <c r="M122" i="1" s="1"/>
  <c r="L122" i="1" s="1"/>
  <c r="G122" i="1" s="1"/>
  <c r="B11" i="1"/>
  <c r="A11" i="1"/>
  <c r="F11" i="1"/>
  <c r="E11" i="1"/>
  <c r="K29" i="1"/>
  <c r="M29" i="1" s="1"/>
  <c r="L29" i="1" s="1"/>
  <c r="G29" i="1" s="1"/>
  <c r="F29" i="1"/>
  <c r="E29" i="1"/>
  <c r="J60" i="1"/>
  <c r="I60" i="1"/>
  <c r="K78" i="1"/>
  <c r="M78" i="1" s="1"/>
  <c r="L78" i="1" s="1"/>
  <c r="G78" i="1" s="1"/>
  <c r="C78" i="1"/>
  <c r="B78" i="1"/>
  <c r="A78" i="1"/>
  <c r="F78" i="1"/>
  <c r="E78" i="1"/>
  <c r="B23" i="1"/>
  <c r="I26" i="1"/>
  <c r="J26" i="1" s="1"/>
  <c r="I37" i="1"/>
  <c r="C44" i="1"/>
  <c r="A44" i="1"/>
  <c r="B44" i="1"/>
  <c r="K44" i="1"/>
  <c r="M44" i="1" s="1"/>
  <c r="L44" i="1" s="1"/>
  <c r="G44" i="1" s="1"/>
  <c r="A48" i="1"/>
  <c r="C48" i="1"/>
  <c r="B48" i="1"/>
  <c r="F48" i="1"/>
  <c r="E48" i="1"/>
  <c r="C65" i="1"/>
  <c r="E65" i="1"/>
  <c r="F65" i="1"/>
  <c r="B65" i="1"/>
  <c r="A65" i="1"/>
  <c r="B72" i="1"/>
  <c r="F115" i="1"/>
  <c r="E115" i="1"/>
  <c r="K115" i="1"/>
  <c r="M115" i="1" s="1"/>
  <c r="L115" i="1" s="1"/>
  <c r="G115" i="1" s="1"/>
  <c r="E24" i="1"/>
  <c r="F24" i="1"/>
  <c r="A24" i="1"/>
  <c r="E31" i="1"/>
  <c r="K89" i="1"/>
  <c r="M89" i="1" s="1"/>
  <c r="L89" i="1" s="1"/>
  <c r="G89" i="1" s="1"/>
  <c r="F89" i="1"/>
  <c r="B89" i="1"/>
  <c r="A89" i="1"/>
  <c r="C89" i="1"/>
  <c r="E89" i="1"/>
  <c r="K47" i="1"/>
  <c r="M47" i="1" s="1"/>
  <c r="L47" i="1" s="1"/>
  <c r="G47" i="1" s="1"/>
  <c r="E47" i="1"/>
  <c r="F47" i="1"/>
  <c r="C47" i="1"/>
  <c r="B55" i="1"/>
  <c r="A55" i="1"/>
  <c r="C55" i="1"/>
  <c r="A23" i="1"/>
  <c r="C30" i="1"/>
  <c r="B30" i="1"/>
  <c r="A30" i="1"/>
  <c r="F30" i="1"/>
  <c r="E30" i="1"/>
  <c r="K30" i="1"/>
  <c r="M30" i="1" s="1"/>
  <c r="L30" i="1" s="1"/>
  <c r="G30" i="1" s="1"/>
  <c r="E55" i="1"/>
  <c r="E44" i="1"/>
  <c r="I51" i="1"/>
  <c r="J51" i="1" s="1"/>
  <c r="K65" i="1"/>
  <c r="M65" i="1" s="1"/>
  <c r="L65" i="1" s="1"/>
  <c r="G65" i="1" s="1"/>
  <c r="A79" i="1"/>
  <c r="K79" i="1"/>
  <c r="M79" i="1" s="1"/>
  <c r="L79" i="1" s="1"/>
  <c r="G79" i="1" s="1"/>
  <c r="E79" i="1"/>
  <c r="C116" i="1"/>
  <c r="B116" i="1"/>
  <c r="A116" i="1"/>
  <c r="F116" i="1"/>
  <c r="E116" i="1"/>
  <c r="K93" i="1"/>
  <c r="M93" i="1" s="1"/>
  <c r="L93" i="1" s="1"/>
  <c r="G93" i="1" s="1"/>
  <c r="F93" i="1"/>
  <c r="E93" i="1"/>
  <c r="F84" i="1"/>
  <c r="E14" i="1"/>
  <c r="C14" i="1"/>
  <c r="B14" i="1"/>
  <c r="K14" i="1"/>
  <c r="M14" i="1" s="1"/>
  <c r="L14" i="1" s="1"/>
  <c r="G14" i="1" s="1"/>
  <c r="E23" i="1"/>
  <c r="K23" i="1"/>
  <c r="M23" i="1" s="1"/>
  <c r="L23" i="1" s="1"/>
  <c r="G23" i="1" s="1"/>
  <c r="F23" i="1"/>
  <c r="C52" i="1"/>
  <c r="K55" i="1"/>
  <c r="M55" i="1" s="1"/>
  <c r="L55" i="1" s="1"/>
  <c r="G55" i="1" s="1"/>
  <c r="A68" i="1"/>
  <c r="K68" i="1"/>
  <c r="M68" i="1" s="1"/>
  <c r="L68" i="1" s="1"/>
  <c r="G68" i="1" s="1"/>
  <c r="B68" i="1"/>
  <c r="K72" i="1"/>
  <c r="M72" i="1" s="1"/>
  <c r="L72" i="1" s="1"/>
  <c r="G72" i="1" s="1"/>
  <c r="F72" i="1"/>
  <c r="E72" i="1"/>
  <c r="A72" i="1"/>
  <c r="A93" i="1"/>
  <c r="K116" i="1"/>
  <c r="M116" i="1" s="1"/>
  <c r="L116" i="1" s="1"/>
  <c r="G116" i="1" s="1"/>
  <c r="K52" i="1"/>
  <c r="M52" i="1" s="1"/>
  <c r="L52" i="1" s="1"/>
  <c r="G52" i="1" s="1"/>
  <c r="E84" i="1"/>
  <c r="K24" i="1"/>
  <c r="M24" i="1" s="1"/>
  <c r="L24" i="1" s="1"/>
  <c r="G24" i="1" s="1"/>
  <c r="F31" i="1"/>
  <c r="K109" i="1"/>
  <c r="M109" i="1" s="1"/>
  <c r="L109" i="1" s="1"/>
  <c r="G109" i="1" s="1"/>
  <c r="F109" i="1"/>
  <c r="C109" i="1"/>
  <c r="B109" i="1"/>
  <c r="C5" i="1"/>
  <c r="B5" i="1"/>
  <c r="A5" i="1"/>
  <c r="C53" i="1"/>
  <c r="B53" i="1"/>
  <c r="A53" i="1"/>
  <c r="K53" i="1"/>
  <c r="M53" i="1" s="1"/>
  <c r="L53" i="1" s="1"/>
  <c r="G53" i="1" s="1"/>
  <c r="E109" i="1"/>
  <c r="E5" i="1"/>
  <c r="E53" i="1"/>
  <c r="K69" i="1"/>
  <c r="M69" i="1" s="1"/>
  <c r="L69" i="1" s="1"/>
  <c r="G69" i="1" s="1"/>
  <c r="F69" i="1"/>
  <c r="C69" i="1"/>
  <c r="B69" i="1"/>
  <c r="A69" i="1"/>
  <c r="E69" i="1"/>
  <c r="F53" i="1"/>
  <c r="E50" i="1"/>
  <c r="K70" i="1"/>
  <c r="M70" i="1" s="1"/>
  <c r="L70" i="1" s="1"/>
  <c r="G70" i="1" s="1"/>
  <c r="C70" i="1"/>
  <c r="B70" i="1"/>
  <c r="F86" i="1"/>
  <c r="E86" i="1"/>
  <c r="K86" i="1"/>
  <c r="M86" i="1" s="1"/>
  <c r="L86" i="1" s="1"/>
  <c r="G86" i="1" s="1"/>
  <c r="C86" i="1"/>
  <c r="B86" i="1"/>
  <c r="A86" i="1"/>
  <c r="C110" i="1"/>
  <c r="B110" i="1"/>
  <c r="A110" i="1"/>
  <c r="F110" i="1"/>
  <c r="K110" i="1"/>
  <c r="M110" i="1" s="1"/>
  <c r="L110" i="1" s="1"/>
  <c r="G110" i="1" s="1"/>
  <c r="B130" i="1"/>
  <c r="A130" i="1"/>
  <c r="F130" i="1"/>
  <c r="E130" i="1"/>
  <c r="C130" i="1"/>
  <c r="K15" i="1"/>
  <c r="M15" i="1" s="1"/>
  <c r="L15" i="1" s="1"/>
  <c r="G15" i="1" s="1"/>
  <c r="A15" i="1"/>
  <c r="C15" i="1"/>
  <c r="B15" i="1"/>
  <c r="F15" i="1"/>
  <c r="K38" i="1"/>
  <c r="M38" i="1" s="1"/>
  <c r="L38" i="1" s="1"/>
  <c r="G38" i="1" s="1"/>
  <c r="F38" i="1"/>
  <c r="E38" i="1"/>
  <c r="I56" i="1"/>
  <c r="J56" i="1" s="1"/>
  <c r="F5" i="1"/>
  <c r="E15" i="1"/>
  <c r="K21" i="1"/>
  <c r="M21" i="1" s="1"/>
  <c r="L21" i="1" s="1"/>
  <c r="G21" i="1" s="1"/>
  <c r="C21" i="1"/>
  <c r="A21" i="1"/>
  <c r="F21" i="1"/>
  <c r="E21" i="1"/>
  <c r="B107" i="1"/>
  <c r="A107" i="1"/>
  <c r="C107" i="1"/>
  <c r="F107" i="1"/>
  <c r="E107" i="1"/>
  <c r="K11" i="1"/>
  <c r="M11" i="1" s="1"/>
  <c r="L11" i="1" s="1"/>
  <c r="G11" i="1" s="1"/>
  <c r="K32" i="1"/>
  <c r="M32" i="1" s="1"/>
  <c r="L32" i="1" s="1"/>
  <c r="G32" i="1" s="1"/>
  <c r="F32" i="1"/>
  <c r="C32" i="1"/>
  <c r="E32" i="1"/>
  <c r="J103" i="1"/>
  <c r="E134" i="1"/>
  <c r="C134" i="1"/>
  <c r="B134" i="1"/>
  <c r="A134" i="1"/>
  <c r="F134" i="1"/>
  <c r="K134" i="1"/>
  <c r="M134" i="1" s="1"/>
  <c r="L134" i="1" s="1"/>
  <c r="G134" i="1" s="1"/>
  <c r="C12" i="1"/>
  <c r="A12" i="1"/>
  <c r="B12" i="1"/>
  <c r="K12" i="1"/>
  <c r="M12" i="1" s="1"/>
  <c r="L12" i="1" s="1"/>
  <c r="G12" i="1" s="1"/>
  <c r="A29" i="1"/>
  <c r="F77" i="1"/>
  <c r="C77" i="1"/>
  <c r="K77" i="1"/>
  <c r="M77" i="1" s="1"/>
  <c r="L77" i="1" s="1"/>
  <c r="G77" i="1" s="1"/>
  <c r="A77" i="1"/>
  <c r="B87" i="1"/>
  <c r="A87" i="1"/>
  <c r="E87" i="1"/>
  <c r="C87" i="1"/>
  <c r="K104" i="1"/>
  <c r="M104" i="1" s="1"/>
  <c r="L104" i="1" s="1"/>
  <c r="G104" i="1" s="1"/>
  <c r="F104" i="1"/>
  <c r="C104" i="1"/>
  <c r="B104" i="1"/>
  <c r="A104" i="1"/>
  <c r="F6" i="1"/>
  <c r="E6" i="1"/>
  <c r="K6" i="1"/>
  <c r="M6" i="1" s="1"/>
  <c r="L6" i="1" s="1"/>
  <c r="G6" i="1" s="1"/>
  <c r="C6" i="1"/>
  <c r="B6" i="1"/>
  <c r="A6" i="1"/>
  <c r="F12" i="1"/>
  <c r="B29" i="1"/>
  <c r="K36" i="1"/>
  <c r="M36" i="1" s="1"/>
  <c r="L36" i="1" s="1"/>
  <c r="G36" i="1" s="1"/>
  <c r="F36" i="1"/>
  <c r="E36" i="1"/>
  <c r="C100" i="1"/>
  <c r="B100" i="1"/>
  <c r="A100" i="1"/>
  <c r="K120" i="1"/>
  <c r="M120" i="1" s="1"/>
  <c r="L120" i="1" s="1"/>
  <c r="G120" i="1" s="1"/>
  <c r="C120" i="1"/>
  <c r="B120" i="1"/>
  <c r="A120" i="1"/>
  <c r="F46" i="1"/>
  <c r="E46" i="1"/>
  <c r="B46" i="1"/>
  <c r="A46" i="1"/>
  <c r="C46" i="1"/>
  <c r="I80" i="1"/>
  <c r="J80" i="1"/>
  <c r="F90" i="1"/>
  <c r="E90" i="1"/>
  <c r="K90" i="1"/>
  <c r="M90" i="1" s="1"/>
  <c r="L90" i="1" s="1"/>
  <c r="G90" i="1" s="1"/>
  <c r="J123" i="1"/>
  <c r="K129" i="1"/>
  <c r="M129" i="1" s="1"/>
  <c r="L129" i="1" s="1"/>
  <c r="G129" i="1" s="1"/>
  <c r="F129" i="1"/>
  <c r="E129" i="1"/>
  <c r="A129" i="1"/>
  <c r="C129" i="1"/>
  <c r="K5" i="1"/>
  <c r="M5" i="1" s="1"/>
  <c r="L5" i="1" s="1"/>
  <c r="G5" i="1" s="1"/>
  <c r="B42" i="1"/>
  <c r="F42" i="1"/>
  <c r="E42" i="1"/>
  <c r="K42" i="1"/>
  <c r="M42" i="1" s="1"/>
  <c r="L42" i="1" s="1"/>
  <c r="G42" i="1" s="1"/>
  <c r="E77" i="1"/>
  <c r="F87" i="1"/>
  <c r="E104" i="1"/>
  <c r="C29" i="1"/>
  <c r="E43" i="1"/>
  <c r="C43" i="1"/>
  <c r="B43" i="1"/>
  <c r="A43" i="1"/>
  <c r="K43" i="1"/>
  <c r="M43" i="1" s="1"/>
  <c r="L43" i="1" s="1"/>
  <c r="G43" i="1" s="1"/>
  <c r="A47" i="1"/>
  <c r="E100" i="1"/>
  <c r="E120" i="1"/>
  <c r="F124" i="1"/>
  <c r="E124" i="1"/>
  <c r="B124" i="1"/>
  <c r="C124" i="1"/>
  <c r="K124" i="1"/>
  <c r="M124" i="1" s="1"/>
  <c r="L124" i="1" s="1"/>
  <c r="G124" i="1" s="1"/>
  <c r="K130" i="1"/>
  <c r="M130" i="1" s="1"/>
  <c r="L130" i="1" s="1"/>
  <c r="G130" i="1" s="1"/>
  <c r="I94" i="1"/>
  <c r="J94" i="1" s="1"/>
  <c r="C85" i="1"/>
  <c r="B85" i="1"/>
  <c r="A85" i="1"/>
  <c r="F85" i="1"/>
  <c r="K85" i="1"/>
  <c r="M85" i="1" s="1"/>
  <c r="L85" i="1" s="1"/>
  <c r="G85" i="1" s="1"/>
  <c r="C50" i="1"/>
  <c r="B50" i="1"/>
  <c r="A50" i="1"/>
  <c r="F50" i="1"/>
  <c r="E12" i="1"/>
  <c r="F33" i="1"/>
  <c r="E33" i="1"/>
  <c r="C33" i="1"/>
  <c r="B33" i="1"/>
  <c r="K13" i="1"/>
  <c r="M13" i="1" s="1"/>
  <c r="L13" i="1" s="1"/>
  <c r="G13" i="1" s="1"/>
  <c r="A13" i="1"/>
  <c r="C13" i="1"/>
  <c r="B13" i="1"/>
  <c r="F13" i="1"/>
  <c r="F43" i="1"/>
  <c r="B47" i="1"/>
  <c r="B71" i="1"/>
  <c r="A71" i="1"/>
  <c r="K71" i="1"/>
  <c r="M71" i="1" s="1"/>
  <c r="L71" i="1" s="1"/>
  <c r="G71" i="1" s="1"/>
  <c r="F100" i="1"/>
  <c r="A115" i="1"/>
  <c r="F120" i="1"/>
  <c r="C125" i="1"/>
  <c r="A125" i="1"/>
  <c r="F125" i="1"/>
  <c r="E125" i="1"/>
  <c r="B125" i="1"/>
  <c r="K125" i="1"/>
  <c r="M125" i="1" s="1"/>
  <c r="L125" i="1" s="1"/>
  <c r="G125" i="1" s="1"/>
  <c r="K81" i="1"/>
  <c r="M81" i="1" s="1"/>
  <c r="L81" i="1" s="1"/>
  <c r="G81" i="1" s="1"/>
  <c r="F81" i="1"/>
  <c r="E81" i="1"/>
  <c r="F57" i="1"/>
  <c r="C57" i="1"/>
  <c r="E63" i="1"/>
  <c r="K63" i="1"/>
  <c r="M63" i="1" s="1"/>
  <c r="L63" i="1" s="1"/>
  <c r="G63" i="1" s="1"/>
  <c r="E123" i="1"/>
  <c r="B123" i="1"/>
  <c r="A123" i="1"/>
  <c r="F126" i="1"/>
  <c r="E126" i="1"/>
  <c r="C126" i="1"/>
  <c r="B126" i="1"/>
  <c r="A126" i="1"/>
  <c r="K126" i="1"/>
  <c r="M126" i="1" s="1"/>
  <c r="L126" i="1" s="1"/>
  <c r="G126" i="1" s="1"/>
  <c r="K9" i="1"/>
  <c r="M9" i="1" s="1"/>
  <c r="L9" i="1" s="1"/>
  <c r="G9" i="1" s="1"/>
  <c r="F9" i="1"/>
  <c r="B22" i="1"/>
  <c r="K22" i="1"/>
  <c r="M22" i="1" s="1"/>
  <c r="L22" i="1" s="1"/>
  <c r="G22" i="1" s="1"/>
  <c r="E57" i="1"/>
  <c r="F63" i="1"/>
  <c r="C92" i="1"/>
  <c r="B92" i="1"/>
  <c r="A92" i="1"/>
  <c r="K92" i="1"/>
  <c r="M92" i="1" s="1"/>
  <c r="L92" i="1" s="1"/>
  <c r="G92" i="1" s="1"/>
  <c r="F97" i="1"/>
  <c r="C97" i="1"/>
  <c r="K97" i="1"/>
  <c r="M97" i="1" s="1"/>
  <c r="L97" i="1" s="1"/>
  <c r="G97" i="1" s="1"/>
  <c r="E97" i="1"/>
  <c r="E131" i="1"/>
  <c r="F10" i="1"/>
  <c r="K58" i="1"/>
  <c r="M58" i="1" s="1"/>
  <c r="L58" i="1" s="1"/>
  <c r="G58" i="1" s="1"/>
  <c r="F58" i="1"/>
  <c r="E58" i="1"/>
  <c r="A128" i="1"/>
  <c r="C128" i="1"/>
  <c r="B128" i="1"/>
  <c r="F128" i="1"/>
  <c r="E128" i="1"/>
  <c r="A19" i="1"/>
  <c r="E19" i="1"/>
  <c r="A88" i="1"/>
  <c r="K88" i="1"/>
  <c r="M88" i="1" s="1"/>
  <c r="L88" i="1" s="1"/>
  <c r="G88" i="1" s="1"/>
  <c r="F88" i="1"/>
  <c r="B91" i="1"/>
  <c r="A91" i="1"/>
  <c r="J108" i="1"/>
  <c r="I121" i="1"/>
  <c r="F106" i="1"/>
  <c r="E106" i="1"/>
  <c r="K106" i="1"/>
  <c r="M106" i="1" s="1"/>
  <c r="L106" i="1" s="1"/>
  <c r="G106" i="1" s="1"/>
  <c r="K113" i="1"/>
  <c r="M113" i="1" s="1"/>
  <c r="L113" i="1" s="1"/>
  <c r="G113" i="1" s="1"/>
  <c r="F113" i="1"/>
  <c r="K128" i="1"/>
  <c r="M128" i="1" s="1"/>
  <c r="L128" i="1" s="1"/>
  <c r="G128" i="1" s="1"/>
  <c r="K49" i="1"/>
  <c r="M49" i="1" s="1"/>
  <c r="L49" i="1" s="1"/>
  <c r="G49" i="1" s="1"/>
  <c r="F49" i="1"/>
  <c r="E49" i="1"/>
  <c r="F91" i="1"/>
  <c r="E113" i="1"/>
  <c r="A119" i="1"/>
  <c r="C119" i="1"/>
  <c r="B119" i="1"/>
  <c r="F119" i="1"/>
  <c r="E119" i="1"/>
  <c r="B131" i="1"/>
  <c r="A131" i="1"/>
  <c r="K131" i="1"/>
  <c r="M131" i="1" s="1"/>
  <c r="L131" i="1" s="1"/>
  <c r="G131" i="1" s="1"/>
  <c r="B96" i="1"/>
  <c r="A96" i="1"/>
  <c r="E96" i="1"/>
  <c r="K101" i="1"/>
  <c r="M101" i="1" s="1"/>
  <c r="L101" i="1" s="1"/>
  <c r="G101" i="1" s="1"/>
  <c r="C101" i="1"/>
  <c r="B101" i="1"/>
  <c r="A101" i="1"/>
  <c r="F101" i="1"/>
  <c r="K10" i="1"/>
  <c r="M10" i="1" s="1"/>
  <c r="L10" i="1" s="1"/>
  <c r="G10" i="1" s="1"/>
  <c r="E56" i="1"/>
  <c r="F17" i="1"/>
  <c r="C17" i="1"/>
  <c r="K17" i="1"/>
  <c r="M17" i="1" s="1"/>
  <c r="L17" i="1" s="1"/>
  <c r="G17" i="1" s="1"/>
  <c r="E17" i="1"/>
  <c r="F56" i="1"/>
  <c r="E74" i="1"/>
  <c r="C74" i="1"/>
  <c r="B74" i="1"/>
  <c r="F74" i="1"/>
  <c r="K96" i="1"/>
  <c r="M96" i="1" s="1"/>
  <c r="L96" i="1" s="1"/>
  <c r="G96" i="1" s="1"/>
  <c r="A99" i="1"/>
  <c r="F99" i="1"/>
  <c r="E99" i="1"/>
  <c r="K99" i="1"/>
  <c r="M99" i="1" s="1"/>
  <c r="L99" i="1" s="1"/>
  <c r="G99" i="1" s="1"/>
  <c r="B111" i="1"/>
  <c r="A111" i="1"/>
  <c r="K111" i="1"/>
  <c r="M111" i="1" s="1"/>
  <c r="L111" i="1" s="1"/>
  <c r="G111" i="1" s="1"/>
  <c r="A8" i="1"/>
  <c r="K8" i="1"/>
  <c r="M8" i="1" s="1"/>
  <c r="L8" i="1" s="1"/>
  <c r="G8" i="1" s="1"/>
  <c r="F8" i="1"/>
  <c r="E8" i="1"/>
  <c r="I40" i="1"/>
  <c r="J40" i="1" s="1"/>
  <c r="K19" i="1"/>
  <c r="M19" i="1" s="1"/>
  <c r="L19" i="1" s="1"/>
  <c r="G19" i="1" s="1"/>
  <c r="A39" i="1"/>
  <c r="C39" i="1"/>
  <c r="B39" i="1"/>
  <c r="E54" i="1"/>
  <c r="C54" i="1"/>
  <c r="B54" i="1"/>
  <c r="K54" i="1"/>
  <c r="M54" i="1" s="1"/>
  <c r="L54" i="1" s="1"/>
  <c r="G54" i="1" s="1"/>
  <c r="K74" i="1"/>
  <c r="M74" i="1" s="1"/>
  <c r="L74" i="1" s="1"/>
  <c r="G74" i="1" s="1"/>
  <c r="A81" i="1"/>
  <c r="E94" i="1"/>
  <c r="C94" i="1"/>
  <c r="B94" i="1"/>
  <c r="A94" i="1"/>
  <c r="E111" i="1"/>
  <c r="K119" i="1"/>
  <c r="M119" i="1" s="1"/>
  <c r="L119" i="1" s="1"/>
  <c r="G119" i="1" s="1"/>
  <c r="K135" i="1"/>
  <c r="M135" i="1" s="1"/>
  <c r="L135" i="1" s="1"/>
  <c r="G135" i="1" s="1"/>
  <c r="F135" i="1"/>
  <c r="E135" i="1"/>
  <c r="K83" i="1"/>
  <c r="M83" i="1" s="1"/>
  <c r="L83" i="1" s="1"/>
  <c r="G83" i="1" s="1"/>
  <c r="C121" i="1"/>
  <c r="C132" i="1"/>
  <c r="K117" i="1"/>
  <c r="M117" i="1" s="1"/>
  <c r="L117" i="1" s="1"/>
  <c r="G117" i="1" s="1"/>
  <c r="E114" i="1"/>
  <c r="C114" i="1"/>
  <c r="B114" i="1"/>
  <c r="A83" i="1"/>
  <c r="A117" i="1"/>
  <c r="B28" i="1"/>
  <c r="C28" i="1"/>
  <c r="A37" i="1"/>
  <c r="B51" i="1"/>
  <c r="A51" i="1"/>
  <c r="B83" i="1"/>
  <c r="F26" i="1"/>
  <c r="E26" i="1"/>
  <c r="C83" i="1"/>
  <c r="F117" i="1"/>
  <c r="C117" i="1"/>
  <c r="E28" i="1"/>
  <c r="F37" i="1"/>
  <c r="C37" i="1"/>
  <c r="F83" i="1"/>
  <c r="A103" i="1"/>
  <c r="E117" i="1"/>
  <c r="I55" i="1" l="1"/>
  <c r="J55" i="1" s="1"/>
  <c r="I36" i="1"/>
  <c r="J36" i="1" s="1"/>
  <c r="I86" i="1"/>
  <c r="J86" i="1" s="1"/>
  <c r="I47" i="1"/>
  <c r="J47" i="1" s="1"/>
  <c r="I19" i="1"/>
  <c r="J19" i="1" s="1"/>
  <c r="I38" i="1"/>
  <c r="J38" i="1" s="1"/>
  <c r="I83" i="1"/>
  <c r="J83" i="1"/>
  <c r="I17" i="1"/>
  <c r="J17" i="1" s="1"/>
  <c r="I81" i="1"/>
  <c r="J81" i="1" s="1"/>
  <c r="I65" i="1"/>
  <c r="J65" i="1" s="1"/>
  <c r="I10" i="1"/>
  <c r="J10" i="1" s="1"/>
  <c r="I5" i="1"/>
  <c r="J5" i="1" s="1"/>
  <c r="J120" i="1"/>
  <c r="I120" i="1"/>
  <c r="I79" i="1"/>
  <c r="J79" i="1" s="1"/>
  <c r="I82" i="1"/>
  <c r="J82" i="1" s="1"/>
  <c r="I13" i="1"/>
  <c r="J13" i="1"/>
  <c r="I22" i="1"/>
  <c r="J22" i="1"/>
  <c r="I125" i="1"/>
  <c r="J125" i="1"/>
  <c r="I32" i="1"/>
  <c r="J32" i="1" s="1"/>
  <c r="I29" i="1"/>
  <c r="J29" i="1"/>
  <c r="I23" i="1"/>
  <c r="J23" i="1"/>
  <c r="I102" i="1"/>
  <c r="J102" i="1" s="1"/>
  <c r="J133" i="1"/>
  <c r="I133" i="1"/>
  <c r="I73" i="1"/>
  <c r="J73" i="1" s="1"/>
  <c r="I16" i="1"/>
  <c r="J16" i="1" s="1"/>
  <c r="I119" i="1"/>
  <c r="J119" i="1"/>
  <c r="I14" i="1"/>
  <c r="J14" i="1" s="1"/>
  <c r="J111" i="1"/>
  <c r="I111" i="1"/>
  <c r="J122" i="1"/>
  <c r="I122" i="1"/>
  <c r="I106" i="1"/>
  <c r="J106" i="1" s="1"/>
  <c r="I59" i="1"/>
  <c r="J59" i="1"/>
  <c r="I95" i="1"/>
  <c r="J95" i="1" s="1"/>
  <c r="I41" i="1"/>
  <c r="J41" i="1" s="1"/>
  <c r="I70" i="1"/>
  <c r="J70" i="1" s="1"/>
  <c r="I15" i="1"/>
  <c r="J15" i="1" s="1"/>
  <c r="I49" i="1"/>
  <c r="J49" i="1" s="1"/>
  <c r="J126" i="1"/>
  <c r="I126" i="1"/>
  <c r="J30" i="1"/>
  <c r="I30" i="1"/>
  <c r="I128" i="1"/>
  <c r="J128" i="1"/>
  <c r="I58" i="1"/>
  <c r="J58" i="1" s="1"/>
  <c r="I25" i="1"/>
  <c r="J25" i="1"/>
  <c r="I115" i="1"/>
  <c r="J115" i="1" s="1"/>
  <c r="I116" i="1"/>
  <c r="J116" i="1" s="1"/>
  <c r="I97" i="1"/>
  <c r="J97" i="1" s="1"/>
  <c r="I21" i="1"/>
  <c r="J21" i="1" s="1"/>
  <c r="I96" i="1"/>
  <c r="J96" i="1"/>
  <c r="J131" i="1"/>
  <c r="I131" i="1"/>
  <c r="I63" i="1"/>
  <c r="J63" i="1" s="1"/>
  <c r="J42" i="1"/>
  <c r="I42" i="1"/>
  <c r="I98" i="1"/>
  <c r="J98" i="1" s="1"/>
  <c r="I18" i="1"/>
  <c r="J18" i="1" s="1"/>
  <c r="I129" i="1"/>
  <c r="J129" i="1"/>
  <c r="I8" i="1"/>
  <c r="J8" i="1"/>
  <c r="I127" i="1"/>
  <c r="J127" i="1"/>
  <c r="I90" i="1"/>
  <c r="J90" i="1" s="1"/>
  <c r="I84" i="1"/>
  <c r="J84" i="1" s="1"/>
  <c r="I113" i="1"/>
  <c r="J113" i="1" s="1"/>
  <c r="J118" i="1"/>
  <c r="I118" i="1"/>
  <c r="I85" i="1"/>
  <c r="J85" i="1" s="1"/>
  <c r="I34" i="1"/>
  <c r="J34" i="1"/>
  <c r="I110" i="1"/>
  <c r="J110" i="1" s="1"/>
  <c r="I93" i="1"/>
  <c r="J93" i="1"/>
  <c r="I31" i="1"/>
  <c r="J31" i="1" s="1"/>
  <c r="I92" i="1"/>
  <c r="J92" i="1"/>
  <c r="I53" i="1"/>
  <c r="J53" i="1" s="1"/>
  <c r="I72" i="1"/>
  <c r="J72" i="1"/>
  <c r="I61" i="1"/>
  <c r="J61" i="1" s="1"/>
  <c r="J11" i="1"/>
  <c r="I11" i="1"/>
  <c r="J135" i="1"/>
  <c r="I135" i="1"/>
  <c r="I44" i="1"/>
  <c r="J44" i="1" s="1"/>
  <c r="I9" i="1"/>
  <c r="J9" i="1" s="1"/>
  <c r="I43" i="1"/>
  <c r="J43" i="1"/>
  <c r="I24" i="1"/>
  <c r="J24" i="1" s="1"/>
  <c r="I99" i="1"/>
  <c r="J99" i="1"/>
  <c r="I52" i="1"/>
  <c r="J52" i="1"/>
  <c r="I27" i="1"/>
  <c r="J27" i="1" s="1"/>
  <c r="I74" i="1"/>
  <c r="J74" i="1" s="1"/>
  <c r="J134" i="1"/>
  <c r="I134" i="1"/>
  <c r="I64" i="1"/>
  <c r="J64" i="1" s="1"/>
  <c r="I66" i="1"/>
  <c r="J66" i="1" s="1"/>
  <c r="I77" i="1"/>
  <c r="J77" i="1" s="1"/>
  <c r="I89" i="1"/>
  <c r="J89" i="1" s="1"/>
  <c r="I109" i="1"/>
  <c r="J109" i="1" s="1"/>
  <c r="I12" i="1"/>
  <c r="J12" i="1"/>
  <c r="I101" i="1"/>
  <c r="J101" i="1" s="1"/>
  <c r="I71" i="1"/>
  <c r="J71" i="1"/>
  <c r="I6" i="1"/>
  <c r="J6" i="1" s="1"/>
  <c r="J69" i="1"/>
  <c r="I69" i="1"/>
  <c r="J54" i="1"/>
  <c r="I54" i="1"/>
  <c r="J130" i="1"/>
  <c r="I130" i="1"/>
  <c r="I78" i="1"/>
  <c r="J78" i="1" s="1"/>
  <c r="I45" i="1"/>
  <c r="J45" i="1" s="1"/>
  <c r="J117" i="1"/>
  <c r="I117" i="1"/>
  <c r="I88" i="1"/>
  <c r="J88" i="1" s="1"/>
  <c r="J124" i="1"/>
  <c r="I124" i="1"/>
  <c r="I104" i="1"/>
  <c r="J104" i="1" s="1"/>
  <c r="I68" i="1"/>
  <c r="J68" i="1"/>
  <c r="J75" i="1"/>
  <c r="I75" i="1"/>
  <c r="J62" i="1"/>
  <c r="I6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<sst xmlns="http://schemas.openxmlformats.org/spreadsheetml/2006/main" count="17" uniqueCount="17">
  <si>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CUSTOMER</t>
  </si>
  <si>
    <t>HERITAGE HMS OF MOLALLA OR*</t>
  </si>
  <si>
    <t>PRICE CHANGES TO APPLY</t>
  </si>
  <si>
    <t>Enter your margin changes below. Use "ALL" in Item ID to apply to entire category.</t>
  </si>
  <si>
    <t>Pricing Zone</t>
  </si>
  <si>
    <t>Product Category</t>
  </si>
  <si>
    <t>Minor Category</t>
  </si>
  <si>
    <t>Item ID</t>
  </si>
  <si>
    <t>Description</t>
  </si>
  <si>
    <t>New_Price</t>
  </si>
  <si>
    <t>Price Level</t>
  </si>
  <si>
    <t>Status</t>
  </si>
  <si>
    <t>Target Column</t>
  </si>
  <si>
    <t>Notes</t>
  </si>
  <si>
    <t>Category</t>
  </si>
  <si>
    <t>Dart_Category_No</t>
  </si>
  <si>
    <t>Minor_Category_No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</si>
</sst>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  <charset val="1"/>
    </font>
    <font>
      <b/>
      <sz val="14"/>
      <name val="Cambria"/>
      <family val="1"/>
    </font>
    <font>
      <i/>
      <sz val="10"/>
      <name val="Cambria"/>
      <family val="1"/>
    </font>
    <font>
      <b/>
      <sz val="11"/>
      <color rgb="FFFFFFFF"/>
      <name val="Aptos Narrow"/>
      <family val="2"/>
    </font>
    <font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4" fillId="0" borderId="0" xfId="1" applyFont="1"/>
    <xf numFmtId="0" fontId="5" fillId="2" borderId="0" xfId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2" fillId="3" borderId="3" xfId="1" quotePrefix="1" applyFill="1" applyBorder="1" applyAlignment="1">
      <alignment horizontal="center"/>
    </xf>
    <xf numFmtId="0" fontId="2" fillId="3" borderId="3" xfId="1" applyFill="1" applyBorder="1" applyAlignment="1">
      <alignment horizontal="center"/>
    </xf>
    <xf numFmtId="0" fontId="2" fillId="3" borderId="3" xfId="1" applyFill="1" applyBorder="1" applyAlignment="1">
      <alignment horizontal="center" vertical="center"/>
    </xf>
    <xf numFmtId="0" fontId="2" fillId="3" borderId="3" xfId="1" applyFill="1" applyBorder="1" applyAlignment="1">
      <alignment horizontal="left" vertical="center"/>
    </xf>
    <xf numFmtId="0" fontId="2" fillId="3" borderId="0" xfId="1" applyFill="1" applyAlignment="1">
      <alignment horizontal="left" vertical="center"/>
    </xf>
    <xf numFmtId="0" fontId="7" fillId="3" borderId="0" xfId="2" applyFont="1" applyFill="1"/>
    <xf numFmtId="0" fontId="0" fillId="0" borderId="2" xfId="0" applyBorder="1"/>
    <xf numFmtId="0" fontId="0" fillId="0" borderId="3" xfId="0" applyBorder="1"/>
    <xf numFmtId="0" fontId="0" fillId="0" borderId="3" xfId="0" applyBorder="1" applyProtection="1">
      <protection locked="0"/>
    </xf>
    <xf numFmtId="0" fontId="2" fillId="0" borderId="3" xfId="1" quotePrefix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3" xfId="1" applyBorder="1" applyAlignment="1">
      <alignment horizontal="center" vertical="center"/>
    </xf>
    <xf numFmtId="0" fontId="2" fillId="0" borderId="3" xfId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7" fillId="0" borderId="0" xfId="2" applyFont="1"/>
  </cellXfs>
  <cellStyles count="3">
    <cellStyle name="Normal" xfId="0" builtinId="0"/>
    <cellStyle name="Normal 18" xfId="1" xr:uid="{84E01B5B-E1CA-499B-8589-F54D1F7C0E97}"/>
    <cellStyle name="Normal 2" xfId="2" xr:uid="{4BD9246D-4DB5-4FBD-841D-322861101077}"/>
  </cellStyles>
  <dxfs count="16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rgb="FF366092"/>
          <bgColor rgb="FF36609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0</xdr:row>
          <xdr:rowOff>44450</xdr:rowOff>
        </xdr:from>
        <xdr:to>
          <xdr:col>5</xdr:col>
          <xdr:colOff>107950</xdr:colOff>
          <xdr:row>2</xdr:row>
          <xdr:rowOff>19050</xdr:rowOff>
        </xdr:to>
        <xdr:sp macro="" textlink="">
          <xdr:nvSpPr>
            <xdr:cNvPr id="1025" name="btnUpdatePricing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C6ED6E3-46EA-4FEC-B35E-2AF77BF648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2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RUN PRICING UPDATE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FOREST-GROVE\SALES\I_Corey%20Boser\Customer%20Files\HOLT%20HOMES\3%20Resources\3BAT\HOLT%20BAT%20NOVEMBER%202025%2010-28-25%20Updated%2011-24-2025.xlsm" TargetMode="External"/><Relationship Id="rId1" Type="http://schemas.openxmlformats.org/officeDocument/2006/relationships/externalLinkPath" Target="HOLT%20BAT%20NOVEMBER%202025%2010-28-25%20Updated%2011-24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WP RS"/>
      <sheetName val="IWP S4S"/>
      <sheetName val="📋 CODE LEGEND"/>
      <sheetName val="📖 INSTRUCTIONS"/>
      <sheetName val="📐 FORMULA GUIDE"/>
      <sheetName val="💡 SUGGESTIONS"/>
      <sheetName val="Dev Page"/>
      <sheetName val="PRICE SHEET MAP"/>
      <sheetName val="PRICES TO CHANGE"/>
      <sheetName val="MARGINS TO CHANGE"/>
      <sheetName val="RL_AV"/>
      <sheetName val="RL+ADDERS"/>
      <sheetName val="CONV"/>
      <sheetName val="PRICING UPDATE"/>
      <sheetName val="CINCH PRICING"/>
      <sheetName val="HH Harmony Pricing"/>
      <sheetName val="Harmony Truss Bid"/>
      <sheetName val="1670ABCD CR"/>
      <sheetName val="DART"/>
      <sheetName val="SPCL"/>
      <sheetName val="PriceSchedule"/>
      <sheetName val="PackNames"/>
      <sheetName val="Subdivisions"/>
      <sheetName val="Customer Price Levels"/>
      <sheetName val="Margins Changes"/>
      <sheetName val="Unconverted"/>
      <sheetName val="HDU Conv"/>
      <sheetName val="Plan Index Query"/>
      <sheetName val="Plan Index"/>
      <sheetName val="Plan Index Backup 1030-092123"/>
      <sheetName val="Plan Index Backup 1015-184650"/>
      <sheetName val="Plan Index Backup 0930-123423"/>
      <sheetName val="Plan Index Backup 0928-160235"/>
      <sheetName val="Plan Index Backup 0902-144151"/>
      <sheetName val="HW Status"/>
      <sheetName val="Plan Worksheet"/>
      <sheetName val="WR1B Price Index"/>
      <sheetName val="1547 margin"/>
      <sheetName val="1649 margin"/>
      <sheetName val="98 Willow Ridge Lumber"/>
      <sheetName val="98 Willow Ridge Siding"/>
      <sheetName val="99 Heartwood Acres Lumber"/>
      <sheetName val="99 Heartwood Acres Siding"/>
      <sheetName val="106 Golden Grove Lumber"/>
      <sheetName val="106 Golden Grove Siding"/>
      <sheetName val="107 Harmony Heights Lumber"/>
      <sheetName val="107 Harmony Heights Siding"/>
      <sheetName val="110 Willow Ridge Attach Lumber"/>
      <sheetName val="110 Willow Ridge Attach Siding"/>
      <sheetName val="111 Coyote Ridge Lumber"/>
      <sheetName val="111 Coyote Ridge Siding"/>
      <sheetName val="indexMaterialListsbyPlan"/>
      <sheetName val="bidtotals"/>
      <sheetName val="Reference_Sheet"/>
      <sheetName val="bidtotals 9.29.25"/>
      <sheetName val="bidtotals 9.28.25"/>
      <sheetName val="Bid_Sheets"/>
      <sheetName val="1890ABD CR"/>
      <sheetName val="2321ABC CR"/>
      <sheetName val="2383ACD CR"/>
      <sheetName val="2414ACD CR"/>
      <sheetName val="2676AC CR"/>
      <sheetName val="1649A PTO GG"/>
      <sheetName val="2299A PTO GG"/>
      <sheetName val="2336C PTO GG"/>
      <sheetName val="1649ABC GG"/>
      <sheetName val="1890ABD GG"/>
      <sheetName val="2184ACD GG"/>
      <sheetName val="2299ACD GG"/>
      <sheetName val="2336BCD GG"/>
      <sheetName val="1649ABC HA"/>
      <sheetName val="1656BCD HA"/>
      <sheetName val="1670ABCD HA"/>
      <sheetName val="1890ABD HA"/>
      <sheetName val="1987ACD HA"/>
      <sheetName val="2260ABCD HA"/>
      <sheetName val="2336BCD HA"/>
      <sheetName val="2414ACD HA"/>
      <sheetName val="2676AC HA"/>
      <sheetName val="1632CD HH"/>
      <sheetName val="1669ACD HH"/>
      <sheetName val="1816CD HH"/>
      <sheetName val="2009ACD HH"/>
      <sheetName val="2157CD HH"/>
      <sheetName val="1633BCD WR"/>
      <sheetName val="1890ABD WR"/>
      <sheetName val="1987ACD WR"/>
      <sheetName val="2184ACD WR DNU"/>
      <sheetName val="2299ACD WR OLD"/>
      <sheetName val="2184ACD WR"/>
      <sheetName val="2299ACD WR"/>
      <sheetName val="2336BCD WR"/>
      <sheetName val="2336B  PTO"/>
      <sheetName val="1547 (153e)"/>
      <sheetName val="1555 (156e)"/>
      <sheetName val="1555 (156i)"/>
      <sheetName val="1559 (159e)"/>
      <sheetName val="1559 (159i)"/>
      <sheetName val="1626 (162i)"/>
      <sheetName val="1674 (169e)"/>
      <sheetName val="1674 (168i)"/>
      <sheetName val="1713 (178e)"/>
      <sheetName val="1713 (177i)"/>
      <sheetName val="1734 (172e)"/>
      <sheetName val="PRICING TAB"/>
      <sheetName val="Sheet2"/>
      <sheetName val="OLD PRICING TAB"/>
      <sheetName val="NEW TEMPLATE"/>
      <sheetName val="INPUT PS"/>
      <sheetName val="ORIGINAL 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 t="str">
            <v>A</v>
          </cell>
          <cell r="B3" t="str">
            <v>B</v>
          </cell>
          <cell r="C3" t="str">
            <v>C</v>
          </cell>
          <cell r="D3" t="str">
            <v>D</v>
          </cell>
          <cell r="E3" t="str">
            <v>E</v>
          </cell>
          <cell r="F3" t="str">
            <v>F</v>
          </cell>
          <cell r="G3" t="str">
            <v>G</v>
          </cell>
          <cell r="H3" t="str">
            <v>H</v>
          </cell>
          <cell r="I3" t="str">
            <v>I</v>
          </cell>
          <cell r="J3" t="str">
            <v>J</v>
          </cell>
          <cell r="K3" t="str">
            <v>K</v>
          </cell>
          <cell r="L3" t="str">
            <v>L</v>
          </cell>
          <cell r="M3" t="str">
            <v>M</v>
          </cell>
          <cell r="N3" t="str">
            <v>N</v>
          </cell>
          <cell r="O3" t="str">
            <v>O</v>
          </cell>
          <cell r="P3" t="str">
            <v>P</v>
          </cell>
          <cell r="Q3" t="str">
            <v>Q</v>
          </cell>
          <cell r="R3" t="str">
            <v>R</v>
          </cell>
          <cell r="S3" t="str">
            <v>S</v>
          </cell>
          <cell r="T3" t="str">
            <v>T</v>
          </cell>
          <cell r="U3" t="str">
            <v>U</v>
          </cell>
          <cell r="V3" t="str">
            <v>V</v>
          </cell>
          <cell r="W3" t="str">
            <v>W</v>
          </cell>
          <cell r="X3" t="str">
            <v>X</v>
          </cell>
          <cell r="Y3" t="str">
            <v>Y</v>
          </cell>
          <cell r="Z3" t="str">
            <v>Z</v>
          </cell>
          <cell r="AA3" t="str">
            <v>AA</v>
          </cell>
          <cell r="AB3" t="str">
            <v>AB</v>
          </cell>
          <cell r="AC3" t="str">
            <v>AC</v>
          </cell>
          <cell r="AD3" t="str">
            <v>AD</v>
          </cell>
          <cell r="AE3" t="str">
            <v>AE</v>
          </cell>
          <cell r="AF3" t="str">
            <v>AF</v>
          </cell>
          <cell r="AG3" t="str">
            <v>AG</v>
          </cell>
          <cell r="AH3" t="str">
            <v>AH</v>
          </cell>
          <cell r="AI3" t="str">
            <v>AI</v>
          </cell>
          <cell r="AJ3" t="str">
            <v>AJ</v>
          </cell>
          <cell r="AK3" t="str">
            <v>AK</v>
          </cell>
          <cell r="AL3" t="str">
            <v>AL</v>
          </cell>
          <cell r="AM3" t="str">
            <v>AM</v>
          </cell>
          <cell r="AN3" t="str">
            <v>AN</v>
          </cell>
          <cell r="AO3" t="str">
            <v>AO</v>
          </cell>
          <cell r="AP3" t="str">
            <v>AP</v>
          </cell>
          <cell r="AQ3" t="str">
            <v>AQ</v>
          </cell>
          <cell r="AR3" t="str">
            <v>AR</v>
          </cell>
          <cell r="AS3" t="str">
            <v>AS</v>
          </cell>
          <cell r="AT3" t="str">
            <v>AT</v>
          </cell>
          <cell r="AU3" t="str">
            <v>AU</v>
          </cell>
          <cell r="AV3" t="str">
            <v>AV</v>
          </cell>
          <cell r="AW3" t="str">
            <v>AW</v>
          </cell>
          <cell r="AX3" t="str">
            <v>AX</v>
          </cell>
          <cell r="AY3" t="str">
            <v>AY</v>
          </cell>
          <cell r="AZ3" t="str">
            <v>AZ</v>
          </cell>
          <cell r="BA3" t="str">
            <v>BA</v>
          </cell>
          <cell r="BB3" t="str">
            <v>BB</v>
          </cell>
          <cell r="BC3" t="str">
            <v>BC</v>
          </cell>
          <cell r="BD3" t="str">
            <v>BD</v>
          </cell>
          <cell r="BE3" t="str">
            <v>BE</v>
          </cell>
          <cell r="BF3" t="str">
            <v>BF</v>
          </cell>
          <cell r="BG3" t="str">
            <v>BG</v>
          </cell>
          <cell r="BH3" t="str">
            <v>BH</v>
          </cell>
          <cell r="BI3" t="str">
            <v>BI</v>
          </cell>
          <cell r="BJ3" t="str">
            <v>BJ</v>
          </cell>
          <cell r="BK3" t="str">
            <v>BK</v>
          </cell>
          <cell r="BL3" t="str">
            <v>BL</v>
          </cell>
          <cell r="BM3" t="str">
            <v>BM</v>
          </cell>
          <cell r="BN3" t="str">
            <v>BN</v>
          </cell>
          <cell r="BO3" t="str">
            <v>BO</v>
          </cell>
          <cell r="BP3" t="str">
            <v>BP</v>
          </cell>
          <cell r="BQ3" t="str">
            <v>BQ</v>
          </cell>
          <cell r="BR3" t="str">
            <v>BR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A2" t="str">
            <v>SKU</v>
          </cell>
        </row>
        <row r="3">
          <cell r="A3" t="str">
            <v>1633FT</v>
          </cell>
        </row>
        <row r="4">
          <cell r="A4" t="str">
            <v>1649FT</v>
          </cell>
        </row>
        <row r="5">
          <cell r="A5" t="str">
            <v>1670FT</v>
          </cell>
        </row>
        <row r="6">
          <cell r="A6" t="str">
            <v>1674FT</v>
          </cell>
        </row>
        <row r="7">
          <cell r="A7" t="str">
            <v>1713FT</v>
          </cell>
        </row>
        <row r="8">
          <cell r="A8" t="str">
            <v>1734FT</v>
          </cell>
        </row>
        <row r="9">
          <cell r="A9" t="str">
            <v>1890FT</v>
          </cell>
        </row>
        <row r="10">
          <cell r="A10" t="str">
            <v>1987FT</v>
          </cell>
        </row>
        <row r="11">
          <cell r="A11" t="str">
            <v>2184FT</v>
          </cell>
        </row>
        <row r="12">
          <cell r="A12" t="str">
            <v>2260FT</v>
          </cell>
        </row>
        <row r="13">
          <cell r="A13" t="str">
            <v>2299FT</v>
          </cell>
        </row>
        <row r="14">
          <cell r="A14" t="str">
            <v>2321FT</v>
          </cell>
        </row>
        <row r="15">
          <cell r="A15" t="str">
            <v>2336FT</v>
          </cell>
        </row>
        <row r="16">
          <cell r="A16" t="str">
            <v>2383FT</v>
          </cell>
        </row>
        <row r="17">
          <cell r="A17" t="str">
            <v>2414FT</v>
          </cell>
        </row>
        <row r="18">
          <cell r="A18" t="str">
            <v>2676FT</v>
          </cell>
        </row>
        <row r="19">
          <cell r="A19" t="str">
            <v>RFC&lt;3000</v>
          </cell>
        </row>
        <row r="20">
          <cell r="A20" t="str">
            <v>RFC&gt;3000</v>
          </cell>
        </row>
        <row r="21">
          <cell r="A21" t="str">
            <v>14114TTECRIM16</v>
          </cell>
        </row>
        <row r="22">
          <cell r="A22" t="str">
            <v>DFKDS2416</v>
          </cell>
        </row>
        <row r="23">
          <cell r="A23" t="str">
            <v>DFKDS2420</v>
          </cell>
        </row>
        <row r="24">
          <cell r="A24" t="str">
            <v>DFKDS2612</v>
          </cell>
        </row>
        <row r="25">
          <cell r="A25" t="str">
            <v>DFKDS2616</v>
          </cell>
        </row>
        <row r="26">
          <cell r="A26" t="str">
            <v>DFKDS2620</v>
          </cell>
        </row>
        <row r="27">
          <cell r="A27" t="str">
            <v>DFKDS2812</v>
          </cell>
        </row>
        <row r="28">
          <cell r="A28" t="str">
            <v>DFKDS2816</v>
          </cell>
        </row>
        <row r="29">
          <cell r="A29" t="str">
            <v>DFKDS2820</v>
          </cell>
        </row>
        <row r="30">
          <cell r="A30" t="str">
            <v>DFKDS21012</v>
          </cell>
        </row>
        <row r="31">
          <cell r="A31" t="str">
            <v>DFKDS21016</v>
          </cell>
        </row>
        <row r="32">
          <cell r="A32" t="str">
            <v>DFKDS21020</v>
          </cell>
        </row>
        <row r="33">
          <cell r="A33" t="str">
            <v>DFKDS21216</v>
          </cell>
        </row>
        <row r="34">
          <cell r="A34" t="str">
            <v>DFKDS21220</v>
          </cell>
        </row>
        <row r="35">
          <cell r="A35" t="str">
            <v>DFKDS36XX</v>
          </cell>
        </row>
        <row r="36">
          <cell r="A36" t="str">
            <v>DFKDS3608</v>
          </cell>
        </row>
        <row r="37">
          <cell r="A37" t="str">
            <v>DFKDS3610</v>
          </cell>
        </row>
        <row r="38">
          <cell r="A38" t="str">
            <v>DFKDS3612</v>
          </cell>
        </row>
        <row r="39">
          <cell r="A39" t="str">
            <v>DFKDS3616</v>
          </cell>
        </row>
        <row r="40">
          <cell r="A40" t="str">
            <v>DFKDS3620</v>
          </cell>
        </row>
        <row r="41">
          <cell r="A41" t="str">
            <v>DFKDS38XX</v>
          </cell>
        </row>
        <row r="42">
          <cell r="A42" t="str">
            <v>DFKDS310XX</v>
          </cell>
        </row>
        <row r="43">
          <cell r="A43" t="str">
            <v>DFKDS312XX</v>
          </cell>
        </row>
        <row r="44">
          <cell r="A44" t="str">
            <v>DFKDS44XX</v>
          </cell>
        </row>
        <row r="45">
          <cell r="A45" t="str">
            <v>DFKDS4408</v>
          </cell>
        </row>
        <row r="46">
          <cell r="A46" t="str">
            <v>DFKDS4410</v>
          </cell>
        </row>
        <row r="47">
          <cell r="A47" t="str">
            <v>DFKDS4412</v>
          </cell>
        </row>
        <row r="48">
          <cell r="A48" t="str">
            <v>DFKDS4416</v>
          </cell>
        </row>
        <row r="49">
          <cell r="A49" t="str">
            <v>DFKDS4420</v>
          </cell>
        </row>
        <row r="50">
          <cell r="A50" t="str">
            <v>DFKDS46XX</v>
          </cell>
        </row>
        <row r="51">
          <cell r="A51" t="str">
            <v>DFKDS4608</v>
          </cell>
        </row>
        <row r="52">
          <cell r="A52" t="str">
            <v>DFKDS4610</v>
          </cell>
        </row>
        <row r="53">
          <cell r="A53" t="str">
            <v>DFKDS4612</v>
          </cell>
        </row>
        <row r="54">
          <cell r="A54" t="str">
            <v>DFKDS4616</v>
          </cell>
        </row>
        <row r="55">
          <cell r="A55" t="str">
            <v>DFKDS4620</v>
          </cell>
        </row>
        <row r="56">
          <cell r="A56" t="str">
            <v>DFKDS48XX</v>
          </cell>
        </row>
        <row r="57">
          <cell r="A57" t="str">
            <v>DFKDS410XX</v>
          </cell>
        </row>
        <row r="58">
          <cell r="A58" t="str">
            <v>DFKDS412XX</v>
          </cell>
        </row>
        <row r="59">
          <cell r="A59" t="str">
            <v>DFKDS41208</v>
          </cell>
        </row>
        <row r="60">
          <cell r="A60" t="str">
            <v>DFKDS41210</v>
          </cell>
        </row>
        <row r="61">
          <cell r="A61" t="str">
            <v>DFKDS41212</v>
          </cell>
        </row>
        <row r="62">
          <cell r="A62" t="str">
            <v>DFKDS41216</v>
          </cell>
        </row>
        <row r="63">
          <cell r="A63" t="str">
            <v>DFKDS41220</v>
          </cell>
        </row>
        <row r="64">
          <cell r="A64" t="str">
            <v>DFKDS41224</v>
          </cell>
        </row>
        <row r="65">
          <cell r="A65" t="str">
            <v>DFKDS414XX</v>
          </cell>
        </row>
        <row r="66">
          <cell r="A66" t="str">
            <v>DFKDS416XX</v>
          </cell>
        </row>
        <row r="67">
          <cell r="A67" t="str">
            <v>DFKDS66XX</v>
          </cell>
        </row>
        <row r="68">
          <cell r="A68" t="str">
            <v>DFKDS6608</v>
          </cell>
        </row>
        <row r="69">
          <cell r="A69" t="str">
            <v>DFKDS6610</v>
          </cell>
        </row>
        <row r="70">
          <cell r="A70" t="str">
            <v>DFKDS6612</v>
          </cell>
        </row>
        <row r="71">
          <cell r="A71" t="str">
            <v>DFKDS6616</v>
          </cell>
        </row>
        <row r="72">
          <cell r="A72" t="str">
            <v>DFKDS6620</v>
          </cell>
        </row>
        <row r="73">
          <cell r="A73" t="str">
            <v>DFKDS68XX</v>
          </cell>
        </row>
        <row r="74">
          <cell r="A74" t="str">
            <v>DFKDS6808</v>
          </cell>
        </row>
        <row r="75">
          <cell r="A75" t="str">
            <v>DFKDS6810</v>
          </cell>
        </row>
        <row r="76">
          <cell r="A76" t="str">
            <v>DFKDS6812</v>
          </cell>
        </row>
        <row r="77">
          <cell r="A77" t="str">
            <v>DFKDS6816</v>
          </cell>
        </row>
        <row r="78">
          <cell r="A78" t="str">
            <v>DFKDS6820</v>
          </cell>
        </row>
        <row r="79">
          <cell r="A79" t="str">
            <v>DFKDS6824</v>
          </cell>
        </row>
        <row r="80">
          <cell r="A80" t="str">
            <v>DFKDS610XX</v>
          </cell>
        </row>
        <row r="81">
          <cell r="A81" t="str">
            <v>DFKDS612XX</v>
          </cell>
        </row>
        <row r="82">
          <cell r="A82" t="str">
            <v>DFKDS61208</v>
          </cell>
        </row>
        <row r="83">
          <cell r="A83" t="str">
            <v>DFKDS61210</v>
          </cell>
        </row>
        <row r="84">
          <cell r="A84" t="str">
            <v>DFKDS61212</v>
          </cell>
        </row>
        <row r="85">
          <cell r="A85" t="str">
            <v>DFKDS61216</v>
          </cell>
        </row>
        <row r="86">
          <cell r="A86" t="str">
            <v>DFKDS61220</v>
          </cell>
        </row>
        <row r="87">
          <cell r="A87" t="str">
            <v>DFKDR26XX</v>
          </cell>
        </row>
        <row r="88">
          <cell r="A88" t="str">
            <v>DFKDR2612</v>
          </cell>
        </row>
        <row r="89">
          <cell r="A89" t="str">
            <v>DFKDR2616</v>
          </cell>
        </row>
        <row r="90">
          <cell r="A90" t="str">
            <v>DFKDR2620</v>
          </cell>
        </row>
        <row r="91">
          <cell r="A91" t="str">
            <v>DFKDR44XX</v>
          </cell>
        </row>
        <row r="92">
          <cell r="A92" t="str">
            <v>DFKDR4408</v>
          </cell>
        </row>
        <row r="93">
          <cell r="A93" t="str">
            <v>DFKDR4410</v>
          </cell>
        </row>
        <row r="94">
          <cell r="A94" t="str">
            <v>DFKDR4412</v>
          </cell>
        </row>
        <row r="95">
          <cell r="A95" t="str">
            <v>DFKDR4416</v>
          </cell>
        </row>
        <row r="96">
          <cell r="A96" t="str">
            <v>DFKDR4420</v>
          </cell>
        </row>
        <row r="97">
          <cell r="A97" t="str">
            <v>DFKDR46XX</v>
          </cell>
        </row>
        <row r="98">
          <cell r="A98" t="str">
            <v>DFKDR4608</v>
          </cell>
        </row>
        <row r="99">
          <cell r="A99" t="str">
            <v>DFKDR4610</v>
          </cell>
        </row>
        <row r="100">
          <cell r="A100" t="str">
            <v>DFKDR4612</v>
          </cell>
        </row>
        <row r="101">
          <cell r="A101" t="str">
            <v>DFKDR4616</v>
          </cell>
        </row>
        <row r="102">
          <cell r="A102" t="str">
            <v>DFKDR4620</v>
          </cell>
        </row>
        <row r="103">
          <cell r="A103" t="str">
            <v>DFKDR66XX</v>
          </cell>
        </row>
        <row r="104">
          <cell r="A104" t="str">
            <v>DFKDR6608</v>
          </cell>
        </row>
        <row r="105">
          <cell r="A105" t="str">
            <v>DFKDR6610</v>
          </cell>
        </row>
        <row r="106">
          <cell r="A106" t="str">
            <v>DFKDR6612</v>
          </cell>
        </row>
        <row r="107">
          <cell r="A107" t="str">
            <v>DFKDR6616</v>
          </cell>
        </row>
        <row r="108">
          <cell r="A108" t="str">
            <v>DFKDR6620</v>
          </cell>
        </row>
        <row r="109">
          <cell r="A109" t="str">
            <v>8812HF2TICGC</v>
          </cell>
        </row>
        <row r="110">
          <cell r="A110">
            <v>30033</v>
          </cell>
        </row>
        <row r="111">
          <cell r="A111">
            <v>30040</v>
          </cell>
        </row>
        <row r="112">
          <cell r="A112">
            <v>30057</v>
          </cell>
        </row>
        <row r="113">
          <cell r="A113">
            <v>30064</v>
          </cell>
        </row>
        <row r="114">
          <cell r="A114">
            <v>30088</v>
          </cell>
        </row>
        <row r="115">
          <cell r="A115">
            <v>30422</v>
          </cell>
        </row>
        <row r="116">
          <cell r="A116">
            <v>30439</v>
          </cell>
        </row>
        <row r="117">
          <cell r="A117">
            <v>30446</v>
          </cell>
        </row>
        <row r="118">
          <cell r="A118">
            <v>30453</v>
          </cell>
        </row>
        <row r="119">
          <cell r="A119">
            <v>30460</v>
          </cell>
        </row>
        <row r="120">
          <cell r="A120">
            <v>54665</v>
          </cell>
        </row>
        <row r="121">
          <cell r="A121">
            <v>30699</v>
          </cell>
        </row>
        <row r="122">
          <cell r="A122">
            <v>30590</v>
          </cell>
        </row>
        <row r="123">
          <cell r="A123">
            <v>30644</v>
          </cell>
        </row>
        <row r="124">
          <cell r="A124">
            <v>30651</v>
          </cell>
        </row>
        <row r="125">
          <cell r="A125">
            <v>34520</v>
          </cell>
        </row>
        <row r="126">
          <cell r="A126" t="str">
            <v>00112</v>
          </cell>
        </row>
        <row r="127">
          <cell r="A127" t="str">
            <v>00129</v>
          </cell>
        </row>
        <row r="128">
          <cell r="A128" t="str">
            <v>00136</v>
          </cell>
        </row>
        <row r="129">
          <cell r="A129" t="str">
            <v>00143</v>
          </cell>
        </row>
        <row r="130">
          <cell r="A130" t="str">
            <v>00150</v>
          </cell>
        </row>
        <row r="131">
          <cell r="A131" t="str">
            <v>00167</v>
          </cell>
        </row>
        <row r="132">
          <cell r="A132" t="str">
            <v>00174</v>
          </cell>
        </row>
        <row r="133">
          <cell r="A133" t="str">
            <v>00181</v>
          </cell>
        </row>
        <row r="134">
          <cell r="A134" t="str">
            <v>00495</v>
          </cell>
        </row>
        <row r="135">
          <cell r="A135" t="str">
            <v>00198</v>
          </cell>
        </row>
        <row r="136">
          <cell r="A136" t="str">
            <v>00204</v>
          </cell>
        </row>
        <row r="137">
          <cell r="A137">
            <v>543700745</v>
          </cell>
        </row>
        <row r="138">
          <cell r="A138">
            <v>543700748</v>
          </cell>
        </row>
        <row r="139">
          <cell r="A139" t="str">
            <v>LPFB48</v>
          </cell>
        </row>
        <row r="140">
          <cell r="A140" t="str">
            <v>LPFB49</v>
          </cell>
        </row>
        <row r="141">
          <cell r="A141" t="str">
            <v>LPFB410</v>
          </cell>
        </row>
        <row r="142">
          <cell r="A142" t="str">
            <v>10SWLG12-G</v>
          </cell>
        </row>
        <row r="143">
          <cell r="A143" t="str">
            <v>200CRT-18-10</v>
          </cell>
        </row>
        <row r="144">
          <cell r="A144" t="str">
            <v>200HS-18-12</v>
          </cell>
        </row>
        <row r="145">
          <cell r="A145" t="str">
            <v>ALUMCLIP</v>
          </cell>
        </row>
        <row r="146">
          <cell r="A146" t="str">
            <v>GRAVB31Z</v>
          </cell>
        </row>
        <row r="147">
          <cell r="A147" t="str">
            <v>114W-5LB-G</v>
          </cell>
        </row>
        <row r="148">
          <cell r="A148" t="str">
            <v>GRAGGIFC29</v>
          </cell>
        </row>
        <row r="149">
          <cell r="A149" t="str">
            <v>GRAGSCSF</v>
          </cell>
        </row>
        <row r="150">
          <cell r="A150" t="str">
            <v>C32CW</v>
          </cell>
        </row>
        <row r="151">
          <cell r="A151" t="str">
            <v>HLYC-016F</v>
          </cell>
        </row>
        <row r="152">
          <cell r="A152" t="str">
            <v>HLYC-017B</v>
          </cell>
        </row>
        <row r="153">
          <cell r="A153" t="str">
            <v>HLYC-16F</v>
          </cell>
        </row>
        <row r="154">
          <cell r="A154" t="str">
            <v>HLYC-015F</v>
          </cell>
        </row>
        <row r="155">
          <cell r="A155" t="str">
            <v>HLYC-14F</v>
          </cell>
        </row>
        <row r="156">
          <cell r="A156" t="str">
            <v>HLYC-013F</v>
          </cell>
        </row>
        <row r="157">
          <cell r="A157" t="str">
            <v>HLPP-052C</v>
          </cell>
        </row>
        <row r="158">
          <cell r="A158" t="str">
            <v>HLPM-98/99/100</v>
          </cell>
        </row>
        <row r="159">
          <cell r="A159" t="str">
            <v>HLPM-097</v>
          </cell>
        </row>
        <row r="160">
          <cell r="A160" t="str">
            <v>HLYC-018F</v>
          </cell>
        </row>
        <row r="161">
          <cell r="A161" t="str">
            <v xml:space="preserve">HLYC-020F </v>
          </cell>
        </row>
        <row r="162">
          <cell r="A162" t="str">
            <v>HLYC-021F</v>
          </cell>
        </row>
        <row r="163">
          <cell r="A163" t="str">
            <v>HLYC-013F</v>
          </cell>
        </row>
        <row r="164">
          <cell r="A164" t="str">
            <v>HLYC-019F</v>
          </cell>
        </row>
        <row r="165">
          <cell r="A165" t="str">
            <v>HLYC-16F</v>
          </cell>
        </row>
        <row r="166">
          <cell r="A166" t="str">
            <v>HLYC-015F</v>
          </cell>
        </row>
        <row r="167">
          <cell r="A167" t="str">
            <v>HLYC-14F</v>
          </cell>
        </row>
        <row r="168">
          <cell r="A168" t="str">
            <v>HLPP-054C</v>
          </cell>
        </row>
        <row r="169">
          <cell r="A169" t="str">
            <v>HLPM-101/102/103</v>
          </cell>
        </row>
        <row r="170">
          <cell r="A170" t="str">
            <v>HLPM-097</v>
          </cell>
        </row>
        <row r="171">
          <cell r="A171" t="str">
            <v>GVPVE18X3001FUN</v>
          </cell>
        </row>
        <row r="172">
          <cell r="A172" t="str">
            <v>XOCR51634</v>
          </cell>
        </row>
        <row r="173">
          <cell r="A173" t="str">
            <v>ECCLQ6X-SDS</v>
          </cell>
        </row>
        <row r="174">
          <cell r="A174" t="str">
            <v>ECCRQ6X-SDS</v>
          </cell>
        </row>
        <row r="175">
          <cell r="A175" t="str">
            <v>ECCLR666HDG</v>
          </cell>
        </row>
        <row r="176">
          <cell r="A176" t="str">
            <v>ECCLL666HDG</v>
          </cell>
        </row>
        <row r="177">
          <cell r="A177" t="str">
            <v>HGU5.62/19.5</v>
          </cell>
        </row>
        <row r="178">
          <cell r="A178" t="str">
            <v>HGU5.62/21</v>
          </cell>
        </row>
        <row r="179">
          <cell r="A179" t="str">
            <v>HHGU5.62/21</v>
          </cell>
        </row>
        <row r="180">
          <cell r="A180" t="str">
            <v>HHGU7.00X-SDS/19.5OSL</v>
          </cell>
        </row>
        <row r="181">
          <cell r="A181" t="str">
            <v>MGU5.62/16.5</v>
          </cell>
        </row>
        <row r="182">
          <cell r="A182" t="str">
            <v>SDPW14500-R50</v>
          </cell>
        </row>
        <row r="183">
          <cell r="A183" t="str">
            <v>SDPW19600-R50</v>
          </cell>
        </row>
        <row r="184">
          <cell r="A184" t="str">
            <v>SDW22634-R50</v>
          </cell>
        </row>
        <row r="185">
          <cell r="A185" t="str">
            <v xml:space="preserve">SDWS22312DBB-R50 </v>
          </cell>
        </row>
        <row r="186">
          <cell r="A186" t="str">
            <v>WSWH18X8</v>
          </cell>
        </row>
        <row r="187">
          <cell r="A187" t="str">
            <v>WSWH24X9</v>
          </cell>
        </row>
      </sheetData>
      <sheetData sheetId="20"/>
      <sheetData sheetId="21"/>
      <sheetData sheetId="22"/>
      <sheetData sheetId="23"/>
      <sheetData sheetId="24"/>
      <sheetData sheetId="25">
        <row r="1">
          <cell r="C1" t="str">
            <v>Minor Category Description</v>
          </cell>
          <cell r="D1" t="str">
            <v>Item ID</v>
          </cell>
          <cell r="BA1" t="str">
            <v>PL12 Sell Price</v>
          </cell>
        </row>
        <row r="2">
          <cell r="C2" t="str">
            <v>3002 - TREATED LUMBER</v>
          </cell>
          <cell r="D2" t="str">
            <v>2416HF3TICAG</v>
          </cell>
          <cell r="BA2" t="str">
            <v/>
          </cell>
        </row>
        <row r="3">
          <cell r="C3" t="str">
            <v>3002 - TREATED LUMBER</v>
          </cell>
          <cell r="D3" t="str">
            <v>2616HF3TICAG</v>
          </cell>
          <cell r="BA3" t="str">
            <v/>
          </cell>
        </row>
        <row r="4">
          <cell r="C4" t="str">
            <v>3002 - TREATED LUMBER</v>
          </cell>
          <cell r="D4" t="str">
            <v>248HF2TICGC</v>
          </cell>
          <cell r="BA4" t="str">
            <v/>
          </cell>
        </row>
        <row r="5">
          <cell r="C5" t="str">
            <v>3002 - TREATED LUMBER</v>
          </cell>
          <cell r="D5" t="str">
            <v>2412HF2TICGC</v>
          </cell>
          <cell r="BA5" t="str">
            <v/>
          </cell>
        </row>
        <row r="6">
          <cell r="C6" t="str">
            <v>3002 - TREATED LUMBER</v>
          </cell>
          <cell r="D6" t="str">
            <v>2420HF2TICGC</v>
          </cell>
          <cell r="BA6" t="str">
            <v/>
          </cell>
        </row>
        <row r="7">
          <cell r="C7" t="str">
            <v>3002 - TREATED LUMBER</v>
          </cell>
          <cell r="D7" t="str">
            <v>268HF2TICGC</v>
          </cell>
          <cell r="BA7" t="str">
            <v/>
          </cell>
        </row>
        <row r="8">
          <cell r="C8" t="str">
            <v>3002 - TREATED LUMBER</v>
          </cell>
          <cell r="D8" t="str">
            <v>2610HF2TICGC</v>
          </cell>
          <cell r="BA8" t="str">
            <v/>
          </cell>
        </row>
        <row r="9">
          <cell r="C9" t="str">
            <v>3002 - TREATED LUMBER</v>
          </cell>
          <cell r="D9" t="str">
            <v>2612HF2TICGC</v>
          </cell>
          <cell r="BA9" t="str">
            <v/>
          </cell>
        </row>
        <row r="10">
          <cell r="C10" t="str">
            <v>3002 - TREATED LUMBER</v>
          </cell>
          <cell r="D10" t="str">
            <v>2614HF2TICGC</v>
          </cell>
          <cell r="BA10" t="str">
            <v/>
          </cell>
        </row>
        <row r="11">
          <cell r="C11" t="str">
            <v>3002 - TREATED LUMBER</v>
          </cell>
          <cell r="D11" t="str">
            <v>2616HF2TICGC</v>
          </cell>
          <cell r="BA11" t="str">
            <v/>
          </cell>
        </row>
        <row r="12">
          <cell r="C12" t="str">
            <v>3002 - TREATED LUMBER</v>
          </cell>
          <cell r="D12" t="str">
            <v>2620HF2TICGC</v>
          </cell>
          <cell r="BA12" t="str">
            <v/>
          </cell>
        </row>
        <row r="13">
          <cell r="C13" t="str">
            <v>3002 - TREATED LUMBER</v>
          </cell>
          <cell r="D13" t="str">
            <v>288HF2TICGC</v>
          </cell>
          <cell r="BA13" t="str">
            <v/>
          </cell>
        </row>
        <row r="14">
          <cell r="C14" t="str">
            <v>3002 - TREATED LUMBER</v>
          </cell>
          <cell r="D14" t="str">
            <v>2810HF2TICGC</v>
          </cell>
          <cell r="BA14" t="str">
            <v/>
          </cell>
        </row>
        <row r="15">
          <cell r="C15" t="str">
            <v>3002 - TREATED LUMBER</v>
          </cell>
          <cell r="D15" t="str">
            <v>2812HF2TICGC</v>
          </cell>
          <cell r="BA15" t="str">
            <v/>
          </cell>
        </row>
        <row r="16">
          <cell r="C16" t="str">
            <v>3002 - TREATED LUMBER</v>
          </cell>
          <cell r="D16" t="str">
            <v>2814HF2TICGC</v>
          </cell>
          <cell r="BA16" t="str">
            <v/>
          </cell>
        </row>
        <row r="17">
          <cell r="C17" t="str">
            <v>3002 - TREATED LUMBER</v>
          </cell>
          <cell r="D17" t="str">
            <v>2816HF2TICGC</v>
          </cell>
          <cell r="BA17" t="str">
            <v/>
          </cell>
        </row>
        <row r="18">
          <cell r="C18" t="str">
            <v>3002 - TREATED LUMBER</v>
          </cell>
          <cell r="D18" t="str">
            <v>2820HF2TICGC</v>
          </cell>
          <cell r="BA18" t="str">
            <v/>
          </cell>
        </row>
        <row r="19">
          <cell r="C19" t="str">
            <v>3002 - TREATED LUMBER</v>
          </cell>
          <cell r="D19" t="str">
            <v>2108HF2TICGC</v>
          </cell>
          <cell r="BA19" t="str">
            <v/>
          </cell>
        </row>
        <row r="20">
          <cell r="C20" t="str">
            <v>3002 - TREATED LUMBER</v>
          </cell>
          <cell r="D20" t="str">
            <v>21010HF2TICGC</v>
          </cell>
          <cell r="BA20" t="str">
            <v/>
          </cell>
        </row>
        <row r="21">
          <cell r="C21" t="str">
            <v>3002 - TREATED LUMBER</v>
          </cell>
          <cell r="D21" t="str">
            <v>21012HF2TICGC</v>
          </cell>
          <cell r="BA21" t="str">
            <v/>
          </cell>
        </row>
        <row r="22">
          <cell r="C22" t="str">
            <v>3002 - TREATED LUMBER</v>
          </cell>
          <cell r="D22" t="str">
            <v>21016HF2TICGC</v>
          </cell>
          <cell r="BA22" t="str">
            <v/>
          </cell>
        </row>
        <row r="23">
          <cell r="C23" t="str">
            <v>3002 - TREATED LUMBER</v>
          </cell>
          <cell r="D23" t="str">
            <v>21020HF2TICGC</v>
          </cell>
          <cell r="BA23" t="str">
            <v/>
          </cell>
        </row>
        <row r="24">
          <cell r="C24" t="str">
            <v>3002 - TREATED LUMBER</v>
          </cell>
          <cell r="D24" t="str">
            <v>2128HF2TICGC</v>
          </cell>
          <cell r="BA24" t="str">
            <v/>
          </cell>
        </row>
        <row r="25">
          <cell r="C25" t="str">
            <v>3002 - TREATED LUMBER</v>
          </cell>
          <cell r="D25" t="str">
            <v>21210HF2TICGC</v>
          </cell>
          <cell r="BA25" t="str">
            <v/>
          </cell>
        </row>
        <row r="26">
          <cell r="C26" t="str">
            <v>3002 - TREATED LUMBER</v>
          </cell>
          <cell r="D26" t="str">
            <v>21212HF2TICGC</v>
          </cell>
          <cell r="BA26" t="str">
            <v/>
          </cell>
        </row>
        <row r="27">
          <cell r="C27" t="str">
            <v>3002 - TREATED LUMBER</v>
          </cell>
          <cell r="D27" t="str">
            <v>21216HF2TICGC</v>
          </cell>
          <cell r="BA27" t="str">
            <v/>
          </cell>
        </row>
        <row r="28">
          <cell r="C28" t="str">
            <v>3002 - TREATED LUMBER</v>
          </cell>
          <cell r="D28" t="str">
            <v>21220HF2TICGC</v>
          </cell>
          <cell r="BA28" t="str">
            <v/>
          </cell>
        </row>
        <row r="29">
          <cell r="C29" t="str">
            <v>2505 - ALL STUDS</v>
          </cell>
          <cell r="D29" t="str">
            <v>249258DF</v>
          </cell>
          <cell r="BA29" t="str">
            <v/>
          </cell>
        </row>
        <row r="30">
          <cell r="C30" t="str">
            <v>2505 - ALL STUDS</v>
          </cell>
          <cell r="D30" t="str">
            <v>269258DF</v>
          </cell>
          <cell r="BA30" t="str">
            <v/>
          </cell>
        </row>
        <row r="31">
          <cell r="C31" t="str">
            <v>2505 - ALL STUDS</v>
          </cell>
          <cell r="D31" t="str">
            <v>2410458DF</v>
          </cell>
          <cell r="BA31" t="str">
            <v/>
          </cell>
        </row>
        <row r="32">
          <cell r="C32" t="str">
            <v>2505 - ALL STUDS</v>
          </cell>
          <cell r="D32" t="str">
            <v>2610458DF</v>
          </cell>
          <cell r="BA32" t="str">
            <v/>
          </cell>
        </row>
        <row r="33">
          <cell r="C33" t="str">
            <v>2505 - ALL STUDS</v>
          </cell>
          <cell r="D33" t="str">
            <v>2411658DF</v>
          </cell>
          <cell r="BA33" t="str">
            <v/>
          </cell>
        </row>
        <row r="34">
          <cell r="C34" t="str">
            <v>2505 - ALL STUDS</v>
          </cell>
          <cell r="D34" t="str">
            <v>2611658DF</v>
          </cell>
          <cell r="BA34" t="str">
            <v/>
          </cell>
        </row>
        <row r="35">
          <cell r="C35" t="str">
            <v>2503 - DOUG FIR-LUMBER</v>
          </cell>
          <cell r="D35" t="str">
            <v>24DF</v>
          </cell>
          <cell r="BA35" t="str">
            <v/>
          </cell>
        </row>
        <row r="36">
          <cell r="C36" t="str">
            <v>2503 - DOUG FIR-LUMBER</v>
          </cell>
          <cell r="D36" t="str">
            <v>248DF</v>
          </cell>
          <cell r="BA36" t="str">
            <v/>
          </cell>
        </row>
        <row r="37">
          <cell r="C37" t="str">
            <v>2503 - DOUG FIR-LUMBER</v>
          </cell>
          <cell r="D37" t="str">
            <v>2410DF</v>
          </cell>
          <cell r="BA37" t="str">
            <v/>
          </cell>
        </row>
        <row r="38">
          <cell r="C38" t="str">
            <v>2503 - DOUG FIR-LUMBER</v>
          </cell>
          <cell r="D38" t="str">
            <v>2412DF</v>
          </cell>
          <cell r="BA38" t="str">
            <v/>
          </cell>
        </row>
        <row r="39">
          <cell r="C39" t="str">
            <v>2503 - DOUG FIR-LUMBER</v>
          </cell>
          <cell r="D39" t="str">
            <v>2414DF</v>
          </cell>
          <cell r="BA39" t="str">
            <v/>
          </cell>
        </row>
        <row r="40">
          <cell r="C40" t="str">
            <v>2503 - DOUG FIR-LUMBER</v>
          </cell>
          <cell r="D40" t="str">
            <v>2416DF</v>
          </cell>
          <cell r="BA40" t="str">
            <v/>
          </cell>
        </row>
        <row r="41">
          <cell r="C41" t="str">
            <v>2503 - DOUG FIR-LUMBER</v>
          </cell>
          <cell r="D41" t="str">
            <v>2418DF</v>
          </cell>
          <cell r="BA41" t="str">
            <v/>
          </cell>
        </row>
        <row r="42">
          <cell r="C42" t="str">
            <v>2503 - DOUG FIR-LUMBER</v>
          </cell>
          <cell r="D42" t="str">
            <v>2420DF</v>
          </cell>
          <cell r="BA42" t="str">
            <v/>
          </cell>
        </row>
        <row r="43">
          <cell r="C43" t="str">
            <v>2503 - DOUG FIR-LUMBER</v>
          </cell>
          <cell r="D43" t="str">
            <v>26DF2</v>
          </cell>
          <cell r="BA43" t="str">
            <v/>
          </cell>
        </row>
        <row r="44">
          <cell r="C44" t="str">
            <v>2503 - DOUG FIR-LUMBER</v>
          </cell>
          <cell r="D44" t="str">
            <v>268DF2</v>
          </cell>
          <cell r="BA44" t="str">
            <v/>
          </cell>
        </row>
        <row r="45">
          <cell r="C45" t="str">
            <v>2503 - DOUG FIR-LUMBER</v>
          </cell>
          <cell r="D45" t="str">
            <v>2610DF2</v>
          </cell>
          <cell r="BA45" t="str">
            <v/>
          </cell>
        </row>
        <row r="46">
          <cell r="C46" t="str">
            <v>2503 - DOUG FIR-LUMBER</v>
          </cell>
          <cell r="D46" t="str">
            <v>2612DF2</v>
          </cell>
          <cell r="BA46" t="str">
            <v/>
          </cell>
        </row>
        <row r="47">
          <cell r="C47" t="str">
            <v>2503 - DOUG FIR-LUMBER</v>
          </cell>
          <cell r="D47" t="str">
            <v>2614DF2</v>
          </cell>
          <cell r="BA47" t="str">
            <v/>
          </cell>
        </row>
        <row r="48">
          <cell r="C48" t="str">
            <v>2503 - DOUG FIR-LUMBER</v>
          </cell>
          <cell r="D48" t="str">
            <v>2616DF2</v>
          </cell>
          <cell r="BA48" t="str">
            <v/>
          </cell>
        </row>
        <row r="49">
          <cell r="C49" t="str">
            <v>2503 - DOUG FIR-LUMBER</v>
          </cell>
          <cell r="D49" t="str">
            <v>2618DF2</v>
          </cell>
          <cell r="BA49" t="str">
            <v/>
          </cell>
        </row>
        <row r="50">
          <cell r="C50" t="str">
            <v>2503 - DOUG FIR-LUMBER</v>
          </cell>
          <cell r="D50" t="str">
            <v>2620DF2</v>
          </cell>
          <cell r="BA50" t="str">
            <v/>
          </cell>
        </row>
        <row r="51">
          <cell r="C51" t="str">
            <v>2503 - DOUG FIR-LUMBER</v>
          </cell>
          <cell r="D51" t="str">
            <v>28DF2</v>
          </cell>
          <cell r="BA51" t="str">
            <v/>
          </cell>
        </row>
        <row r="52">
          <cell r="C52" t="str">
            <v>2503 - DOUG FIR-LUMBER</v>
          </cell>
          <cell r="D52" t="str">
            <v>288DF2</v>
          </cell>
          <cell r="BA52" t="str">
            <v/>
          </cell>
        </row>
        <row r="53">
          <cell r="C53" t="str">
            <v>2503 - DOUG FIR-LUMBER</v>
          </cell>
          <cell r="D53" t="str">
            <v>2810DF2</v>
          </cell>
          <cell r="BA53" t="str">
            <v/>
          </cell>
        </row>
        <row r="54">
          <cell r="C54" t="str">
            <v>2503 - DOUG FIR-LUMBER</v>
          </cell>
          <cell r="D54" t="str">
            <v>2812DF2</v>
          </cell>
          <cell r="BA54" t="str">
            <v/>
          </cell>
        </row>
        <row r="55">
          <cell r="C55" t="str">
            <v>2503 - DOUG FIR-LUMBER</v>
          </cell>
          <cell r="D55" t="str">
            <v>2814DF2</v>
          </cell>
          <cell r="BA55" t="str">
            <v/>
          </cell>
        </row>
        <row r="56">
          <cell r="C56" t="str">
            <v>2503 - DOUG FIR-LUMBER</v>
          </cell>
          <cell r="D56" t="str">
            <v>2816DF2</v>
          </cell>
          <cell r="BA56" t="str">
            <v/>
          </cell>
        </row>
        <row r="57">
          <cell r="C57" t="str">
            <v>2503 - DOUG FIR-LUMBER</v>
          </cell>
          <cell r="D57" t="str">
            <v>2818DF2</v>
          </cell>
          <cell r="BA57" t="str">
            <v/>
          </cell>
        </row>
        <row r="58">
          <cell r="C58" t="str">
            <v>2503 - DOUG FIR-LUMBER</v>
          </cell>
          <cell r="D58" t="str">
            <v>2820DF2</v>
          </cell>
          <cell r="BA58" t="str">
            <v/>
          </cell>
        </row>
        <row r="59">
          <cell r="C59" t="str">
            <v>2503 - DOUG FIR-LUMBER</v>
          </cell>
          <cell r="D59" t="str">
            <v>210DF2</v>
          </cell>
          <cell r="BA59" t="str">
            <v/>
          </cell>
        </row>
        <row r="60">
          <cell r="C60" t="str">
            <v>2503 - DOUG FIR-LUMBER</v>
          </cell>
          <cell r="D60" t="str">
            <v>2108DF2</v>
          </cell>
          <cell r="BA60" t="str">
            <v/>
          </cell>
        </row>
        <row r="61">
          <cell r="C61" t="str">
            <v>2503 - DOUG FIR-LUMBER</v>
          </cell>
          <cell r="D61" t="str">
            <v>21010DF2</v>
          </cell>
          <cell r="BA61" t="str">
            <v/>
          </cell>
        </row>
        <row r="62">
          <cell r="C62" t="str">
            <v>2503 - DOUG FIR-LUMBER</v>
          </cell>
          <cell r="D62" t="str">
            <v>21012DF2</v>
          </cell>
          <cell r="BA62" t="str">
            <v/>
          </cell>
        </row>
        <row r="63">
          <cell r="C63" t="str">
            <v>2503 - DOUG FIR-LUMBER</v>
          </cell>
          <cell r="D63" t="str">
            <v>21014DF2</v>
          </cell>
          <cell r="BA63" t="str">
            <v/>
          </cell>
        </row>
        <row r="64">
          <cell r="C64" t="str">
            <v>2503 - DOUG FIR-LUMBER</v>
          </cell>
          <cell r="D64" t="str">
            <v>21016DF2</v>
          </cell>
          <cell r="BA64" t="str">
            <v/>
          </cell>
        </row>
        <row r="65">
          <cell r="C65" t="str">
            <v>2503 - DOUG FIR-LUMBER</v>
          </cell>
          <cell r="D65" t="str">
            <v>21018DF2</v>
          </cell>
          <cell r="BA65" t="str">
            <v/>
          </cell>
        </row>
        <row r="66">
          <cell r="C66" t="str">
            <v>2503 - DOUG FIR-LUMBER</v>
          </cell>
          <cell r="D66" t="str">
            <v>21020DF2</v>
          </cell>
          <cell r="BA66" t="str">
            <v/>
          </cell>
        </row>
        <row r="67">
          <cell r="C67" t="str">
            <v>2503 - DOUG FIR-LUMBER</v>
          </cell>
          <cell r="D67" t="str">
            <v>212DF2</v>
          </cell>
          <cell r="BA67" t="str">
            <v/>
          </cell>
        </row>
        <row r="68">
          <cell r="C68" t="str">
            <v>2503 - DOUG FIR-LUMBER</v>
          </cell>
          <cell r="D68" t="str">
            <v>2128DF2</v>
          </cell>
          <cell r="BA68" t="str">
            <v/>
          </cell>
        </row>
        <row r="69">
          <cell r="C69" t="str">
            <v>2503 - DOUG FIR-LUMBER</v>
          </cell>
          <cell r="D69" t="str">
            <v>21210DF2</v>
          </cell>
          <cell r="BA69" t="str">
            <v/>
          </cell>
        </row>
        <row r="70">
          <cell r="C70" t="str">
            <v>2503 - DOUG FIR-LUMBER</v>
          </cell>
          <cell r="D70" t="str">
            <v>21212DF2</v>
          </cell>
          <cell r="BA70" t="str">
            <v/>
          </cell>
        </row>
        <row r="71">
          <cell r="C71" t="str">
            <v>2503 - DOUG FIR-LUMBER</v>
          </cell>
          <cell r="D71" t="str">
            <v>21214DF2</v>
          </cell>
          <cell r="BA71" t="str">
            <v/>
          </cell>
        </row>
        <row r="72">
          <cell r="C72" t="str">
            <v>2503 - DOUG FIR-LUMBER</v>
          </cell>
          <cell r="D72" t="str">
            <v>21216DF2</v>
          </cell>
          <cell r="BA72" t="str">
            <v/>
          </cell>
        </row>
        <row r="73">
          <cell r="C73" t="str">
            <v>2503 - DOUG FIR-LUMBER</v>
          </cell>
          <cell r="D73" t="str">
            <v>21218DF2</v>
          </cell>
          <cell r="BA73" t="str">
            <v/>
          </cell>
        </row>
        <row r="74">
          <cell r="C74" t="str">
            <v>2503 - DOUG FIR-LUMBER</v>
          </cell>
          <cell r="D74" t="str">
            <v>21220DF2</v>
          </cell>
          <cell r="BA74" t="str">
            <v/>
          </cell>
        </row>
        <row r="75">
          <cell r="C75" t="str">
            <v>3506 - SHEATHING OSB</v>
          </cell>
          <cell r="D75" t="str">
            <v>716OSB</v>
          </cell>
          <cell r="BA75" t="str">
            <v/>
          </cell>
        </row>
        <row r="76">
          <cell r="C76" t="str">
            <v>3506 - SHEATHING OSB</v>
          </cell>
          <cell r="D76" t="str">
            <v>716OSB9</v>
          </cell>
          <cell r="BA76" t="str">
            <v/>
          </cell>
        </row>
        <row r="77">
          <cell r="C77" t="str">
            <v>3506 - SHEATHING OSB</v>
          </cell>
          <cell r="D77" t="str">
            <v>716OSB10</v>
          </cell>
          <cell r="BA77" t="str">
            <v/>
          </cell>
        </row>
        <row r="78">
          <cell r="C78" t="str">
            <v>3507 - UNDERLAYMENT OSB</v>
          </cell>
          <cell r="D78" t="str">
            <v>34TGOSBWGOFF</v>
          </cell>
          <cell r="BA78" t="str">
            <v/>
          </cell>
        </row>
        <row r="79">
          <cell r="C79" t="str">
            <v>3507 - UNDERLAYMENT OSB</v>
          </cell>
          <cell r="D79" t="str">
            <v>78TGOSBWGOFF</v>
          </cell>
          <cell r="BA79" t="str">
            <v/>
          </cell>
        </row>
        <row r="80">
          <cell r="C80" t="str">
            <v>3507 - UNDERLAYMENT OSB</v>
          </cell>
          <cell r="D80" t="str">
            <v>118TGOSBWGOFF</v>
          </cell>
          <cell r="BA80" t="str">
            <v/>
          </cell>
        </row>
        <row r="81">
          <cell r="C81" t="str">
            <v>2201 - HEM/DOUG FIR-TIMBERS/BEAMS</v>
          </cell>
          <cell r="D81" t="str">
            <v>44GDF</v>
          </cell>
          <cell r="BA81" t="str">
            <v/>
          </cell>
        </row>
        <row r="82">
          <cell r="C82" t="str">
            <v>2201 - HEM/DOUG FIR-TIMBERS/BEAMS</v>
          </cell>
          <cell r="D82" t="str">
            <v>448GDF</v>
          </cell>
          <cell r="BA82" t="str">
            <v/>
          </cell>
        </row>
        <row r="83">
          <cell r="C83" t="str">
            <v>2201 - HEM/DOUG FIR-TIMBERS/BEAMS</v>
          </cell>
          <cell r="D83" t="str">
            <v>4410GDF</v>
          </cell>
          <cell r="BA83" t="str">
            <v/>
          </cell>
        </row>
        <row r="84">
          <cell r="C84" t="str">
            <v>2201 - HEM/DOUG FIR-TIMBERS/BEAMS</v>
          </cell>
          <cell r="D84" t="str">
            <v>4412GDF</v>
          </cell>
          <cell r="BA84" t="str">
            <v/>
          </cell>
        </row>
        <row r="85">
          <cell r="C85" t="str">
            <v>2201 - HEM/DOUG FIR-TIMBERS/BEAMS</v>
          </cell>
          <cell r="D85" t="str">
            <v>4416GDF</v>
          </cell>
          <cell r="BA85" t="str">
            <v/>
          </cell>
        </row>
        <row r="86">
          <cell r="C86" t="str">
            <v>2201 - HEM/DOUG FIR-TIMBERS/BEAMS</v>
          </cell>
          <cell r="D86" t="str">
            <v>46GDF2</v>
          </cell>
          <cell r="BA86" t="str">
            <v/>
          </cell>
        </row>
        <row r="87">
          <cell r="C87" t="str">
            <v>2201 - HEM/DOUG FIR-TIMBERS/BEAMS</v>
          </cell>
          <cell r="D87" t="str">
            <v>468GDF2</v>
          </cell>
          <cell r="BA87" t="str">
            <v/>
          </cell>
        </row>
        <row r="88">
          <cell r="C88" t="str">
            <v>2201 - HEM/DOUG FIR-TIMBERS/BEAMS</v>
          </cell>
          <cell r="D88" t="str">
            <v>4610GDF2</v>
          </cell>
          <cell r="BA88" t="str">
            <v/>
          </cell>
        </row>
        <row r="89">
          <cell r="C89" t="str">
            <v>2201 - HEM/DOUG FIR-TIMBERS/BEAMS</v>
          </cell>
          <cell r="D89" t="str">
            <v>4612GDF2</v>
          </cell>
          <cell r="BA89" t="str">
            <v/>
          </cell>
        </row>
        <row r="90">
          <cell r="C90" t="str">
            <v>2201 - HEM/DOUG FIR-TIMBERS/BEAMS</v>
          </cell>
          <cell r="D90" t="str">
            <v>4614GDF2</v>
          </cell>
          <cell r="BA90" t="str">
            <v/>
          </cell>
        </row>
        <row r="91">
          <cell r="C91" t="str">
            <v>2201 - HEM/DOUG FIR-TIMBERS/BEAMS</v>
          </cell>
          <cell r="D91" t="str">
            <v>4616GDF2</v>
          </cell>
          <cell r="BA91" t="str">
            <v/>
          </cell>
        </row>
        <row r="92">
          <cell r="C92" t="str">
            <v>2201 - HEM/DOUG FIR-TIMBERS/BEAMS</v>
          </cell>
          <cell r="D92" t="str">
            <v>4618GDF2</v>
          </cell>
          <cell r="BA92" t="str">
            <v/>
          </cell>
        </row>
        <row r="93">
          <cell r="C93" t="str">
            <v>2201 - HEM/DOUG FIR-TIMBERS/BEAMS</v>
          </cell>
          <cell r="D93" t="str">
            <v>4620GDF2</v>
          </cell>
          <cell r="BA93" t="str">
            <v/>
          </cell>
        </row>
        <row r="94">
          <cell r="C94" t="str">
            <v>2201 - HEM/DOUG FIR-TIMBERS/BEAMS</v>
          </cell>
          <cell r="D94" t="str">
            <v>48GDF2</v>
          </cell>
          <cell r="BA94" t="str">
            <v/>
          </cell>
        </row>
        <row r="95">
          <cell r="C95" t="str">
            <v>2201 - HEM/DOUG FIR-TIMBERS/BEAMS</v>
          </cell>
          <cell r="D95" t="str">
            <v>488GDF2</v>
          </cell>
          <cell r="BA95" t="str">
            <v/>
          </cell>
        </row>
        <row r="96">
          <cell r="C96" t="str">
            <v>2201 - HEM/DOUG FIR-TIMBERS/BEAMS</v>
          </cell>
          <cell r="D96" t="str">
            <v>4810GDF2</v>
          </cell>
          <cell r="BA96" t="str">
            <v/>
          </cell>
        </row>
        <row r="97">
          <cell r="C97" t="str">
            <v>2201 - HEM/DOUG FIR-TIMBERS/BEAMS</v>
          </cell>
          <cell r="D97" t="str">
            <v>4812GDF2</v>
          </cell>
          <cell r="BA97" t="str">
            <v/>
          </cell>
        </row>
        <row r="98">
          <cell r="C98" t="str">
            <v>2201 - HEM/DOUG FIR-TIMBERS/BEAMS</v>
          </cell>
          <cell r="D98" t="str">
            <v>4814GDF2</v>
          </cell>
          <cell r="BA98" t="str">
            <v/>
          </cell>
        </row>
        <row r="99">
          <cell r="C99" t="str">
            <v>2201 - HEM/DOUG FIR-TIMBERS/BEAMS</v>
          </cell>
          <cell r="D99" t="str">
            <v>4816GDF2</v>
          </cell>
          <cell r="BA99" t="str">
            <v/>
          </cell>
        </row>
        <row r="100">
          <cell r="C100" t="str">
            <v>2201 - HEM/DOUG FIR-TIMBERS/BEAMS</v>
          </cell>
          <cell r="D100" t="str">
            <v>4820GDF2</v>
          </cell>
          <cell r="BA100" t="str">
            <v/>
          </cell>
        </row>
        <row r="101">
          <cell r="C101" t="str">
            <v>2201 - HEM/DOUG FIR-TIMBERS/BEAMS</v>
          </cell>
          <cell r="D101" t="str">
            <v>410GDF2</v>
          </cell>
          <cell r="BA101" t="str">
            <v/>
          </cell>
        </row>
        <row r="102">
          <cell r="C102" t="str">
            <v>2201 - HEM/DOUG FIR-TIMBERS/BEAMS</v>
          </cell>
          <cell r="D102" t="str">
            <v>4108GDF2</v>
          </cell>
          <cell r="BA102" t="str">
            <v/>
          </cell>
        </row>
        <row r="103">
          <cell r="C103" t="str">
            <v>2201 - HEM/DOUG FIR-TIMBERS/BEAMS</v>
          </cell>
          <cell r="D103" t="str">
            <v>41010GDF2</v>
          </cell>
          <cell r="BA103" t="str">
            <v/>
          </cell>
        </row>
        <row r="104">
          <cell r="C104" t="str">
            <v>2201 - HEM/DOUG FIR-TIMBERS/BEAMS</v>
          </cell>
          <cell r="D104" t="str">
            <v>41012GDF2</v>
          </cell>
          <cell r="BA104" t="str">
            <v/>
          </cell>
        </row>
        <row r="105">
          <cell r="C105" t="str">
            <v>2201 - HEM/DOUG FIR-TIMBERS/BEAMS</v>
          </cell>
          <cell r="D105" t="str">
            <v>41014GDF2</v>
          </cell>
          <cell r="BA105" t="str">
            <v/>
          </cell>
        </row>
        <row r="106">
          <cell r="C106" t="str">
            <v>2201 - HEM/DOUG FIR-TIMBERS/BEAMS</v>
          </cell>
          <cell r="D106" t="str">
            <v>41016GDF2</v>
          </cell>
          <cell r="BA106" t="str">
            <v/>
          </cell>
        </row>
        <row r="107">
          <cell r="C107" t="str">
            <v>2201 - HEM/DOUG FIR-TIMBERS/BEAMS</v>
          </cell>
          <cell r="D107" t="str">
            <v>41020GDF2</v>
          </cell>
          <cell r="BA107" t="str">
            <v/>
          </cell>
        </row>
        <row r="108">
          <cell r="C108" t="str">
            <v>2201 - HEM/DOUG FIR-TIMBERS/BEAMS</v>
          </cell>
          <cell r="D108" t="str">
            <v>412GDF2</v>
          </cell>
          <cell r="BA108" t="str">
            <v/>
          </cell>
        </row>
        <row r="109">
          <cell r="C109" t="str">
            <v>2201 - HEM/DOUG FIR-TIMBERS/BEAMS</v>
          </cell>
          <cell r="D109" t="str">
            <v>4128GDF2</v>
          </cell>
          <cell r="BA109" t="str">
            <v/>
          </cell>
        </row>
        <row r="110">
          <cell r="C110" t="str">
            <v>2201 - HEM/DOUG FIR-TIMBERS/BEAMS</v>
          </cell>
          <cell r="D110" t="str">
            <v>41210GDF2</v>
          </cell>
          <cell r="BA110" t="str">
            <v/>
          </cell>
        </row>
        <row r="111">
          <cell r="C111" t="str">
            <v>2201 - HEM/DOUG FIR-TIMBERS/BEAMS</v>
          </cell>
          <cell r="D111" t="str">
            <v>41212GDF2</v>
          </cell>
          <cell r="BA111" t="str">
            <v/>
          </cell>
        </row>
        <row r="112">
          <cell r="C112" t="str">
            <v>2201 - HEM/DOUG FIR-TIMBERS/BEAMS</v>
          </cell>
          <cell r="D112" t="str">
            <v>41214GDF2</v>
          </cell>
          <cell r="BA112" t="str">
            <v/>
          </cell>
        </row>
        <row r="113">
          <cell r="C113" t="str">
            <v>2201 - HEM/DOUG FIR-TIMBERS/BEAMS</v>
          </cell>
          <cell r="D113" t="str">
            <v>41216GDF2</v>
          </cell>
          <cell r="BA113" t="str">
            <v/>
          </cell>
        </row>
        <row r="114">
          <cell r="C114" t="str">
            <v>2201 - HEM/DOUG FIR-TIMBERS/BEAMS</v>
          </cell>
          <cell r="D114" t="str">
            <v>41220GDF2</v>
          </cell>
          <cell r="BA114" t="str">
            <v/>
          </cell>
        </row>
        <row r="115">
          <cell r="C115">
            <v>0</v>
          </cell>
          <cell r="BA115" t="str">
            <v/>
          </cell>
        </row>
        <row r="116">
          <cell r="C116">
            <v>0</v>
          </cell>
          <cell r="BA116" t="str">
            <v/>
          </cell>
        </row>
        <row r="117">
          <cell r="C117">
            <v>0</v>
          </cell>
          <cell r="BA117" t="str">
            <v/>
          </cell>
        </row>
        <row r="118">
          <cell r="C118">
            <v>0</v>
          </cell>
          <cell r="BA118" t="str">
            <v/>
          </cell>
        </row>
        <row r="119">
          <cell r="C119">
            <v>0</v>
          </cell>
          <cell r="BA119" t="str">
            <v/>
          </cell>
        </row>
        <row r="120">
          <cell r="C120">
            <v>0</v>
          </cell>
          <cell r="BA120" t="str">
            <v/>
          </cell>
        </row>
        <row r="121">
          <cell r="C121">
            <v>0</v>
          </cell>
          <cell r="BA121" t="str">
            <v/>
          </cell>
        </row>
        <row r="122">
          <cell r="C122">
            <v>0</v>
          </cell>
          <cell r="BA122" t="str">
            <v/>
          </cell>
        </row>
        <row r="123">
          <cell r="C123">
            <v>0</v>
          </cell>
          <cell r="BA123" t="str">
            <v/>
          </cell>
        </row>
        <row r="124">
          <cell r="C124">
            <v>0</v>
          </cell>
          <cell r="BA124" t="str">
            <v/>
          </cell>
        </row>
        <row r="125">
          <cell r="C125">
            <v>0</v>
          </cell>
          <cell r="BA125" t="str">
            <v/>
          </cell>
        </row>
        <row r="126">
          <cell r="C126">
            <v>0</v>
          </cell>
          <cell r="BA126" t="str">
            <v/>
          </cell>
        </row>
        <row r="127">
          <cell r="C127">
            <v>0</v>
          </cell>
          <cell r="BA127" t="str">
            <v/>
          </cell>
        </row>
        <row r="128">
          <cell r="C128">
            <v>0</v>
          </cell>
          <cell r="BA128" t="str">
            <v/>
          </cell>
        </row>
        <row r="129">
          <cell r="C129">
            <v>0</v>
          </cell>
          <cell r="BA129" t="str">
            <v/>
          </cell>
        </row>
        <row r="130">
          <cell r="C130">
            <v>0</v>
          </cell>
          <cell r="BA130" t="str">
            <v/>
          </cell>
        </row>
        <row r="131">
          <cell r="C131">
            <v>0</v>
          </cell>
          <cell r="BA131" t="str">
            <v/>
          </cell>
        </row>
        <row r="132">
          <cell r="C132">
            <v>0</v>
          </cell>
          <cell r="BA132" t="str">
            <v/>
          </cell>
        </row>
        <row r="133">
          <cell r="C133">
            <v>0</v>
          </cell>
          <cell r="BA133" t="str">
            <v/>
          </cell>
        </row>
        <row r="134">
          <cell r="C134">
            <v>0</v>
          </cell>
          <cell r="BA134" t="str">
            <v/>
          </cell>
        </row>
        <row r="135">
          <cell r="C135">
            <v>0</v>
          </cell>
          <cell r="BA135" t="str">
            <v/>
          </cell>
        </row>
        <row r="136">
          <cell r="C136">
            <v>0</v>
          </cell>
          <cell r="BA136" t="str">
            <v/>
          </cell>
        </row>
        <row r="137">
          <cell r="C137">
            <v>0</v>
          </cell>
          <cell r="BA137" t="str">
            <v/>
          </cell>
        </row>
        <row r="138">
          <cell r="C138">
            <v>0</v>
          </cell>
          <cell r="BA138" t="str">
            <v/>
          </cell>
        </row>
        <row r="139">
          <cell r="C139">
            <v>0</v>
          </cell>
          <cell r="BA139" t="str">
            <v/>
          </cell>
        </row>
        <row r="140">
          <cell r="C140">
            <v>0</v>
          </cell>
          <cell r="BA140" t="str">
            <v/>
          </cell>
        </row>
        <row r="141">
          <cell r="C141">
            <v>0</v>
          </cell>
          <cell r="BA141" t="str">
            <v/>
          </cell>
        </row>
        <row r="142">
          <cell r="C142">
            <v>0</v>
          </cell>
          <cell r="BA142" t="str">
            <v/>
          </cell>
        </row>
        <row r="143">
          <cell r="BA143" t="str">
            <v/>
          </cell>
        </row>
        <row r="144">
          <cell r="C144" t="str">
            <v>Minor Category Description</v>
          </cell>
          <cell r="D144" t="str">
            <v>Item ID</v>
          </cell>
          <cell r="BA144" t="str">
            <v>PL12 Sell Price</v>
          </cell>
        </row>
        <row r="145">
          <cell r="C145" t="str">
            <v>2001 - I JOISTS</v>
          </cell>
          <cell r="D145" t="str">
            <v>RB1240SLF</v>
          </cell>
          <cell r="BA145">
            <v>3.72</v>
          </cell>
        </row>
        <row r="146">
          <cell r="C146" t="str">
            <v>2001 - I JOISTS</v>
          </cell>
          <cell r="D146" t="str">
            <v>RB127LF</v>
          </cell>
          <cell r="BA146">
            <v>5.09</v>
          </cell>
        </row>
        <row r="147">
          <cell r="C147" t="str">
            <v>2001 - I JOISTS</v>
          </cell>
          <cell r="D147" t="str">
            <v>RB147LF</v>
          </cell>
          <cell r="BA147">
            <v>5.29</v>
          </cell>
        </row>
        <row r="148">
          <cell r="C148" t="str">
            <v>2001 - I JOISTS</v>
          </cell>
          <cell r="D148" t="str">
            <v>RB167LF</v>
          </cell>
          <cell r="BA148">
            <v>5.48</v>
          </cell>
        </row>
        <row r="149">
          <cell r="C149" t="str">
            <v>2001 - I JOISTS</v>
          </cell>
          <cell r="D149" t="str">
            <v>RB129LF</v>
          </cell>
          <cell r="BA149">
            <v>6.62</v>
          </cell>
        </row>
        <row r="150">
          <cell r="C150" t="str">
            <v>2001 - I JOISTS</v>
          </cell>
          <cell r="D150" t="str">
            <v>RB149LF</v>
          </cell>
          <cell r="BA150">
            <v>6.84</v>
          </cell>
        </row>
        <row r="151">
          <cell r="C151" t="str">
            <v>2001 - I JOISTS</v>
          </cell>
          <cell r="D151" t="str">
            <v>RB169LF</v>
          </cell>
          <cell r="BA151">
            <v>7.04</v>
          </cell>
        </row>
        <row r="152">
          <cell r="C152" t="str">
            <v>2001 - I JOISTS</v>
          </cell>
          <cell r="D152" t="str">
            <v>RB124LF</v>
          </cell>
          <cell r="BA152">
            <v>3.49</v>
          </cell>
        </row>
        <row r="153">
          <cell r="C153" t="str">
            <v>2001 - I JOISTS</v>
          </cell>
          <cell r="D153" t="str">
            <v>RB102LF</v>
          </cell>
          <cell r="BA153">
            <v>2.89</v>
          </cell>
        </row>
        <row r="154">
          <cell r="C154" t="str">
            <v>2001 - I JOISTS</v>
          </cell>
          <cell r="D154" t="str">
            <v>RB122LF</v>
          </cell>
          <cell r="BA154">
            <v>3.02</v>
          </cell>
        </row>
        <row r="155">
          <cell r="C155" t="str">
            <v>2001 - I JOISTS</v>
          </cell>
          <cell r="D155" t="str">
            <v>RB1040LF</v>
          </cell>
          <cell r="BA155">
            <v>3.52</v>
          </cell>
        </row>
        <row r="156">
          <cell r="C156" t="str">
            <v>2001 - I JOISTS</v>
          </cell>
          <cell r="D156" t="str">
            <v>RB1240LF</v>
          </cell>
          <cell r="BA156">
            <v>3.72</v>
          </cell>
        </row>
        <row r="157">
          <cell r="C157" t="str">
            <v>2001 - I JOISTS</v>
          </cell>
          <cell r="D157" t="str">
            <v>RB1440LF</v>
          </cell>
          <cell r="BA157">
            <v>3.84</v>
          </cell>
        </row>
        <row r="158">
          <cell r="C158" t="str">
            <v>2003 - LVL (LAMINATED VENEER LUMBER)</v>
          </cell>
          <cell r="D158" t="str">
            <v>7RB20LVL</v>
          </cell>
          <cell r="BA158">
            <v>4.1900000000000004</v>
          </cell>
        </row>
        <row r="159">
          <cell r="C159" t="str">
            <v>2003 - LVL (LAMINATED VENEER LUMBER)</v>
          </cell>
          <cell r="D159" t="str">
            <v>10RB20LVL</v>
          </cell>
          <cell r="BA159">
            <v>5.46</v>
          </cell>
        </row>
        <row r="160">
          <cell r="C160" t="str">
            <v>2003 - LVL (LAMINATED VENEER LUMBER)</v>
          </cell>
          <cell r="D160" t="str">
            <v>12RB20LVL</v>
          </cell>
          <cell r="BA160">
            <v>6.81</v>
          </cell>
        </row>
        <row r="161">
          <cell r="C161" t="str">
            <v>2003 - LVL (LAMINATED VENEER LUMBER)</v>
          </cell>
          <cell r="D161" t="str">
            <v>14RB20LVL</v>
          </cell>
          <cell r="BA161">
            <v>8.64</v>
          </cell>
        </row>
        <row r="162">
          <cell r="C162" t="str">
            <v>2003 - LVL (LAMINATED VENEER LUMBER)</v>
          </cell>
          <cell r="D162" t="str">
            <v>16RB20LVL</v>
          </cell>
          <cell r="BA162">
            <v>9.89</v>
          </cell>
        </row>
        <row r="163">
          <cell r="C163" t="str">
            <v>2003 - LVL (LAMINATED VENEER LUMBER)</v>
          </cell>
          <cell r="D163" t="str">
            <v>18RB20LVL</v>
          </cell>
          <cell r="BA163">
            <v>11.12</v>
          </cell>
        </row>
        <row r="164">
          <cell r="C164" t="str">
            <v>2003 - LVL (LAMINATED VENEER LUMBER)</v>
          </cell>
          <cell r="D164" t="str">
            <v>RB16LVL4112</v>
          </cell>
          <cell r="BA164">
            <v>1.79</v>
          </cell>
        </row>
        <row r="165">
          <cell r="C165" t="str">
            <v>2003 - LVL (LAMINATED VENEER LUMBER)</v>
          </cell>
          <cell r="D165" t="str">
            <v>RB16LVL6112</v>
          </cell>
          <cell r="BA165">
            <v>2.54</v>
          </cell>
        </row>
        <row r="166">
          <cell r="C166" t="str">
            <v>2003 - LVL (LAMINATED VENEER LUMBER)</v>
          </cell>
          <cell r="D166" t="str">
            <v>RB2LVL10312</v>
          </cell>
          <cell r="BA166">
            <v>14.04</v>
          </cell>
        </row>
        <row r="167">
          <cell r="C167" t="str">
            <v>2003 - LVL (LAMINATED VENEER LUMBER)</v>
          </cell>
          <cell r="D167" t="str">
            <v>RB2LVL12312</v>
          </cell>
          <cell r="BA167">
            <v>15.66</v>
          </cell>
        </row>
        <row r="168">
          <cell r="C168" t="str">
            <v>2003 - LVL (LAMINATED VENEER LUMBER)</v>
          </cell>
          <cell r="D168" t="str">
            <v>RB2LVL14312</v>
          </cell>
          <cell r="BA168">
            <v>18</v>
          </cell>
        </row>
        <row r="169">
          <cell r="C169" t="str">
            <v>2003 - LVL (LAMINATED VENEER LUMBER)</v>
          </cell>
          <cell r="D169" t="str">
            <v>RB2LVL16312</v>
          </cell>
          <cell r="BA169">
            <v>25.62</v>
          </cell>
        </row>
        <row r="170">
          <cell r="C170" t="str">
            <v>2003 - LVL (LAMINATED VENEER LUMBER)</v>
          </cell>
          <cell r="D170" t="str">
            <v>RB2LVL10514</v>
          </cell>
          <cell r="BA170">
            <v>20.87</v>
          </cell>
        </row>
        <row r="171">
          <cell r="C171" t="str">
            <v>2003 - LVL (LAMINATED VENEER LUMBER)</v>
          </cell>
          <cell r="D171" t="str">
            <v>RB2LVL12514</v>
          </cell>
          <cell r="BA171">
            <v>23.25</v>
          </cell>
        </row>
        <row r="172">
          <cell r="C172" t="str">
            <v>2003 - LVL (LAMINATED VENEER LUMBER)</v>
          </cell>
          <cell r="D172" t="str">
            <v>RB2LVL14514</v>
          </cell>
          <cell r="BA172">
            <v>25.74</v>
          </cell>
        </row>
        <row r="173">
          <cell r="C173" t="str">
            <v>2003 - LVL (LAMINATED VENEER LUMBER)</v>
          </cell>
          <cell r="D173" t="str">
            <v>RB2LVL127</v>
          </cell>
          <cell r="BA173">
            <v>41.38</v>
          </cell>
        </row>
        <row r="174">
          <cell r="C174" t="str">
            <v>2003 - LVL (LAMINATED VENEER LUMBER)</v>
          </cell>
          <cell r="D174" t="str">
            <v>RB2LVL147</v>
          </cell>
          <cell r="BA174">
            <v>48.76</v>
          </cell>
        </row>
        <row r="175">
          <cell r="C175" t="str">
            <v>2003 - LVL (LAMINATED VENEER LUMBER)</v>
          </cell>
          <cell r="D175" t="str">
            <v>RB13LVL1024112</v>
          </cell>
          <cell r="BA175">
            <v>92.89</v>
          </cell>
        </row>
        <row r="176">
          <cell r="C176" t="str">
            <v>2003 - LVL (LAMINATED VENEER LUMBER)</v>
          </cell>
          <cell r="D176" t="str">
            <v>RB13LVL1224112</v>
          </cell>
          <cell r="BA176">
            <v>116.61</v>
          </cell>
        </row>
        <row r="177">
          <cell r="C177" t="str">
            <v>2003 - LVL (LAMINATED VENEER LUMBER)</v>
          </cell>
          <cell r="D177" t="str">
            <v>RB13LVL1424112</v>
          </cell>
          <cell r="BA177">
            <v>147.38999999999999</v>
          </cell>
        </row>
        <row r="178">
          <cell r="C178" t="str">
            <v>2003 - LVL (LAMINATED VENEER LUMBER)</v>
          </cell>
          <cell r="D178" t="str">
            <v>RB13LVL1624112</v>
          </cell>
          <cell r="BA178">
            <v>182.4</v>
          </cell>
        </row>
        <row r="179">
          <cell r="C179" t="str">
            <v>2003 - LVL (LAMINATED VENEER LUMBER)</v>
          </cell>
          <cell r="D179" t="str">
            <v>RB312912ESL</v>
          </cell>
          <cell r="BA179">
            <v>17.04</v>
          </cell>
        </row>
        <row r="180">
          <cell r="C180" t="str">
            <v>2005 - RIM BOARDS</v>
          </cell>
          <cell r="D180" t="str">
            <v>121RIM12</v>
          </cell>
          <cell r="BA180">
            <v>57.65</v>
          </cell>
        </row>
        <row r="181">
          <cell r="C181" t="str">
            <v>2005 - RIM BOARDS</v>
          </cell>
          <cell r="D181" t="str">
            <v>141RIM12</v>
          </cell>
          <cell r="BA181">
            <v>67.98</v>
          </cell>
        </row>
        <row r="182">
          <cell r="C182" t="str">
            <v>2005 - RIM BOARDS</v>
          </cell>
          <cell r="D182" t="str">
            <v>10114TTECRIM16</v>
          </cell>
          <cell r="BA182">
            <v>51.76</v>
          </cell>
        </row>
        <row r="183">
          <cell r="C183" t="str">
            <v>2005 - RIM BOARDS</v>
          </cell>
          <cell r="D183" t="str">
            <v>12114TTECRIM16</v>
          </cell>
          <cell r="BA183">
            <v>61.74</v>
          </cell>
        </row>
        <row r="184">
          <cell r="C184" t="str">
            <v>2005 - RIM BOARDS</v>
          </cell>
          <cell r="D184" t="str">
            <v>14114TTECRIM16</v>
          </cell>
          <cell r="BA184">
            <v>75.86</v>
          </cell>
        </row>
        <row r="185">
          <cell r="C185" t="str">
            <v>2005 - RIM BOARDS</v>
          </cell>
          <cell r="D185" t="str">
            <v>16114TTECRIM16</v>
          </cell>
          <cell r="BA185">
            <v>91.98</v>
          </cell>
        </row>
        <row r="186">
          <cell r="C186" t="str">
            <v>2005 - RIM BOARDS</v>
          </cell>
          <cell r="D186" t="str">
            <v>18114TTECRIM16</v>
          </cell>
          <cell r="BA186">
            <v>80.38</v>
          </cell>
        </row>
        <row r="187">
          <cell r="C187" t="str">
            <v>2006 - GLULAM</v>
          </cell>
          <cell r="D187" t="str">
            <v>512512DF18GL</v>
          </cell>
          <cell r="BA187">
            <v>12.13</v>
          </cell>
        </row>
        <row r="188">
          <cell r="C188" t="str">
            <v>2006 - GLULAM</v>
          </cell>
          <cell r="D188" t="str">
            <v>83412DF18GL</v>
          </cell>
          <cell r="BA188">
            <v>49.91</v>
          </cell>
        </row>
        <row r="189">
          <cell r="C189" t="str">
            <v>2006 - GLULAM</v>
          </cell>
          <cell r="D189" t="str">
            <v>912GL312T</v>
          </cell>
          <cell r="BA189">
            <v>29</v>
          </cell>
        </row>
        <row r="190">
          <cell r="C190" t="str">
            <v>2006 - GLULAM</v>
          </cell>
          <cell r="D190" t="str">
            <v>12GL512T</v>
          </cell>
          <cell r="BA190">
            <v>47.05</v>
          </cell>
        </row>
        <row r="191">
          <cell r="C191" t="str">
            <v>2006 - GLULAM</v>
          </cell>
          <cell r="D191" t="str">
            <v>14GL512T</v>
          </cell>
          <cell r="BA191">
            <v>58.52</v>
          </cell>
        </row>
        <row r="192">
          <cell r="C192" t="str">
            <v>2006 - GLULAM</v>
          </cell>
          <cell r="D192" t="str">
            <v>16GL512T</v>
          </cell>
          <cell r="BA192">
            <v>65.13</v>
          </cell>
        </row>
        <row r="193">
          <cell r="C193" t="str">
            <v>2006 - GLULAM</v>
          </cell>
          <cell r="D193" t="str">
            <v>912GL512T</v>
          </cell>
          <cell r="BA193">
            <v>39.53</v>
          </cell>
        </row>
        <row r="194">
          <cell r="C194" t="str">
            <v>2006 - GLULAM</v>
          </cell>
          <cell r="D194" t="str">
            <v>12GL312T</v>
          </cell>
          <cell r="BA194">
            <v>33.69</v>
          </cell>
        </row>
        <row r="195">
          <cell r="C195" t="str">
            <v>2006 - GLULAM</v>
          </cell>
          <cell r="D195" t="str">
            <v>39DF18GL</v>
          </cell>
          <cell r="BA195">
            <v>11.64</v>
          </cell>
        </row>
        <row r="196">
          <cell r="C196" t="str">
            <v>2006 - GLULAM</v>
          </cell>
          <cell r="D196" t="str">
            <v>3126DF18GL</v>
          </cell>
          <cell r="BA196">
            <v>8.76</v>
          </cell>
        </row>
        <row r="197">
          <cell r="C197" t="str">
            <v>2006 - GLULAM</v>
          </cell>
          <cell r="D197" t="str">
            <v>312712DF18GL</v>
          </cell>
          <cell r="BA197">
            <v>10.19</v>
          </cell>
        </row>
        <row r="198">
          <cell r="C198" t="str">
            <v>2006 - GLULAM</v>
          </cell>
          <cell r="D198" t="str">
            <v>3129DF18GL</v>
          </cell>
          <cell r="BA198">
            <v>11.55</v>
          </cell>
        </row>
        <row r="199">
          <cell r="C199" t="str">
            <v>2006 - GLULAM</v>
          </cell>
          <cell r="D199" t="str">
            <v>312912DF18GL</v>
          </cell>
          <cell r="BA199">
            <v>13.28</v>
          </cell>
        </row>
        <row r="200">
          <cell r="C200" t="str">
            <v>2006 - GLULAM</v>
          </cell>
          <cell r="D200" t="str">
            <v>3121012DF18GL</v>
          </cell>
          <cell r="BA200">
            <v>13.47</v>
          </cell>
        </row>
        <row r="201">
          <cell r="C201" t="str">
            <v>2006 - GLULAM</v>
          </cell>
          <cell r="D201" t="str">
            <v>3121178DF18GL</v>
          </cell>
          <cell r="BA201">
            <v>15.2</v>
          </cell>
        </row>
        <row r="202">
          <cell r="C202" t="str">
            <v>2006 - GLULAM</v>
          </cell>
          <cell r="D202" t="str">
            <v>3121312DF18GL</v>
          </cell>
          <cell r="BA202">
            <v>17.18</v>
          </cell>
        </row>
        <row r="203">
          <cell r="C203" t="str">
            <v>2006 - GLULAM</v>
          </cell>
          <cell r="D203" t="str">
            <v>31214DF18GL</v>
          </cell>
          <cell r="BA203">
            <v>19.260000000000002</v>
          </cell>
        </row>
        <row r="204">
          <cell r="C204" t="str">
            <v>2006 - GLULAM</v>
          </cell>
          <cell r="D204" t="str">
            <v>31215DF18GL</v>
          </cell>
          <cell r="BA204">
            <v>19.41</v>
          </cell>
        </row>
        <row r="205">
          <cell r="C205" t="str">
            <v>2006 - GLULAM</v>
          </cell>
          <cell r="D205" t="str">
            <v>31216DF18GL</v>
          </cell>
          <cell r="BA205">
            <v>22.71</v>
          </cell>
        </row>
        <row r="206">
          <cell r="C206" t="str">
            <v>2006 - GLULAM</v>
          </cell>
          <cell r="D206" t="str">
            <v>3121612DF18GL</v>
          </cell>
          <cell r="BA206">
            <v>22.96</v>
          </cell>
        </row>
        <row r="207">
          <cell r="C207" t="str">
            <v>2006 - GLULAM</v>
          </cell>
          <cell r="D207" t="str">
            <v>31218DF18GL</v>
          </cell>
          <cell r="BA207">
            <v>23.52</v>
          </cell>
        </row>
        <row r="208">
          <cell r="C208" t="str">
            <v>2006 - GLULAM</v>
          </cell>
          <cell r="D208" t="str">
            <v>5126DF18GL</v>
          </cell>
          <cell r="BA208">
            <v>11.38</v>
          </cell>
        </row>
        <row r="209">
          <cell r="C209" t="str">
            <v>2006 - GLULAM</v>
          </cell>
          <cell r="D209" t="str">
            <v>512712DF18GL</v>
          </cell>
          <cell r="BA209">
            <v>14.08</v>
          </cell>
        </row>
        <row r="210">
          <cell r="C210" t="str">
            <v>2006 - GLULAM</v>
          </cell>
          <cell r="D210" t="str">
            <v>5129DF18GL</v>
          </cell>
          <cell r="BA210">
            <v>15.69</v>
          </cell>
        </row>
        <row r="211">
          <cell r="C211" t="str">
            <v>2006 - GLULAM</v>
          </cell>
          <cell r="D211" t="str">
            <v>512912DF18GL</v>
          </cell>
          <cell r="BA211">
            <v>18.07</v>
          </cell>
        </row>
        <row r="212">
          <cell r="C212" t="str">
            <v>2006 - GLULAM</v>
          </cell>
          <cell r="D212" t="str">
            <v>5121012DF18GL</v>
          </cell>
          <cell r="BA212">
            <v>18.190000000000001</v>
          </cell>
        </row>
        <row r="213">
          <cell r="C213" t="str">
            <v>2006 - GLULAM</v>
          </cell>
          <cell r="D213" t="str">
            <v>5121178DF18GL</v>
          </cell>
          <cell r="BA213">
            <v>20.78</v>
          </cell>
        </row>
        <row r="214">
          <cell r="C214" t="str">
            <v>2006 - GLULAM</v>
          </cell>
          <cell r="D214" t="str">
            <v>5121312DF18GL</v>
          </cell>
          <cell r="BA214">
            <v>23.48</v>
          </cell>
        </row>
        <row r="215">
          <cell r="C215" t="str">
            <v>2006 - GLULAM</v>
          </cell>
          <cell r="D215" t="str">
            <v>51214DF18GL</v>
          </cell>
          <cell r="BA215">
            <v>25.92</v>
          </cell>
        </row>
        <row r="216">
          <cell r="C216" t="str">
            <v>2006 - GLULAM</v>
          </cell>
          <cell r="D216" t="str">
            <v>51215DF18GL</v>
          </cell>
          <cell r="BA216">
            <v>26.09</v>
          </cell>
        </row>
        <row r="217">
          <cell r="C217" t="str">
            <v>2006 - GLULAM</v>
          </cell>
          <cell r="D217" t="str">
            <v>5121612DF18GL</v>
          </cell>
          <cell r="BA217">
            <v>29</v>
          </cell>
        </row>
        <row r="218">
          <cell r="C218" t="str">
            <v>2006 - GLULAM</v>
          </cell>
          <cell r="D218" t="str">
            <v>51216DF18GL</v>
          </cell>
          <cell r="BA218">
            <v>28.38</v>
          </cell>
        </row>
        <row r="219">
          <cell r="C219" t="str">
            <v>2006 - GLULAM</v>
          </cell>
          <cell r="D219" t="str">
            <v>51218DF18GL</v>
          </cell>
          <cell r="BA219">
            <v>32.33</v>
          </cell>
        </row>
        <row r="220">
          <cell r="C220" t="str">
            <v>2006 - GLULAM</v>
          </cell>
          <cell r="D220" t="str">
            <v>5121912DF18GL</v>
          </cell>
          <cell r="BA220">
            <v>35.51</v>
          </cell>
        </row>
        <row r="221">
          <cell r="C221" t="str">
            <v>2006 - GLULAM</v>
          </cell>
          <cell r="D221" t="str">
            <v>51221DF18GL</v>
          </cell>
          <cell r="BA221">
            <v>39.15</v>
          </cell>
        </row>
        <row r="222">
          <cell r="C222" t="str">
            <v>2006 - GLULAM</v>
          </cell>
          <cell r="D222" t="str">
            <v>5122212DF18GL</v>
          </cell>
          <cell r="BA222">
            <v>41.35</v>
          </cell>
        </row>
        <row r="223">
          <cell r="C223" t="str">
            <v>2006 - GLULAM</v>
          </cell>
          <cell r="D223" t="str">
            <v>51224DF18GL</v>
          </cell>
          <cell r="BA223">
            <v>44.14</v>
          </cell>
        </row>
        <row r="224">
          <cell r="C224" t="str">
            <v>2006 - GLULAM</v>
          </cell>
          <cell r="D224" t="str">
            <v>6349DF18GL</v>
          </cell>
          <cell r="BA224">
            <v>23.42</v>
          </cell>
        </row>
        <row r="225">
          <cell r="C225" t="str">
            <v>2006 - GLULAM</v>
          </cell>
          <cell r="D225" t="str">
            <v>6341012DF18GL</v>
          </cell>
          <cell r="BA225">
            <v>27.31</v>
          </cell>
        </row>
        <row r="226">
          <cell r="C226" t="str">
            <v>2006 - GLULAM</v>
          </cell>
          <cell r="D226" t="str">
            <v>63412DF18GL</v>
          </cell>
          <cell r="BA226">
            <v>31.14</v>
          </cell>
        </row>
        <row r="227">
          <cell r="C227" t="str">
            <v>2006 - GLULAM</v>
          </cell>
          <cell r="D227" t="str">
            <v>6341312DF18GL</v>
          </cell>
          <cell r="BA227">
            <v>34.49</v>
          </cell>
        </row>
        <row r="228">
          <cell r="C228" t="str">
            <v>2006 - GLULAM</v>
          </cell>
          <cell r="D228" t="str">
            <v>63415DF18GL</v>
          </cell>
          <cell r="BA228">
            <v>38.32</v>
          </cell>
        </row>
        <row r="229">
          <cell r="C229" t="str">
            <v>2006 - GLULAM</v>
          </cell>
          <cell r="D229" t="str">
            <v>6341612DF18GL</v>
          </cell>
          <cell r="BA229">
            <v>42.81</v>
          </cell>
        </row>
        <row r="230">
          <cell r="C230" t="str">
            <v>2006 - GLULAM</v>
          </cell>
          <cell r="D230" t="str">
            <v>63418DF18GL</v>
          </cell>
          <cell r="BA230">
            <v>47.09</v>
          </cell>
        </row>
        <row r="231">
          <cell r="C231" t="str">
            <v>2006 - GLULAM</v>
          </cell>
          <cell r="D231" t="str">
            <v>6341912DF18GL</v>
          </cell>
          <cell r="BA231">
            <v>51.01</v>
          </cell>
        </row>
        <row r="232">
          <cell r="C232" t="str">
            <v>2006 - GLULAM</v>
          </cell>
          <cell r="D232" t="str">
            <v>63421DF18GL</v>
          </cell>
          <cell r="BA232">
            <v>55.76</v>
          </cell>
        </row>
        <row r="233">
          <cell r="C233" t="str">
            <v>2006 - GLULAM</v>
          </cell>
          <cell r="D233" t="str">
            <v>6342212DF18GL</v>
          </cell>
          <cell r="BA233">
            <v>61.07</v>
          </cell>
        </row>
        <row r="234">
          <cell r="C234" t="str">
            <v>2006 - GLULAM</v>
          </cell>
          <cell r="D234" t="str">
            <v>63424DF18GL</v>
          </cell>
          <cell r="BA234">
            <v>66.209999999999994</v>
          </cell>
        </row>
        <row r="235">
          <cell r="C235" t="str">
            <v>2006 - GLULAM</v>
          </cell>
          <cell r="D235" t="str">
            <v>8349DF18GL</v>
          </cell>
          <cell r="BA235">
            <v>43.99</v>
          </cell>
        </row>
        <row r="236">
          <cell r="C236" t="str">
            <v>2006 - GLULAM</v>
          </cell>
          <cell r="D236" t="str">
            <v>8341012DF18GL</v>
          </cell>
          <cell r="BA236">
            <v>44.61</v>
          </cell>
        </row>
        <row r="237">
          <cell r="C237" t="str">
            <v>2006 - GLULAM</v>
          </cell>
          <cell r="D237" t="str">
            <v>8341312DF18GL</v>
          </cell>
          <cell r="BA237">
            <v>56.15</v>
          </cell>
        </row>
        <row r="238">
          <cell r="C238" t="str">
            <v>2011 - WEYERHAEUSER - I JOIST</v>
          </cell>
          <cell r="D238" t="str">
            <v>10TJI110</v>
          </cell>
          <cell r="BA238">
            <v>2.91</v>
          </cell>
        </row>
        <row r="239">
          <cell r="C239" t="str">
            <v>2011 - WEYERHAEUSER - I JOIST</v>
          </cell>
          <cell r="D239" t="str">
            <v>10TJI210</v>
          </cell>
          <cell r="BA239">
            <v>3.05</v>
          </cell>
        </row>
        <row r="240">
          <cell r="C240" t="str">
            <v>2011 - WEYERHAEUSER - I JOIST</v>
          </cell>
          <cell r="D240" t="str">
            <v>12TJI110</v>
          </cell>
          <cell r="BA240">
            <v>3.05</v>
          </cell>
        </row>
        <row r="241">
          <cell r="C241" t="str">
            <v>2011 - WEYERHAEUSER - I JOIST</v>
          </cell>
          <cell r="D241" t="str">
            <v>12TJI210</v>
          </cell>
          <cell r="BA241">
            <v>3.34</v>
          </cell>
        </row>
        <row r="242">
          <cell r="C242" t="str">
            <v>2011 - WEYERHAEUSER - I JOIST</v>
          </cell>
          <cell r="D242" t="str">
            <v>12TJI360</v>
          </cell>
          <cell r="BA242">
            <v>4.5199999999999996</v>
          </cell>
        </row>
        <row r="243">
          <cell r="C243" t="str">
            <v>2011 - WEYERHAEUSER - I JOIST</v>
          </cell>
          <cell r="D243" t="str">
            <v>12TJI560</v>
          </cell>
          <cell r="BA243">
            <v>6.36</v>
          </cell>
        </row>
        <row r="244">
          <cell r="C244" t="str">
            <v>2011 - WEYERHAEUSER - I JOIST</v>
          </cell>
          <cell r="D244" t="str">
            <v>14TJI110</v>
          </cell>
          <cell r="BA244">
            <v>3.25</v>
          </cell>
        </row>
        <row r="245">
          <cell r="C245" t="str">
            <v>2011 - WEYERHAEUSER - I JOIST</v>
          </cell>
          <cell r="D245" t="str">
            <v>14TJI210</v>
          </cell>
          <cell r="BA245">
            <v>3.53</v>
          </cell>
        </row>
        <row r="246">
          <cell r="C246" t="str">
            <v>2012 - WEYERHAEUSER - LVL</v>
          </cell>
          <cell r="D246" t="str">
            <v>10MLAM</v>
          </cell>
          <cell r="BA246">
            <v>7.08</v>
          </cell>
        </row>
        <row r="247">
          <cell r="C247" t="str">
            <v>2012 - WEYERHAEUSER - LVL</v>
          </cell>
          <cell r="D247" t="str">
            <v>12MLAM</v>
          </cell>
          <cell r="BA247">
            <v>9.01</v>
          </cell>
        </row>
        <row r="248">
          <cell r="C248" t="str">
            <v>2012 - WEYERHAEUSER - LVL</v>
          </cell>
          <cell r="D248" t="str">
            <v>14MLAM</v>
          </cell>
          <cell r="BA248">
            <v>11.07</v>
          </cell>
        </row>
        <row r="249">
          <cell r="C249" t="str">
            <v>2013 - WEYERHAEUSER - LSL</v>
          </cell>
          <cell r="D249" t="str">
            <v>5PLAM312</v>
          </cell>
          <cell r="BA249">
            <v>12.01</v>
          </cell>
        </row>
        <row r="250">
          <cell r="C250" t="str">
            <v>2013 - WEYERHAEUSER - LSL</v>
          </cell>
          <cell r="D250" t="str">
            <v>7PLAM312</v>
          </cell>
          <cell r="BA250">
            <v>15.29</v>
          </cell>
        </row>
        <row r="251">
          <cell r="C251" t="str">
            <v>2013 - WEYERHAEUSER - LSL</v>
          </cell>
          <cell r="D251" t="str">
            <v>10PLAM312</v>
          </cell>
          <cell r="BA251">
            <v>15.29</v>
          </cell>
        </row>
        <row r="252">
          <cell r="C252" t="str">
            <v>2013 - WEYERHAEUSER - LSL</v>
          </cell>
          <cell r="D252" t="str">
            <v>12PLAM312</v>
          </cell>
          <cell r="BA252">
            <v>18.59</v>
          </cell>
        </row>
        <row r="253">
          <cell r="C253" t="str">
            <v>2013 - WEYERHAEUSER - LSL</v>
          </cell>
          <cell r="D253" t="str">
            <v>14PLAM312</v>
          </cell>
          <cell r="BA253">
            <v>23.05</v>
          </cell>
        </row>
        <row r="254">
          <cell r="C254" t="str">
            <v>2013 - WEYERHAEUSER - LSL</v>
          </cell>
          <cell r="D254" t="str">
            <v>16PLAM312</v>
          </cell>
          <cell r="BA254">
            <v>31.64</v>
          </cell>
        </row>
        <row r="255">
          <cell r="C255" t="str">
            <v>2013 - WEYERHAEUSER - LSL</v>
          </cell>
          <cell r="D255" t="str">
            <v>18PLAM312</v>
          </cell>
          <cell r="BA255">
            <v>38.33</v>
          </cell>
        </row>
        <row r="256">
          <cell r="C256" t="str">
            <v>2013 - WEYERHAEUSER - LSL</v>
          </cell>
          <cell r="D256" t="str">
            <v>5PLAM514</v>
          </cell>
          <cell r="BA256">
            <v>16.850000000000001</v>
          </cell>
        </row>
        <row r="257">
          <cell r="C257" t="str">
            <v>2013 - WEYERHAEUSER - LSL</v>
          </cell>
          <cell r="D257" t="str">
            <v>7PLAM514</v>
          </cell>
          <cell r="BA257">
            <v>22.49</v>
          </cell>
        </row>
        <row r="258">
          <cell r="C258" t="str">
            <v>2013 - WEYERHAEUSER - LSL</v>
          </cell>
          <cell r="D258" t="str">
            <v>10PLAM514</v>
          </cell>
          <cell r="BA258">
            <v>25.08</v>
          </cell>
        </row>
        <row r="259">
          <cell r="C259" t="str">
            <v>2013 - WEYERHAEUSER - LSL</v>
          </cell>
          <cell r="D259" t="str">
            <v>12PLAM514</v>
          </cell>
          <cell r="BA259">
            <v>30.8</v>
          </cell>
        </row>
        <row r="260">
          <cell r="C260" t="str">
            <v>2013 - WEYERHAEUSER - LSL</v>
          </cell>
          <cell r="D260" t="str">
            <v>14PLAM514</v>
          </cell>
          <cell r="BA260">
            <v>37.68</v>
          </cell>
        </row>
        <row r="261">
          <cell r="C261" t="str">
            <v>2013 - WEYERHAEUSER - LSL</v>
          </cell>
          <cell r="D261" t="str">
            <v>16PLAM514</v>
          </cell>
          <cell r="BA261">
            <v>46.88</v>
          </cell>
        </row>
        <row r="262">
          <cell r="C262" t="str">
            <v>2013 - WEYERHAEUSER - LSL</v>
          </cell>
          <cell r="D262" t="str">
            <v>18PLAM514</v>
          </cell>
          <cell r="BA262">
            <v>55.59</v>
          </cell>
        </row>
        <row r="263">
          <cell r="C263" t="str">
            <v>2013 - WEYERHAEUSER - LSL</v>
          </cell>
          <cell r="D263" t="str">
            <v>7PLAM7</v>
          </cell>
          <cell r="BA263">
            <v>24.13</v>
          </cell>
        </row>
        <row r="264">
          <cell r="C264" t="str">
            <v>2013 - WEYERHAEUSER - LSL</v>
          </cell>
          <cell r="D264" t="str">
            <v>10PLAM7</v>
          </cell>
          <cell r="BA264">
            <v>33.24</v>
          </cell>
        </row>
        <row r="265">
          <cell r="C265" t="str">
            <v>2013 - WEYERHAEUSER - LSL</v>
          </cell>
          <cell r="D265" t="str">
            <v>12PLAM7</v>
          </cell>
          <cell r="BA265">
            <v>46.28</v>
          </cell>
        </row>
        <row r="266">
          <cell r="C266" t="str">
            <v>2013 - WEYERHAEUSER - LSL</v>
          </cell>
          <cell r="D266" t="str">
            <v>14PLAM7</v>
          </cell>
          <cell r="BA266">
            <v>54.53</v>
          </cell>
        </row>
        <row r="267">
          <cell r="C267" t="str">
            <v>2013 - WEYERHAEUSER - LSL</v>
          </cell>
          <cell r="D267" t="str">
            <v>16PLAM7</v>
          </cell>
          <cell r="BA267">
            <v>66.09</v>
          </cell>
        </row>
        <row r="268">
          <cell r="C268" t="str">
            <v>2013 - WEYERHAEUSER - LSL</v>
          </cell>
          <cell r="D268" t="str">
            <v>18PLAM7</v>
          </cell>
          <cell r="BA268">
            <v>75.48</v>
          </cell>
        </row>
        <row r="269">
          <cell r="C269" t="str">
            <v>2013 - WEYERHAEUSER - LSL</v>
          </cell>
          <cell r="D269" t="str">
            <v>10TSH134</v>
          </cell>
          <cell r="BA269">
            <v>5.38</v>
          </cell>
        </row>
        <row r="270">
          <cell r="C270" t="str">
            <v>2013 - WEYERHAEUSER - LSL</v>
          </cell>
          <cell r="D270" t="str">
            <v>12TSH134</v>
          </cell>
          <cell r="BA270">
            <v>6.76</v>
          </cell>
        </row>
        <row r="271">
          <cell r="C271" t="str">
            <v>2013 - WEYERHAEUSER - LSL</v>
          </cell>
          <cell r="D271" t="str">
            <v>14TSH134</v>
          </cell>
          <cell r="BA271">
            <v>8.16</v>
          </cell>
        </row>
        <row r="272">
          <cell r="C272" t="str">
            <v>2013 - WEYERHAEUSER - LSL</v>
          </cell>
          <cell r="D272" t="str">
            <v>10TSH</v>
          </cell>
          <cell r="BA272">
            <v>10.58</v>
          </cell>
        </row>
        <row r="273">
          <cell r="C273" t="str">
            <v>2013 - WEYERHAEUSER - LSL</v>
          </cell>
          <cell r="D273" t="str">
            <v>10114TJRIM20</v>
          </cell>
          <cell r="BA273">
            <v>65.650000000000006</v>
          </cell>
        </row>
        <row r="274">
          <cell r="C274" t="str">
            <v>2013 - WEYERHAEUSER - LSL</v>
          </cell>
          <cell r="D274" t="str">
            <v>12114TJRIM20</v>
          </cell>
          <cell r="BA274">
            <v>82.12</v>
          </cell>
        </row>
        <row r="275">
          <cell r="C275" t="str">
            <v>2013 - WEYERHAEUSER - LSL</v>
          </cell>
          <cell r="D275" t="str">
            <v>14114TJRIM20</v>
          </cell>
          <cell r="BA275">
            <v>98.12</v>
          </cell>
        </row>
        <row r="276">
          <cell r="C276" t="str">
            <v>2013 - WEYERHAEUSER - LSL</v>
          </cell>
          <cell r="D276" t="str">
            <v>18114TJRIM16</v>
          </cell>
          <cell r="BA276">
            <v>112</v>
          </cell>
        </row>
        <row r="277">
          <cell r="C277" t="str">
            <v>2013 - WEYERHAEUSER - LSL</v>
          </cell>
          <cell r="D277" t="str">
            <v>18114TJRIM20</v>
          </cell>
          <cell r="BA277">
            <v>140</v>
          </cell>
        </row>
        <row r="278">
          <cell r="C278" t="str">
            <v>2031 - LOUISIANA-PACIFIC - I JOIST</v>
          </cell>
          <cell r="D278" t="str">
            <v>10PWI18S</v>
          </cell>
          <cell r="BA278">
            <v>2.89</v>
          </cell>
        </row>
        <row r="279">
          <cell r="C279" t="str">
            <v>2031 - LOUISIANA-PACIFIC - I JOIST</v>
          </cell>
          <cell r="D279" t="str">
            <v>10PWI20S</v>
          </cell>
          <cell r="BA279">
            <v>3.28</v>
          </cell>
        </row>
        <row r="280">
          <cell r="C280" t="str">
            <v>2031 - LOUISIANA-PACIFIC - I JOIST</v>
          </cell>
          <cell r="D280" t="str">
            <v>12PWI20S</v>
          </cell>
          <cell r="BA280">
            <v>3.29</v>
          </cell>
        </row>
        <row r="281">
          <cell r="C281" t="str">
            <v>2031 - LOUISIANA-PACIFIC - I JOIST</v>
          </cell>
          <cell r="D281" t="str">
            <v>14PWI20S</v>
          </cell>
          <cell r="BA281">
            <v>3.68</v>
          </cell>
        </row>
        <row r="282">
          <cell r="C282" t="str">
            <v>2031 - LOUISIANA-PACIFIC - I JOIST</v>
          </cell>
          <cell r="D282" t="str">
            <v>10PWI32S</v>
          </cell>
          <cell r="BA282">
            <v>3.51</v>
          </cell>
        </row>
        <row r="283">
          <cell r="C283" t="str">
            <v>2031 - LOUISIANA-PACIFIC - I JOIST</v>
          </cell>
          <cell r="D283" t="str">
            <v>12PWI32S</v>
          </cell>
          <cell r="BA283">
            <v>3.6</v>
          </cell>
        </row>
        <row r="284">
          <cell r="C284" t="str">
            <v>2031 - LOUISIANA-PACIFIC - I JOIST</v>
          </cell>
          <cell r="D284" t="str">
            <v>12PWI18S</v>
          </cell>
          <cell r="BA284">
            <v>3.05</v>
          </cell>
        </row>
        <row r="285">
          <cell r="C285" t="str">
            <v>2031 - LOUISIANA-PACIFIC - I JOIST</v>
          </cell>
          <cell r="D285" t="str">
            <v>14PWI32S</v>
          </cell>
          <cell r="BA285">
            <v>4.6399999999999997</v>
          </cell>
        </row>
        <row r="286">
          <cell r="C286" t="str">
            <v>2031 - LOUISIANA-PACIFIC - I JOIST</v>
          </cell>
          <cell r="D286" t="str">
            <v>16PWI32S</v>
          </cell>
          <cell r="BA286">
            <v>4.9800000000000004</v>
          </cell>
        </row>
        <row r="287">
          <cell r="C287" t="str">
            <v>2031 - LOUISIANA-PACIFIC - I JOIST</v>
          </cell>
          <cell r="D287" t="str">
            <v>12PWI56L</v>
          </cell>
          <cell r="BA287">
            <v>6.53</v>
          </cell>
        </row>
        <row r="288">
          <cell r="C288" t="str">
            <v>2031 - LOUISIANA-PACIFIC - I JOIST</v>
          </cell>
          <cell r="D288" t="str">
            <v>12PWI90LLF</v>
          </cell>
          <cell r="BA288">
            <v>6.98</v>
          </cell>
        </row>
        <row r="289">
          <cell r="C289" t="str">
            <v>2031 - LOUISIANA-PACIFIC - I JOIST</v>
          </cell>
          <cell r="D289" t="str">
            <v>14PWI90LLF</v>
          </cell>
          <cell r="BA289">
            <v>7.67</v>
          </cell>
        </row>
        <row r="290">
          <cell r="C290" t="str">
            <v>2031 - LOUISIANA-PACIFIC - I JOIST</v>
          </cell>
          <cell r="D290" t="str">
            <v>16PWI90LLF</v>
          </cell>
          <cell r="BA290">
            <v>8.73</v>
          </cell>
        </row>
        <row r="291">
          <cell r="C291" t="str">
            <v>2032 - LOUISIANA-PACIFIC - LVL</v>
          </cell>
          <cell r="D291" t="str">
            <v>6PW20LVL</v>
          </cell>
          <cell r="BA291">
            <v>3.87</v>
          </cell>
        </row>
        <row r="292">
          <cell r="C292" t="str">
            <v>2032 - LOUISIANA-PACIFIC - LVL</v>
          </cell>
          <cell r="D292" t="str">
            <v>12PW20LVL112</v>
          </cell>
          <cell r="BA292">
            <v>5.92</v>
          </cell>
        </row>
        <row r="293">
          <cell r="C293" t="str">
            <v>2032 - LOUISIANA-PACIFIC - LVL</v>
          </cell>
          <cell r="D293" t="str">
            <v>7PW20LVL</v>
          </cell>
          <cell r="BA293">
            <v>5.12</v>
          </cell>
        </row>
        <row r="294">
          <cell r="C294" t="str">
            <v>2032 - LOUISIANA-PACIFIC - LVL</v>
          </cell>
          <cell r="D294" t="str">
            <v>10PW20LVL</v>
          </cell>
          <cell r="BA294">
            <v>6.31</v>
          </cell>
        </row>
        <row r="295">
          <cell r="C295" t="str">
            <v>2032 - LOUISIANA-PACIFIC - LVL</v>
          </cell>
          <cell r="D295" t="str">
            <v>12PW20LVL</v>
          </cell>
          <cell r="BA295">
            <v>7.78</v>
          </cell>
        </row>
        <row r="296">
          <cell r="C296" t="str">
            <v>2032 - LOUISIANA-PACIFIC - LVL</v>
          </cell>
          <cell r="D296" t="str">
            <v>14PW20LVL</v>
          </cell>
          <cell r="BA296">
            <v>9.4600000000000009</v>
          </cell>
        </row>
        <row r="297">
          <cell r="C297" t="str">
            <v>2032 - LOUISIANA-PACIFIC - LVL</v>
          </cell>
          <cell r="D297" t="str">
            <v>16PW20LVL</v>
          </cell>
          <cell r="BA297">
            <v>11.46</v>
          </cell>
        </row>
        <row r="298">
          <cell r="C298" t="str">
            <v>2032 - LOUISIANA-PACIFIC - LVL</v>
          </cell>
          <cell r="D298" t="str">
            <v>10PW20LVL312</v>
          </cell>
          <cell r="BA298">
            <v>13.89</v>
          </cell>
        </row>
        <row r="299">
          <cell r="C299" t="str">
            <v>2032 - LOUISIANA-PACIFIC - LVL</v>
          </cell>
          <cell r="D299" t="str">
            <v>10PW20LVL514</v>
          </cell>
          <cell r="BA299">
            <v>20.75</v>
          </cell>
        </row>
        <row r="300">
          <cell r="C300" t="str">
            <v>2032 - LOUISIANA-PACIFIC - LVL</v>
          </cell>
          <cell r="D300" t="str">
            <v>12PW20LVL312</v>
          </cell>
          <cell r="BA300">
            <v>16.36</v>
          </cell>
        </row>
        <row r="301">
          <cell r="C301" t="str">
            <v>2032 - LOUISIANA-PACIFIC - LVL</v>
          </cell>
          <cell r="D301" t="str">
            <v>14PW20LVL312</v>
          </cell>
          <cell r="BA301">
            <v>20.05</v>
          </cell>
        </row>
        <row r="302">
          <cell r="C302" t="str">
            <v>2032 - LOUISIANA-PACIFIC - LVL</v>
          </cell>
          <cell r="D302" t="str">
            <v>16PW20LVL312</v>
          </cell>
          <cell r="BA302">
            <v>25.93</v>
          </cell>
        </row>
        <row r="303">
          <cell r="C303" t="str">
            <v>2032 - LOUISIANA-PACIFIC - LVL</v>
          </cell>
          <cell r="D303" t="str">
            <v>12PW20LVL514</v>
          </cell>
          <cell r="BA303">
            <v>28.06</v>
          </cell>
        </row>
        <row r="304">
          <cell r="C304" t="str">
            <v>2032 - LOUISIANA-PACIFIC - LVL</v>
          </cell>
          <cell r="D304" t="str">
            <v>14PW20LVL514</v>
          </cell>
          <cell r="BA304">
            <v>33.78</v>
          </cell>
        </row>
        <row r="305">
          <cell r="C305" t="str">
            <v>2032 - LOUISIANA-PACIFIC - LVL</v>
          </cell>
          <cell r="D305" t="str">
            <v>12PW20LVL7</v>
          </cell>
          <cell r="BA305">
            <v>41.44</v>
          </cell>
        </row>
        <row r="306">
          <cell r="C306" t="str">
            <v>2033 - LOUISIANA-PACIFIC - LSL</v>
          </cell>
          <cell r="D306" t="str">
            <v>10114LPRIM20</v>
          </cell>
          <cell r="BA306">
            <v>65.180000000000007</v>
          </cell>
        </row>
        <row r="307">
          <cell r="C307" t="str">
            <v>2033 - LOUISIANA-PACIFIC - LSL</v>
          </cell>
          <cell r="D307" t="str">
            <v>10LPLSL134</v>
          </cell>
          <cell r="BA307">
            <v>5.1100000000000003</v>
          </cell>
        </row>
        <row r="308">
          <cell r="C308" t="str">
            <v>2033 - LOUISIANA-PACIFIC - LSL</v>
          </cell>
          <cell r="D308" t="str">
            <v>12LPLSL134</v>
          </cell>
          <cell r="BA308">
            <v>6.38</v>
          </cell>
        </row>
        <row r="309">
          <cell r="C309" t="str">
            <v>2033 - LOUISIANA-PACIFIC - LSL</v>
          </cell>
          <cell r="D309" t="str">
            <v>14LPLSL134</v>
          </cell>
          <cell r="BA309">
            <v>9.1300000000000008</v>
          </cell>
        </row>
        <row r="310">
          <cell r="C310" t="str">
            <v>2033 - LOUISIANA-PACIFIC - LSL</v>
          </cell>
          <cell r="D310" t="str">
            <v>7LPLSL</v>
          </cell>
          <cell r="BA310">
            <v>10.89</v>
          </cell>
        </row>
        <row r="311">
          <cell r="C311" t="str">
            <v>2033 - LOUISIANA-PACIFIC - LSL</v>
          </cell>
          <cell r="D311" t="str">
            <v>10LPLSL</v>
          </cell>
          <cell r="BA311">
            <v>10.19</v>
          </cell>
        </row>
        <row r="312">
          <cell r="C312" t="str">
            <v>2033 - LOUISIANA-PACIFIC - LSL</v>
          </cell>
          <cell r="D312" t="str">
            <v>12LPLSL</v>
          </cell>
          <cell r="BA312">
            <v>15.38</v>
          </cell>
        </row>
        <row r="313">
          <cell r="C313" t="str">
            <v>2041 - BOISE CASCADE - I JOIST</v>
          </cell>
          <cell r="D313" t="str">
            <v>10BCI5000</v>
          </cell>
          <cell r="BA313">
            <v>2.86</v>
          </cell>
        </row>
        <row r="314">
          <cell r="C314" t="str">
            <v>2041 - BOISE CASCADE - I JOIST</v>
          </cell>
          <cell r="D314" t="str">
            <v>10BCI6000</v>
          </cell>
          <cell r="BA314">
            <v>2.98</v>
          </cell>
        </row>
        <row r="315">
          <cell r="C315" t="str">
            <v>2041 - BOISE CASCADE - I JOIST</v>
          </cell>
          <cell r="D315" t="str">
            <v>12BCI5000</v>
          </cell>
          <cell r="BA315">
            <v>2.98</v>
          </cell>
        </row>
        <row r="316">
          <cell r="C316" t="str">
            <v>2041 - BOISE CASCADE - I JOIST</v>
          </cell>
          <cell r="D316" t="str">
            <v>12BCI6000</v>
          </cell>
          <cell r="BA316">
            <v>3.31</v>
          </cell>
        </row>
        <row r="317">
          <cell r="C317" t="str">
            <v>2041 - BOISE CASCADE - I JOIST</v>
          </cell>
          <cell r="D317" t="str">
            <v>12BCI6500</v>
          </cell>
          <cell r="BA317">
            <v>3.52</v>
          </cell>
        </row>
        <row r="318">
          <cell r="C318" t="str">
            <v>2041 - BOISE CASCADE - I JOIST</v>
          </cell>
          <cell r="D318" t="str">
            <v>12BCI60</v>
          </cell>
          <cell r="BA318">
            <v>4.82</v>
          </cell>
        </row>
        <row r="319">
          <cell r="C319" t="str">
            <v>2041 - BOISE CASCADE - I JOIST</v>
          </cell>
          <cell r="D319" t="str">
            <v>12BCI90</v>
          </cell>
          <cell r="BA319">
            <v>6.69</v>
          </cell>
        </row>
        <row r="320">
          <cell r="C320" t="str">
            <v>2041 - BOISE CASCADE - I JOIST</v>
          </cell>
          <cell r="D320" t="str">
            <v>14BCI60</v>
          </cell>
          <cell r="BA320">
            <v>5.34</v>
          </cell>
        </row>
        <row r="321">
          <cell r="C321" t="str">
            <v>2041 - BOISE CASCADE - I JOIST</v>
          </cell>
          <cell r="D321" t="str">
            <v>14BCI90</v>
          </cell>
          <cell r="BA321">
            <v>7.58</v>
          </cell>
        </row>
        <row r="322">
          <cell r="C322" t="str">
            <v>2041 - BOISE CASCADE - I JOIST</v>
          </cell>
          <cell r="D322" t="str">
            <v>14BCI6000</v>
          </cell>
          <cell r="BA322">
            <v>3.51</v>
          </cell>
        </row>
        <row r="323">
          <cell r="C323" t="str">
            <v>2041 - BOISE CASCADE - I JOIST</v>
          </cell>
          <cell r="D323" t="str">
            <v>16BCI60</v>
          </cell>
          <cell r="BA323">
            <v>5.49</v>
          </cell>
        </row>
        <row r="324">
          <cell r="C324" t="str">
            <v>2042 - BOISE CASCADE - LVL</v>
          </cell>
          <cell r="D324" t="str">
            <v>W10BC14RIM</v>
          </cell>
          <cell r="BA324">
            <v>3.51</v>
          </cell>
        </row>
        <row r="325">
          <cell r="C325" t="str">
            <v>2042 - BOISE CASCADE - LVL</v>
          </cell>
          <cell r="D325" t="str">
            <v>W16BC14RIM</v>
          </cell>
          <cell r="BA325">
            <v>5.82</v>
          </cell>
        </row>
        <row r="326">
          <cell r="C326" t="str">
            <v>2042 - BOISE CASCADE - LVL</v>
          </cell>
          <cell r="D326" t="str">
            <v>W14BC14RIM</v>
          </cell>
          <cell r="BA326">
            <v>5.09</v>
          </cell>
        </row>
        <row r="327">
          <cell r="C327" t="str">
            <v>2042 - BOISE CASCADE - LVL</v>
          </cell>
          <cell r="D327" t="str">
            <v>W12BC14RIM</v>
          </cell>
          <cell r="BA327">
            <v>4.21</v>
          </cell>
        </row>
        <row r="328">
          <cell r="C328" t="str">
            <v>2042 - BOISE CASCADE - LVL</v>
          </cell>
          <cell r="D328" t="str">
            <v>WBC17LVL11212LF</v>
          </cell>
          <cell r="BA328">
            <v>6.29</v>
          </cell>
        </row>
        <row r="329">
          <cell r="C329" t="str">
            <v>2042 - BOISE CASCADE - LVL</v>
          </cell>
          <cell r="D329" t="str">
            <v>WBC2LVL6LF</v>
          </cell>
          <cell r="BA329">
            <v>3.96</v>
          </cell>
        </row>
        <row r="330">
          <cell r="C330" t="str">
            <v>2042 - BOISE CASCADE - LVL</v>
          </cell>
          <cell r="D330" t="str">
            <v>WBC2LVL7LF</v>
          </cell>
          <cell r="BA330">
            <v>4.9400000000000004</v>
          </cell>
        </row>
        <row r="331">
          <cell r="C331" t="str">
            <v>2042 - BOISE CASCADE - LVL</v>
          </cell>
          <cell r="D331" t="str">
            <v>WBC2LVL10LF</v>
          </cell>
          <cell r="BA331">
            <v>6.27</v>
          </cell>
        </row>
        <row r="332">
          <cell r="C332" t="str">
            <v>2042 - BOISE CASCADE - LVL</v>
          </cell>
          <cell r="D332" t="str">
            <v>WBC2LVL12LF</v>
          </cell>
          <cell r="BA332">
            <v>7.76</v>
          </cell>
        </row>
        <row r="333">
          <cell r="C333" t="str">
            <v>2042 - BOISE CASCADE - LVL</v>
          </cell>
          <cell r="D333" t="str">
            <v>WBC2LVL14LF</v>
          </cell>
          <cell r="BA333">
            <v>9.4499999999999993</v>
          </cell>
        </row>
        <row r="334">
          <cell r="C334" t="str">
            <v>2042 - BOISE CASCADE - LVL</v>
          </cell>
          <cell r="D334" t="str">
            <v>WBC2LVL16LF</v>
          </cell>
          <cell r="BA334">
            <v>11.54</v>
          </cell>
        </row>
        <row r="335">
          <cell r="C335" t="str">
            <v>2042 - BOISE CASCADE - LVL</v>
          </cell>
          <cell r="D335" t="str">
            <v>WBC2LVL3127LF</v>
          </cell>
          <cell r="BA335">
            <v>11.69</v>
          </cell>
        </row>
        <row r="336">
          <cell r="C336" t="str">
            <v>2042 - BOISE CASCADE - LVL</v>
          </cell>
          <cell r="D336" t="str">
            <v>WBC2LVL31210LF</v>
          </cell>
          <cell r="BA336">
            <v>13.66</v>
          </cell>
        </row>
        <row r="337">
          <cell r="C337" t="str">
            <v>2042 - BOISE CASCADE - LVL</v>
          </cell>
          <cell r="D337" t="str">
            <v>WBC2LVL31212LF</v>
          </cell>
          <cell r="BA337">
            <v>16.739999999999998</v>
          </cell>
        </row>
        <row r="338">
          <cell r="C338" t="str">
            <v>2042 - BOISE CASCADE - LVL</v>
          </cell>
          <cell r="D338" t="str">
            <v>WBC2LVL31214LF</v>
          </cell>
          <cell r="BA338">
            <v>19.98</v>
          </cell>
        </row>
        <row r="339">
          <cell r="C339" t="str">
            <v>2042 - BOISE CASCADE - LVL</v>
          </cell>
          <cell r="D339" t="str">
            <v>WBC2LVL31216LF</v>
          </cell>
          <cell r="BA339">
            <v>24.68</v>
          </cell>
        </row>
        <row r="340">
          <cell r="C340" t="str">
            <v>2042 - BOISE CASCADE - LVL</v>
          </cell>
          <cell r="D340" t="str">
            <v>WBC2LVL51410LF</v>
          </cell>
          <cell r="BA340">
            <v>21.26</v>
          </cell>
        </row>
        <row r="341">
          <cell r="C341" t="str">
            <v>2042 - BOISE CASCADE - LVL</v>
          </cell>
          <cell r="D341" t="str">
            <v>WBC2LVL51412LF</v>
          </cell>
          <cell r="BA341">
            <v>25.78</v>
          </cell>
        </row>
        <row r="342">
          <cell r="C342" t="str">
            <v>2042 - BOISE CASCADE - LVL</v>
          </cell>
          <cell r="D342" t="str">
            <v>WBC2LVL51414LF</v>
          </cell>
          <cell r="BA342">
            <v>31.04</v>
          </cell>
        </row>
        <row r="343">
          <cell r="C343" t="str">
            <v>2042 - BOISE CASCADE - LVL</v>
          </cell>
          <cell r="D343" t="str">
            <v>WBC2LVL51416LF</v>
          </cell>
          <cell r="BA343">
            <v>38.6</v>
          </cell>
        </row>
        <row r="344">
          <cell r="C344" t="str">
            <v>2042 - BOISE CASCADE - LVL</v>
          </cell>
          <cell r="D344" t="str">
            <v>WBC2LVL71411LF</v>
          </cell>
          <cell r="BA344">
            <v>37.619999999999997</v>
          </cell>
        </row>
        <row r="345">
          <cell r="C345" t="str">
            <v>2042 - BOISE CASCADE - LVL</v>
          </cell>
          <cell r="D345" t="str">
            <v>WBC2LVL71412LF</v>
          </cell>
          <cell r="BA345">
            <v>37.619999999999997</v>
          </cell>
        </row>
        <row r="346">
          <cell r="C346" t="str">
            <v>2042 - BOISE CASCADE - LVL</v>
          </cell>
          <cell r="D346" t="str">
            <v>WBC2LVL71414LF</v>
          </cell>
          <cell r="BA346">
            <v>49.82</v>
          </cell>
        </row>
        <row r="347">
          <cell r="C347" t="str">
            <v>2042 - BOISE CASCADE - LVL</v>
          </cell>
          <cell r="D347" t="str">
            <v>WBC17LVL1126LF</v>
          </cell>
          <cell r="BA347">
            <v>2.65</v>
          </cell>
        </row>
        <row r="348">
          <cell r="C348" t="str">
            <v>2043 - BOISE CASCADE - LSL</v>
          </cell>
          <cell r="D348" t="str">
            <v>10114BCRIM12</v>
          </cell>
          <cell r="BA348">
            <v>33.58</v>
          </cell>
        </row>
        <row r="349">
          <cell r="C349" t="str">
            <v>2043 - BOISE CASCADE - LSL</v>
          </cell>
          <cell r="D349" t="str">
            <v>12114BCRIM12</v>
          </cell>
          <cell r="BA349">
            <v>38.049999999999997</v>
          </cell>
        </row>
        <row r="350">
          <cell r="C350" t="str">
            <v>2043 - BOISE CASCADE - LSL</v>
          </cell>
          <cell r="D350" t="str">
            <v>14114BCRIM12</v>
          </cell>
          <cell r="BA350">
            <v>34.450000000000003</v>
          </cell>
        </row>
        <row r="351">
          <cell r="C351" t="str">
            <v>2043 - BOISE CASCADE - LSL</v>
          </cell>
          <cell r="D351" t="str">
            <v>10118BCRIM24</v>
          </cell>
          <cell r="BA351">
            <v>66.069999999999993</v>
          </cell>
        </row>
        <row r="352">
          <cell r="C352" t="str">
            <v>2043 - BOISE CASCADE - LSL</v>
          </cell>
          <cell r="D352" t="str">
            <v>12118BCRIM24</v>
          </cell>
          <cell r="BA352">
            <v>78.78</v>
          </cell>
        </row>
        <row r="353">
          <cell r="C353" t="str">
            <v>2043 - BOISE CASCADE - LSL</v>
          </cell>
          <cell r="D353" t="str">
            <v>14118BCRIM24</v>
          </cell>
          <cell r="BA353">
            <v>96.85</v>
          </cell>
        </row>
        <row r="354">
          <cell r="C354" t="str">
            <v>2043 - BOISE CASCADE - LSL</v>
          </cell>
          <cell r="D354" t="str">
            <v>14114BCRIM24</v>
          </cell>
          <cell r="BA354">
            <v>135.81</v>
          </cell>
        </row>
        <row r="355">
          <cell r="C355" t="str">
            <v>2043 - BOISE CASCADE - LSL</v>
          </cell>
          <cell r="D355" t="str">
            <v>12114BCRIM24</v>
          </cell>
          <cell r="BA355">
            <v>115.76</v>
          </cell>
        </row>
        <row r="356">
          <cell r="C356" t="str">
            <v>2043 - BOISE CASCADE - LSL</v>
          </cell>
          <cell r="D356" t="str">
            <v>10114BCRIM24</v>
          </cell>
          <cell r="BA356">
            <v>92.33</v>
          </cell>
        </row>
        <row r="357">
          <cell r="C357" t="str">
            <v>2201 - HEM/DOUG FIR-TIMBERS/BEAMS</v>
          </cell>
          <cell r="D357" t="str">
            <v>468GDF2</v>
          </cell>
          <cell r="BA357">
            <v>696</v>
          </cell>
        </row>
        <row r="358">
          <cell r="C358" t="str">
            <v>2201 - HEM/DOUG FIR-TIMBERS/BEAMS</v>
          </cell>
          <cell r="D358" t="str">
            <v>4610GDF2</v>
          </cell>
          <cell r="BA358">
            <v>657</v>
          </cell>
        </row>
        <row r="359">
          <cell r="C359" t="str">
            <v>2201 - HEM/DOUG FIR-TIMBERS/BEAMS</v>
          </cell>
          <cell r="D359" t="str">
            <v>4612GDF2</v>
          </cell>
          <cell r="BA359">
            <v>687</v>
          </cell>
        </row>
        <row r="360">
          <cell r="C360" t="str">
            <v>2201 - HEM/DOUG FIR-TIMBERS/BEAMS</v>
          </cell>
          <cell r="D360" t="str">
            <v>4614GDF2</v>
          </cell>
          <cell r="BA360">
            <v>657</v>
          </cell>
        </row>
        <row r="361">
          <cell r="C361" t="str">
            <v>2201 - HEM/DOUG FIR-TIMBERS/BEAMS</v>
          </cell>
          <cell r="D361" t="str">
            <v>4616GDF2</v>
          </cell>
          <cell r="BA361">
            <v>657</v>
          </cell>
        </row>
        <row r="362">
          <cell r="C362" t="str">
            <v>2201 - HEM/DOUG FIR-TIMBERS/BEAMS</v>
          </cell>
          <cell r="D362" t="str">
            <v>4618GDF2</v>
          </cell>
          <cell r="BA362">
            <v>683</v>
          </cell>
        </row>
        <row r="363">
          <cell r="C363" t="str">
            <v>2201 - HEM/DOUG FIR-TIMBERS/BEAMS</v>
          </cell>
          <cell r="D363" t="str">
            <v>4620GDF2</v>
          </cell>
          <cell r="BA363">
            <v>657</v>
          </cell>
        </row>
        <row r="364">
          <cell r="C364" t="str">
            <v>2201 - HEM/DOUG FIR-TIMBERS/BEAMS</v>
          </cell>
          <cell r="D364" t="str">
            <v>4128GDF2</v>
          </cell>
          <cell r="BA364">
            <v>779</v>
          </cell>
        </row>
        <row r="365">
          <cell r="C365" t="str">
            <v>2201 - HEM/DOUG FIR-TIMBERS/BEAMS</v>
          </cell>
          <cell r="D365" t="str">
            <v>41210GDF2</v>
          </cell>
          <cell r="BA365">
            <v>779</v>
          </cell>
        </row>
        <row r="366">
          <cell r="C366" t="str">
            <v>2201 - HEM/DOUG FIR-TIMBERS/BEAMS</v>
          </cell>
          <cell r="D366" t="str">
            <v>41212GDF2</v>
          </cell>
          <cell r="BA366">
            <v>779</v>
          </cell>
        </row>
        <row r="367">
          <cell r="C367" t="str">
            <v>2201 - HEM/DOUG FIR-TIMBERS/BEAMS</v>
          </cell>
          <cell r="D367" t="str">
            <v>41214GDF2</v>
          </cell>
          <cell r="BA367">
            <v>779</v>
          </cell>
        </row>
        <row r="368">
          <cell r="C368" t="str">
            <v>2201 - HEM/DOUG FIR-TIMBERS/BEAMS</v>
          </cell>
          <cell r="D368" t="str">
            <v>41216GDF2</v>
          </cell>
          <cell r="BA368">
            <v>779</v>
          </cell>
        </row>
        <row r="369">
          <cell r="C369" t="str">
            <v>2201 - HEM/DOUG FIR-TIMBERS/BEAMS</v>
          </cell>
          <cell r="D369" t="str">
            <v>41218GDF2</v>
          </cell>
          <cell r="BA369">
            <v>779</v>
          </cell>
        </row>
        <row r="370">
          <cell r="C370" t="str">
            <v>2201 - HEM/DOUG FIR-TIMBERS/BEAMS</v>
          </cell>
          <cell r="D370" t="str">
            <v>41220GDF2</v>
          </cell>
          <cell r="BA370">
            <v>779</v>
          </cell>
        </row>
        <row r="371">
          <cell r="C371" t="str">
            <v>2201 - HEM/DOUG FIR-TIMBERS/BEAMS</v>
          </cell>
          <cell r="D371" t="str">
            <v>668GDF2</v>
          </cell>
          <cell r="BA371">
            <v>980</v>
          </cell>
        </row>
        <row r="372">
          <cell r="C372" t="str">
            <v>2201 - HEM/DOUG FIR-TIMBERS/BEAMS</v>
          </cell>
          <cell r="D372" t="str">
            <v>6610GDF2</v>
          </cell>
          <cell r="BA372">
            <v>1013</v>
          </cell>
        </row>
        <row r="373">
          <cell r="C373" t="str">
            <v>2201 - HEM/DOUG FIR-TIMBERS/BEAMS</v>
          </cell>
          <cell r="D373" t="str">
            <v>6612GDF2</v>
          </cell>
          <cell r="BA373">
            <v>963</v>
          </cell>
        </row>
        <row r="374">
          <cell r="C374" t="str">
            <v>2201 - HEM/DOUG FIR-TIMBERS/BEAMS</v>
          </cell>
          <cell r="D374" t="str">
            <v>6616GDF2</v>
          </cell>
          <cell r="BA374">
            <v>962</v>
          </cell>
        </row>
        <row r="375">
          <cell r="C375" t="str">
            <v>2201 - HEM/DOUG FIR-TIMBERS/BEAMS</v>
          </cell>
          <cell r="D375" t="str">
            <v>6618GDF2</v>
          </cell>
          <cell r="BA375">
            <v>952</v>
          </cell>
        </row>
        <row r="376">
          <cell r="C376" t="str">
            <v>2201 - HEM/DOUG FIR-TIMBERS/BEAMS</v>
          </cell>
          <cell r="D376" t="str">
            <v>6620GDF2</v>
          </cell>
          <cell r="BA376">
            <v>1013</v>
          </cell>
        </row>
        <row r="377">
          <cell r="C377" t="str">
            <v>2201 - HEM/DOUG FIR-TIMBERS/BEAMS</v>
          </cell>
          <cell r="D377" t="str">
            <v>46GDF2</v>
          </cell>
          <cell r="BA377">
            <v>1387</v>
          </cell>
        </row>
        <row r="378">
          <cell r="C378" t="str">
            <v>2201 - HEM/DOUG FIR-TIMBERS/BEAMS</v>
          </cell>
          <cell r="D378" t="str">
            <v>48GDF2</v>
          </cell>
          <cell r="BA378">
            <v>1075</v>
          </cell>
        </row>
        <row r="379">
          <cell r="C379" t="str">
            <v>2201 - HEM/DOUG FIR-TIMBERS/BEAMS</v>
          </cell>
          <cell r="D379" t="str">
            <v>488GDF2</v>
          </cell>
          <cell r="BA379">
            <v>779</v>
          </cell>
        </row>
        <row r="380">
          <cell r="C380" t="str">
            <v>2201 - HEM/DOUG FIR-TIMBERS/BEAMS</v>
          </cell>
          <cell r="D380" t="str">
            <v>4810GDF2</v>
          </cell>
          <cell r="BA380">
            <v>779</v>
          </cell>
        </row>
        <row r="381">
          <cell r="C381" t="str">
            <v>2201 - HEM/DOUG FIR-TIMBERS/BEAMS</v>
          </cell>
          <cell r="D381" t="str">
            <v>4812GDF2</v>
          </cell>
          <cell r="BA381">
            <v>779</v>
          </cell>
        </row>
        <row r="382">
          <cell r="C382" t="str">
            <v>2201 - HEM/DOUG FIR-TIMBERS/BEAMS</v>
          </cell>
          <cell r="D382" t="str">
            <v>4814GDF2</v>
          </cell>
          <cell r="BA382">
            <v>779</v>
          </cell>
        </row>
        <row r="383">
          <cell r="C383" t="str">
            <v>2201 - HEM/DOUG FIR-TIMBERS/BEAMS</v>
          </cell>
          <cell r="D383" t="str">
            <v>4816GDF2</v>
          </cell>
          <cell r="BA383">
            <v>779</v>
          </cell>
        </row>
        <row r="384">
          <cell r="C384" t="str">
            <v>2201 - HEM/DOUG FIR-TIMBERS/BEAMS</v>
          </cell>
          <cell r="D384" t="str">
            <v>4818GDF2</v>
          </cell>
          <cell r="BA384">
            <v>779</v>
          </cell>
        </row>
        <row r="385">
          <cell r="C385" t="str">
            <v>2201 - HEM/DOUG FIR-TIMBERS/BEAMS</v>
          </cell>
          <cell r="D385" t="str">
            <v>4820GDF2</v>
          </cell>
          <cell r="BA385">
            <v>779</v>
          </cell>
        </row>
        <row r="386">
          <cell r="C386" t="str">
            <v>2201 - HEM/DOUG FIR-TIMBERS/BEAMS</v>
          </cell>
          <cell r="D386" t="str">
            <v>410GDF2</v>
          </cell>
          <cell r="BA386">
            <v>974</v>
          </cell>
        </row>
        <row r="387">
          <cell r="C387" t="str">
            <v>2201 - HEM/DOUG FIR-TIMBERS/BEAMS</v>
          </cell>
          <cell r="D387" t="str">
            <v>4108GDF2</v>
          </cell>
          <cell r="BA387">
            <v>779</v>
          </cell>
        </row>
        <row r="388">
          <cell r="C388" t="str">
            <v>2201 - HEM/DOUG FIR-TIMBERS/BEAMS</v>
          </cell>
          <cell r="D388" t="str">
            <v>41010GDF2</v>
          </cell>
          <cell r="BA388">
            <v>779</v>
          </cell>
        </row>
        <row r="389">
          <cell r="C389" t="str">
            <v>2201 - HEM/DOUG FIR-TIMBERS/BEAMS</v>
          </cell>
          <cell r="D389" t="str">
            <v>41012GDF2</v>
          </cell>
          <cell r="BA389">
            <v>779</v>
          </cell>
        </row>
        <row r="390">
          <cell r="C390" t="str">
            <v>2201 - HEM/DOUG FIR-TIMBERS/BEAMS</v>
          </cell>
          <cell r="D390" t="str">
            <v>41014GDF2</v>
          </cell>
          <cell r="BA390">
            <v>779</v>
          </cell>
        </row>
        <row r="391">
          <cell r="C391" t="str">
            <v>2201 - HEM/DOUG FIR-TIMBERS/BEAMS</v>
          </cell>
          <cell r="D391" t="str">
            <v>41016GDF2</v>
          </cell>
          <cell r="BA391">
            <v>779</v>
          </cell>
        </row>
        <row r="392">
          <cell r="C392" t="str">
            <v>2201 - HEM/DOUG FIR-TIMBERS/BEAMS</v>
          </cell>
          <cell r="D392" t="str">
            <v>41018GDF2</v>
          </cell>
          <cell r="BA392">
            <v>779</v>
          </cell>
        </row>
        <row r="393">
          <cell r="C393" t="str">
            <v>2201 - HEM/DOUG FIR-TIMBERS/BEAMS</v>
          </cell>
          <cell r="D393" t="str">
            <v>41020GDF2</v>
          </cell>
          <cell r="BA393">
            <v>779</v>
          </cell>
        </row>
        <row r="394">
          <cell r="C394" t="str">
            <v>2201 - HEM/DOUG FIR-TIMBERS/BEAMS</v>
          </cell>
          <cell r="D394" t="str">
            <v>412GDF2</v>
          </cell>
          <cell r="BA394">
            <v>1180</v>
          </cell>
        </row>
        <row r="395">
          <cell r="C395" t="str">
            <v>2201 - HEM/DOUG FIR-TIMBERS/BEAMS</v>
          </cell>
          <cell r="D395" t="str">
            <v>66GDF2</v>
          </cell>
          <cell r="BA395">
            <v>952</v>
          </cell>
        </row>
        <row r="396">
          <cell r="C396" t="str">
            <v>2201 - HEM/DOUG FIR-TIMBERS/BEAMS</v>
          </cell>
          <cell r="D396" t="str">
            <v>68GDF2</v>
          </cell>
          <cell r="BA396">
            <v>1066</v>
          </cell>
        </row>
        <row r="397">
          <cell r="C397" t="str">
            <v>2201 - HEM/DOUG FIR-TIMBERS/BEAMS</v>
          </cell>
          <cell r="D397" t="str">
            <v>688GDF2</v>
          </cell>
          <cell r="BA397">
            <v>963</v>
          </cell>
        </row>
        <row r="398">
          <cell r="C398" t="str">
            <v>2201 - HEM/DOUG FIR-TIMBERS/BEAMS</v>
          </cell>
          <cell r="D398" t="str">
            <v>6810GDF2</v>
          </cell>
          <cell r="BA398">
            <v>964</v>
          </cell>
        </row>
        <row r="399">
          <cell r="C399" t="str">
            <v>2201 - HEM/DOUG FIR-TIMBERS/BEAMS</v>
          </cell>
          <cell r="D399" t="str">
            <v>6812GDF2</v>
          </cell>
          <cell r="BA399">
            <v>969</v>
          </cell>
        </row>
        <row r="400">
          <cell r="C400" t="str">
            <v>2201 - HEM/DOUG FIR-TIMBERS/BEAMS</v>
          </cell>
          <cell r="D400" t="str">
            <v>6814GDF2</v>
          </cell>
          <cell r="BA400">
            <v>952</v>
          </cell>
        </row>
        <row r="401">
          <cell r="C401" t="str">
            <v>2201 - HEM/DOUG FIR-TIMBERS/BEAMS</v>
          </cell>
          <cell r="D401" t="str">
            <v>6816GDF2</v>
          </cell>
          <cell r="BA401">
            <v>964</v>
          </cell>
        </row>
        <row r="402">
          <cell r="C402" t="str">
            <v>2201 - HEM/DOUG FIR-TIMBERS/BEAMS</v>
          </cell>
          <cell r="D402" t="str">
            <v>6820GDF2</v>
          </cell>
          <cell r="BA402">
            <v>956</v>
          </cell>
        </row>
        <row r="403">
          <cell r="C403" t="str">
            <v>2201 - HEM/DOUG FIR-TIMBERS/BEAMS</v>
          </cell>
          <cell r="D403" t="str">
            <v>610GDF2</v>
          </cell>
          <cell r="BA403">
            <v>1254</v>
          </cell>
        </row>
        <row r="404">
          <cell r="C404" t="str">
            <v>2201 - HEM/DOUG FIR-TIMBERS/BEAMS</v>
          </cell>
          <cell r="D404" t="str">
            <v>6108GDF2</v>
          </cell>
          <cell r="BA404">
            <v>969</v>
          </cell>
        </row>
        <row r="405">
          <cell r="C405" t="str">
            <v>2201 - HEM/DOUG FIR-TIMBERS/BEAMS</v>
          </cell>
          <cell r="D405" t="str">
            <v>61010GDF2</v>
          </cell>
          <cell r="BA405">
            <v>955</v>
          </cell>
        </row>
        <row r="406">
          <cell r="C406" t="str">
            <v>2201 - HEM/DOUG FIR-TIMBERS/BEAMS</v>
          </cell>
          <cell r="D406" t="str">
            <v>61012GDF2</v>
          </cell>
          <cell r="BA406">
            <v>963</v>
          </cell>
        </row>
        <row r="407">
          <cell r="C407" t="str">
            <v>2201 - HEM/DOUG FIR-TIMBERS/BEAMS</v>
          </cell>
          <cell r="D407" t="str">
            <v>61014GDF2</v>
          </cell>
          <cell r="BA407">
            <v>952</v>
          </cell>
        </row>
        <row r="408">
          <cell r="C408" t="str">
            <v>2201 - HEM/DOUG FIR-TIMBERS/BEAMS</v>
          </cell>
          <cell r="D408" t="str">
            <v>61016GDF2</v>
          </cell>
          <cell r="BA408">
            <v>967</v>
          </cell>
        </row>
        <row r="409">
          <cell r="C409" t="str">
            <v>2201 - HEM/DOUG FIR-TIMBERS/BEAMS</v>
          </cell>
          <cell r="D409" t="str">
            <v>61020GDF2</v>
          </cell>
          <cell r="BA409">
            <v>960</v>
          </cell>
        </row>
        <row r="410">
          <cell r="C410" t="str">
            <v>2201 - HEM/DOUG FIR-TIMBERS/BEAMS</v>
          </cell>
          <cell r="D410" t="str">
            <v>612GDF2</v>
          </cell>
          <cell r="BA410">
            <v>1153</v>
          </cell>
        </row>
        <row r="411">
          <cell r="C411" t="str">
            <v>2201 - HEM/DOUG FIR-TIMBERS/BEAMS</v>
          </cell>
          <cell r="D411" t="str">
            <v>6128GDF2</v>
          </cell>
          <cell r="BA411">
            <v>964</v>
          </cell>
        </row>
        <row r="412">
          <cell r="C412" t="str">
            <v>2201 - HEM/DOUG FIR-TIMBERS/BEAMS</v>
          </cell>
          <cell r="D412" t="str">
            <v>61210GDF2</v>
          </cell>
          <cell r="BA412">
            <v>965</v>
          </cell>
        </row>
        <row r="413">
          <cell r="C413" t="str">
            <v>2201 - HEM/DOUG FIR-TIMBERS/BEAMS</v>
          </cell>
          <cell r="D413" t="str">
            <v>61212GDF2</v>
          </cell>
          <cell r="BA413">
            <v>952</v>
          </cell>
        </row>
        <row r="414">
          <cell r="C414" t="str">
            <v>2201 - HEM/DOUG FIR-TIMBERS/BEAMS</v>
          </cell>
          <cell r="D414" t="str">
            <v>61214GDF2</v>
          </cell>
          <cell r="BA414">
            <v>952</v>
          </cell>
        </row>
        <row r="415">
          <cell r="C415" t="str">
            <v>2201 - HEM/DOUG FIR-TIMBERS/BEAMS</v>
          </cell>
          <cell r="D415" t="str">
            <v>61216GDF2</v>
          </cell>
          <cell r="BA415">
            <v>958</v>
          </cell>
        </row>
        <row r="416">
          <cell r="C416" t="str">
            <v>2201 - HEM/DOUG FIR-TIMBERS/BEAMS</v>
          </cell>
          <cell r="D416" t="str">
            <v>61220GDF2</v>
          </cell>
          <cell r="BA416">
            <v>960</v>
          </cell>
        </row>
        <row r="417">
          <cell r="C417" t="str">
            <v>2201 - HEM/DOUG FIR-TIMBERS/BEAMS</v>
          </cell>
          <cell r="D417" t="str">
            <v>44GDF</v>
          </cell>
          <cell r="BA417">
            <v>1136</v>
          </cell>
        </row>
        <row r="418">
          <cell r="C418" t="str">
            <v>2201 - HEM/DOUG FIR-TIMBERS/BEAMS</v>
          </cell>
          <cell r="D418" t="str">
            <v>448GDF</v>
          </cell>
          <cell r="BA418">
            <v>681</v>
          </cell>
        </row>
        <row r="419">
          <cell r="C419" t="str">
            <v>2201 - HEM/DOUG FIR-TIMBERS/BEAMS</v>
          </cell>
          <cell r="D419" t="str">
            <v>4410GDF</v>
          </cell>
          <cell r="BA419">
            <v>658</v>
          </cell>
        </row>
        <row r="420">
          <cell r="C420" t="str">
            <v>2201 - HEM/DOUG FIR-TIMBERS/BEAMS</v>
          </cell>
          <cell r="D420" t="str">
            <v>4412GDF</v>
          </cell>
          <cell r="BA420">
            <v>721</v>
          </cell>
        </row>
        <row r="421">
          <cell r="C421" t="str">
            <v>2201 - HEM/DOUG FIR-TIMBERS/BEAMS</v>
          </cell>
          <cell r="D421" t="str">
            <v>4416GDF</v>
          </cell>
          <cell r="BA421">
            <v>653</v>
          </cell>
        </row>
        <row r="422">
          <cell r="C422" t="str">
            <v>2203 - CEDAR/REDWOOD</v>
          </cell>
          <cell r="D422" t="str">
            <v>44GWRCC</v>
          </cell>
          <cell r="BA422">
            <v>4875</v>
          </cell>
        </row>
        <row r="423">
          <cell r="C423" t="str">
            <v>2203 - CEDAR/REDWOOD</v>
          </cell>
          <cell r="D423" t="str">
            <v>448GWRCC</v>
          </cell>
          <cell r="BA423">
            <v>9872</v>
          </cell>
        </row>
        <row r="424">
          <cell r="C424" t="str">
            <v>2203 - CEDAR/REDWOOD</v>
          </cell>
          <cell r="D424" t="str">
            <v>4410GWRCC</v>
          </cell>
          <cell r="BA424">
            <v>9872</v>
          </cell>
        </row>
        <row r="425">
          <cell r="C425" t="str">
            <v>2203 - CEDAR/REDWOOD</v>
          </cell>
          <cell r="D425" t="str">
            <v>4412GWRCC</v>
          </cell>
          <cell r="BA425">
            <v>9872</v>
          </cell>
        </row>
        <row r="426">
          <cell r="C426" t="str">
            <v>2203 - CEDAR/REDWOOD</v>
          </cell>
          <cell r="D426" t="str">
            <v>448SWRCG</v>
          </cell>
          <cell r="BA426">
            <v>4097</v>
          </cell>
        </row>
        <row r="427">
          <cell r="C427" t="str">
            <v>2203 - CEDAR/REDWOOD</v>
          </cell>
          <cell r="D427" t="str">
            <v>4410SWRCG</v>
          </cell>
          <cell r="BA427">
            <v>4097</v>
          </cell>
        </row>
        <row r="428">
          <cell r="C428" t="str">
            <v>2203 - CEDAR/REDWOOD</v>
          </cell>
          <cell r="D428" t="str">
            <v>4412SWRCG</v>
          </cell>
          <cell r="BA428">
            <v>4097</v>
          </cell>
        </row>
        <row r="429">
          <cell r="C429" t="str">
            <v>2502 - HEM FIR-LUMBER</v>
          </cell>
          <cell r="D429" t="str">
            <v>26HF2</v>
          </cell>
          <cell r="BA429">
            <v>484</v>
          </cell>
        </row>
        <row r="430">
          <cell r="C430" t="str">
            <v>2502 - HEM FIR-LUMBER</v>
          </cell>
          <cell r="D430" t="str">
            <v>268HF2</v>
          </cell>
          <cell r="BA430">
            <v>484</v>
          </cell>
        </row>
        <row r="431">
          <cell r="C431" t="str">
            <v>2502 - HEM FIR-LUMBER</v>
          </cell>
          <cell r="D431" t="str">
            <v>2610HF2</v>
          </cell>
          <cell r="BA431">
            <v>484</v>
          </cell>
        </row>
        <row r="432">
          <cell r="C432" t="str">
            <v>2502 - HEM FIR-LUMBER</v>
          </cell>
          <cell r="D432" t="str">
            <v>2612HF2</v>
          </cell>
          <cell r="BA432">
            <v>484</v>
          </cell>
        </row>
        <row r="433">
          <cell r="C433" t="str">
            <v>2502 - HEM FIR-LUMBER</v>
          </cell>
          <cell r="D433" t="str">
            <v>2614HF2</v>
          </cell>
          <cell r="BA433">
            <v>484</v>
          </cell>
        </row>
        <row r="434">
          <cell r="C434" t="str">
            <v>2502 - HEM FIR-LUMBER</v>
          </cell>
          <cell r="D434" t="str">
            <v>2616HF2</v>
          </cell>
          <cell r="BA434">
            <v>484</v>
          </cell>
        </row>
        <row r="435">
          <cell r="C435" t="str">
            <v>2502 - HEM FIR-LUMBER</v>
          </cell>
          <cell r="D435" t="str">
            <v>2618HF2</v>
          </cell>
          <cell r="BA435">
            <v>484</v>
          </cell>
        </row>
        <row r="436">
          <cell r="C436" t="str">
            <v>2502 - HEM FIR-LUMBER</v>
          </cell>
          <cell r="D436" t="str">
            <v>2620HF2</v>
          </cell>
          <cell r="BA436">
            <v>484</v>
          </cell>
        </row>
        <row r="437">
          <cell r="C437" t="str">
            <v>2502 - HEM FIR-LUMBER</v>
          </cell>
          <cell r="D437" t="str">
            <v>24HF</v>
          </cell>
          <cell r="BA437">
            <v>545</v>
          </cell>
        </row>
        <row r="438">
          <cell r="C438" t="str">
            <v>2502 - HEM FIR-LUMBER</v>
          </cell>
          <cell r="D438" t="str">
            <v>248HF</v>
          </cell>
          <cell r="BA438">
            <v>545</v>
          </cell>
        </row>
        <row r="439">
          <cell r="C439" t="str">
            <v>2502 - HEM FIR-LUMBER</v>
          </cell>
          <cell r="D439" t="str">
            <v>2410HF</v>
          </cell>
          <cell r="BA439">
            <v>545</v>
          </cell>
        </row>
        <row r="440">
          <cell r="C440" t="str">
            <v>2502 - HEM FIR-LUMBER</v>
          </cell>
          <cell r="D440" t="str">
            <v>2412HF</v>
          </cell>
          <cell r="BA440">
            <v>545</v>
          </cell>
        </row>
        <row r="441">
          <cell r="C441" t="str">
            <v>2502 - HEM FIR-LUMBER</v>
          </cell>
          <cell r="D441" t="str">
            <v>2414HF</v>
          </cell>
          <cell r="BA441">
            <v>545</v>
          </cell>
        </row>
        <row r="442">
          <cell r="C442" t="str">
            <v>2502 - HEM FIR-LUMBER</v>
          </cell>
          <cell r="D442" t="str">
            <v>2416HF</v>
          </cell>
          <cell r="BA442">
            <v>545</v>
          </cell>
        </row>
        <row r="443">
          <cell r="C443" t="str">
            <v>2502 - HEM FIR-LUMBER</v>
          </cell>
          <cell r="D443" t="str">
            <v>2418HF</v>
          </cell>
          <cell r="BA443">
            <v>545</v>
          </cell>
        </row>
        <row r="444">
          <cell r="C444" t="str">
            <v>2502 - HEM FIR-LUMBER</v>
          </cell>
          <cell r="D444" t="str">
            <v>2420HF</v>
          </cell>
          <cell r="BA444">
            <v>545</v>
          </cell>
        </row>
        <row r="445">
          <cell r="C445" t="str">
            <v>2503 - DOUG FIR-LUMBER</v>
          </cell>
          <cell r="D445" t="str">
            <v>24DF</v>
          </cell>
          <cell r="BA445">
            <v>606</v>
          </cell>
        </row>
        <row r="446">
          <cell r="C446" t="str">
            <v>2503 - DOUG FIR-LUMBER</v>
          </cell>
          <cell r="D446" t="str">
            <v>248DF</v>
          </cell>
          <cell r="BA446">
            <v>606</v>
          </cell>
        </row>
        <row r="447">
          <cell r="C447" t="str">
            <v>2503 - DOUG FIR-LUMBER</v>
          </cell>
          <cell r="D447" t="str">
            <v>2410DF</v>
          </cell>
          <cell r="BA447">
            <v>606</v>
          </cell>
        </row>
        <row r="448">
          <cell r="C448" t="str">
            <v>2503 - DOUG FIR-LUMBER</v>
          </cell>
          <cell r="D448" t="str">
            <v>2412DF</v>
          </cell>
          <cell r="BA448">
            <v>606</v>
          </cell>
        </row>
        <row r="449">
          <cell r="C449" t="str">
            <v>2503 - DOUG FIR-LUMBER</v>
          </cell>
          <cell r="D449" t="str">
            <v>2414DF</v>
          </cell>
          <cell r="BA449">
            <v>606</v>
          </cell>
        </row>
        <row r="450">
          <cell r="C450" t="str">
            <v>2503 - DOUG FIR-LUMBER</v>
          </cell>
          <cell r="D450" t="str">
            <v>2416DF</v>
          </cell>
          <cell r="BA450">
            <v>606</v>
          </cell>
        </row>
        <row r="451">
          <cell r="C451" t="str">
            <v>2503 - DOUG FIR-LUMBER</v>
          </cell>
          <cell r="D451" t="str">
            <v>2418DF</v>
          </cell>
          <cell r="BA451">
            <v>606</v>
          </cell>
        </row>
        <row r="452">
          <cell r="C452" t="str">
            <v>2503 - DOUG FIR-LUMBER</v>
          </cell>
          <cell r="D452" t="str">
            <v>2420DF</v>
          </cell>
          <cell r="BA452">
            <v>606</v>
          </cell>
        </row>
        <row r="453">
          <cell r="C453" t="str">
            <v>2503 - DOUG FIR-LUMBER</v>
          </cell>
          <cell r="D453" t="str">
            <v>21024DFSS</v>
          </cell>
          <cell r="BA453">
            <v>1978</v>
          </cell>
        </row>
        <row r="454">
          <cell r="C454" t="str">
            <v>2503 - DOUG FIR-LUMBER</v>
          </cell>
          <cell r="D454" t="str">
            <v>26DF2</v>
          </cell>
          <cell r="BA454">
            <v>550</v>
          </cell>
        </row>
        <row r="455">
          <cell r="C455" t="str">
            <v>2503 - DOUG FIR-LUMBER</v>
          </cell>
          <cell r="D455" t="str">
            <v>268DF2</v>
          </cell>
          <cell r="BA455">
            <v>550</v>
          </cell>
        </row>
        <row r="456">
          <cell r="C456" t="str">
            <v>2503 - DOUG FIR-LUMBER</v>
          </cell>
          <cell r="D456" t="str">
            <v>2610DF2</v>
          </cell>
          <cell r="BA456">
            <v>550</v>
          </cell>
        </row>
        <row r="457">
          <cell r="C457" t="str">
            <v>2503 - DOUG FIR-LUMBER</v>
          </cell>
          <cell r="D457" t="str">
            <v>2612DF2</v>
          </cell>
          <cell r="BA457">
            <v>550</v>
          </cell>
        </row>
        <row r="458">
          <cell r="C458" t="str">
            <v>2503 - DOUG FIR-LUMBER</v>
          </cell>
          <cell r="D458" t="str">
            <v>2614DF2</v>
          </cell>
          <cell r="BA458">
            <v>550</v>
          </cell>
        </row>
        <row r="459">
          <cell r="C459" t="str">
            <v>2503 - DOUG FIR-LUMBER</v>
          </cell>
          <cell r="D459" t="str">
            <v>2616DF2</v>
          </cell>
          <cell r="BA459">
            <v>550</v>
          </cell>
        </row>
        <row r="460">
          <cell r="C460" t="str">
            <v>2503 - DOUG FIR-LUMBER</v>
          </cell>
          <cell r="D460" t="str">
            <v>2618DF2</v>
          </cell>
          <cell r="BA460">
            <v>551</v>
          </cell>
        </row>
        <row r="461">
          <cell r="C461" t="str">
            <v>2503 - DOUG FIR-LUMBER</v>
          </cell>
          <cell r="D461" t="str">
            <v>2620DF2</v>
          </cell>
          <cell r="BA461">
            <v>550</v>
          </cell>
        </row>
        <row r="462">
          <cell r="C462" t="str">
            <v>2503 - DOUG FIR-LUMBER</v>
          </cell>
          <cell r="D462" t="str">
            <v>2624DF2</v>
          </cell>
          <cell r="BA462">
            <v>907</v>
          </cell>
        </row>
        <row r="463">
          <cell r="C463" t="str">
            <v>2503 - DOUG FIR-LUMBER</v>
          </cell>
          <cell r="D463" t="str">
            <v>28DF2</v>
          </cell>
          <cell r="BA463">
            <v>617</v>
          </cell>
        </row>
        <row r="464">
          <cell r="C464" t="str">
            <v>2503 - DOUG FIR-LUMBER</v>
          </cell>
          <cell r="D464" t="str">
            <v>288DF2</v>
          </cell>
          <cell r="BA464">
            <v>617</v>
          </cell>
        </row>
        <row r="465">
          <cell r="C465" t="str">
            <v>2503 - DOUG FIR-LUMBER</v>
          </cell>
          <cell r="D465" t="str">
            <v>2810DF2</v>
          </cell>
          <cell r="BA465">
            <v>617</v>
          </cell>
        </row>
        <row r="466">
          <cell r="C466" t="str">
            <v>2503 - DOUG FIR-LUMBER</v>
          </cell>
          <cell r="D466" t="str">
            <v>2812DF2</v>
          </cell>
          <cell r="BA466">
            <v>617</v>
          </cell>
        </row>
        <row r="467">
          <cell r="C467" t="str">
            <v>2503 - DOUG FIR-LUMBER</v>
          </cell>
          <cell r="D467" t="str">
            <v>2814DF2</v>
          </cell>
          <cell r="BA467">
            <v>617</v>
          </cell>
        </row>
        <row r="468">
          <cell r="C468" t="str">
            <v>2503 - DOUG FIR-LUMBER</v>
          </cell>
          <cell r="D468" t="str">
            <v>2816DF2</v>
          </cell>
          <cell r="BA468">
            <v>680</v>
          </cell>
        </row>
        <row r="469">
          <cell r="C469" t="str">
            <v>2503 - DOUG FIR-LUMBER</v>
          </cell>
          <cell r="D469" t="str">
            <v>2818DF2</v>
          </cell>
          <cell r="BA469">
            <v>653</v>
          </cell>
        </row>
        <row r="470">
          <cell r="C470" t="str">
            <v>2503 - DOUG FIR-LUMBER</v>
          </cell>
          <cell r="D470" t="str">
            <v>2820DF2</v>
          </cell>
          <cell r="BA470">
            <v>659</v>
          </cell>
        </row>
        <row r="471">
          <cell r="C471" t="str">
            <v>2503 - DOUG FIR-LUMBER</v>
          </cell>
          <cell r="D471" t="str">
            <v>210DF2</v>
          </cell>
          <cell r="BA471">
            <v>628</v>
          </cell>
        </row>
        <row r="472">
          <cell r="C472" t="str">
            <v>2503 - DOUG FIR-LUMBER</v>
          </cell>
          <cell r="D472" t="str">
            <v>2108DF2</v>
          </cell>
          <cell r="BA472">
            <v>628</v>
          </cell>
        </row>
        <row r="473">
          <cell r="C473" t="str">
            <v>2503 - DOUG FIR-LUMBER</v>
          </cell>
          <cell r="D473" t="str">
            <v>21010DF2</v>
          </cell>
          <cell r="BA473">
            <v>628</v>
          </cell>
        </row>
        <row r="474">
          <cell r="C474" t="str">
            <v>2503 - DOUG FIR-LUMBER</v>
          </cell>
          <cell r="D474" t="str">
            <v>21012DF2</v>
          </cell>
          <cell r="BA474">
            <v>628</v>
          </cell>
        </row>
        <row r="475">
          <cell r="C475" t="str">
            <v>2503 - DOUG FIR-LUMBER</v>
          </cell>
          <cell r="D475" t="str">
            <v>21014DF2</v>
          </cell>
          <cell r="BA475">
            <v>628</v>
          </cell>
        </row>
        <row r="476">
          <cell r="C476" t="str">
            <v>2503 - DOUG FIR-LUMBER</v>
          </cell>
          <cell r="D476" t="str">
            <v>21016DF2</v>
          </cell>
          <cell r="BA476">
            <v>689</v>
          </cell>
        </row>
        <row r="477">
          <cell r="C477" t="str">
            <v>2503 - DOUG FIR-LUMBER</v>
          </cell>
          <cell r="D477" t="str">
            <v>21018DF2</v>
          </cell>
          <cell r="BA477">
            <v>684</v>
          </cell>
        </row>
        <row r="478">
          <cell r="C478" t="str">
            <v>2503 - DOUG FIR-LUMBER</v>
          </cell>
          <cell r="D478" t="str">
            <v>21020DF2</v>
          </cell>
          <cell r="BA478">
            <v>693</v>
          </cell>
        </row>
        <row r="479">
          <cell r="C479" t="str">
            <v>2503 - DOUG FIR-LUMBER</v>
          </cell>
          <cell r="D479" t="str">
            <v>212DF2</v>
          </cell>
          <cell r="BA479">
            <v>656</v>
          </cell>
        </row>
        <row r="480">
          <cell r="C480" t="str">
            <v>2503 - DOUG FIR-LUMBER</v>
          </cell>
          <cell r="D480" t="str">
            <v>2128DF2</v>
          </cell>
          <cell r="BA480">
            <v>656</v>
          </cell>
        </row>
        <row r="481">
          <cell r="C481" t="str">
            <v>2503 - DOUG FIR-LUMBER</v>
          </cell>
          <cell r="D481" t="str">
            <v>21210DF2</v>
          </cell>
          <cell r="BA481">
            <v>656</v>
          </cell>
        </row>
        <row r="482">
          <cell r="C482" t="str">
            <v>2503 - DOUG FIR-LUMBER</v>
          </cell>
          <cell r="D482" t="str">
            <v>21212DF2</v>
          </cell>
          <cell r="BA482">
            <v>656</v>
          </cell>
        </row>
        <row r="483">
          <cell r="C483" t="str">
            <v>2503 - DOUG FIR-LUMBER</v>
          </cell>
          <cell r="D483" t="str">
            <v>21214DF2</v>
          </cell>
          <cell r="BA483">
            <v>656</v>
          </cell>
        </row>
        <row r="484">
          <cell r="C484" t="str">
            <v>2503 - DOUG FIR-LUMBER</v>
          </cell>
          <cell r="D484" t="str">
            <v>21216DF2</v>
          </cell>
          <cell r="BA484">
            <v>740</v>
          </cell>
        </row>
        <row r="485">
          <cell r="C485" t="str">
            <v>2503 - DOUG FIR-LUMBER</v>
          </cell>
          <cell r="D485" t="str">
            <v>21218DF2</v>
          </cell>
          <cell r="BA485">
            <v>729</v>
          </cell>
        </row>
        <row r="486">
          <cell r="C486" t="str">
            <v>2503 - DOUG FIR-LUMBER</v>
          </cell>
          <cell r="D486" t="str">
            <v>21220DF2</v>
          </cell>
          <cell r="BA486">
            <v>823</v>
          </cell>
        </row>
        <row r="487">
          <cell r="C487" t="str">
            <v>2503 - DOUG FIR-LUMBER</v>
          </cell>
          <cell r="D487" t="str">
            <v>21222DF2</v>
          </cell>
          <cell r="BA487">
            <v>1396</v>
          </cell>
        </row>
        <row r="488">
          <cell r="C488" t="str">
            <v>2503 - DOUG FIR-LUMBER</v>
          </cell>
          <cell r="D488" t="str">
            <v>21224DF2</v>
          </cell>
          <cell r="BA488">
            <v>1390</v>
          </cell>
        </row>
        <row r="489">
          <cell r="C489" t="str">
            <v>2503 - DOUG FIR-LUMBER</v>
          </cell>
          <cell r="D489" t="str">
            <v>2312DF</v>
          </cell>
          <cell r="BA489">
            <v>975</v>
          </cell>
        </row>
        <row r="490">
          <cell r="C490" t="str">
            <v>2503 - DOUG FIR-LUMBER</v>
          </cell>
          <cell r="D490" t="str">
            <v>2212DF</v>
          </cell>
          <cell r="BA490">
            <v>1028</v>
          </cell>
        </row>
        <row r="491">
          <cell r="C491" t="str">
            <v>2503 - DOUG FIR-LUMBER</v>
          </cell>
          <cell r="D491" t="str">
            <v>2210DF</v>
          </cell>
          <cell r="BA491">
            <v>1028</v>
          </cell>
        </row>
        <row r="492">
          <cell r="C492" t="str">
            <v>2503 - DOUG FIR-LUMBER</v>
          </cell>
          <cell r="D492" t="str">
            <v>2310DF</v>
          </cell>
          <cell r="BA492">
            <v>973</v>
          </cell>
        </row>
        <row r="493">
          <cell r="C493" t="str">
            <v>2503 - DOUG FIR-LUMBER</v>
          </cell>
          <cell r="D493" t="str">
            <v>228DF</v>
          </cell>
          <cell r="BA493">
            <v>884</v>
          </cell>
        </row>
        <row r="494">
          <cell r="C494" t="str">
            <v>2503 - DOUG FIR-LUMBER</v>
          </cell>
          <cell r="D494" t="str">
            <v>238DF</v>
          </cell>
          <cell r="BA494">
            <v>906</v>
          </cell>
        </row>
        <row r="495">
          <cell r="C495" t="str">
            <v>2503 - DOUG FIR-LUMBER</v>
          </cell>
          <cell r="D495" t="str">
            <v>448UGDF</v>
          </cell>
          <cell r="BA495">
            <v>550</v>
          </cell>
        </row>
        <row r="496">
          <cell r="C496" t="str">
            <v>2503 - DOUG FIR-LUMBER</v>
          </cell>
          <cell r="D496" t="str">
            <v>21020DFSS</v>
          </cell>
          <cell r="BA496">
            <v>1978</v>
          </cell>
        </row>
        <row r="497">
          <cell r="C497" t="str">
            <v>2503 - DOUG FIR-LUMBER</v>
          </cell>
          <cell r="D497" t="str">
            <v>2612DF2PTG</v>
          </cell>
          <cell r="BA497">
            <v>917</v>
          </cell>
        </row>
        <row r="498">
          <cell r="C498" t="str">
            <v>2503 - DOUG FIR-LUMBER</v>
          </cell>
          <cell r="D498" t="str">
            <v>2616DF2PTG</v>
          </cell>
          <cell r="BA498">
            <v>917</v>
          </cell>
        </row>
        <row r="499">
          <cell r="C499" t="str">
            <v>2503 - DOUG FIR-LUMBER</v>
          </cell>
          <cell r="D499" t="str">
            <v>2612DFSTG</v>
          </cell>
          <cell r="BA499">
            <v>1441</v>
          </cell>
        </row>
        <row r="500">
          <cell r="C500" t="str">
            <v>2503 - DOUG FIR-LUMBER</v>
          </cell>
          <cell r="D500" t="str">
            <v>2616DFSTG</v>
          </cell>
          <cell r="BA500">
            <v>1434</v>
          </cell>
        </row>
        <row r="501">
          <cell r="C501" t="str">
            <v>2503 - DOUG FIR-LUMBER</v>
          </cell>
          <cell r="D501" t="str">
            <v>2620DFSTG</v>
          </cell>
          <cell r="BA501">
            <v>1434</v>
          </cell>
        </row>
        <row r="502">
          <cell r="C502" t="str">
            <v>2503 - DOUG FIR-LUMBER</v>
          </cell>
          <cell r="D502" t="str">
            <v>2612DF2-TEMP</v>
          </cell>
          <cell r="BA502">
            <v>550</v>
          </cell>
        </row>
        <row r="503">
          <cell r="C503" t="str">
            <v>2505 - ALL STUDS</v>
          </cell>
          <cell r="D503" t="str">
            <v>2496DFP</v>
          </cell>
          <cell r="BA503">
            <v>478</v>
          </cell>
        </row>
        <row r="504">
          <cell r="C504" t="str">
            <v>2505 - ALL STUDS</v>
          </cell>
          <cell r="D504" t="str">
            <v>2410458DFP</v>
          </cell>
          <cell r="BA504">
            <v>649</v>
          </cell>
        </row>
        <row r="505">
          <cell r="C505" t="str">
            <v>2505 - ALL STUDS</v>
          </cell>
          <cell r="D505" t="str">
            <v>2411658DFP</v>
          </cell>
          <cell r="BA505">
            <v>584</v>
          </cell>
        </row>
        <row r="506">
          <cell r="C506" t="str">
            <v>2505 - ALL STUDS</v>
          </cell>
          <cell r="D506" t="str">
            <v>2610458DFP</v>
          </cell>
          <cell r="BA506">
            <v>643</v>
          </cell>
        </row>
        <row r="507">
          <cell r="C507" t="str">
            <v>2505 - ALL STUDS</v>
          </cell>
          <cell r="D507" t="str">
            <v>2611658DFP</v>
          </cell>
          <cell r="BA507">
            <v>602</v>
          </cell>
        </row>
        <row r="508">
          <cell r="C508" t="str">
            <v>2505 - ALL STUDS</v>
          </cell>
          <cell r="D508" t="str">
            <v>249258HF</v>
          </cell>
          <cell r="BA508">
            <v>395</v>
          </cell>
        </row>
        <row r="509">
          <cell r="C509" t="str">
            <v>2505 - ALL STUDS</v>
          </cell>
          <cell r="D509" t="str">
            <v>2410458HF</v>
          </cell>
          <cell r="BA509">
            <v>534</v>
          </cell>
        </row>
        <row r="510">
          <cell r="C510" t="str">
            <v>2505 - ALL STUDS</v>
          </cell>
          <cell r="D510" t="str">
            <v>269258HF</v>
          </cell>
          <cell r="BA510">
            <v>367</v>
          </cell>
        </row>
        <row r="511">
          <cell r="C511" t="str">
            <v>2505 - ALL STUDS</v>
          </cell>
          <cell r="D511" t="str">
            <v>2610458HF</v>
          </cell>
          <cell r="BA511">
            <v>523</v>
          </cell>
        </row>
        <row r="512">
          <cell r="C512" t="str">
            <v>2505 - ALL STUDS</v>
          </cell>
          <cell r="D512" t="str">
            <v>249258DF</v>
          </cell>
          <cell r="BA512">
            <v>423</v>
          </cell>
        </row>
        <row r="513">
          <cell r="C513" t="str">
            <v>2505 - ALL STUDS</v>
          </cell>
          <cell r="D513" t="str">
            <v>248858DF</v>
          </cell>
          <cell r="BA513">
            <v>423</v>
          </cell>
        </row>
        <row r="514">
          <cell r="C514" t="str">
            <v>2505 - ALL STUDS</v>
          </cell>
          <cell r="D514" t="str">
            <v>2410458DF</v>
          </cell>
          <cell r="BA514">
            <v>551</v>
          </cell>
        </row>
        <row r="515">
          <cell r="C515" t="str">
            <v>2505 - ALL STUDS</v>
          </cell>
          <cell r="D515" t="str">
            <v>2411658DF</v>
          </cell>
          <cell r="BA515">
            <v>489</v>
          </cell>
        </row>
        <row r="516">
          <cell r="C516" t="str">
            <v>2505 - ALL STUDS</v>
          </cell>
          <cell r="D516" t="str">
            <v>269258DF</v>
          </cell>
          <cell r="BA516">
            <v>400</v>
          </cell>
        </row>
        <row r="517">
          <cell r="C517" t="str">
            <v>2505 - ALL STUDS</v>
          </cell>
          <cell r="D517" t="str">
            <v>268858DF</v>
          </cell>
          <cell r="BA517">
            <v>400</v>
          </cell>
        </row>
        <row r="518">
          <cell r="C518" t="str">
            <v>2505 - ALL STUDS</v>
          </cell>
          <cell r="D518" t="str">
            <v>2610458DF</v>
          </cell>
          <cell r="BA518">
            <v>545</v>
          </cell>
        </row>
        <row r="519">
          <cell r="C519" t="str">
            <v>2505 - ALL STUDS</v>
          </cell>
          <cell r="D519" t="str">
            <v>2611658DF</v>
          </cell>
          <cell r="BA519">
            <v>506</v>
          </cell>
        </row>
        <row r="520">
          <cell r="C520" t="str">
            <v>2507 - CEDAR/CYPRESS-LUMBER</v>
          </cell>
          <cell r="D520" t="str">
            <v>248SWRC</v>
          </cell>
          <cell r="BA520">
            <v>1783</v>
          </cell>
        </row>
        <row r="521">
          <cell r="C521" t="str">
            <v>2507 - CEDAR/CYPRESS-LUMBER</v>
          </cell>
          <cell r="D521" t="str">
            <v>2410SWRC</v>
          </cell>
          <cell r="BA521">
            <v>1783</v>
          </cell>
        </row>
        <row r="522">
          <cell r="C522" t="str">
            <v>2507 - CEDAR/CYPRESS-LUMBER</v>
          </cell>
          <cell r="D522" t="str">
            <v>2412SWRC</v>
          </cell>
          <cell r="BA522">
            <v>1783</v>
          </cell>
        </row>
        <row r="523">
          <cell r="C523" t="str">
            <v>2507 - CEDAR/CYPRESS-LUMBER</v>
          </cell>
          <cell r="D523" t="str">
            <v>2414SWRC</v>
          </cell>
          <cell r="BA523">
            <v>1783</v>
          </cell>
        </row>
        <row r="524">
          <cell r="C524" t="str">
            <v>2507 - CEDAR/CYPRESS-LUMBER</v>
          </cell>
          <cell r="D524" t="str">
            <v>2416SWRC</v>
          </cell>
          <cell r="BA524">
            <v>1783</v>
          </cell>
        </row>
        <row r="525">
          <cell r="C525" t="str">
            <v>2507 - CEDAR/CYPRESS-LUMBER</v>
          </cell>
          <cell r="D525" t="str">
            <v>2420SWRC</v>
          </cell>
          <cell r="BA525">
            <v>1783</v>
          </cell>
        </row>
        <row r="526">
          <cell r="C526" t="str">
            <v>2507 - CEDAR/CYPRESS-LUMBER</v>
          </cell>
          <cell r="D526" t="str">
            <v>166CPFS2NH</v>
          </cell>
          <cell r="BA526">
            <v>5.69</v>
          </cell>
        </row>
        <row r="527">
          <cell r="C527" t="str">
            <v>2507 - CEDAR/CYPRESS-LUMBER</v>
          </cell>
          <cell r="D527" t="str">
            <v>168CPFS2NH</v>
          </cell>
          <cell r="BA527">
            <v>8.19</v>
          </cell>
        </row>
        <row r="528">
          <cell r="C528" t="str">
            <v>2507 - CEDAR/CYPRESS-LUMBER</v>
          </cell>
          <cell r="D528" t="str">
            <v>OPCFPS203</v>
          </cell>
          <cell r="BA528">
            <v>45.49</v>
          </cell>
        </row>
        <row r="529">
          <cell r="C529" t="str">
            <v>2507 - CEDAR/CYPRESS-LUMBER</v>
          </cell>
          <cell r="D529" t="str">
            <v>54612WRCAK</v>
          </cell>
          <cell r="BA529">
            <v>3327</v>
          </cell>
        </row>
        <row r="530">
          <cell r="C530" t="str">
            <v>2507 - CEDAR/CYPRESS-LUMBER</v>
          </cell>
          <cell r="D530" t="str">
            <v>5468WRCAK</v>
          </cell>
          <cell r="BA530">
            <v>4167</v>
          </cell>
        </row>
        <row r="531">
          <cell r="C531" t="str">
            <v>2507 - CEDAR/CYPRESS-LUMBER</v>
          </cell>
          <cell r="D531" t="str">
            <v>2128RCU</v>
          </cell>
          <cell r="BA531">
            <v>1661</v>
          </cell>
        </row>
        <row r="532">
          <cell r="C532" t="str">
            <v>2507 - CEDAR/CYPRESS-LUMBER</v>
          </cell>
          <cell r="D532" t="str">
            <v>21212RCU</v>
          </cell>
          <cell r="BA532">
            <v>1661</v>
          </cell>
        </row>
        <row r="533">
          <cell r="C533" t="str">
            <v>2507 - CEDAR/CYPRESS-LUMBER</v>
          </cell>
          <cell r="D533" t="str">
            <v>21216RCU</v>
          </cell>
          <cell r="BA533">
            <v>1661</v>
          </cell>
        </row>
        <row r="534">
          <cell r="C534" t="str">
            <v>2507 - CEDAR/CYPRESS-LUMBER</v>
          </cell>
          <cell r="D534" t="str">
            <v>223GWRCC</v>
          </cell>
          <cell r="BA534">
            <v>2648</v>
          </cell>
        </row>
        <row r="535">
          <cell r="C535" t="str">
            <v>2507 - CEDAR/CYPRESS-LUMBER</v>
          </cell>
          <cell r="D535" t="str">
            <v>224GWRCC</v>
          </cell>
          <cell r="BA535">
            <v>2648</v>
          </cell>
        </row>
        <row r="536">
          <cell r="C536" t="str">
            <v>2507 - CEDAR/CYPRESS-LUMBER</v>
          </cell>
          <cell r="D536" t="str">
            <v>228GWRCC</v>
          </cell>
          <cell r="BA536">
            <v>4802</v>
          </cell>
        </row>
        <row r="537">
          <cell r="C537" t="str">
            <v>2507 - CEDAR/CYPRESS-LUMBER</v>
          </cell>
          <cell r="D537" t="str">
            <v>2210GWRCC</v>
          </cell>
          <cell r="BA537">
            <v>4802</v>
          </cell>
        </row>
        <row r="538">
          <cell r="C538" t="str">
            <v>2507 - CEDAR/CYPRESS-LUMBER</v>
          </cell>
          <cell r="D538" t="str">
            <v>2212GWRCC</v>
          </cell>
          <cell r="BA538">
            <v>4802</v>
          </cell>
        </row>
        <row r="539">
          <cell r="C539" t="str">
            <v>2507 - CEDAR/CYPRESS-LUMBER</v>
          </cell>
          <cell r="D539" t="str">
            <v>2216GWRCC</v>
          </cell>
          <cell r="BA539">
            <v>4802</v>
          </cell>
        </row>
        <row r="540">
          <cell r="C540" t="str">
            <v>2507 - CEDAR/CYPRESS-LUMBER</v>
          </cell>
          <cell r="D540" t="str">
            <v>2220GWRCC</v>
          </cell>
          <cell r="BA540">
            <v>4802</v>
          </cell>
        </row>
        <row r="541">
          <cell r="C541" t="str">
            <v>2507 - CEDAR/CYPRESS-LUMBER</v>
          </cell>
          <cell r="D541" t="str">
            <v>248GWRCC</v>
          </cell>
          <cell r="BA541">
            <v>6789</v>
          </cell>
        </row>
        <row r="542">
          <cell r="C542" t="str">
            <v>2507 - CEDAR/CYPRESS-LUMBER</v>
          </cell>
          <cell r="D542" t="str">
            <v>2410GWRCC</v>
          </cell>
          <cell r="BA542">
            <v>6789</v>
          </cell>
        </row>
        <row r="543">
          <cell r="C543" t="str">
            <v>2507 - CEDAR/CYPRESS-LUMBER</v>
          </cell>
          <cell r="D543" t="str">
            <v>2412GWRCC</v>
          </cell>
          <cell r="BA543">
            <v>7212</v>
          </cell>
        </row>
        <row r="544">
          <cell r="C544" t="str">
            <v>2507 - CEDAR/CYPRESS-LUMBER</v>
          </cell>
          <cell r="D544" t="str">
            <v>2414GWRCC</v>
          </cell>
          <cell r="BA544">
            <v>6789</v>
          </cell>
        </row>
        <row r="545">
          <cell r="C545" t="str">
            <v>2507 - CEDAR/CYPRESS-LUMBER</v>
          </cell>
          <cell r="D545" t="str">
            <v>2416GWRCC</v>
          </cell>
          <cell r="BA545">
            <v>7212</v>
          </cell>
        </row>
        <row r="546">
          <cell r="C546" t="str">
            <v>2507 - CEDAR/CYPRESS-LUMBER</v>
          </cell>
          <cell r="D546" t="str">
            <v>268GWRCC</v>
          </cell>
          <cell r="BA546">
            <v>9648</v>
          </cell>
        </row>
        <row r="547">
          <cell r="C547" t="str">
            <v>2507 - CEDAR/CYPRESS-LUMBER</v>
          </cell>
          <cell r="D547" t="str">
            <v>2610GWRCC</v>
          </cell>
          <cell r="BA547">
            <v>9648</v>
          </cell>
        </row>
        <row r="548">
          <cell r="C548" t="str">
            <v>2507 - CEDAR/CYPRESS-LUMBER</v>
          </cell>
          <cell r="D548" t="str">
            <v>2612GWRCC</v>
          </cell>
          <cell r="BA548">
            <v>10545</v>
          </cell>
        </row>
        <row r="549">
          <cell r="C549" t="str">
            <v>2507 - CEDAR/CYPRESS-LUMBER</v>
          </cell>
          <cell r="D549" t="str">
            <v>2614GWRCC</v>
          </cell>
          <cell r="BA549">
            <v>10193</v>
          </cell>
        </row>
        <row r="550">
          <cell r="C550" t="str">
            <v>2507 - CEDAR/CYPRESS-LUMBER</v>
          </cell>
          <cell r="D550" t="str">
            <v>2616GWRCC</v>
          </cell>
          <cell r="BA550">
            <v>10545</v>
          </cell>
        </row>
        <row r="551">
          <cell r="C551" t="str">
            <v>2507 - CEDAR/CYPRESS-LUMBER</v>
          </cell>
          <cell r="D551" t="str">
            <v>2620GWRCC</v>
          </cell>
          <cell r="BA551">
            <v>10545</v>
          </cell>
        </row>
        <row r="552">
          <cell r="C552" t="str">
            <v>2507 - CEDAR/CYPRESS-LUMBER</v>
          </cell>
          <cell r="D552" t="str">
            <v>288GWRCC</v>
          </cell>
          <cell r="BA552">
            <v>6231</v>
          </cell>
        </row>
        <row r="553">
          <cell r="C553" t="str">
            <v>2507 - CEDAR/CYPRESS-LUMBER</v>
          </cell>
          <cell r="D553" t="str">
            <v>2810GWRCC</v>
          </cell>
          <cell r="BA553">
            <v>8327</v>
          </cell>
        </row>
        <row r="554">
          <cell r="C554" t="str">
            <v>2507 - CEDAR/CYPRESS-LUMBER</v>
          </cell>
          <cell r="D554" t="str">
            <v>2812GWRCC</v>
          </cell>
          <cell r="BA554">
            <v>6231</v>
          </cell>
        </row>
        <row r="555">
          <cell r="C555" t="str">
            <v>2507 - CEDAR/CYPRESS-LUMBER</v>
          </cell>
          <cell r="D555" t="str">
            <v>2816GWRCC</v>
          </cell>
          <cell r="BA555">
            <v>6231</v>
          </cell>
        </row>
        <row r="556">
          <cell r="C556" t="str">
            <v>2507 - CEDAR/CYPRESS-LUMBER</v>
          </cell>
          <cell r="D556" t="str">
            <v>2108GWRCC</v>
          </cell>
          <cell r="BA556">
            <v>5994</v>
          </cell>
        </row>
        <row r="557">
          <cell r="C557" t="str">
            <v>2507 - CEDAR/CYPRESS-LUMBER</v>
          </cell>
          <cell r="D557" t="str">
            <v>21010GWRCC</v>
          </cell>
          <cell r="BA557">
            <v>9609</v>
          </cell>
        </row>
        <row r="558">
          <cell r="C558" t="str">
            <v>2507 - CEDAR/CYPRESS-LUMBER</v>
          </cell>
          <cell r="D558" t="str">
            <v>21012GWRCC</v>
          </cell>
          <cell r="BA558">
            <v>5994</v>
          </cell>
        </row>
        <row r="559">
          <cell r="C559" t="str">
            <v>2507 - CEDAR/CYPRESS-LUMBER</v>
          </cell>
          <cell r="D559" t="str">
            <v>26WRCCHR</v>
          </cell>
          <cell r="BA559">
            <v>8334</v>
          </cell>
        </row>
        <row r="560">
          <cell r="C560" t="str">
            <v>2507 - CEDAR/CYPRESS-LUMBER</v>
          </cell>
          <cell r="D560" t="str">
            <v>268WRCSD</v>
          </cell>
          <cell r="BA560">
            <v>3398</v>
          </cell>
        </row>
        <row r="561">
          <cell r="C561" t="str">
            <v>2507 - CEDAR/CYPRESS-LUMBER</v>
          </cell>
          <cell r="D561" t="str">
            <v>2610WRCSD</v>
          </cell>
          <cell r="BA561">
            <v>3398</v>
          </cell>
        </row>
        <row r="562">
          <cell r="C562" t="str">
            <v>2507 - CEDAR/CYPRESS-LUMBER</v>
          </cell>
          <cell r="D562" t="str">
            <v>2612WRCSD</v>
          </cell>
          <cell r="BA562">
            <v>3526</v>
          </cell>
        </row>
        <row r="563">
          <cell r="C563" t="str">
            <v>2507 - CEDAR/CYPRESS-LUMBER</v>
          </cell>
          <cell r="D563" t="str">
            <v>2614WRCSD</v>
          </cell>
          <cell r="BA563">
            <v>3013</v>
          </cell>
        </row>
        <row r="564">
          <cell r="C564" t="str">
            <v>2507 - CEDAR/CYPRESS-LUMBER</v>
          </cell>
          <cell r="D564" t="str">
            <v>2616WRCSD</v>
          </cell>
          <cell r="BA564">
            <v>3526</v>
          </cell>
        </row>
        <row r="565">
          <cell r="C565" t="str">
            <v>2507 - CEDAR/CYPRESS-LUMBER</v>
          </cell>
          <cell r="D565" t="str">
            <v>2618WRCSD</v>
          </cell>
          <cell r="BA565">
            <v>3398</v>
          </cell>
        </row>
        <row r="566">
          <cell r="C566" t="str">
            <v>2507 - CEDAR/CYPRESS-LUMBER</v>
          </cell>
          <cell r="D566" t="str">
            <v>2620WRCSD</v>
          </cell>
          <cell r="BA566">
            <v>3526</v>
          </cell>
        </row>
        <row r="567">
          <cell r="C567" t="str">
            <v>2510 - MISC. LUMBER</v>
          </cell>
          <cell r="D567" t="str">
            <v>128F</v>
          </cell>
          <cell r="BA567">
            <v>1062</v>
          </cell>
        </row>
        <row r="568">
          <cell r="C568" t="str">
            <v>2510 - MISC. LUMBER</v>
          </cell>
          <cell r="D568" t="str">
            <v>128FP</v>
          </cell>
          <cell r="BA568">
            <v>1591</v>
          </cell>
        </row>
        <row r="569">
          <cell r="C569" t="str">
            <v>2510 - MISC. LUMBER</v>
          </cell>
          <cell r="D569" t="str">
            <v>228F</v>
          </cell>
          <cell r="BA569">
            <v>1019</v>
          </cell>
        </row>
        <row r="570">
          <cell r="C570" t="str">
            <v>2510 - MISC. LUMBER</v>
          </cell>
          <cell r="D570" t="str">
            <v>228FP</v>
          </cell>
          <cell r="BA570">
            <v>1592</v>
          </cell>
        </row>
        <row r="571">
          <cell r="C571" t="str">
            <v>2510 - MISC. LUMBER</v>
          </cell>
          <cell r="D571" t="str">
            <v>26CCHR</v>
          </cell>
          <cell r="BA571">
            <v>8334</v>
          </cell>
        </row>
        <row r="572">
          <cell r="C572" t="str">
            <v>2510 - MISC. LUMBER</v>
          </cell>
          <cell r="D572" t="str">
            <v>2610TKWRCHR</v>
          </cell>
          <cell r="BA572">
            <v>5139</v>
          </cell>
        </row>
        <row r="573">
          <cell r="C573" t="str">
            <v>2510 - MISC. LUMBER</v>
          </cell>
          <cell r="D573" t="str">
            <v>2612TKWRCHR</v>
          </cell>
          <cell r="BA573">
            <v>3502</v>
          </cell>
        </row>
        <row r="574">
          <cell r="C574" t="str">
            <v>2510 - MISC. LUMBER</v>
          </cell>
          <cell r="D574" t="str">
            <v>2333PCEDCB</v>
          </cell>
          <cell r="BA574">
            <v>72.489999999999995</v>
          </cell>
        </row>
        <row r="575">
          <cell r="C575" t="str">
            <v>2510 - MISC. LUMBER</v>
          </cell>
          <cell r="D575" t="str">
            <v>BEMFTSHIM30</v>
          </cell>
          <cell r="BA575">
            <v>5.19</v>
          </cell>
        </row>
        <row r="576">
          <cell r="C576" t="str">
            <v>2510 - MISC. LUMBER</v>
          </cell>
          <cell r="D576" t="str">
            <v>SP24VB</v>
          </cell>
          <cell r="BA576">
            <v>3.79</v>
          </cell>
        </row>
        <row r="577">
          <cell r="C577" t="str">
            <v>2510 - MISC. LUMBER</v>
          </cell>
          <cell r="D577" t="str">
            <v>SP26VB</v>
          </cell>
          <cell r="BA577">
            <v>5.39</v>
          </cell>
        </row>
        <row r="578">
          <cell r="C578" t="str">
            <v>2510 - MISC. LUMBER</v>
          </cell>
          <cell r="D578" t="str">
            <v>24VB</v>
          </cell>
          <cell r="BA578">
            <v>3.49</v>
          </cell>
        </row>
        <row r="579">
          <cell r="C579" t="str">
            <v>2510 - MISC. LUMBER</v>
          </cell>
          <cell r="D579" t="str">
            <v>26VB</v>
          </cell>
          <cell r="BA579">
            <v>4.99</v>
          </cell>
        </row>
        <row r="580">
          <cell r="C580" t="str">
            <v>2510 - MISC. LUMBER</v>
          </cell>
          <cell r="D580" t="str">
            <v>28VB</v>
          </cell>
          <cell r="BA580">
            <v>5.79</v>
          </cell>
        </row>
        <row r="581">
          <cell r="C581" t="str">
            <v>2510 - MISC. LUMBER</v>
          </cell>
          <cell r="D581" t="str">
            <v>24SBB</v>
          </cell>
          <cell r="BA581">
            <v>0.69</v>
          </cell>
        </row>
        <row r="582">
          <cell r="C582" t="str">
            <v>2510 - MISC. LUMBER</v>
          </cell>
          <cell r="D582" t="str">
            <v>26SBB</v>
          </cell>
          <cell r="BA582">
            <v>0.69</v>
          </cell>
        </row>
        <row r="583">
          <cell r="C583" t="str">
            <v>2510 - MISC. LUMBER</v>
          </cell>
          <cell r="D583" t="str">
            <v>24SVB</v>
          </cell>
          <cell r="BA583">
            <v>1.89</v>
          </cell>
        </row>
        <row r="584">
          <cell r="C584" t="str">
            <v>2510 - MISC. LUMBER</v>
          </cell>
          <cell r="D584" t="str">
            <v>26SVB</v>
          </cell>
          <cell r="BA584">
            <v>3.09</v>
          </cell>
        </row>
        <row r="585">
          <cell r="C585" t="str">
            <v>2510 - MISC. LUMBER</v>
          </cell>
          <cell r="D585" t="str">
            <v>BSHIM1242</v>
          </cell>
          <cell r="BA585">
            <v>6.49</v>
          </cell>
        </row>
        <row r="586">
          <cell r="C586" t="str">
            <v>2510 - MISC. LUMBER</v>
          </cell>
          <cell r="D586" t="str">
            <v>PSH8/12/65</v>
          </cell>
          <cell r="BA586">
            <v>1.99</v>
          </cell>
        </row>
        <row r="587">
          <cell r="C587" t="str">
            <v>2510 - MISC. LUMBER</v>
          </cell>
          <cell r="D587" t="str">
            <v>PSH8/12/75</v>
          </cell>
          <cell r="BA587">
            <v>1.99</v>
          </cell>
        </row>
        <row r="588">
          <cell r="C588" t="str">
            <v>2510 - MISC. LUMBER</v>
          </cell>
          <cell r="D588" t="str">
            <v>CSHIM</v>
          </cell>
          <cell r="BA588">
            <v>7.69</v>
          </cell>
        </row>
        <row r="589">
          <cell r="C589" t="str">
            <v>2510 - MISC. LUMBER</v>
          </cell>
          <cell r="D589" t="str">
            <v>9CDSHIM16</v>
          </cell>
          <cell r="BA589">
            <v>2.39</v>
          </cell>
        </row>
        <row r="590">
          <cell r="C590" t="str">
            <v>2510 - MISC. LUMBER</v>
          </cell>
          <cell r="D590" t="str">
            <v>16CDSHIM50</v>
          </cell>
          <cell r="BA590">
            <v>4.99</v>
          </cell>
        </row>
        <row r="591">
          <cell r="C591" t="str">
            <v>2510 - MISC. LUMBER</v>
          </cell>
          <cell r="D591" t="str">
            <v>SHIMRC</v>
          </cell>
          <cell r="BA591">
            <v>5.99</v>
          </cell>
        </row>
        <row r="592">
          <cell r="C592" t="str">
            <v>2510 - MISC. LUMBER</v>
          </cell>
          <cell r="D592" t="str">
            <v>2412BMW</v>
          </cell>
          <cell r="BA592">
            <v>20.69</v>
          </cell>
        </row>
        <row r="593">
          <cell r="C593" t="str">
            <v>2510 - MISC. LUMBER</v>
          </cell>
          <cell r="D593" t="str">
            <v>RWLATH50</v>
          </cell>
          <cell r="BA593">
            <v>19.989999999999998</v>
          </cell>
        </row>
        <row r="594">
          <cell r="C594" t="str">
            <v>2510 - MISC. LUMBER</v>
          </cell>
          <cell r="D594" t="str">
            <v>RWLATH50EA</v>
          </cell>
          <cell r="BA594">
            <v>0.4</v>
          </cell>
        </row>
        <row r="595">
          <cell r="C595" t="str">
            <v>2510 - MISC. LUMBER</v>
          </cell>
          <cell r="D595" t="str">
            <v>2210WWP</v>
          </cell>
          <cell r="BA595">
            <v>1683.72</v>
          </cell>
        </row>
        <row r="596">
          <cell r="C596" t="str">
            <v>2510 - MISC. LUMBER</v>
          </cell>
          <cell r="D596" t="str">
            <v>2220WWP</v>
          </cell>
          <cell r="BA596">
            <v>1683.72</v>
          </cell>
        </row>
        <row r="597">
          <cell r="C597" t="str">
            <v>2510 - MISC. LUMBER</v>
          </cell>
          <cell r="D597" t="str">
            <v>2420WWP</v>
          </cell>
          <cell r="BA597">
            <v>1484.88</v>
          </cell>
        </row>
        <row r="598">
          <cell r="C598" t="str">
            <v>2510 - MISC. LUMBER</v>
          </cell>
          <cell r="D598" t="str">
            <v>2616WWP</v>
          </cell>
          <cell r="BA598">
            <v>1433.72</v>
          </cell>
        </row>
        <row r="599">
          <cell r="C599" t="str">
            <v>2510 - MISC. LUMBER</v>
          </cell>
          <cell r="D599" t="str">
            <v>2620WWP</v>
          </cell>
          <cell r="BA599">
            <v>1433.72</v>
          </cell>
        </row>
        <row r="600">
          <cell r="C600" t="str">
            <v>2510 - MISC. LUMBER</v>
          </cell>
          <cell r="D600" t="str">
            <v>2816WWP</v>
          </cell>
          <cell r="BA600">
            <v>1487.21</v>
          </cell>
        </row>
        <row r="601">
          <cell r="C601" t="str">
            <v>2510 - MISC. LUMBER</v>
          </cell>
          <cell r="D601" t="str">
            <v>2820WWP</v>
          </cell>
          <cell r="BA601">
            <v>1487.21</v>
          </cell>
        </row>
        <row r="602">
          <cell r="C602" t="str">
            <v>2510 - MISC. LUMBER</v>
          </cell>
          <cell r="D602" t="str">
            <v>21016WWP</v>
          </cell>
          <cell r="BA602">
            <v>1565.12</v>
          </cell>
        </row>
        <row r="603">
          <cell r="C603" t="str">
            <v>2510 - MISC. LUMBER</v>
          </cell>
          <cell r="D603" t="str">
            <v>21020WWP</v>
          </cell>
          <cell r="BA603">
            <v>1565.12</v>
          </cell>
        </row>
        <row r="604">
          <cell r="C604" t="str">
            <v>2510 - MISC. LUMBER</v>
          </cell>
          <cell r="D604" t="str">
            <v>21220WWP</v>
          </cell>
          <cell r="BA604">
            <v>1827.91</v>
          </cell>
        </row>
        <row r="605">
          <cell r="C605" t="str">
            <v>2571 - LUMBER SERVICES NT</v>
          </cell>
          <cell r="D605" t="str">
            <v>MT</v>
          </cell>
          <cell r="BA605">
            <v>301.99</v>
          </cell>
        </row>
        <row r="606">
          <cell r="C606" t="str">
            <v>2575 - LUMBER TOOLS &amp; SUPPLIES</v>
          </cell>
          <cell r="D606" t="str">
            <v>CPALLET</v>
          </cell>
          <cell r="BA606">
            <v>30</v>
          </cell>
        </row>
        <row r="607">
          <cell r="C607" t="str">
            <v>2575 - LUMBER TOOLS &amp; SUPPLIES</v>
          </cell>
          <cell r="D607" t="str">
            <v>MIXPALLET</v>
          </cell>
          <cell r="BA607">
            <v>30</v>
          </cell>
        </row>
        <row r="608">
          <cell r="C608" t="str">
            <v>2575 - LUMBER TOOLS &amp; SUPPLIES</v>
          </cell>
          <cell r="D608" t="str">
            <v>1216WSEA</v>
          </cell>
          <cell r="BA608">
            <v>0.31</v>
          </cell>
        </row>
        <row r="609">
          <cell r="C609" t="str">
            <v>2575 - LUMBER TOOLS &amp; SUPPLIES</v>
          </cell>
          <cell r="D609" t="str">
            <v>1224WS50</v>
          </cell>
          <cell r="BA609">
            <v>18.690000000000001</v>
          </cell>
        </row>
        <row r="610">
          <cell r="C610" t="str">
            <v>2575 - LUMBER TOOLS &amp; SUPPLIES</v>
          </cell>
          <cell r="D610" t="str">
            <v>1248WS50</v>
          </cell>
          <cell r="BA610">
            <v>40.090000000000003</v>
          </cell>
        </row>
        <row r="611">
          <cell r="C611" t="str">
            <v>2575 - LUMBER TOOLS &amp; SUPPLIES</v>
          </cell>
          <cell r="D611" t="str">
            <v>1212WSEA</v>
          </cell>
          <cell r="BA611">
            <v>0.23</v>
          </cell>
        </row>
        <row r="612">
          <cell r="C612" t="str">
            <v>2575 - LUMBER TOOLS &amp; SUPPLIES</v>
          </cell>
          <cell r="D612" t="str">
            <v>1218WSEA</v>
          </cell>
          <cell r="BA612">
            <v>0.31</v>
          </cell>
        </row>
        <row r="613">
          <cell r="C613" t="str">
            <v>2575 - LUMBER TOOLS &amp; SUPPLIES</v>
          </cell>
          <cell r="D613" t="str">
            <v>1224WS</v>
          </cell>
          <cell r="BA613">
            <v>0.38</v>
          </cell>
        </row>
        <row r="614">
          <cell r="C614" t="str">
            <v>2575 - LUMBER TOOLS &amp; SUPPLIES</v>
          </cell>
          <cell r="D614" t="str">
            <v>1236WS50</v>
          </cell>
          <cell r="BA614">
            <v>28.99</v>
          </cell>
        </row>
        <row r="615">
          <cell r="C615" t="str">
            <v>2575 - LUMBER TOOLS &amp; SUPPLIES</v>
          </cell>
          <cell r="D615" t="str">
            <v>1236WSEA</v>
          </cell>
          <cell r="BA615">
            <v>0.57999999999999996</v>
          </cell>
        </row>
        <row r="616">
          <cell r="C616" t="str">
            <v>2575 - LUMBER TOOLS &amp; SUPPLIES</v>
          </cell>
          <cell r="D616" t="str">
            <v>1248WSEA</v>
          </cell>
          <cell r="BA616">
            <v>0.79</v>
          </cell>
        </row>
        <row r="617">
          <cell r="C617" t="str">
            <v>2575 - LUMBER TOOLS &amp; SUPPLIES</v>
          </cell>
          <cell r="D617" t="str">
            <v>1212WS50</v>
          </cell>
          <cell r="BA617">
            <v>11.39</v>
          </cell>
        </row>
        <row r="618">
          <cell r="C618" t="str">
            <v>2575 - LUMBER TOOLS &amp; SUPPLIES</v>
          </cell>
          <cell r="D618" t="str">
            <v>1216WS50</v>
          </cell>
          <cell r="BA618">
            <v>15.29</v>
          </cell>
        </row>
        <row r="619">
          <cell r="C619" t="str">
            <v>2575 - LUMBER TOOLS &amp; SUPPLIES</v>
          </cell>
          <cell r="D619" t="str">
            <v>1218WS50</v>
          </cell>
          <cell r="BA619">
            <v>15.69</v>
          </cell>
        </row>
        <row r="620">
          <cell r="C620" t="str">
            <v>2612 - SHAFT WALL FRAMING</v>
          </cell>
          <cell r="D620" t="str">
            <v>2CR1025</v>
          </cell>
          <cell r="BA620">
            <v>6.89</v>
          </cell>
        </row>
        <row r="621">
          <cell r="C621" t="str">
            <v>2612 - SHAFT WALL FRAMING</v>
          </cell>
          <cell r="D621" t="str">
            <v>2HS1225</v>
          </cell>
          <cell r="BA621">
            <v>11.49</v>
          </cell>
        </row>
        <row r="622">
          <cell r="C622" t="str">
            <v>2612 - SHAFT WALL FRAMING</v>
          </cell>
          <cell r="D622" t="str">
            <v>ALUMCLIP1</v>
          </cell>
          <cell r="BA622">
            <v>0.89</v>
          </cell>
        </row>
        <row r="623">
          <cell r="C623" t="str">
            <v>2630 - MISC METAL FRAMING &amp; ACCESS</v>
          </cell>
          <cell r="D623" t="str">
            <v>612BEAMCAPBRN</v>
          </cell>
          <cell r="BA623">
            <v>14.79</v>
          </cell>
        </row>
        <row r="624">
          <cell r="C624" t="str">
            <v>3001 - TREATED PLYWOOD</v>
          </cell>
          <cell r="D624" t="str">
            <v>2I812CDXT</v>
          </cell>
          <cell r="BA624">
            <v>1369</v>
          </cell>
        </row>
        <row r="625">
          <cell r="C625" t="str">
            <v>3001 - TREATED PLYWOOD</v>
          </cell>
          <cell r="D625" t="str">
            <v>2I838CDXT</v>
          </cell>
          <cell r="BA625">
            <v>1103</v>
          </cell>
        </row>
        <row r="626">
          <cell r="C626" t="str">
            <v>3001 - TREATED PLYWOOD</v>
          </cell>
          <cell r="D626" t="str">
            <v>12CDXT60</v>
          </cell>
          <cell r="BA626">
            <v>1099</v>
          </cell>
        </row>
        <row r="627">
          <cell r="C627" t="str">
            <v>3001 - TREATED PLYWOOD</v>
          </cell>
          <cell r="D627" t="str">
            <v>12CDXTC40</v>
          </cell>
          <cell r="BA627">
            <v>1059</v>
          </cell>
        </row>
        <row r="628">
          <cell r="C628" t="str">
            <v>3001 - TREATED PLYWOOD</v>
          </cell>
          <cell r="D628" t="str">
            <v>58CDXTC40</v>
          </cell>
          <cell r="BA628">
            <v>1331</v>
          </cell>
        </row>
        <row r="629">
          <cell r="C629" t="str">
            <v>3001 - TREATED PLYWOOD</v>
          </cell>
          <cell r="D629" t="str">
            <v>34CDXTC40</v>
          </cell>
          <cell r="BA629">
            <v>1563</v>
          </cell>
        </row>
        <row r="630">
          <cell r="C630" t="str">
            <v>3001 - TREATED PLYWOOD</v>
          </cell>
          <cell r="D630" t="str">
            <v>34CDXT60</v>
          </cell>
          <cell r="BA630">
            <v>1429</v>
          </cell>
        </row>
        <row r="631">
          <cell r="C631" t="str">
            <v>3001 - TREATED PLYWOOD</v>
          </cell>
          <cell r="D631" t="str">
            <v>34TGPTC40</v>
          </cell>
          <cell r="BA631">
            <v>1643</v>
          </cell>
        </row>
        <row r="632">
          <cell r="C632" t="str">
            <v>3001 - TREATED PLYWOOD</v>
          </cell>
          <cell r="D632" t="str">
            <v>118TGFKDAT</v>
          </cell>
          <cell r="BA632">
            <v>2436</v>
          </cell>
        </row>
        <row r="633">
          <cell r="C633" t="str">
            <v>3002 - TREATED LUMBER</v>
          </cell>
          <cell r="D633" t="str">
            <v>2414HFT-B</v>
          </cell>
          <cell r="BA633">
            <v>826</v>
          </cell>
        </row>
        <row r="634">
          <cell r="C634" t="str">
            <v>3002 - TREATED LUMBER</v>
          </cell>
          <cell r="D634" t="str">
            <v>2416HFT-B</v>
          </cell>
          <cell r="BA634">
            <v>899</v>
          </cell>
        </row>
        <row r="635">
          <cell r="C635" t="str">
            <v>3002 - TREATED LUMBER</v>
          </cell>
          <cell r="D635" t="str">
            <v>2614HFT-B</v>
          </cell>
          <cell r="BA635">
            <v>814</v>
          </cell>
        </row>
        <row r="636">
          <cell r="C636" t="str">
            <v>3002 - TREATED LUMBER</v>
          </cell>
          <cell r="D636" t="str">
            <v>2616HFT-B</v>
          </cell>
          <cell r="BA636">
            <v>942</v>
          </cell>
        </row>
        <row r="637">
          <cell r="C637" t="str">
            <v>3002 - TREATED LUMBER</v>
          </cell>
          <cell r="D637" t="str">
            <v>2714HFT-B</v>
          </cell>
          <cell r="BA637">
            <v>1294</v>
          </cell>
        </row>
        <row r="638">
          <cell r="C638" t="str">
            <v>3002 - TREATED LUMBER</v>
          </cell>
          <cell r="D638" t="str">
            <v>2716HFT-B</v>
          </cell>
          <cell r="BA638">
            <v>1364</v>
          </cell>
        </row>
        <row r="639">
          <cell r="C639" t="str">
            <v>3002 - TREATED LUMBER</v>
          </cell>
          <cell r="D639" t="str">
            <v>2916HFT-B</v>
          </cell>
          <cell r="BA639">
            <v>1504</v>
          </cell>
        </row>
        <row r="640">
          <cell r="C640" t="str">
            <v>3002 - TREATED LUMBER</v>
          </cell>
          <cell r="D640" t="str">
            <v>288HF2PTICGC</v>
          </cell>
          <cell r="BA640">
            <v>1100</v>
          </cell>
        </row>
        <row r="641">
          <cell r="C641" t="str">
            <v>3002 - TREATED LUMBER</v>
          </cell>
          <cell r="D641" t="str">
            <v>2810HF2PTICGC</v>
          </cell>
          <cell r="BA641">
            <v>1100</v>
          </cell>
        </row>
        <row r="642">
          <cell r="C642" t="str">
            <v>3002 - TREATED LUMBER</v>
          </cell>
          <cell r="D642" t="str">
            <v>2812HF2PTICGC</v>
          </cell>
          <cell r="BA642">
            <v>1100</v>
          </cell>
        </row>
        <row r="643">
          <cell r="C643" t="str">
            <v>3002 - TREATED LUMBER</v>
          </cell>
          <cell r="D643" t="str">
            <v>2814HF2PTICGC</v>
          </cell>
          <cell r="BA643">
            <v>1100</v>
          </cell>
        </row>
        <row r="644">
          <cell r="C644" t="str">
            <v>3002 - TREATED LUMBER</v>
          </cell>
          <cell r="D644" t="str">
            <v>2816HF2PTICGC</v>
          </cell>
          <cell r="BA644">
            <v>1125</v>
          </cell>
        </row>
        <row r="645">
          <cell r="C645" t="str">
            <v>3002 - TREATED LUMBER</v>
          </cell>
          <cell r="D645" t="str">
            <v>2820HF2PTICGC</v>
          </cell>
          <cell r="BA645">
            <v>1113</v>
          </cell>
        </row>
        <row r="646">
          <cell r="C646" t="str">
            <v>3002 - TREATED LUMBER</v>
          </cell>
          <cell r="D646" t="str">
            <v>2108HF2PTICGC</v>
          </cell>
          <cell r="BA646">
            <v>1052</v>
          </cell>
        </row>
        <row r="647">
          <cell r="C647" t="str">
            <v>3002 - TREATED LUMBER</v>
          </cell>
          <cell r="D647" t="str">
            <v>21010HF2PTICGC</v>
          </cell>
          <cell r="BA647">
            <v>1052</v>
          </cell>
        </row>
        <row r="648">
          <cell r="C648" t="str">
            <v>3002 - TREATED LUMBER</v>
          </cell>
          <cell r="D648" t="str">
            <v>21012HF2PTICGC</v>
          </cell>
          <cell r="BA648">
            <v>1052</v>
          </cell>
        </row>
        <row r="649">
          <cell r="C649" t="str">
            <v>3002 - TREATED LUMBER</v>
          </cell>
          <cell r="D649" t="str">
            <v>21014HF2PTICGC</v>
          </cell>
          <cell r="BA649">
            <v>1052</v>
          </cell>
        </row>
        <row r="650">
          <cell r="C650" t="str">
            <v>3002 - TREATED LUMBER</v>
          </cell>
          <cell r="D650" t="str">
            <v>21016HF2PTICGC</v>
          </cell>
          <cell r="BA650">
            <v>1076</v>
          </cell>
        </row>
        <row r="651">
          <cell r="C651" t="str">
            <v>3002 - TREATED LUMBER</v>
          </cell>
          <cell r="D651" t="str">
            <v>21020HF2PTICGC</v>
          </cell>
          <cell r="BA651">
            <v>1064</v>
          </cell>
        </row>
        <row r="652">
          <cell r="C652" t="str">
            <v>3002 - TREATED LUMBER</v>
          </cell>
          <cell r="D652" t="str">
            <v>2128HF2PTICGC</v>
          </cell>
          <cell r="BA652">
            <v>1058</v>
          </cell>
        </row>
        <row r="653">
          <cell r="C653" t="str">
            <v>3002 - TREATED LUMBER</v>
          </cell>
          <cell r="D653" t="str">
            <v>21210HF2PTICGC</v>
          </cell>
          <cell r="BA653">
            <v>1058</v>
          </cell>
        </row>
        <row r="654">
          <cell r="C654" t="str">
            <v>3002 - TREATED LUMBER</v>
          </cell>
          <cell r="D654" t="str">
            <v>21212HF2PTICGC</v>
          </cell>
          <cell r="BA654">
            <v>1058</v>
          </cell>
        </row>
        <row r="655">
          <cell r="C655" t="str">
            <v>3002 - TREATED LUMBER</v>
          </cell>
          <cell r="D655" t="str">
            <v>21214HF2PTICGC</v>
          </cell>
          <cell r="BA655">
            <v>1058</v>
          </cell>
        </row>
        <row r="656">
          <cell r="C656" t="str">
            <v>3002 - TREATED LUMBER</v>
          </cell>
          <cell r="D656" t="str">
            <v>21216HF2PTICGC</v>
          </cell>
          <cell r="BA656">
            <v>1082</v>
          </cell>
        </row>
        <row r="657">
          <cell r="C657" t="str">
            <v>3002 - TREATED LUMBER</v>
          </cell>
          <cell r="D657" t="str">
            <v>21220HF2PTICGC</v>
          </cell>
          <cell r="BA657">
            <v>1070</v>
          </cell>
        </row>
        <row r="658">
          <cell r="C658" t="str">
            <v>3002 - TREATED LUMBER</v>
          </cell>
          <cell r="D658" t="str">
            <v>24HF2TICAG</v>
          </cell>
          <cell r="BA658">
            <v>821</v>
          </cell>
        </row>
        <row r="659">
          <cell r="C659" t="str">
            <v>3002 - TREATED LUMBER</v>
          </cell>
          <cell r="D659" t="str">
            <v>26HF2TICAG</v>
          </cell>
          <cell r="BA659">
            <v>795</v>
          </cell>
        </row>
        <row r="660">
          <cell r="C660" t="str">
            <v>3002 - TREATED LUMBER</v>
          </cell>
          <cell r="D660" t="str">
            <v>248HF2TICGC</v>
          </cell>
          <cell r="BA660">
            <v>1072</v>
          </cell>
        </row>
        <row r="661">
          <cell r="C661" t="str">
            <v>3002 - TREATED LUMBER</v>
          </cell>
          <cell r="D661" t="str">
            <v>2410HF2TICGC</v>
          </cell>
          <cell r="BA661">
            <v>1072</v>
          </cell>
        </row>
        <row r="662">
          <cell r="C662" t="str">
            <v>3002 - TREATED LUMBER</v>
          </cell>
          <cell r="D662" t="str">
            <v>2412HF2TICGC</v>
          </cell>
          <cell r="BA662">
            <v>1073</v>
          </cell>
        </row>
        <row r="663">
          <cell r="C663" t="str">
            <v>3002 - TREATED LUMBER</v>
          </cell>
          <cell r="D663" t="str">
            <v>2414HF2TICGC</v>
          </cell>
          <cell r="BA663">
            <v>1077</v>
          </cell>
        </row>
        <row r="664">
          <cell r="C664" t="str">
            <v>3002 - TREATED LUMBER</v>
          </cell>
          <cell r="D664" t="str">
            <v>2416HF2TICGC</v>
          </cell>
          <cell r="BA664">
            <v>1109</v>
          </cell>
        </row>
        <row r="665">
          <cell r="C665" t="str">
            <v>3002 - TREATED LUMBER</v>
          </cell>
          <cell r="D665" t="str">
            <v>2420HF2TICGC</v>
          </cell>
          <cell r="BA665">
            <v>1086</v>
          </cell>
        </row>
        <row r="666">
          <cell r="C666" t="str">
            <v>3002 - TREATED LUMBER</v>
          </cell>
          <cell r="D666" t="str">
            <v>268HF2TICGC</v>
          </cell>
          <cell r="BA666">
            <v>994</v>
          </cell>
        </row>
        <row r="667">
          <cell r="C667" t="str">
            <v>3002 - TREATED LUMBER</v>
          </cell>
          <cell r="D667" t="str">
            <v>2610HF2TICGC</v>
          </cell>
          <cell r="BA667">
            <v>992</v>
          </cell>
        </row>
        <row r="668">
          <cell r="C668" t="str">
            <v>3002 - TREATED LUMBER</v>
          </cell>
          <cell r="D668" t="str">
            <v>2612HF2TICGC</v>
          </cell>
          <cell r="BA668">
            <v>993</v>
          </cell>
        </row>
        <row r="669">
          <cell r="C669" t="str">
            <v>3002 - TREATED LUMBER</v>
          </cell>
          <cell r="D669" t="str">
            <v>2614HF2TICGC</v>
          </cell>
          <cell r="BA669">
            <v>993</v>
          </cell>
        </row>
        <row r="670">
          <cell r="C670" t="str">
            <v>3002 - TREATED LUMBER</v>
          </cell>
          <cell r="D670" t="str">
            <v>2616HF2TICGC</v>
          </cell>
          <cell r="BA670">
            <v>1030</v>
          </cell>
        </row>
        <row r="671">
          <cell r="C671" t="str">
            <v>3002 - TREATED LUMBER</v>
          </cell>
          <cell r="D671" t="str">
            <v>2620HF2TICGC</v>
          </cell>
          <cell r="BA671">
            <v>1005</v>
          </cell>
        </row>
        <row r="672">
          <cell r="C672" t="str">
            <v>3002 - TREATED LUMBER</v>
          </cell>
          <cell r="D672" t="str">
            <v>288HF2TICGC</v>
          </cell>
          <cell r="BA672">
            <v>1048</v>
          </cell>
        </row>
        <row r="673">
          <cell r="C673" t="str">
            <v>3002 - TREATED LUMBER</v>
          </cell>
          <cell r="D673" t="str">
            <v>2810HF2TICGC</v>
          </cell>
          <cell r="BA673">
            <v>1050</v>
          </cell>
        </row>
        <row r="674">
          <cell r="C674" t="str">
            <v>3002 - TREATED LUMBER</v>
          </cell>
          <cell r="D674" t="str">
            <v>2812HF2TICGC</v>
          </cell>
          <cell r="BA674">
            <v>1047</v>
          </cell>
        </row>
        <row r="675">
          <cell r="C675" t="str">
            <v>3002 - TREATED LUMBER</v>
          </cell>
          <cell r="D675" t="str">
            <v>2814HF2TICGC</v>
          </cell>
          <cell r="BA675">
            <v>1048</v>
          </cell>
        </row>
        <row r="676">
          <cell r="C676" t="str">
            <v>3002 - TREATED LUMBER</v>
          </cell>
          <cell r="D676" t="str">
            <v>2816HF2TICGC</v>
          </cell>
          <cell r="BA676">
            <v>1072</v>
          </cell>
        </row>
        <row r="677">
          <cell r="C677" t="str">
            <v>3002 - TREATED LUMBER</v>
          </cell>
          <cell r="D677" t="str">
            <v>2820HF2TICGC</v>
          </cell>
          <cell r="BA677">
            <v>1060</v>
          </cell>
        </row>
        <row r="678">
          <cell r="C678" t="str">
            <v>3002 - TREATED LUMBER</v>
          </cell>
          <cell r="D678" t="str">
            <v>2108HF2TICGC</v>
          </cell>
          <cell r="BA678">
            <v>997</v>
          </cell>
        </row>
        <row r="679">
          <cell r="C679" t="str">
            <v>3002 - TREATED LUMBER</v>
          </cell>
          <cell r="D679" t="str">
            <v>21010HF2TICGC</v>
          </cell>
          <cell r="BA679">
            <v>998</v>
          </cell>
        </row>
        <row r="680">
          <cell r="C680" t="str">
            <v>3002 - TREATED LUMBER</v>
          </cell>
          <cell r="D680" t="str">
            <v>21012HF2TICGC</v>
          </cell>
          <cell r="BA680">
            <v>1000</v>
          </cell>
        </row>
        <row r="681">
          <cell r="C681" t="str">
            <v>3002 - TREATED LUMBER</v>
          </cell>
          <cell r="D681" t="str">
            <v>21014HF2TICGC</v>
          </cell>
          <cell r="BA681">
            <v>1000</v>
          </cell>
        </row>
        <row r="682">
          <cell r="C682" t="str">
            <v>3002 - TREATED LUMBER</v>
          </cell>
          <cell r="D682" t="str">
            <v>21016HF2TICGC</v>
          </cell>
          <cell r="BA682">
            <v>1023</v>
          </cell>
        </row>
        <row r="683">
          <cell r="C683" t="str">
            <v>3002 - TREATED LUMBER</v>
          </cell>
          <cell r="D683" t="str">
            <v>21020HF2TICGC</v>
          </cell>
          <cell r="BA683">
            <v>1012</v>
          </cell>
        </row>
        <row r="684">
          <cell r="C684" t="str">
            <v>3002 - TREATED LUMBER</v>
          </cell>
          <cell r="D684" t="str">
            <v>2128HF2TICGC</v>
          </cell>
          <cell r="BA684">
            <v>1004</v>
          </cell>
        </row>
        <row r="685">
          <cell r="C685" t="str">
            <v>3002 - TREATED LUMBER</v>
          </cell>
          <cell r="D685" t="str">
            <v>21210HF2TICGC</v>
          </cell>
          <cell r="BA685">
            <v>1006</v>
          </cell>
        </row>
        <row r="686">
          <cell r="C686" t="str">
            <v>3002 - TREATED LUMBER</v>
          </cell>
          <cell r="D686" t="str">
            <v>21212HF2TICGC</v>
          </cell>
          <cell r="BA686">
            <v>1007</v>
          </cell>
        </row>
        <row r="687">
          <cell r="C687" t="str">
            <v>3002 - TREATED LUMBER</v>
          </cell>
          <cell r="D687" t="str">
            <v>21214HF2TICGC</v>
          </cell>
          <cell r="BA687">
            <v>1004</v>
          </cell>
        </row>
        <row r="688">
          <cell r="C688" t="str">
            <v>3002 - TREATED LUMBER</v>
          </cell>
          <cell r="D688" t="str">
            <v>21216HF2TICGC</v>
          </cell>
          <cell r="BA688">
            <v>1028</v>
          </cell>
        </row>
        <row r="689">
          <cell r="C689" t="str">
            <v>3002 - TREATED LUMBER</v>
          </cell>
          <cell r="D689" t="str">
            <v>2616HF3TICAG</v>
          </cell>
          <cell r="BA689">
            <v>748</v>
          </cell>
        </row>
        <row r="690">
          <cell r="C690" t="str">
            <v>3002 - TREATED LUMBER</v>
          </cell>
          <cell r="D690" t="str">
            <v>21220HF2TICGC</v>
          </cell>
          <cell r="BA690">
            <v>1019</v>
          </cell>
        </row>
        <row r="691">
          <cell r="C691" t="str">
            <v>3002 - TREATED LUMBER</v>
          </cell>
          <cell r="D691" t="str">
            <v>2412HF3TICAG</v>
          </cell>
          <cell r="BA691">
            <v>786</v>
          </cell>
        </row>
        <row r="692">
          <cell r="C692" t="str">
            <v>3002 - TREATED LUMBER</v>
          </cell>
          <cell r="D692" t="str">
            <v>2414HF3TICAG</v>
          </cell>
          <cell r="BA692">
            <v>742</v>
          </cell>
        </row>
        <row r="693">
          <cell r="C693" t="str">
            <v>3002 - TREATED LUMBER</v>
          </cell>
          <cell r="D693" t="str">
            <v>2416HF3TICAG</v>
          </cell>
          <cell r="BA693">
            <v>742</v>
          </cell>
        </row>
        <row r="694">
          <cell r="C694" t="str">
            <v>3002 - TREATED LUMBER</v>
          </cell>
          <cell r="D694" t="str">
            <v>2612HF3TICAG</v>
          </cell>
          <cell r="BA694">
            <v>791</v>
          </cell>
        </row>
        <row r="695">
          <cell r="C695" t="str">
            <v>3002 - TREATED LUMBER</v>
          </cell>
          <cell r="D695" t="str">
            <v>2614HF3TICAG</v>
          </cell>
          <cell r="BA695">
            <v>748</v>
          </cell>
        </row>
        <row r="696">
          <cell r="C696" t="str">
            <v>3002 - TREATED LUMBER</v>
          </cell>
          <cell r="D696" t="str">
            <v>248TEDCT</v>
          </cell>
          <cell r="BA696">
            <v>1603</v>
          </cell>
        </row>
        <row r="697">
          <cell r="C697" t="str">
            <v>3002 - TREATED LUMBER</v>
          </cell>
          <cell r="D697" t="str">
            <v>2410TEDCT</v>
          </cell>
          <cell r="BA697">
            <v>1603</v>
          </cell>
        </row>
        <row r="698">
          <cell r="C698" t="str">
            <v>3002 - TREATED LUMBER</v>
          </cell>
          <cell r="D698" t="str">
            <v>2412TEDCT</v>
          </cell>
          <cell r="BA698">
            <v>1603</v>
          </cell>
        </row>
        <row r="699">
          <cell r="C699" t="str">
            <v>3002 - TREATED LUMBER</v>
          </cell>
          <cell r="D699" t="str">
            <v>2416TEDCT</v>
          </cell>
          <cell r="BA699">
            <v>1603</v>
          </cell>
        </row>
        <row r="700">
          <cell r="C700" t="str">
            <v>3002 - TREATED LUMBER</v>
          </cell>
          <cell r="D700" t="str">
            <v>2420TEDCT</v>
          </cell>
          <cell r="BA700">
            <v>1603</v>
          </cell>
        </row>
        <row r="701">
          <cell r="C701" t="str">
            <v>3002 - TREATED LUMBER</v>
          </cell>
          <cell r="D701" t="str">
            <v>268TEDCT</v>
          </cell>
          <cell r="BA701">
            <v>1760</v>
          </cell>
        </row>
        <row r="702">
          <cell r="C702" t="str">
            <v>3002 - TREATED LUMBER</v>
          </cell>
          <cell r="D702" t="str">
            <v>2610TEDCT</v>
          </cell>
          <cell r="BA702">
            <v>1761</v>
          </cell>
        </row>
        <row r="703">
          <cell r="C703" t="str">
            <v>3002 - TREATED LUMBER</v>
          </cell>
          <cell r="D703" t="str">
            <v>2612TEDCT</v>
          </cell>
          <cell r="BA703">
            <v>1760</v>
          </cell>
        </row>
        <row r="704">
          <cell r="C704" t="str">
            <v>3002 - TREATED LUMBER</v>
          </cell>
          <cell r="D704" t="str">
            <v>2614TEDCT</v>
          </cell>
          <cell r="BA704">
            <v>1760</v>
          </cell>
        </row>
        <row r="705">
          <cell r="C705" t="str">
            <v>3002 - TREATED LUMBER</v>
          </cell>
          <cell r="D705" t="str">
            <v>2616TEDCT</v>
          </cell>
          <cell r="BA705">
            <v>1761</v>
          </cell>
        </row>
        <row r="706">
          <cell r="C706" t="str">
            <v>3002 - TREATED LUMBER</v>
          </cell>
          <cell r="D706" t="str">
            <v>2620TEDCT</v>
          </cell>
          <cell r="BA706">
            <v>1876</v>
          </cell>
        </row>
        <row r="707">
          <cell r="C707" t="str">
            <v>3002 - TREATED LUMBER</v>
          </cell>
          <cell r="D707" t="str">
            <v>223TECT</v>
          </cell>
          <cell r="BA707">
            <v>2200</v>
          </cell>
        </row>
        <row r="708">
          <cell r="C708" t="str">
            <v>3002 - TREATED LUMBER</v>
          </cell>
          <cell r="D708" t="str">
            <v>224TECT</v>
          </cell>
          <cell r="BA708">
            <v>2200</v>
          </cell>
        </row>
        <row r="709">
          <cell r="C709" t="str">
            <v>3002 - TREATED LUMBER</v>
          </cell>
          <cell r="D709" t="str">
            <v>228TECT</v>
          </cell>
          <cell r="BA709">
            <v>2201</v>
          </cell>
        </row>
        <row r="710">
          <cell r="C710" t="str">
            <v>3002 - TREATED LUMBER</v>
          </cell>
          <cell r="D710" t="str">
            <v>288TECT</v>
          </cell>
          <cell r="BA710">
            <v>1225</v>
          </cell>
        </row>
        <row r="711">
          <cell r="C711" t="str">
            <v>3002 - TREATED LUMBER</v>
          </cell>
          <cell r="D711" t="str">
            <v>2810TECT</v>
          </cell>
          <cell r="BA711">
            <v>1225</v>
          </cell>
        </row>
        <row r="712">
          <cell r="C712" t="str">
            <v>3002 - TREATED LUMBER</v>
          </cell>
          <cell r="D712" t="str">
            <v>2812TECT</v>
          </cell>
          <cell r="BA712">
            <v>1225</v>
          </cell>
        </row>
        <row r="713">
          <cell r="C713" t="str">
            <v>3002 - TREATED LUMBER</v>
          </cell>
          <cell r="D713" t="str">
            <v>2816TECT</v>
          </cell>
          <cell r="BA713">
            <v>1186</v>
          </cell>
        </row>
        <row r="714">
          <cell r="C714" t="str">
            <v>3002 - TREATED LUMBER</v>
          </cell>
          <cell r="D714" t="str">
            <v>2108TECT</v>
          </cell>
          <cell r="BA714">
            <v>1183</v>
          </cell>
        </row>
        <row r="715">
          <cell r="C715" t="str">
            <v>3002 - TREATED LUMBER</v>
          </cell>
          <cell r="D715" t="str">
            <v>21012TECT</v>
          </cell>
          <cell r="BA715">
            <v>1183</v>
          </cell>
        </row>
        <row r="716">
          <cell r="C716" t="str">
            <v>3002 - TREATED LUMBER</v>
          </cell>
          <cell r="D716" t="str">
            <v>21016TECT</v>
          </cell>
          <cell r="BA716">
            <v>1183</v>
          </cell>
        </row>
        <row r="717">
          <cell r="C717" t="str">
            <v>3002 - TREATED LUMBER</v>
          </cell>
          <cell r="D717" t="str">
            <v>2128TECT</v>
          </cell>
          <cell r="BA717">
            <v>1221</v>
          </cell>
        </row>
        <row r="718">
          <cell r="C718" t="str">
            <v>3002 - TREATED LUMBER</v>
          </cell>
          <cell r="D718" t="str">
            <v>21210TECT</v>
          </cell>
          <cell r="BA718">
            <v>1221</v>
          </cell>
        </row>
        <row r="719">
          <cell r="C719" t="str">
            <v>3002 - TREATED LUMBER</v>
          </cell>
          <cell r="D719" t="str">
            <v>21212TECT</v>
          </cell>
          <cell r="BA719">
            <v>1221</v>
          </cell>
        </row>
        <row r="720">
          <cell r="C720" t="str">
            <v>3002 - TREATED LUMBER</v>
          </cell>
          <cell r="D720" t="str">
            <v>21216TECT</v>
          </cell>
          <cell r="BA720">
            <v>1221</v>
          </cell>
        </row>
        <row r="721">
          <cell r="C721" t="str">
            <v>3002 - TREATED LUMBER</v>
          </cell>
          <cell r="D721" t="str">
            <v>21220TECT</v>
          </cell>
          <cell r="BA721">
            <v>1221</v>
          </cell>
        </row>
        <row r="722">
          <cell r="C722" t="str">
            <v>3003 - TREATED BOARDS</v>
          </cell>
          <cell r="D722" t="str">
            <v>148HF2TCAG</v>
          </cell>
          <cell r="BA722">
            <v>1899</v>
          </cell>
        </row>
        <row r="723">
          <cell r="C723" t="str">
            <v>3004 - TREATED TIMBERS/BEAMS</v>
          </cell>
          <cell r="D723" t="str">
            <v>448TCT</v>
          </cell>
          <cell r="BA723">
            <v>1394</v>
          </cell>
        </row>
        <row r="724">
          <cell r="C724" t="str">
            <v>3004 - TREATED TIMBERS/BEAMS</v>
          </cell>
          <cell r="D724" t="str">
            <v>3612HF2TICGC</v>
          </cell>
          <cell r="BA724">
            <v>1710</v>
          </cell>
        </row>
        <row r="725">
          <cell r="C725" t="str">
            <v>3004 - TREATED TIMBERS/BEAMS</v>
          </cell>
          <cell r="D725" t="str">
            <v>3616HF2TICGC</v>
          </cell>
          <cell r="BA725">
            <v>1741</v>
          </cell>
        </row>
        <row r="726">
          <cell r="C726" t="str">
            <v>3004 - TREATED TIMBERS/BEAMS</v>
          </cell>
          <cell r="D726" t="str">
            <v>3620HF2TICGC</v>
          </cell>
          <cell r="BA726">
            <v>1710</v>
          </cell>
        </row>
        <row r="727">
          <cell r="C727" t="str">
            <v>3004 - TREATED TIMBERS/BEAMS</v>
          </cell>
          <cell r="D727" t="str">
            <v>3820HF2TICGC</v>
          </cell>
          <cell r="BA727">
            <v>1941</v>
          </cell>
        </row>
        <row r="728">
          <cell r="C728" t="str">
            <v>3004 - TREATED TIMBERS/BEAMS</v>
          </cell>
          <cell r="D728" t="str">
            <v>448HF2TICGC</v>
          </cell>
          <cell r="BA728">
            <v>1398</v>
          </cell>
        </row>
        <row r="729">
          <cell r="C729" t="str">
            <v>3004 - TREATED TIMBERS/BEAMS</v>
          </cell>
          <cell r="D729" t="str">
            <v>4410HF2TICGC</v>
          </cell>
          <cell r="BA729">
            <v>1399</v>
          </cell>
        </row>
        <row r="730">
          <cell r="C730" t="str">
            <v>3004 - TREATED TIMBERS/BEAMS</v>
          </cell>
          <cell r="D730" t="str">
            <v>4412HF2TICGC</v>
          </cell>
          <cell r="BA730">
            <v>1397</v>
          </cell>
        </row>
        <row r="731">
          <cell r="C731" t="str">
            <v>3004 - TREATED TIMBERS/BEAMS</v>
          </cell>
          <cell r="D731" t="str">
            <v>4416HF2TICGC</v>
          </cell>
          <cell r="BA731">
            <v>1394</v>
          </cell>
        </row>
        <row r="732">
          <cell r="C732" t="str">
            <v>3004 - TREATED TIMBERS/BEAMS</v>
          </cell>
          <cell r="D732" t="str">
            <v>468HF2TICGC</v>
          </cell>
          <cell r="BA732">
            <v>1340</v>
          </cell>
        </row>
        <row r="733">
          <cell r="C733" t="str">
            <v>3004 - TREATED TIMBERS/BEAMS</v>
          </cell>
          <cell r="D733" t="str">
            <v>4610HF2TICGC</v>
          </cell>
          <cell r="BA733">
            <v>1353</v>
          </cell>
        </row>
        <row r="734">
          <cell r="C734" t="str">
            <v>3004 - TREATED TIMBERS/BEAMS</v>
          </cell>
          <cell r="D734" t="str">
            <v>4612HF2TICGC</v>
          </cell>
          <cell r="BA734">
            <v>1372</v>
          </cell>
        </row>
        <row r="735">
          <cell r="C735" t="str">
            <v>3004 - TREATED TIMBERS/BEAMS</v>
          </cell>
          <cell r="D735" t="str">
            <v>4614HF2TICGC</v>
          </cell>
          <cell r="BA735">
            <v>1337</v>
          </cell>
        </row>
        <row r="736">
          <cell r="C736" t="str">
            <v>3004 - TREATED TIMBERS/BEAMS</v>
          </cell>
          <cell r="D736" t="str">
            <v>4616HF2TICGC</v>
          </cell>
          <cell r="BA736">
            <v>1371</v>
          </cell>
        </row>
        <row r="737">
          <cell r="C737" t="str">
            <v>3004 - TREATED TIMBERS/BEAMS</v>
          </cell>
          <cell r="D737" t="str">
            <v>4620HF2TICGC</v>
          </cell>
          <cell r="BA737">
            <v>1372</v>
          </cell>
        </row>
        <row r="738">
          <cell r="C738" t="str">
            <v>3004 - TREATED TIMBERS/BEAMS</v>
          </cell>
          <cell r="D738" t="str">
            <v>488HF2TICGC</v>
          </cell>
          <cell r="BA738">
            <v>1435</v>
          </cell>
        </row>
        <row r="739">
          <cell r="C739" t="str">
            <v>3004 - TREATED TIMBERS/BEAMS</v>
          </cell>
          <cell r="D739" t="str">
            <v>4810HF2TICGC</v>
          </cell>
          <cell r="BA739">
            <v>1437</v>
          </cell>
        </row>
        <row r="740">
          <cell r="C740" t="str">
            <v>3004 - TREATED TIMBERS/BEAMS</v>
          </cell>
          <cell r="D740" t="str">
            <v>4812HF2TICGC</v>
          </cell>
          <cell r="BA740">
            <v>1449</v>
          </cell>
        </row>
        <row r="741">
          <cell r="C741" t="str">
            <v>3004 - TREATED TIMBERS/BEAMS</v>
          </cell>
          <cell r="D741" t="str">
            <v>4814HF2TICGC</v>
          </cell>
          <cell r="BA741">
            <v>1431</v>
          </cell>
        </row>
        <row r="742">
          <cell r="C742" t="str">
            <v>3004 - TREATED TIMBERS/BEAMS</v>
          </cell>
          <cell r="D742" t="str">
            <v>4816HF2TICGC</v>
          </cell>
          <cell r="BA742">
            <v>1459</v>
          </cell>
        </row>
        <row r="743">
          <cell r="C743" t="str">
            <v>3004 - TREATED TIMBERS/BEAMS</v>
          </cell>
          <cell r="D743" t="str">
            <v>4820HF2TICGC</v>
          </cell>
          <cell r="BA743">
            <v>1462</v>
          </cell>
        </row>
        <row r="744">
          <cell r="C744" t="str">
            <v>3004 - TREATED TIMBERS/BEAMS</v>
          </cell>
          <cell r="D744" t="str">
            <v>4108HF2TICGC</v>
          </cell>
          <cell r="BA744">
            <v>1566</v>
          </cell>
        </row>
        <row r="745">
          <cell r="C745" t="str">
            <v>3004 - TREATED TIMBERS/BEAMS</v>
          </cell>
          <cell r="D745" t="str">
            <v>41010HF2TICGC</v>
          </cell>
          <cell r="BA745">
            <v>1572</v>
          </cell>
        </row>
        <row r="746">
          <cell r="C746" t="str">
            <v>3004 - TREATED TIMBERS/BEAMS</v>
          </cell>
          <cell r="D746" t="str">
            <v>41012HF2TICGC</v>
          </cell>
          <cell r="BA746">
            <v>1581</v>
          </cell>
        </row>
        <row r="747">
          <cell r="C747" t="str">
            <v>3004 - TREATED TIMBERS/BEAMS</v>
          </cell>
          <cell r="D747" t="str">
            <v>41014HF2TICGC</v>
          </cell>
          <cell r="BA747">
            <v>1566</v>
          </cell>
        </row>
        <row r="748">
          <cell r="C748" t="str">
            <v>3004 - TREATED TIMBERS/BEAMS</v>
          </cell>
          <cell r="D748" t="str">
            <v>41016HF2TICGC</v>
          </cell>
          <cell r="BA748">
            <v>1598</v>
          </cell>
        </row>
        <row r="749">
          <cell r="C749" t="str">
            <v>3004 - TREATED TIMBERS/BEAMS</v>
          </cell>
          <cell r="D749" t="str">
            <v>41020HF2TICGC</v>
          </cell>
          <cell r="BA749">
            <v>1595</v>
          </cell>
        </row>
        <row r="750">
          <cell r="C750" t="str">
            <v>3004 - TREATED TIMBERS/BEAMS</v>
          </cell>
          <cell r="D750" t="str">
            <v>4128HF2TICGC</v>
          </cell>
          <cell r="BA750">
            <v>1646</v>
          </cell>
        </row>
        <row r="751">
          <cell r="C751" t="str">
            <v>3004 - TREATED TIMBERS/BEAMS</v>
          </cell>
          <cell r="D751" t="str">
            <v>41210HF2TICGC</v>
          </cell>
          <cell r="BA751">
            <v>1643</v>
          </cell>
        </row>
        <row r="752">
          <cell r="C752" t="str">
            <v>3004 - TREATED TIMBERS/BEAMS</v>
          </cell>
          <cell r="D752" t="str">
            <v>41212HF2TICGC</v>
          </cell>
          <cell r="BA752">
            <v>1654</v>
          </cell>
        </row>
        <row r="753">
          <cell r="C753" t="str">
            <v>3004 - TREATED TIMBERS/BEAMS</v>
          </cell>
          <cell r="D753" t="str">
            <v>41214HF2TICGC</v>
          </cell>
          <cell r="BA753">
            <v>1638</v>
          </cell>
        </row>
        <row r="754">
          <cell r="C754" t="str">
            <v>3004 - TREATED TIMBERS/BEAMS</v>
          </cell>
          <cell r="D754" t="str">
            <v>41216HF2TICGC</v>
          </cell>
          <cell r="BA754">
            <v>1671</v>
          </cell>
        </row>
        <row r="755">
          <cell r="C755" t="str">
            <v>3004 - TREATED TIMBERS/BEAMS</v>
          </cell>
          <cell r="D755" t="str">
            <v>41220HF2TICGC</v>
          </cell>
          <cell r="BA755">
            <v>1668</v>
          </cell>
        </row>
        <row r="756">
          <cell r="C756" t="str">
            <v>3004 - TREATED TIMBERS/BEAMS</v>
          </cell>
          <cell r="D756" t="str">
            <v>668HF2TICGC</v>
          </cell>
          <cell r="BA756">
            <v>1630</v>
          </cell>
        </row>
        <row r="757">
          <cell r="C757" t="str">
            <v>3004 - TREATED TIMBERS/BEAMS</v>
          </cell>
          <cell r="D757" t="str">
            <v>6610HF2TICGC</v>
          </cell>
          <cell r="BA757">
            <v>1632</v>
          </cell>
        </row>
        <row r="758">
          <cell r="C758" t="str">
            <v>3004 - TREATED TIMBERS/BEAMS</v>
          </cell>
          <cell r="D758" t="str">
            <v>6612HF2TICGC</v>
          </cell>
          <cell r="BA758">
            <v>1643</v>
          </cell>
        </row>
        <row r="759">
          <cell r="C759" t="str">
            <v>3004 - TREATED TIMBERS/BEAMS</v>
          </cell>
          <cell r="D759" t="str">
            <v>6614HF2TICGC</v>
          </cell>
          <cell r="BA759">
            <v>1631</v>
          </cell>
        </row>
        <row r="760">
          <cell r="C760" t="str">
            <v>3004 - TREATED TIMBERS/BEAMS</v>
          </cell>
          <cell r="D760" t="str">
            <v>6616HF2TICGC</v>
          </cell>
          <cell r="BA760">
            <v>1644</v>
          </cell>
        </row>
        <row r="761">
          <cell r="C761" t="str">
            <v>3004 - TREATED TIMBERS/BEAMS</v>
          </cell>
          <cell r="D761" t="str">
            <v>6620HF2TICGC</v>
          </cell>
          <cell r="BA761">
            <v>1641</v>
          </cell>
        </row>
        <row r="762">
          <cell r="C762" t="str">
            <v>3004 - TREATED TIMBERS/BEAMS</v>
          </cell>
          <cell r="D762" t="str">
            <v>688HF2TICGC</v>
          </cell>
          <cell r="BA762">
            <v>1781</v>
          </cell>
        </row>
        <row r="763">
          <cell r="C763" t="str">
            <v>3004 - TREATED TIMBERS/BEAMS</v>
          </cell>
          <cell r="D763" t="str">
            <v>6810HF2TICGC</v>
          </cell>
          <cell r="BA763">
            <v>1781</v>
          </cell>
        </row>
        <row r="764">
          <cell r="C764" t="str">
            <v>3004 - TREATED TIMBERS/BEAMS</v>
          </cell>
          <cell r="D764" t="str">
            <v>6812HF2TICGC</v>
          </cell>
          <cell r="BA764">
            <v>1793</v>
          </cell>
        </row>
        <row r="765">
          <cell r="C765" t="str">
            <v>3004 - TREATED TIMBERS/BEAMS</v>
          </cell>
          <cell r="D765" t="str">
            <v>6816HF2TICGC</v>
          </cell>
          <cell r="BA765">
            <v>1805</v>
          </cell>
        </row>
        <row r="766">
          <cell r="C766" t="str">
            <v>3004 - TREATED TIMBERS/BEAMS</v>
          </cell>
          <cell r="D766" t="str">
            <v>6820HF2TICGC</v>
          </cell>
          <cell r="BA766">
            <v>1805</v>
          </cell>
        </row>
        <row r="767">
          <cell r="C767" t="str">
            <v>3004 - TREATED TIMBERS/BEAMS</v>
          </cell>
          <cell r="D767" t="str">
            <v>6108HF2TICGC</v>
          </cell>
          <cell r="BA767">
            <v>1780</v>
          </cell>
        </row>
        <row r="768">
          <cell r="C768" t="str">
            <v>3004 - TREATED TIMBERS/BEAMS</v>
          </cell>
          <cell r="D768" t="str">
            <v>61010HF2TICGC</v>
          </cell>
          <cell r="BA768">
            <v>1780</v>
          </cell>
        </row>
        <row r="769">
          <cell r="C769" t="str">
            <v>3004 - TREATED TIMBERS/BEAMS</v>
          </cell>
          <cell r="D769" t="str">
            <v>61012HF2TICGC</v>
          </cell>
          <cell r="BA769">
            <v>1792</v>
          </cell>
        </row>
        <row r="770">
          <cell r="C770" t="str">
            <v>3004 - TREATED TIMBERS/BEAMS</v>
          </cell>
          <cell r="D770" t="str">
            <v>61016HF2TICGC</v>
          </cell>
          <cell r="BA770">
            <v>1804</v>
          </cell>
        </row>
        <row r="771">
          <cell r="C771" t="str">
            <v>3004 - TREATED TIMBERS/BEAMS</v>
          </cell>
          <cell r="D771" t="str">
            <v>61020HF2TICGC</v>
          </cell>
          <cell r="BA771">
            <v>1804</v>
          </cell>
        </row>
        <row r="772">
          <cell r="C772" t="str">
            <v>3004 - TREATED TIMBERS/BEAMS</v>
          </cell>
          <cell r="D772" t="str">
            <v>6128HF2TICGC</v>
          </cell>
          <cell r="BA772">
            <v>1753</v>
          </cell>
        </row>
        <row r="773">
          <cell r="C773" t="str">
            <v>3004 - TREATED TIMBERS/BEAMS</v>
          </cell>
          <cell r="D773" t="str">
            <v>61210HF2TICGC</v>
          </cell>
          <cell r="BA773">
            <v>1753</v>
          </cell>
        </row>
        <row r="774">
          <cell r="C774" t="str">
            <v>3004 - TREATED TIMBERS/BEAMS</v>
          </cell>
          <cell r="D774" t="str">
            <v>61212HF2TICGC</v>
          </cell>
          <cell r="BA774">
            <v>1765</v>
          </cell>
        </row>
        <row r="775">
          <cell r="C775" t="str">
            <v>3004 - TREATED TIMBERS/BEAMS</v>
          </cell>
          <cell r="D775" t="str">
            <v>61216HF2TICGC</v>
          </cell>
          <cell r="BA775">
            <v>1777</v>
          </cell>
        </row>
        <row r="776">
          <cell r="C776" t="str">
            <v>3004 - TREATED TIMBERS/BEAMS</v>
          </cell>
          <cell r="D776" t="str">
            <v>61220HF2TICGC</v>
          </cell>
          <cell r="BA776">
            <v>1777</v>
          </cell>
        </row>
        <row r="777">
          <cell r="C777" t="str">
            <v>3004 - TREATED TIMBERS/BEAMS</v>
          </cell>
          <cell r="D777" t="str">
            <v>31016HF2T60</v>
          </cell>
          <cell r="BA777">
            <v>2414</v>
          </cell>
        </row>
        <row r="778">
          <cell r="C778" t="str">
            <v>3004 - TREATED TIMBERS/BEAMS</v>
          </cell>
          <cell r="D778" t="str">
            <v>6614HF2TIC60</v>
          </cell>
          <cell r="BA778">
            <v>1794</v>
          </cell>
        </row>
        <row r="779">
          <cell r="C779" t="str">
            <v>3004 - TREATED TIMBERS/BEAMS</v>
          </cell>
          <cell r="D779" t="str">
            <v>6624HF2TIC60</v>
          </cell>
          <cell r="BA779">
            <v>1725</v>
          </cell>
        </row>
        <row r="780">
          <cell r="C780" t="str">
            <v>3004 - TREATED TIMBERS/BEAMS</v>
          </cell>
          <cell r="D780" t="str">
            <v>2620HF3TICAG</v>
          </cell>
          <cell r="BA780">
            <v>775</v>
          </cell>
        </row>
        <row r="781">
          <cell r="C781" t="str">
            <v>3004 - TREATED TIMBERS/BEAMS</v>
          </cell>
          <cell r="D781" t="str">
            <v>2420HF3TICAG</v>
          </cell>
          <cell r="BA781">
            <v>729</v>
          </cell>
        </row>
        <row r="782">
          <cell r="C782" t="str">
            <v>3004 - TREATED TIMBERS/BEAMS</v>
          </cell>
          <cell r="D782" t="str">
            <v>4612HF2RT60</v>
          </cell>
          <cell r="BA782">
            <v>1514</v>
          </cell>
        </row>
        <row r="783">
          <cell r="C783" t="str">
            <v>3004 - TREATED TIMBERS/BEAMS</v>
          </cell>
          <cell r="D783" t="str">
            <v>4616HF2RT60</v>
          </cell>
          <cell r="BA783">
            <v>1514</v>
          </cell>
        </row>
        <row r="784">
          <cell r="C784" t="str">
            <v>3004 - TREATED TIMBERS/BEAMS</v>
          </cell>
          <cell r="D784" t="str">
            <v>668HF2RT60</v>
          </cell>
          <cell r="BA784">
            <v>1659</v>
          </cell>
        </row>
        <row r="785">
          <cell r="C785" t="str">
            <v>3004 - TREATED TIMBERS/BEAMS</v>
          </cell>
          <cell r="D785" t="str">
            <v>6610HF2RT60</v>
          </cell>
          <cell r="BA785">
            <v>1655</v>
          </cell>
        </row>
        <row r="786">
          <cell r="C786" t="str">
            <v>3004 - TREATED TIMBERS/BEAMS</v>
          </cell>
          <cell r="D786" t="str">
            <v>6612HF2RT60</v>
          </cell>
          <cell r="BA786">
            <v>1659</v>
          </cell>
        </row>
        <row r="787">
          <cell r="C787" t="str">
            <v>3004 - TREATED TIMBERS/BEAMS</v>
          </cell>
          <cell r="D787" t="str">
            <v>6614HF2RT60</v>
          </cell>
          <cell r="BA787">
            <v>1657</v>
          </cell>
        </row>
        <row r="788">
          <cell r="C788" t="str">
            <v>3004 - TREATED TIMBERS/BEAMS</v>
          </cell>
          <cell r="D788" t="str">
            <v>6616HF2RT60</v>
          </cell>
          <cell r="BA788">
            <v>1658</v>
          </cell>
        </row>
        <row r="789">
          <cell r="C789" t="str">
            <v>3004 - TREATED TIMBERS/BEAMS</v>
          </cell>
          <cell r="D789" t="str">
            <v>6618HF2RT60</v>
          </cell>
          <cell r="BA789">
            <v>1655</v>
          </cell>
        </row>
        <row r="790">
          <cell r="C790" t="str">
            <v>3004 - TREATED TIMBERS/BEAMS</v>
          </cell>
          <cell r="D790" t="str">
            <v>6620HF2RT60</v>
          </cell>
          <cell r="BA790">
            <v>1654</v>
          </cell>
        </row>
        <row r="791">
          <cell r="C791" t="str">
            <v>3004 - TREATED TIMBERS/BEAMS</v>
          </cell>
          <cell r="D791" t="str">
            <v>6622HF2RT60</v>
          </cell>
          <cell r="BA791">
            <v>1714</v>
          </cell>
        </row>
        <row r="792">
          <cell r="C792" t="str">
            <v>3004 - TREATED TIMBERS/BEAMS</v>
          </cell>
          <cell r="D792" t="str">
            <v>6624HF2RT60</v>
          </cell>
          <cell r="BA792">
            <v>1714</v>
          </cell>
        </row>
        <row r="793">
          <cell r="C793" t="str">
            <v>3004 - TREATED TIMBERS/BEAMS</v>
          </cell>
          <cell r="D793" t="str">
            <v>6626HF2RT60</v>
          </cell>
          <cell r="BA793">
            <v>1907</v>
          </cell>
        </row>
        <row r="794">
          <cell r="C794" t="str">
            <v>3004 - TREATED TIMBERS/BEAMS</v>
          </cell>
          <cell r="D794" t="str">
            <v>6628HF2RT60</v>
          </cell>
          <cell r="BA794">
            <v>1931</v>
          </cell>
        </row>
        <row r="795">
          <cell r="C795" t="str">
            <v>3004 - TREATED TIMBERS/BEAMS</v>
          </cell>
          <cell r="D795" t="str">
            <v>6826HF2RT60</v>
          </cell>
          <cell r="BA795">
            <v>2025</v>
          </cell>
        </row>
        <row r="796">
          <cell r="C796" t="str">
            <v>3004 - TREATED TIMBERS/BEAMS</v>
          </cell>
          <cell r="D796" t="str">
            <v>6828HF2RT60</v>
          </cell>
          <cell r="BA796">
            <v>2049</v>
          </cell>
        </row>
        <row r="797">
          <cell r="C797" t="str">
            <v>3004 - TREATED TIMBERS/BEAMS</v>
          </cell>
          <cell r="D797" t="str">
            <v>448TECT</v>
          </cell>
          <cell r="BA797">
            <v>1534</v>
          </cell>
        </row>
        <row r="798">
          <cell r="C798" t="str">
            <v>3004 - TREATED TIMBERS/BEAMS</v>
          </cell>
          <cell r="D798" t="str">
            <v>4410TECT</v>
          </cell>
          <cell r="BA798">
            <v>1546</v>
          </cell>
        </row>
        <row r="799">
          <cell r="C799" t="str">
            <v>3004 - TREATED TIMBERS/BEAMS</v>
          </cell>
          <cell r="D799" t="str">
            <v>4412TECT</v>
          </cell>
          <cell r="BA799">
            <v>1564</v>
          </cell>
        </row>
        <row r="800">
          <cell r="C800" t="str">
            <v>3005 - FIRE RETARDANT PLYWOOD</v>
          </cell>
          <cell r="D800" t="str">
            <v>12FT</v>
          </cell>
          <cell r="BA800">
            <v>1232</v>
          </cell>
        </row>
        <row r="801">
          <cell r="C801" t="str">
            <v>3005 - FIRE RETARDANT PLYWOOD</v>
          </cell>
          <cell r="D801" t="str">
            <v>58FT</v>
          </cell>
          <cell r="BA801">
            <v>1718</v>
          </cell>
        </row>
        <row r="802">
          <cell r="C802" t="str">
            <v>3005 - FIRE RETARDANT PLYWOOD</v>
          </cell>
          <cell r="D802" t="str">
            <v>34FT</v>
          </cell>
          <cell r="BA802">
            <v>1889</v>
          </cell>
        </row>
        <row r="803">
          <cell r="C803" t="str">
            <v>3009 - MISC. TREATED</v>
          </cell>
          <cell r="D803" t="str">
            <v>NUVOPCP11BLK</v>
          </cell>
          <cell r="BA803">
            <v>2.39</v>
          </cell>
        </row>
        <row r="804">
          <cell r="C804" t="str">
            <v>3009 - MISC. TREATED</v>
          </cell>
          <cell r="D804" t="str">
            <v>SSTRINGER4</v>
          </cell>
          <cell r="BA804">
            <v>36.19</v>
          </cell>
        </row>
        <row r="805">
          <cell r="C805" t="str">
            <v>3009 - MISC. TREATED</v>
          </cell>
          <cell r="D805" t="str">
            <v>SSTRINGER3</v>
          </cell>
          <cell r="BA805">
            <v>23.69</v>
          </cell>
        </row>
        <row r="806">
          <cell r="C806" t="str">
            <v>3009 - MISC. TREATED</v>
          </cell>
          <cell r="D806" t="str">
            <v>TCAC3S</v>
          </cell>
          <cell r="BA806">
            <v>17.79</v>
          </cell>
        </row>
        <row r="807">
          <cell r="C807" t="str">
            <v>3009 - MISC. TREATED</v>
          </cell>
          <cell r="D807" t="str">
            <v>TCAC4S</v>
          </cell>
          <cell r="BA807">
            <v>22.89</v>
          </cell>
        </row>
        <row r="808">
          <cell r="C808" t="str">
            <v>3009 - MISC. TREATED</v>
          </cell>
          <cell r="D808" t="str">
            <v>TCAC5S</v>
          </cell>
          <cell r="BA808">
            <v>26.19</v>
          </cell>
        </row>
        <row r="809">
          <cell r="C809" t="str">
            <v>3012 - TREATED FENCE</v>
          </cell>
          <cell r="D809" t="str">
            <v>166TRFF1</v>
          </cell>
          <cell r="BA809">
            <v>3.79</v>
          </cell>
        </row>
        <row r="810">
          <cell r="C810" t="str">
            <v>3012 - TREATED FENCE</v>
          </cell>
          <cell r="D810" t="str">
            <v>165WRCRF2</v>
          </cell>
          <cell r="BA810">
            <v>1.39</v>
          </cell>
        </row>
        <row r="811">
          <cell r="C811" t="str">
            <v>3012 - TREATED FENCE</v>
          </cell>
          <cell r="D811" t="str">
            <v>166WRCRF2</v>
          </cell>
          <cell r="BA811">
            <v>3.79</v>
          </cell>
        </row>
        <row r="812">
          <cell r="C812" t="str">
            <v>3012 - TREATED FENCE</v>
          </cell>
          <cell r="D812" t="str">
            <v>166DEFC</v>
          </cell>
          <cell r="BA812">
            <v>3.79</v>
          </cell>
        </row>
        <row r="813">
          <cell r="C813" t="str">
            <v>3012 - TREATED FENCE</v>
          </cell>
          <cell r="D813" t="str">
            <v>166WRCGLCM</v>
          </cell>
          <cell r="BA813">
            <v>2.4900000000000002</v>
          </cell>
        </row>
        <row r="814">
          <cell r="C814" t="str">
            <v>3012 - TREATED FENCE</v>
          </cell>
          <cell r="D814" t="str">
            <v>156WRCRF2</v>
          </cell>
          <cell r="BA814">
            <v>3.09</v>
          </cell>
        </row>
        <row r="815">
          <cell r="C815" t="str">
            <v>3012 - TREATED FENCE</v>
          </cell>
          <cell r="D815" t="str">
            <v>156WRCRF2DE</v>
          </cell>
          <cell r="BA815">
            <v>2.99</v>
          </cell>
        </row>
        <row r="816">
          <cell r="C816" t="str">
            <v>3012 - TREATED FENCE</v>
          </cell>
          <cell r="D816" t="str">
            <v>168WRCRF2</v>
          </cell>
          <cell r="BA816">
            <v>5.69</v>
          </cell>
        </row>
        <row r="817">
          <cell r="C817" t="str">
            <v>3075 - TREATED TOOLS &amp; SUPPLIES</v>
          </cell>
          <cell r="D817" t="str">
            <v>1218PTS</v>
          </cell>
          <cell r="BA817">
            <v>21.99</v>
          </cell>
        </row>
        <row r="818">
          <cell r="C818" t="str">
            <v>3205 - TREX DECKING</v>
          </cell>
          <cell r="D818" t="str">
            <v>58812TSSF</v>
          </cell>
          <cell r="BA818">
            <v>74.489999999999995</v>
          </cell>
        </row>
        <row r="819">
          <cell r="C819" t="str">
            <v>3205 - TREX DECKING</v>
          </cell>
          <cell r="D819" t="str">
            <v>58812TSWBF</v>
          </cell>
          <cell r="BA819">
            <v>74.489999999999995</v>
          </cell>
        </row>
        <row r="820">
          <cell r="C820" t="str">
            <v>3205 - TREX DECKING</v>
          </cell>
          <cell r="D820" t="str">
            <v>581212TSWBF</v>
          </cell>
          <cell r="BA820">
            <v>124.99</v>
          </cell>
        </row>
        <row r="821">
          <cell r="C821" t="str">
            <v>3205 - TREX DECKING</v>
          </cell>
          <cell r="D821" t="str">
            <v>1812TETSF</v>
          </cell>
          <cell r="BA821">
            <v>68.989999999999995</v>
          </cell>
        </row>
        <row r="822">
          <cell r="C822" t="str">
            <v>3205 - TREX DECKING</v>
          </cell>
          <cell r="D822" t="str">
            <v>1812TERHF</v>
          </cell>
          <cell r="BA822">
            <v>68.989999999999995</v>
          </cell>
        </row>
        <row r="823">
          <cell r="C823" t="str">
            <v>3205 - TREX DECKING</v>
          </cell>
          <cell r="D823" t="str">
            <v>11212TERHF</v>
          </cell>
          <cell r="BA823">
            <v>113.99</v>
          </cell>
        </row>
        <row r="824">
          <cell r="C824" t="str">
            <v>3205 - TREX DECKING</v>
          </cell>
          <cell r="D824" t="str">
            <v>1612TECSGR</v>
          </cell>
          <cell r="BA824">
            <v>25.09</v>
          </cell>
        </row>
        <row r="825">
          <cell r="C825" t="str">
            <v>3205 - TREX DECKING</v>
          </cell>
          <cell r="D825" t="str">
            <v>1616TECSGR</v>
          </cell>
          <cell r="BA825">
            <v>33.49</v>
          </cell>
        </row>
        <row r="826">
          <cell r="C826" t="str">
            <v>3205 - TREX DECKING</v>
          </cell>
          <cell r="D826" t="str">
            <v>1620TECSGR</v>
          </cell>
          <cell r="BA826">
            <v>41.89</v>
          </cell>
        </row>
        <row r="827">
          <cell r="C827" t="str">
            <v>3205 - TREX DECKING</v>
          </cell>
          <cell r="D827" t="str">
            <v>1616TECSSQ</v>
          </cell>
          <cell r="BA827">
            <v>33.49</v>
          </cell>
        </row>
        <row r="828">
          <cell r="C828" t="str">
            <v>3205 - TREX DECKING</v>
          </cell>
          <cell r="D828" t="str">
            <v>1612TERHGR</v>
          </cell>
          <cell r="BA828">
            <v>33.49</v>
          </cell>
        </row>
        <row r="829">
          <cell r="C829" t="str">
            <v>3205 - TREX DECKING</v>
          </cell>
          <cell r="D829" t="str">
            <v>1616TERHGR</v>
          </cell>
          <cell r="BA829">
            <v>44.69</v>
          </cell>
        </row>
        <row r="830">
          <cell r="C830" t="str">
            <v>3205 - TREX DECKING</v>
          </cell>
          <cell r="D830" t="str">
            <v>1620TERHGR</v>
          </cell>
          <cell r="BA830">
            <v>55.99</v>
          </cell>
        </row>
        <row r="831">
          <cell r="C831" t="str">
            <v>3205 - TREX DECKING</v>
          </cell>
          <cell r="D831" t="str">
            <v>1620TERHSQ</v>
          </cell>
          <cell r="BA831">
            <v>55.99</v>
          </cell>
        </row>
        <row r="832">
          <cell r="C832" t="str">
            <v>3205 - TREX DECKING</v>
          </cell>
          <cell r="D832" t="str">
            <v>1612TETSGR</v>
          </cell>
          <cell r="BA832">
            <v>33.49</v>
          </cell>
        </row>
        <row r="833">
          <cell r="C833" t="str">
            <v>3205 - TREX DECKING</v>
          </cell>
          <cell r="D833" t="str">
            <v>1616TETSGR</v>
          </cell>
          <cell r="BA833">
            <v>44.69</v>
          </cell>
        </row>
        <row r="834">
          <cell r="C834" t="str">
            <v>3205 - TREX DECKING</v>
          </cell>
          <cell r="D834" t="str">
            <v>1620TETSGR</v>
          </cell>
          <cell r="BA834">
            <v>55.99</v>
          </cell>
        </row>
        <row r="835">
          <cell r="C835" t="str">
            <v>3205 - TREX DECKING</v>
          </cell>
          <cell r="D835" t="str">
            <v>1620TETSSQ</v>
          </cell>
          <cell r="BA835">
            <v>55.99</v>
          </cell>
        </row>
        <row r="836">
          <cell r="C836" t="str">
            <v>3205 - TREX DECKING</v>
          </cell>
          <cell r="D836" t="str">
            <v>T158JCT50</v>
          </cell>
          <cell r="BA836">
            <v>27.59</v>
          </cell>
        </row>
        <row r="837">
          <cell r="C837" t="str">
            <v>3205 - TREX DECKING</v>
          </cell>
          <cell r="D837" t="str">
            <v>TCLIPCON50</v>
          </cell>
          <cell r="BA837">
            <v>46.29</v>
          </cell>
        </row>
        <row r="838">
          <cell r="C838" t="str">
            <v>3205 - TREX DECKING</v>
          </cell>
          <cell r="D838" t="str">
            <v>T10CTUNIVCLIP</v>
          </cell>
          <cell r="BA838">
            <v>42.89</v>
          </cell>
        </row>
        <row r="839">
          <cell r="C839" t="str">
            <v>3205 - TREX DECKING</v>
          </cell>
          <cell r="D839" t="str">
            <v>TRXDA00002</v>
          </cell>
          <cell r="BA839">
            <v>334.99</v>
          </cell>
        </row>
        <row r="840">
          <cell r="C840" t="str">
            <v>3205 - TREX DECKING</v>
          </cell>
          <cell r="D840" t="str">
            <v>11212TETSF</v>
          </cell>
          <cell r="BA840">
            <v>113.99</v>
          </cell>
        </row>
        <row r="841">
          <cell r="C841" t="str">
            <v>3208 - TIMBERTECH DECKING</v>
          </cell>
          <cell r="D841" t="str">
            <v>AZCONLOC100SQ</v>
          </cell>
          <cell r="BA841">
            <v>182.99</v>
          </cell>
        </row>
        <row r="842">
          <cell r="C842" t="str">
            <v>3210 - MISC COMPOSITE</v>
          </cell>
          <cell r="D842" t="str">
            <v>FGL54612GCABIN</v>
          </cell>
          <cell r="BA842">
            <v>28.69</v>
          </cell>
        </row>
        <row r="843">
          <cell r="C843" t="str">
            <v>3210 - MISC COMPOSITE</v>
          </cell>
          <cell r="D843" t="str">
            <v>FGL54616GCABIN</v>
          </cell>
          <cell r="BA843">
            <v>38.29</v>
          </cell>
        </row>
        <row r="844">
          <cell r="C844" t="str">
            <v>3210 - MISC COMPOSITE</v>
          </cell>
          <cell r="D844" t="str">
            <v>FGL54620GCABIN</v>
          </cell>
          <cell r="BA844">
            <v>47.89</v>
          </cell>
        </row>
        <row r="845">
          <cell r="C845" t="str">
            <v>3210 - MISC COMPOSITE</v>
          </cell>
          <cell r="D845" t="str">
            <v>FGL54620SCABIN</v>
          </cell>
          <cell r="BA845">
            <v>47.89</v>
          </cell>
        </row>
        <row r="846">
          <cell r="C846" t="str">
            <v>3210 - MISC COMPOSITE</v>
          </cell>
          <cell r="D846" t="str">
            <v>FGL54612BEACHHO</v>
          </cell>
          <cell r="BA846">
            <v>33.49</v>
          </cell>
        </row>
        <row r="847">
          <cell r="C847" t="str">
            <v>3210 - MISC COMPOSITE</v>
          </cell>
          <cell r="D847" t="str">
            <v>FGL54616GBEACHHO</v>
          </cell>
          <cell r="BA847">
            <v>44.69</v>
          </cell>
        </row>
        <row r="848">
          <cell r="C848" t="str">
            <v>3210 - MISC COMPOSITE</v>
          </cell>
          <cell r="D848" t="str">
            <v>FGL54620GBEACHHO</v>
          </cell>
          <cell r="BA848">
            <v>55.99</v>
          </cell>
        </row>
        <row r="849">
          <cell r="C849" t="str">
            <v>3210 - MISC COMPOSITE</v>
          </cell>
          <cell r="D849" t="str">
            <v>FGL54620SBEACHHO</v>
          </cell>
          <cell r="BA849">
            <v>55.99</v>
          </cell>
        </row>
        <row r="850">
          <cell r="C850" t="str">
            <v>3210 - MISC COMPOSITE</v>
          </cell>
          <cell r="D850" t="str">
            <v>F11212FTV</v>
          </cell>
          <cell r="BA850">
            <v>131.99</v>
          </cell>
        </row>
        <row r="851">
          <cell r="C851" t="str">
            <v>3210 - MISC COMPOSITE</v>
          </cell>
          <cell r="D851" t="str">
            <v>F11212FCA</v>
          </cell>
          <cell r="BA851">
            <v>131.99</v>
          </cell>
        </row>
        <row r="852">
          <cell r="C852" t="str">
            <v>3210 - MISC COMPOSITE</v>
          </cell>
          <cell r="D852" t="str">
            <v>F11212FBH</v>
          </cell>
          <cell r="BA852">
            <v>131.99</v>
          </cell>
        </row>
        <row r="853">
          <cell r="C853" t="str">
            <v>3210 - MISC COMPOSITE</v>
          </cell>
          <cell r="D853" t="str">
            <v>F11212FCBA</v>
          </cell>
          <cell r="BA853">
            <v>131.99</v>
          </cell>
        </row>
        <row r="854">
          <cell r="C854" t="str">
            <v>3210 - MISC COMPOSITE</v>
          </cell>
          <cell r="D854" t="str">
            <v>FGL1616SCO</v>
          </cell>
          <cell r="BA854">
            <v>38.29</v>
          </cell>
        </row>
        <row r="855">
          <cell r="C855" t="str">
            <v>3210 - MISC COMPOSITE</v>
          </cell>
          <cell r="D855" t="str">
            <v>FGL1620SCO</v>
          </cell>
          <cell r="BA855">
            <v>47.89</v>
          </cell>
        </row>
        <row r="856">
          <cell r="C856" t="str">
            <v>3210 - MISC COMPOSITE</v>
          </cell>
          <cell r="D856" t="str">
            <v>FGL1612GCO</v>
          </cell>
          <cell r="BA856">
            <v>28.69</v>
          </cell>
        </row>
        <row r="857">
          <cell r="C857" t="str">
            <v>3210 - MISC COMPOSITE</v>
          </cell>
          <cell r="D857" t="str">
            <v>FGL1616GCO</v>
          </cell>
          <cell r="BA857">
            <v>38.29</v>
          </cell>
        </row>
        <row r="858">
          <cell r="C858" t="str">
            <v>3210 - MISC COMPOSITE</v>
          </cell>
          <cell r="D858" t="str">
            <v>FGL1620GCO</v>
          </cell>
          <cell r="BA858">
            <v>47.89</v>
          </cell>
        </row>
        <row r="859">
          <cell r="C859" t="str">
            <v>3210 - MISC COMPOSITE</v>
          </cell>
          <cell r="D859" t="str">
            <v>FGL54612GTV</v>
          </cell>
          <cell r="BA859">
            <v>33.49</v>
          </cell>
        </row>
        <row r="860">
          <cell r="C860" t="str">
            <v>3210 - MISC COMPOSITE</v>
          </cell>
          <cell r="D860" t="str">
            <v>FGL54616GTV</v>
          </cell>
          <cell r="BA860">
            <v>44.69</v>
          </cell>
        </row>
        <row r="861">
          <cell r="C861" t="str">
            <v>3210 - MISC COMPOSITE</v>
          </cell>
          <cell r="D861" t="str">
            <v>FGL54620GTV</v>
          </cell>
          <cell r="BA861">
            <v>55.99</v>
          </cell>
        </row>
        <row r="862">
          <cell r="C862" t="str">
            <v>3210 - MISC COMPOSITE</v>
          </cell>
          <cell r="D862" t="str">
            <v>FGL54616STV</v>
          </cell>
          <cell r="BA862">
            <v>44.69</v>
          </cell>
        </row>
        <row r="863">
          <cell r="C863" t="str">
            <v>3210 - MISC COMPOSITE</v>
          </cell>
          <cell r="D863" t="str">
            <v>FGL54620STV</v>
          </cell>
          <cell r="BA863">
            <v>55.99</v>
          </cell>
        </row>
        <row r="864">
          <cell r="C864" t="str">
            <v>3210 - MISC COMPOSITE</v>
          </cell>
          <cell r="D864" t="str">
            <v>FGL1616SCA</v>
          </cell>
          <cell r="BA864">
            <v>38.29</v>
          </cell>
        </row>
        <row r="865">
          <cell r="C865" t="str">
            <v>3210 - MISC COMPOSITE</v>
          </cell>
          <cell r="D865" t="str">
            <v>FGL1620SCA</v>
          </cell>
          <cell r="BA865">
            <v>47.89</v>
          </cell>
        </row>
        <row r="866">
          <cell r="C866" t="str">
            <v>3210 - MISC COMPOSITE</v>
          </cell>
          <cell r="D866" t="str">
            <v>FGL1612GCA</v>
          </cell>
          <cell r="BA866">
            <v>28.69</v>
          </cell>
        </row>
        <row r="867">
          <cell r="C867" t="str">
            <v>3210 - MISC COMPOSITE</v>
          </cell>
          <cell r="D867" t="str">
            <v>FGL1616GCA</v>
          </cell>
          <cell r="BA867">
            <v>38.29</v>
          </cell>
        </row>
        <row r="868">
          <cell r="C868" t="str">
            <v>3210 - MISC COMPOSITE</v>
          </cell>
          <cell r="D868" t="str">
            <v>FGL1620GCA</v>
          </cell>
          <cell r="BA868">
            <v>47.89</v>
          </cell>
        </row>
        <row r="869">
          <cell r="C869" t="str">
            <v>3210 - MISC COMPOSITE</v>
          </cell>
          <cell r="D869" t="str">
            <v>FGL54612GCBA</v>
          </cell>
          <cell r="BA869">
            <v>33.49</v>
          </cell>
        </row>
        <row r="870">
          <cell r="C870" t="str">
            <v>3210 - MISC COMPOSITE</v>
          </cell>
          <cell r="D870" t="str">
            <v>FGL54616GCBA</v>
          </cell>
          <cell r="BA870">
            <v>44.69</v>
          </cell>
        </row>
        <row r="871">
          <cell r="C871" t="str">
            <v>3210 - MISC COMPOSITE</v>
          </cell>
          <cell r="D871" t="str">
            <v>FGL54620GCBA</v>
          </cell>
          <cell r="BA871">
            <v>55.99</v>
          </cell>
        </row>
        <row r="872">
          <cell r="C872" t="str">
            <v>3210 - MISC COMPOSITE</v>
          </cell>
          <cell r="D872" t="str">
            <v>FGL54620SCBA</v>
          </cell>
          <cell r="BA872">
            <v>55.99</v>
          </cell>
        </row>
        <row r="873">
          <cell r="C873" t="str">
            <v>3210 - MISC COMPOSITE</v>
          </cell>
          <cell r="D873" t="str">
            <v>FGL54616SCBA</v>
          </cell>
          <cell r="BA873">
            <v>44.69</v>
          </cell>
        </row>
        <row r="874">
          <cell r="C874" t="str">
            <v>3210 - MISC COMPOSITE</v>
          </cell>
          <cell r="D874" t="str">
            <v>F1812RTV</v>
          </cell>
          <cell r="BA874">
            <v>77.989999999999995</v>
          </cell>
        </row>
        <row r="875">
          <cell r="C875" t="str">
            <v>3210 - MISC COMPOSITE</v>
          </cell>
          <cell r="D875" t="str">
            <v>F11212FCOTT</v>
          </cell>
          <cell r="BA875">
            <v>131.99</v>
          </cell>
        </row>
        <row r="876">
          <cell r="C876" t="str">
            <v>3210 - MISC COMPOSITE</v>
          </cell>
          <cell r="D876" t="str">
            <v>F1812RCABANA</v>
          </cell>
          <cell r="BA876">
            <v>77.989999999999995</v>
          </cell>
        </row>
        <row r="877">
          <cell r="C877" t="str">
            <v>3210 - MISC COMPOSITE</v>
          </cell>
          <cell r="D877" t="str">
            <v>F1812RCOTTAGE</v>
          </cell>
          <cell r="BA877">
            <v>67.489999999999995</v>
          </cell>
        </row>
        <row r="878">
          <cell r="C878" t="str">
            <v>3210 - MISC COMPOSITE</v>
          </cell>
          <cell r="D878" t="str">
            <v>F1812RCABIN</v>
          </cell>
          <cell r="BA878">
            <v>67.489999999999995</v>
          </cell>
        </row>
        <row r="879">
          <cell r="C879" t="str">
            <v>3210 - MISC COMPOSITE</v>
          </cell>
          <cell r="D879" t="str">
            <v>FIBUNVFAS50</v>
          </cell>
          <cell r="BA879">
            <v>57.49</v>
          </cell>
        </row>
        <row r="880">
          <cell r="C880" t="str">
            <v>3210 - MISC COMPOSITE</v>
          </cell>
          <cell r="D880" t="str">
            <v>HFGUN900</v>
          </cell>
          <cell r="BA880">
            <v>419.99</v>
          </cell>
        </row>
        <row r="881">
          <cell r="C881" t="str">
            <v>3210 - MISC COMPOSITE</v>
          </cell>
          <cell r="D881" t="str">
            <v>PHHF25CT</v>
          </cell>
          <cell r="BA881">
            <v>28.09</v>
          </cell>
        </row>
        <row r="882">
          <cell r="C882" t="str">
            <v>3210 - MISC COMPOSITE</v>
          </cell>
          <cell r="D882" t="str">
            <v>FIFPHUHF500</v>
          </cell>
          <cell r="BA882">
            <v>419.99</v>
          </cell>
        </row>
        <row r="883">
          <cell r="C883" t="str">
            <v>3210 - MISC COMPOSITE</v>
          </cell>
          <cell r="D883" t="str">
            <v>N343-467</v>
          </cell>
          <cell r="BA883">
            <v>34.99</v>
          </cell>
        </row>
        <row r="884">
          <cell r="C884" t="str">
            <v>3210 - MISC COMPOSITE</v>
          </cell>
          <cell r="D884" t="str">
            <v>CL30644</v>
          </cell>
          <cell r="BA884">
            <v>24.09</v>
          </cell>
        </row>
        <row r="885">
          <cell r="C885" t="str">
            <v>3210 - MISC COMPOSITE</v>
          </cell>
          <cell r="D885" t="str">
            <v>CL54665</v>
          </cell>
          <cell r="BA885">
            <v>20.39</v>
          </cell>
        </row>
        <row r="886">
          <cell r="C886" t="str">
            <v>3210 - MISC COMPOSITE</v>
          </cell>
          <cell r="D886" t="str">
            <v>CL34520</v>
          </cell>
          <cell r="BA886">
            <v>47.89</v>
          </cell>
        </row>
        <row r="887">
          <cell r="C887" t="str">
            <v>3210 - MISC COMPOSITE</v>
          </cell>
          <cell r="D887" t="str">
            <v>CL30590</v>
          </cell>
          <cell r="BA887">
            <v>14.39</v>
          </cell>
        </row>
        <row r="888">
          <cell r="C888" t="str">
            <v>3210 - MISC COMPOSITE</v>
          </cell>
          <cell r="D888" t="str">
            <v>CL30651</v>
          </cell>
          <cell r="BA888">
            <v>43.49</v>
          </cell>
        </row>
        <row r="889">
          <cell r="C889" t="str">
            <v>3210 - MISC COMPOSITE</v>
          </cell>
          <cell r="D889" t="str">
            <v>CL30460</v>
          </cell>
          <cell r="BA889">
            <v>131.99</v>
          </cell>
        </row>
        <row r="890">
          <cell r="C890" t="str">
            <v>3210 - MISC COMPOSITE</v>
          </cell>
          <cell r="D890" t="str">
            <v>CL30453</v>
          </cell>
          <cell r="BA890">
            <v>98.49</v>
          </cell>
        </row>
        <row r="891">
          <cell r="C891" t="str">
            <v>3210 - MISC COMPOSITE</v>
          </cell>
          <cell r="D891" t="str">
            <v>CL30439</v>
          </cell>
          <cell r="BA891">
            <v>116.99</v>
          </cell>
        </row>
        <row r="892">
          <cell r="C892" t="str">
            <v>3210 - MISC COMPOSITE</v>
          </cell>
          <cell r="D892" t="str">
            <v>CL30422</v>
          </cell>
          <cell r="BA892">
            <v>87.99</v>
          </cell>
        </row>
        <row r="893">
          <cell r="C893" t="str">
            <v>3210 - MISC COMPOSITE</v>
          </cell>
          <cell r="D893" t="str">
            <v>CL30187</v>
          </cell>
          <cell r="BA893">
            <v>44.89</v>
          </cell>
        </row>
        <row r="894">
          <cell r="C894" t="str">
            <v>3210 - MISC COMPOSITE</v>
          </cell>
          <cell r="D894" t="str">
            <v>CL30194</v>
          </cell>
          <cell r="BA894">
            <v>41.39</v>
          </cell>
        </row>
        <row r="895">
          <cell r="C895" t="str">
            <v>3210 - MISC COMPOSITE</v>
          </cell>
          <cell r="D895" t="str">
            <v>CL30064</v>
          </cell>
          <cell r="BA895">
            <v>28.19</v>
          </cell>
        </row>
        <row r="896">
          <cell r="C896" t="str">
            <v>3210 - MISC COMPOSITE</v>
          </cell>
          <cell r="D896" t="str">
            <v>CL30170</v>
          </cell>
          <cell r="BA896">
            <v>37.590000000000003</v>
          </cell>
        </row>
        <row r="897">
          <cell r="C897" t="str">
            <v>3210 - MISC COMPOSITE</v>
          </cell>
          <cell r="D897" t="str">
            <v>CL30156</v>
          </cell>
          <cell r="BA897">
            <v>47.49</v>
          </cell>
        </row>
        <row r="898">
          <cell r="C898" t="str">
            <v>3210 - MISC COMPOSITE</v>
          </cell>
          <cell r="D898" t="str">
            <v>CL30057</v>
          </cell>
          <cell r="BA898">
            <v>35.99</v>
          </cell>
        </row>
        <row r="899">
          <cell r="C899" t="str">
            <v>3210 - MISC COMPOSITE</v>
          </cell>
          <cell r="D899" t="str">
            <v>CL30149</v>
          </cell>
          <cell r="BA899">
            <v>47.49</v>
          </cell>
        </row>
        <row r="900">
          <cell r="C900" t="str">
            <v>3210 - MISC COMPOSITE</v>
          </cell>
          <cell r="D900" t="str">
            <v>CL30033</v>
          </cell>
          <cell r="BA900">
            <v>35.89</v>
          </cell>
        </row>
        <row r="901">
          <cell r="C901" t="str">
            <v>3210 - MISC COMPOSITE</v>
          </cell>
          <cell r="D901" t="str">
            <v>CL30163</v>
          </cell>
          <cell r="BA901">
            <v>42.69</v>
          </cell>
        </row>
        <row r="902">
          <cell r="C902" t="str">
            <v>3210 - MISC COMPOSITE</v>
          </cell>
          <cell r="D902" t="str">
            <v>CL30040</v>
          </cell>
          <cell r="BA902">
            <v>32.49</v>
          </cell>
        </row>
        <row r="903">
          <cell r="C903" t="str">
            <v>3210 - MISC COMPOSITE</v>
          </cell>
          <cell r="D903" t="str">
            <v>CL30088</v>
          </cell>
          <cell r="BA903">
            <v>33.590000000000003</v>
          </cell>
        </row>
        <row r="904">
          <cell r="C904" t="str">
            <v>3210 - MISC COMPOSITE</v>
          </cell>
          <cell r="D904" t="str">
            <v>CL30835</v>
          </cell>
          <cell r="BA904">
            <v>20.79</v>
          </cell>
        </row>
        <row r="905">
          <cell r="C905" t="str">
            <v>3210 - MISC COMPOSITE</v>
          </cell>
          <cell r="D905" t="str">
            <v>CL30811</v>
          </cell>
          <cell r="BA905">
            <v>63.49</v>
          </cell>
        </row>
        <row r="906">
          <cell r="C906" t="str">
            <v>3210 - MISC COMPOSITE</v>
          </cell>
          <cell r="D906" t="str">
            <v>CL30729</v>
          </cell>
          <cell r="BA906">
            <v>1.79</v>
          </cell>
        </row>
        <row r="907">
          <cell r="C907" t="str">
            <v>3210 - MISC COMPOSITE</v>
          </cell>
          <cell r="D907" t="str">
            <v>CL30767</v>
          </cell>
          <cell r="BA907">
            <v>3.09</v>
          </cell>
        </row>
        <row r="908">
          <cell r="C908" t="str">
            <v>3210 - MISC COMPOSITE</v>
          </cell>
          <cell r="D908" t="str">
            <v>CL30712</v>
          </cell>
          <cell r="BA908">
            <v>1.79</v>
          </cell>
        </row>
        <row r="909">
          <cell r="C909" t="str">
            <v>3210 - MISC COMPOSITE</v>
          </cell>
          <cell r="D909" t="str">
            <v>CL30750</v>
          </cell>
          <cell r="BA909">
            <v>1.59</v>
          </cell>
        </row>
        <row r="910">
          <cell r="C910" t="str">
            <v>3210 - MISC COMPOSITE</v>
          </cell>
          <cell r="D910" t="str">
            <v>CL30606</v>
          </cell>
          <cell r="BA910">
            <v>23.29</v>
          </cell>
        </row>
        <row r="911">
          <cell r="C911" t="str">
            <v>3210 - MISC COMPOSITE</v>
          </cell>
          <cell r="D911" t="str">
            <v>CL30699</v>
          </cell>
          <cell r="BA911">
            <v>8.59</v>
          </cell>
        </row>
        <row r="912">
          <cell r="C912" t="str">
            <v>3210 - MISC COMPOSITE</v>
          </cell>
          <cell r="D912" t="str">
            <v>DECKHAND</v>
          </cell>
          <cell r="BA912">
            <v>4.8899999999999997</v>
          </cell>
        </row>
        <row r="913">
          <cell r="C913" t="str">
            <v>3210 - MISC COMPOSITE</v>
          </cell>
          <cell r="D913" t="str">
            <v>HOGWHRBP36</v>
          </cell>
          <cell r="BA913">
            <v>54.99</v>
          </cell>
        </row>
        <row r="914">
          <cell r="C914" t="str">
            <v>3210 - MISC COMPOSITE</v>
          </cell>
          <cell r="D914" t="str">
            <v>HOGWHRBP38</v>
          </cell>
          <cell r="BA914">
            <v>78.989999999999995</v>
          </cell>
        </row>
        <row r="915">
          <cell r="C915" t="str">
            <v>3220 - FORTRESS DECKING</v>
          </cell>
          <cell r="D915" t="str">
            <v>FORPIP346B</v>
          </cell>
          <cell r="BA915">
            <v>106.99</v>
          </cell>
        </row>
        <row r="916">
          <cell r="C916" t="str">
            <v>3220 - FORTRESS DECKING</v>
          </cell>
          <cell r="D916" t="str">
            <v>53504008</v>
          </cell>
          <cell r="BA916">
            <v>30.19</v>
          </cell>
        </row>
        <row r="917">
          <cell r="C917" t="str">
            <v>3220 - FORTRESS DECKING</v>
          </cell>
          <cell r="D917" t="str">
            <v>FT53302478</v>
          </cell>
          <cell r="BA917">
            <v>55.49</v>
          </cell>
        </row>
        <row r="918">
          <cell r="C918" t="str">
            <v>3220 - FORTRESS DECKING</v>
          </cell>
          <cell r="D918" t="str">
            <v>FT53234948</v>
          </cell>
          <cell r="BA918">
            <v>175.99</v>
          </cell>
        </row>
        <row r="919">
          <cell r="C919" t="str">
            <v>3220 - FORTRESS DECKING</v>
          </cell>
          <cell r="D919" t="str">
            <v>FT53134948</v>
          </cell>
          <cell r="BA919">
            <v>131.99</v>
          </cell>
        </row>
        <row r="920">
          <cell r="C920" t="str">
            <v>3220 - FORTRESS DECKING</v>
          </cell>
          <cell r="D920" t="str">
            <v>FT53312398</v>
          </cell>
          <cell r="BA920">
            <v>83.99</v>
          </cell>
        </row>
        <row r="921">
          <cell r="C921" t="str">
            <v>3220 - FORTRESS DECKING</v>
          </cell>
          <cell r="D921" t="str">
            <v>FT53332398</v>
          </cell>
          <cell r="BA921">
            <v>83.99</v>
          </cell>
        </row>
        <row r="922">
          <cell r="C922" t="str">
            <v>3220 - FORTRESS DECKING</v>
          </cell>
          <cell r="D922" t="str">
            <v>FT53322398</v>
          </cell>
          <cell r="BA922">
            <v>71.989999999999995</v>
          </cell>
        </row>
        <row r="923">
          <cell r="C923" t="str">
            <v>3220 - FORTRESS DECKING</v>
          </cell>
          <cell r="D923" t="str">
            <v>FT53502108</v>
          </cell>
          <cell r="BA923">
            <v>1.99</v>
          </cell>
        </row>
        <row r="924">
          <cell r="C924" t="str">
            <v>3220 - FORTRESS DECKING</v>
          </cell>
          <cell r="D924" t="str">
            <v>FT53234698</v>
          </cell>
          <cell r="BA924">
            <v>107.99</v>
          </cell>
        </row>
        <row r="925">
          <cell r="C925" t="str">
            <v>3220 - FORTRESS DECKING</v>
          </cell>
          <cell r="D925" t="str">
            <v>FT59132698</v>
          </cell>
          <cell r="BA925">
            <v>91.99</v>
          </cell>
        </row>
        <row r="926">
          <cell r="C926" t="str">
            <v>3220 - FORTRESS DECKING</v>
          </cell>
          <cell r="D926" t="str">
            <v>FT59132938</v>
          </cell>
          <cell r="BA926">
            <v>114.99</v>
          </cell>
        </row>
        <row r="927">
          <cell r="C927" t="str">
            <v>3220 - FORTRESS DECKING</v>
          </cell>
          <cell r="D927" t="str">
            <v>FT59232938</v>
          </cell>
          <cell r="BA927">
            <v>173.99</v>
          </cell>
        </row>
        <row r="928">
          <cell r="C928" t="str">
            <v>3220 - FORTRESS DECKING</v>
          </cell>
          <cell r="D928" t="str">
            <v>FT53504068</v>
          </cell>
          <cell r="BA928">
            <v>65.489999999999995</v>
          </cell>
        </row>
        <row r="929">
          <cell r="C929" t="str">
            <v>3220 - FORTRESS DECKING</v>
          </cell>
          <cell r="D929" t="str">
            <v>FT59339238</v>
          </cell>
          <cell r="BA929">
            <v>121.99</v>
          </cell>
        </row>
        <row r="930">
          <cell r="C930" t="str">
            <v>3220 - FORTRESS DECKING</v>
          </cell>
          <cell r="D930" t="str">
            <v>FT59339038</v>
          </cell>
          <cell r="BA930">
            <v>83.99</v>
          </cell>
        </row>
        <row r="931">
          <cell r="C931" t="str">
            <v>3220 - FORTRESS DECKING</v>
          </cell>
          <cell r="D931" t="str">
            <v>FT59339138</v>
          </cell>
          <cell r="BA931">
            <v>121.99</v>
          </cell>
        </row>
        <row r="932">
          <cell r="C932" t="str">
            <v>3220 - FORTRESS DECKING</v>
          </cell>
          <cell r="D932" t="str">
            <v>FT59339338</v>
          </cell>
          <cell r="BA932">
            <v>103.99</v>
          </cell>
        </row>
        <row r="933">
          <cell r="C933" t="str">
            <v>3501 - SHEATHING PLYWOOD</v>
          </cell>
          <cell r="D933" t="str">
            <v>38CDXF</v>
          </cell>
          <cell r="BA933">
            <v>473</v>
          </cell>
        </row>
        <row r="934">
          <cell r="C934" t="str">
            <v>3501 - SHEATHING PLYWOOD</v>
          </cell>
          <cell r="D934" t="str">
            <v>12CDXF</v>
          </cell>
          <cell r="BA934">
            <v>741</v>
          </cell>
        </row>
        <row r="935">
          <cell r="C935" t="str">
            <v>3501 - SHEATHING PLYWOOD</v>
          </cell>
          <cell r="D935" t="str">
            <v>12CDXF4</v>
          </cell>
          <cell r="BA935">
            <v>582</v>
          </cell>
        </row>
        <row r="936">
          <cell r="C936" t="str">
            <v>3501 - SHEATHING PLYWOOD</v>
          </cell>
          <cell r="D936" t="str">
            <v>12CDXF5</v>
          </cell>
          <cell r="BA936">
            <v>652</v>
          </cell>
        </row>
        <row r="937">
          <cell r="C937" t="str">
            <v>3501 - SHEATHING PLYWOOD</v>
          </cell>
          <cell r="D937" t="str">
            <v>12CDXFS1</v>
          </cell>
          <cell r="BA937">
            <v>692</v>
          </cell>
        </row>
        <row r="938">
          <cell r="C938" t="str">
            <v>3501 - SHEATHING PLYWOOD</v>
          </cell>
          <cell r="D938" t="str">
            <v>58CDXF5</v>
          </cell>
          <cell r="BA938">
            <v>713</v>
          </cell>
        </row>
        <row r="939">
          <cell r="C939" t="str">
            <v>3501 - SHEATHING PLYWOOD</v>
          </cell>
          <cell r="D939" t="str">
            <v>58CDXFS1</v>
          </cell>
          <cell r="BA939">
            <v>730</v>
          </cell>
        </row>
        <row r="940">
          <cell r="C940" t="str">
            <v>3501 - SHEATHING PLYWOOD</v>
          </cell>
          <cell r="D940" t="str">
            <v>4912CDX5</v>
          </cell>
          <cell r="BA940">
            <v>936</v>
          </cell>
        </row>
        <row r="941">
          <cell r="C941" t="str">
            <v>3501 - SHEATHING PLYWOOD</v>
          </cell>
          <cell r="D941" t="str">
            <v>4912CDX</v>
          </cell>
          <cell r="BA941">
            <v>925</v>
          </cell>
        </row>
        <row r="942">
          <cell r="C942" t="str">
            <v>3501 - SHEATHING PLYWOOD</v>
          </cell>
          <cell r="D942" t="str">
            <v>41012CDX</v>
          </cell>
          <cell r="BA942">
            <v>936</v>
          </cell>
        </row>
        <row r="943">
          <cell r="C943" t="str">
            <v>3501 - SHEATHING PLYWOOD</v>
          </cell>
          <cell r="D943" t="str">
            <v>41012CDX5</v>
          </cell>
          <cell r="BA943">
            <v>1145</v>
          </cell>
        </row>
        <row r="944">
          <cell r="C944" t="str">
            <v>3501 - SHEATHING PLYWOOD</v>
          </cell>
          <cell r="D944" t="str">
            <v>118241SE</v>
          </cell>
          <cell r="BA944">
            <v>1578</v>
          </cell>
        </row>
        <row r="945">
          <cell r="C945" t="str">
            <v>3501 - SHEATHING PLYWOOD</v>
          </cell>
          <cell r="D945" t="str">
            <v>12410CDXF4</v>
          </cell>
          <cell r="BA945">
            <v>906</v>
          </cell>
        </row>
        <row r="946">
          <cell r="C946" t="str">
            <v>3501 - SHEATHING PLYWOOD</v>
          </cell>
          <cell r="D946" t="str">
            <v>34CDX4</v>
          </cell>
          <cell r="BA946">
            <v>1128</v>
          </cell>
        </row>
        <row r="947">
          <cell r="C947" t="str">
            <v>3501 - SHEATHING PLYWOOD</v>
          </cell>
          <cell r="D947" t="str">
            <v>34CDXF5</v>
          </cell>
          <cell r="BA947">
            <v>860</v>
          </cell>
        </row>
        <row r="948">
          <cell r="C948" t="str">
            <v>3501 - SHEATHING PLYWOOD</v>
          </cell>
          <cell r="D948" t="str">
            <v>12BCXPTS</v>
          </cell>
          <cell r="BA948">
            <v>1918</v>
          </cell>
        </row>
        <row r="949">
          <cell r="C949" t="str">
            <v>3501 - SHEATHING PLYWOOD</v>
          </cell>
          <cell r="D949" t="str">
            <v>58BCXPTS</v>
          </cell>
          <cell r="BA949">
            <v>2177</v>
          </cell>
        </row>
        <row r="950">
          <cell r="C950" t="str">
            <v>3501 - SHEATHING PLYWOOD</v>
          </cell>
          <cell r="D950" t="str">
            <v>34BCXPTS</v>
          </cell>
          <cell r="BA950">
            <v>2389</v>
          </cell>
        </row>
        <row r="951">
          <cell r="C951" t="str">
            <v>3502 - UNDERLAYMENT PLYWOOD</v>
          </cell>
          <cell r="D951" t="str">
            <v>34TGFFF</v>
          </cell>
          <cell r="BA951">
            <v>1011</v>
          </cell>
        </row>
        <row r="952">
          <cell r="C952" t="str">
            <v>3502 - UNDERLAYMENT PLYWOOD</v>
          </cell>
          <cell r="D952" t="str">
            <v>118TGFFF</v>
          </cell>
          <cell r="BA952">
            <v>1668</v>
          </cell>
        </row>
        <row r="953">
          <cell r="C953" t="str">
            <v>3502 - UNDERLAYMENT PLYWOOD</v>
          </cell>
          <cell r="D953" t="str">
            <v>78TGFFF</v>
          </cell>
          <cell r="BA953">
            <v>1245</v>
          </cell>
        </row>
        <row r="954">
          <cell r="C954" t="str">
            <v>3502 - UNDERLAYMENT PLYWOOD</v>
          </cell>
          <cell r="D954" t="str">
            <v>1448INTPLY</v>
          </cell>
          <cell r="BA954">
            <v>882</v>
          </cell>
        </row>
        <row r="955">
          <cell r="C955" t="str">
            <v>3502 - UNDERLAYMENT PLYWOOD</v>
          </cell>
          <cell r="D955" t="str">
            <v>14ULTRAPLY</v>
          </cell>
          <cell r="BA955">
            <v>951</v>
          </cell>
        </row>
        <row r="956">
          <cell r="C956" t="str">
            <v>3503 - SANDED PLYWOOD</v>
          </cell>
          <cell r="D956" t="str">
            <v>12CCXPTS</v>
          </cell>
          <cell r="BA956">
            <v>1063</v>
          </cell>
        </row>
        <row r="957">
          <cell r="C957" t="str">
            <v>3503 - SANDED PLYWOOD</v>
          </cell>
          <cell r="D957" t="str">
            <v>34CCXPTS</v>
          </cell>
          <cell r="BA957">
            <v>2182</v>
          </cell>
        </row>
        <row r="958">
          <cell r="C958" t="str">
            <v>3503 - SANDED PLYWOOD</v>
          </cell>
          <cell r="D958" t="str">
            <v>58CCXPTS</v>
          </cell>
          <cell r="BA958">
            <v>1128</v>
          </cell>
        </row>
        <row r="959">
          <cell r="C959" t="str">
            <v>3503 - SANDED PLYWOOD</v>
          </cell>
          <cell r="D959" t="str">
            <v>14BIRA3</v>
          </cell>
          <cell r="BA959">
            <v>877</v>
          </cell>
        </row>
        <row r="960">
          <cell r="C960" t="str">
            <v>3503 - SANDED PLYWOOD</v>
          </cell>
          <cell r="D960" t="str">
            <v>34BIRA2</v>
          </cell>
          <cell r="BA960">
            <v>1625</v>
          </cell>
        </row>
        <row r="961">
          <cell r="C961" t="str">
            <v>3503 - SANDED PLYWOOD</v>
          </cell>
          <cell r="D961" t="str">
            <v>18MAHA3O</v>
          </cell>
          <cell r="BA961">
            <v>483</v>
          </cell>
        </row>
        <row r="962">
          <cell r="C962" t="str">
            <v>3503 - SANDED PLYWOOD</v>
          </cell>
          <cell r="D962" t="str">
            <v>14MAHA3</v>
          </cell>
          <cell r="BA962">
            <v>626</v>
          </cell>
        </row>
        <row r="963">
          <cell r="C963" t="str">
            <v>3503 - SANDED PLYWOOD</v>
          </cell>
          <cell r="D963" t="str">
            <v>14ACAP</v>
          </cell>
          <cell r="BA963">
            <v>886</v>
          </cell>
        </row>
        <row r="964">
          <cell r="C964" t="str">
            <v>3503 - SANDED PLYWOOD</v>
          </cell>
          <cell r="D964" t="str">
            <v>14ACX</v>
          </cell>
          <cell r="BA964">
            <v>984</v>
          </cell>
        </row>
        <row r="965">
          <cell r="C965" t="str">
            <v>3503 - SANDED PLYWOOD</v>
          </cell>
          <cell r="D965" t="str">
            <v>38ACX</v>
          </cell>
          <cell r="BA965">
            <v>1059</v>
          </cell>
        </row>
        <row r="966">
          <cell r="C966" t="str">
            <v>3503 - SANDED PLYWOOD</v>
          </cell>
          <cell r="D966" t="str">
            <v>12ACX</v>
          </cell>
          <cell r="BA966">
            <v>1448</v>
          </cell>
        </row>
        <row r="967">
          <cell r="C967" t="str">
            <v>3503 - SANDED PLYWOOD</v>
          </cell>
          <cell r="D967" t="str">
            <v>58ACX</v>
          </cell>
          <cell r="BA967">
            <v>1592</v>
          </cell>
        </row>
        <row r="968">
          <cell r="C968" t="str">
            <v>3503 - SANDED PLYWOOD</v>
          </cell>
          <cell r="D968" t="str">
            <v>34ACX</v>
          </cell>
          <cell r="BA968">
            <v>1749</v>
          </cell>
        </row>
        <row r="969">
          <cell r="C969" t="str">
            <v>3503 - SANDED PLYWOOD</v>
          </cell>
          <cell r="D969" t="str">
            <v>38ACAP</v>
          </cell>
          <cell r="BA969">
            <v>1026</v>
          </cell>
        </row>
        <row r="970">
          <cell r="C970" t="str">
            <v>3503 - SANDED PLYWOOD</v>
          </cell>
          <cell r="D970" t="str">
            <v>12ACAP</v>
          </cell>
          <cell r="BA970">
            <v>1407</v>
          </cell>
        </row>
        <row r="971">
          <cell r="C971" t="str">
            <v>3503 - SANDED PLYWOOD</v>
          </cell>
          <cell r="D971" t="str">
            <v>58ACAP</v>
          </cell>
          <cell r="BA971">
            <v>1492</v>
          </cell>
        </row>
        <row r="972">
          <cell r="C972" t="str">
            <v>3503 - SANDED PLYWOOD</v>
          </cell>
          <cell r="D972" t="str">
            <v>34ACAP</v>
          </cell>
          <cell r="BA972">
            <v>1735</v>
          </cell>
        </row>
        <row r="973">
          <cell r="C973" t="str">
            <v>3505 - HARDWOOD PLYWOOD</v>
          </cell>
          <cell r="D973" t="str">
            <v>34OAKA2</v>
          </cell>
          <cell r="BA973">
            <v>3899</v>
          </cell>
        </row>
        <row r="974">
          <cell r="C974" t="str">
            <v>3505 - HARDWOOD PLYWOOD</v>
          </cell>
          <cell r="D974" t="str">
            <v>18OAKA3</v>
          </cell>
          <cell r="BA974">
            <v>1183</v>
          </cell>
        </row>
        <row r="975">
          <cell r="C975" t="str">
            <v>3505 - HARDWOOD PLYWOOD</v>
          </cell>
          <cell r="D975" t="str">
            <v>12BIRC3</v>
          </cell>
          <cell r="BA975">
            <v>1555</v>
          </cell>
        </row>
        <row r="976">
          <cell r="C976" t="str">
            <v>3505 - HARDWOOD PLYWOOD</v>
          </cell>
          <cell r="D976" t="str">
            <v>34BIRC2</v>
          </cell>
          <cell r="BA976">
            <v>1647</v>
          </cell>
        </row>
        <row r="977">
          <cell r="C977" t="str">
            <v>3505 - HARDWOOD PLYWOOD</v>
          </cell>
          <cell r="D977" t="str">
            <v>12OAKC3</v>
          </cell>
          <cell r="BA977">
            <v>1825</v>
          </cell>
        </row>
        <row r="978">
          <cell r="C978" t="str">
            <v>3505 - HARDWOOD PLYWOOD</v>
          </cell>
          <cell r="D978" t="str">
            <v>34OCC2</v>
          </cell>
          <cell r="BA978">
            <v>2230</v>
          </cell>
        </row>
        <row r="979">
          <cell r="C979" t="str">
            <v>3505 - HARDWOOD PLYWOOD</v>
          </cell>
          <cell r="D979" t="str">
            <v>14OAKA3</v>
          </cell>
          <cell r="BA979">
            <v>1345</v>
          </cell>
        </row>
        <row r="980">
          <cell r="C980" t="str">
            <v>3505 - HARDWOOD PLYWOOD</v>
          </cell>
          <cell r="D980" t="str">
            <v>AL34</v>
          </cell>
          <cell r="BA980">
            <v>6292</v>
          </cell>
        </row>
        <row r="981">
          <cell r="C981" t="str">
            <v>3505 - HARDWOOD PLYWOOD</v>
          </cell>
          <cell r="D981" t="str">
            <v>18BIRA3</v>
          </cell>
          <cell r="BA981">
            <v>828</v>
          </cell>
        </row>
        <row r="982">
          <cell r="C982" t="str">
            <v>3505 - HARDWOOD PLYWOOD</v>
          </cell>
          <cell r="D982" t="str">
            <v>B34C2</v>
          </cell>
          <cell r="BA982">
            <v>1569</v>
          </cell>
        </row>
        <row r="983">
          <cell r="C983" t="str">
            <v>3505 - HARDWOOD PLYWOOD</v>
          </cell>
          <cell r="D983" t="str">
            <v>CUTCHARGE1</v>
          </cell>
          <cell r="BA983">
            <v>0.36</v>
          </cell>
        </row>
        <row r="984">
          <cell r="C984" t="str">
            <v>3506 - SHEATHING OSB</v>
          </cell>
          <cell r="D984" t="str">
            <v>7165128OSB</v>
          </cell>
          <cell r="BA984">
            <v>381</v>
          </cell>
        </row>
        <row r="985">
          <cell r="C985" t="str">
            <v>3506 - SHEATHING OSB</v>
          </cell>
          <cell r="D985" t="str">
            <v>716OSB</v>
          </cell>
          <cell r="BA985">
            <v>290</v>
          </cell>
        </row>
        <row r="986">
          <cell r="C986" t="str">
            <v>3506 - SHEATHING OSB</v>
          </cell>
          <cell r="D986" t="str">
            <v>716OSBZ</v>
          </cell>
          <cell r="BA986">
            <v>809</v>
          </cell>
        </row>
        <row r="987">
          <cell r="C987" t="str">
            <v>3506 - SHEATHING OSB</v>
          </cell>
          <cell r="D987" t="str">
            <v>716OSBTECH</v>
          </cell>
          <cell r="BA987">
            <v>497</v>
          </cell>
        </row>
        <row r="988">
          <cell r="C988" t="str">
            <v>3506 - SHEATHING OSB</v>
          </cell>
          <cell r="D988" t="str">
            <v>1716OSBNOVA</v>
          </cell>
          <cell r="BA988">
            <v>1778</v>
          </cell>
        </row>
        <row r="989">
          <cell r="C989" t="str">
            <v>3506 - SHEATHING OSB</v>
          </cell>
          <cell r="D989" t="str">
            <v>1716OSB9NOVA</v>
          </cell>
          <cell r="BA989">
            <v>1796</v>
          </cell>
        </row>
        <row r="990">
          <cell r="C990" t="str">
            <v>3506 - SHEATHING OSB</v>
          </cell>
          <cell r="D990" t="str">
            <v>1716OSB10NOVA</v>
          </cell>
          <cell r="BA990">
            <v>1872</v>
          </cell>
        </row>
        <row r="991">
          <cell r="C991" t="str">
            <v>3506 - SHEATHING OSB</v>
          </cell>
          <cell r="D991" t="str">
            <v>1716OSBZR610</v>
          </cell>
          <cell r="BA991">
            <v>2416</v>
          </cell>
        </row>
        <row r="992">
          <cell r="C992" t="str">
            <v>3506 - SHEATHING OSB</v>
          </cell>
          <cell r="D992" t="str">
            <v>716OSB9</v>
          </cell>
          <cell r="BA992">
            <v>302</v>
          </cell>
        </row>
        <row r="993">
          <cell r="C993" t="str">
            <v>3506 - SHEATHING OSB</v>
          </cell>
          <cell r="D993" t="str">
            <v>716OSBLPWL</v>
          </cell>
          <cell r="BA993">
            <v>1015</v>
          </cell>
        </row>
        <row r="994">
          <cell r="C994" t="str">
            <v>3506 - SHEATHING OSB</v>
          </cell>
          <cell r="D994" t="str">
            <v>716OSBLPWL109</v>
          </cell>
          <cell r="BA994">
            <v>0</v>
          </cell>
        </row>
        <row r="995">
          <cell r="C995" t="str">
            <v>3506 - SHEATHING OSB</v>
          </cell>
          <cell r="D995" t="str">
            <v>716OSB9LPWL</v>
          </cell>
          <cell r="BA995">
            <v>977</v>
          </cell>
        </row>
        <row r="996">
          <cell r="C996" t="str">
            <v>3506 - SHEATHING OSB</v>
          </cell>
          <cell r="D996" t="str">
            <v>716OSB10LPWL</v>
          </cell>
          <cell r="BA996">
            <v>937</v>
          </cell>
        </row>
        <row r="997">
          <cell r="C997" t="str">
            <v>3506 - SHEATHING OSB</v>
          </cell>
          <cell r="D997" t="str">
            <v>716OSBZ9</v>
          </cell>
          <cell r="BA997">
            <v>858</v>
          </cell>
        </row>
        <row r="998">
          <cell r="C998" t="str">
            <v>3506 - SHEATHING OSB</v>
          </cell>
          <cell r="D998" t="str">
            <v>716OSB10</v>
          </cell>
          <cell r="BA998">
            <v>302</v>
          </cell>
        </row>
        <row r="999">
          <cell r="C999" t="str">
            <v>3506 - SHEATHING OSB</v>
          </cell>
          <cell r="D999" t="str">
            <v>1532OSB</v>
          </cell>
          <cell r="BA999">
            <v>312</v>
          </cell>
        </row>
        <row r="1000">
          <cell r="C1000" t="str">
            <v>3506 - SHEATHING OSB</v>
          </cell>
          <cell r="D1000" t="str">
            <v>1532OSB9</v>
          </cell>
          <cell r="BA1000">
            <v>701</v>
          </cell>
        </row>
        <row r="1001">
          <cell r="C1001" t="str">
            <v>3506 - SHEATHING OSB</v>
          </cell>
          <cell r="D1001" t="str">
            <v>1932OSB</v>
          </cell>
          <cell r="BA1001">
            <v>498</v>
          </cell>
        </row>
        <row r="1002">
          <cell r="C1002" t="str">
            <v>3506 - SHEATHING OSB</v>
          </cell>
          <cell r="D1002" t="str">
            <v>1532OSB10LPFB1</v>
          </cell>
          <cell r="BA1002">
            <v>2306</v>
          </cell>
        </row>
        <row r="1003">
          <cell r="C1003" t="str">
            <v>3507 - UNDERLAYMENT OSB</v>
          </cell>
          <cell r="D1003" t="str">
            <v>34TGADTCHFF</v>
          </cell>
          <cell r="BA1003">
            <v>1654</v>
          </cell>
        </row>
        <row r="1004">
          <cell r="C1004" t="str">
            <v>3507 - UNDERLAYMENT OSB</v>
          </cell>
          <cell r="D1004" t="str">
            <v>34TGOSBDSFF</v>
          </cell>
          <cell r="BA1004">
            <v>589</v>
          </cell>
        </row>
        <row r="1005">
          <cell r="C1005" t="str">
            <v>3507 - UNDERLAYMENT OSB</v>
          </cell>
          <cell r="D1005" t="str">
            <v>34TGOSBWGOFF</v>
          </cell>
          <cell r="BA1005">
            <v>558</v>
          </cell>
        </row>
        <row r="1006">
          <cell r="C1006" t="str">
            <v>3507 - UNDERLAYMENT OSB</v>
          </cell>
          <cell r="D1006" t="str">
            <v>34TGOSBTFF</v>
          </cell>
          <cell r="BA1006">
            <v>834</v>
          </cell>
        </row>
        <row r="1007">
          <cell r="C1007" t="str">
            <v>3507 - UNDERLAYMENT OSB</v>
          </cell>
          <cell r="D1007" t="str">
            <v>78TGOSB</v>
          </cell>
          <cell r="BA1007">
            <v>1071</v>
          </cell>
        </row>
        <row r="1008">
          <cell r="C1008" t="str">
            <v>3507 - UNDERLAYMENT OSB</v>
          </cell>
          <cell r="D1008" t="str">
            <v>78TGADTCH</v>
          </cell>
          <cell r="BA1008">
            <v>2392</v>
          </cell>
        </row>
        <row r="1009">
          <cell r="C1009" t="str">
            <v>3507 - UNDERLAYMENT OSB</v>
          </cell>
          <cell r="D1009" t="str">
            <v>78TGOSBWGOFF</v>
          </cell>
          <cell r="BA1009">
            <v>797</v>
          </cell>
        </row>
        <row r="1010">
          <cell r="C1010" t="str">
            <v>3507 - UNDERLAYMENT OSB</v>
          </cell>
          <cell r="D1010" t="str">
            <v>78TGOSBDSFF</v>
          </cell>
          <cell r="BA1010">
            <v>765</v>
          </cell>
        </row>
        <row r="1011">
          <cell r="C1011" t="str">
            <v>3507 - UNDERLAYMENT OSB</v>
          </cell>
          <cell r="D1011" t="str">
            <v>118TGOSB</v>
          </cell>
          <cell r="BA1011">
            <v>1285</v>
          </cell>
        </row>
        <row r="1012">
          <cell r="C1012" t="str">
            <v>3507 - UNDERLAYMENT OSB</v>
          </cell>
          <cell r="D1012" t="str">
            <v>118TGOSBWGOFF</v>
          </cell>
          <cell r="BA1012">
            <v>1019</v>
          </cell>
        </row>
        <row r="1013">
          <cell r="C1013" t="str">
            <v>3507 - UNDERLAYMENT OSB</v>
          </cell>
          <cell r="D1013" t="str">
            <v>118TGOSBDSFF</v>
          </cell>
          <cell r="BA1013">
            <v>1196</v>
          </cell>
        </row>
        <row r="1014">
          <cell r="C1014" t="str">
            <v>3507 - UNDERLAYMENT OSB</v>
          </cell>
          <cell r="D1014" t="str">
            <v>716OSB10-LEN</v>
          </cell>
          <cell r="BA1014">
            <v>486</v>
          </cell>
        </row>
        <row r="1015">
          <cell r="C1015" t="str">
            <v>3508 - HARDBOARD</v>
          </cell>
          <cell r="D1015" t="str">
            <v>18THB</v>
          </cell>
          <cell r="BA1015">
            <v>453</v>
          </cell>
        </row>
        <row r="1016">
          <cell r="C1016" t="str">
            <v>3508 - HARDBOARD</v>
          </cell>
          <cell r="D1016" t="str">
            <v>14THB</v>
          </cell>
          <cell r="BA1016">
            <v>872</v>
          </cell>
        </row>
        <row r="1017">
          <cell r="C1017" t="str">
            <v>3508 - HARDBOARD</v>
          </cell>
          <cell r="D1017" t="str">
            <v>18TPB</v>
          </cell>
          <cell r="BA1017">
            <v>474</v>
          </cell>
        </row>
        <row r="1018">
          <cell r="C1018" t="str">
            <v>3508 - HARDBOARD</v>
          </cell>
          <cell r="D1018" t="str">
            <v>14TPB</v>
          </cell>
          <cell r="BA1018">
            <v>917</v>
          </cell>
        </row>
        <row r="1019">
          <cell r="C1019" t="str">
            <v>3509 - PARTICLEBOARD-PANELS</v>
          </cell>
          <cell r="D1019" t="str">
            <v>342508PPBCT</v>
          </cell>
          <cell r="BA1019">
            <v>14.89</v>
          </cell>
        </row>
        <row r="1020">
          <cell r="C1020" t="str">
            <v>3509 - PARTICLEBOARD-PANELS</v>
          </cell>
          <cell r="D1020" t="str">
            <v>342512PPBCT</v>
          </cell>
          <cell r="BA1020">
            <v>21.19</v>
          </cell>
        </row>
        <row r="1021">
          <cell r="C1021" t="str">
            <v>3509 - PARTICLEBOARD-PANELS</v>
          </cell>
          <cell r="D1021" t="str">
            <v>344997PB</v>
          </cell>
          <cell r="BA1021">
            <v>28.09</v>
          </cell>
        </row>
        <row r="1022">
          <cell r="C1022" t="str">
            <v>3509 - PARTICLEBOARD-PANELS</v>
          </cell>
          <cell r="D1022" t="str">
            <v>4838PB</v>
          </cell>
          <cell r="BA1022">
            <v>679</v>
          </cell>
        </row>
        <row r="1023">
          <cell r="C1023" t="str">
            <v>3509 - PARTICLEBOARD-PANELS</v>
          </cell>
          <cell r="D1023" t="str">
            <v>4812PB</v>
          </cell>
          <cell r="BA1023">
            <v>731</v>
          </cell>
        </row>
        <row r="1024">
          <cell r="C1024" t="str">
            <v>3509 - PARTICLEBOARD-PANELS</v>
          </cell>
          <cell r="D1024" t="str">
            <v>P4834PB</v>
          </cell>
          <cell r="BA1024">
            <v>880</v>
          </cell>
        </row>
        <row r="1025">
          <cell r="C1025" t="str">
            <v>3509 - PARTICLEBOARD-PANELS</v>
          </cell>
          <cell r="D1025" t="str">
            <v>PB34W2S</v>
          </cell>
          <cell r="BA1025">
            <v>56.99</v>
          </cell>
        </row>
        <row r="1026">
          <cell r="C1026" t="str">
            <v>3510 - MDF/MDO PLYWOOD</v>
          </cell>
          <cell r="D1026" t="str">
            <v>4814MDF</v>
          </cell>
          <cell r="BA1026">
            <v>673</v>
          </cell>
        </row>
        <row r="1027">
          <cell r="C1027" t="str">
            <v>3510 - MDF/MDO PLYWOOD</v>
          </cell>
          <cell r="D1027" t="str">
            <v>41014MDF</v>
          </cell>
          <cell r="BA1027">
            <v>27.99</v>
          </cell>
        </row>
        <row r="1028">
          <cell r="C1028" t="str">
            <v>3510 - MDF/MDO PLYWOOD</v>
          </cell>
          <cell r="D1028" t="str">
            <v>4818MDF</v>
          </cell>
          <cell r="BA1028">
            <v>559</v>
          </cell>
        </row>
        <row r="1029">
          <cell r="C1029" t="str">
            <v>3510 - MDF/MDO PLYWOOD</v>
          </cell>
          <cell r="D1029" t="str">
            <v>4812MDF</v>
          </cell>
          <cell r="BA1029">
            <v>1411</v>
          </cell>
        </row>
        <row r="1030">
          <cell r="C1030" t="str">
            <v>3510 - MDF/MDO PLYWOOD</v>
          </cell>
          <cell r="D1030" t="str">
            <v>4834MDF</v>
          </cell>
          <cell r="BA1030">
            <v>1578</v>
          </cell>
        </row>
        <row r="1031">
          <cell r="C1031" t="str">
            <v>3510 - MDF/MDO PLYWOOD</v>
          </cell>
          <cell r="D1031" t="str">
            <v>41034MDF</v>
          </cell>
          <cell r="BA1031">
            <v>71.489999999999995</v>
          </cell>
        </row>
        <row r="1032">
          <cell r="C1032" t="str">
            <v>3510 - MDF/MDO PLYWOOD</v>
          </cell>
          <cell r="D1032" t="str">
            <v>12MDO</v>
          </cell>
          <cell r="BA1032">
            <v>2625</v>
          </cell>
        </row>
        <row r="1033">
          <cell r="C1033" t="str">
            <v>3510 - MDF/MDO PLYWOOD</v>
          </cell>
          <cell r="D1033" t="str">
            <v>34MDO</v>
          </cell>
          <cell r="BA1033">
            <v>3382</v>
          </cell>
        </row>
        <row r="1034">
          <cell r="C1034" t="str">
            <v>3510 - MDF/MDO PLYWOOD</v>
          </cell>
          <cell r="D1034" t="str">
            <v>34MDOSHOP</v>
          </cell>
          <cell r="BA1034">
            <v>1875</v>
          </cell>
        </row>
        <row r="1035">
          <cell r="C1035" t="str">
            <v>3510 - MDF/MDO PLYWOOD</v>
          </cell>
          <cell r="D1035" t="str">
            <v>34MDOG2S</v>
          </cell>
          <cell r="BA1035">
            <v>3645</v>
          </cell>
        </row>
        <row r="1036">
          <cell r="C1036" t="str">
            <v>3510 - MDF/MDO PLYWOOD</v>
          </cell>
          <cell r="D1036" t="str">
            <v>12MDOG2S</v>
          </cell>
          <cell r="BA1036">
            <v>2890</v>
          </cell>
        </row>
        <row r="1037">
          <cell r="C1037" t="str">
            <v>3510 - MDF/MDO PLYWOOD</v>
          </cell>
          <cell r="D1037" t="str">
            <v>3428WMS</v>
          </cell>
          <cell r="BA1037">
            <v>42.29</v>
          </cell>
        </row>
        <row r="1038">
          <cell r="C1038" t="str">
            <v>3510 - MDF/MDO PLYWOOD</v>
          </cell>
          <cell r="D1038" t="str">
            <v>4834MDFW</v>
          </cell>
          <cell r="BA1038">
            <v>1464</v>
          </cell>
        </row>
        <row r="1039">
          <cell r="C1039" t="str">
            <v>3510 - MDF/MDO PLYWOOD</v>
          </cell>
          <cell r="D1039" t="str">
            <v>34210WMS</v>
          </cell>
          <cell r="BA1039">
            <v>52.49</v>
          </cell>
        </row>
        <row r="1040">
          <cell r="C1040" t="str">
            <v>3510 - MDF/MDO PLYWOOD</v>
          </cell>
          <cell r="D1040" t="str">
            <v>4814MDFW</v>
          </cell>
          <cell r="BA1040">
            <v>1441</v>
          </cell>
        </row>
        <row r="1041">
          <cell r="C1041" t="str">
            <v>3511 - MISC. PLYWOOD/OSB</v>
          </cell>
          <cell r="D1041" t="str">
            <v>12AB5M</v>
          </cell>
          <cell r="BA1041">
            <v>3220</v>
          </cell>
        </row>
        <row r="1042">
          <cell r="C1042" t="str">
            <v>3511 - MISC. PLYWOOD/OSB</v>
          </cell>
          <cell r="D1042" t="str">
            <v>34ABM</v>
          </cell>
          <cell r="BA1042">
            <v>3930</v>
          </cell>
        </row>
        <row r="1043">
          <cell r="C1043" t="str">
            <v>3511 - MISC. PLYWOOD/OSB</v>
          </cell>
          <cell r="D1043" t="str">
            <v>OSBSTRIPS</v>
          </cell>
          <cell r="BA1043">
            <v>1.29</v>
          </cell>
        </row>
        <row r="1044">
          <cell r="C1044" t="str">
            <v>3511 - MISC. PLYWOOD/OSB</v>
          </cell>
          <cell r="D1044" t="str">
            <v>33490WLTAPE</v>
          </cell>
          <cell r="BA1044">
            <v>8.09</v>
          </cell>
        </row>
        <row r="1045">
          <cell r="C1045" t="str">
            <v>3511 - MISC. PLYWOOD/OSB</v>
          </cell>
          <cell r="D1045" t="str">
            <v>ZSSTR675</v>
          </cell>
          <cell r="BA1045">
            <v>166.99</v>
          </cell>
        </row>
        <row r="1046">
          <cell r="C1046" t="str">
            <v>3511 - MISC. PLYWOOD/OSB</v>
          </cell>
          <cell r="D1046" t="str">
            <v>ZSRT</v>
          </cell>
          <cell r="BA1046">
            <v>40.39</v>
          </cell>
        </row>
        <row r="1047">
          <cell r="C1047" t="str">
            <v>3601 - REGULAR WALLBOARD</v>
          </cell>
          <cell r="D1047" t="str">
            <v>14R48</v>
          </cell>
          <cell r="BA1047">
            <v>605</v>
          </cell>
        </row>
        <row r="1048">
          <cell r="C1048" t="str">
            <v>3601 - REGULAR WALLBOARD</v>
          </cell>
          <cell r="D1048" t="str">
            <v>38R48</v>
          </cell>
          <cell r="BA1048">
            <v>473</v>
          </cell>
        </row>
        <row r="1049">
          <cell r="C1049" t="str">
            <v>3601 - REGULAR WALLBOARD</v>
          </cell>
          <cell r="D1049" t="str">
            <v>12R48</v>
          </cell>
          <cell r="BA1049">
            <v>573</v>
          </cell>
        </row>
        <row r="1050">
          <cell r="C1050" t="str">
            <v>3601 - REGULAR WALLBOARD</v>
          </cell>
          <cell r="D1050" t="str">
            <v>12L48</v>
          </cell>
          <cell r="BA1050">
            <v>541</v>
          </cell>
        </row>
        <row r="1051">
          <cell r="C1051" t="str">
            <v>3601 - REGULAR WALLBOARD</v>
          </cell>
          <cell r="D1051" t="str">
            <v>12L412</v>
          </cell>
          <cell r="BA1051">
            <v>568</v>
          </cell>
        </row>
        <row r="1052">
          <cell r="C1052" t="str">
            <v>3602 - MOLD RESISTANT WALLBOARD</v>
          </cell>
          <cell r="D1052" t="str">
            <v>1248WR</v>
          </cell>
          <cell r="BA1052">
            <v>699</v>
          </cell>
        </row>
        <row r="1053">
          <cell r="C1053" t="str">
            <v>3602 - MOLD RESISTANT WALLBOARD</v>
          </cell>
          <cell r="D1053" t="str">
            <v>4812MMRGYP</v>
          </cell>
          <cell r="BA1053">
            <v>711</v>
          </cell>
        </row>
        <row r="1054">
          <cell r="C1054" t="str">
            <v>3603 - FIRE RESISTANT WALLBOARD</v>
          </cell>
          <cell r="D1054" t="str">
            <v>4858MMRGYP</v>
          </cell>
          <cell r="BA1054">
            <v>784</v>
          </cell>
        </row>
        <row r="1055">
          <cell r="C1055" t="str">
            <v>3603 - FIRE RESISTANT WALLBOARD</v>
          </cell>
          <cell r="D1055" t="str">
            <v>58FC48</v>
          </cell>
          <cell r="BA1055">
            <v>598</v>
          </cell>
        </row>
        <row r="1056">
          <cell r="C1056" t="str">
            <v>3603 - FIRE RESISTANT WALLBOARD</v>
          </cell>
          <cell r="D1056" t="str">
            <v>58FC412</v>
          </cell>
          <cell r="BA1056">
            <v>602</v>
          </cell>
        </row>
        <row r="1057">
          <cell r="C1057" t="str">
            <v>3603 - FIRE RESISTANT WALLBOARD</v>
          </cell>
          <cell r="D1057" t="str">
            <v>4858FSGYP</v>
          </cell>
          <cell r="BA1057">
            <v>591</v>
          </cell>
        </row>
        <row r="1058">
          <cell r="C1058" t="str">
            <v>3604 - GLASS FACED WALLBOARD</v>
          </cell>
          <cell r="D1058" t="str">
            <v>58DG49</v>
          </cell>
          <cell r="BA1058">
            <v>894</v>
          </cell>
        </row>
        <row r="1059">
          <cell r="C1059" t="str">
            <v>3604 - GLASS FACED WALLBOARD</v>
          </cell>
          <cell r="D1059" t="str">
            <v>58DG410</v>
          </cell>
          <cell r="BA1059">
            <v>843</v>
          </cell>
        </row>
        <row r="1060">
          <cell r="C1060" t="str">
            <v>3604 - GLASS FACED WALLBOARD</v>
          </cell>
          <cell r="D1060" t="str">
            <v>58DG48</v>
          </cell>
          <cell r="BA1060">
            <v>896</v>
          </cell>
        </row>
        <row r="1061">
          <cell r="C1061" t="str">
            <v>3605 - CEMENT BOARDS</v>
          </cell>
          <cell r="D1061" t="str">
            <v>1435HB</v>
          </cell>
          <cell r="BA1061">
            <v>18.29</v>
          </cell>
        </row>
        <row r="1062">
          <cell r="C1062" t="str">
            <v>3605 - CEMENT BOARDS</v>
          </cell>
          <cell r="D1062" t="str">
            <v>1235HB</v>
          </cell>
          <cell r="BA1062">
            <v>22.49</v>
          </cell>
        </row>
        <row r="1063">
          <cell r="C1063" t="str">
            <v>3605 - CEMENT BOARDS</v>
          </cell>
          <cell r="D1063" t="str">
            <v>12DCB35</v>
          </cell>
          <cell r="BA1063">
            <v>1870</v>
          </cell>
        </row>
        <row r="1064">
          <cell r="C1064" t="str">
            <v>3606 - SHAFTWALL LINER</v>
          </cell>
          <cell r="D1064" t="str">
            <v>1DGSWL212</v>
          </cell>
          <cell r="BA1064">
            <v>1875</v>
          </cell>
        </row>
        <row r="1065">
          <cell r="C1065" t="str">
            <v>3612 - GYPSUM BEADS &amp; TRIMS</v>
          </cell>
          <cell r="D1065" t="str">
            <v>HAM42180</v>
          </cell>
          <cell r="BA1065">
            <v>3.29</v>
          </cell>
        </row>
        <row r="1066">
          <cell r="C1066" t="str">
            <v>3612 - GYPSUM BEADS &amp; TRIMS</v>
          </cell>
          <cell r="D1066" t="str">
            <v>11410GCBEA</v>
          </cell>
          <cell r="BA1066">
            <v>3.59</v>
          </cell>
        </row>
        <row r="1067">
          <cell r="C1067" t="str">
            <v>3612 - GYPSUM BEADS &amp; TRIMS</v>
          </cell>
          <cell r="D1067" t="str">
            <v>TT4108</v>
          </cell>
          <cell r="BA1067">
            <v>229</v>
          </cell>
        </row>
        <row r="1068">
          <cell r="C1068" t="str">
            <v>3612 - GYPSUM BEADS &amp; TRIMS</v>
          </cell>
          <cell r="D1068" t="str">
            <v>TT7110</v>
          </cell>
          <cell r="BA1068">
            <v>200</v>
          </cell>
        </row>
        <row r="1069">
          <cell r="C1069" t="str">
            <v>3612 - GYPSUM BEADS &amp; TRIMS</v>
          </cell>
          <cell r="D1069" t="str">
            <v>HAM42060</v>
          </cell>
          <cell r="BA1069">
            <v>2.99</v>
          </cell>
        </row>
        <row r="1070">
          <cell r="C1070" t="str">
            <v>3612 - GYPSUM BEADS &amp; TRIMS</v>
          </cell>
          <cell r="D1070" t="str">
            <v>HAM42040</v>
          </cell>
          <cell r="BA1070">
            <v>2.59</v>
          </cell>
        </row>
        <row r="1071">
          <cell r="C1071" t="str">
            <v>3612 - GYPSUM BEADS &amp; TRIMS</v>
          </cell>
          <cell r="D1071" t="str">
            <v>VBCB3410</v>
          </cell>
          <cell r="BA1071">
            <v>5.39</v>
          </cell>
        </row>
        <row r="1072">
          <cell r="C1072" t="str">
            <v>3612 - GYPSUM BEADS &amp; TRIMS</v>
          </cell>
          <cell r="D1072" t="str">
            <v>CBCBS8</v>
          </cell>
          <cell r="BA1072">
            <v>4.29</v>
          </cell>
        </row>
        <row r="1073">
          <cell r="C1073" t="str">
            <v>3612 - GYPSUM BEADS &amp; TRIMS</v>
          </cell>
          <cell r="D1073" t="str">
            <v>CDBCB100</v>
          </cell>
          <cell r="BA1073">
            <v>5.69</v>
          </cell>
        </row>
        <row r="1074">
          <cell r="C1074" t="str">
            <v>3612 - GYPSUM BEADS &amp; TRIMS</v>
          </cell>
          <cell r="D1074" t="str">
            <v>AM1XWEL</v>
          </cell>
          <cell r="BA1074">
            <v>4.3899999999999997</v>
          </cell>
        </row>
        <row r="1075">
          <cell r="C1075" t="str">
            <v>3612 - GYPSUM BEADS &amp; TRIMS</v>
          </cell>
          <cell r="D1075" t="str">
            <v>BMG1B10</v>
          </cell>
          <cell r="BA1075">
            <v>5.39</v>
          </cell>
        </row>
        <row r="1076">
          <cell r="C1076" t="str">
            <v>3612 - GYPSUM BEADS &amp; TRIMS</v>
          </cell>
          <cell r="D1076" t="str">
            <v>BMG1B8</v>
          </cell>
          <cell r="BA1076">
            <v>3.69</v>
          </cell>
        </row>
        <row r="1077">
          <cell r="C1077" t="str">
            <v>3612 - GYPSUM BEADS &amp; TRIMS</v>
          </cell>
          <cell r="D1077" t="str">
            <v>BMG1XU10</v>
          </cell>
          <cell r="BA1077">
            <v>2.19</v>
          </cell>
        </row>
        <row r="1078">
          <cell r="C1078" t="str">
            <v>3612 - GYPSUM BEADS &amp; TRIMS</v>
          </cell>
          <cell r="D1078" t="str">
            <v>BMG1XU8</v>
          </cell>
          <cell r="BA1078">
            <v>3.29</v>
          </cell>
        </row>
        <row r="1079">
          <cell r="C1079" t="str">
            <v>3613 - GYPSUM ACCESSORIES</v>
          </cell>
          <cell r="D1079" t="str">
            <v>USG380122048</v>
          </cell>
          <cell r="BA1079">
            <v>13.99</v>
          </cell>
        </row>
        <row r="1080">
          <cell r="C1080" t="str">
            <v>3613 - GYPSUM ACCESSORIES</v>
          </cell>
          <cell r="D1080" t="str">
            <v>USG380161048</v>
          </cell>
          <cell r="BA1080">
            <v>4.29</v>
          </cell>
        </row>
        <row r="1081">
          <cell r="C1081" t="str">
            <v>3613 - GYPSUM ACCESSORIES</v>
          </cell>
          <cell r="D1081" t="str">
            <v>USG382198010</v>
          </cell>
          <cell r="BA1081">
            <v>7.99</v>
          </cell>
        </row>
        <row r="1082">
          <cell r="C1082" t="str">
            <v>3613 - GYPSUM ACCESSORIES</v>
          </cell>
          <cell r="D1082" t="str">
            <v>USG385236048</v>
          </cell>
          <cell r="BA1082">
            <v>15.99</v>
          </cell>
        </row>
        <row r="1083">
          <cell r="C1083" t="str">
            <v>3613 - GYPSUM ACCESSORIES</v>
          </cell>
          <cell r="D1083" t="str">
            <v>USG388558</v>
          </cell>
          <cell r="BA1083">
            <v>29.39</v>
          </cell>
        </row>
        <row r="1084">
          <cell r="C1084" t="str">
            <v>3613 - GYPSUM ACCESSORIES</v>
          </cell>
          <cell r="D1084" t="str">
            <v>USG382175020</v>
          </cell>
          <cell r="BA1084">
            <v>4.59</v>
          </cell>
        </row>
        <row r="1085">
          <cell r="C1085" t="str">
            <v>3613 - GYPSUM ACCESSORIES</v>
          </cell>
          <cell r="D1085" t="str">
            <v>USG380501</v>
          </cell>
          <cell r="BA1085">
            <v>19.989999999999998</v>
          </cell>
        </row>
        <row r="1086">
          <cell r="C1086" t="str">
            <v>3613 - GYPSUM ACCESSORIES</v>
          </cell>
          <cell r="D1086" t="str">
            <v>USG385240048</v>
          </cell>
          <cell r="BA1086">
            <v>15.99</v>
          </cell>
        </row>
        <row r="1087">
          <cell r="C1087" t="str">
            <v>3613 - GYPSUM ACCESSORIES</v>
          </cell>
          <cell r="D1087" t="str">
            <v>USG385140004</v>
          </cell>
          <cell r="BA1087">
            <v>9.99</v>
          </cell>
        </row>
        <row r="1088">
          <cell r="C1088" t="str">
            <v>3613 - GYPSUM ACCESSORIES</v>
          </cell>
          <cell r="D1088" t="str">
            <v>USGES20</v>
          </cell>
          <cell r="BA1088">
            <v>10.99</v>
          </cell>
        </row>
        <row r="1089">
          <cell r="C1089" t="str">
            <v>3613 - GYPSUM ACCESSORIES</v>
          </cell>
          <cell r="D1089" t="str">
            <v>USGES5</v>
          </cell>
          <cell r="BA1089">
            <v>12.99</v>
          </cell>
        </row>
        <row r="1090">
          <cell r="C1090" t="str">
            <v>3613 - GYPSUM ACCESSORIES</v>
          </cell>
          <cell r="D1090" t="str">
            <v>USG384015</v>
          </cell>
          <cell r="BA1090">
            <v>9.59</v>
          </cell>
        </row>
        <row r="1091">
          <cell r="C1091" t="str">
            <v>3613 - GYPSUM ACCESSORIES</v>
          </cell>
          <cell r="D1091" t="str">
            <v>USG385262</v>
          </cell>
          <cell r="BA1091">
            <v>13.39</v>
          </cell>
        </row>
        <row r="1092">
          <cell r="C1092" t="str">
            <v>3613 - GYPSUM ACCESSORIES</v>
          </cell>
          <cell r="D1092" t="str">
            <v>USG385266</v>
          </cell>
          <cell r="BA1092">
            <v>14.29</v>
          </cell>
        </row>
        <row r="1093">
          <cell r="C1093" t="str">
            <v>3613 - GYPSUM ACCESSORIES</v>
          </cell>
          <cell r="D1093" t="str">
            <v>USG385268</v>
          </cell>
          <cell r="BA1093">
            <v>14.59</v>
          </cell>
        </row>
        <row r="1094">
          <cell r="C1094" t="str">
            <v>3613 - GYPSUM ACCESSORIES</v>
          </cell>
          <cell r="D1094" t="str">
            <v>USG385272</v>
          </cell>
          <cell r="BA1094">
            <v>14.19</v>
          </cell>
        </row>
        <row r="1095">
          <cell r="C1095" t="str">
            <v>3613 - GYPSUM ACCESSORIES</v>
          </cell>
          <cell r="D1095" t="str">
            <v>USGES90</v>
          </cell>
          <cell r="BA1095">
            <v>10.99</v>
          </cell>
        </row>
        <row r="1096">
          <cell r="C1096" t="str">
            <v>3613 - GYPSUM ACCESSORIES</v>
          </cell>
          <cell r="D1096" t="str">
            <v>HAM22105</v>
          </cell>
          <cell r="BA1096">
            <v>13.29</v>
          </cell>
        </row>
        <row r="1097">
          <cell r="C1097" t="str">
            <v>3613 - GYPSUM ACCESSORIES</v>
          </cell>
          <cell r="D1097" t="str">
            <v>HAM18680</v>
          </cell>
          <cell r="BA1097">
            <v>9.99</v>
          </cell>
        </row>
        <row r="1098">
          <cell r="C1098" t="str">
            <v>3613 - GYPSUM ACCESSORIES</v>
          </cell>
          <cell r="D1098" t="str">
            <v>HAM18040</v>
          </cell>
          <cell r="BA1098">
            <v>16.190000000000001</v>
          </cell>
        </row>
        <row r="1099">
          <cell r="C1099" t="str">
            <v>3613 - GYPSUM ACCESSORIES</v>
          </cell>
          <cell r="D1099" t="str">
            <v>HAMAPP</v>
          </cell>
          <cell r="BA1099">
            <v>28.09</v>
          </cell>
        </row>
        <row r="1100">
          <cell r="C1100" t="str">
            <v>3613 - GYPSUM ACCESSORIES</v>
          </cell>
          <cell r="D1100" t="str">
            <v>HAM14210</v>
          </cell>
          <cell r="BA1100">
            <v>18.09</v>
          </cell>
        </row>
        <row r="1101">
          <cell r="C1101" t="str">
            <v>3613 - GYPSUM ACCESSORIES</v>
          </cell>
          <cell r="D1101" t="str">
            <v>USG385258</v>
          </cell>
          <cell r="BA1101">
            <v>16.29</v>
          </cell>
        </row>
        <row r="1102">
          <cell r="C1102" t="str">
            <v>3613 - GYPSUM ACCESSORIES</v>
          </cell>
          <cell r="D1102" t="str">
            <v>SGFDW6618-U</v>
          </cell>
          <cell r="BA1102">
            <v>4.79</v>
          </cell>
        </row>
        <row r="1103">
          <cell r="C1103" t="str">
            <v>3613 - GYPSUM ACCESSORIES</v>
          </cell>
          <cell r="D1103" t="str">
            <v>FDW6619-U</v>
          </cell>
          <cell r="BA1103">
            <v>7.99</v>
          </cell>
        </row>
        <row r="1104">
          <cell r="C1104" t="str">
            <v>3613 - GYPSUM ACCESSORIES</v>
          </cell>
          <cell r="D1104" t="str">
            <v>275FGDWT</v>
          </cell>
          <cell r="BA1104">
            <v>2.79</v>
          </cell>
        </row>
        <row r="1105">
          <cell r="C1105" t="str">
            <v>3613 - GYPSUM ACCESSORIES</v>
          </cell>
          <cell r="D1105" t="str">
            <v>FDW6753-U</v>
          </cell>
          <cell r="BA1105">
            <v>12.99</v>
          </cell>
        </row>
        <row r="1106">
          <cell r="C1106" t="str">
            <v>3613 - GYPSUM ACCESSORIES</v>
          </cell>
          <cell r="D1106" t="str">
            <v>H406006</v>
          </cell>
          <cell r="BA1106">
            <v>13.99</v>
          </cell>
        </row>
        <row r="1107">
          <cell r="C1107" t="str">
            <v>3613 - GYPSUM ACCESSORIES</v>
          </cell>
          <cell r="D1107" t="str">
            <v>RD0542</v>
          </cell>
          <cell r="BA1107">
            <v>4.99</v>
          </cell>
        </row>
        <row r="1108">
          <cell r="C1108" t="str">
            <v>3613 - GYPSUM ACCESSORIES</v>
          </cell>
          <cell r="D1108" t="str">
            <v>RD0548</v>
          </cell>
          <cell r="BA1108">
            <v>7.99</v>
          </cell>
        </row>
        <row r="1109">
          <cell r="C1109" t="str">
            <v>3613 - GYPSUM ACCESSORIES</v>
          </cell>
          <cell r="D1109" t="str">
            <v>RD0544</v>
          </cell>
          <cell r="BA1109">
            <v>9.99</v>
          </cell>
        </row>
        <row r="1110">
          <cell r="C1110" t="str">
            <v>3613 - GYPSUM ACCESSORIES</v>
          </cell>
          <cell r="D1110" t="str">
            <v>ET4050</v>
          </cell>
          <cell r="BA1110">
            <v>13.99</v>
          </cell>
        </row>
        <row r="1111">
          <cell r="C1111" t="str">
            <v>3613 - GYPSUM ACCESSORIES</v>
          </cell>
          <cell r="D1111" t="str">
            <v>ET4092</v>
          </cell>
          <cell r="BA1111">
            <v>19.989999999999998</v>
          </cell>
        </row>
        <row r="1112">
          <cell r="C1112" t="str">
            <v>3613 - GYPSUM ACCESSORIES</v>
          </cell>
          <cell r="D1112" t="str">
            <v>DWSHIM</v>
          </cell>
          <cell r="BA1112">
            <v>17.690000000000001</v>
          </cell>
        </row>
        <row r="1113">
          <cell r="C1113" t="str">
            <v>3613 - GYPSUM ACCESSORIES</v>
          </cell>
          <cell r="D1113" t="str">
            <v>CT308225</v>
          </cell>
          <cell r="BA1113">
            <v>7.39</v>
          </cell>
        </row>
        <row r="1114">
          <cell r="C1114" t="str">
            <v>3613 - GYPSUM ACCESSORIES</v>
          </cell>
          <cell r="D1114" t="str">
            <v>HAM18220</v>
          </cell>
          <cell r="BA1114">
            <v>15.89</v>
          </cell>
        </row>
        <row r="1115">
          <cell r="C1115" t="str">
            <v>3613 - GYPSUM ACCESSORIES</v>
          </cell>
          <cell r="D1115" t="str">
            <v>HAM22107</v>
          </cell>
          <cell r="BA1115">
            <v>14.89</v>
          </cell>
        </row>
        <row r="1116">
          <cell r="C1116" t="str">
            <v>3613 - GYPSUM ACCESSORIES</v>
          </cell>
          <cell r="D1116" t="str">
            <v>HAM22164</v>
          </cell>
          <cell r="BA1116">
            <v>14.39</v>
          </cell>
        </row>
        <row r="1117">
          <cell r="C1117" t="str">
            <v>3613 - GYPSUM ACCESSORIES</v>
          </cell>
          <cell r="D1117" t="str">
            <v>USGES45</v>
          </cell>
          <cell r="BA1117">
            <v>10.99</v>
          </cell>
        </row>
        <row r="1118">
          <cell r="C1118" t="str">
            <v>3613 - GYPSUM ACCESSORIES</v>
          </cell>
          <cell r="D1118" t="str">
            <v>HAM18205</v>
          </cell>
          <cell r="BA1118">
            <v>14.69</v>
          </cell>
        </row>
        <row r="1119">
          <cell r="C1119" t="str">
            <v>3613 - GYPSUM ACCESSORIES</v>
          </cell>
          <cell r="D1119" t="str">
            <v>HAM22165</v>
          </cell>
          <cell r="BA1119">
            <v>14.59</v>
          </cell>
        </row>
        <row r="1120">
          <cell r="C1120" t="str">
            <v>3613 - GYPSUM ACCESSORIES</v>
          </cell>
          <cell r="D1120" t="str">
            <v>HAM18045</v>
          </cell>
          <cell r="BA1120">
            <v>16.190000000000001</v>
          </cell>
        </row>
        <row r="1121">
          <cell r="C1121" t="str">
            <v>3613 - GYPSUM ACCESSORIES</v>
          </cell>
          <cell r="D1121" t="str">
            <v>HAM22166</v>
          </cell>
          <cell r="BA1121">
            <v>14.09</v>
          </cell>
        </row>
        <row r="1122">
          <cell r="C1122" t="str">
            <v>3613 - GYPSUM ACCESSORIES</v>
          </cell>
          <cell r="D1122" t="str">
            <v>HAM18250</v>
          </cell>
          <cell r="BA1122">
            <v>15.89</v>
          </cell>
        </row>
        <row r="1123">
          <cell r="C1123" t="str">
            <v>3613 - GYPSUM ACCESSORIES</v>
          </cell>
          <cell r="D1123" t="str">
            <v>HAM22167</v>
          </cell>
          <cell r="BA1123">
            <v>13.29</v>
          </cell>
        </row>
        <row r="1124">
          <cell r="C1124" t="str">
            <v>3613 - GYPSUM ACCESSORIES</v>
          </cell>
          <cell r="D1124" t="str">
            <v>HAMFASTSET90</v>
          </cell>
          <cell r="BA1124">
            <v>13.29</v>
          </cell>
        </row>
        <row r="1125">
          <cell r="C1125" t="str">
            <v>3613 - GYPSUM ACCESSORIES</v>
          </cell>
          <cell r="D1125" t="str">
            <v>4091TEX10</v>
          </cell>
          <cell r="BA1125">
            <v>13.99</v>
          </cell>
        </row>
        <row r="1126">
          <cell r="C1126" t="str">
            <v>3613 - GYPSUM ACCESSORIES</v>
          </cell>
          <cell r="D1126" t="str">
            <v>HO4070</v>
          </cell>
          <cell r="BA1126">
            <v>14.99</v>
          </cell>
        </row>
        <row r="1127">
          <cell r="C1127" t="str">
            <v>3630 - MISC GYPSUM</v>
          </cell>
          <cell r="D1127" t="str">
            <v>FRPDB8W</v>
          </cell>
          <cell r="BA1127">
            <v>3.39</v>
          </cell>
        </row>
        <row r="1128">
          <cell r="C1128" t="str">
            <v>3675 - GYPSUM TOOLS &amp; SUPPLIES</v>
          </cell>
          <cell r="D1128" t="str">
            <v>MT812</v>
          </cell>
          <cell r="BA1128">
            <v>15.99</v>
          </cell>
        </row>
        <row r="1129">
          <cell r="C1129" t="str">
            <v>3675 - GYPSUM TOOLS &amp; SUPPLIES</v>
          </cell>
          <cell r="D1129" t="str">
            <v>MT914</v>
          </cell>
          <cell r="BA1129">
            <v>5.99</v>
          </cell>
        </row>
        <row r="1130">
          <cell r="C1130" t="str">
            <v>3675 - GYPSUM TOOLS &amp; SUPPLIES</v>
          </cell>
          <cell r="D1130" t="str">
            <v>12MUDB</v>
          </cell>
          <cell r="BA1130">
            <v>5.99</v>
          </cell>
        </row>
        <row r="1131">
          <cell r="C1131" t="str">
            <v>3701 - INSULATED SHEATHING</v>
          </cell>
          <cell r="D1131" t="str">
            <v>2DOW28R10</v>
          </cell>
          <cell r="BA1131">
            <v>1926</v>
          </cell>
        </row>
        <row r="1132">
          <cell r="C1132" t="str">
            <v>3701 - INSULATED SHEATHING</v>
          </cell>
          <cell r="D1132" t="str">
            <v>2DOW48R10</v>
          </cell>
          <cell r="BA1132">
            <v>1775</v>
          </cell>
        </row>
        <row r="1133">
          <cell r="C1133" t="str">
            <v>3701 - INSULATED SHEATHING</v>
          </cell>
          <cell r="D1133" t="str">
            <v>1DOW48</v>
          </cell>
          <cell r="BA1133">
            <v>945</v>
          </cell>
        </row>
        <row r="1134">
          <cell r="C1134" t="str">
            <v>3701 - INSULATED SHEATHING</v>
          </cell>
          <cell r="D1134" t="str">
            <v>112DOW</v>
          </cell>
          <cell r="BA1134">
            <v>1386</v>
          </cell>
        </row>
        <row r="1135">
          <cell r="C1135" t="str">
            <v>3701 - INSULATED SHEATHING</v>
          </cell>
          <cell r="D1135" t="str">
            <v>112DOW28</v>
          </cell>
          <cell r="BA1135">
            <v>1345</v>
          </cell>
        </row>
        <row r="1136">
          <cell r="C1136" t="str">
            <v>3701 - INSULATED SHEATHING</v>
          </cell>
          <cell r="D1136" t="str">
            <v>1DOW28</v>
          </cell>
          <cell r="BA1136">
            <v>886</v>
          </cell>
        </row>
        <row r="1137">
          <cell r="C1137" t="str">
            <v>3701 - INSULATED SHEATHING</v>
          </cell>
          <cell r="D1137" t="str">
            <v>2DOW48</v>
          </cell>
          <cell r="BA1137">
            <v>1858</v>
          </cell>
        </row>
        <row r="1138">
          <cell r="C1138" t="str">
            <v>3701 - INSULATED SHEATHING</v>
          </cell>
          <cell r="D1138" t="str">
            <v>3DOW28</v>
          </cell>
          <cell r="BA1138">
            <v>2888</v>
          </cell>
        </row>
        <row r="1139">
          <cell r="C1139" t="str">
            <v>3701 - INSULATED SHEATHING</v>
          </cell>
          <cell r="D1139" t="str">
            <v>4818TPG</v>
          </cell>
          <cell r="BA1139">
            <v>526</v>
          </cell>
        </row>
        <row r="1140">
          <cell r="C1140" t="str">
            <v>3701 - INSULATED SHEATHING</v>
          </cell>
          <cell r="D1140" t="str">
            <v>4818TPR</v>
          </cell>
          <cell r="BA1140">
            <v>542</v>
          </cell>
        </row>
        <row r="1141">
          <cell r="C1141" t="str">
            <v>3701 - INSULATED SHEATHING</v>
          </cell>
          <cell r="D1141" t="str">
            <v>1FOAM48250</v>
          </cell>
          <cell r="BA1141">
            <v>895</v>
          </cell>
        </row>
        <row r="1142">
          <cell r="C1142" t="str">
            <v>3701 - INSULATED SHEATHING</v>
          </cell>
          <cell r="D1142" t="str">
            <v>2FOAM48250</v>
          </cell>
          <cell r="BA1142">
            <v>1508</v>
          </cell>
        </row>
        <row r="1143">
          <cell r="C1143" t="str">
            <v>3701 - INSULATED SHEATHING</v>
          </cell>
          <cell r="D1143" t="str">
            <v>3FOAM48250</v>
          </cell>
          <cell r="BA1143">
            <v>2338</v>
          </cell>
        </row>
        <row r="1144">
          <cell r="C1144" t="str">
            <v>3701 - INSULATED SHEATHING</v>
          </cell>
          <cell r="D1144" t="str">
            <v>12WBB</v>
          </cell>
          <cell r="BA1144">
            <v>623</v>
          </cell>
        </row>
        <row r="1145">
          <cell r="C1145" t="str">
            <v>3701 - INSULATED SHEATHING</v>
          </cell>
          <cell r="D1145" t="str">
            <v>4812SB</v>
          </cell>
          <cell r="BA1145">
            <v>540</v>
          </cell>
        </row>
        <row r="1146">
          <cell r="C1146" t="str">
            <v>3701 - INSULATED SHEATHING</v>
          </cell>
          <cell r="D1146" t="str">
            <v>IPR620100DS6WW</v>
          </cell>
          <cell r="BA1146">
            <v>176.99</v>
          </cell>
        </row>
        <row r="1147">
          <cell r="C1147" t="str">
            <v>3702 - RESIDENTIAL ROLL/BATTS</v>
          </cell>
          <cell r="D1147" t="str">
            <v>RM221248</v>
          </cell>
          <cell r="BA1147">
            <v>1.99</v>
          </cell>
        </row>
        <row r="1148">
          <cell r="C1148" t="str">
            <v>3702 - RESIDENTIAL ROLL/BATTS</v>
          </cell>
          <cell r="D1148" t="str">
            <v>KN-KR41EM</v>
          </cell>
          <cell r="BA1148">
            <v>510</v>
          </cell>
        </row>
        <row r="1149">
          <cell r="C1149" t="str">
            <v>3702 - RESIDENTIAL ROLL/BATTS</v>
          </cell>
          <cell r="D1149" t="str">
            <v>KN-KR42EM</v>
          </cell>
          <cell r="BA1149">
            <v>510</v>
          </cell>
        </row>
        <row r="1150">
          <cell r="C1150" t="str">
            <v>3702 - RESIDENTIAL ROLL/BATTS</v>
          </cell>
          <cell r="D1150" t="str">
            <v>KN-B04AKM</v>
          </cell>
          <cell r="BA1150">
            <v>494</v>
          </cell>
        </row>
        <row r="1151">
          <cell r="C1151" t="str">
            <v>3702 - RESIDENTIAL ROLL/BATTS</v>
          </cell>
          <cell r="D1151" t="str">
            <v>KN-R1315KFM</v>
          </cell>
          <cell r="BA1151">
            <v>649</v>
          </cell>
        </row>
        <row r="1152">
          <cell r="C1152" t="str">
            <v>3702 - RESIDENTIAL ROLL/BATTS</v>
          </cell>
          <cell r="D1152" t="str">
            <v>KN-B06VAKR</v>
          </cell>
          <cell r="BA1152">
            <v>68.489999999999995</v>
          </cell>
        </row>
        <row r="1153">
          <cell r="C1153" t="str">
            <v>3702 - RESIDENTIAL ROLL/BATTS</v>
          </cell>
          <cell r="D1153" t="str">
            <v>KN-B07AKM</v>
          </cell>
          <cell r="BA1153">
            <v>634</v>
          </cell>
        </row>
        <row r="1154">
          <cell r="C1154" t="str">
            <v>3702 - RESIDENTIAL ROLL/BATTS</v>
          </cell>
          <cell r="D1154" t="str">
            <v>KN-B45EVXR</v>
          </cell>
          <cell r="BA1154">
            <v>79.989999999999995</v>
          </cell>
        </row>
        <row r="1155">
          <cell r="C1155" t="str">
            <v>3702 - RESIDENTIAL ROLL/BATTS</v>
          </cell>
          <cell r="D1155" t="str">
            <v>KN-B45EVXM</v>
          </cell>
          <cell r="BA1155">
            <v>1030</v>
          </cell>
        </row>
        <row r="1156">
          <cell r="C1156" t="str">
            <v>3702 - RESIDENTIAL ROLL/BATTS</v>
          </cell>
          <cell r="D1156" t="str">
            <v>KN-KR45EM</v>
          </cell>
          <cell r="BA1156">
            <v>765</v>
          </cell>
        </row>
        <row r="1157">
          <cell r="C1157" t="str">
            <v>3702 - RESIDENTIAL ROLL/BATTS</v>
          </cell>
          <cell r="D1157" t="str">
            <v>KN-B09EM</v>
          </cell>
          <cell r="BA1157">
            <v>740</v>
          </cell>
        </row>
        <row r="1158">
          <cell r="C1158" t="str">
            <v>3702 - RESIDENTIAL ROLL/BATTS</v>
          </cell>
          <cell r="D1158" t="str">
            <v>KN-KR46EM</v>
          </cell>
          <cell r="BA1158">
            <v>765</v>
          </cell>
        </row>
        <row r="1159">
          <cell r="C1159" t="str">
            <v>3702 - RESIDENTIAL ROLL/BATTS</v>
          </cell>
          <cell r="D1159" t="str">
            <v>KN-B11EM</v>
          </cell>
          <cell r="BA1159">
            <v>740</v>
          </cell>
        </row>
        <row r="1160">
          <cell r="C1160" t="str">
            <v>3702 - RESIDENTIAL ROLL/BATTS</v>
          </cell>
          <cell r="D1160" t="str">
            <v>KN-B70EM</v>
          </cell>
          <cell r="BA1160">
            <v>713</v>
          </cell>
        </row>
        <row r="1161">
          <cell r="C1161" t="str">
            <v>3702 - RESIDENTIAL ROLL/BATTS</v>
          </cell>
          <cell r="D1161" t="str">
            <v>KN-B47EVR</v>
          </cell>
          <cell r="BA1161">
            <v>72.989999999999995</v>
          </cell>
        </row>
        <row r="1162">
          <cell r="C1162" t="str">
            <v>3702 - RESIDENTIAL ROLL/BATTS</v>
          </cell>
          <cell r="D1162" t="str">
            <v>KN-B47EVM</v>
          </cell>
          <cell r="BA1162">
            <v>1071</v>
          </cell>
        </row>
        <row r="1163">
          <cell r="C1163" t="str">
            <v>3702 - RESIDENTIAL ROLL/BATTS</v>
          </cell>
          <cell r="D1163" t="str">
            <v>KN-B48ER</v>
          </cell>
          <cell r="BA1163">
            <v>111.99</v>
          </cell>
        </row>
        <row r="1164">
          <cell r="C1164" t="str">
            <v>3702 - RESIDENTIAL ROLL/BATTS</v>
          </cell>
          <cell r="D1164" t="str">
            <v>KN-B48EM</v>
          </cell>
          <cell r="BA1164">
            <v>1071</v>
          </cell>
        </row>
        <row r="1165">
          <cell r="C1165" t="str">
            <v>3702 - RESIDENTIAL ROLL/BATTS</v>
          </cell>
          <cell r="D1165" t="str">
            <v>KN-B16ER</v>
          </cell>
          <cell r="BA1165">
            <v>82.49</v>
          </cell>
        </row>
        <row r="1166">
          <cell r="C1166" t="str">
            <v>3702 - RESIDENTIAL ROLL/BATTS</v>
          </cell>
          <cell r="D1166" t="str">
            <v>KN-B17EM</v>
          </cell>
          <cell r="BA1166">
            <v>1185</v>
          </cell>
        </row>
        <row r="1167">
          <cell r="C1167" t="str">
            <v>3702 - RESIDENTIAL ROLL/BATTS</v>
          </cell>
          <cell r="D1167" t="str">
            <v>KN-B17ER</v>
          </cell>
          <cell r="BA1167">
            <v>104.99</v>
          </cell>
        </row>
        <row r="1168">
          <cell r="C1168" t="str">
            <v>3702 - RESIDENTIAL ROLL/BATTS</v>
          </cell>
          <cell r="D1168" t="str">
            <v>KN-B76EM</v>
          </cell>
          <cell r="BA1168">
            <v>1129</v>
          </cell>
        </row>
        <row r="1169">
          <cell r="C1169" t="str">
            <v>3702 - RESIDENTIAL ROLL/BATTS</v>
          </cell>
          <cell r="D1169" t="str">
            <v>KN-B18ER</v>
          </cell>
          <cell r="BA1169">
            <v>85.49</v>
          </cell>
        </row>
        <row r="1170">
          <cell r="C1170" t="str">
            <v>3702 - RESIDENTIAL ROLL/BATTS</v>
          </cell>
          <cell r="D1170" t="str">
            <v>KN-B18EM</v>
          </cell>
          <cell r="BA1170">
            <v>1457</v>
          </cell>
        </row>
        <row r="1171">
          <cell r="C1171" t="str">
            <v>3702 - RESIDENTIAL ROLL/BATTS</v>
          </cell>
          <cell r="D1171" t="str">
            <v>KN-B77ER</v>
          </cell>
          <cell r="BA1171">
            <v>79.989999999999995</v>
          </cell>
        </row>
        <row r="1172">
          <cell r="C1172" t="str">
            <v>3702 - RESIDENTIAL ROLL/BATTS</v>
          </cell>
          <cell r="D1172" t="str">
            <v>KN-B52EM</v>
          </cell>
          <cell r="BA1172">
            <v>2250</v>
          </cell>
        </row>
        <row r="1173">
          <cell r="C1173" t="str">
            <v>3702 - RESIDENTIAL ROLL/BATTS</v>
          </cell>
          <cell r="D1173" t="str">
            <v>KN-B78ER</v>
          </cell>
          <cell r="BA1173">
            <v>86.99</v>
          </cell>
        </row>
        <row r="1174">
          <cell r="C1174" t="str">
            <v>3702 - RESIDENTIAL ROLL/BATTS</v>
          </cell>
          <cell r="D1174" t="str">
            <v>KN-B19ER</v>
          </cell>
          <cell r="BA1174">
            <v>93.49</v>
          </cell>
        </row>
        <row r="1175">
          <cell r="C1175" t="str">
            <v>3702 - RESIDENTIAL ROLL/BATTS</v>
          </cell>
          <cell r="D1175" t="str">
            <v>KN-B19EM</v>
          </cell>
          <cell r="BA1175">
            <v>1457</v>
          </cell>
        </row>
        <row r="1176">
          <cell r="C1176" t="str">
            <v>3702 - RESIDENTIAL ROLL/BATTS</v>
          </cell>
          <cell r="D1176" t="str">
            <v>JM-K1232M</v>
          </cell>
          <cell r="BA1176">
            <v>1425</v>
          </cell>
        </row>
        <row r="1177">
          <cell r="C1177" t="str">
            <v>3702 - RESIDENTIAL ROLL/BATTS</v>
          </cell>
          <cell r="D1177" t="str">
            <v>R1315KR</v>
          </cell>
          <cell r="BA1177">
            <v>25.99</v>
          </cell>
        </row>
        <row r="1178">
          <cell r="C1178" t="str">
            <v>3702 - RESIDENTIAL ROLL/BATTS</v>
          </cell>
          <cell r="D1178" t="str">
            <v>IFK1923PPK</v>
          </cell>
          <cell r="BA1178">
            <v>110.99</v>
          </cell>
        </row>
        <row r="1179">
          <cell r="C1179" t="str">
            <v>3702 - RESIDENTIAL ROLL/BATTS</v>
          </cell>
          <cell r="D1179" t="str">
            <v>IFK302348U</v>
          </cell>
          <cell r="BA1179">
            <v>79.489999999999995</v>
          </cell>
        </row>
        <row r="1180">
          <cell r="C1180" t="str">
            <v>3702 - RESIDENTIAL ROLL/BATTS</v>
          </cell>
          <cell r="D1180" t="str">
            <v>IFK2123U</v>
          </cell>
          <cell r="BA1180">
            <v>108.99</v>
          </cell>
        </row>
        <row r="1181">
          <cell r="C1181" t="str">
            <v>3702 - RESIDENTIAL ROLL/BATTS</v>
          </cell>
          <cell r="D1181" t="str">
            <v>IFK301648U</v>
          </cell>
          <cell r="BA1181">
            <v>63.49</v>
          </cell>
        </row>
        <row r="1182">
          <cell r="C1182" t="str">
            <v>3702 - RESIDENTIAL ROLL/BATTS</v>
          </cell>
          <cell r="D1182" t="str">
            <v>RXMFB22448M</v>
          </cell>
          <cell r="BA1182">
            <v>1190</v>
          </cell>
        </row>
        <row r="1183">
          <cell r="C1183" t="str">
            <v>3702 - RESIDENTIAL ROLL/BATTS</v>
          </cell>
          <cell r="D1183" t="str">
            <v>RXMFB32448M</v>
          </cell>
          <cell r="BA1183">
            <v>126</v>
          </cell>
        </row>
        <row r="1184">
          <cell r="C1184" t="str">
            <v>3702 - RESIDENTIAL ROLL/BATTS</v>
          </cell>
          <cell r="D1184" t="str">
            <v>RXSS31525</v>
          </cell>
          <cell r="BA1184">
            <v>80.489999999999995</v>
          </cell>
        </row>
        <row r="1185">
          <cell r="C1185" t="str">
            <v>3702 - RESIDENTIAL ROLL/BATTS</v>
          </cell>
          <cell r="D1185" t="str">
            <v>RXSS323</v>
          </cell>
          <cell r="BA1185">
            <v>81.99</v>
          </cell>
        </row>
        <row r="1186">
          <cell r="C1186" t="str">
            <v>3702 - RESIDENTIAL ROLL/BATTS</v>
          </cell>
          <cell r="D1186" t="str">
            <v>RXMFB151648M</v>
          </cell>
          <cell r="BA1186">
            <v>1024</v>
          </cell>
        </row>
        <row r="1187">
          <cell r="C1187" t="str">
            <v>3702 - RESIDENTIAL ROLL/BATTS</v>
          </cell>
          <cell r="D1187" t="str">
            <v>RXMFB152448M</v>
          </cell>
          <cell r="BA1187">
            <v>776</v>
          </cell>
        </row>
        <row r="1188">
          <cell r="C1188" t="str">
            <v>3702 - RESIDENTIAL ROLL/BATTS</v>
          </cell>
          <cell r="D1188" t="str">
            <v>RXMFB21648M</v>
          </cell>
          <cell r="BA1188">
            <v>1035</v>
          </cell>
        </row>
        <row r="1189">
          <cell r="C1189" t="str">
            <v>3702 - RESIDENTIAL ROLL/BATTS</v>
          </cell>
          <cell r="D1189" t="str">
            <v>RXMFB31648M85333</v>
          </cell>
          <cell r="BA1189">
            <v>1441</v>
          </cell>
        </row>
        <row r="1190">
          <cell r="C1190" t="str">
            <v>3704 - MISC. INSULATION</v>
          </cell>
          <cell r="D1190" t="str">
            <v>2222-24-025</v>
          </cell>
          <cell r="BA1190">
            <v>52.99</v>
          </cell>
        </row>
        <row r="1191">
          <cell r="C1191" t="str">
            <v>3704 - MISC. INSULATION</v>
          </cell>
          <cell r="D1191" t="str">
            <v>SS350</v>
          </cell>
          <cell r="BA1191">
            <v>5.28</v>
          </cell>
        </row>
        <row r="1192">
          <cell r="C1192" t="str">
            <v>3704 - MISC. INSULATION</v>
          </cell>
          <cell r="D1192" t="str">
            <v>SS550</v>
          </cell>
          <cell r="BA1192">
            <v>6.14</v>
          </cell>
        </row>
        <row r="1193">
          <cell r="C1193" t="str">
            <v>3704 - MISC. INSULATION</v>
          </cell>
          <cell r="D1193" t="str">
            <v>SS750</v>
          </cell>
          <cell r="BA1193">
            <v>11.11</v>
          </cell>
        </row>
        <row r="1194">
          <cell r="C1194" t="str">
            <v>3704 - MISC. INSULATION</v>
          </cell>
          <cell r="D1194" t="str">
            <v>SS850</v>
          </cell>
          <cell r="BA1194">
            <v>11.12</v>
          </cell>
        </row>
        <row r="1195">
          <cell r="C1195" t="str">
            <v>3704 - MISC. INSULATION</v>
          </cell>
          <cell r="D1195" t="str">
            <v>IS24-R100EA</v>
          </cell>
          <cell r="BA1195">
            <v>0.32</v>
          </cell>
        </row>
        <row r="1196">
          <cell r="C1196" t="str">
            <v>3704 - MISC. INSULATION</v>
          </cell>
          <cell r="D1196" t="str">
            <v>2444OCBAF</v>
          </cell>
          <cell r="BA1196">
            <v>3.69</v>
          </cell>
        </row>
        <row r="1197">
          <cell r="C1197" t="str">
            <v>3704 - MISC. INSULATION</v>
          </cell>
          <cell r="D1197" t="str">
            <v>2248FRV</v>
          </cell>
          <cell r="BA1197">
            <v>2.99</v>
          </cell>
        </row>
        <row r="1198">
          <cell r="C1198" t="str">
            <v>3704 - MISC. INSULATION</v>
          </cell>
          <cell r="D1198" t="str">
            <v>MD50200</v>
          </cell>
          <cell r="BA1198">
            <v>2.39</v>
          </cell>
        </row>
        <row r="1199">
          <cell r="C1199" t="str">
            <v>3704 - MISC. INSULATION</v>
          </cell>
          <cell r="D1199" t="str">
            <v>MD50205</v>
          </cell>
          <cell r="BA1199">
            <v>2.79</v>
          </cell>
        </row>
        <row r="1200">
          <cell r="C1200" t="str">
            <v>3704 - MISC. INSULATION</v>
          </cell>
          <cell r="D1200" t="str">
            <v>MD50150</v>
          </cell>
          <cell r="BA1200">
            <v>1.79</v>
          </cell>
        </row>
        <row r="1201">
          <cell r="C1201" t="str">
            <v>3704 - MISC. INSULATION</v>
          </cell>
          <cell r="D1201" t="str">
            <v>MD50148</v>
          </cell>
          <cell r="BA1201">
            <v>1.0900000000000001</v>
          </cell>
        </row>
        <row r="1202">
          <cell r="C1202" t="str">
            <v>3704 - MISC. INSULATION</v>
          </cell>
          <cell r="D1202" t="str">
            <v>QRPR38118UW</v>
          </cell>
          <cell r="BA1202">
            <v>2.39</v>
          </cell>
        </row>
        <row r="1203">
          <cell r="C1203" t="str">
            <v>3704 - MISC. INSULATION</v>
          </cell>
          <cell r="D1203" t="str">
            <v>CL75A6</v>
          </cell>
          <cell r="BA1203">
            <v>1.99</v>
          </cell>
        </row>
        <row r="1204">
          <cell r="C1204" t="str">
            <v>3704 - MISC. INSULATION</v>
          </cell>
          <cell r="D1204" t="str">
            <v>ROCK22448CR</v>
          </cell>
          <cell r="BA1204">
            <v>151.99</v>
          </cell>
        </row>
        <row r="1205">
          <cell r="C1205" t="str">
            <v>3704 - MISC. INSULATION</v>
          </cell>
          <cell r="D1205" t="str">
            <v>350OCFS</v>
          </cell>
          <cell r="BA1205">
            <v>5.79</v>
          </cell>
        </row>
        <row r="1206">
          <cell r="C1206" t="str">
            <v>3704 - MISC. INSULATION</v>
          </cell>
          <cell r="D1206" t="str">
            <v>550OCFS</v>
          </cell>
          <cell r="BA1206">
            <v>8.09</v>
          </cell>
        </row>
        <row r="1207">
          <cell r="C1207" t="str">
            <v>3775 - INSULATION TOOLS &amp; SUPPLIES</v>
          </cell>
          <cell r="D1207" t="str">
            <v>TRMDW12S</v>
          </cell>
          <cell r="BA1207">
            <v>5.69</v>
          </cell>
        </row>
        <row r="1208">
          <cell r="C1208" t="str">
            <v>3901 - PLYWOOD SIDINGS</v>
          </cell>
          <cell r="D1208" t="str">
            <v>48APA30318</v>
          </cell>
          <cell r="BA1208">
            <v>2229.04</v>
          </cell>
        </row>
        <row r="1209">
          <cell r="C1209" t="str">
            <v>3901 - PLYWOOD SIDINGS</v>
          </cell>
          <cell r="D1209" t="str">
            <v>48APA30318P</v>
          </cell>
          <cell r="BA1209">
            <v>2181.33</v>
          </cell>
        </row>
        <row r="1210">
          <cell r="C1210" t="str">
            <v>3901 - PLYWOOD SIDINGS</v>
          </cell>
          <cell r="D1210" t="str">
            <v>48APA3031812</v>
          </cell>
          <cell r="BA1210">
            <v>2266.0700000000002</v>
          </cell>
        </row>
        <row r="1211">
          <cell r="C1211" t="str">
            <v>3901 - PLYWOOD SIDINGS</v>
          </cell>
          <cell r="D1211" t="str">
            <v>48APA303184</v>
          </cell>
          <cell r="BA1211">
            <v>2339.71</v>
          </cell>
        </row>
        <row r="1212">
          <cell r="C1212" t="str">
            <v>3901 - PLYWOOD SIDINGS</v>
          </cell>
          <cell r="D1212" t="str">
            <v>49APA30318</v>
          </cell>
          <cell r="BA1212">
            <v>3042.65</v>
          </cell>
        </row>
        <row r="1213">
          <cell r="C1213" t="str">
            <v>3901 - PLYWOOD SIDINGS</v>
          </cell>
          <cell r="D1213" t="str">
            <v>49APA30318P</v>
          </cell>
          <cell r="BA1213">
            <v>2929.41</v>
          </cell>
        </row>
        <row r="1214">
          <cell r="C1214" t="str">
            <v>3901 - PLYWOOD SIDINGS</v>
          </cell>
          <cell r="D1214" t="str">
            <v>49APA303184</v>
          </cell>
          <cell r="BA1214">
            <v>3097.06</v>
          </cell>
        </row>
        <row r="1215">
          <cell r="C1215" t="str">
            <v>3901 - PLYWOOD SIDINGS</v>
          </cell>
          <cell r="D1215" t="str">
            <v>58T1118PR</v>
          </cell>
          <cell r="BA1215">
            <v>2852.94</v>
          </cell>
        </row>
        <row r="1216">
          <cell r="C1216" t="str">
            <v>3901 - PLYWOOD SIDINGS</v>
          </cell>
          <cell r="D1216" t="str">
            <v>12T111P</v>
          </cell>
          <cell r="BA1216">
            <v>2588.2399999999998</v>
          </cell>
        </row>
        <row r="1217">
          <cell r="C1217" t="str">
            <v>3901 - PLYWOOD SIDINGS</v>
          </cell>
          <cell r="D1217" t="str">
            <v>58T111</v>
          </cell>
          <cell r="BA1217">
            <v>2479.46</v>
          </cell>
        </row>
        <row r="1218">
          <cell r="C1218" t="str">
            <v>3901 - PLYWOOD SIDINGS</v>
          </cell>
          <cell r="D1218" t="str">
            <v>58T111P</v>
          </cell>
          <cell r="BA1218">
            <v>2150.1</v>
          </cell>
        </row>
        <row r="1219">
          <cell r="C1219" t="str">
            <v>3901 - PLYWOOD SIDINGS</v>
          </cell>
          <cell r="D1219" t="str">
            <v>12T111SE</v>
          </cell>
          <cell r="BA1219">
            <v>2871.76</v>
          </cell>
        </row>
        <row r="1220">
          <cell r="C1220" t="str">
            <v>3901 - PLYWOOD SIDINGS</v>
          </cell>
          <cell r="D1220" t="str">
            <v>12T111SEPR</v>
          </cell>
          <cell r="BA1220">
            <v>2344.0300000000002</v>
          </cell>
        </row>
        <row r="1221">
          <cell r="C1221" t="str">
            <v>3901 - PLYWOOD SIDINGS</v>
          </cell>
          <cell r="D1221" t="str">
            <v>58T1114</v>
          </cell>
          <cell r="BA1221">
            <v>2470.59</v>
          </cell>
        </row>
        <row r="1222">
          <cell r="C1222" t="str">
            <v>3901 - PLYWOOD SIDINGS</v>
          </cell>
          <cell r="D1222" t="str">
            <v>58T1118</v>
          </cell>
          <cell r="BA1222">
            <v>2582.35</v>
          </cell>
        </row>
        <row r="1223">
          <cell r="C1223" t="str">
            <v>3901 - PLYWOOD SIDINGS</v>
          </cell>
          <cell r="D1223" t="str">
            <v>58T1114P</v>
          </cell>
          <cell r="BA1223">
            <v>1862.27</v>
          </cell>
        </row>
        <row r="1224">
          <cell r="C1224" t="str">
            <v>3901 - PLYWOOD SIDINGS</v>
          </cell>
          <cell r="D1224" t="str">
            <v>58T1118P</v>
          </cell>
          <cell r="BA1224">
            <v>2101.4299999999998</v>
          </cell>
        </row>
        <row r="1225">
          <cell r="C1225" t="str">
            <v>3901 - PLYWOOD SIDINGS</v>
          </cell>
          <cell r="D1225" t="str">
            <v>58T11112</v>
          </cell>
          <cell r="BA1225">
            <v>2588.84</v>
          </cell>
        </row>
        <row r="1226">
          <cell r="C1226" t="str">
            <v>3901 - PLYWOOD SIDINGS</v>
          </cell>
          <cell r="D1226" t="str">
            <v>58T11189</v>
          </cell>
          <cell r="BA1226">
            <v>3352.94</v>
          </cell>
        </row>
        <row r="1227">
          <cell r="C1227" t="str">
            <v>3901 - PLYWOOD SIDINGS</v>
          </cell>
          <cell r="D1227" t="str">
            <v>1132APA30318P</v>
          </cell>
          <cell r="BA1227">
            <v>1452.94</v>
          </cell>
        </row>
        <row r="1228">
          <cell r="C1228" t="str">
            <v>3901 - PLYWOOD SIDINGS</v>
          </cell>
          <cell r="D1228" t="str">
            <v>4812PTSE</v>
          </cell>
          <cell r="BA1228">
            <v>3176.47</v>
          </cell>
        </row>
        <row r="1229">
          <cell r="C1229" t="str">
            <v>3901 - PLYWOOD SIDINGS</v>
          </cell>
          <cell r="D1229" t="str">
            <v>4858HWD12</v>
          </cell>
          <cell r="BA1229">
            <v>2790.59</v>
          </cell>
        </row>
        <row r="1230">
          <cell r="C1230" t="str">
            <v>3901 - PLYWOOD SIDINGS</v>
          </cell>
          <cell r="D1230" t="str">
            <v>4858HWD8</v>
          </cell>
          <cell r="BA1230">
            <v>2492.94</v>
          </cell>
        </row>
        <row r="1231">
          <cell r="C1231" t="str">
            <v>3901 - PLYWOOD SIDINGS</v>
          </cell>
          <cell r="D1231" t="str">
            <v>4858HWD4</v>
          </cell>
          <cell r="BA1231">
            <v>2492.94</v>
          </cell>
        </row>
        <row r="1232">
          <cell r="C1232" t="str">
            <v>3901 - PLYWOOD SIDINGS</v>
          </cell>
          <cell r="D1232" t="str">
            <v>4858HWDP</v>
          </cell>
          <cell r="BA1232">
            <v>2929.41</v>
          </cell>
        </row>
        <row r="1233">
          <cell r="C1233" t="str">
            <v>3901 - PLYWOOD SIDINGS</v>
          </cell>
          <cell r="D1233" t="str">
            <v>4812HWDSE</v>
          </cell>
          <cell r="BA1233">
            <v>2318.79</v>
          </cell>
        </row>
        <row r="1234">
          <cell r="C1234" t="str">
            <v>3901 - PLYWOOD SIDINGS</v>
          </cell>
          <cell r="D1234" t="str">
            <v>4838HWDSHLP</v>
          </cell>
          <cell r="BA1234">
            <v>2001.18</v>
          </cell>
        </row>
        <row r="1235">
          <cell r="C1235" t="str">
            <v>3902 - LUMBER SIDINGS</v>
          </cell>
          <cell r="D1235" t="str">
            <v>CBPFJ120616</v>
          </cell>
          <cell r="BA1235">
            <v>3223.53</v>
          </cell>
        </row>
        <row r="1236">
          <cell r="C1236" t="str">
            <v>3902 - LUMBER SIDINGS</v>
          </cell>
          <cell r="D1236" t="str">
            <v>348CBVLTF</v>
          </cell>
          <cell r="BA1236">
            <v>2.5</v>
          </cell>
        </row>
        <row r="1237">
          <cell r="C1237" t="str">
            <v>3902 - LUMBER SIDINGS</v>
          </cell>
          <cell r="D1237" t="str">
            <v>3410CBVLTF</v>
          </cell>
          <cell r="BA1237">
            <v>4.88</v>
          </cell>
        </row>
        <row r="1238">
          <cell r="C1238" t="str">
            <v>3902 - LUMBER SIDINGS</v>
          </cell>
          <cell r="D1238" t="str">
            <v>128CBVLTF</v>
          </cell>
          <cell r="BA1238">
            <v>2.8</v>
          </cell>
        </row>
        <row r="1239">
          <cell r="C1239" t="str">
            <v>3902 - LUMBER SIDINGS</v>
          </cell>
          <cell r="D1239" t="str">
            <v>126CBVLTF</v>
          </cell>
          <cell r="BA1239">
            <v>3.04</v>
          </cell>
        </row>
        <row r="1240">
          <cell r="C1240" t="str">
            <v>3902 - LUMBER SIDINGS</v>
          </cell>
          <cell r="D1240" t="str">
            <v>3410CTKC</v>
          </cell>
          <cell r="BA1240">
            <v>3.97</v>
          </cell>
        </row>
        <row r="1241">
          <cell r="C1241" t="str">
            <v>3902 - LUMBER SIDINGS</v>
          </cell>
          <cell r="D1241" t="str">
            <v>348CTKC</v>
          </cell>
          <cell r="BA1241">
            <v>2.23</v>
          </cell>
        </row>
        <row r="1242">
          <cell r="C1242" t="str">
            <v>3902 - LUMBER SIDINGS</v>
          </cell>
          <cell r="D1242" t="str">
            <v>3488CTKC</v>
          </cell>
          <cell r="BA1242">
            <v>3957.75</v>
          </cell>
        </row>
        <row r="1243">
          <cell r="C1243" t="str">
            <v>3902 - LUMBER SIDINGS</v>
          </cell>
          <cell r="D1243" t="str">
            <v>34810CTKC</v>
          </cell>
          <cell r="BA1243">
            <v>3470.71</v>
          </cell>
        </row>
        <row r="1244">
          <cell r="C1244" t="str">
            <v>3902 - LUMBER SIDINGS</v>
          </cell>
          <cell r="D1244" t="str">
            <v>34812CTKC</v>
          </cell>
          <cell r="BA1244">
            <v>3970.59</v>
          </cell>
        </row>
        <row r="1245">
          <cell r="C1245" t="str">
            <v>3902 - LUMBER SIDINGS</v>
          </cell>
          <cell r="D1245" t="str">
            <v>34814CTKC</v>
          </cell>
          <cell r="BA1245">
            <v>3470.61</v>
          </cell>
        </row>
        <row r="1246">
          <cell r="C1246" t="str">
            <v>3902 - LUMBER SIDINGS</v>
          </cell>
          <cell r="D1246" t="str">
            <v>34816CTKC</v>
          </cell>
          <cell r="BA1246">
            <v>3480.59</v>
          </cell>
        </row>
        <row r="1247">
          <cell r="C1247" t="str">
            <v>3902 - LUMBER SIDINGS</v>
          </cell>
          <cell r="D1247" t="str">
            <v>34816PFJCBVTK</v>
          </cell>
          <cell r="BA1247">
            <v>47</v>
          </cell>
        </row>
        <row r="1248">
          <cell r="C1248" t="str">
            <v>3902 - LUMBER SIDINGS</v>
          </cell>
          <cell r="D1248" t="str">
            <v>341016PFJCBVTK</v>
          </cell>
          <cell r="BA1248">
            <v>59.71</v>
          </cell>
        </row>
        <row r="1249">
          <cell r="C1249" t="str">
            <v>3902 - LUMBER SIDINGS</v>
          </cell>
          <cell r="D1249" t="str">
            <v>126CBFJP</v>
          </cell>
          <cell r="BA1249">
            <v>1.61</v>
          </cell>
        </row>
        <row r="1250">
          <cell r="C1250" t="str">
            <v>3902 - LUMBER SIDINGS</v>
          </cell>
          <cell r="D1250" t="str">
            <v>3410CBFJP</v>
          </cell>
          <cell r="BA1250">
            <v>3.95</v>
          </cell>
        </row>
        <row r="1251">
          <cell r="C1251" t="str">
            <v>3902 - LUMBER SIDINGS</v>
          </cell>
          <cell r="D1251" t="str">
            <v>341016CBFJP</v>
          </cell>
          <cell r="BA1251">
            <v>4700</v>
          </cell>
        </row>
        <row r="1252">
          <cell r="C1252" t="str">
            <v>3902 - LUMBER SIDINGS</v>
          </cell>
          <cell r="D1252" t="str">
            <v>126CVGWRCPBS</v>
          </cell>
          <cell r="BA1252">
            <v>3223.63</v>
          </cell>
        </row>
        <row r="1253">
          <cell r="C1253" t="str">
            <v>3902 - LUMBER SIDINGS</v>
          </cell>
          <cell r="D1253" t="str">
            <v>18CTKC</v>
          </cell>
          <cell r="BA1253">
            <v>3970.59</v>
          </cell>
        </row>
        <row r="1254">
          <cell r="C1254" t="str">
            <v>3902 - LUMBER SIDINGS</v>
          </cell>
          <cell r="D1254" t="str">
            <v>346CTKC</v>
          </cell>
          <cell r="BA1254">
            <v>1.99</v>
          </cell>
        </row>
        <row r="1255">
          <cell r="C1255" t="str">
            <v>3902 - LUMBER SIDINGS</v>
          </cell>
          <cell r="D1255" t="str">
            <v>3468CTKC</v>
          </cell>
          <cell r="BA1255">
            <v>15.88</v>
          </cell>
        </row>
        <row r="1256">
          <cell r="C1256" t="str">
            <v>3902 - LUMBER SIDINGS</v>
          </cell>
          <cell r="D1256" t="str">
            <v>34610CTKC</v>
          </cell>
          <cell r="BA1256">
            <v>15.86</v>
          </cell>
        </row>
        <row r="1257">
          <cell r="C1257" t="str">
            <v>3902 - LUMBER SIDINGS</v>
          </cell>
          <cell r="D1257" t="str">
            <v>34612CTKC</v>
          </cell>
          <cell r="BA1257">
            <v>23.82</v>
          </cell>
        </row>
        <row r="1258">
          <cell r="C1258" t="str">
            <v>3902 - LUMBER SIDINGS</v>
          </cell>
          <cell r="D1258" t="str">
            <v>SS12CT</v>
          </cell>
          <cell r="BA1258">
            <v>3605.88</v>
          </cell>
        </row>
        <row r="1259">
          <cell r="C1259" t="str">
            <v>3902 - LUMBER SIDINGS</v>
          </cell>
          <cell r="D1259" t="str">
            <v>SS13CT</v>
          </cell>
          <cell r="BA1259">
            <v>3717.65</v>
          </cell>
        </row>
        <row r="1260">
          <cell r="C1260" t="str">
            <v>3902 - LUMBER SIDINGS</v>
          </cell>
          <cell r="D1260" t="str">
            <v>SS14CT</v>
          </cell>
          <cell r="BA1260">
            <v>3282.35</v>
          </cell>
        </row>
        <row r="1261">
          <cell r="C1261" t="str">
            <v>3902 - LUMBER SIDINGS</v>
          </cell>
          <cell r="D1261" t="str">
            <v>SS16CT</v>
          </cell>
          <cell r="BA1261">
            <v>3252.94</v>
          </cell>
        </row>
        <row r="1262">
          <cell r="C1262" t="str">
            <v>3902 - LUMBER SIDINGS</v>
          </cell>
          <cell r="D1262" t="str">
            <v>SS18CT</v>
          </cell>
          <cell r="BA1262">
            <v>3423.53</v>
          </cell>
        </row>
        <row r="1263">
          <cell r="C1263" t="str">
            <v>3902 - LUMBER SIDINGS</v>
          </cell>
          <cell r="D1263" t="str">
            <v>SS112CT</v>
          </cell>
          <cell r="BA1263">
            <v>3776.47</v>
          </cell>
        </row>
        <row r="1264">
          <cell r="C1264" t="str">
            <v>3902 - LUMBER SIDINGS</v>
          </cell>
          <cell r="D1264" t="str">
            <v>SS542CT</v>
          </cell>
          <cell r="BA1264">
            <v>4335.29</v>
          </cell>
        </row>
        <row r="1265">
          <cell r="C1265" t="str">
            <v>3902 - LUMBER SIDINGS</v>
          </cell>
          <cell r="D1265" t="str">
            <v>SS543CT</v>
          </cell>
          <cell r="BA1265">
            <v>4600</v>
          </cell>
        </row>
        <row r="1266">
          <cell r="C1266" t="str">
            <v>3902 - LUMBER SIDINGS</v>
          </cell>
          <cell r="D1266" t="str">
            <v>SS544CT</v>
          </cell>
          <cell r="BA1266">
            <v>3970.59</v>
          </cell>
        </row>
        <row r="1267">
          <cell r="C1267" t="str">
            <v>3902 - LUMBER SIDINGS</v>
          </cell>
          <cell r="D1267" t="str">
            <v>SS546CT</v>
          </cell>
          <cell r="BA1267">
            <v>4135.29</v>
          </cell>
        </row>
        <row r="1268">
          <cell r="C1268" t="str">
            <v>3902 - LUMBER SIDINGS</v>
          </cell>
          <cell r="D1268" t="str">
            <v>SS548CT</v>
          </cell>
          <cell r="BA1268">
            <v>4288.24</v>
          </cell>
        </row>
        <row r="1269">
          <cell r="C1269" t="str">
            <v>3902 - LUMBER SIDINGS</v>
          </cell>
          <cell r="D1269" t="str">
            <v>SS5410CT</v>
          </cell>
          <cell r="BA1269">
            <v>4647.0600000000004</v>
          </cell>
        </row>
        <row r="1270">
          <cell r="C1270" t="str">
            <v>3902 - LUMBER SIDINGS</v>
          </cell>
          <cell r="D1270" t="str">
            <v>SS5412CT</v>
          </cell>
          <cell r="BA1270">
            <v>4658.82</v>
          </cell>
        </row>
        <row r="1271">
          <cell r="C1271" t="str">
            <v>3902 - LUMBER SIDINGS</v>
          </cell>
          <cell r="D1271" t="str">
            <v>SS3812CVS</v>
          </cell>
          <cell r="BA1271">
            <v>2182.35</v>
          </cell>
        </row>
        <row r="1272">
          <cell r="C1272" t="str">
            <v>3902 - LUMBER SIDINGS</v>
          </cell>
          <cell r="D1272" t="str">
            <v>SS3816CVS</v>
          </cell>
          <cell r="BA1272">
            <v>2158.8200000000002</v>
          </cell>
        </row>
        <row r="1273">
          <cell r="C1273" t="str">
            <v>3902 - LUMBER SIDINGS</v>
          </cell>
          <cell r="D1273" t="str">
            <v>SS3824CVS</v>
          </cell>
          <cell r="BA1273">
            <v>2200</v>
          </cell>
        </row>
        <row r="1274">
          <cell r="C1274" t="str">
            <v>3902 - LUMBER SIDINGS</v>
          </cell>
          <cell r="D1274" t="str">
            <v>128CBSP</v>
          </cell>
          <cell r="BA1274">
            <v>3274.76</v>
          </cell>
        </row>
        <row r="1275">
          <cell r="C1275" t="str">
            <v>3903 - VINYL/ALUMINUM SIDINGS</v>
          </cell>
          <cell r="D1275" t="str">
            <v>267WS</v>
          </cell>
          <cell r="BA1275">
            <v>5.0599999999999996</v>
          </cell>
        </row>
        <row r="1276">
          <cell r="C1276" t="str">
            <v>3903 - VINYL/ALUMINUM SIDINGS</v>
          </cell>
          <cell r="D1276" t="str">
            <v>BE1824GVRPNT</v>
          </cell>
          <cell r="BA1276">
            <v>67.989999999999995</v>
          </cell>
        </row>
        <row r="1277">
          <cell r="C1277" t="str">
            <v>3903 - VINYL/ALUMINUM SIDINGS</v>
          </cell>
          <cell r="D1277" t="str">
            <v>MA00451824030</v>
          </cell>
          <cell r="BA1277">
            <v>67.989999999999995</v>
          </cell>
        </row>
        <row r="1278">
          <cell r="C1278" t="str">
            <v>3903 - VINYL/ALUMINUM SIDINGS</v>
          </cell>
          <cell r="D1278" t="str">
            <v>MA00451218030</v>
          </cell>
          <cell r="BA1278">
            <v>60.34</v>
          </cell>
        </row>
        <row r="1279">
          <cell r="C1279" t="str">
            <v>3903 - VINYL/ALUMINUM SIDINGS</v>
          </cell>
          <cell r="D1279" t="str">
            <v>MA00400022030</v>
          </cell>
          <cell r="BA1279">
            <v>84.49</v>
          </cell>
        </row>
        <row r="1280">
          <cell r="C1280" t="str">
            <v>3903 - VINYL/ALUMINUM SIDINGS</v>
          </cell>
          <cell r="D1280" t="str">
            <v>JMH3410</v>
          </cell>
          <cell r="BA1280">
            <v>21.54</v>
          </cell>
        </row>
        <row r="1281">
          <cell r="C1281" t="str">
            <v>3903 - VINYL/ALUMINUM SIDINGS</v>
          </cell>
          <cell r="D1281" t="str">
            <v>PPG725MLBR</v>
          </cell>
          <cell r="BA1281">
            <v>11.76</v>
          </cell>
        </row>
        <row r="1282">
          <cell r="C1282" t="str">
            <v>3903 - VINYL/ALUMINUM SIDINGS</v>
          </cell>
          <cell r="D1282" t="str">
            <v>PPGNCPR203MS</v>
          </cell>
          <cell r="BA1282">
            <v>11.77</v>
          </cell>
        </row>
        <row r="1283">
          <cell r="C1283" t="str">
            <v>3903 - VINYL/ALUMINUM SIDINGS</v>
          </cell>
          <cell r="D1283" t="str">
            <v>PPGPPR327NCMLWF</v>
          </cell>
          <cell r="BA1283">
            <v>16.18</v>
          </cell>
        </row>
        <row r="1284">
          <cell r="C1284" t="str">
            <v>3903 - VINYL/ALUMINUM SIDINGS</v>
          </cell>
          <cell r="D1284" t="str">
            <v>PPGPPR332VWF</v>
          </cell>
          <cell r="BA1284">
            <v>16.18</v>
          </cell>
        </row>
        <row r="1285">
          <cell r="C1285" t="str">
            <v>3903 - VINYL/ALUMINUM SIDINGS</v>
          </cell>
          <cell r="D1285" t="str">
            <v>PPG725MLBS</v>
          </cell>
          <cell r="BA1285">
            <v>10.98</v>
          </cell>
        </row>
        <row r="1286">
          <cell r="C1286" t="str">
            <v>3903 - VINYL/ALUMINUM SIDINGS</v>
          </cell>
          <cell r="D1286" t="str">
            <v>28CLB</v>
          </cell>
          <cell r="BA1286">
            <v>12.38</v>
          </cell>
        </row>
        <row r="1287">
          <cell r="C1287" t="str">
            <v>3903 - VINYL/ALUMINUM SIDINGS</v>
          </cell>
          <cell r="D1287" t="str">
            <v>712CLBLK</v>
          </cell>
          <cell r="BA1287">
            <v>10.19</v>
          </cell>
        </row>
        <row r="1288">
          <cell r="C1288" t="str">
            <v>3903 - VINYL/ALUMINUM SIDINGS</v>
          </cell>
          <cell r="D1288" t="str">
            <v>PPGPR102LB</v>
          </cell>
          <cell r="BA1288">
            <v>11.76</v>
          </cell>
        </row>
        <row r="1289">
          <cell r="C1289" t="str">
            <v>3903 - VINYL/ALUMINUM SIDINGS</v>
          </cell>
          <cell r="D1289" t="str">
            <v>PPGPS104BB</v>
          </cell>
          <cell r="BA1289">
            <v>11.76</v>
          </cell>
        </row>
        <row r="1290">
          <cell r="C1290" t="str">
            <v>3903 - VINYL/ALUMINUM SIDINGS</v>
          </cell>
          <cell r="D1290" t="str">
            <v>PPGPR100BB</v>
          </cell>
          <cell r="BA1290">
            <v>11.76</v>
          </cell>
        </row>
        <row r="1291">
          <cell r="C1291" t="str">
            <v>3903 - VINYL/ALUMINUM SIDINGS</v>
          </cell>
          <cell r="D1291" t="str">
            <v>57CHB</v>
          </cell>
          <cell r="BA1291">
            <v>7.27</v>
          </cell>
        </row>
        <row r="1292">
          <cell r="C1292" t="str">
            <v>3903 - VINYL/ALUMINUM SIDINGS</v>
          </cell>
          <cell r="D1292" t="str">
            <v>512712BIBBLK</v>
          </cell>
          <cell r="BA1292">
            <v>11.16</v>
          </cell>
        </row>
        <row r="1293">
          <cell r="C1293" t="str">
            <v>3903 - VINYL/ALUMINUM SIDINGS</v>
          </cell>
          <cell r="D1293" t="str">
            <v>512BIBBLK</v>
          </cell>
          <cell r="BA1293">
            <v>8.08</v>
          </cell>
        </row>
        <row r="1294">
          <cell r="C1294" t="str">
            <v>3903 - VINYL/ALUMINUM SIDINGS</v>
          </cell>
          <cell r="D1294" t="str">
            <v>54BIBBLK</v>
          </cell>
          <cell r="BA1294">
            <v>8.09</v>
          </cell>
        </row>
        <row r="1295">
          <cell r="C1295" t="str">
            <v>3903 - VINYL/ALUMINUM SIDINGS</v>
          </cell>
          <cell r="D1295" t="str">
            <v>PPGPPR334B1WF</v>
          </cell>
          <cell r="BA1295">
            <v>11.76</v>
          </cell>
        </row>
        <row r="1296">
          <cell r="C1296" t="str">
            <v>3903 - VINYL/ALUMINUM SIDINGS</v>
          </cell>
          <cell r="D1296" t="str">
            <v>PPGPPR325SWF</v>
          </cell>
          <cell r="BA1296">
            <v>14.7</v>
          </cell>
        </row>
        <row r="1297">
          <cell r="C1297" t="str">
            <v>3903 - VINYL/ALUMINUM SIDINGS</v>
          </cell>
          <cell r="D1297" t="str">
            <v>PPGPPR329NCRWF</v>
          </cell>
          <cell r="BA1297">
            <v>13.98</v>
          </cell>
        </row>
        <row r="1298">
          <cell r="C1298" t="str">
            <v>3903 - VINYL/ALUMINUM SIDINGS</v>
          </cell>
          <cell r="D1298" t="str">
            <v>PPGPPR338NCSLWF</v>
          </cell>
          <cell r="BA1298">
            <v>15.07</v>
          </cell>
        </row>
        <row r="1299">
          <cell r="C1299" t="str">
            <v>3903 - VINYL/ALUMINUM SIDINGS</v>
          </cell>
          <cell r="D1299" t="str">
            <v>PPG3069558</v>
          </cell>
          <cell r="BA1299">
            <v>66.5</v>
          </cell>
        </row>
        <row r="1300">
          <cell r="C1300" t="str">
            <v>3903 - VINYL/ALUMINUM SIDINGS</v>
          </cell>
          <cell r="D1300" t="str">
            <v>PPG30999006</v>
          </cell>
          <cell r="BA1300">
            <v>16.760000000000002</v>
          </cell>
        </row>
        <row r="1301">
          <cell r="C1301" t="str">
            <v>3903 - VINYL/ALUMINUM SIDINGS</v>
          </cell>
          <cell r="D1301" t="str">
            <v>PPGPR435SC2</v>
          </cell>
          <cell r="BA1301">
            <v>11.76</v>
          </cell>
        </row>
        <row r="1302">
          <cell r="C1302" t="str">
            <v>3903 - VINYL/ALUMINUM SIDINGS</v>
          </cell>
          <cell r="D1302" t="str">
            <v>PPGPR101EB</v>
          </cell>
          <cell r="BA1302">
            <v>11.02</v>
          </cell>
        </row>
        <row r="1303">
          <cell r="C1303" t="str">
            <v>3903 - VINYL/ALUMINUM SIDINGS</v>
          </cell>
          <cell r="D1303" t="str">
            <v>PPGPS105EB</v>
          </cell>
          <cell r="BA1303">
            <v>10.23</v>
          </cell>
        </row>
        <row r="1304">
          <cell r="C1304" t="str">
            <v>3903 - VINYL/ALUMINUM SIDINGS</v>
          </cell>
          <cell r="D1304" t="str">
            <v>PPGPR103VB</v>
          </cell>
          <cell r="BA1304">
            <v>11.67</v>
          </cell>
        </row>
        <row r="1305">
          <cell r="C1305" t="str">
            <v>3903 - VINYL/ALUMINUM SIDINGS</v>
          </cell>
          <cell r="D1305" t="str">
            <v>PPGPS107VB</v>
          </cell>
          <cell r="BA1305">
            <v>11.28</v>
          </cell>
        </row>
        <row r="1306">
          <cell r="C1306" t="str">
            <v>3903 - VINYL/ALUMINUM SIDINGS</v>
          </cell>
          <cell r="D1306" t="str">
            <v>PPGNCPR209B2</v>
          </cell>
          <cell r="BA1306">
            <v>8.1300000000000008</v>
          </cell>
        </row>
        <row r="1307">
          <cell r="C1307" t="str">
            <v>3903 - VINYL/ALUMINUM SIDINGS</v>
          </cell>
          <cell r="D1307" t="str">
            <v>PPGNCPR221RB</v>
          </cell>
          <cell r="BA1307">
            <v>11.46</v>
          </cell>
        </row>
        <row r="1308">
          <cell r="C1308" t="str">
            <v>3903 - VINYL/ALUMINUM SIDINGS</v>
          </cell>
          <cell r="D1308" t="str">
            <v>PPGNCPS206B1</v>
          </cell>
          <cell r="BA1308">
            <v>8.09</v>
          </cell>
        </row>
        <row r="1309">
          <cell r="C1309" t="str">
            <v>3903 - VINYL/ALUMINUM SIDINGS</v>
          </cell>
          <cell r="D1309" t="str">
            <v>5565COB</v>
          </cell>
          <cell r="BA1309">
            <v>8.8000000000000007</v>
          </cell>
        </row>
        <row r="1310">
          <cell r="C1310" t="str">
            <v>3903 - VINYL/ALUMINUM SIDINGS</v>
          </cell>
          <cell r="D1310" t="str">
            <v>517DLBLK</v>
          </cell>
          <cell r="BA1310">
            <v>16.05</v>
          </cell>
        </row>
        <row r="1311">
          <cell r="C1311" t="str">
            <v>3903 - VINYL/ALUMINUM SIDINGS</v>
          </cell>
          <cell r="D1311" t="str">
            <v>PPGPR421GS</v>
          </cell>
          <cell r="BA1311">
            <v>11.76</v>
          </cell>
        </row>
        <row r="1312">
          <cell r="C1312" t="str">
            <v>3903 - VINYL/ALUMINUM SIDINGS</v>
          </cell>
          <cell r="D1312" t="str">
            <v>PPGPR423DB</v>
          </cell>
          <cell r="BA1312">
            <v>17.66</v>
          </cell>
        </row>
        <row r="1313">
          <cell r="C1313" t="str">
            <v>3903 - VINYL/ALUMINUM SIDINGS</v>
          </cell>
          <cell r="D1313" t="str">
            <v>PPGNCPR205LL</v>
          </cell>
          <cell r="BA1313">
            <v>14.71</v>
          </cell>
        </row>
        <row r="1314">
          <cell r="C1314" t="str">
            <v>3903 - VINYL/ALUMINUM SIDINGS</v>
          </cell>
          <cell r="D1314" t="str">
            <v>9121312QFBLK</v>
          </cell>
          <cell r="BA1314">
            <v>23.53</v>
          </cell>
        </row>
        <row r="1315">
          <cell r="C1315" t="str">
            <v>3903 - VINYL/ALUMINUM SIDINGS</v>
          </cell>
          <cell r="D1315" t="str">
            <v>SHM51610</v>
          </cell>
          <cell r="BA1315">
            <v>15.2</v>
          </cell>
        </row>
        <row r="1316">
          <cell r="C1316" t="str">
            <v>3903 - VINYL/ALUMINUM SIDINGS</v>
          </cell>
          <cell r="D1316" t="str">
            <v>DDDVBS</v>
          </cell>
          <cell r="BA1316">
            <v>12.13</v>
          </cell>
        </row>
        <row r="1317">
          <cell r="C1317" t="str">
            <v>3903 - VINYL/ALUMINUM SIDINGS</v>
          </cell>
          <cell r="D1317" t="str">
            <v>DDDVBSP</v>
          </cell>
          <cell r="BA1317">
            <v>8.4600000000000009</v>
          </cell>
        </row>
        <row r="1318">
          <cell r="C1318" t="str">
            <v>3903 - VINYL/ALUMINUM SIDINGS</v>
          </cell>
          <cell r="D1318" t="str">
            <v>MAGVR22RDW</v>
          </cell>
          <cell r="BA1318">
            <v>84.49</v>
          </cell>
        </row>
        <row r="1319">
          <cell r="C1319" t="str">
            <v>3903 - VINYL/ALUMINUM SIDINGS</v>
          </cell>
          <cell r="D1319" t="str">
            <v>RH516</v>
          </cell>
          <cell r="BA1319">
            <v>32.130000000000003</v>
          </cell>
        </row>
        <row r="1320">
          <cell r="C1320" t="str">
            <v>3903 - VINYL/ALUMINUM SIDINGS</v>
          </cell>
          <cell r="D1320" t="str">
            <v>GVWH1422A</v>
          </cell>
          <cell r="BA1320">
            <v>49.71</v>
          </cell>
        </row>
        <row r="1321">
          <cell r="C1321" t="str">
            <v>3903 - VINYL/ALUMINUM SIDINGS</v>
          </cell>
          <cell r="D1321" t="str">
            <v>SV8CBRN</v>
          </cell>
          <cell r="BA1321">
            <v>10.85</v>
          </cell>
        </row>
        <row r="1322">
          <cell r="C1322" t="str">
            <v>3903 - VINYL/ALUMINUM SIDINGS</v>
          </cell>
          <cell r="D1322" t="str">
            <v>CSV8MILL</v>
          </cell>
          <cell r="BA1322">
            <v>9.82</v>
          </cell>
        </row>
        <row r="1323">
          <cell r="C1323" t="str">
            <v>3903 - VINYL/ALUMINUM SIDINGS</v>
          </cell>
          <cell r="D1323" t="str">
            <v>PPACK501R</v>
          </cell>
          <cell r="BA1323">
            <v>42.38</v>
          </cell>
        </row>
        <row r="1324">
          <cell r="C1324" t="str">
            <v>3903 - VINYL/ALUMINUM SIDINGS</v>
          </cell>
          <cell r="D1324" t="str">
            <v>XOCR516</v>
          </cell>
          <cell r="BA1324">
            <v>33.14</v>
          </cell>
        </row>
        <row r="1325">
          <cell r="C1325" t="str">
            <v>3903 - VINYL/ALUMINUM SIDINGS</v>
          </cell>
          <cell r="D1325" t="str">
            <v>XICLP516</v>
          </cell>
          <cell r="BA1325">
            <v>33.99</v>
          </cell>
        </row>
        <row r="1326">
          <cell r="C1326" t="str">
            <v>3903 - VINYL/ALUMINUM SIDINGS</v>
          </cell>
          <cell r="D1326" t="str">
            <v>XOCLP516</v>
          </cell>
          <cell r="BA1326">
            <v>33.479999999999997</v>
          </cell>
        </row>
        <row r="1327">
          <cell r="C1327" t="str">
            <v>3903 - VINYL/ALUMINUM SIDINGS</v>
          </cell>
          <cell r="D1327" t="str">
            <v>XOCLP34</v>
          </cell>
          <cell r="BA1327">
            <v>57.52</v>
          </cell>
        </row>
        <row r="1328">
          <cell r="C1328" t="str">
            <v>3903 - VINYL/ALUMINUM SIDINGS</v>
          </cell>
          <cell r="D1328" t="str">
            <v>XOCLP51634</v>
          </cell>
          <cell r="BA1328">
            <v>47.31</v>
          </cell>
        </row>
        <row r="1329">
          <cell r="C1329" t="str">
            <v>3903 - VINYL/ALUMINUM SIDINGS</v>
          </cell>
          <cell r="D1329" t="str">
            <v>XZS5168</v>
          </cell>
          <cell r="BA1329">
            <v>9.6199999999999992</v>
          </cell>
        </row>
        <row r="1330">
          <cell r="C1330" t="str">
            <v>3903 - VINYL/ALUMINUM SIDINGS</v>
          </cell>
          <cell r="D1330" t="str">
            <v>CSV8WHITE</v>
          </cell>
          <cell r="BA1330">
            <v>9.9499999999999993</v>
          </cell>
        </row>
        <row r="1331">
          <cell r="C1331" t="str">
            <v>3903 - VINYL/ALUMINUM SIDINGS</v>
          </cell>
          <cell r="D1331" t="str">
            <v>NW559006</v>
          </cell>
          <cell r="BA1331">
            <v>7.93</v>
          </cell>
        </row>
        <row r="1332">
          <cell r="C1332" t="str">
            <v>3903 - VINYL/ALUMINUM SIDINGS</v>
          </cell>
          <cell r="D1332" t="str">
            <v>NW559007</v>
          </cell>
          <cell r="BA1332">
            <v>6.12</v>
          </cell>
        </row>
        <row r="1333">
          <cell r="C1333" t="str">
            <v>3903 - VINYL/ALUMINUM SIDINGS</v>
          </cell>
          <cell r="D1333" t="str">
            <v>LI224W</v>
          </cell>
          <cell r="BA1333">
            <v>6.43</v>
          </cell>
        </row>
        <row r="1334">
          <cell r="C1334" t="str">
            <v>3904 - FIBER CEMENT SIDING/HARDI</v>
          </cell>
          <cell r="D1334" t="str">
            <v>DRHD</v>
          </cell>
          <cell r="BA1334">
            <v>0</v>
          </cell>
        </row>
        <row r="1335">
          <cell r="C1335" t="str">
            <v>3904 - FIBER CEMENT SIDING/HARDI</v>
          </cell>
          <cell r="D1335" t="str">
            <v>LGIHD</v>
          </cell>
          <cell r="BA1335">
            <v>0</v>
          </cell>
        </row>
        <row r="1336">
          <cell r="C1336" t="str">
            <v>3904 - FIBER CEMENT SIDING/HARDI</v>
          </cell>
          <cell r="D1336" t="str">
            <v>TMHD</v>
          </cell>
          <cell r="BA1336">
            <v>0.01</v>
          </cell>
        </row>
        <row r="1337">
          <cell r="C1337" t="str">
            <v>3904 - FIBER CEMENT SIDING/HARDI</v>
          </cell>
          <cell r="D1337" t="str">
            <v>1312ART</v>
          </cell>
          <cell r="BA1337">
            <v>3224.88</v>
          </cell>
        </row>
        <row r="1338">
          <cell r="C1338" t="str">
            <v>3904 - FIBER CEMENT SIDING/HARDI</v>
          </cell>
          <cell r="D1338" t="str">
            <v>1412ART</v>
          </cell>
          <cell r="BA1338">
            <v>3585.29</v>
          </cell>
        </row>
        <row r="1339">
          <cell r="C1339" t="str">
            <v>3904 - FIBER CEMENT SIDING/HARDI</v>
          </cell>
          <cell r="D1339" t="str">
            <v>1612ART</v>
          </cell>
          <cell r="BA1339">
            <v>3645.8</v>
          </cell>
        </row>
        <row r="1340">
          <cell r="C1340" t="str">
            <v>3904 - FIBER CEMENT SIDING/HARDI</v>
          </cell>
          <cell r="D1340" t="str">
            <v>1812ART</v>
          </cell>
          <cell r="BA1340">
            <v>3128.9</v>
          </cell>
        </row>
        <row r="1341">
          <cell r="C1341" t="str">
            <v>3904 - FIBER CEMENT SIDING/HARDI</v>
          </cell>
          <cell r="D1341" t="str">
            <v>11012ART</v>
          </cell>
          <cell r="BA1341">
            <v>3085.85</v>
          </cell>
        </row>
        <row r="1342">
          <cell r="C1342" t="str">
            <v>3904 - FIBER CEMENT SIDING/HARDI</v>
          </cell>
          <cell r="D1342" t="str">
            <v>11212ART</v>
          </cell>
          <cell r="BA1342">
            <v>3126.84</v>
          </cell>
        </row>
        <row r="1343">
          <cell r="C1343" t="str">
            <v>3904 - FIBER CEMENT SIDING/HARDI</v>
          </cell>
          <cell r="D1343" t="str">
            <v>84212ART</v>
          </cell>
          <cell r="BA1343">
            <v>13293.94</v>
          </cell>
        </row>
        <row r="1344">
          <cell r="C1344" t="str">
            <v>3904 - FIBER CEMENT SIDING/HARDI</v>
          </cell>
          <cell r="D1344" t="str">
            <v>HZ10PSE</v>
          </cell>
          <cell r="BA1344">
            <v>9.27</v>
          </cell>
        </row>
        <row r="1345">
          <cell r="C1345" t="str">
            <v>3904 - FIBER CEMENT SIDING/HARDI</v>
          </cell>
          <cell r="D1345" t="str">
            <v>HZ10PSTE</v>
          </cell>
          <cell r="BA1345">
            <v>7.98</v>
          </cell>
        </row>
        <row r="1346">
          <cell r="C1346" t="str">
            <v>3904 - FIBER CEMENT SIDING/HARDI</v>
          </cell>
          <cell r="D1346" t="str">
            <v>H81412CEMPC</v>
          </cell>
          <cell r="BA1346">
            <v>1082.3499999999999</v>
          </cell>
        </row>
        <row r="1347">
          <cell r="C1347" t="str">
            <v>3904 - FIBER CEMENT SIDING/HARDI</v>
          </cell>
          <cell r="D1347" t="str">
            <v>81412CDRPPR</v>
          </cell>
          <cell r="BA1347">
            <v>861.25</v>
          </cell>
        </row>
        <row r="1348">
          <cell r="C1348" t="str">
            <v>3904 - FIBER CEMENT SIDING/HARDI</v>
          </cell>
          <cell r="D1348" t="str">
            <v>81412APS</v>
          </cell>
          <cell r="BA1348">
            <v>16.72</v>
          </cell>
        </row>
        <row r="1349">
          <cell r="C1349" t="str">
            <v>3904 - FIBER CEMENT SIDING/HARDI</v>
          </cell>
          <cell r="D1349" t="str">
            <v>34312RPPT</v>
          </cell>
          <cell r="BA1349">
            <v>9.14</v>
          </cell>
        </row>
        <row r="1350">
          <cell r="C1350" t="str">
            <v>3904 - FIBER CEMENT SIDING/HARDI</v>
          </cell>
          <cell r="D1350" t="str">
            <v>54412RPPT</v>
          </cell>
          <cell r="BA1350">
            <v>18.78</v>
          </cell>
        </row>
        <row r="1351">
          <cell r="C1351" t="str">
            <v>3904 - FIBER CEMENT SIDING/HARDI</v>
          </cell>
          <cell r="D1351" t="str">
            <v>54612RPPT</v>
          </cell>
          <cell r="BA1351">
            <v>29.41</v>
          </cell>
        </row>
        <row r="1352">
          <cell r="C1352" t="str">
            <v>3904 - FIBER CEMENT SIDING/HARDI</v>
          </cell>
          <cell r="D1352" t="str">
            <v>54812RPPT</v>
          </cell>
          <cell r="BA1352">
            <v>38.86</v>
          </cell>
        </row>
        <row r="1353">
          <cell r="C1353" t="str">
            <v>3904 - FIBER CEMENT SIDING/HARDI</v>
          </cell>
          <cell r="D1353" t="str">
            <v>541012RPPT</v>
          </cell>
          <cell r="BA1353">
            <v>49.6</v>
          </cell>
        </row>
        <row r="1354">
          <cell r="C1354" t="str">
            <v>3904 - FIBER CEMENT SIDING/HARDI</v>
          </cell>
          <cell r="D1354" t="str">
            <v>541212RPPT</v>
          </cell>
          <cell r="BA1354">
            <v>60.35</v>
          </cell>
        </row>
        <row r="1355">
          <cell r="C1355" t="str">
            <v>3904 - FIBER CEMENT SIDING/HARDI</v>
          </cell>
          <cell r="D1355" t="str">
            <v>9NICHISHAKEPR</v>
          </cell>
          <cell r="BA1355">
            <v>33.44</v>
          </cell>
        </row>
        <row r="1356">
          <cell r="C1356" t="str">
            <v>3904 - FIBER CEMENT SIDING/HARDI</v>
          </cell>
          <cell r="D1356" t="str">
            <v>HZU1312SB</v>
          </cell>
          <cell r="BA1356">
            <v>4856.47</v>
          </cell>
        </row>
        <row r="1357">
          <cell r="C1357" t="str">
            <v>3904 - FIBER CEMENT SIDING/HARDI</v>
          </cell>
          <cell r="D1357" t="str">
            <v>HZU1312RB</v>
          </cell>
          <cell r="BA1357">
            <v>4714.12</v>
          </cell>
        </row>
        <row r="1358">
          <cell r="C1358" t="str">
            <v>3904 - FIBER CEMENT SIDING/HARDI</v>
          </cell>
          <cell r="D1358" t="str">
            <v>HZU1412RT</v>
          </cell>
          <cell r="BA1358">
            <v>4714.12</v>
          </cell>
        </row>
        <row r="1359">
          <cell r="C1359" t="str">
            <v>3904 - FIBER CEMENT SIDING/HARDI</v>
          </cell>
          <cell r="D1359" t="str">
            <v>HZU541212RT</v>
          </cell>
          <cell r="BA1359">
            <v>5130.59</v>
          </cell>
        </row>
        <row r="1360">
          <cell r="C1360" t="str">
            <v>3904 - FIBER CEMENT SIDING/HARDI</v>
          </cell>
          <cell r="D1360" t="str">
            <v>HZ548CMS</v>
          </cell>
          <cell r="BA1360">
            <v>1440</v>
          </cell>
        </row>
        <row r="1361">
          <cell r="C1361" t="str">
            <v>3904 - FIBER CEMENT SIDING/HARDI</v>
          </cell>
          <cell r="D1361" t="str">
            <v>HZ516CMSV</v>
          </cell>
          <cell r="BA1361">
            <v>1684.71</v>
          </cell>
        </row>
        <row r="1362">
          <cell r="C1362" t="str">
            <v>3904 - FIBER CEMENT SIDING/HARDI</v>
          </cell>
          <cell r="D1362" t="str">
            <v>HZ524CMSV</v>
          </cell>
          <cell r="BA1362">
            <v>1684.71</v>
          </cell>
        </row>
        <row r="1363">
          <cell r="C1363" t="str">
            <v>3904 - FIBER CEMENT SIDING/HARDI</v>
          </cell>
          <cell r="D1363" t="str">
            <v>HZ1012CMSV</v>
          </cell>
          <cell r="BA1363">
            <v>1637.65</v>
          </cell>
        </row>
        <row r="1364">
          <cell r="C1364" t="str">
            <v>3904 - FIBER CEMENT SIDING/HARDI</v>
          </cell>
          <cell r="D1364" t="str">
            <v>HZ1012SSV</v>
          </cell>
          <cell r="BA1364">
            <v>1768.24</v>
          </cell>
        </row>
        <row r="1365">
          <cell r="C1365" t="str">
            <v>3904 - FIBER CEMENT SIDING/HARDI</v>
          </cell>
          <cell r="D1365" t="str">
            <v>HZ1016CMS</v>
          </cell>
          <cell r="BA1365">
            <v>1398.82</v>
          </cell>
        </row>
        <row r="1366">
          <cell r="C1366" t="str">
            <v>3904 - FIBER CEMENT SIDING/HARDI</v>
          </cell>
          <cell r="D1366" t="str">
            <v>HZ1016CMSV</v>
          </cell>
          <cell r="BA1366">
            <v>1637.65</v>
          </cell>
        </row>
        <row r="1367">
          <cell r="C1367" t="str">
            <v>3904 - FIBER CEMENT SIDING/HARDI</v>
          </cell>
          <cell r="D1367" t="str">
            <v>HZ1016SSV</v>
          </cell>
          <cell r="BA1367">
            <v>1768.24</v>
          </cell>
        </row>
        <row r="1368">
          <cell r="C1368" t="str">
            <v>3904 - FIBER CEMENT SIDING/HARDI</v>
          </cell>
          <cell r="D1368" t="str">
            <v>HZ1024CMS</v>
          </cell>
          <cell r="BA1368">
            <v>1398.82</v>
          </cell>
        </row>
        <row r="1369">
          <cell r="C1369" t="str">
            <v>3904 - FIBER CEMENT SIDING/HARDI</v>
          </cell>
          <cell r="D1369" t="str">
            <v>HZ1024CMSV</v>
          </cell>
          <cell r="BA1369">
            <v>1637.65</v>
          </cell>
        </row>
        <row r="1370">
          <cell r="C1370" t="str">
            <v>3904 - FIBER CEMENT SIDING/HARDI</v>
          </cell>
          <cell r="D1370" t="str">
            <v>HZ1024SSV</v>
          </cell>
          <cell r="BA1370">
            <v>1768.24</v>
          </cell>
        </row>
        <row r="1371">
          <cell r="C1371" t="str">
            <v>3904 - FIBER CEMENT SIDING/HARDI</v>
          </cell>
          <cell r="D1371" t="str">
            <v>HZ1048MG</v>
          </cell>
          <cell r="BA1371">
            <v>3387.06</v>
          </cell>
        </row>
        <row r="1372">
          <cell r="C1372" t="str">
            <v>3904 - FIBER CEMENT SIDING/HARDI</v>
          </cell>
          <cell r="D1372" t="str">
            <v>HZ1048CMP</v>
          </cell>
          <cell r="BA1372">
            <v>1362.35</v>
          </cell>
        </row>
        <row r="1373">
          <cell r="C1373" t="str">
            <v>3904 - FIBER CEMENT SIDING/HARDI</v>
          </cell>
          <cell r="D1373" t="str">
            <v>HZ1049CMP</v>
          </cell>
          <cell r="BA1373">
            <v>1362.35</v>
          </cell>
        </row>
        <row r="1374">
          <cell r="C1374" t="str">
            <v>3904 - FIBER CEMENT SIDING/HARDI</v>
          </cell>
          <cell r="D1374" t="str">
            <v>HZ10410CMP</v>
          </cell>
          <cell r="BA1374">
            <v>1362.35</v>
          </cell>
        </row>
        <row r="1375">
          <cell r="C1375" t="str">
            <v>3904 - FIBER CEMENT SIDING/HARDI</v>
          </cell>
          <cell r="D1375" t="str">
            <v>HZ1048S8P</v>
          </cell>
          <cell r="BA1375">
            <v>1362.35</v>
          </cell>
        </row>
        <row r="1376">
          <cell r="C1376" t="str">
            <v>3904 - FIBER CEMENT SIDING/HARDI</v>
          </cell>
          <cell r="D1376" t="str">
            <v>HZ1048SMP</v>
          </cell>
          <cell r="BA1376">
            <v>1471.76</v>
          </cell>
        </row>
        <row r="1377">
          <cell r="C1377" t="str">
            <v>3904 - FIBER CEMENT SIDING/HARDI</v>
          </cell>
          <cell r="D1377" t="str">
            <v>HZ1049SMP</v>
          </cell>
          <cell r="BA1377">
            <v>1471.76</v>
          </cell>
        </row>
        <row r="1378">
          <cell r="C1378" t="str">
            <v>3904 - FIBER CEMENT SIDING/HARDI</v>
          </cell>
          <cell r="D1378" t="str">
            <v>HZ10410SMP</v>
          </cell>
          <cell r="BA1378">
            <v>1471.76</v>
          </cell>
        </row>
        <row r="1379">
          <cell r="C1379" t="str">
            <v>3904 - FIBER CEMENT SIDING/HARDI</v>
          </cell>
          <cell r="D1379" t="str">
            <v>HZ10514CMSP</v>
          </cell>
          <cell r="BA1379">
            <v>1349.41</v>
          </cell>
        </row>
        <row r="1380">
          <cell r="C1380" t="str">
            <v>3904 - FIBER CEMENT SIDING/HARDI</v>
          </cell>
          <cell r="D1380" t="str">
            <v>HZ10614CMSP</v>
          </cell>
          <cell r="BA1380">
            <v>1349.41</v>
          </cell>
        </row>
        <row r="1381">
          <cell r="C1381" t="str">
            <v>3904 - FIBER CEMENT SIDING/HARDI</v>
          </cell>
          <cell r="D1381" t="str">
            <v>HZ10714CMSP</v>
          </cell>
          <cell r="BA1381">
            <v>1349.41</v>
          </cell>
        </row>
        <row r="1382">
          <cell r="C1382" t="str">
            <v>3904 - FIBER CEMENT SIDING/HARDI</v>
          </cell>
          <cell r="D1382" t="str">
            <v>HZ10814CMSP</v>
          </cell>
          <cell r="BA1382">
            <v>1349.41</v>
          </cell>
        </row>
        <row r="1383">
          <cell r="C1383" t="str">
            <v>3904 - FIBER CEMENT SIDING/HARDI</v>
          </cell>
          <cell r="D1383" t="str">
            <v>HZ10914CMSP</v>
          </cell>
          <cell r="BA1383">
            <v>1349.41</v>
          </cell>
        </row>
        <row r="1384">
          <cell r="C1384" t="str">
            <v>3904 - FIBER CEMENT SIDING/HARDI</v>
          </cell>
          <cell r="D1384" t="str">
            <v>HZ1012CMSP</v>
          </cell>
          <cell r="BA1384">
            <v>1349.41</v>
          </cell>
        </row>
        <row r="1385">
          <cell r="C1385" t="str">
            <v>3904 - FIBER CEMENT SIDING/HARDI</v>
          </cell>
          <cell r="D1385" t="str">
            <v>HZ10514SMP</v>
          </cell>
          <cell r="BA1385">
            <v>1455.29</v>
          </cell>
        </row>
        <row r="1386">
          <cell r="C1386" t="str">
            <v>3904 - FIBER CEMENT SIDING/HARDI</v>
          </cell>
          <cell r="D1386" t="str">
            <v>HZ10614SMP</v>
          </cell>
          <cell r="BA1386">
            <v>1455.29</v>
          </cell>
        </row>
        <row r="1387">
          <cell r="C1387" t="str">
            <v>3904 - FIBER CEMENT SIDING/HARDI</v>
          </cell>
          <cell r="D1387" t="str">
            <v>HZ10714SMP</v>
          </cell>
          <cell r="BA1387">
            <v>1455.29</v>
          </cell>
        </row>
        <row r="1388">
          <cell r="C1388" t="str">
            <v>3904 - FIBER CEMENT SIDING/HARDI</v>
          </cell>
          <cell r="D1388" t="str">
            <v>HZ10814SMP</v>
          </cell>
          <cell r="BA1388">
            <v>1455.29</v>
          </cell>
        </row>
        <row r="1389">
          <cell r="C1389" t="str">
            <v>3904 - FIBER CEMENT SIDING/HARDI</v>
          </cell>
          <cell r="D1389" t="str">
            <v>HZ10914SMP</v>
          </cell>
          <cell r="BA1389">
            <v>1455.29</v>
          </cell>
        </row>
        <row r="1390">
          <cell r="C1390" t="str">
            <v>3904 - FIBER CEMENT SIDING/HARDI</v>
          </cell>
          <cell r="D1390" t="str">
            <v>HZ1012SMP</v>
          </cell>
          <cell r="BA1390">
            <v>1455.29</v>
          </cell>
        </row>
        <row r="1391">
          <cell r="C1391" t="str">
            <v>3904 - FIBER CEMENT SIDING/HARDI</v>
          </cell>
          <cell r="D1391" t="str">
            <v>HZ10164STEP</v>
          </cell>
          <cell r="BA1391">
            <v>1569.25</v>
          </cell>
        </row>
        <row r="1392">
          <cell r="C1392" t="str">
            <v>3904 - FIBER CEMENT SIDING/HARDI</v>
          </cell>
          <cell r="D1392" t="str">
            <v>HZ10164SEP</v>
          </cell>
          <cell r="BA1392">
            <v>1824.71</v>
          </cell>
        </row>
        <row r="1393">
          <cell r="C1393" t="str">
            <v>3904 - FIBER CEMENT SIDING/HARDI</v>
          </cell>
          <cell r="D1393" t="str">
            <v>HZ10814PVCMP</v>
          </cell>
          <cell r="BA1393">
            <v>823.61</v>
          </cell>
        </row>
        <row r="1394">
          <cell r="C1394" t="str">
            <v>3904 - FIBER CEMENT SIDING/HARDI</v>
          </cell>
          <cell r="D1394" t="str">
            <v>H9000578</v>
          </cell>
          <cell r="BA1394">
            <v>21.99</v>
          </cell>
        </row>
        <row r="1395">
          <cell r="C1395" t="str">
            <v>3904 - FIBER CEMENT SIDING/HARDI</v>
          </cell>
          <cell r="D1395" t="str">
            <v>HZ105881412AVGS</v>
          </cell>
          <cell r="BA1395">
            <v>6304.71</v>
          </cell>
        </row>
        <row r="1396">
          <cell r="C1396" t="str">
            <v>3904 - FIBER CEMENT SIDING/HARDI</v>
          </cell>
          <cell r="D1396" t="str">
            <v>HZ10581012ARSCH</v>
          </cell>
          <cell r="BA1396">
            <v>6684.71</v>
          </cell>
        </row>
        <row r="1397">
          <cell r="C1397" t="str">
            <v>3904 - FIBER CEMENT SIDING/HARDI</v>
          </cell>
          <cell r="D1397" t="str">
            <v>PPG2212ISC</v>
          </cell>
          <cell r="BA1397">
            <v>21.76</v>
          </cell>
        </row>
        <row r="1398">
          <cell r="C1398" t="str">
            <v>3904 - FIBER CEMENT SIDING/HARDI</v>
          </cell>
          <cell r="D1398" t="str">
            <v>HZ10814CMCEMPLK</v>
          </cell>
          <cell r="BA1398">
            <v>1046.04</v>
          </cell>
        </row>
        <row r="1399">
          <cell r="C1399" t="str">
            <v>3904 - FIBER CEMENT SIDING/HARDI</v>
          </cell>
          <cell r="D1399" t="str">
            <v>HZ10410AFSP</v>
          </cell>
          <cell r="BA1399">
            <v>1601.18</v>
          </cell>
        </row>
        <row r="1400">
          <cell r="C1400" t="str">
            <v>3904 - FIBER CEMENT SIDING/HARDI</v>
          </cell>
          <cell r="D1400" t="str">
            <v>HZU11212ST</v>
          </cell>
          <cell r="BA1400">
            <v>4856.47</v>
          </cell>
        </row>
        <row r="1401">
          <cell r="C1401" t="str">
            <v>3904 - FIBER CEMENT SIDING/HARDI</v>
          </cell>
          <cell r="D1401" t="str">
            <v>HZU1812ST</v>
          </cell>
          <cell r="BA1401">
            <v>4856.47</v>
          </cell>
        </row>
        <row r="1402">
          <cell r="C1402" t="str">
            <v>3904 - FIBER CEMENT SIDING/HARDI</v>
          </cell>
          <cell r="D1402" t="str">
            <v>HZ10410AFSPGR16</v>
          </cell>
          <cell r="BA1402">
            <v>1601.18</v>
          </cell>
        </row>
        <row r="1403">
          <cell r="C1403" t="str">
            <v>3904 - FIBER CEMENT SIDING/HARDI</v>
          </cell>
          <cell r="D1403" t="str">
            <v>HZ1048AFSP</v>
          </cell>
          <cell r="BA1403">
            <v>1601.18</v>
          </cell>
        </row>
        <row r="1404">
          <cell r="C1404" t="str">
            <v>3904 - FIBER CEMENT SIDING/HARDI</v>
          </cell>
          <cell r="D1404" t="str">
            <v>HZ10412AFSP</v>
          </cell>
          <cell r="BA1404">
            <v>1601.18</v>
          </cell>
        </row>
        <row r="1405">
          <cell r="C1405" t="str">
            <v>3904 - FIBER CEMENT SIDING/HARDI</v>
          </cell>
          <cell r="D1405" t="str">
            <v>HZU1612RT</v>
          </cell>
          <cell r="BA1405">
            <v>4714.12</v>
          </cell>
        </row>
        <row r="1406">
          <cell r="C1406" t="str">
            <v>3904 - FIBER CEMENT SIDING/HARDI</v>
          </cell>
          <cell r="D1406" t="str">
            <v>HZU1812RT</v>
          </cell>
          <cell r="BA1406">
            <v>4714.12</v>
          </cell>
        </row>
        <row r="1407">
          <cell r="C1407" t="str">
            <v>3904 - FIBER CEMENT SIDING/HARDI</v>
          </cell>
          <cell r="D1407" t="str">
            <v>HZU11012RT</v>
          </cell>
          <cell r="BA1407">
            <v>4714.12</v>
          </cell>
        </row>
        <row r="1408">
          <cell r="C1408" t="str">
            <v>3904 - FIBER CEMENT SIDING/HARDI</v>
          </cell>
          <cell r="D1408" t="str">
            <v>HZU11212RT</v>
          </cell>
          <cell r="BA1408">
            <v>4714.12</v>
          </cell>
        </row>
        <row r="1409">
          <cell r="C1409" t="str">
            <v>3904 - FIBER CEMENT SIDING/HARDI</v>
          </cell>
          <cell r="D1409" t="str">
            <v>HZU54412RT</v>
          </cell>
          <cell r="BA1409">
            <v>5130.59</v>
          </cell>
        </row>
        <row r="1410">
          <cell r="C1410" t="str">
            <v>3904 - FIBER CEMENT SIDING/HARDI</v>
          </cell>
          <cell r="D1410" t="str">
            <v>HZU54612RT</v>
          </cell>
          <cell r="BA1410">
            <v>5130.59</v>
          </cell>
        </row>
        <row r="1411">
          <cell r="C1411" t="str">
            <v>3904 - FIBER CEMENT SIDING/HARDI</v>
          </cell>
          <cell r="D1411" t="str">
            <v>HZU541012RT</v>
          </cell>
          <cell r="BA1411">
            <v>5130.59</v>
          </cell>
        </row>
        <row r="1412">
          <cell r="C1412" t="str">
            <v>3904 - FIBER CEMENT SIDING/HARDI</v>
          </cell>
          <cell r="D1412" t="str">
            <v>HZU54812RT</v>
          </cell>
          <cell r="BA1412">
            <v>5130.59</v>
          </cell>
        </row>
        <row r="1413">
          <cell r="C1413" t="str">
            <v>3904 - FIBER CEMENT SIDING/HARDI</v>
          </cell>
          <cell r="D1413" t="str">
            <v>HZU1412ST</v>
          </cell>
          <cell r="BA1413">
            <v>4856.47</v>
          </cell>
        </row>
        <row r="1414">
          <cell r="C1414" t="str">
            <v>3904 - FIBER CEMENT SIDING/HARDI</v>
          </cell>
          <cell r="D1414" t="str">
            <v>HZ5NT3541212ST</v>
          </cell>
          <cell r="BA1414">
            <v>5284.71</v>
          </cell>
        </row>
        <row r="1415">
          <cell r="C1415" t="str">
            <v>3904 - FIBER CEMENT SIDING/HARDI</v>
          </cell>
          <cell r="D1415" t="str">
            <v>HZU1612ST</v>
          </cell>
          <cell r="BA1415">
            <v>4856.47</v>
          </cell>
        </row>
        <row r="1416">
          <cell r="C1416" t="str">
            <v>3904 - FIBER CEMENT SIDING/HARDI</v>
          </cell>
          <cell r="D1416" t="str">
            <v>HZU54412ST</v>
          </cell>
          <cell r="BA1416">
            <v>5284.71</v>
          </cell>
        </row>
        <row r="1417">
          <cell r="C1417" t="str">
            <v>3904 - FIBER CEMENT SIDING/HARDI</v>
          </cell>
          <cell r="D1417" t="str">
            <v>HZU54612ST</v>
          </cell>
          <cell r="BA1417">
            <v>5284.71</v>
          </cell>
        </row>
        <row r="1418">
          <cell r="C1418" t="str">
            <v>3904 - FIBER CEMENT SIDING/HARDI</v>
          </cell>
          <cell r="D1418" t="str">
            <v>HZU54812ST</v>
          </cell>
          <cell r="BA1418">
            <v>5284.71</v>
          </cell>
        </row>
        <row r="1419">
          <cell r="C1419" t="str">
            <v>3904 - FIBER CEMENT SIDING/HARDI</v>
          </cell>
          <cell r="D1419" t="str">
            <v>HZU541012ST</v>
          </cell>
          <cell r="BA1419">
            <v>5284.71</v>
          </cell>
        </row>
        <row r="1420">
          <cell r="C1420" t="str">
            <v>3905 - HARDBOARD SIDINGS</v>
          </cell>
          <cell r="D1420" t="str">
            <v>716816SSTX</v>
          </cell>
          <cell r="BA1420">
            <v>1764.71</v>
          </cell>
        </row>
        <row r="1421">
          <cell r="C1421" t="str">
            <v>3905 - HARDBOARD SIDINGS</v>
          </cell>
          <cell r="D1421" t="str">
            <v>SS386CLS</v>
          </cell>
          <cell r="BA1421">
            <v>1317.65</v>
          </cell>
        </row>
        <row r="1422">
          <cell r="C1422" t="str">
            <v>3905 - HARDBOARD SIDINGS</v>
          </cell>
          <cell r="D1422" t="str">
            <v>SS388CLS</v>
          </cell>
          <cell r="BA1422">
            <v>1194.1199999999999</v>
          </cell>
        </row>
        <row r="1423">
          <cell r="C1423" t="str">
            <v>3905 - HARDBOARD SIDINGS</v>
          </cell>
          <cell r="D1423" t="str">
            <v>SS3812CLS</v>
          </cell>
          <cell r="BA1423">
            <v>1352.94</v>
          </cell>
        </row>
        <row r="1424">
          <cell r="C1424" t="str">
            <v>3905 - HARDBOARD SIDINGS</v>
          </cell>
          <cell r="D1424" t="str">
            <v>SS7612CLS</v>
          </cell>
          <cell r="BA1424">
            <v>1847.06</v>
          </cell>
        </row>
        <row r="1425">
          <cell r="C1425" t="str">
            <v>3905 - HARDBOARD SIDINGS</v>
          </cell>
          <cell r="D1425" t="str">
            <v>SF766CLS</v>
          </cell>
          <cell r="BA1425">
            <v>1264.71</v>
          </cell>
        </row>
        <row r="1426">
          <cell r="C1426" t="str">
            <v>3905 - HARDBOARD SIDINGS</v>
          </cell>
          <cell r="D1426" t="str">
            <v>SF768CLS</v>
          </cell>
          <cell r="BA1426">
            <v>1764.71</v>
          </cell>
        </row>
        <row r="1427">
          <cell r="C1427" t="str">
            <v>3905 - HARDBOARD SIDINGS</v>
          </cell>
          <cell r="D1427" t="str">
            <v>SF12SHAKE</v>
          </cell>
          <cell r="BA1427">
            <v>2632.35</v>
          </cell>
        </row>
        <row r="1428">
          <cell r="C1428" t="str">
            <v>3905 - HARDBOARD SIDINGS</v>
          </cell>
          <cell r="D1428" t="str">
            <v>SS3848CP8</v>
          </cell>
          <cell r="BA1428">
            <v>1394.12</v>
          </cell>
        </row>
        <row r="1429">
          <cell r="C1429" t="str">
            <v>3905 - HARDBOARD SIDINGS</v>
          </cell>
          <cell r="D1429" t="str">
            <v>SS7648CP4</v>
          </cell>
          <cell r="BA1429">
            <v>1864.71</v>
          </cell>
        </row>
        <row r="1430">
          <cell r="C1430" t="str">
            <v>3905 - HARDBOARD SIDINGS</v>
          </cell>
          <cell r="D1430" t="str">
            <v>SS7649CP4</v>
          </cell>
          <cell r="BA1430">
            <v>2135.29</v>
          </cell>
        </row>
        <row r="1431">
          <cell r="C1431" t="str">
            <v>3905 - HARDBOARD SIDINGS</v>
          </cell>
          <cell r="D1431" t="str">
            <v>SS76410CP4</v>
          </cell>
          <cell r="BA1431">
            <v>2672.94</v>
          </cell>
        </row>
        <row r="1432">
          <cell r="C1432" t="str">
            <v>3905 - HARDBOARD SIDINGS</v>
          </cell>
          <cell r="D1432" t="str">
            <v>SS7648CP8</v>
          </cell>
          <cell r="BA1432">
            <v>1864.71</v>
          </cell>
        </row>
        <row r="1433">
          <cell r="C1433" t="str">
            <v>3905 - HARDBOARD SIDINGS</v>
          </cell>
          <cell r="D1433" t="str">
            <v>SS7649CP8</v>
          </cell>
          <cell r="BA1433">
            <v>2335.29</v>
          </cell>
        </row>
        <row r="1434">
          <cell r="C1434" t="str">
            <v>3905 - HARDBOARD SIDINGS</v>
          </cell>
          <cell r="D1434" t="str">
            <v>SS76410CP8</v>
          </cell>
          <cell r="BA1434">
            <v>2217.65</v>
          </cell>
        </row>
        <row r="1435">
          <cell r="C1435" t="str">
            <v>3905 - HARDBOARD SIDINGS</v>
          </cell>
          <cell r="D1435" t="str">
            <v>SS7648CP</v>
          </cell>
          <cell r="BA1435">
            <v>1864.71</v>
          </cell>
        </row>
        <row r="1436">
          <cell r="C1436" t="str">
            <v>3905 - HARDBOARD SIDINGS</v>
          </cell>
          <cell r="D1436" t="str">
            <v>SS76410CP</v>
          </cell>
          <cell r="BA1436">
            <v>2176.4699999999998</v>
          </cell>
        </row>
        <row r="1437">
          <cell r="C1437" t="str">
            <v>3905 - HARDBOARD SIDINGS</v>
          </cell>
          <cell r="D1437" t="str">
            <v>SS7648CS</v>
          </cell>
          <cell r="BA1437">
            <v>1758.82</v>
          </cell>
        </row>
        <row r="1438">
          <cell r="C1438" t="str">
            <v>3905 - HARDBOARD SIDINGS</v>
          </cell>
          <cell r="D1438" t="str">
            <v>SS3812CSS</v>
          </cell>
          <cell r="BA1438">
            <v>2182.35</v>
          </cell>
        </row>
        <row r="1439">
          <cell r="C1439" t="str">
            <v>3905 - HARDBOARD SIDINGS</v>
          </cell>
          <cell r="D1439" t="str">
            <v>SS3816CSS</v>
          </cell>
          <cell r="BA1439">
            <v>2158.8200000000002</v>
          </cell>
        </row>
        <row r="1440">
          <cell r="C1440" t="str">
            <v>3905 - HARDBOARD SIDINGS</v>
          </cell>
          <cell r="D1440" t="str">
            <v>SS3824CSS</v>
          </cell>
          <cell r="BA1440">
            <v>2200</v>
          </cell>
        </row>
        <row r="1441">
          <cell r="C1441" t="str">
            <v>3905 - HARDBOARD SIDINGS</v>
          </cell>
          <cell r="D1441" t="str">
            <v>SS7612CSS</v>
          </cell>
          <cell r="BA1441">
            <v>2095.29</v>
          </cell>
        </row>
        <row r="1442">
          <cell r="C1442" t="str">
            <v>3906 - MISC. SIDINGS</v>
          </cell>
          <cell r="D1442" t="str">
            <v>DD21016P</v>
          </cell>
          <cell r="BA1442">
            <v>24.27</v>
          </cell>
        </row>
        <row r="1443">
          <cell r="C1443" t="str">
            <v>3906 - MISC. SIDINGS</v>
          </cell>
          <cell r="D1443" t="str">
            <v>DDRBP</v>
          </cell>
          <cell r="BA1443">
            <v>12.65</v>
          </cell>
        </row>
        <row r="1444">
          <cell r="C1444" t="str">
            <v>3906 - MISC. SIDINGS</v>
          </cell>
          <cell r="D1444" t="str">
            <v>DDHBBLP</v>
          </cell>
          <cell r="BA1444">
            <v>7.35</v>
          </cell>
        </row>
        <row r="1445">
          <cell r="C1445" t="str">
            <v>3906 - MISC. SIDINGS</v>
          </cell>
          <cell r="D1445" t="str">
            <v>DDLBM</v>
          </cell>
          <cell r="BA1445">
            <v>15.81</v>
          </cell>
        </row>
        <row r="1446">
          <cell r="C1446" t="str">
            <v>3906 - MISC. SIDINGS</v>
          </cell>
          <cell r="D1446" t="str">
            <v>DDLB11P</v>
          </cell>
          <cell r="BA1446">
            <v>13.6</v>
          </cell>
        </row>
        <row r="1447">
          <cell r="C1447" t="str">
            <v>3906 - MISC. SIDINGS</v>
          </cell>
          <cell r="D1447" t="str">
            <v>DDLBMPNH</v>
          </cell>
          <cell r="BA1447">
            <v>11.92</v>
          </cell>
        </row>
        <row r="1448">
          <cell r="C1448" t="str">
            <v>3906 - MISC. SIDINGS</v>
          </cell>
          <cell r="D1448" t="str">
            <v>DDHBB</v>
          </cell>
          <cell r="BA1448">
            <v>6.04</v>
          </cell>
        </row>
        <row r="1449">
          <cell r="C1449" t="str">
            <v>3906 - MISC. SIDINGS</v>
          </cell>
          <cell r="D1449" t="str">
            <v>DDHBBP</v>
          </cell>
          <cell r="BA1449">
            <v>5.59</v>
          </cell>
        </row>
        <row r="1450">
          <cell r="C1450" t="str">
            <v>3906 - MISC. SIDINGS</v>
          </cell>
          <cell r="D1450" t="str">
            <v>DDRBS</v>
          </cell>
          <cell r="BA1450">
            <v>9.41</v>
          </cell>
        </row>
        <row r="1451">
          <cell r="C1451" t="str">
            <v>3906 - MISC. SIDINGS</v>
          </cell>
          <cell r="D1451" t="str">
            <v>DDRBSP</v>
          </cell>
          <cell r="BA1451">
            <v>9.19</v>
          </cell>
        </row>
        <row r="1452">
          <cell r="C1452" t="str">
            <v>3906 - MISC. SIDINGS</v>
          </cell>
          <cell r="D1452" t="str">
            <v>DDLBSM</v>
          </cell>
          <cell r="BA1452">
            <v>11.76</v>
          </cell>
        </row>
        <row r="1453">
          <cell r="C1453" t="str">
            <v>3906 - MISC. SIDINGS</v>
          </cell>
          <cell r="D1453" t="str">
            <v>VBL6PVC</v>
          </cell>
          <cell r="BA1453">
            <v>10</v>
          </cell>
        </row>
        <row r="1454">
          <cell r="C1454" t="str">
            <v>3906 - MISC. SIDINGS</v>
          </cell>
          <cell r="D1454" t="str">
            <v>DDLBSMP</v>
          </cell>
          <cell r="BA1454">
            <v>8.82</v>
          </cell>
        </row>
        <row r="1455">
          <cell r="C1455" t="str">
            <v>3906 - MISC. SIDINGS</v>
          </cell>
          <cell r="D1455" t="str">
            <v>DDLBMP</v>
          </cell>
          <cell r="BA1455">
            <v>11.92</v>
          </cell>
        </row>
        <row r="1456">
          <cell r="C1456" t="str">
            <v>3906 - MISC. SIDINGS</v>
          </cell>
          <cell r="D1456" t="str">
            <v>DDLLBP</v>
          </cell>
          <cell r="BA1456">
            <v>15.45</v>
          </cell>
        </row>
        <row r="1457">
          <cell r="C1457" t="str">
            <v>3906 - MISC. SIDINGS</v>
          </cell>
          <cell r="D1457" t="str">
            <v>6SMOC</v>
          </cell>
          <cell r="BA1457">
            <v>0.41</v>
          </cell>
        </row>
        <row r="1458">
          <cell r="C1458" t="str">
            <v>3906 - MISC. SIDINGS</v>
          </cell>
          <cell r="D1458" t="str">
            <v>914FCSMOC</v>
          </cell>
          <cell r="BA1458">
            <v>0.78</v>
          </cell>
        </row>
        <row r="1459">
          <cell r="C1459" t="str">
            <v>3906 - MISC. SIDINGS</v>
          </cell>
          <cell r="D1459" t="str">
            <v>514FCSMOC</v>
          </cell>
          <cell r="BA1459">
            <v>0.68</v>
          </cell>
        </row>
        <row r="1460">
          <cell r="C1460" t="str">
            <v>3906 - MISC. SIDINGS</v>
          </cell>
          <cell r="D1460" t="str">
            <v>814FCTXOC</v>
          </cell>
          <cell r="BA1460">
            <v>0.09</v>
          </cell>
        </row>
        <row r="1461">
          <cell r="C1461" t="str">
            <v>3906 - MISC. SIDINGS</v>
          </cell>
          <cell r="D1461" t="str">
            <v>614FCTXOC</v>
          </cell>
          <cell r="BA1461">
            <v>0.65</v>
          </cell>
        </row>
        <row r="1462">
          <cell r="C1462" t="str">
            <v>3906 - MISC. SIDINGS</v>
          </cell>
          <cell r="D1462" t="str">
            <v>SHAKEREB1</v>
          </cell>
          <cell r="BA1462">
            <v>470.59</v>
          </cell>
        </row>
        <row r="1463">
          <cell r="C1463" t="str">
            <v>3906 - MISC. SIDINGS</v>
          </cell>
          <cell r="D1463" t="str">
            <v>AH70008</v>
          </cell>
          <cell r="BA1463">
            <v>38.15</v>
          </cell>
        </row>
        <row r="1464">
          <cell r="C1464" t="str">
            <v>3906 - MISC. SIDINGS</v>
          </cell>
          <cell r="D1464" t="str">
            <v>AH68308</v>
          </cell>
          <cell r="BA1464">
            <v>10.61</v>
          </cell>
        </row>
        <row r="1465">
          <cell r="C1465" t="str">
            <v>3906 - MISC. SIDINGS</v>
          </cell>
          <cell r="D1465" t="str">
            <v>JMH51610</v>
          </cell>
          <cell r="BA1465">
            <v>15.27</v>
          </cell>
        </row>
        <row r="1466">
          <cell r="C1466" t="str">
            <v>3906 - MISC. SIDINGS</v>
          </cell>
          <cell r="D1466" t="str">
            <v>XZS5168PC</v>
          </cell>
          <cell r="BA1466">
            <v>9.6199999999999992</v>
          </cell>
        </row>
        <row r="1467">
          <cell r="C1467" t="str">
            <v>4001 - SPRUCE BOARDS</v>
          </cell>
          <cell r="D1467" t="str">
            <v>1210S2</v>
          </cell>
          <cell r="BA1467">
            <v>958.82</v>
          </cell>
        </row>
        <row r="1468">
          <cell r="C1468" t="str">
            <v>4001 - SPRUCE BOARDS</v>
          </cell>
          <cell r="D1468" t="str">
            <v>1212S2</v>
          </cell>
          <cell r="BA1468">
            <v>958.82</v>
          </cell>
        </row>
        <row r="1469">
          <cell r="C1469" t="str">
            <v>4001 - SPRUCE BOARDS</v>
          </cell>
          <cell r="D1469" t="str">
            <v>1210WWP</v>
          </cell>
          <cell r="BA1469">
            <v>2664.71</v>
          </cell>
        </row>
        <row r="1470">
          <cell r="C1470" t="str">
            <v>4001 - SPRUCE BOARDS</v>
          </cell>
          <cell r="D1470" t="str">
            <v>1216WWP</v>
          </cell>
          <cell r="BA1470">
            <v>2664.71</v>
          </cell>
        </row>
        <row r="1471">
          <cell r="C1471" t="str">
            <v>4001 - SPRUCE BOARDS</v>
          </cell>
          <cell r="D1471" t="str">
            <v>1220WWP</v>
          </cell>
          <cell r="BA1471">
            <v>2664.71</v>
          </cell>
        </row>
        <row r="1472">
          <cell r="C1472" t="str">
            <v>4001 - SPRUCE BOARDS</v>
          </cell>
          <cell r="D1472" t="str">
            <v>1310WWP</v>
          </cell>
          <cell r="BA1472">
            <v>2460</v>
          </cell>
        </row>
        <row r="1473">
          <cell r="C1473" t="str">
            <v>4001 - SPRUCE BOARDS</v>
          </cell>
          <cell r="D1473" t="str">
            <v>1316WWP</v>
          </cell>
          <cell r="BA1473">
            <v>2460</v>
          </cell>
        </row>
        <row r="1474">
          <cell r="C1474" t="str">
            <v>4001 - SPRUCE BOARDS</v>
          </cell>
          <cell r="D1474" t="str">
            <v>1320WWP</v>
          </cell>
          <cell r="BA1474">
            <v>2460</v>
          </cell>
        </row>
        <row r="1475">
          <cell r="C1475" t="str">
            <v>4001 - SPRUCE BOARDS</v>
          </cell>
          <cell r="D1475" t="str">
            <v>1410WWP</v>
          </cell>
          <cell r="BA1475">
            <v>2448.2399999999998</v>
          </cell>
        </row>
        <row r="1476">
          <cell r="C1476" t="str">
            <v>4001 - SPRUCE BOARDS</v>
          </cell>
          <cell r="D1476" t="str">
            <v>1412WWP</v>
          </cell>
          <cell r="BA1476">
            <v>2448.2399999999998</v>
          </cell>
        </row>
        <row r="1477">
          <cell r="C1477" t="str">
            <v>4001 - SPRUCE BOARDS</v>
          </cell>
          <cell r="D1477" t="str">
            <v>1416WWP</v>
          </cell>
          <cell r="BA1477">
            <v>2448.2399999999998</v>
          </cell>
        </row>
        <row r="1478">
          <cell r="C1478" t="str">
            <v>4001 - SPRUCE BOARDS</v>
          </cell>
          <cell r="D1478" t="str">
            <v>1420WWP</v>
          </cell>
          <cell r="BA1478">
            <v>2448.2399999999998</v>
          </cell>
        </row>
        <row r="1479">
          <cell r="C1479" t="str">
            <v>4001 - SPRUCE BOARDS</v>
          </cell>
          <cell r="D1479" t="str">
            <v>1610WWP</v>
          </cell>
          <cell r="BA1479">
            <v>2465.88</v>
          </cell>
        </row>
        <row r="1480">
          <cell r="C1480" t="str">
            <v>4001 - SPRUCE BOARDS</v>
          </cell>
          <cell r="D1480" t="str">
            <v>1616WWP</v>
          </cell>
          <cell r="BA1480">
            <v>2465.88</v>
          </cell>
        </row>
        <row r="1481">
          <cell r="C1481" t="str">
            <v>4001 - SPRUCE BOARDS</v>
          </cell>
          <cell r="D1481" t="str">
            <v>1620WWP</v>
          </cell>
          <cell r="BA1481">
            <v>2465.88</v>
          </cell>
        </row>
        <row r="1482">
          <cell r="C1482" t="str">
            <v>4001 - SPRUCE BOARDS</v>
          </cell>
          <cell r="D1482" t="str">
            <v>1816WWP</v>
          </cell>
          <cell r="BA1482">
            <v>2403.5300000000002</v>
          </cell>
        </row>
        <row r="1483">
          <cell r="C1483" t="str">
            <v>4001 - SPRUCE BOARDS</v>
          </cell>
          <cell r="D1483" t="str">
            <v>1820WWP</v>
          </cell>
          <cell r="BA1483">
            <v>2403.5300000000002</v>
          </cell>
        </row>
        <row r="1484">
          <cell r="C1484" t="str">
            <v>4001 - SPRUCE BOARDS</v>
          </cell>
          <cell r="D1484" t="str">
            <v>11016WWP</v>
          </cell>
          <cell r="BA1484">
            <v>2402.35</v>
          </cell>
        </row>
        <row r="1485">
          <cell r="C1485" t="str">
            <v>4001 - SPRUCE BOARDS</v>
          </cell>
          <cell r="D1485" t="str">
            <v>11216WWP</v>
          </cell>
          <cell r="BA1485">
            <v>2707.06</v>
          </cell>
        </row>
        <row r="1486">
          <cell r="C1486" t="str">
            <v>4001 - SPRUCE BOARDS</v>
          </cell>
          <cell r="D1486" t="str">
            <v>54320WWP</v>
          </cell>
          <cell r="BA1486">
            <v>2343.5300000000002</v>
          </cell>
        </row>
        <row r="1487">
          <cell r="C1487" t="str">
            <v>4001 - SPRUCE BOARDS</v>
          </cell>
          <cell r="D1487" t="str">
            <v>54410WWP</v>
          </cell>
          <cell r="BA1487">
            <v>2151.7600000000002</v>
          </cell>
        </row>
        <row r="1488">
          <cell r="C1488" t="str">
            <v>4001 - SPRUCE BOARDS</v>
          </cell>
          <cell r="D1488" t="str">
            <v>54416WWP</v>
          </cell>
          <cell r="BA1488">
            <v>2151.7600000000002</v>
          </cell>
        </row>
        <row r="1489">
          <cell r="C1489" t="str">
            <v>4001 - SPRUCE BOARDS</v>
          </cell>
          <cell r="D1489" t="str">
            <v>54420WWP</v>
          </cell>
          <cell r="BA1489">
            <v>2151.7600000000002</v>
          </cell>
        </row>
        <row r="1490">
          <cell r="C1490" t="str">
            <v>4001 - SPRUCE BOARDS</v>
          </cell>
          <cell r="D1490" t="str">
            <v>54612WWP</v>
          </cell>
          <cell r="BA1490">
            <v>2140</v>
          </cell>
        </row>
        <row r="1491">
          <cell r="C1491" t="str">
            <v>4001 - SPRUCE BOARDS</v>
          </cell>
          <cell r="D1491" t="str">
            <v>54616WWP</v>
          </cell>
          <cell r="BA1491">
            <v>2140</v>
          </cell>
        </row>
        <row r="1492">
          <cell r="C1492" t="str">
            <v>4001 - SPRUCE BOARDS</v>
          </cell>
          <cell r="D1492" t="str">
            <v>54620WWP</v>
          </cell>
          <cell r="BA1492">
            <v>2140</v>
          </cell>
        </row>
        <row r="1493">
          <cell r="C1493" t="str">
            <v>4001 - SPRUCE BOARDS</v>
          </cell>
          <cell r="D1493" t="str">
            <v>54816WWP</v>
          </cell>
          <cell r="BA1493">
            <v>2372.94</v>
          </cell>
        </row>
        <row r="1494">
          <cell r="C1494" t="str">
            <v>4001 - SPRUCE BOARDS</v>
          </cell>
          <cell r="D1494" t="str">
            <v>54820WWP</v>
          </cell>
          <cell r="BA1494">
            <v>2372.94</v>
          </cell>
        </row>
        <row r="1495">
          <cell r="C1495" t="str">
            <v>4001 - SPRUCE BOARDS</v>
          </cell>
          <cell r="D1495" t="str">
            <v>541016WWP</v>
          </cell>
          <cell r="BA1495">
            <v>2536.4699999999998</v>
          </cell>
        </row>
        <row r="1496">
          <cell r="C1496" t="str">
            <v>4001 - SPRUCE BOARDS</v>
          </cell>
          <cell r="D1496" t="str">
            <v>541020WWP</v>
          </cell>
          <cell r="BA1496">
            <v>2536.4699999999998</v>
          </cell>
        </row>
        <row r="1497">
          <cell r="C1497" t="str">
            <v>4001 - SPRUCE BOARDS</v>
          </cell>
          <cell r="D1497" t="str">
            <v>541216WWP</v>
          </cell>
          <cell r="BA1497">
            <v>2976.47</v>
          </cell>
        </row>
        <row r="1498">
          <cell r="C1498" t="str">
            <v>4001 - SPRUCE BOARDS</v>
          </cell>
          <cell r="D1498" t="str">
            <v>541220WWP</v>
          </cell>
          <cell r="BA1498">
            <v>2976.47</v>
          </cell>
        </row>
        <row r="1499">
          <cell r="C1499" t="str">
            <v>4001 - SPRUCE BOARDS</v>
          </cell>
          <cell r="D1499" t="str">
            <v>148COMP</v>
          </cell>
          <cell r="BA1499">
            <v>1747.11</v>
          </cell>
        </row>
        <row r="1500">
          <cell r="C1500" t="str">
            <v>4001 - SPRUCE BOARDS</v>
          </cell>
          <cell r="D1500" t="str">
            <v>1410COMP</v>
          </cell>
          <cell r="BA1500">
            <v>1550.62</v>
          </cell>
        </row>
        <row r="1501">
          <cell r="C1501" t="str">
            <v>4001 - SPRUCE BOARDS</v>
          </cell>
          <cell r="D1501" t="str">
            <v>1412COMP</v>
          </cell>
          <cell r="BA1501">
            <v>1664.71</v>
          </cell>
        </row>
        <row r="1502">
          <cell r="C1502" t="str">
            <v>4001 - SPRUCE BOARDS</v>
          </cell>
          <cell r="D1502" t="str">
            <v>1416COMP</v>
          </cell>
          <cell r="BA1502">
            <v>1994.12</v>
          </cell>
        </row>
        <row r="1503">
          <cell r="C1503" t="str">
            <v>4001 - SPRUCE BOARDS</v>
          </cell>
          <cell r="D1503" t="str">
            <v>168COMP</v>
          </cell>
          <cell r="BA1503">
            <v>1871.68</v>
          </cell>
        </row>
        <row r="1504">
          <cell r="C1504" t="str">
            <v>4001 - SPRUCE BOARDS</v>
          </cell>
          <cell r="D1504" t="str">
            <v>1610COMP</v>
          </cell>
          <cell r="BA1504">
            <v>1877.78</v>
          </cell>
        </row>
        <row r="1505">
          <cell r="C1505" t="str">
            <v>4001 - SPRUCE BOARDS</v>
          </cell>
          <cell r="D1505" t="str">
            <v>1612COMP</v>
          </cell>
          <cell r="BA1505">
            <v>2000</v>
          </cell>
        </row>
        <row r="1506">
          <cell r="C1506" t="str">
            <v>4001 - SPRUCE BOARDS</v>
          </cell>
          <cell r="D1506" t="str">
            <v>1616COMP</v>
          </cell>
          <cell r="BA1506">
            <v>2288.2399999999998</v>
          </cell>
        </row>
        <row r="1507">
          <cell r="C1507" t="str">
            <v>4001 - SPRUCE BOARDS</v>
          </cell>
          <cell r="D1507" t="str">
            <v>188COMP</v>
          </cell>
          <cell r="BA1507">
            <v>1874.43</v>
          </cell>
        </row>
        <row r="1508">
          <cell r="C1508" t="str">
            <v>4001 - SPRUCE BOARDS</v>
          </cell>
          <cell r="D1508" t="str">
            <v>1810COMP</v>
          </cell>
          <cell r="BA1508">
            <v>2047.06</v>
          </cell>
        </row>
        <row r="1509">
          <cell r="C1509" t="str">
            <v>4001 - SPRUCE BOARDS</v>
          </cell>
          <cell r="D1509" t="str">
            <v>1812COMP</v>
          </cell>
          <cell r="BA1509">
            <v>1678.77</v>
          </cell>
        </row>
        <row r="1510">
          <cell r="C1510" t="str">
            <v>4001 - SPRUCE BOARDS</v>
          </cell>
          <cell r="D1510" t="str">
            <v>1816COMP</v>
          </cell>
          <cell r="BA1510">
            <v>1982.35</v>
          </cell>
        </row>
        <row r="1511">
          <cell r="C1511" t="str">
            <v>4001 - SPRUCE BOARDS</v>
          </cell>
          <cell r="D1511" t="str">
            <v>1108COMP</v>
          </cell>
          <cell r="BA1511">
            <v>1965.49</v>
          </cell>
        </row>
        <row r="1512">
          <cell r="C1512" t="str">
            <v>4001 - SPRUCE BOARDS</v>
          </cell>
          <cell r="D1512" t="str">
            <v>11010COMP</v>
          </cell>
          <cell r="BA1512">
            <v>1535.29</v>
          </cell>
        </row>
        <row r="1513">
          <cell r="C1513" t="str">
            <v>4001 - SPRUCE BOARDS</v>
          </cell>
          <cell r="D1513" t="str">
            <v>11012COMP</v>
          </cell>
          <cell r="BA1513">
            <v>1833.92</v>
          </cell>
        </row>
        <row r="1514">
          <cell r="C1514" t="str">
            <v>4001 - SPRUCE BOARDS</v>
          </cell>
          <cell r="D1514" t="str">
            <v>11016COMP</v>
          </cell>
          <cell r="BA1514">
            <v>1803.06</v>
          </cell>
        </row>
        <row r="1515">
          <cell r="C1515" t="str">
            <v>4001 - SPRUCE BOARDS</v>
          </cell>
          <cell r="D1515" t="str">
            <v>1128COMP</v>
          </cell>
          <cell r="BA1515">
            <v>2530.0700000000002</v>
          </cell>
        </row>
        <row r="1516">
          <cell r="C1516" t="str">
            <v>4001 - SPRUCE BOARDS</v>
          </cell>
          <cell r="D1516" t="str">
            <v>11210COMP</v>
          </cell>
          <cell r="BA1516">
            <v>2330.69</v>
          </cell>
        </row>
        <row r="1517">
          <cell r="C1517" t="str">
            <v>4001 - SPRUCE BOARDS</v>
          </cell>
          <cell r="D1517" t="str">
            <v>11212COMP</v>
          </cell>
          <cell r="BA1517">
            <v>2184.73</v>
          </cell>
        </row>
        <row r="1518">
          <cell r="C1518" t="str">
            <v>4001 - SPRUCE BOARDS</v>
          </cell>
          <cell r="D1518" t="str">
            <v>11216COMP</v>
          </cell>
          <cell r="BA1518">
            <v>2640.99</v>
          </cell>
        </row>
        <row r="1519">
          <cell r="C1519" t="str">
            <v>4002 - FIR/LARCH BOARDS</v>
          </cell>
          <cell r="D1519" t="str">
            <v>1410UGDF</v>
          </cell>
          <cell r="BA1519">
            <v>694.12</v>
          </cell>
        </row>
        <row r="1520">
          <cell r="C1520" t="str">
            <v>4002 - FIR/LARCH BOARDS</v>
          </cell>
          <cell r="D1520" t="str">
            <v>1416UGDF</v>
          </cell>
          <cell r="BA1520">
            <v>900</v>
          </cell>
        </row>
        <row r="1521">
          <cell r="C1521" t="str">
            <v>4002 - FIR/LARCH BOARDS</v>
          </cell>
          <cell r="D1521" t="str">
            <v>1610UGDF</v>
          </cell>
          <cell r="BA1521">
            <v>694.12</v>
          </cell>
        </row>
        <row r="1522">
          <cell r="C1522" t="str">
            <v>4002 - FIR/LARCH BOARDS</v>
          </cell>
          <cell r="D1522" t="str">
            <v>1616UGDF</v>
          </cell>
          <cell r="BA1522">
            <v>899.54</v>
          </cell>
        </row>
        <row r="1523">
          <cell r="C1523" t="str">
            <v>4002 - FIR/LARCH BOARDS</v>
          </cell>
          <cell r="D1523" t="str">
            <v>1620GDF</v>
          </cell>
          <cell r="BA1523">
            <v>911.76</v>
          </cell>
        </row>
        <row r="1524">
          <cell r="C1524" t="str">
            <v>4002 - FIR/LARCH BOARDS</v>
          </cell>
          <cell r="D1524" t="str">
            <v>18CFIRVG</v>
          </cell>
          <cell r="BA1524">
            <v>10238.82</v>
          </cell>
        </row>
        <row r="1525">
          <cell r="C1525" t="str">
            <v>4002 - FIR/LARCH BOARDS</v>
          </cell>
          <cell r="D1525" t="str">
            <v>112CFIRVG</v>
          </cell>
          <cell r="BA1525">
            <v>9576.4699999999993</v>
          </cell>
        </row>
        <row r="1526">
          <cell r="C1526" t="str">
            <v>4002 - FIR/LARCH BOARDS</v>
          </cell>
          <cell r="D1526" t="str">
            <v>1314CFIRVG</v>
          </cell>
          <cell r="BA1526">
            <v>3670.59</v>
          </cell>
        </row>
        <row r="1527">
          <cell r="C1527" t="str">
            <v>4002 - FIR/LARCH BOARDS</v>
          </cell>
          <cell r="D1527" t="str">
            <v>148CFIRVG</v>
          </cell>
          <cell r="BA1527">
            <v>5364.71</v>
          </cell>
        </row>
        <row r="1528">
          <cell r="C1528" t="str">
            <v>4002 - FIR/LARCH BOARDS</v>
          </cell>
          <cell r="D1528" t="str">
            <v>1410CFIRVG</v>
          </cell>
          <cell r="BA1528">
            <v>5364.71</v>
          </cell>
        </row>
        <row r="1529">
          <cell r="C1529" t="str">
            <v>4002 - FIR/LARCH BOARDS</v>
          </cell>
          <cell r="D1529" t="str">
            <v>1510CFIRVG</v>
          </cell>
          <cell r="BA1529">
            <v>7382.35</v>
          </cell>
        </row>
        <row r="1530">
          <cell r="C1530" t="str">
            <v>4002 - FIR/LARCH BOARDS</v>
          </cell>
          <cell r="D1530" t="str">
            <v>168CFIRVG</v>
          </cell>
          <cell r="BA1530">
            <v>0</v>
          </cell>
        </row>
        <row r="1531">
          <cell r="C1531" t="str">
            <v>4002 - FIR/LARCH BOARDS</v>
          </cell>
          <cell r="D1531" t="str">
            <v>1612CFIRVG</v>
          </cell>
          <cell r="BA1531">
            <v>9564.7099999999991</v>
          </cell>
        </row>
        <row r="1532">
          <cell r="C1532" t="str">
            <v>4002 - FIR/LARCH BOARDS</v>
          </cell>
          <cell r="D1532" t="str">
            <v>188CFIRVG</v>
          </cell>
          <cell r="BA1532">
            <v>9450.59</v>
          </cell>
        </row>
        <row r="1533">
          <cell r="C1533" t="str">
            <v>4002 - FIR/LARCH BOARDS</v>
          </cell>
          <cell r="D1533" t="str">
            <v>1812CFIRVG</v>
          </cell>
          <cell r="BA1533">
            <v>10244.120000000001</v>
          </cell>
        </row>
        <row r="1534">
          <cell r="C1534" t="str">
            <v>4002 - FIR/LARCH BOARDS</v>
          </cell>
          <cell r="D1534" t="str">
            <v>22CFIR</v>
          </cell>
          <cell r="BA1534">
            <v>2175.79</v>
          </cell>
        </row>
        <row r="1535">
          <cell r="C1535" t="str">
            <v>4002 - FIR/LARCH BOARDS</v>
          </cell>
          <cell r="D1535" t="str">
            <v>12CFIRVG</v>
          </cell>
          <cell r="BA1535">
            <v>3039.63</v>
          </cell>
        </row>
        <row r="1536">
          <cell r="C1536" t="str">
            <v>4002 - FIR/LARCH BOARDS</v>
          </cell>
          <cell r="D1536" t="str">
            <v>24CFIRVG</v>
          </cell>
          <cell r="BA1536">
            <v>5362.35</v>
          </cell>
        </row>
        <row r="1537">
          <cell r="C1537" t="str">
            <v>4002 - FIR/LARCH BOARDS</v>
          </cell>
          <cell r="D1537" t="str">
            <v>12412CFIRVG</v>
          </cell>
          <cell r="BA1537">
            <v>17.36</v>
          </cell>
        </row>
        <row r="1538">
          <cell r="C1538" t="str">
            <v>4002 - FIR/LARCH BOARDS</v>
          </cell>
          <cell r="D1538" t="str">
            <v>1248CFIRVG</v>
          </cell>
          <cell r="BA1538">
            <v>12.87</v>
          </cell>
        </row>
        <row r="1539">
          <cell r="C1539" t="str">
            <v>4002 - FIR/LARCH BOARDS</v>
          </cell>
          <cell r="D1539" t="str">
            <v>1268CFIRVG</v>
          </cell>
          <cell r="BA1539">
            <v>29.59</v>
          </cell>
        </row>
        <row r="1540">
          <cell r="C1540" t="str">
            <v>4002 - FIR/LARCH BOARDS</v>
          </cell>
          <cell r="D1540" t="str">
            <v>12612CFIRVG</v>
          </cell>
          <cell r="BA1540">
            <v>51.84</v>
          </cell>
        </row>
        <row r="1541">
          <cell r="C1541" t="str">
            <v>4002 - FIR/LARCH BOARDS</v>
          </cell>
          <cell r="D1541" t="str">
            <v>0126CFIRVG</v>
          </cell>
          <cell r="BA1541">
            <v>19200</v>
          </cell>
        </row>
        <row r="1542">
          <cell r="C1542" t="str">
            <v>4002 - FIR/LARCH BOARDS</v>
          </cell>
          <cell r="D1542" t="str">
            <v>228CFIRVG</v>
          </cell>
          <cell r="BA1542">
            <v>3698.82</v>
          </cell>
        </row>
        <row r="1543">
          <cell r="C1543" t="str">
            <v>4002 - FIR/LARCH BOARDS</v>
          </cell>
          <cell r="D1543" t="str">
            <v>2210CFIRVG</v>
          </cell>
          <cell r="BA1543">
            <v>2505.88</v>
          </cell>
        </row>
        <row r="1544">
          <cell r="C1544" t="str">
            <v>4002 - FIR/LARCH BOARDS</v>
          </cell>
          <cell r="D1544" t="str">
            <v>12CHEM</v>
          </cell>
          <cell r="BA1544">
            <v>4482.1499999999996</v>
          </cell>
        </row>
        <row r="1545">
          <cell r="C1545" t="str">
            <v>4002 - FIR/LARCH BOARDS</v>
          </cell>
          <cell r="D1545" t="str">
            <v>13CHEM</v>
          </cell>
          <cell r="BA1545">
            <v>4386.6499999999996</v>
          </cell>
        </row>
        <row r="1546">
          <cell r="C1546" t="str">
            <v>4002 - FIR/LARCH BOARDS</v>
          </cell>
          <cell r="D1546" t="str">
            <v>14CHEM</v>
          </cell>
          <cell r="BA1546">
            <v>4489.6000000000004</v>
          </cell>
        </row>
        <row r="1547">
          <cell r="C1547" t="str">
            <v>4002 - FIR/LARCH BOARDS</v>
          </cell>
          <cell r="D1547" t="str">
            <v>15CHEM</v>
          </cell>
          <cell r="BA1547">
            <v>8180.51</v>
          </cell>
        </row>
        <row r="1548">
          <cell r="C1548" t="str">
            <v>4002 - FIR/LARCH BOARDS</v>
          </cell>
          <cell r="D1548" t="str">
            <v>16CHEM</v>
          </cell>
          <cell r="BA1548">
            <v>5790.67</v>
          </cell>
        </row>
        <row r="1549">
          <cell r="C1549" t="str">
            <v>4002 - FIR/LARCH BOARDS</v>
          </cell>
          <cell r="D1549" t="str">
            <v>18CHEM</v>
          </cell>
          <cell r="BA1549">
            <v>7518.35</v>
          </cell>
        </row>
        <row r="1550">
          <cell r="C1550" t="str">
            <v>4002 - FIR/LARCH BOARDS</v>
          </cell>
          <cell r="D1550" t="str">
            <v>110CHEM</v>
          </cell>
          <cell r="BA1550">
            <v>9493.1200000000008</v>
          </cell>
        </row>
        <row r="1551">
          <cell r="C1551" t="str">
            <v>4002 - FIR/LARCH BOARDS</v>
          </cell>
          <cell r="D1551" t="str">
            <v>112CHEM</v>
          </cell>
          <cell r="BA1551">
            <v>11529.41</v>
          </cell>
        </row>
        <row r="1552">
          <cell r="C1552" t="str">
            <v>4002 - FIR/LARCH BOARDS</v>
          </cell>
          <cell r="D1552" t="str">
            <v>128CHEMVG</v>
          </cell>
          <cell r="BA1552">
            <v>6035.14</v>
          </cell>
        </row>
        <row r="1553">
          <cell r="C1553" t="str">
            <v>4002 - FIR/LARCH BOARDS</v>
          </cell>
          <cell r="D1553" t="str">
            <v>1210CHEMVG</v>
          </cell>
          <cell r="BA1553">
            <v>6060.2</v>
          </cell>
        </row>
        <row r="1554">
          <cell r="C1554" t="str">
            <v>4002 - FIR/LARCH BOARDS</v>
          </cell>
          <cell r="D1554" t="str">
            <v>1212CHEMVG</v>
          </cell>
          <cell r="BA1554">
            <v>5938.94</v>
          </cell>
        </row>
        <row r="1555">
          <cell r="C1555" t="str">
            <v>4002 - FIR/LARCH BOARDS</v>
          </cell>
          <cell r="D1555" t="str">
            <v>138CHEMVG</v>
          </cell>
          <cell r="BA1555">
            <v>6311.76</v>
          </cell>
        </row>
        <row r="1556">
          <cell r="C1556" t="str">
            <v>4002 - FIR/LARCH BOARDS</v>
          </cell>
          <cell r="D1556" t="str">
            <v>1310CHEMVG</v>
          </cell>
          <cell r="BA1556">
            <v>6607.06</v>
          </cell>
        </row>
        <row r="1557">
          <cell r="C1557" t="str">
            <v>4002 - FIR/LARCH BOARDS</v>
          </cell>
          <cell r="D1557" t="str">
            <v>1312CHEMVG</v>
          </cell>
          <cell r="BA1557">
            <v>4207.1400000000003</v>
          </cell>
        </row>
        <row r="1558">
          <cell r="C1558" t="str">
            <v>4002 - FIR/LARCH BOARDS</v>
          </cell>
          <cell r="D1558" t="str">
            <v>148CHEMVG</v>
          </cell>
          <cell r="BA1558">
            <v>6701.18</v>
          </cell>
        </row>
        <row r="1559">
          <cell r="C1559" t="str">
            <v>4002 - FIR/LARCH BOARDS</v>
          </cell>
          <cell r="D1559" t="str">
            <v>1410CHEMVG</v>
          </cell>
          <cell r="BA1559">
            <v>6701.18</v>
          </cell>
        </row>
        <row r="1560">
          <cell r="C1560" t="str">
            <v>4002 - FIR/LARCH BOARDS</v>
          </cell>
          <cell r="D1560" t="str">
            <v>1412CHEMVG</v>
          </cell>
          <cell r="BA1560">
            <v>6701.18</v>
          </cell>
        </row>
        <row r="1561">
          <cell r="C1561" t="str">
            <v>4002 - FIR/LARCH BOARDS</v>
          </cell>
          <cell r="D1561" t="str">
            <v>158CHEMVG</v>
          </cell>
          <cell r="BA1561">
            <v>8309.41</v>
          </cell>
        </row>
        <row r="1562">
          <cell r="C1562" t="str">
            <v>4002 - FIR/LARCH BOARDS</v>
          </cell>
          <cell r="D1562" t="str">
            <v>1510CHEMVG</v>
          </cell>
          <cell r="BA1562">
            <v>8309.41</v>
          </cell>
        </row>
        <row r="1563">
          <cell r="C1563" t="str">
            <v>4002 - FIR/LARCH BOARDS</v>
          </cell>
          <cell r="D1563" t="str">
            <v>1512CHEMVG</v>
          </cell>
          <cell r="BA1563">
            <v>8309.41</v>
          </cell>
        </row>
        <row r="1564">
          <cell r="C1564" t="str">
            <v>4002 - FIR/LARCH BOARDS</v>
          </cell>
          <cell r="D1564" t="str">
            <v>168CHEMVG</v>
          </cell>
          <cell r="BA1564">
            <v>9293.7900000000009</v>
          </cell>
        </row>
        <row r="1565">
          <cell r="C1565" t="str">
            <v>4002 - FIR/LARCH BOARDS</v>
          </cell>
          <cell r="D1565" t="str">
            <v>1610CHEMVG</v>
          </cell>
          <cell r="BA1565">
            <v>9296.4699999999993</v>
          </cell>
        </row>
        <row r="1566">
          <cell r="C1566" t="str">
            <v>4002 - FIR/LARCH BOARDS</v>
          </cell>
          <cell r="D1566" t="str">
            <v>1612CHEMVG</v>
          </cell>
          <cell r="BA1566">
            <v>9296.4699999999993</v>
          </cell>
        </row>
        <row r="1567">
          <cell r="C1567" t="str">
            <v>4002 - FIR/LARCH BOARDS</v>
          </cell>
          <cell r="D1567" t="str">
            <v>1616CHEMVG</v>
          </cell>
          <cell r="BA1567">
            <v>9698.7999999999993</v>
          </cell>
        </row>
        <row r="1568">
          <cell r="C1568" t="str">
            <v>4002 - FIR/LARCH BOARDS</v>
          </cell>
          <cell r="D1568" t="str">
            <v>188CHEMVG</v>
          </cell>
          <cell r="BA1568">
            <v>9753.24</v>
          </cell>
        </row>
        <row r="1569">
          <cell r="C1569" t="str">
            <v>4002 - FIR/LARCH BOARDS</v>
          </cell>
          <cell r="D1569" t="str">
            <v>1810CHEMVG</v>
          </cell>
          <cell r="BA1569">
            <v>9621.59</v>
          </cell>
        </row>
        <row r="1570">
          <cell r="C1570" t="str">
            <v>4002 - FIR/LARCH BOARDS</v>
          </cell>
          <cell r="D1570" t="str">
            <v>1812CHEMVG</v>
          </cell>
          <cell r="BA1570">
            <v>11086.67</v>
          </cell>
        </row>
        <row r="1571">
          <cell r="C1571" t="str">
            <v>4002 - FIR/LARCH BOARDS</v>
          </cell>
          <cell r="D1571" t="str">
            <v>128CHEM</v>
          </cell>
          <cell r="BA1571">
            <v>5878.68</v>
          </cell>
        </row>
        <row r="1572">
          <cell r="C1572" t="str">
            <v>4002 - FIR/LARCH BOARDS</v>
          </cell>
          <cell r="D1572" t="str">
            <v>1210CHEM</v>
          </cell>
          <cell r="BA1572">
            <v>3560.9</v>
          </cell>
        </row>
        <row r="1573">
          <cell r="C1573" t="str">
            <v>4002 - FIR/LARCH BOARDS</v>
          </cell>
          <cell r="D1573" t="str">
            <v>1212CHEM</v>
          </cell>
          <cell r="BA1573">
            <v>5145.88</v>
          </cell>
        </row>
        <row r="1574">
          <cell r="C1574" t="str">
            <v>4002 - FIR/LARCH BOARDS</v>
          </cell>
          <cell r="D1574" t="str">
            <v>138CHEM</v>
          </cell>
          <cell r="BA1574">
            <v>5378.13</v>
          </cell>
        </row>
        <row r="1575">
          <cell r="C1575" t="str">
            <v>4002 - FIR/LARCH BOARDS</v>
          </cell>
          <cell r="D1575" t="str">
            <v>1310CHEM</v>
          </cell>
          <cell r="BA1575">
            <v>5333.82</v>
          </cell>
        </row>
        <row r="1576">
          <cell r="C1576" t="str">
            <v>4002 - FIR/LARCH BOARDS</v>
          </cell>
          <cell r="D1576" t="str">
            <v>1312CHEM</v>
          </cell>
          <cell r="BA1576">
            <v>5378.82</v>
          </cell>
        </row>
        <row r="1577">
          <cell r="C1577" t="str">
            <v>4002 - FIR/LARCH BOARDS</v>
          </cell>
          <cell r="D1577" t="str">
            <v>1314CHEM</v>
          </cell>
          <cell r="BA1577">
            <v>4658.82</v>
          </cell>
        </row>
        <row r="1578">
          <cell r="C1578" t="str">
            <v>4002 - FIR/LARCH BOARDS</v>
          </cell>
          <cell r="D1578" t="str">
            <v>148CHEM</v>
          </cell>
          <cell r="BA1578">
            <v>4955.96</v>
          </cell>
        </row>
        <row r="1579">
          <cell r="C1579" t="str">
            <v>4002 - FIR/LARCH BOARDS</v>
          </cell>
          <cell r="D1579" t="str">
            <v>1410CHEM</v>
          </cell>
          <cell r="BA1579">
            <v>4249.09</v>
          </cell>
        </row>
        <row r="1580">
          <cell r="C1580" t="str">
            <v>4002 - FIR/LARCH BOARDS</v>
          </cell>
          <cell r="D1580" t="str">
            <v>1412CHEM</v>
          </cell>
          <cell r="BA1580">
            <v>4987.0600000000004</v>
          </cell>
        </row>
        <row r="1581">
          <cell r="C1581" t="str">
            <v>4002 - FIR/LARCH BOARDS</v>
          </cell>
          <cell r="D1581" t="str">
            <v>158CHEM</v>
          </cell>
          <cell r="BA1581">
            <v>5657.84</v>
          </cell>
        </row>
        <row r="1582">
          <cell r="C1582" t="str">
            <v>4002 - FIR/LARCH BOARDS</v>
          </cell>
          <cell r="D1582" t="str">
            <v>1510CHEM</v>
          </cell>
          <cell r="BA1582">
            <v>5489.36</v>
          </cell>
        </row>
        <row r="1583">
          <cell r="C1583" t="str">
            <v>4002 - FIR/LARCH BOARDS</v>
          </cell>
          <cell r="D1583" t="str">
            <v>1512CHEM</v>
          </cell>
          <cell r="BA1583">
            <v>6180.3</v>
          </cell>
        </row>
        <row r="1584">
          <cell r="C1584" t="str">
            <v>4002 - FIR/LARCH BOARDS</v>
          </cell>
          <cell r="D1584" t="str">
            <v>168CHEM</v>
          </cell>
          <cell r="BA1584">
            <v>6169.43</v>
          </cell>
        </row>
        <row r="1585">
          <cell r="C1585" t="str">
            <v>4002 - FIR/LARCH BOARDS</v>
          </cell>
          <cell r="D1585" t="str">
            <v>1610CHEM</v>
          </cell>
          <cell r="BA1585">
            <v>6153.88</v>
          </cell>
        </row>
        <row r="1586">
          <cell r="C1586" t="str">
            <v>4002 - FIR/LARCH BOARDS</v>
          </cell>
          <cell r="D1586" t="str">
            <v>1612CHEM</v>
          </cell>
          <cell r="BA1586">
            <v>6204.71</v>
          </cell>
        </row>
        <row r="1587">
          <cell r="C1587" t="str">
            <v>4002 - FIR/LARCH BOARDS</v>
          </cell>
          <cell r="D1587" t="str">
            <v>188CHEM</v>
          </cell>
          <cell r="BA1587">
            <v>6688.24</v>
          </cell>
        </row>
        <row r="1588">
          <cell r="C1588" t="str">
            <v>4002 - FIR/LARCH BOARDS</v>
          </cell>
          <cell r="D1588" t="str">
            <v>1810CHEM</v>
          </cell>
          <cell r="BA1588">
            <v>6098.82</v>
          </cell>
        </row>
        <row r="1589">
          <cell r="C1589" t="str">
            <v>4002 - FIR/LARCH BOARDS</v>
          </cell>
          <cell r="D1589" t="str">
            <v>1812CHEM</v>
          </cell>
          <cell r="BA1589">
            <v>6688.24</v>
          </cell>
        </row>
        <row r="1590">
          <cell r="C1590" t="str">
            <v>4002 - FIR/LARCH BOARDS</v>
          </cell>
          <cell r="D1590" t="str">
            <v>1128CHEM</v>
          </cell>
          <cell r="BA1590">
            <v>6924.71</v>
          </cell>
        </row>
        <row r="1591">
          <cell r="C1591" t="str">
            <v>4003 - PINE BOARDS</v>
          </cell>
          <cell r="D1591" t="str">
            <v>1482P</v>
          </cell>
          <cell r="BA1591">
            <v>1767.95</v>
          </cell>
        </row>
        <row r="1592">
          <cell r="C1592" t="str">
            <v>4003 - PINE BOARDS</v>
          </cell>
          <cell r="D1592" t="str">
            <v>14122P</v>
          </cell>
          <cell r="BA1592">
            <v>1732.04</v>
          </cell>
        </row>
        <row r="1593">
          <cell r="C1593" t="str">
            <v>4003 - PINE BOARDS</v>
          </cell>
          <cell r="D1593" t="str">
            <v>1682P</v>
          </cell>
          <cell r="BA1593">
            <v>1856.3</v>
          </cell>
        </row>
        <row r="1594">
          <cell r="C1594" t="str">
            <v>4003 - PINE BOARDS</v>
          </cell>
          <cell r="D1594" t="str">
            <v>16102P</v>
          </cell>
          <cell r="BA1594">
            <v>1858.82</v>
          </cell>
        </row>
        <row r="1595">
          <cell r="C1595" t="str">
            <v>4003 - PINE BOARDS</v>
          </cell>
          <cell r="D1595" t="str">
            <v>1882P</v>
          </cell>
          <cell r="BA1595">
            <v>1970.53</v>
          </cell>
        </row>
        <row r="1596">
          <cell r="C1596" t="str">
            <v>4003 - PINE BOARDS</v>
          </cell>
          <cell r="D1596" t="str">
            <v>18102P</v>
          </cell>
          <cell r="BA1596">
            <v>1966.01</v>
          </cell>
        </row>
        <row r="1597">
          <cell r="C1597" t="str">
            <v>4003 - PINE BOARDS</v>
          </cell>
          <cell r="D1597" t="str">
            <v>112102P</v>
          </cell>
          <cell r="BA1597">
            <v>2503.2399999999998</v>
          </cell>
        </row>
        <row r="1598">
          <cell r="C1598" t="str">
            <v>4003 - PINE BOARDS</v>
          </cell>
          <cell r="D1598" t="str">
            <v>18122P</v>
          </cell>
          <cell r="BA1598">
            <v>1970.59</v>
          </cell>
        </row>
        <row r="1599">
          <cell r="C1599" t="str">
            <v>4003 - PINE BOARDS</v>
          </cell>
          <cell r="D1599" t="str">
            <v>16122P</v>
          </cell>
          <cell r="BA1599">
            <v>1852.38</v>
          </cell>
        </row>
        <row r="1600">
          <cell r="C1600" t="str">
            <v>4003 - PINE BOARDS</v>
          </cell>
          <cell r="D1600" t="str">
            <v>148S3</v>
          </cell>
          <cell r="BA1600">
            <v>1215.6099999999999</v>
          </cell>
        </row>
        <row r="1601">
          <cell r="C1601" t="str">
            <v>4003 - PINE BOARDS</v>
          </cell>
          <cell r="D1601" t="str">
            <v>1410S3</v>
          </cell>
          <cell r="BA1601">
            <v>1215.29</v>
          </cell>
        </row>
        <row r="1602">
          <cell r="C1602" t="str">
            <v>4003 - PINE BOARDS</v>
          </cell>
          <cell r="D1602" t="str">
            <v>1412S3</v>
          </cell>
          <cell r="BA1602">
            <v>1215.3399999999999</v>
          </cell>
        </row>
        <row r="1603">
          <cell r="C1603" t="str">
            <v>4003 - PINE BOARDS</v>
          </cell>
          <cell r="D1603" t="str">
            <v>168S3</v>
          </cell>
          <cell r="BA1603">
            <v>1232.94</v>
          </cell>
        </row>
        <row r="1604">
          <cell r="C1604" t="str">
            <v>4003 - PINE BOARDS</v>
          </cell>
          <cell r="D1604" t="str">
            <v>1610S3</v>
          </cell>
          <cell r="BA1604">
            <v>1232.94</v>
          </cell>
        </row>
        <row r="1605">
          <cell r="C1605" t="str">
            <v>4003 - PINE BOARDS</v>
          </cell>
          <cell r="D1605" t="str">
            <v>1612S3</v>
          </cell>
          <cell r="BA1605">
            <v>1232.95</v>
          </cell>
        </row>
        <row r="1606">
          <cell r="C1606" t="str">
            <v>4003 - PINE BOARDS</v>
          </cell>
          <cell r="D1606" t="str">
            <v>128WPFJP</v>
          </cell>
          <cell r="BA1606">
            <v>3114.12</v>
          </cell>
        </row>
        <row r="1607">
          <cell r="C1607" t="str">
            <v>4003 - PINE BOARDS</v>
          </cell>
          <cell r="D1607" t="str">
            <v>1316FJPINEPR</v>
          </cell>
          <cell r="BA1607">
            <v>3218.92</v>
          </cell>
        </row>
        <row r="1608">
          <cell r="C1608" t="str">
            <v>4003 - PINE BOARDS</v>
          </cell>
          <cell r="D1608" t="str">
            <v>1416FJPINEPR</v>
          </cell>
          <cell r="BA1608">
            <v>2245.5</v>
          </cell>
        </row>
        <row r="1609">
          <cell r="C1609" t="str">
            <v>4003 - PINE BOARDS</v>
          </cell>
          <cell r="D1609" t="str">
            <v>1616FJPINEPR</v>
          </cell>
          <cell r="BA1609">
            <v>2409.71</v>
          </cell>
        </row>
        <row r="1610">
          <cell r="C1610" t="str">
            <v>4003 - PINE BOARDS</v>
          </cell>
          <cell r="D1610" t="str">
            <v>1248WPFJP</v>
          </cell>
          <cell r="BA1610">
            <v>7.36</v>
          </cell>
        </row>
        <row r="1611">
          <cell r="C1611" t="str">
            <v>4003 - PINE BOARDS</v>
          </cell>
          <cell r="D1611" t="str">
            <v>12416WPFJP</v>
          </cell>
          <cell r="BA1611">
            <v>11.16</v>
          </cell>
        </row>
        <row r="1612">
          <cell r="C1612" t="str">
            <v>4003 - PINE BOARDS</v>
          </cell>
          <cell r="D1612" t="str">
            <v>1268WPFJP</v>
          </cell>
          <cell r="BA1612">
            <v>12.03</v>
          </cell>
        </row>
        <row r="1613">
          <cell r="C1613" t="str">
            <v>4003 - PINE BOARDS</v>
          </cell>
          <cell r="D1613" t="str">
            <v>12616WPFJP</v>
          </cell>
          <cell r="BA1613">
            <v>17.329999999999998</v>
          </cell>
        </row>
        <row r="1614">
          <cell r="C1614" t="str">
            <v>4003 - PINE BOARDS</v>
          </cell>
          <cell r="D1614" t="str">
            <v>5448WPFJP</v>
          </cell>
          <cell r="BA1614">
            <v>3685.07</v>
          </cell>
        </row>
        <row r="1615">
          <cell r="C1615" t="str">
            <v>4003 - PINE BOARDS</v>
          </cell>
          <cell r="D1615" t="str">
            <v>54416WPFJP</v>
          </cell>
          <cell r="BA1615">
            <v>25.92</v>
          </cell>
        </row>
        <row r="1616">
          <cell r="C1616" t="str">
            <v>4003 - PINE BOARDS</v>
          </cell>
          <cell r="D1616" t="str">
            <v>5468WPFJP</v>
          </cell>
          <cell r="BA1616">
            <v>38.71</v>
          </cell>
        </row>
        <row r="1617">
          <cell r="C1617" t="str">
            <v>4003 - PINE BOARDS</v>
          </cell>
          <cell r="D1617" t="str">
            <v>54616WPFJP</v>
          </cell>
          <cell r="BA1617">
            <v>56.82</v>
          </cell>
        </row>
        <row r="1618">
          <cell r="C1618" t="str">
            <v>4003 - PINE BOARDS</v>
          </cell>
          <cell r="D1618" t="str">
            <v>14WPFJP</v>
          </cell>
          <cell r="BA1618">
            <v>1652.74</v>
          </cell>
        </row>
        <row r="1619">
          <cell r="C1619" t="str">
            <v>4003 - PINE BOARDS</v>
          </cell>
          <cell r="D1619" t="str">
            <v>16WPFJP</v>
          </cell>
          <cell r="BA1619">
            <v>1731.51</v>
          </cell>
        </row>
        <row r="1620">
          <cell r="C1620" t="str">
            <v>4003 - PINE BOARDS</v>
          </cell>
          <cell r="D1620" t="str">
            <v>12WPFJP</v>
          </cell>
          <cell r="BA1620">
            <v>1578.45</v>
          </cell>
        </row>
        <row r="1621">
          <cell r="C1621" t="str">
            <v>4003 - PINE BOARDS</v>
          </cell>
          <cell r="D1621" t="str">
            <v>15WPFJP</v>
          </cell>
          <cell r="BA1621">
            <v>1723.17</v>
          </cell>
        </row>
        <row r="1622">
          <cell r="C1622" t="str">
            <v>4003 - PINE BOARDS</v>
          </cell>
          <cell r="D1622" t="str">
            <v>13WPFJP</v>
          </cell>
          <cell r="BA1622">
            <v>1796.25</v>
          </cell>
        </row>
        <row r="1623">
          <cell r="C1623" t="str">
            <v>4003 - PINE BOARDS</v>
          </cell>
          <cell r="D1623" t="str">
            <v>18WPFJP</v>
          </cell>
          <cell r="BA1623">
            <v>1795.87</v>
          </cell>
        </row>
        <row r="1624">
          <cell r="C1624" t="str">
            <v>4003 - PINE BOARDS</v>
          </cell>
          <cell r="D1624" t="str">
            <v>1216WPFJP</v>
          </cell>
          <cell r="BA1624">
            <v>8.31</v>
          </cell>
        </row>
        <row r="1625">
          <cell r="C1625" t="str">
            <v>4003 - PINE BOARDS</v>
          </cell>
          <cell r="D1625" t="str">
            <v>1316WPFJP</v>
          </cell>
          <cell r="BA1625">
            <v>9.19</v>
          </cell>
        </row>
        <row r="1626">
          <cell r="C1626" t="str">
            <v>4003 - PINE BOARDS</v>
          </cell>
          <cell r="D1626" t="str">
            <v>138WPFJP</v>
          </cell>
          <cell r="BA1626">
            <v>3217.65</v>
          </cell>
        </row>
        <row r="1627">
          <cell r="C1627" t="str">
            <v>4003 - PINE BOARDS</v>
          </cell>
          <cell r="D1627" t="str">
            <v>1416WPFJP</v>
          </cell>
          <cell r="BA1627">
            <v>11.91</v>
          </cell>
        </row>
        <row r="1628">
          <cell r="C1628" t="str">
            <v>4003 - PINE BOARDS</v>
          </cell>
          <cell r="D1628" t="str">
            <v>158WPFJP</v>
          </cell>
          <cell r="BA1628">
            <v>12.99</v>
          </cell>
        </row>
        <row r="1629">
          <cell r="C1629" t="str">
            <v>4003 - PINE BOARDS</v>
          </cell>
          <cell r="D1629" t="str">
            <v>1516FJPINEPR</v>
          </cell>
          <cell r="BA1629">
            <v>2370.91</v>
          </cell>
        </row>
        <row r="1630">
          <cell r="C1630" t="str">
            <v>4003 - PINE BOARDS</v>
          </cell>
          <cell r="D1630" t="str">
            <v>1516WPFJP</v>
          </cell>
          <cell r="BA1630">
            <v>15.98</v>
          </cell>
        </row>
        <row r="1631">
          <cell r="C1631" t="str">
            <v>4003 - PINE BOARDS</v>
          </cell>
          <cell r="D1631" t="str">
            <v>168WPFJP</v>
          </cell>
          <cell r="BA1631">
            <v>3408.24</v>
          </cell>
        </row>
        <row r="1632">
          <cell r="C1632" t="str">
            <v>4003 - PINE BOARDS</v>
          </cell>
          <cell r="D1632" t="str">
            <v>1616WPFJP</v>
          </cell>
          <cell r="BA1632">
            <v>19.61</v>
          </cell>
        </row>
        <row r="1633">
          <cell r="C1633" t="str">
            <v>4003 - PINE BOARDS</v>
          </cell>
          <cell r="D1633" t="str">
            <v>188WPFJP</v>
          </cell>
          <cell r="BA1633">
            <v>19.059999999999999</v>
          </cell>
        </row>
        <row r="1634">
          <cell r="C1634" t="str">
            <v>4003 - PINE BOARDS</v>
          </cell>
          <cell r="D1634" t="str">
            <v>1816WPFJP</v>
          </cell>
          <cell r="BA1634">
            <v>25.74</v>
          </cell>
        </row>
        <row r="1635">
          <cell r="C1635" t="str">
            <v>4003 - PINE BOARDS</v>
          </cell>
          <cell r="D1635" t="str">
            <v>148WPFJP</v>
          </cell>
          <cell r="BA1635">
            <v>3302.35</v>
          </cell>
        </row>
        <row r="1636">
          <cell r="C1636" t="str">
            <v>4003 - PINE BOARDS</v>
          </cell>
          <cell r="D1636" t="str">
            <v>1108WPFJP</v>
          </cell>
          <cell r="BA1636">
            <v>5654.71</v>
          </cell>
        </row>
        <row r="1637">
          <cell r="C1637" t="str">
            <v>4003 - PINE BOARDS</v>
          </cell>
          <cell r="D1637" t="str">
            <v>1128WPFJP</v>
          </cell>
          <cell r="BA1637">
            <v>3194.85</v>
          </cell>
        </row>
        <row r="1638">
          <cell r="C1638" t="str">
            <v>4003 - PINE BOARDS</v>
          </cell>
          <cell r="D1638" t="str">
            <v>11016WPFJP</v>
          </cell>
          <cell r="BA1638">
            <v>35.29</v>
          </cell>
        </row>
        <row r="1639">
          <cell r="C1639" t="str">
            <v>4003 - PINE BOARDS</v>
          </cell>
          <cell r="D1639" t="str">
            <v>11216WPFJP</v>
          </cell>
          <cell r="BA1639">
            <v>57.26</v>
          </cell>
        </row>
        <row r="1640">
          <cell r="C1640" t="str">
            <v>4003 - PINE BOARDS</v>
          </cell>
          <cell r="D1640" t="str">
            <v>1608TGPP</v>
          </cell>
          <cell r="BA1640">
            <v>1788.24</v>
          </cell>
        </row>
        <row r="1641">
          <cell r="C1641" t="str">
            <v>4003 - PINE BOARDS</v>
          </cell>
          <cell r="D1641" t="str">
            <v>1610TGPP</v>
          </cell>
          <cell r="BA1641">
            <v>1788.24</v>
          </cell>
        </row>
        <row r="1642">
          <cell r="C1642" t="str">
            <v>4003 - PINE BOARDS</v>
          </cell>
          <cell r="D1642" t="str">
            <v>1612TGPP</v>
          </cell>
          <cell r="BA1642">
            <v>1788.24</v>
          </cell>
        </row>
        <row r="1643">
          <cell r="C1643" t="str">
            <v>4003 - PINE BOARDS</v>
          </cell>
          <cell r="D1643" t="str">
            <v>1614TGPP</v>
          </cell>
          <cell r="BA1643">
            <v>1788.24</v>
          </cell>
        </row>
        <row r="1644">
          <cell r="C1644" t="str">
            <v>4003 - PINE BOARDS</v>
          </cell>
          <cell r="D1644" t="str">
            <v>1616TGPP</v>
          </cell>
          <cell r="BA1644">
            <v>1788.24</v>
          </cell>
        </row>
        <row r="1645">
          <cell r="C1645" t="str">
            <v>4003 - PINE BOARDS</v>
          </cell>
          <cell r="D1645" t="str">
            <v>1618TGPP</v>
          </cell>
          <cell r="BA1645">
            <v>1788.24</v>
          </cell>
        </row>
        <row r="1646">
          <cell r="C1646" t="str">
            <v>4003 - PINE BOARDS</v>
          </cell>
          <cell r="D1646" t="str">
            <v>1620TGPP</v>
          </cell>
          <cell r="BA1646">
            <v>1788.24</v>
          </cell>
        </row>
        <row r="1647">
          <cell r="C1647" t="str">
            <v>4005 - HARDWOOD BOARDS</v>
          </cell>
          <cell r="D1647" t="str">
            <v>14OAKC</v>
          </cell>
          <cell r="BA1647">
            <v>6879.02</v>
          </cell>
        </row>
        <row r="1648">
          <cell r="C1648" t="str">
            <v>4005 - HARDWOOD BOARDS</v>
          </cell>
          <cell r="D1648" t="str">
            <v>12OAKC</v>
          </cell>
          <cell r="BA1648">
            <v>7608.82</v>
          </cell>
        </row>
        <row r="1649">
          <cell r="C1649" t="str">
            <v>4005 - HARDWOOD BOARDS</v>
          </cell>
          <cell r="D1649" t="str">
            <v>16POP</v>
          </cell>
          <cell r="BA1649">
            <v>4117.6499999999996</v>
          </cell>
        </row>
        <row r="1650">
          <cell r="C1650" t="str">
            <v>4005 - HARDWOOD BOARDS</v>
          </cell>
          <cell r="D1650" t="str">
            <v>18POP</v>
          </cell>
          <cell r="BA1650">
            <v>3971.61</v>
          </cell>
        </row>
        <row r="1651">
          <cell r="C1651" t="str">
            <v>4005 - HARDWOOD BOARDS</v>
          </cell>
          <cell r="D1651" t="str">
            <v>OPCBC10214</v>
          </cell>
          <cell r="BA1651">
            <v>4112.3500000000004</v>
          </cell>
        </row>
        <row r="1652">
          <cell r="C1652" t="str">
            <v>4005 - HARDWOOD BOARDS</v>
          </cell>
          <cell r="D1652" t="str">
            <v>OPCBC10212</v>
          </cell>
          <cell r="BA1652">
            <v>4111.93</v>
          </cell>
        </row>
        <row r="1653">
          <cell r="C1653" t="str">
            <v>4005 - HARDWOOD BOARDS</v>
          </cell>
          <cell r="D1653" t="str">
            <v>OPCBC10210</v>
          </cell>
          <cell r="BA1653">
            <v>4111.84</v>
          </cell>
        </row>
        <row r="1654">
          <cell r="C1654" t="str">
            <v>4005 - HARDWOOD BOARDS</v>
          </cell>
          <cell r="D1654" t="str">
            <v>OPCBC10208</v>
          </cell>
          <cell r="BA1654">
            <v>4111.72</v>
          </cell>
        </row>
        <row r="1655">
          <cell r="C1655" t="str">
            <v>4005 - HARDWOOD BOARDS</v>
          </cell>
          <cell r="D1655" t="str">
            <v>OPCBC10220</v>
          </cell>
          <cell r="BA1655">
            <v>4111.76</v>
          </cell>
        </row>
        <row r="1656">
          <cell r="C1656" t="str">
            <v>4005 - HARDWOOD BOARDS</v>
          </cell>
          <cell r="D1656" t="str">
            <v>OPCBC10216</v>
          </cell>
          <cell r="BA1656">
            <v>4111.3999999999996</v>
          </cell>
        </row>
        <row r="1657">
          <cell r="C1657" t="str">
            <v>4005 - HARDWOOD BOARDS</v>
          </cell>
          <cell r="D1657" t="str">
            <v>OPCBC10308</v>
          </cell>
          <cell r="BA1657">
            <v>4588.82</v>
          </cell>
        </row>
        <row r="1658">
          <cell r="C1658" t="str">
            <v>4005 - HARDWOOD BOARDS</v>
          </cell>
          <cell r="D1658" t="str">
            <v>OPCBC10312</v>
          </cell>
          <cell r="BA1658">
            <v>4491.18</v>
          </cell>
        </row>
        <row r="1659">
          <cell r="C1659" t="str">
            <v>4005 - HARDWOOD BOARDS</v>
          </cell>
          <cell r="D1659" t="str">
            <v>OPCBC10310</v>
          </cell>
          <cell r="BA1659">
            <v>4447.79</v>
          </cell>
        </row>
        <row r="1660">
          <cell r="C1660" t="str">
            <v>4005 - HARDWOOD BOARDS</v>
          </cell>
          <cell r="D1660" t="str">
            <v>OPCBC10316</v>
          </cell>
          <cell r="BA1660">
            <v>4491.18</v>
          </cell>
        </row>
        <row r="1661">
          <cell r="C1661" t="str">
            <v>4005 - HARDWOOD BOARDS</v>
          </cell>
          <cell r="D1661" t="str">
            <v>OPCBC10314</v>
          </cell>
          <cell r="BA1661">
            <v>5588.24</v>
          </cell>
        </row>
        <row r="1662">
          <cell r="C1662" t="str">
            <v>4005 - HARDWOOD BOARDS</v>
          </cell>
          <cell r="D1662" t="str">
            <v>OPCBC10218</v>
          </cell>
          <cell r="BA1662">
            <v>4166.67</v>
          </cell>
        </row>
        <row r="1663">
          <cell r="C1663" t="str">
            <v>4005 - HARDWOOD BOARDS</v>
          </cell>
          <cell r="D1663" t="str">
            <v>OPCBC10408</v>
          </cell>
          <cell r="BA1663">
            <v>4205.88</v>
          </cell>
        </row>
        <row r="1664">
          <cell r="C1664" t="str">
            <v>4005 - HARDWOOD BOARDS</v>
          </cell>
          <cell r="D1664" t="str">
            <v>OPCBC10416</v>
          </cell>
          <cell r="BA1664">
            <v>5941</v>
          </cell>
        </row>
        <row r="1665">
          <cell r="C1665" t="str">
            <v>4005 - HARDWOOD BOARDS</v>
          </cell>
          <cell r="D1665" t="str">
            <v>OPCBC10412</v>
          </cell>
          <cell r="BA1665">
            <v>5555.88</v>
          </cell>
        </row>
        <row r="1666">
          <cell r="C1666" t="str">
            <v>4005 - HARDWOOD BOARDS</v>
          </cell>
          <cell r="D1666" t="str">
            <v>OPCBC10410</v>
          </cell>
          <cell r="BA1666">
            <v>4205.88</v>
          </cell>
        </row>
        <row r="1667">
          <cell r="C1667" t="str">
            <v>4005 - HARDWOOD BOARDS</v>
          </cell>
          <cell r="D1667" t="str">
            <v>OPCBC10608</v>
          </cell>
          <cell r="BA1667">
            <v>4676.47</v>
          </cell>
        </row>
        <row r="1668">
          <cell r="C1668" t="str">
            <v>4005 - HARDWOOD BOARDS</v>
          </cell>
          <cell r="D1668" t="str">
            <v>OPCBC10610</v>
          </cell>
          <cell r="BA1668">
            <v>5037.05</v>
          </cell>
        </row>
        <row r="1669">
          <cell r="C1669" t="str">
            <v>4005 - HARDWOOD BOARDS</v>
          </cell>
          <cell r="D1669" t="str">
            <v>OPCBC10612</v>
          </cell>
          <cell r="BA1669">
            <v>6697.38</v>
          </cell>
        </row>
        <row r="1670">
          <cell r="C1670" t="str">
            <v>4005 - HARDWOOD BOARDS</v>
          </cell>
          <cell r="D1670" t="str">
            <v>OPCBC10614</v>
          </cell>
          <cell r="BA1670">
            <v>3823.53</v>
          </cell>
        </row>
        <row r="1671">
          <cell r="C1671" t="str">
            <v>4005 - HARDWOOD BOARDS</v>
          </cell>
          <cell r="D1671" t="str">
            <v>OPCBC10616</v>
          </cell>
          <cell r="BA1671">
            <v>6700</v>
          </cell>
        </row>
        <row r="1672">
          <cell r="C1672" t="str">
            <v>4005 - HARDWOOD BOARDS</v>
          </cell>
          <cell r="D1672" t="str">
            <v>OPCBC10814</v>
          </cell>
          <cell r="BA1672">
            <v>5647.06</v>
          </cell>
        </row>
        <row r="1673">
          <cell r="C1673" t="str">
            <v>4005 - HARDWOOD BOARDS</v>
          </cell>
          <cell r="D1673" t="str">
            <v>OPCBC10812</v>
          </cell>
          <cell r="BA1673">
            <v>6918.55</v>
          </cell>
        </row>
        <row r="1674">
          <cell r="C1674" t="str">
            <v>4005 - HARDWOOD BOARDS</v>
          </cell>
          <cell r="D1674" t="str">
            <v>OPCBC10810</v>
          </cell>
          <cell r="BA1674">
            <v>6660.39</v>
          </cell>
        </row>
        <row r="1675">
          <cell r="C1675" t="str">
            <v>4005 - HARDWOOD BOARDS</v>
          </cell>
          <cell r="D1675" t="str">
            <v>OPCBC10808</v>
          </cell>
          <cell r="BA1675">
            <v>4936.2700000000004</v>
          </cell>
        </row>
        <row r="1676">
          <cell r="C1676" t="str">
            <v>4005 - HARDWOOD BOARDS</v>
          </cell>
          <cell r="D1676" t="str">
            <v>OPCBC10816</v>
          </cell>
          <cell r="BA1676">
            <v>7331.37</v>
          </cell>
        </row>
        <row r="1677">
          <cell r="C1677" t="str">
            <v>4005 - HARDWOOD BOARDS</v>
          </cell>
          <cell r="D1677" t="str">
            <v>OPCBC11010</v>
          </cell>
          <cell r="BA1677">
            <v>8326.33</v>
          </cell>
        </row>
        <row r="1678">
          <cell r="C1678" t="str">
            <v>4005 - HARDWOOD BOARDS</v>
          </cell>
          <cell r="D1678" t="str">
            <v>OPCBC11008</v>
          </cell>
          <cell r="BA1678">
            <v>5950.65</v>
          </cell>
        </row>
        <row r="1679">
          <cell r="C1679" t="str">
            <v>4005 - HARDWOOD BOARDS</v>
          </cell>
          <cell r="D1679" t="str">
            <v>OPCBC11012</v>
          </cell>
          <cell r="BA1679">
            <v>7352.94</v>
          </cell>
        </row>
        <row r="1680">
          <cell r="C1680" t="str">
            <v>4005 - HARDWOOD BOARDS</v>
          </cell>
          <cell r="D1680" t="str">
            <v>OPCBC11014</v>
          </cell>
          <cell r="BA1680">
            <v>5604.83</v>
          </cell>
        </row>
        <row r="1681">
          <cell r="C1681" t="str">
            <v>4005 - HARDWOOD BOARDS</v>
          </cell>
          <cell r="D1681" t="str">
            <v>OPCBC11212</v>
          </cell>
          <cell r="BA1681">
            <v>7410.78</v>
          </cell>
        </row>
        <row r="1682">
          <cell r="C1682" t="str">
            <v>4005 - HARDWOOD BOARDS</v>
          </cell>
          <cell r="D1682" t="str">
            <v>OPCBC11210</v>
          </cell>
          <cell r="BA1682">
            <v>7647.06</v>
          </cell>
        </row>
        <row r="1683">
          <cell r="C1683" t="str">
            <v>4005 - HARDWOOD BOARDS</v>
          </cell>
          <cell r="D1683" t="str">
            <v>OPCBC11208</v>
          </cell>
          <cell r="BA1683">
            <v>7323.53</v>
          </cell>
        </row>
        <row r="1684">
          <cell r="C1684" t="str">
            <v>4005 - HARDWOOD BOARDS</v>
          </cell>
          <cell r="D1684" t="str">
            <v>12KA</v>
          </cell>
          <cell r="BA1684">
            <v>661.82</v>
          </cell>
        </row>
        <row r="1685">
          <cell r="C1685" t="str">
            <v>4005 - HARDWOOD BOARDS</v>
          </cell>
          <cell r="D1685" t="str">
            <v>14KA</v>
          </cell>
          <cell r="BA1685">
            <v>3607.43</v>
          </cell>
        </row>
        <row r="1686">
          <cell r="C1686" t="str">
            <v>4005 - HARDWOOD BOARDS</v>
          </cell>
          <cell r="D1686" t="str">
            <v>15KALF</v>
          </cell>
          <cell r="BA1686">
            <v>1.9</v>
          </cell>
        </row>
        <row r="1687">
          <cell r="C1687" t="str">
            <v>4005 - HARDWOOD BOARDS</v>
          </cell>
          <cell r="D1687" t="str">
            <v>16KA</v>
          </cell>
          <cell r="BA1687">
            <v>3912.58</v>
          </cell>
        </row>
        <row r="1688">
          <cell r="C1688" t="str">
            <v>4005 - HARDWOOD BOARDS</v>
          </cell>
          <cell r="D1688" t="str">
            <v>18KA</v>
          </cell>
          <cell r="BA1688">
            <v>4544.79</v>
          </cell>
        </row>
        <row r="1689">
          <cell r="C1689" t="str">
            <v>4005 - HARDWOOD BOARDS</v>
          </cell>
          <cell r="D1689" t="str">
            <v>13SALDER</v>
          </cell>
          <cell r="BA1689">
            <v>1.53</v>
          </cell>
        </row>
        <row r="1690">
          <cell r="C1690" t="str">
            <v>4005 - HARDWOOD BOARDS</v>
          </cell>
          <cell r="D1690" t="str">
            <v>15SALDER</v>
          </cell>
          <cell r="BA1690">
            <v>2.86</v>
          </cell>
        </row>
        <row r="1691">
          <cell r="C1691" t="str">
            <v>4005 - HARDWOOD BOARDS</v>
          </cell>
          <cell r="D1691" t="str">
            <v>14410CBB</v>
          </cell>
          <cell r="BA1691">
            <v>5.29</v>
          </cell>
        </row>
        <row r="1692">
          <cell r="C1692" t="str">
            <v>4005 - HARDWOOD BOARDS</v>
          </cell>
          <cell r="D1692" t="str">
            <v>144CBB</v>
          </cell>
          <cell r="BA1692">
            <v>0.53</v>
          </cell>
        </row>
        <row r="1693">
          <cell r="C1693" t="str">
            <v>4005 - HARDWOOD BOARDS</v>
          </cell>
          <cell r="D1693" t="str">
            <v>14CHERRYS3S</v>
          </cell>
          <cell r="BA1693">
            <v>4671.55</v>
          </cell>
        </row>
        <row r="1694">
          <cell r="C1694" t="str">
            <v>4005 - HARDWOOD BOARDS</v>
          </cell>
          <cell r="D1694" t="str">
            <v>14ALDERS2SSL1EB</v>
          </cell>
          <cell r="BA1694">
            <v>4477.0600000000004</v>
          </cell>
        </row>
        <row r="1695">
          <cell r="C1695" t="str">
            <v>4005 - HARDWOOD BOARDS</v>
          </cell>
          <cell r="D1695" t="str">
            <v>14EMAPLES2SSL1E</v>
          </cell>
          <cell r="BA1695">
            <v>5987.98</v>
          </cell>
        </row>
        <row r="1696">
          <cell r="C1696" t="str">
            <v>4005 - HARDWOOD BOARDS</v>
          </cell>
          <cell r="D1696" t="str">
            <v>14OAKS2SSL1B</v>
          </cell>
          <cell r="BA1696">
            <v>3588.24</v>
          </cell>
        </row>
        <row r="1697">
          <cell r="C1697" t="str">
            <v>4006 - SYNBOARD/PVC TRIM</v>
          </cell>
          <cell r="D1697" t="str">
            <v>CNG448</v>
          </cell>
          <cell r="BA1697">
            <v>43.3</v>
          </cell>
        </row>
        <row r="1698">
          <cell r="C1698" t="str">
            <v>4006 - SYNBOARD/PVC TRIM</v>
          </cell>
          <cell r="D1698" t="str">
            <v>CNG4410</v>
          </cell>
          <cell r="BA1698">
            <v>54.27</v>
          </cell>
        </row>
        <row r="1699">
          <cell r="C1699" t="str">
            <v>4006 - SYNBOARD/PVC TRIM</v>
          </cell>
          <cell r="D1699" t="str">
            <v>CNG4412</v>
          </cell>
          <cell r="BA1699">
            <v>65.67</v>
          </cell>
        </row>
        <row r="1700">
          <cell r="C1700" t="str">
            <v>4009 - CEDAR/CYPRESS BOARDS</v>
          </cell>
          <cell r="D1700" t="str">
            <v>54410RSC</v>
          </cell>
          <cell r="BA1700">
            <v>7352.94</v>
          </cell>
        </row>
        <row r="1701">
          <cell r="C1701" t="str">
            <v>4009 - CEDAR/CYPRESS BOARDS</v>
          </cell>
          <cell r="D1701" t="str">
            <v>54412RSC</v>
          </cell>
          <cell r="BA1701">
            <v>7352.94</v>
          </cell>
        </row>
        <row r="1702">
          <cell r="C1702" t="str">
            <v>4009 - CEDAR/CYPRESS BOARDS</v>
          </cell>
          <cell r="D1702" t="str">
            <v>5448RSC</v>
          </cell>
          <cell r="BA1702">
            <v>7352.94</v>
          </cell>
        </row>
        <row r="1703">
          <cell r="C1703" t="str">
            <v>4009 - CEDAR/CYPRESS BOARDS</v>
          </cell>
          <cell r="D1703" t="str">
            <v>16TGTKCEDARRL</v>
          </cell>
          <cell r="BA1703">
            <v>4017.65</v>
          </cell>
        </row>
        <row r="1704">
          <cell r="C1704" t="str">
            <v>4009 - CEDAR/CYPRESS BOARDS</v>
          </cell>
          <cell r="D1704" t="str">
            <v>168TGCEDAR</v>
          </cell>
          <cell r="BA1704">
            <v>16.07</v>
          </cell>
        </row>
        <row r="1705">
          <cell r="C1705" t="str">
            <v>4009 - CEDAR/CYPRESS BOARDS</v>
          </cell>
          <cell r="D1705" t="str">
            <v>1610TGCEDAR</v>
          </cell>
          <cell r="BA1705">
            <v>20.09</v>
          </cell>
        </row>
        <row r="1706">
          <cell r="C1706" t="str">
            <v>4009 - CEDAR/CYPRESS BOARDS</v>
          </cell>
          <cell r="D1706" t="str">
            <v>1612TGCEDAR</v>
          </cell>
          <cell r="BA1706">
            <v>24.11</v>
          </cell>
        </row>
        <row r="1707">
          <cell r="C1707" t="str">
            <v>4009 - CEDAR/CYPRESS BOARDS</v>
          </cell>
          <cell r="D1707" t="str">
            <v>1614TGCEDAR</v>
          </cell>
          <cell r="BA1707">
            <v>28.13</v>
          </cell>
        </row>
        <row r="1708">
          <cell r="C1708" t="str">
            <v>4009 - CEDAR/CYPRESS BOARDS</v>
          </cell>
          <cell r="D1708" t="str">
            <v>1616TGCEDAR</v>
          </cell>
          <cell r="BA1708">
            <v>32.14</v>
          </cell>
        </row>
        <row r="1709">
          <cell r="C1709" t="str">
            <v>4009 - CEDAR/CYPRESS BOARDS</v>
          </cell>
          <cell r="D1709" t="str">
            <v>1620TGCEDAR</v>
          </cell>
          <cell r="BA1709">
            <v>40.18</v>
          </cell>
        </row>
        <row r="1710">
          <cell r="C1710" t="str">
            <v>4009 - CEDAR/CYPRESS BOARDS</v>
          </cell>
          <cell r="D1710" t="str">
            <v>3410CBVL</v>
          </cell>
          <cell r="BA1710">
            <v>3.18</v>
          </cell>
        </row>
        <row r="1711">
          <cell r="C1711" t="str">
            <v>4009 - CEDAR/CYPRESS BOARDS</v>
          </cell>
          <cell r="D1711" t="str">
            <v>138RSGWRC</v>
          </cell>
          <cell r="BA1711">
            <v>1994.12</v>
          </cell>
        </row>
        <row r="1712">
          <cell r="C1712" t="str">
            <v>4009 - CEDAR/CYPRESS BOARDS</v>
          </cell>
          <cell r="D1712" t="str">
            <v>1310RSGWRC</v>
          </cell>
          <cell r="BA1712">
            <v>1994.12</v>
          </cell>
        </row>
        <row r="1713">
          <cell r="C1713" t="str">
            <v>4009 - CEDAR/CYPRESS BOARDS</v>
          </cell>
          <cell r="D1713" t="str">
            <v>1312RSGWRC</v>
          </cell>
          <cell r="BA1713">
            <v>1994.12</v>
          </cell>
        </row>
        <row r="1714">
          <cell r="C1714" t="str">
            <v>4009 - CEDAR/CYPRESS BOARDS</v>
          </cell>
          <cell r="D1714" t="str">
            <v>1314RSGWRC</v>
          </cell>
          <cell r="BA1714">
            <v>1994.12</v>
          </cell>
        </row>
        <row r="1715">
          <cell r="C1715" t="str">
            <v>4009 - CEDAR/CYPRESS BOARDS</v>
          </cell>
          <cell r="D1715" t="str">
            <v>1316RSGWRC</v>
          </cell>
          <cell r="BA1715">
            <v>1994.12</v>
          </cell>
        </row>
        <row r="1716">
          <cell r="C1716" t="str">
            <v>4009 - CEDAR/CYPRESS BOARDS</v>
          </cell>
          <cell r="D1716" t="str">
            <v>148RSGWRC</v>
          </cell>
          <cell r="BA1716">
            <v>1641.18</v>
          </cell>
        </row>
        <row r="1717">
          <cell r="C1717" t="str">
            <v>4009 - CEDAR/CYPRESS BOARDS</v>
          </cell>
          <cell r="D1717" t="str">
            <v>1410RSGWRC</v>
          </cell>
          <cell r="BA1717">
            <v>1641.18</v>
          </cell>
        </row>
        <row r="1718">
          <cell r="C1718" t="str">
            <v>4009 - CEDAR/CYPRESS BOARDS</v>
          </cell>
          <cell r="D1718" t="str">
            <v>1412RSGWRC</v>
          </cell>
          <cell r="BA1718">
            <v>1805.88</v>
          </cell>
        </row>
        <row r="1719">
          <cell r="C1719" t="str">
            <v>4009 - CEDAR/CYPRESS BOARDS</v>
          </cell>
          <cell r="D1719" t="str">
            <v>1414RSGWRC</v>
          </cell>
          <cell r="BA1719">
            <v>1641.18</v>
          </cell>
        </row>
        <row r="1720">
          <cell r="C1720" t="str">
            <v>4009 - CEDAR/CYPRESS BOARDS</v>
          </cell>
          <cell r="D1720" t="str">
            <v>1416RSGWRC</v>
          </cell>
          <cell r="BA1720">
            <v>1805.88</v>
          </cell>
        </row>
        <row r="1721">
          <cell r="C1721" t="str">
            <v>4009 - CEDAR/CYPRESS BOARDS</v>
          </cell>
          <cell r="D1721" t="str">
            <v>168RSGWRC</v>
          </cell>
          <cell r="BA1721">
            <v>2852.94</v>
          </cell>
        </row>
        <row r="1722">
          <cell r="C1722" t="str">
            <v>4009 - CEDAR/CYPRESS BOARDS</v>
          </cell>
          <cell r="D1722" t="str">
            <v>1610RSGWRC</v>
          </cell>
          <cell r="BA1722">
            <v>2852.94</v>
          </cell>
        </row>
        <row r="1723">
          <cell r="C1723" t="str">
            <v>4009 - CEDAR/CYPRESS BOARDS</v>
          </cell>
          <cell r="D1723" t="str">
            <v>1612RSGWRC</v>
          </cell>
          <cell r="BA1723">
            <v>2852.94</v>
          </cell>
        </row>
        <row r="1724">
          <cell r="C1724" t="str">
            <v>4009 - CEDAR/CYPRESS BOARDS</v>
          </cell>
          <cell r="D1724" t="str">
            <v>1614RSGWRC</v>
          </cell>
          <cell r="BA1724">
            <v>2852.94</v>
          </cell>
        </row>
        <row r="1725">
          <cell r="C1725" t="str">
            <v>4009 - CEDAR/CYPRESS BOARDS</v>
          </cell>
          <cell r="D1725" t="str">
            <v>1616RSGWRC</v>
          </cell>
          <cell r="BA1725">
            <v>2852.94</v>
          </cell>
        </row>
        <row r="1726">
          <cell r="C1726" t="str">
            <v>4009 - CEDAR/CYPRESS BOARDS</v>
          </cell>
          <cell r="D1726" t="str">
            <v>188RSGWRC</v>
          </cell>
          <cell r="BA1726">
            <v>3288.24</v>
          </cell>
        </row>
        <row r="1727">
          <cell r="C1727" t="str">
            <v>4009 - CEDAR/CYPRESS BOARDS</v>
          </cell>
          <cell r="D1727" t="str">
            <v>1810RSGWRC</v>
          </cell>
          <cell r="BA1727">
            <v>3288.24</v>
          </cell>
        </row>
        <row r="1728">
          <cell r="C1728" t="str">
            <v>4009 - CEDAR/CYPRESS BOARDS</v>
          </cell>
          <cell r="D1728" t="str">
            <v>1812RSGWRC</v>
          </cell>
          <cell r="BA1728">
            <v>3288.24</v>
          </cell>
        </row>
        <row r="1729">
          <cell r="C1729" t="str">
            <v>4009 - CEDAR/CYPRESS BOARDS</v>
          </cell>
          <cell r="D1729" t="str">
            <v>1814RSGWRC</v>
          </cell>
          <cell r="BA1729">
            <v>3288.24</v>
          </cell>
        </row>
        <row r="1730">
          <cell r="C1730" t="str">
            <v>4009 - CEDAR/CYPRESS BOARDS</v>
          </cell>
          <cell r="D1730" t="str">
            <v>1816RSGWRC</v>
          </cell>
          <cell r="BA1730">
            <v>3288.24</v>
          </cell>
        </row>
        <row r="1731">
          <cell r="C1731" t="str">
            <v>4009 - CEDAR/CYPRESS BOARDS</v>
          </cell>
          <cell r="D1731" t="str">
            <v>1108RSGWRC</v>
          </cell>
          <cell r="BA1731">
            <v>3411.76</v>
          </cell>
        </row>
        <row r="1732">
          <cell r="C1732" t="str">
            <v>4009 - CEDAR/CYPRESS BOARDS</v>
          </cell>
          <cell r="D1732" t="str">
            <v>11010RSGWRC</v>
          </cell>
          <cell r="BA1732">
            <v>3411.76</v>
          </cell>
        </row>
        <row r="1733">
          <cell r="C1733" t="str">
            <v>4009 - CEDAR/CYPRESS BOARDS</v>
          </cell>
          <cell r="D1733" t="str">
            <v>11012RSGWRC</v>
          </cell>
          <cell r="BA1733">
            <v>4176.47</v>
          </cell>
        </row>
        <row r="1734">
          <cell r="C1734" t="str">
            <v>4009 - CEDAR/CYPRESS BOARDS</v>
          </cell>
          <cell r="D1734" t="str">
            <v>11014RSGWRC</v>
          </cell>
          <cell r="BA1734">
            <v>3411.76</v>
          </cell>
        </row>
        <row r="1735">
          <cell r="C1735" t="str">
            <v>4009 - CEDAR/CYPRESS BOARDS</v>
          </cell>
          <cell r="D1735" t="str">
            <v>11016RSGWRC</v>
          </cell>
          <cell r="BA1735">
            <v>4176.47</v>
          </cell>
        </row>
        <row r="1736">
          <cell r="C1736" t="str">
            <v>4009 - CEDAR/CYPRESS BOARDS</v>
          </cell>
          <cell r="D1736" t="str">
            <v>1128RSGWRC</v>
          </cell>
          <cell r="BA1736">
            <v>5876.47</v>
          </cell>
        </row>
        <row r="1737">
          <cell r="C1737" t="str">
            <v>4009 - CEDAR/CYPRESS BOARDS</v>
          </cell>
          <cell r="D1737" t="str">
            <v>11210RSGWRC</v>
          </cell>
          <cell r="BA1737">
            <v>5876.47</v>
          </cell>
        </row>
        <row r="1738">
          <cell r="C1738" t="str">
            <v>4009 - CEDAR/CYPRESS BOARDS</v>
          </cell>
          <cell r="D1738" t="str">
            <v>11212RSGWRC</v>
          </cell>
          <cell r="BA1738">
            <v>6323.53</v>
          </cell>
        </row>
        <row r="1739">
          <cell r="C1739" t="str">
            <v>4009 - CEDAR/CYPRESS BOARDS</v>
          </cell>
          <cell r="D1739" t="str">
            <v>11216RSGWRC</v>
          </cell>
          <cell r="BA1739">
            <v>6323.53</v>
          </cell>
        </row>
        <row r="1740">
          <cell r="C1740" t="str">
            <v>4009 - CEDAR/CYPRESS BOARDS</v>
          </cell>
          <cell r="D1740" t="str">
            <v>288RSGWRC</v>
          </cell>
          <cell r="BA1740">
            <v>3547.06</v>
          </cell>
        </row>
        <row r="1741">
          <cell r="C1741" t="str">
            <v>4009 - CEDAR/CYPRESS BOARDS</v>
          </cell>
          <cell r="D1741" t="str">
            <v>2810RSGWRC</v>
          </cell>
          <cell r="BA1741">
            <v>3547.06</v>
          </cell>
        </row>
        <row r="1742">
          <cell r="C1742" t="str">
            <v>4009 - CEDAR/CYPRESS BOARDS</v>
          </cell>
          <cell r="D1742" t="str">
            <v>2812RSGWRC</v>
          </cell>
          <cell r="BA1742">
            <v>3547.06</v>
          </cell>
        </row>
        <row r="1743">
          <cell r="C1743" t="str">
            <v>4009 - CEDAR/CYPRESS BOARDS</v>
          </cell>
          <cell r="D1743" t="str">
            <v>21212RSGWRC</v>
          </cell>
          <cell r="BA1743">
            <v>6323.53</v>
          </cell>
        </row>
        <row r="1744">
          <cell r="C1744" t="str">
            <v>4009 - CEDAR/CYPRESS BOARDS</v>
          </cell>
          <cell r="D1744" t="str">
            <v>21210RSGWRC</v>
          </cell>
          <cell r="BA1744">
            <v>6323.53</v>
          </cell>
        </row>
        <row r="1745">
          <cell r="C1745" t="str">
            <v>4009 - CEDAR/CYPRESS BOARDS</v>
          </cell>
          <cell r="D1745" t="str">
            <v>2128RSGWRC</v>
          </cell>
          <cell r="BA1745">
            <v>6323.53</v>
          </cell>
        </row>
        <row r="1746">
          <cell r="C1746" t="str">
            <v>4009 - CEDAR/CYPRESS BOARDS</v>
          </cell>
          <cell r="D1746" t="str">
            <v>21016RSGWRC</v>
          </cell>
          <cell r="BA1746">
            <v>4529.41</v>
          </cell>
        </row>
        <row r="1747">
          <cell r="C1747" t="str">
            <v>4009 - CEDAR/CYPRESS BOARDS</v>
          </cell>
          <cell r="D1747" t="str">
            <v>21012RSGWRC</v>
          </cell>
          <cell r="BA1747">
            <v>4529.41</v>
          </cell>
        </row>
        <row r="1748">
          <cell r="C1748" t="str">
            <v>4009 - CEDAR/CYPRESS BOARDS</v>
          </cell>
          <cell r="D1748" t="str">
            <v>21010RSGWRC</v>
          </cell>
          <cell r="BA1748">
            <v>4529.41</v>
          </cell>
        </row>
        <row r="1749">
          <cell r="C1749" t="str">
            <v>4009 - CEDAR/CYPRESS BOARDS</v>
          </cell>
          <cell r="D1749" t="str">
            <v>2108RSGWRC</v>
          </cell>
          <cell r="BA1749">
            <v>4529.41</v>
          </cell>
        </row>
        <row r="1750">
          <cell r="C1750" t="str">
            <v>4009 - CEDAR/CYPRESS BOARDS</v>
          </cell>
          <cell r="D1750" t="str">
            <v>2820RSGWRC</v>
          </cell>
          <cell r="BA1750">
            <v>3547.06</v>
          </cell>
        </row>
        <row r="1751">
          <cell r="C1751" t="str">
            <v>4009 - CEDAR/CYPRESS BOARDS</v>
          </cell>
          <cell r="D1751" t="str">
            <v>21216RSGWRC</v>
          </cell>
          <cell r="BA1751">
            <v>6323.53</v>
          </cell>
        </row>
        <row r="1752">
          <cell r="C1752" t="str">
            <v>4009 - CEDAR/CYPRESS BOARDS</v>
          </cell>
          <cell r="D1752" t="str">
            <v>2816RSGWRC</v>
          </cell>
          <cell r="BA1752">
            <v>3547.06</v>
          </cell>
        </row>
        <row r="1753">
          <cell r="C1753" t="str">
            <v>4009 - CEDAR/CYPRESS BOARDS</v>
          </cell>
          <cell r="D1753" t="str">
            <v>2814RSGWRC</v>
          </cell>
          <cell r="BA1753">
            <v>3547.06</v>
          </cell>
        </row>
        <row r="1754">
          <cell r="C1754" t="str">
            <v>4009 - CEDAR/CYPRESS BOARDS</v>
          </cell>
          <cell r="D1754" t="str">
            <v>5448RSGWRC</v>
          </cell>
          <cell r="BA1754">
            <v>2823.53</v>
          </cell>
        </row>
        <row r="1755">
          <cell r="C1755" t="str">
            <v>4009 - CEDAR/CYPRESS BOARDS</v>
          </cell>
          <cell r="D1755" t="str">
            <v>54410RSGWRC</v>
          </cell>
          <cell r="BA1755">
            <v>2823.53</v>
          </cell>
        </row>
        <row r="1756">
          <cell r="C1756" t="str">
            <v>4009 - CEDAR/CYPRESS BOARDS</v>
          </cell>
          <cell r="D1756" t="str">
            <v>54412RSGWRC</v>
          </cell>
          <cell r="BA1756">
            <v>2825.29</v>
          </cell>
        </row>
        <row r="1757">
          <cell r="C1757" t="str">
            <v>4009 - CEDAR/CYPRESS BOARDS</v>
          </cell>
          <cell r="D1757" t="str">
            <v>54416RSGWRC</v>
          </cell>
          <cell r="BA1757">
            <v>2841.18</v>
          </cell>
        </row>
        <row r="1758">
          <cell r="C1758" t="str">
            <v>4009 - CEDAR/CYPRESS BOARDS</v>
          </cell>
          <cell r="D1758" t="str">
            <v>5468RSGWRC</v>
          </cell>
          <cell r="BA1758">
            <v>3778.55</v>
          </cell>
        </row>
        <row r="1759">
          <cell r="C1759" t="str">
            <v>4009 - CEDAR/CYPRESS BOARDS</v>
          </cell>
          <cell r="D1759" t="str">
            <v>54610RSGWRC</v>
          </cell>
          <cell r="BA1759">
            <v>3807.36</v>
          </cell>
        </row>
        <row r="1760">
          <cell r="C1760" t="str">
            <v>4009 - CEDAR/CYPRESS BOARDS</v>
          </cell>
          <cell r="D1760" t="str">
            <v>54612RSGWRC</v>
          </cell>
          <cell r="BA1760">
            <v>3809.34</v>
          </cell>
        </row>
        <row r="1761">
          <cell r="C1761" t="str">
            <v>4009 - CEDAR/CYPRESS BOARDS</v>
          </cell>
          <cell r="D1761" t="str">
            <v>54614RSGWRC</v>
          </cell>
          <cell r="BA1761">
            <v>5405.89</v>
          </cell>
        </row>
        <row r="1762">
          <cell r="C1762" t="str">
            <v>4009 - CEDAR/CYPRESS BOARDS</v>
          </cell>
          <cell r="D1762" t="str">
            <v>54616RSGWRC</v>
          </cell>
          <cell r="BA1762">
            <v>3888.22</v>
          </cell>
        </row>
        <row r="1763">
          <cell r="C1763" t="str">
            <v>4009 - CEDAR/CYPRESS BOARDS</v>
          </cell>
          <cell r="D1763" t="str">
            <v>5488RSGWRC</v>
          </cell>
          <cell r="BA1763">
            <v>3712.77</v>
          </cell>
        </row>
        <row r="1764">
          <cell r="C1764" t="str">
            <v>4009 - CEDAR/CYPRESS BOARDS</v>
          </cell>
          <cell r="D1764" t="str">
            <v>54810RSGWRC</v>
          </cell>
          <cell r="BA1764">
            <v>4284.8999999999996</v>
          </cell>
        </row>
        <row r="1765">
          <cell r="C1765" t="str">
            <v>4009 - CEDAR/CYPRESS BOARDS</v>
          </cell>
          <cell r="D1765" t="str">
            <v>54812RSGWRC</v>
          </cell>
          <cell r="BA1765">
            <v>4397.72</v>
          </cell>
        </row>
        <row r="1766">
          <cell r="C1766" t="str">
            <v>4009 - CEDAR/CYPRESS BOARDS</v>
          </cell>
          <cell r="D1766" t="str">
            <v>14TGCCKDCLR</v>
          </cell>
          <cell r="BA1766">
            <v>9951.0400000000009</v>
          </cell>
        </row>
        <row r="1767">
          <cell r="C1767" t="str">
            <v>4009 - CEDAR/CYPRESS BOARDS</v>
          </cell>
          <cell r="D1767" t="str">
            <v>1412TGCKDTK</v>
          </cell>
          <cell r="BA1767">
            <v>2229.41</v>
          </cell>
        </row>
        <row r="1768">
          <cell r="C1768" t="str">
            <v>4009 - CEDAR/CYPRESS BOARDS</v>
          </cell>
          <cell r="D1768" t="str">
            <v>1410TGCKDTK</v>
          </cell>
          <cell r="BA1768">
            <v>2229.41</v>
          </cell>
        </row>
        <row r="1769">
          <cell r="C1769" t="str">
            <v>4009 - CEDAR/CYPRESS BOARDS</v>
          </cell>
          <cell r="D1769" t="str">
            <v>148TGCKDTK</v>
          </cell>
          <cell r="BA1769">
            <v>2229.41</v>
          </cell>
        </row>
        <row r="1770">
          <cell r="C1770" t="str">
            <v>4009 - CEDAR/CYPRESS BOARDS</v>
          </cell>
          <cell r="D1770" t="str">
            <v>14TGC</v>
          </cell>
          <cell r="BA1770">
            <v>2229.41</v>
          </cell>
        </row>
        <row r="1771">
          <cell r="C1771" t="str">
            <v>4009 - CEDAR/CYPRESS BOARDS</v>
          </cell>
          <cell r="D1771" t="str">
            <v>1416TGCKDTK</v>
          </cell>
          <cell r="BA1771">
            <v>2229.41</v>
          </cell>
        </row>
        <row r="1772">
          <cell r="C1772" t="str">
            <v>4009 - CEDAR/CYPRESS BOARDS</v>
          </cell>
          <cell r="D1772" t="str">
            <v>1414TGCKDTK</v>
          </cell>
          <cell r="BA1772">
            <v>2229.41</v>
          </cell>
        </row>
        <row r="1773">
          <cell r="C1773" t="str">
            <v>4009 - CEDAR/CYPRESS BOARDS</v>
          </cell>
          <cell r="D1773" t="str">
            <v>16TGCCLR</v>
          </cell>
          <cell r="BA1773">
            <v>10988.24</v>
          </cell>
        </row>
        <row r="1774">
          <cell r="C1774" t="str">
            <v>4009 - CEDAR/CYPRESS BOARDS</v>
          </cell>
          <cell r="D1774" t="str">
            <v>16TGC</v>
          </cell>
          <cell r="BA1774">
            <v>4017.65</v>
          </cell>
        </row>
        <row r="1775">
          <cell r="C1775" t="str">
            <v>4009 - CEDAR/CYPRESS BOARDS</v>
          </cell>
          <cell r="D1775" t="str">
            <v>5448RSGWRCC</v>
          </cell>
          <cell r="BA1775">
            <v>8082.35</v>
          </cell>
        </row>
        <row r="1776">
          <cell r="C1776" t="str">
            <v>4009 - CEDAR/CYPRESS BOARDS</v>
          </cell>
          <cell r="D1776" t="str">
            <v>54410RSGWRCC</v>
          </cell>
          <cell r="BA1776">
            <v>8403.2900000000009</v>
          </cell>
        </row>
        <row r="1777">
          <cell r="C1777" t="str">
            <v>4009 - CEDAR/CYPRESS BOARDS</v>
          </cell>
          <cell r="D1777" t="str">
            <v>54412RSGWRCC</v>
          </cell>
          <cell r="BA1777">
            <v>8082.35</v>
          </cell>
        </row>
        <row r="1778">
          <cell r="C1778" t="str">
            <v>4009 - CEDAR/CYPRESS BOARDS</v>
          </cell>
          <cell r="D1778" t="str">
            <v>54416RSGWRCC</v>
          </cell>
          <cell r="BA1778">
            <v>7501.76</v>
          </cell>
        </row>
        <row r="1779">
          <cell r="C1779" t="str">
            <v>4009 - CEDAR/CYPRESS BOARDS</v>
          </cell>
          <cell r="D1779" t="str">
            <v>5468RSGWRCC</v>
          </cell>
          <cell r="BA1779">
            <v>9164.7099999999991</v>
          </cell>
        </row>
        <row r="1780">
          <cell r="C1780" t="str">
            <v>4009 - CEDAR/CYPRESS BOARDS</v>
          </cell>
          <cell r="D1780" t="str">
            <v>54610RSGWRCC</v>
          </cell>
          <cell r="BA1780">
            <v>8700</v>
          </cell>
        </row>
        <row r="1781">
          <cell r="C1781" t="str">
            <v>4009 - CEDAR/CYPRESS BOARDS</v>
          </cell>
          <cell r="D1781" t="str">
            <v>54612RSGWRCC</v>
          </cell>
          <cell r="BA1781">
            <v>8700</v>
          </cell>
        </row>
        <row r="1782">
          <cell r="C1782" t="str">
            <v>4009 - CEDAR/CYPRESS BOARDS</v>
          </cell>
          <cell r="D1782" t="str">
            <v>5488RSGWRCC</v>
          </cell>
          <cell r="BA1782">
            <v>10111.76</v>
          </cell>
        </row>
        <row r="1783">
          <cell r="C1783" t="str">
            <v>4009 - CEDAR/CYPRESS BOARDS</v>
          </cell>
          <cell r="D1783" t="str">
            <v>54810RSGWRCC</v>
          </cell>
          <cell r="BA1783">
            <v>10111.76</v>
          </cell>
        </row>
        <row r="1784">
          <cell r="C1784" t="str">
            <v>4009 - CEDAR/CYPRESS BOARDS</v>
          </cell>
          <cell r="D1784" t="str">
            <v>54812RSGWRCC</v>
          </cell>
          <cell r="BA1784">
            <v>11747.06</v>
          </cell>
        </row>
        <row r="1785">
          <cell r="C1785" t="str">
            <v>4009 - CEDAR/CYPRESS BOARDS</v>
          </cell>
          <cell r="D1785" t="str">
            <v>2320CYPFJPS</v>
          </cell>
          <cell r="BA1785">
            <v>42.29</v>
          </cell>
        </row>
        <row r="1786">
          <cell r="C1786" t="str">
            <v>4009 - CEDAR/CYPRESS BOARDS</v>
          </cell>
          <cell r="D1786" t="str">
            <v>10218CYPP</v>
          </cell>
          <cell r="BA1786">
            <v>3364.71</v>
          </cell>
        </row>
        <row r="1787">
          <cell r="C1787" t="str">
            <v>4009 - CEDAR/CYPRESS BOARDS</v>
          </cell>
          <cell r="D1787" t="str">
            <v>10220CYPP</v>
          </cell>
          <cell r="BA1787">
            <v>3364.71</v>
          </cell>
        </row>
        <row r="1788">
          <cell r="C1788" t="str">
            <v>4009 - CEDAR/CYPRESS BOARDS</v>
          </cell>
          <cell r="D1788" t="str">
            <v>10318CYPP</v>
          </cell>
          <cell r="BA1788">
            <v>3482.35</v>
          </cell>
        </row>
        <row r="1789">
          <cell r="C1789" t="str">
            <v>4009 - CEDAR/CYPRESS BOARDS</v>
          </cell>
          <cell r="D1789" t="str">
            <v>10320CYPP</v>
          </cell>
          <cell r="BA1789">
            <v>3482.35</v>
          </cell>
        </row>
        <row r="1790">
          <cell r="C1790" t="str">
            <v>4009 - CEDAR/CYPRESS BOARDS</v>
          </cell>
          <cell r="D1790" t="str">
            <v>10418CYPP</v>
          </cell>
          <cell r="BA1790">
            <v>3611.76</v>
          </cell>
        </row>
        <row r="1791">
          <cell r="C1791" t="str">
            <v>4009 - CEDAR/CYPRESS BOARDS</v>
          </cell>
          <cell r="D1791" t="str">
            <v>10420CYPP</v>
          </cell>
          <cell r="BA1791">
            <v>3611.76</v>
          </cell>
        </row>
        <row r="1792">
          <cell r="C1792" t="str">
            <v>4009 - CEDAR/CYPRESS BOARDS</v>
          </cell>
          <cell r="D1792" t="str">
            <v>10618CYPP</v>
          </cell>
          <cell r="BA1792">
            <v>3664.71</v>
          </cell>
        </row>
        <row r="1793">
          <cell r="C1793" t="str">
            <v>4009 - CEDAR/CYPRESS BOARDS</v>
          </cell>
          <cell r="D1793" t="str">
            <v>10620CYPP</v>
          </cell>
          <cell r="BA1793">
            <v>3664.71</v>
          </cell>
        </row>
        <row r="1794">
          <cell r="C1794" t="str">
            <v>4009 - CEDAR/CYPRESS BOARDS</v>
          </cell>
          <cell r="D1794" t="str">
            <v>10818CYPP</v>
          </cell>
          <cell r="BA1794">
            <v>3664.71</v>
          </cell>
        </row>
        <row r="1795">
          <cell r="C1795" t="str">
            <v>4009 - CEDAR/CYPRESS BOARDS</v>
          </cell>
          <cell r="D1795" t="str">
            <v>10820CYPP</v>
          </cell>
          <cell r="BA1795">
            <v>3664.71</v>
          </cell>
        </row>
        <row r="1796">
          <cell r="C1796" t="str">
            <v>4009 - CEDAR/CYPRESS BOARDS</v>
          </cell>
          <cell r="D1796" t="str">
            <v>11020CYPP</v>
          </cell>
          <cell r="BA1796">
            <v>3858.82</v>
          </cell>
        </row>
        <row r="1797">
          <cell r="C1797" t="str">
            <v>4009 - CEDAR/CYPRESS BOARDS</v>
          </cell>
          <cell r="D1797" t="str">
            <v>11220CYPP</v>
          </cell>
          <cell r="BA1797">
            <v>3894.12</v>
          </cell>
        </row>
        <row r="1798">
          <cell r="C1798" t="str">
            <v>4009 - CEDAR/CYPRESS BOARDS</v>
          </cell>
          <cell r="D1798" t="str">
            <v>20218CYPP</v>
          </cell>
          <cell r="BA1798">
            <v>3188.24</v>
          </cell>
        </row>
        <row r="1799">
          <cell r="C1799" t="str">
            <v>4009 - CEDAR/CYPRESS BOARDS</v>
          </cell>
          <cell r="D1799" t="str">
            <v>20220CYPP</v>
          </cell>
          <cell r="BA1799">
            <v>3188.24</v>
          </cell>
        </row>
        <row r="1800">
          <cell r="C1800" t="str">
            <v>4009 - CEDAR/CYPRESS BOARDS</v>
          </cell>
          <cell r="D1800" t="str">
            <v>20418CYPP</v>
          </cell>
          <cell r="BA1800">
            <v>3305.88</v>
          </cell>
        </row>
        <row r="1801">
          <cell r="C1801" t="str">
            <v>4009 - CEDAR/CYPRESS BOARDS</v>
          </cell>
          <cell r="D1801" t="str">
            <v>20420CYPP</v>
          </cell>
          <cell r="BA1801">
            <v>3305.88</v>
          </cell>
        </row>
        <row r="1802">
          <cell r="C1802" t="str">
            <v>4009 - CEDAR/CYPRESS BOARDS</v>
          </cell>
          <cell r="D1802" t="str">
            <v>20618CYPP</v>
          </cell>
          <cell r="BA1802">
            <v>3423.53</v>
          </cell>
        </row>
        <row r="1803">
          <cell r="C1803" t="str">
            <v>4009 - CEDAR/CYPRESS BOARDS</v>
          </cell>
          <cell r="D1803" t="str">
            <v>20620CYPP</v>
          </cell>
          <cell r="BA1803">
            <v>3423.53</v>
          </cell>
        </row>
        <row r="1804">
          <cell r="C1804" t="str">
            <v>4009 - CEDAR/CYPRESS BOARDS</v>
          </cell>
          <cell r="D1804" t="str">
            <v>20818CYPP</v>
          </cell>
          <cell r="BA1804">
            <v>3482.35</v>
          </cell>
        </row>
        <row r="1805">
          <cell r="C1805" t="str">
            <v>4009 - CEDAR/CYPRESS BOARDS</v>
          </cell>
          <cell r="D1805" t="str">
            <v>20820CYPP</v>
          </cell>
          <cell r="BA1805">
            <v>3482.35</v>
          </cell>
        </row>
        <row r="1806">
          <cell r="C1806" t="str">
            <v>4009 - CEDAR/CYPRESS BOARDS</v>
          </cell>
          <cell r="D1806" t="str">
            <v>21018CYPP</v>
          </cell>
          <cell r="BA1806">
            <v>3547.06</v>
          </cell>
        </row>
        <row r="1807">
          <cell r="C1807" t="str">
            <v>4009 - CEDAR/CYPRESS BOARDS</v>
          </cell>
          <cell r="D1807" t="str">
            <v>21020CYPP</v>
          </cell>
          <cell r="BA1807">
            <v>3547.06</v>
          </cell>
        </row>
        <row r="1808">
          <cell r="C1808" t="str">
            <v>4009 - CEDAR/CYPRESS BOARDS</v>
          </cell>
          <cell r="D1808" t="str">
            <v>21218CYPP</v>
          </cell>
          <cell r="BA1808">
            <v>3564.71</v>
          </cell>
        </row>
        <row r="1809">
          <cell r="C1809" t="str">
            <v>4009 - CEDAR/CYPRESS BOARDS</v>
          </cell>
          <cell r="D1809" t="str">
            <v>21220CYPP</v>
          </cell>
          <cell r="BA1809">
            <v>3564.71</v>
          </cell>
        </row>
        <row r="1810">
          <cell r="C1810" t="str">
            <v>4009 - CEDAR/CYPRESS BOARDS</v>
          </cell>
          <cell r="D1810" t="str">
            <v>540318CYPP</v>
          </cell>
          <cell r="BA1810">
            <v>3835.29</v>
          </cell>
        </row>
        <row r="1811">
          <cell r="C1811" t="str">
            <v>4009 - CEDAR/CYPRESS BOARDS</v>
          </cell>
          <cell r="D1811" t="str">
            <v>540320CYPP</v>
          </cell>
          <cell r="BA1811">
            <v>3835.29</v>
          </cell>
        </row>
        <row r="1812">
          <cell r="C1812" t="str">
            <v>4009 - CEDAR/CYPRESS BOARDS</v>
          </cell>
          <cell r="D1812" t="str">
            <v>540418CYPP</v>
          </cell>
          <cell r="BA1812">
            <v>3858.82</v>
          </cell>
        </row>
        <row r="1813">
          <cell r="C1813" t="str">
            <v>4009 - CEDAR/CYPRESS BOARDS</v>
          </cell>
          <cell r="D1813" t="str">
            <v>540420CYPP</v>
          </cell>
          <cell r="BA1813">
            <v>3858.82</v>
          </cell>
        </row>
        <row r="1814">
          <cell r="C1814" t="str">
            <v>4009 - CEDAR/CYPRESS BOARDS</v>
          </cell>
          <cell r="D1814" t="str">
            <v>540618CYPP</v>
          </cell>
          <cell r="BA1814">
            <v>4070.59</v>
          </cell>
        </row>
        <row r="1815">
          <cell r="C1815" t="str">
            <v>4009 - CEDAR/CYPRESS BOARDS</v>
          </cell>
          <cell r="D1815" t="str">
            <v>540620CYPP</v>
          </cell>
          <cell r="BA1815">
            <v>4070.59</v>
          </cell>
        </row>
        <row r="1816">
          <cell r="C1816" t="str">
            <v>4009 - CEDAR/CYPRESS BOARDS</v>
          </cell>
          <cell r="D1816" t="str">
            <v>540818CYPP</v>
          </cell>
          <cell r="BA1816">
            <v>4082.35</v>
          </cell>
        </row>
        <row r="1817">
          <cell r="C1817" t="str">
            <v>4009 - CEDAR/CYPRESS BOARDS</v>
          </cell>
          <cell r="D1817" t="str">
            <v>540820CYPP</v>
          </cell>
          <cell r="BA1817">
            <v>4082.35</v>
          </cell>
        </row>
        <row r="1818">
          <cell r="C1818" t="str">
            <v>4009 - CEDAR/CYPRESS BOARDS</v>
          </cell>
          <cell r="D1818" t="str">
            <v>541018CYPP</v>
          </cell>
          <cell r="BA1818">
            <v>4176.47</v>
          </cell>
        </row>
        <row r="1819">
          <cell r="C1819" t="str">
            <v>4009 - CEDAR/CYPRESS BOARDS</v>
          </cell>
          <cell r="D1819" t="str">
            <v>541020CYPP</v>
          </cell>
          <cell r="BA1819">
            <v>4176.47</v>
          </cell>
        </row>
        <row r="1820">
          <cell r="C1820" t="str">
            <v>4009 - CEDAR/CYPRESS BOARDS</v>
          </cell>
          <cell r="D1820" t="str">
            <v>541218CYPP</v>
          </cell>
          <cell r="BA1820">
            <v>4211.76</v>
          </cell>
        </row>
        <row r="1821">
          <cell r="C1821" t="str">
            <v>4009 - CEDAR/CYPRESS BOARDS</v>
          </cell>
          <cell r="D1821" t="str">
            <v>541220CYPP</v>
          </cell>
          <cell r="BA1821">
            <v>4211.76</v>
          </cell>
        </row>
        <row r="1822">
          <cell r="C1822" t="str">
            <v>4009 - CEDAR/CYPRESS BOARDS</v>
          </cell>
          <cell r="D1822" t="str">
            <v>2320WRCSFJS</v>
          </cell>
          <cell r="BA1822">
            <v>41.69</v>
          </cell>
        </row>
        <row r="1823">
          <cell r="C1823" t="str">
            <v>4009 - CEDAR/CYPRESS BOARDS</v>
          </cell>
          <cell r="D1823" t="str">
            <v>1220RSWRCFJP</v>
          </cell>
          <cell r="BA1823">
            <v>3823.53</v>
          </cell>
        </row>
        <row r="1824">
          <cell r="C1824" t="str">
            <v>4009 - CEDAR/CYPRESS BOARDS</v>
          </cell>
          <cell r="D1824" t="str">
            <v>1320RSWRCFJP</v>
          </cell>
          <cell r="BA1824">
            <v>3823.53</v>
          </cell>
        </row>
        <row r="1825">
          <cell r="C1825" t="str">
            <v>4009 - CEDAR/CYPRESS BOARDS</v>
          </cell>
          <cell r="D1825" t="str">
            <v>1420RSWRCFJP</v>
          </cell>
          <cell r="BA1825">
            <v>3735.29</v>
          </cell>
        </row>
        <row r="1826">
          <cell r="C1826" t="str">
            <v>4009 - CEDAR/CYPRESS BOARDS</v>
          </cell>
          <cell r="D1826" t="str">
            <v>1620RSWRCFJP</v>
          </cell>
          <cell r="BA1826">
            <v>3794.12</v>
          </cell>
        </row>
        <row r="1827">
          <cell r="C1827" t="str">
            <v>4009 - CEDAR/CYPRESS BOARDS</v>
          </cell>
          <cell r="D1827" t="str">
            <v>1820RSWRCFJP</v>
          </cell>
          <cell r="BA1827">
            <v>3911.76</v>
          </cell>
        </row>
        <row r="1828">
          <cell r="C1828" t="str">
            <v>4009 - CEDAR/CYPRESS BOARDS</v>
          </cell>
          <cell r="D1828" t="str">
            <v>11020RSWRCFJP</v>
          </cell>
          <cell r="BA1828">
            <v>4029.41</v>
          </cell>
        </row>
        <row r="1829">
          <cell r="C1829" t="str">
            <v>4009 - CEDAR/CYPRESS BOARDS</v>
          </cell>
          <cell r="D1829" t="str">
            <v>11220RSWRCFJP</v>
          </cell>
          <cell r="BA1829">
            <v>4058.82</v>
          </cell>
        </row>
        <row r="1830">
          <cell r="C1830" t="str">
            <v>4009 - CEDAR/CYPRESS BOARDS</v>
          </cell>
          <cell r="D1830" t="str">
            <v>2220RSWRCFJP</v>
          </cell>
          <cell r="BA1830">
            <v>3758.82</v>
          </cell>
        </row>
        <row r="1831">
          <cell r="C1831" t="str">
            <v>4009 - CEDAR/CYPRESS BOARDS</v>
          </cell>
          <cell r="D1831" t="str">
            <v>2420RSWRCFJP</v>
          </cell>
          <cell r="BA1831">
            <v>3758.82</v>
          </cell>
        </row>
        <row r="1832">
          <cell r="C1832" t="str">
            <v>4009 - CEDAR/CYPRESS BOARDS</v>
          </cell>
          <cell r="D1832" t="str">
            <v>2620RSWRCFJP</v>
          </cell>
          <cell r="BA1832">
            <v>3811.76</v>
          </cell>
        </row>
        <row r="1833">
          <cell r="C1833" t="str">
            <v>4009 - CEDAR/CYPRESS BOARDS</v>
          </cell>
          <cell r="D1833" t="str">
            <v>2820RSWRCFJP</v>
          </cell>
          <cell r="BA1833">
            <v>3929.41</v>
          </cell>
        </row>
        <row r="1834">
          <cell r="C1834" t="str">
            <v>4009 - CEDAR/CYPRESS BOARDS</v>
          </cell>
          <cell r="D1834" t="str">
            <v>21020RSWRCFJP</v>
          </cell>
          <cell r="BA1834">
            <v>4029.41</v>
          </cell>
        </row>
        <row r="1835">
          <cell r="C1835" t="str">
            <v>4009 - CEDAR/CYPRESS BOARDS</v>
          </cell>
          <cell r="D1835" t="str">
            <v>21220RSWRCFJP</v>
          </cell>
          <cell r="BA1835">
            <v>4058.82</v>
          </cell>
        </row>
        <row r="1836">
          <cell r="C1836" t="str">
            <v>4009 - CEDAR/CYPRESS BOARDS</v>
          </cell>
          <cell r="D1836" t="str">
            <v>54320RSWRCFJP</v>
          </cell>
          <cell r="BA1836">
            <v>4294.12</v>
          </cell>
        </row>
        <row r="1837">
          <cell r="C1837" t="str">
            <v>4009 - CEDAR/CYPRESS BOARDS</v>
          </cell>
          <cell r="D1837" t="str">
            <v>54420RSWRCFJP</v>
          </cell>
          <cell r="BA1837">
            <v>4529.41</v>
          </cell>
        </row>
        <row r="1838">
          <cell r="C1838" t="str">
            <v>4009 - CEDAR/CYPRESS BOARDS</v>
          </cell>
          <cell r="D1838" t="str">
            <v>54620RSWRCFJP</v>
          </cell>
          <cell r="BA1838">
            <v>4529.41</v>
          </cell>
        </row>
        <row r="1839">
          <cell r="C1839" t="str">
            <v>4009 - CEDAR/CYPRESS BOARDS</v>
          </cell>
          <cell r="D1839" t="str">
            <v>54820RSWRCFJP</v>
          </cell>
          <cell r="BA1839">
            <v>4647.0600000000004</v>
          </cell>
        </row>
        <row r="1840">
          <cell r="C1840" t="str">
            <v>4009 - CEDAR/CYPRESS BOARDS</v>
          </cell>
          <cell r="D1840" t="str">
            <v>541020RSWRCFJP</v>
          </cell>
          <cell r="BA1840">
            <v>4647.0600000000004</v>
          </cell>
        </row>
        <row r="1841">
          <cell r="C1841" t="str">
            <v>4009 - CEDAR/CYPRESS BOARDS</v>
          </cell>
          <cell r="D1841" t="str">
            <v>541220RSWRCFJP</v>
          </cell>
          <cell r="BA1841">
            <v>4717.6499999999996</v>
          </cell>
        </row>
        <row r="1842">
          <cell r="C1842" t="str">
            <v>4009 - CEDAR/CYPRESS BOARDS</v>
          </cell>
          <cell r="D1842" t="str">
            <v>148FIR</v>
          </cell>
          <cell r="BA1842">
            <v>935.29</v>
          </cell>
        </row>
        <row r="1843">
          <cell r="C1843" t="str">
            <v>4009 - CEDAR/CYPRESS BOARDS</v>
          </cell>
          <cell r="D1843" t="str">
            <v>1410FIR</v>
          </cell>
          <cell r="BA1843">
            <v>935.29</v>
          </cell>
        </row>
        <row r="1844">
          <cell r="C1844" t="str">
            <v>4009 - CEDAR/CYPRESS BOARDS</v>
          </cell>
          <cell r="D1844" t="str">
            <v>1412FIR</v>
          </cell>
          <cell r="BA1844">
            <v>935.3</v>
          </cell>
        </row>
        <row r="1845">
          <cell r="C1845" t="str">
            <v>4009 - CEDAR/CYPRESS BOARDS</v>
          </cell>
          <cell r="D1845" t="str">
            <v>1416FIR</v>
          </cell>
          <cell r="BA1845">
            <v>947.06</v>
          </cell>
        </row>
        <row r="1846">
          <cell r="C1846" t="str">
            <v>4009 - CEDAR/CYPRESS BOARDS</v>
          </cell>
          <cell r="D1846" t="str">
            <v>168FIR</v>
          </cell>
          <cell r="BA1846">
            <v>1017.65</v>
          </cell>
        </row>
        <row r="1847">
          <cell r="C1847" t="str">
            <v>4009 - CEDAR/CYPRESS BOARDS</v>
          </cell>
          <cell r="D1847" t="str">
            <v>1610FIR</v>
          </cell>
          <cell r="BA1847">
            <v>1023.28</v>
          </cell>
        </row>
        <row r="1848">
          <cell r="C1848" t="str">
            <v>4009 - CEDAR/CYPRESS BOARDS</v>
          </cell>
          <cell r="D1848" t="str">
            <v>1612FIR</v>
          </cell>
          <cell r="BA1848">
            <v>1017.81</v>
          </cell>
        </row>
        <row r="1849">
          <cell r="C1849" t="str">
            <v>4009 - CEDAR/CYPRESS BOARDS</v>
          </cell>
          <cell r="D1849" t="str">
            <v>1616FIR</v>
          </cell>
          <cell r="BA1849">
            <v>1017.66</v>
          </cell>
        </row>
        <row r="1850">
          <cell r="C1850" t="str">
            <v>4009 - CEDAR/CYPRESS BOARDS</v>
          </cell>
          <cell r="D1850" t="str">
            <v>26WRCTKKHR</v>
          </cell>
          <cell r="BA1850">
            <v>3.06</v>
          </cell>
        </row>
        <row r="1851">
          <cell r="C1851" t="str">
            <v>4009 - CEDAR/CYPRESS BOARDS</v>
          </cell>
          <cell r="D1851" t="str">
            <v>2612WRCTKKHR</v>
          </cell>
          <cell r="BA1851">
            <v>53.86</v>
          </cell>
        </row>
        <row r="1852">
          <cell r="C1852" t="str">
            <v>4009 - CEDAR/CYPRESS BOARDS</v>
          </cell>
          <cell r="D1852" t="str">
            <v>2614WRCTKKHR</v>
          </cell>
          <cell r="BA1852">
            <v>42.82</v>
          </cell>
        </row>
        <row r="1853">
          <cell r="C1853" t="str">
            <v>4009 - CEDAR/CYPRESS BOARDS</v>
          </cell>
          <cell r="D1853" t="str">
            <v>2610WRCTKKHR</v>
          </cell>
          <cell r="BA1853">
            <v>44.88</v>
          </cell>
        </row>
        <row r="1854">
          <cell r="C1854" t="str">
            <v>4009 - CEDAR/CYPRESS BOARDS</v>
          </cell>
          <cell r="D1854" t="str">
            <v>268WRCTKKHR</v>
          </cell>
          <cell r="BA1854">
            <v>35.909999999999997</v>
          </cell>
        </row>
        <row r="1855">
          <cell r="C1855" t="str">
            <v>4009 - CEDAR/CYPRESS BOARDS</v>
          </cell>
          <cell r="D1855" t="str">
            <v>262020WRCFJPRP</v>
          </cell>
          <cell r="BA1855">
            <v>116.47</v>
          </cell>
        </row>
        <row r="1856">
          <cell r="C1856" t="str">
            <v>4011 - EXTERIOR LOUVERS</v>
          </cell>
          <cell r="D1856" t="str">
            <v>168CFVLV</v>
          </cell>
          <cell r="BA1856">
            <v>15.02</v>
          </cell>
        </row>
        <row r="1857">
          <cell r="C1857" t="str">
            <v>4011 - EXTERIOR LOUVERS</v>
          </cell>
          <cell r="D1857" t="str">
            <v>RCV1218</v>
          </cell>
          <cell r="BA1857">
            <v>41.28</v>
          </cell>
        </row>
        <row r="1858">
          <cell r="C1858" t="str">
            <v>4011 - EXTERIOR LOUVERS</v>
          </cell>
          <cell r="D1858" t="str">
            <v>22OCTVW</v>
          </cell>
          <cell r="BA1858">
            <v>36.53</v>
          </cell>
        </row>
        <row r="1859">
          <cell r="C1859" t="str">
            <v>4011 - EXTERIOR LOUVERS</v>
          </cell>
          <cell r="D1859" t="str">
            <v>1218RVW</v>
          </cell>
          <cell r="BA1859">
            <v>60.34</v>
          </cell>
        </row>
        <row r="1860">
          <cell r="C1860" t="str">
            <v>4011 - EXTERIOR LOUVERS</v>
          </cell>
          <cell r="D1860" t="str">
            <v>1824RVW</v>
          </cell>
          <cell r="BA1860">
            <v>67.989999999999995</v>
          </cell>
        </row>
        <row r="1861">
          <cell r="C1861" t="str">
            <v>4011 - EXTERIOR LOUVERS</v>
          </cell>
          <cell r="D1861" t="str">
            <v>1824RGV</v>
          </cell>
          <cell r="BA1861">
            <v>70.78</v>
          </cell>
        </row>
        <row r="1862">
          <cell r="C1862" t="str">
            <v>4011 - EXTERIOR LOUVERS</v>
          </cell>
          <cell r="D1862" t="str">
            <v>1212GV</v>
          </cell>
          <cell r="BA1862">
            <v>41.02</v>
          </cell>
        </row>
        <row r="1863">
          <cell r="C1863" t="str">
            <v>4015 - MISC. EXTERIOR TRIM</v>
          </cell>
          <cell r="D1863" t="str">
            <v>800BL</v>
          </cell>
          <cell r="BA1863">
            <v>2.35</v>
          </cell>
        </row>
        <row r="1864">
          <cell r="C1864" t="str">
            <v>4015 - MISC. EXTERIOR TRIM</v>
          </cell>
          <cell r="D1864" t="str">
            <v>1316B</v>
          </cell>
          <cell r="BA1864">
            <v>23.4</v>
          </cell>
        </row>
        <row r="1865">
          <cell r="C1865" t="str">
            <v>4015 - MISC. EXTERIOR TRIM</v>
          </cell>
          <cell r="D1865" t="str">
            <v>54416B</v>
          </cell>
          <cell r="BA1865">
            <v>47.39</v>
          </cell>
        </row>
        <row r="1866">
          <cell r="C1866" t="str">
            <v>4015 - MISC. EXTERIOR TRIM</v>
          </cell>
          <cell r="D1866" t="str">
            <v>54616B</v>
          </cell>
          <cell r="BA1866">
            <v>55.87</v>
          </cell>
        </row>
        <row r="1867">
          <cell r="C1867" t="str">
            <v>4015 - MISC. EXTERIOR TRIM</v>
          </cell>
          <cell r="D1867" t="str">
            <v>54816B</v>
          </cell>
          <cell r="BA1867">
            <v>92.26</v>
          </cell>
        </row>
        <row r="1868">
          <cell r="C1868" t="str">
            <v>4015 - MISC. EXTERIOR TRIM</v>
          </cell>
          <cell r="D1868" t="str">
            <v>541016B</v>
          </cell>
          <cell r="BA1868">
            <v>109.74</v>
          </cell>
        </row>
        <row r="1869">
          <cell r="C1869" t="str">
            <v>4015 - MISC. EXTERIOR TRIM</v>
          </cell>
          <cell r="D1869" t="str">
            <v>2416B</v>
          </cell>
          <cell r="BA1869">
            <v>62.11</v>
          </cell>
        </row>
        <row r="1870">
          <cell r="C1870" t="str">
            <v>4015 - MISC. EXTERIOR TRIM</v>
          </cell>
          <cell r="D1870" t="str">
            <v>2616B</v>
          </cell>
          <cell r="BA1870">
            <v>104.41</v>
          </cell>
        </row>
        <row r="1871">
          <cell r="C1871" t="str">
            <v>4015 - MISC. EXTERIOR TRIM</v>
          </cell>
          <cell r="D1871" t="str">
            <v>2816B</v>
          </cell>
          <cell r="BA1871">
            <v>135.78</v>
          </cell>
        </row>
        <row r="1872">
          <cell r="C1872" t="str">
            <v>4015 - MISC. EXTERIOR TRIM</v>
          </cell>
          <cell r="D1872" t="str">
            <v>4812CEDLAT</v>
          </cell>
          <cell r="BA1872">
            <v>53.47</v>
          </cell>
        </row>
        <row r="1873">
          <cell r="C1873" t="str">
            <v>4015 - MISC. EXTERIOR TRIM</v>
          </cell>
          <cell r="D1873" t="str">
            <v>18CEDARLATTICE</v>
          </cell>
          <cell r="BA1873">
            <v>12.65</v>
          </cell>
        </row>
        <row r="1874">
          <cell r="C1874" t="str">
            <v>4015 - MISC. EXTERIOR TRIM</v>
          </cell>
          <cell r="D1874" t="str">
            <v>481CLAT</v>
          </cell>
          <cell r="BA1874">
            <v>23.2</v>
          </cell>
        </row>
        <row r="1875">
          <cell r="C1875" t="str">
            <v>4015 - MISC. EXTERIOR TRIM</v>
          </cell>
          <cell r="D1875" t="str">
            <v>DD1216PCORBEL</v>
          </cell>
          <cell r="BA1875">
            <v>38.979999999999997</v>
          </cell>
        </row>
        <row r="1876">
          <cell r="C1876" t="str">
            <v>4015 - MISC. EXTERIOR TRIM</v>
          </cell>
          <cell r="D1876" t="str">
            <v>DD1520PCORBEL</v>
          </cell>
          <cell r="BA1876">
            <v>54.94</v>
          </cell>
        </row>
        <row r="1877">
          <cell r="C1877" t="str">
            <v>4015 - MISC. EXTERIOR TRIM</v>
          </cell>
          <cell r="D1877" t="str">
            <v>CGC104T</v>
          </cell>
          <cell r="BA1877">
            <v>7703.93</v>
          </cell>
        </row>
        <row r="1878">
          <cell r="C1878" t="str">
            <v>4015 - MISC. EXTERIOR TRIM</v>
          </cell>
          <cell r="D1878" t="str">
            <v>2816HF2ATCGC</v>
          </cell>
          <cell r="BA1878">
            <v>1172.94</v>
          </cell>
        </row>
        <row r="1879">
          <cell r="C1879" t="str">
            <v>4015 - MISC. EXTERIOR TRIM</v>
          </cell>
          <cell r="D1879" t="str">
            <v>FPS10606</v>
          </cell>
          <cell r="BA1879">
            <v>2.46</v>
          </cell>
        </row>
        <row r="1880">
          <cell r="C1880" t="str">
            <v>4015 - MISC. EXTERIOR TRIM</v>
          </cell>
          <cell r="D1880" t="str">
            <v>48SELCEDARLAT</v>
          </cell>
          <cell r="BA1880">
            <v>46.47</v>
          </cell>
        </row>
        <row r="1881">
          <cell r="C1881" t="str">
            <v>4015 - MISC. EXTERIOR TRIM</v>
          </cell>
          <cell r="D1881" t="str">
            <v>48SELCEDARPRILAT</v>
          </cell>
          <cell r="BA1881">
            <v>57.59</v>
          </cell>
        </row>
        <row r="1882">
          <cell r="C1882" t="str">
            <v>4015 - MISC. EXTERIOR TRIM</v>
          </cell>
          <cell r="D1882" t="str">
            <v>MWHLM13810</v>
          </cell>
          <cell r="BA1882">
            <v>3.9</v>
          </cell>
        </row>
        <row r="1883">
          <cell r="C1883" t="str">
            <v>4015 - MISC. EXTERIOR TRIM</v>
          </cell>
          <cell r="D1883" t="str">
            <v>OPH267</v>
          </cell>
          <cell r="BA1883">
            <v>39.68</v>
          </cell>
        </row>
        <row r="1884">
          <cell r="C1884" t="str">
            <v>4015 - MISC. EXTERIOR TRIM</v>
          </cell>
          <cell r="D1884" t="str">
            <v>MWHLM1388</v>
          </cell>
          <cell r="BA1884">
            <v>3.12</v>
          </cell>
        </row>
        <row r="1885">
          <cell r="C1885" t="str">
            <v>4015 - MISC. EXTERIOR TRIM</v>
          </cell>
          <cell r="D1885" t="str">
            <v>OPH264</v>
          </cell>
          <cell r="BA1885">
            <v>98.82</v>
          </cell>
        </row>
        <row r="1886">
          <cell r="C1886" t="str">
            <v>4015 - MISC. EXTERIOR TRIM</v>
          </cell>
          <cell r="D1886" t="str">
            <v>OPH266</v>
          </cell>
          <cell r="BA1886">
            <v>72.47</v>
          </cell>
        </row>
        <row r="1887">
          <cell r="C1887" t="str">
            <v>4075 - EXTERIOR TRIM TOOLS &amp; SUPPLIES</v>
          </cell>
          <cell r="D1887" t="str">
            <v>EZ04</v>
          </cell>
          <cell r="BA1887">
            <v>14.39</v>
          </cell>
        </row>
        <row r="1888">
          <cell r="C1888" t="str">
            <v>4101 - SHINGLES, ASPHALT</v>
          </cell>
          <cell r="D1888" t="str">
            <v>GTTCHHR</v>
          </cell>
          <cell r="BA1888">
            <v>120.99</v>
          </cell>
        </row>
        <row r="1889">
          <cell r="C1889" t="str">
            <v>4101 - SHINGLES, ASPHALT</v>
          </cell>
          <cell r="D1889" t="str">
            <v>OCFDRTDBW</v>
          </cell>
          <cell r="BA1889">
            <v>56.49</v>
          </cell>
        </row>
        <row r="1890">
          <cell r="C1890" t="str">
            <v>4101 - SHINGLES, ASPHALT</v>
          </cell>
          <cell r="D1890" t="str">
            <v>OCFDRTDEG</v>
          </cell>
          <cell r="BA1890">
            <v>52.99</v>
          </cell>
        </row>
        <row r="1891">
          <cell r="C1891" t="str">
            <v>4101 - SHINGLES, ASPHALT</v>
          </cell>
          <cell r="D1891" t="str">
            <v>OCFDRTDOB</v>
          </cell>
          <cell r="BA1891">
            <v>54.99</v>
          </cell>
        </row>
        <row r="1892">
          <cell r="C1892" t="str">
            <v>4101 - SHINGLES, ASPHALT</v>
          </cell>
          <cell r="D1892" t="str">
            <v>OCFDRTDT</v>
          </cell>
          <cell r="BA1892">
            <v>52.49</v>
          </cell>
        </row>
        <row r="1893">
          <cell r="C1893" t="str">
            <v>4101 - SHINGLES, ASPHALT</v>
          </cell>
          <cell r="D1893" t="str">
            <v>OCFPHROB</v>
          </cell>
          <cell r="BA1893">
            <v>106.99</v>
          </cell>
        </row>
        <row r="1894">
          <cell r="C1894" t="str">
            <v>4101 - SHINGLES, ASPHALT</v>
          </cell>
          <cell r="D1894" t="str">
            <v>OCFPHRBW</v>
          </cell>
          <cell r="BA1894">
            <v>102.99</v>
          </cell>
        </row>
        <row r="1895">
          <cell r="C1895" t="str">
            <v>4101 - SHINGLES, ASPHALT</v>
          </cell>
          <cell r="D1895" t="str">
            <v>OCFPHRDW</v>
          </cell>
          <cell r="BA1895">
            <v>100.99</v>
          </cell>
        </row>
        <row r="1896">
          <cell r="C1896" t="str">
            <v>4101 - SHINGLES, ASPHALT</v>
          </cell>
          <cell r="D1896" t="str">
            <v>OCFPHREG</v>
          </cell>
          <cell r="BA1896">
            <v>104.99</v>
          </cell>
        </row>
        <row r="1897">
          <cell r="C1897" t="str">
            <v>4101 - SHINGLES, ASPHALT</v>
          </cell>
          <cell r="D1897" t="str">
            <v>OCFPFHRT</v>
          </cell>
          <cell r="BA1897">
            <v>100.99</v>
          </cell>
        </row>
        <row r="1898">
          <cell r="C1898" t="str">
            <v>4101 - SHINGLES, ASPHALT</v>
          </cell>
          <cell r="D1898" t="str">
            <v>OCFSSP</v>
          </cell>
          <cell r="BA1898">
            <v>88.99</v>
          </cell>
        </row>
        <row r="1899">
          <cell r="C1899" t="str">
            <v>4101 - SHINGLES, ASPHALT</v>
          </cell>
          <cell r="D1899" t="str">
            <v>MRKVARSG</v>
          </cell>
          <cell r="BA1899">
            <v>44.19</v>
          </cell>
        </row>
        <row r="1900">
          <cell r="C1900" t="str">
            <v>4101 - SHINGLES, ASPHALT</v>
          </cell>
          <cell r="D1900" t="str">
            <v>PABPMHRDW</v>
          </cell>
          <cell r="BA1900">
            <v>49.39</v>
          </cell>
        </row>
        <row r="1901">
          <cell r="C1901" t="str">
            <v>4101 - SHINGLES, ASPHALT</v>
          </cell>
          <cell r="D1901" t="str">
            <v>PABPMPW</v>
          </cell>
          <cell r="BA1901">
            <v>19.09</v>
          </cell>
        </row>
        <row r="1902">
          <cell r="C1902" t="str">
            <v>4101 - SHINGLES, ASPHALT</v>
          </cell>
          <cell r="D1902" t="str">
            <v>PABPMWWD</v>
          </cell>
          <cell r="BA1902">
            <v>24.99</v>
          </cell>
        </row>
        <row r="1903">
          <cell r="C1903" t="str">
            <v>4101 - SHINGLES, ASPHALT</v>
          </cell>
          <cell r="D1903" t="str">
            <v>PABPMSG</v>
          </cell>
          <cell r="BA1903">
            <v>19.39</v>
          </cell>
        </row>
        <row r="1904">
          <cell r="C1904" t="str">
            <v>4101 - SHINGLES, ASPHALT</v>
          </cell>
          <cell r="D1904" t="str">
            <v>PABPMASG</v>
          </cell>
          <cell r="BA1904">
            <v>19.39</v>
          </cell>
        </row>
        <row r="1905">
          <cell r="C1905" t="str">
            <v>4101 - SHINGLES, ASPHALT</v>
          </cell>
          <cell r="D1905" t="str">
            <v>PABPMAPG</v>
          </cell>
          <cell r="BA1905">
            <v>30.99</v>
          </cell>
        </row>
        <row r="1906">
          <cell r="C1906" t="str">
            <v>4101 - SHINGLES, ASPHALT</v>
          </cell>
          <cell r="D1906" t="str">
            <v>PABPMADW</v>
          </cell>
          <cell r="BA1906">
            <v>24.99</v>
          </cell>
        </row>
        <row r="1907">
          <cell r="C1907" t="str">
            <v>4101 - SHINGLES, ASPHALT</v>
          </cell>
          <cell r="D1907" t="str">
            <v>PABPMAAB</v>
          </cell>
          <cell r="BA1907">
            <v>30.69</v>
          </cell>
        </row>
        <row r="1908">
          <cell r="C1908" t="str">
            <v>4101 - SHINGLES, ASPHALT</v>
          </cell>
          <cell r="D1908" t="str">
            <v>PABPMHRAB</v>
          </cell>
          <cell r="BA1908">
            <v>70.989999999999995</v>
          </cell>
        </row>
        <row r="1909">
          <cell r="C1909" t="str">
            <v>4101 - SHINGLES, ASPHALT</v>
          </cell>
          <cell r="D1909" t="str">
            <v>PABPMHB</v>
          </cell>
          <cell r="BA1909">
            <v>18.79</v>
          </cell>
        </row>
        <row r="1910">
          <cell r="C1910" t="str">
            <v>4101 - SHINGLES, ASPHALT</v>
          </cell>
          <cell r="D1910" t="str">
            <v>PABPMAWWD</v>
          </cell>
          <cell r="BA1910">
            <v>34.19</v>
          </cell>
        </row>
        <row r="1911">
          <cell r="C1911" t="str">
            <v>4101 - SHINGLES, ASPHALT</v>
          </cell>
          <cell r="D1911" t="str">
            <v>PABTPG</v>
          </cell>
          <cell r="BA1911">
            <v>25.39</v>
          </cell>
        </row>
        <row r="1912">
          <cell r="C1912" t="str">
            <v>4101 - SHINGLES, ASPHALT</v>
          </cell>
          <cell r="D1912" t="str">
            <v>PABTSG</v>
          </cell>
          <cell r="BA1912">
            <v>26.09</v>
          </cell>
        </row>
        <row r="1913">
          <cell r="C1913" t="str">
            <v>4101 - SHINGLES, ASPHALT</v>
          </cell>
          <cell r="D1913" t="str">
            <v>PABTWWHT</v>
          </cell>
          <cell r="BA1913">
            <v>25.09</v>
          </cell>
        </row>
        <row r="1914">
          <cell r="C1914" t="str">
            <v>4101 - SHINGLES, ASPHALT</v>
          </cell>
          <cell r="D1914" t="str">
            <v>PABTWWD</v>
          </cell>
          <cell r="BA1914">
            <v>25.19</v>
          </cell>
        </row>
        <row r="1915">
          <cell r="C1915" t="str">
            <v>4101 - SHINGLES, ASPHALT</v>
          </cell>
          <cell r="D1915" t="str">
            <v>PABTHB</v>
          </cell>
          <cell r="BA1915">
            <v>24.39</v>
          </cell>
        </row>
        <row r="1916">
          <cell r="C1916" t="str">
            <v>4101 - SHINGLES, ASPHALT</v>
          </cell>
          <cell r="D1916" t="str">
            <v>PABPMDW</v>
          </cell>
          <cell r="BA1916">
            <v>19.09</v>
          </cell>
        </row>
        <row r="1917">
          <cell r="C1917" t="str">
            <v>4101 - SHINGLES, ASPHALT</v>
          </cell>
          <cell r="D1917" t="str">
            <v>PABPMAWWHT</v>
          </cell>
          <cell r="BA1917">
            <v>19.39</v>
          </cell>
        </row>
        <row r="1918">
          <cell r="C1918" t="str">
            <v>4102 - ROOFING FELT</v>
          </cell>
          <cell r="D1918" t="str">
            <v>865DURASKRIM</v>
          </cell>
          <cell r="BA1918">
            <v>152.99</v>
          </cell>
        </row>
        <row r="1919">
          <cell r="C1919" t="str">
            <v>4102 - ROOFING FELT</v>
          </cell>
          <cell r="D1919" t="str">
            <v>AA936</v>
          </cell>
          <cell r="BA1919">
            <v>24.99</v>
          </cell>
        </row>
        <row r="1920">
          <cell r="C1920" t="str">
            <v>4102 - ROOFING FELT</v>
          </cell>
          <cell r="D1920" t="str">
            <v>HGRSFSILVER</v>
          </cell>
          <cell r="BA1920">
            <v>94.99</v>
          </cell>
        </row>
        <row r="1921">
          <cell r="C1921" t="str">
            <v>4102 - ROOFING FELT</v>
          </cell>
          <cell r="D1921" t="str">
            <v>15FELT</v>
          </cell>
          <cell r="BA1921">
            <v>47.09</v>
          </cell>
        </row>
        <row r="1922">
          <cell r="C1922" t="str">
            <v>4102 - ROOFING FELT</v>
          </cell>
          <cell r="D1922" t="str">
            <v>15FELT3</v>
          </cell>
          <cell r="BA1922">
            <v>32.49</v>
          </cell>
        </row>
        <row r="1923">
          <cell r="C1923" t="str">
            <v>4102 - ROOFING FELT</v>
          </cell>
          <cell r="D1923" t="str">
            <v>15FELTC</v>
          </cell>
          <cell r="BA1923">
            <v>42.19</v>
          </cell>
        </row>
        <row r="1924">
          <cell r="C1924" t="str">
            <v>4102 - ROOFING FELT</v>
          </cell>
          <cell r="D1924" t="str">
            <v>30SLINERF10</v>
          </cell>
          <cell r="BA1924">
            <v>48.89</v>
          </cell>
        </row>
        <row r="1925">
          <cell r="C1925" t="str">
            <v>4102 - ROOFING FELT</v>
          </cell>
          <cell r="D1925" t="str">
            <v>30FELTC</v>
          </cell>
          <cell r="BA1925">
            <v>46.59</v>
          </cell>
        </row>
        <row r="1926">
          <cell r="C1926" t="str">
            <v>4102 - ROOFING FELT</v>
          </cell>
          <cell r="D1926" t="str">
            <v>FTSYNPLTUBFS</v>
          </cell>
          <cell r="BA1926">
            <v>160.99</v>
          </cell>
        </row>
        <row r="1927">
          <cell r="C1927" t="str">
            <v>4102 - ROOFING FELT</v>
          </cell>
          <cell r="D1927" t="str">
            <v>GRSL154250LWE</v>
          </cell>
          <cell r="BA1927">
            <v>74.989999999999995</v>
          </cell>
        </row>
        <row r="1928">
          <cell r="C1928" t="str">
            <v>4102 - ROOFING FELT</v>
          </cell>
          <cell r="D1928" t="str">
            <v>GRSL2SQHT</v>
          </cell>
          <cell r="BA1928">
            <v>153.99</v>
          </cell>
        </row>
        <row r="1929">
          <cell r="C1929" t="str">
            <v>4102 - ROOFING FELT</v>
          </cell>
          <cell r="D1929" t="str">
            <v>SGUARD30</v>
          </cell>
          <cell r="BA1929">
            <v>99.99</v>
          </cell>
        </row>
        <row r="1930">
          <cell r="C1930" t="str">
            <v>4102 - ROOFING FELT</v>
          </cell>
          <cell r="D1930" t="str">
            <v>GRWR2SQ</v>
          </cell>
          <cell r="BA1930">
            <v>78.489999999999995</v>
          </cell>
        </row>
        <row r="1931">
          <cell r="C1931" t="str">
            <v>4102 - ROOFING FELT</v>
          </cell>
          <cell r="D1931" t="str">
            <v>15FELT4</v>
          </cell>
          <cell r="BA1931">
            <v>33.590000000000003</v>
          </cell>
        </row>
        <row r="1932">
          <cell r="C1932" t="str">
            <v>4102 - ROOFING FELT</v>
          </cell>
          <cell r="D1932" t="str">
            <v>375IWS</v>
          </cell>
          <cell r="BA1932">
            <v>265.99</v>
          </cell>
        </row>
        <row r="1933">
          <cell r="C1933" t="str">
            <v>4102 - ROOFING FELT</v>
          </cell>
          <cell r="D1933" t="str">
            <v>HIWS2</v>
          </cell>
          <cell r="BA1933">
            <v>89.99</v>
          </cell>
        </row>
        <row r="1934">
          <cell r="C1934" t="str">
            <v>4104 - SHINGLES/SHAKES, NON-ASPHALT</v>
          </cell>
          <cell r="D1934" t="str">
            <v>1BLCS</v>
          </cell>
          <cell r="BA1934">
            <v>144.99</v>
          </cell>
        </row>
        <row r="1935">
          <cell r="C1935" t="str">
            <v>4104 - SHINGLES/SHAKES, NON-ASPHALT</v>
          </cell>
          <cell r="D1935" t="str">
            <v>UNCSHI4</v>
          </cell>
          <cell r="BA1935">
            <v>24.59</v>
          </cell>
        </row>
        <row r="1936">
          <cell r="C1936" t="str">
            <v>4104 - SHINGLES/SHAKES, NON-ASPHALT</v>
          </cell>
          <cell r="D1936" t="str">
            <v>SWSHAKE1P</v>
          </cell>
          <cell r="BA1936">
            <v>629.99</v>
          </cell>
        </row>
        <row r="1937">
          <cell r="C1937" t="str">
            <v>4104 - SHINGLES/SHAKES, NON-ASPHALT</v>
          </cell>
          <cell r="D1937" t="str">
            <v>SWSHAKE11/2</v>
          </cell>
          <cell r="BA1937">
            <v>283.99</v>
          </cell>
        </row>
        <row r="1938">
          <cell r="C1938" t="str">
            <v>4104 - SHINGLES/SHAKES, NON-ASPHALT</v>
          </cell>
          <cell r="D1938" t="str">
            <v>SWSHAKE1P1/2</v>
          </cell>
          <cell r="BA1938">
            <v>305.99</v>
          </cell>
        </row>
        <row r="1939">
          <cell r="C1939" t="str">
            <v>4104 - SHINGLES/SHAKES, NON-ASPHALT</v>
          </cell>
          <cell r="D1939" t="str">
            <v>18RLCS</v>
          </cell>
          <cell r="BA1939">
            <v>72.489999999999995</v>
          </cell>
        </row>
        <row r="1940">
          <cell r="C1940" t="str">
            <v>4105 - METAL ROOFING</v>
          </cell>
          <cell r="D1940" t="str">
            <v>ST2608PANELG</v>
          </cell>
          <cell r="BA1940">
            <v>28.89</v>
          </cell>
        </row>
        <row r="1941">
          <cell r="C1941" t="str">
            <v>4105 - METAL ROOFING</v>
          </cell>
          <cell r="D1941" t="str">
            <v>ASCC1BR29</v>
          </cell>
          <cell r="BA1941">
            <v>8.69</v>
          </cell>
        </row>
        <row r="1942">
          <cell r="C1942" t="str">
            <v>4105 - METAL ROOFING</v>
          </cell>
          <cell r="D1942" t="str">
            <v>ASCC1</v>
          </cell>
          <cell r="BA1942">
            <v>8.99</v>
          </cell>
        </row>
        <row r="1943">
          <cell r="C1943" t="str">
            <v>4105 - METAL ROOFING</v>
          </cell>
          <cell r="D1943" t="str">
            <v>STVWM6</v>
          </cell>
          <cell r="BA1943">
            <v>4.59</v>
          </cell>
        </row>
        <row r="1944">
          <cell r="C1944" t="str">
            <v>4105 - METAL ROOFING</v>
          </cell>
          <cell r="D1944" t="str">
            <v>ST2612PANELGRY</v>
          </cell>
          <cell r="BA1944">
            <v>42.49</v>
          </cell>
        </row>
        <row r="1945">
          <cell r="C1945" t="str">
            <v>4105 - METAL ROOFING</v>
          </cell>
          <cell r="D1945" t="str">
            <v>101931</v>
          </cell>
          <cell r="BA1945">
            <v>54.99</v>
          </cell>
        </row>
        <row r="1946">
          <cell r="C1946" t="str">
            <v>4105 - METAL ROOFING</v>
          </cell>
          <cell r="D1946" t="str">
            <v>101891</v>
          </cell>
          <cell r="BA1946">
            <v>0.01</v>
          </cell>
        </row>
        <row r="1947">
          <cell r="C1947" t="str">
            <v>4105 - METAL ROOFING</v>
          </cell>
          <cell r="D1947" t="str">
            <v>101930</v>
          </cell>
          <cell r="BA1947">
            <v>45.79</v>
          </cell>
        </row>
        <row r="1948">
          <cell r="C1948" t="str">
            <v>4105 - METAL ROOFING</v>
          </cell>
          <cell r="D1948" t="str">
            <v>101929</v>
          </cell>
          <cell r="BA1948">
            <v>26.69</v>
          </cell>
        </row>
        <row r="1949">
          <cell r="C1949" t="str">
            <v>4105 - METAL ROOFING</v>
          </cell>
          <cell r="D1949" t="str">
            <v>92772</v>
          </cell>
          <cell r="BA1949">
            <v>5.99</v>
          </cell>
        </row>
        <row r="1950">
          <cell r="C1950" t="str">
            <v>4105 - METAL ROOFING</v>
          </cell>
          <cell r="D1950" t="str">
            <v>CLU1125</v>
          </cell>
          <cell r="BA1950">
            <v>12.69</v>
          </cell>
        </row>
        <row r="1951">
          <cell r="C1951" t="str">
            <v>4105 - METAL ROOFING</v>
          </cell>
          <cell r="D1951" t="str">
            <v>ST2610PANELSG</v>
          </cell>
          <cell r="BA1951">
            <v>35.79</v>
          </cell>
        </row>
        <row r="1952">
          <cell r="C1952" t="str">
            <v>4105 - METAL ROOFING</v>
          </cell>
          <cell r="D1952" t="str">
            <v>72HSTWC</v>
          </cell>
          <cell r="BA1952">
            <v>4.59</v>
          </cell>
        </row>
        <row r="1953">
          <cell r="C1953" t="str">
            <v>4105 - METAL ROOFING</v>
          </cell>
          <cell r="D1953" t="str">
            <v>92770</v>
          </cell>
          <cell r="BA1953">
            <v>5.69</v>
          </cell>
        </row>
        <row r="1954">
          <cell r="C1954" t="str">
            <v>4105 - METAL ROOFING</v>
          </cell>
          <cell r="D1954" t="str">
            <v>ST2610PANELC</v>
          </cell>
          <cell r="BA1954">
            <v>35.79</v>
          </cell>
        </row>
        <row r="1955">
          <cell r="C1955" t="str">
            <v>4105 - METAL ROOFING</v>
          </cell>
          <cell r="D1955" t="str">
            <v>ST2612PANELC</v>
          </cell>
          <cell r="BA1955">
            <v>42.49</v>
          </cell>
        </row>
        <row r="1956">
          <cell r="C1956" t="str">
            <v>4105 - METAL ROOFING</v>
          </cell>
          <cell r="D1956" t="str">
            <v>ST268PANELC</v>
          </cell>
          <cell r="BA1956">
            <v>28.89</v>
          </cell>
        </row>
        <row r="1957">
          <cell r="C1957" t="str">
            <v>4105 - METAL ROOFING</v>
          </cell>
          <cell r="D1957" t="str">
            <v>DR2610Z</v>
          </cell>
          <cell r="BA1957">
            <v>36.49</v>
          </cell>
        </row>
        <row r="1958">
          <cell r="C1958" t="str">
            <v>4105 - METAL ROOFING</v>
          </cell>
          <cell r="D1958" t="str">
            <v>DR268Z</v>
          </cell>
          <cell r="BA1958">
            <v>29.19</v>
          </cell>
        </row>
        <row r="1959">
          <cell r="C1959" t="str">
            <v>4105 - METAL ROOFING</v>
          </cell>
          <cell r="D1959" t="str">
            <v>DR2612Z</v>
          </cell>
          <cell r="BA1959">
            <v>43.79</v>
          </cell>
        </row>
        <row r="1960">
          <cell r="C1960" t="str">
            <v>4105 - METAL ROOFING</v>
          </cell>
          <cell r="D1960" t="str">
            <v>BM11612</v>
          </cell>
          <cell r="BA1960">
            <v>5.99</v>
          </cell>
        </row>
        <row r="1961">
          <cell r="C1961" t="str">
            <v>4105 - METAL ROOFING</v>
          </cell>
          <cell r="D1961" t="str">
            <v>ASC2128CORR29</v>
          </cell>
          <cell r="BA1961">
            <v>23.89</v>
          </cell>
        </row>
        <row r="1962">
          <cell r="C1962" t="str">
            <v>4105 - METAL ROOFING</v>
          </cell>
          <cell r="D1962" t="str">
            <v>ASC21210CORR29</v>
          </cell>
          <cell r="BA1962">
            <v>26.99</v>
          </cell>
        </row>
        <row r="1963">
          <cell r="C1963" t="str">
            <v>4105 - METAL ROOFING</v>
          </cell>
          <cell r="D1963" t="str">
            <v>ASC21212CORR29</v>
          </cell>
          <cell r="BA1963">
            <v>31.89</v>
          </cell>
        </row>
        <row r="1964">
          <cell r="C1964" t="str">
            <v>4106 - ROOF CEMENTS, COATINGS</v>
          </cell>
          <cell r="D1964" t="str">
            <v>HWDC10</v>
          </cell>
          <cell r="BA1964">
            <v>4.99</v>
          </cell>
        </row>
        <row r="1965">
          <cell r="C1965" t="str">
            <v>4106 - ROOF CEMENTS, COATINGS</v>
          </cell>
          <cell r="D1965" t="str">
            <v>1GCPA</v>
          </cell>
          <cell r="BA1965">
            <v>15.99</v>
          </cell>
        </row>
        <row r="1966">
          <cell r="C1966" t="str">
            <v>4106 - ROOF CEMENTS, COATINGS</v>
          </cell>
          <cell r="D1966" t="str">
            <v>5NFC</v>
          </cell>
          <cell r="BA1966">
            <v>54.99</v>
          </cell>
        </row>
        <row r="1967">
          <cell r="C1967" t="str">
            <v>4106 - ROOF CEMENTS, COATINGS</v>
          </cell>
          <cell r="D1967" t="str">
            <v>EP00580</v>
          </cell>
          <cell r="BA1967">
            <v>7.59</v>
          </cell>
        </row>
        <row r="1968">
          <cell r="C1968" t="str">
            <v>4106 - ROOF CEMENTS, COATINGS</v>
          </cell>
          <cell r="D1968" t="str">
            <v>EP00570</v>
          </cell>
          <cell r="BA1968">
            <v>7.59</v>
          </cell>
        </row>
        <row r="1969">
          <cell r="C1969" t="str">
            <v>4106 - ROOF CEMENTS, COATINGS</v>
          </cell>
          <cell r="D1969" t="str">
            <v>EP00550</v>
          </cell>
          <cell r="BA1969">
            <v>7.59</v>
          </cell>
        </row>
        <row r="1970">
          <cell r="C1970" t="str">
            <v>4107 - MISC. ROOFING</v>
          </cell>
          <cell r="D1970" t="str">
            <v>OCFMINRLOB</v>
          </cell>
          <cell r="BA1970">
            <v>69.989999999999995</v>
          </cell>
        </row>
        <row r="1971">
          <cell r="C1971" t="str">
            <v>4107 - MISC. ROOFING</v>
          </cell>
          <cell r="D1971" t="str">
            <v>OCFMINRLSW</v>
          </cell>
          <cell r="BA1971">
            <v>82.99</v>
          </cell>
        </row>
        <row r="1972">
          <cell r="C1972" t="str">
            <v>4107 - MISC. ROOFING</v>
          </cell>
          <cell r="D1972" t="str">
            <v>4128JNTFLSH</v>
          </cell>
          <cell r="BA1972">
            <v>31.59</v>
          </cell>
        </row>
        <row r="1973">
          <cell r="C1973" t="str">
            <v>4107 - MISC. ROOFING</v>
          </cell>
          <cell r="D1973" t="str">
            <v>4128JNTFLSHEA</v>
          </cell>
          <cell r="BA1973">
            <v>0.32</v>
          </cell>
        </row>
        <row r="1974">
          <cell r="C1974" t="str">
            <v>4107 - MISC. ROOFING</v>
          </cell>
          <cell r="D1974" t="str">
            <v>TDBASE3</v>
          </cell>
          <cell r="BA1974">
            <v>82.99</v>
          </cell>
        </row>
        <row r="1975">
          <cell r="C1975" t="str">
            <v>4107 - MISC. ROOFING</v>
          </cell>
          <cell r="D1975" t="str">
            <v>GSSTORCH</v>
          </cell>
          <cell r="BA1975">
            <v>120.99</v>
          </cell>
        </row>
        <row r="1976">
          <cell r="C1976" t="str">
            <v>4107 - MISC. ROOFING</v>
          </cell>
          <cell r="D1976" t="str">
            <v>DUNSHINGLE</v>
          </cell>
          <cell r="BA1976">
            <v>23.59</v>
          </cell>
        </row>
        <row r="1977">
          <cell r="C1977" t="str">
            <v>4107 - MISC. ROOFING</v>
          </cell>
          <cell r="D1977" t="str">
            <v>ARS28RA</v>
          </cell>
          <cell r="BA1977">
            <v>51.99</v>
          </cell>
        </row>
        <row r="1978">
          <cell r="C1978" t="str">
            <v>4201 - TAPES/POLY FILMS</v>
          </cell>
          <cell r="D1978" t="str">
            <v>GTP607</v>
          </cell>
          <cell r="BA1978">
            <v>1.69</v>
          </cell>
        </row>
        <row r="1979">
          <cell r="C1979" t="str">
            <v>4201 - TAPES/POLY FILMS</v>
          </cell>
          <cell r="D1979" t="str">
            <v>IPG602</v>
          </cell>
          <cell r="BA1979">
            <v>1.99</v>
          </cell>
        </row>
        <row r="1980">
          <cell r="C1980" t="str">
            <v>4201 - TAPES/POLY FILMS</v>
          </cell>
          <cell r="D1980" t="str">
            <v>TR2X30</v>
          </cell>
          <cell r="BA1980">
            <v>4.29</v>
          </cell>
        </row>
        <row r="1981">
          <cell r="C1981" t="str">
            <v>4201 - TAPES/POLY FILMS</v>
          </cell>
          <cell r="D1981" t="str">
            <v>1275FFB</v>
          </cell>
          <cell r="BA1981">
            <v>77.489999999999995</v>
          </cell>
        </row>
        <row r="1982">
          <cell r="C1982" t="str">
            <v>4201 - TAPES/POLY FILMS</v>
          </cell>
          <cell r="D1982" t="str">
            <v>WB3CH10C</v>
          </cell>
          <cell r="BA1982">
            <v>10.19</v>
          </cell>
        </row>
        <row r="1983">
          <cell r="C1983" t="str">
            <v>4201 - TAPES/POLY FILMS</v>
          </cell>
          <cell r="D1983" t="str">
            <v>HKCF0610C</v>
          </cell>
          <cell r="BA1983">
            <v>41.69</v>
          </cell>
        </row>
        <row r="1984">
          <cell r="C1984" t="str">
            <v>4201 - TAPES/POLY FILMS</v>
          </cell>
          <cell r="D1984" t="str">
            <v>IP9717</v>
          </cell>
          <cell r="BA1984">
            <v>11.99</v>
          </cell>
        </row>
        <row r="1985">
          <cell r="C1985" t="str">
            <v>4201 - TAPES/POLY FILMS</v>
          </cell>
          <cell r="D1985" t="str">
            <v>SB1118393</v>
          </cell>
          <cell r="BA1985">
            <v>5.99</v>
          </cell>
        </row>
        <row r="1986">
          <cell r="C1986" t="str">
            <v>4201 - TAPES/POLY FILMS</v>
          </cell>
          <cell r="D1986" t="str">
            <v>3M2120C</v>
          </cell>
          <cell r="BA1986">
            <v>5.79</v>
          </cell>
        </row>
        <row r="1987">
          <cell r="C1987" t="str">
            <v>4201 - TAPES/POLY FILMS</v>
          </cell>
          <cell r="D1987" t="str">
            <v>DT6900</v>
          </cell>
          <cell r="BA1987">
            <v>6.99</v>
          </cell>
        </row>
        <row r="1988">
          <cell r="C1988" t="str">
            <v>4201 - TAPES/POLY FILMS</v>
          </cell>
          <cell r="D1988" t="str">
            <v>3M2960A</v>
          </cell>
          <cell r="BA1988">
            <v>6.19</v>
          </cell>
        </row>
        <row r="1989">
          <cell r="C1989" t="str">
            <v>4201 - TAPES/POLY FILMS</v>
          </cell>
          <cell r="D1989" t="str">
            <v>IP9600</v>
          </cell>
          <cell r="BA1989">
            <v>13.99</v>
          </cell>
        </row>
        <row r="1990">
          <cell r="C1990" t="str">
            <v>4201 - TAPES/POLY FILMS</v>
          </cell>
          <cell r="D1990" t="str">
            <v>18760DT</v>
          </cell>
          <cell r="BA1990">
            <v>9.99</v>
          </cell>
        </row>
        <row r="1991">
          <cell r="C1991" t="str">
            <v>4201 - TAPES/POLY FILMS</v>
          </cell>
          <cell r="D1991" t="str">
            <v>3M1210A</v>
          </cell>
          <cell r="BA1991">
            <v>3.99</v>
          </cell>
        </row>
        <row r="1992">
          <cell r="C1992" t="str">
            <v>4201 - TAPES/POLY FILMS</v>
          </cell>
          <cell r="D1992" t="str">
            <v>M704080</v>
          </cell>
          <cell r="BA1992">
            <v>25.59</v>
          </cell>
        </row>
        <row r="1993">
          <cell r="C1993" t="str">
            <v>4201 - TAPES/POLY FILMS</v>
          </cell>
          <cell r="D1993" t="str">
            <v>TPMSKFB93</v>
          </cell>
          <cell r="BA1993">
            <v>7.29</v>
          </cell>
        </row>
        <row r="1994">
          <cell r="C1994" t="str">
            <v>4201 - TAPES/POLY FILMS</v>
          </cell>
          <cell r="D1994" t="str">
            <v>HE2059.68</v>
          </cell>
          <cell r="BA1994">
            <v>27.19</v>
          </cell>
        </row>
        <row r="1995">
          <cell r="C1995" t="str">
            <v>4201 - TAPES/POLY FILMS</v>
          </cell>
          <cell r="D1995" t="str">
            <v>HE205954</v>
          </cell>
          <cell r="BA1995">
            <v>52.99</v>
          </cell>
        </row>
        <row r="1996">
          <cell r="C1996" t="str">
            <v>4201 - TAPES/POLY FILMS</v>
          </cell>
          <cell r="D1996" t="str">
            <v>HE205FB855</v>
          </cell>
          <cell r="BA1996">
            <v>79.489999999999995</v>
          </cell>
        </row>
        <row r="1997">
          <cell r="C1997" t="str">
            <v>4201 - TAPES/POLY FILMS</v>
          </cell>
          <cell r="D1997" t="str">
            <v>HEF108097</v>
          </cell>
          <cell r="BA1997">
            <v>93.99</v>
          </cell>
        </row>
        <row r="1998">
          <cell r="C1998" t="str">
            <v>4201 - TAPES/POLY FILMS</v>
          </cell>
          <cell r="D1998" t="str">
            <v>HEFFB97520M</v>
          </cell>
          <cell r="BA1998">
            <v>57.99</v>
          </cell>
        </row>
        <row r="1999">
          <cell r="C1999" t="str">
            <v>4201 - TAPES/POLY FILMS</v>
          </cell>
          <cell r="D1999" t="str">
            <v>HGTAPE2-165</v>
          </cell>
          <cell r="BA1999">
            <v>16.690000000000001</v>
          </cell>
        </row>
        <row r="2000">
          <cell r="C2000" t="str">
            <v>4201 - TAPES/POLY FILMS</v>
          </cell>
          <cell r="D2000" t="str">
            <v>HGSTAPE4-75</v>
          </cell>
          <cell r="BA2000">
            <v>30.19</v>
          </cell>
        </row>
        <row r="2001">
          <cell r="C2001" t="str">
            <v>4201 - TAPES/POLY FILMS</v>
          </cell>
          <cell r="D2001" t="str">
            <v>9150HGHWDRH</v>
          </cell>
          <cell r="BA2001">
            <v>80.989999999999995</v>
          </cell>
        </row>
        <row r="2002">
          <cell r="C2002" t="str">
            <v>4201 - TAPES/POLY FILMS</v>
          </cell>
          <cell r="D2002" t="str">
            <v>DL178TAPE</v>
          </cell>
          <cell r="BA2002">
            <v>11.59</v>
          </cell>
        </row>
        <row r="2003">
          <cell r="C2003" t="str">
            <v>4201 - TAPES/POLY FILMS</v>
          </cell>
          <cell r="D2003" t="str">
            <v>HWT178165</v>
          </cell>
          <cell r="BA2003">
            <v>9.09</v>
          </cell>
        </row>
        <row r="2004">
          <cell r="C2004" t="str">
            <v>4201 - TAPES/POLY FILMS</v>
          </cell>
          <cell r="D2004" t="str">
            <v>475DFTRA</v>
          </cell>
          <cell r="BA2004">
            <v>28.09</v>
          </cell>
        </row>
        <row r="2005">
          <cell r="C2005" t="str">
            <v>4201 - TAPES/POLY FILMS</v>
          </cell>
          <cell r="D2005" t="str">
            <v>BS612FLASH</v>
          </cell>
          <cell r="BA2005">
            <v>28.99</v>
          </cell>
        </row>
        <row r="2006">
          <cell r="C2006" t="str">
            <v>4201 - TAPES/POLY FILMS</v>
          </cell>
          <cell r="D2006" t="str">
            <v>VYCOR475DP</v>
          </cell>
          <cell r="BA2006">
            <v>37.590000000000003</v>
          </cell>
        </row>
        <row r="2007">
          <cell r="C2007" t="str">
            <v>4201 - TAPES/POLY FILMS</v>
          </cell>
          <cell r="D2007" t="str">
            <v>VYCOR475DPLF</v>
          </cell>
          <cell r="BA2007">
            <v>0.31</v>
          </cell>
        </row>
        <row r="2008">
          <cell r="C2008" t="str">
            <v>4201 - TAPES/POLY FILMS</v>
          </cell>
          <cell r="D2008" t="str">
            <v>VYCOR475P</v>
          </cell>
          <cell r="BA2008">
            <v>28.09</v>
          </cell>
        </row>
        <row r="2009">
          <cell r="C2009" t="str">
            <v>4201 - TAPES/POLY FILMS</v>
          </cell>
          <cell r="D2009" t="str">
            <v>VYCOR675P</v>
          </cell>
          <cell r="BA2009">
            <v>32.89</v>
          </cell>
        </row>
        <row r="2010">
          <cell r="C2010" t="str">
            <v>4201 - TAPES/POLY FILMS</v>
          </cell>
          <cell r="D2010" t="str">
            <v>VYCOR975P</v>
          </cell>
          <cell r="BA2010">
            <v>52.49</v>
          </cell>
        </row>
        <row r="2011">
          <cell r="C2011" t="str">
            <v>4201 - TAPES/POLY FILMS</v>
          </cell>
          <cell r="D2011" t="str">
            <v>VYCOR1275P</v>
          </cell>
          <cell r="BA2011">
            <v>63.49</v>
          </cell>
        </row>
        <row r="2012">
          <cell r="C2012" t="str">
            <v>4201 - TAPES/POLY FILMS</v>
          </cell>
          <cell r="D2012" t="str">
            <v>975TBF</v>
          </cell>
          <cell r="BA2012">
            <v>64.989999999999995</v>
          </cell>
        </row>
        <row r="2013">
          <cell r="C2013" t="str">
            <v>4201 - TAPES/POLY FILMS</v>
          </cell>
          <cell r="D2013" t="str">
            <v>475OXBFT</v>
          </cell>
          <cell r="BA2013">
            <v>30.29</v>
          </cell>
        </row>
        <row r="2014">
          <cell r="C2014" t="str">
            <v>4201 - TAPES/POLY FILMS</v>
          </cell>
          <cell r="D2014" t="str">
            <v>675OXBFT</v>
          </cell>
          <cell r="BA2014">
            <v>35.39</v>
          </cell>
        </row>
        <row r="2015">
          <cell r="C2015" t="str">
            <v>4201 - TAPES/POLY FILMS</v>
          </cell>
          <cell r="D2015" t="str">
            <v>WINTEQSEAL</v>
          </cell>
          <cell r="BA2015">
            <v>7.29</v>
          </cell>
        </row>
        <row r="2016">
          <cell r="C2016" t="str">
            <v>4201 - TAPES/POLY FILMS</v>
          </cell>
          <cell r="D2016" t="str">
            <v>WINTEQ4100AFT</v>
          </cell>
          <cell r="BA2016">
            <v>23.09</v>
          </cell>
        </row>
        <row r="2017">
          <cell r="C2017" t="str">
            <v>4201 - TAPES/POLY FILMS</v>
          </cell>
          <cell r="D2017" t="str">
            <v>TST2362165</v>
          </cell>
          <cell r="BA2017">
            <v>17.09</v>
          </cell>
        </row>
        <row r="2018">
          <cell r="C2018" t="str">
            <v>4201 - TAPES/POLY FILMS</v>
          </cell>
          <cell r="D2018" t="str">
            <v>WB97525</v>
          </cell>
          <cell r="BA2018">
            <v>52.99</v>
          </cell>
        </row>
        <row r="2019">
          <cell r="C2019" t="str">
            <v>4201 - TAPES/POLY FILMS</v>
          </cell>
          <cell r="D2019" t="str">
            <v>WB127525</v>
          </cell>
          <cell r="BA2019">
            <v>60.99</v>
          </cell>
        </row>
        <row r="2020">
          <cell r="C2020" t="str">
            <v>4201 - TAPES/POLY FILMS</v>
          </cell>
          <cell r="D2020" t="str">
            <v>PWJT50</v>
          </cell>
          <cell r="BA2020">
            <v>21.99</v>
          </cell>
        </row>
        <row r="2021">
          <cell r="C2021" t="str">
            <v>4201 - TAPES/POLY FILMS</v>
          </cell>
          <cell r="D2021" t="str">
            <v>PWJT450</v>
          </cell>
          <cell r="BA2021">
            <v>37.99</v>
          </cell>
        </row>
        <row r="2022">
          <cell r="C2022" t="str">
            <v>4201 - TAPES/POLY FILMS</v>
          </cell>
          <cell r="D2022" t="str">
            <v>PRP48165</v>
          </cell>
          <cell r="BA2022">
            <v>14.99</v>
          </cell>
        </row>
        <row r="2023">
          <cell r="C2023" t="str">
            <v>4201 - TAPES/POLY FILMS</v>
          </cell>
          <cell r="D2023" t="str">
            <v>PWPSAB45950</v>
          </cell>
          <cell r="BA2023">
            <v>81.99</v>
          </cell>
        </row>
        <row r="2024">
          <cell r="C2024" t="str">
            <v>4201 - TAPES/POLY FILMS</v>
          </cell>
          <cell r="D2024" t="str">
            <v>PWPSAB451250</v>
          </cell>
          <cell r="BA2024">
            <v>109.99</v>
          </cell>
        </row>
        <row r="2025">
          <cell r="C2025" t="str">
            <v>4201 - TAPES/POLY FILMS</v>
          </cell>
          <cell r="D2025" t="str">
            <v>PWPSAB45650</v>
          </cell>
          <cell r="BA2025">
            <v>54.99</v>
          </cell>
        </row>
        <row r="2026">
          <cell r="C2026" t="str">
            <v>4201 - TAPES/POLY FILMS</v>
          </cell>
          <cell r="D2026" t="str">
            <v>GGTAPE3-165</v>
          </cell>
          <cell r="BA2026">
            <v>19.09</v>
          </cell>
        </row>
        <row r="2027">
          <cell r="C2027" t="str">
            <v>4201 - TAPES/POLY FILMS</v>
          </cell>
          <cell r="D2027" t="str">
            <v>TTAPE3-164</v>
          </cell>
          <cell r="BA2027">
            <v>20.59</v>
          </cell>
        </row>
        <row r="2028">
          <cell r="C2028" t="str">
            <v>4201 - TAPES/POLY FILMS</v>
          </cell>
          <cell r="D2028" t="str">
            <v>TTAPE3-164RA</v>
          </cell>
          <cell r="BA2028">
            <v>16.989999999999998</v>
          </cell>
        </row>
        <row r="2029">
          <cell r="C2029" t="str">
            <v>4201 - TAPES/POLY FILMS</v>
          </cell>
          <cell r="D2029" t="str">
            <v>TTAPE2-165</v>
          </cell>
          <cell r="BA2029">
            <v>14.19</v>
          </cell>
        </row>
        <row r="2030">
          <cell r="C2030" t="str">
            <v>4201 - TAPES/POLY FILMS</v>
          </cell>
          <cell r="D2030" t="str">
            <v>475TFTTM</v>
          </cell>
          <cell r="BA2030">
            <v>25.19</v>
          </cell>
        </row>
        <row r="2031">
          <cell r="C2031" t="str">
            <v>4201 - TAPES/POLY FILMS</v>
          </cell>
          <cell r="D2031" t="str">
            <v>TTAPE3-165TM</v>
          </cell>
          <cell r="BA2031">
            <v>15.99</v>
          </cell>
        </row>
        <row r="2032">
          <cell r="C2032" t="str">
            <v>4201 - TAPES/POLY FILMS</v>
          </cell>
          <cell r="D2032" t="str">
            <v>475TF</v>
          </cell>
          <cell r="BA2032">
            <v>40.590000000000003</v>
          </cell>
        </row>
        <row r="2033">
          <cell r="C2033" t="str">
            <v>4201 - TAPES/POLY FILMS</v>
          </cell>
          <cell r="D2033" t="str">
            <v>975TF</v>
          </cell>
          <cell r="BA2033">
            <v>71.489999999999995</v>
          </cell>
        </row>
        <row r="2034">
          <cell r="C2034" t="str">
            <v>4201 - TAPES/POLY FILMS</v>
          </cell>
          <cell r="D2034" t="str">
            <v>675TF</v>
          </cell>
          <cell r="BA2034">
            <v>55.99</v>
          </cell>
        </row>
        <row r="2035">
          <cell r="C2035" t="str">
            <v>4201 - TAPES/POLY FILMS</v>
          </cell>
          <cell r="D2035" t="str">
            <v>TTAPE4-150</v>
          </cell>
          <cell r="BA2035">
            <v>127.99</v>
          </cell>
        </row>
        <row r="2036">
          <cell r="C2036" t="str">
            <v>4201 - TAPES/POLY FILMS</v>
          </cell>
          <cell r="D2036" t="str">
            <v>675TFWNF</v>
          </cell>
          <cell r="BA2036">
            <v>150.99</v>
          </cell>
        </row>
        <row r="2037">
          <cell r="C2037" t="str">
            <v>4201 - TAPES/POLY FILMS</v>
          </cell>
          <cell r="D2037" t="str">
            <v>975TFWNF</v>
          </cell>
          <cell r="BA2037">
            <v>187.99</v>
          </cell>
        </row>
        <row r="2038">
          <cell r="C2038" t="str">
            <v>4201 - TAPES/POLY FILMS</v>
          </cell>
          <cell r="D2038" t="str">
            <v>975TFWNFRA</v>
          </cell>
          <cell r="BA2038">
            <v>160.99</v>
          </cell>
        </row>
        <row r="2039">
          <cell r="C2039" t="str">
            <v>4201 - TAPES/POLY FILMS</v>
          </cell>
          <cell r="D2039" t="str">
            <v>975TFWNFTM</v>
          </cell>
          <cell r="BA2039">
            <v>119.99</v>
          </cell>
        </row>
        <row r="2040">
          <cell r="C2040" t="str">
            <v>4201 - TAPES/POLY FILMS</v>
          </cell>
          <cell r="D2040" t="str">
            <v>TYFWEZ</v>
          </cell>
          <cell r="BA2040">
            <v>22.09</v>
          </cell>
        </row>
        <row r="2041">
          <cell r="C2041" t="str">
            <v>4201 - TAPES/POLY FILMS</v>
          </cell>
          <cell r="D2041" t="str">
            <v>1275TF</v>
          </cell>
          <cell r="BA2041">
            <v>96.49</v>
          </cell>
        </row>
        <row r="2042">
          <cell r="C2042" t="str">
            <v>4201 - TAPES/POLY FILMS</v>
          </cell>
          <cell r="D2042" t="str">
            <v>475ULTI</v>
          </cell>
          <cell r="BA2042">
            <v>19.489999999999998</v>
          </cell>
        </row>
        <row r="2043">
          <cell r="C2043" t="str">
            <v>4201 - TAPES/POLY FILMS</v>
          </cell>
          <cell r="D2043" t="str">
            <v>USHR-010B</v>
          </cell>
          <cell r="BA2043">
            <v>16.989999999999998</v>
          </cell>
        </row>
        <row r="2044">
          <cell r="C2044" t="str">
            <v>4201 - TAPES/POLY FILMS</v>
          </cell>
          <cell r="D2044" t="str">
            <v>3M2093-36EC</v>
          </cell>
          <cell r="BA2044">
            <v>7.59</v>
          </cell>
        </row>
        <row r="2045">
          <cell r="C2045" t="str">
            <v>4201 - TAPES/POLY FILMS</v>
          </cell>
          <cell r="D2045" t="str">
            <v>HFLASHGPA482</v>
          </cell>
          <cell r="BA2045">
            <v>40.19</v>
          </cell>
        </row>
        <row r="2046">
          <cell r="C2046" t="str">
            <v>4201 - TAPES/POLY FILMS</v>
          </cell>
          <cell r="D2046" t="str">
            <v>HFLASH682B</v>
          </cell>
          <cell r="BA2046">
            <v>96.99</v>
          </cell>
        </row>
        <row r="2047">
          <cell r="C2047" t="str">
            <v>4201 - TAPES/POLY FILMS</v>
          </cell>
          <cell r="D2047" t="str">
            <v>HFLASHGPA982</v>
          </cell>
          <cell r="BA2047">
            <v>88.49</v>
          </cell>
        </row>
        <row r="2048">
          <cell r="C2048" t="str">
            <v>4201 - TAPES/POLY FILMS</v>
          </cell>
          <cell r="D2048" t="str">
            <v>HFLASH482B</v>
          </cell>
          <cell r="BA2048">
            <v>60.99</v>
          </cell>
        </row>
        <row r="2049">
          <cell r="C2049" t="str">
            <v>4201 - TAPES/POLY FILMS</v>
          </cell>
          <cell r="D2049" t="str">
            <v>HFLASHGPA682</v>
          </cell>
          <cell r="BA2049">
            <v>61.49</v>
          </cell>
        </row>
        <row r="2050">
          <cell r="C2050" t="str">
            <v>4201 - TAPES/POLY FILMS</v>
          </cell>
          <cell r="D2050" t="str">
            <v>HFLSAHGPA2.382</v>
          </cell>
          <cell r="BA2050">
            <v>23.89</v>
          </cell>
        </row>
        <row r="2051">
          <cell r="C2051" t="str">
            <v>4201 - TAPES/POLY FILMS</v>
          </cell>
          <cell r="D2051" t="str">
            <v>HFLASHGPA2.382</v>
          </cell>
          <cell r="BA2051">
            <v>26.39</v>
          </cell>
        </row>
        <row r="2052">
          <cell r="C2052" t="str">
            <v>4201 - TAPES/POLY FILMS</v>
          </cell>
          <cell r="D2052" t="str">
            <v>HG675FBF</v>
          </cell>
          <cell r="BA2052">
            <v>116.99</v>
          </cell>
        </row>
        <row r="2053">
          <cell r="C2053" t="str">
            <v>4201 - TAPES/POLY FILMS</v>
          </cell>
          <cell r="D2053" t="str">
            <v>10DGFLASH</v>
          </cell>
          <cell r="BA2053">
            <v>9.49</v>
          </cell>
        </row>
        <row r="2054">
          <cell r="C2054" t="str">
            <v>4201 - TAPES/POLY FILMS</v>
          </cell>
          <cell r="D2054" t="str">
            <v>4410BEMF</v>
          </cell>
          <cell r="BA2054">
            <v>15.19</v>
          </cell>
        </row>
        <row r="2055">
          <cell r="C2055" t="str">
            <v>4201 - TAPES/POLY FILMS</v>
          </cell>
          <cell r="D2055" t="str">
            <v>35512WE</v>
          </cell>
          <cell r="BA2055">
            <v>18.489999999999998</v>
          </cell>
        </row>
        <row r="2056">
          <cell r="C2056" t="str">
            <v>4201 - TAPES/POLY FILMS</v>
          </cell>
          <cell r="D2056" t="str">
            <v>NW511019</v>
          </cell>
          <cell r="BA2056">
            <v>0.99</v>
          </cell>
        </row>
        <row r="2057">
          <cell r="C2057" t="str">
            <v>4201 - TAPES/POLY FILMS</v>
          </cell>
          <cell r="D2057" t="str">
            <v>NW516705</v>
          </cell>
          <cell r="BA2057">
            <v>7.09</v>
          </cell>
        </row>
        <row r="2058">
          <cell r="C2058" t="str">
            <v>4201 - TAPES/POLY FILMS</v>
          </cell>
          <cell r="D2058" t="str">
            <v>423838BRZHM</v>
          </cell>
          <cell r="BA2058">
            <v>20.09</v>
          </cell>
        </row>
        <row r="2059">
          <cell r="C2059" t="str">
            <v>4201 - TAPES/POLY FILMS</v>
          </cell>
          <cell r="D2059" t="str">
            <v>21410GSGALV</v>
          </cell>
          <cell r="BA2059">
            <v>10.39</v>
          </cell>
        </row>
        <row r="2060">
          <cell r="C2060" t="str">
            <v>4201 - TAPES/POLY FILMS</v>
          </cell>
          <cell r="D2060" t="str">
            <v>33EFGALV90</v>
          </cell>
          <cell r="BA2060">
            <v>9.69</v>
          </cell>
        </row>
        <row r="2061">
          <cell r="C2061" t="str">
            <v>4201 - TAPES/POLY FILMS</v>
          </cell>
          <cell r="D2061" t="str">
            <v>NW516753</v>
          </cell>
          <cell r="BA2061">
            <v>9.99</v>
          </cell>
        </row>
        <row r="2062">
          <cell r="C2062" t="str">
            <v>4201 - TAPES/POLY FILMS</v>
          </cell>
          <cell r="D2062" t="str">
            <v>13EFGALV90</v>
          </cell>
          <cell r="BA2062">
            <v>5.09</v>
          </cell>
        </row>
        <row r="2063">
          <cell r="C2063" t="str">
            <v>4201 - TAPES/POLY FILMS</v>
          </cell>
          <cell r="D2063" t="str">
            <v>EM380848</v>
          </cell>
          <cell r="BA2063">
            <v>10.19</v>
          </cell>
        </row>
        <row r="2064">
          <cell r="C2064" t="str">
            <v>4201 - TAPES/POLY FILMS</v>
          </cell>
          <cell r="D2064" t="str">
            <v>NW516708</v>
          </cell>
          <cell r="BA2064">
            <v>14.19</v>
          </cell>
        </row>
        <row r="2065">
          <cell r="C2065" t="str">
            <v>4201 - TAPES/POLY FILMS</v>
          </cell>
          <cell r="D2065" t="str">
            <v>NW516721</v>
          </cell>
          <cell r="BA2065">
            <v>6.09</v>
          </cell>
        </row>
        <row r="2066">
          <cell r="C2066" t="str">
            <v>4201 - TAPES/POLY FILMS</v>
          </cell>
          <cell r="D2066" t="str">
            <v>NW516758</v>
          </cell>
          <cell r="BA2066">
            <v>5.89</v>
          </cell>
        </row>
        <row r="2067">
          <cell r="C2067" t="str">
            <v>4201 - TAPES/POLY FILMS</v>
          </cell>
          <cell r="D2067" t="str">
            <v>NW516759</v>
          </cell>
          <cell r="BA2067">
            <v>5.69</v>
          </cell>
        </row>
        <row r="2068">
          <cell r="C2068" t="str">
            <v>4201 - TAPES/POLY FILMS</v>
          </cell>
          <cell r="D2068" t="str">
            <v>NW870125</v>
          </cell>
          <cell r="BA2068">
            <v>4.79</v>
          </cell>
        </row>
        <row r="2069">
          <cell r="C2069" t="str">
            <v>4201 - TAPES/POLY FILMS</v>
          </cell>
          <cell r="D2069" t="str">
            <v>NW516864</v>
          </cell>
          <cell r="BA2069">
            <v>5.99</v>
          </cell>
        </row>
        <row r="2070">
          <cell r="C2070" t="str">
            <v>4201 - TAPES/POLY FILMS</v>
          </cell>
          <cell r="D2070" t="str">
            <v>NW516822</v>
          </cell>
          <cell r="BA2070">
            <v>7.59</v>
          </cell>
        </row>
        <row r="2071">
          <cell r="C2071" t="str">
            <v>4201 - TAPES/POLY FILMS</v>
          </cell>
          <cell r="D2071" t="str">
            <v>NW516821</v>
          </cell>
          <cell r="BA2071">
            <v>6.49</v>
          </cell>
        </row>
        <row r="2072">
          <cell r="C2072" t="str">
            <v>4201 - TAPES/POLY FILMS</v>
          </cell>
          <cell r="D2072" t="str">
            <v>516EMCAPW</v>
          </cell>
          <cell r="BA2072">
            <v>76.489999999999995</v>
          </cell>
        </row>
        <row r="2073">
          <cell r="C2073" t="str">
            <v>4201 - TAPES/POLY FILMS</v>
          </cell>
          <cell r="D2073" t="str">
            <v>12565EMCAPWHT</v>
          </cell>
          <cell r="BA2073">
            <v>30.69</v>
          </cell>
        </row>
        <row r="2074">
          <cell r="C2074" t="str">
            <v>4201 - TAPES/POLY FILMS</v>
          </cell>
          <cell r="D2074" t="str">
            <v>14565EMCAPW</v>
          </cell>
          <cell r="BA2074">
            <v>52.49</v>
          </cell>
        </row>
        <row r="2075">
          <cell r="C2075" t="str">
            <v>4201 - TAPES/POLY FILMS</v>
          </cell>
          <cell r="D2075" t="str">
            <v>145514EMCAPW</v>
          </cell>
          <cell r="BA2075">
            <v>52.49</v>
          </cell>
        </row>
        <row r="2076">
          <cell r="C2076" t="str">
            <v>4201 - TAPES/POLY FILMS</v>
          </cell>
          <cell r="D2076" t="str">
            <v>145534EMCAPW</v>
          </cell>
          <cell r="BA2076">
            <v>39.79</v>
          </cell>
        </row>
        <row r="2077">
          <cell r="C2077" t="str">
            <v>4201 - TAPES/POLY FILMS</v>
          </cell>
          <cell r="D2077" t="str">
            <v>7181238EMCAPW</v>
          </cell>
          <cell r="BA2077">
            <v>78.489999999999995</v>
          </cell>
        </row>
        <row r="2078">
          <cell r="C2078" t="str">
            <v>4201 - TAPES/POLY FILMS</v>
          </cell>
          <cell r="D2078" t="str">
            <v>812SFLBRNBLK</v>
          </cell>
          <cell r="BA2078">
            <v>1.69</v>
          </cell>
        </row>
        <row r="2079">
          <cell r="C2079" t="str">
            <v>4201 - TAPES/POLY FILMS</v>
          </cell>
          <cell r="D2079" t="str">
            <v>EM380674</v>
          </cell>
          <cell r="BA2079">
            <v>8.09</v>
          </cell>
        </row>
        <row r="2080">
          <cell r="C2080" t="str">
            <v>4201 - TAPES/POLY FILMS</v>
          </cell>
          <cell r="D2080" t="str">
            <v>2112LFHB</v>
          </cell>
          <cell r="BA2080">
            <v>9.39</v>
          </cell>
        </row>
        <row r="2081">
          <cell r="C2081" t="str">
            <v>4201 - TAPES/POLY FILMS</v>
          </cell>
          <cell r="D2081" t="str">
            <v>EM380067</v>
          </cell>
          <cell r="BA2081">
            <v>49.79</v>
          </cell>
        </row>
        <row r="2082">
          <cell r="C2082" t="str">
            <v>4201 - TAPES/POLY FILMS</v>
          </cell>
          <cell r="D2082" t="str">
            <v>4214FHWHT</v>
          </cell>
          <cell r="BA2082">
            <v>15.49</v>
          </cell>
        </row>
        <row r="2083">
          <cell r="C2083" t="str">
            <v>4201 - TAPES/POLY FILMS</v>
          </cell>
          <cell r="D2083" t="str">
            <v>111214SZFWHT</v>
          </cell>
          <cell r="BA2083">
            <v>8.39</v>
          </cell>
        </row>
        <row r="2084">
          <cell r="C2084" t="str">
            <v>4201 - TAPES/POLY FILMS</v>
          </cell>
          <cell r="D2084" t="str">
            <v>31RSFB</v>
          </cell>
          <cell r="BA2084">
            <v>16.690000000000001</v>
          </cell>
        </row>
        <row r="2085">
          <cell r="C2085" t="str">
            <v>4201 - TAPES/POLY FILMS</v>
          </cell>
          <cell r="D2085" t="str">
            <v>11514SZFB</v>
          </cell>
          <cell r="BA2085">
            <v>8.39</v>
          </cell>
        </row>
        <row r="2086">
          <cell r="C2086" t="str">
            <v>4201 - TAPES/POLY FILMS</v>
          </cell>
          <cell r="D2086" t="str">
            <v>13SF10B</v>
          </cell>
          <cell r="BA2086">
            <v>16.489999999999998</v>
          </cell>
        </row>
        <row r="2087">
          <cell r="C2087" t="str">
            <v>4201 - TAPES/POLY FILMS</v>
          </cell>
          <cell r="D2087" t="str">
            <v>13SF10BLK</v>
          </cell>
          <cell r="BA2087">
            <v>14.29</v>
          </cell>
        </row>
        <row r="2088">
          <cell r="C2088" t="str">
            <v>4201 - TAPES/POLY FILMS</v>
          </cell>
          <cell r="D2088" t="str">
            <v>111214SZFGALV</v>
          </cell>
          <cell r="BA2088">
            <v>6.79</v>
          </cell>
        </row>
        <row r="2089">
          <cell r="C2089" t="str">
            <v>4201 - TAPES/POLY FILMS</v>
          </cell>
          <cell r="D2089" t="str">
            <v>111414SZFGALV</v>
          </cell>
          <cell r="BA2089">
            <v>6.59</v>
          </cell>
        </row>
        <row r="2090">
          <cell r="C2090" t="str">
            <v>4201 - TAPES/POLY FILMS</v>
          </cell>
          <cell r="D2090" t="str">
            <v>2138MZFGALV</v>
          </cell>
          <cell r="BA2090">
            <v>5.49</v>
          </cell>
        </row>
        <row r="2091">
          <cell r="C2091" t="str">
            <v>4201 - TAPES/POLY FILMS</v>
          </cell>
          <cell r="D2091" t="str">
            <v>EM384534</v>
          </cell>
          <cell r="BA2091">
            <v>1.69</v>
          </cell>
        </row>
        <row r="2092">
          <cell r="C2092" t="str">
            <v>4201 - TAPES/POLY FILMS</v>
          </cell>
          <cell r="D2092" t="str">
            <v>EM381404</v>
          </cell>
          <cell r="BA2092">
            <v>11.09</v>
          </cell>
        </row>
        <row r="2093">
          <cell r="C2093" t="str">
            <v>4201 - TAPES/POLY FILMS</v>
          </cell>
          <cell r="D2093" t="str">
            <v>321412B</v>
          </cell>
          <cell r="BA2093">
            <v>10.99</v>
          </cell>
        </row>
        <row r="2094">
          <cell r="C2094" t="str">
            <v>4201 - TAPES/POLY FILMS</v>
          </cell>
          <cell r="D2094" t="str">
            <v>4238HMDB</v>
          </cell>
          <cell r="BA2094">
            <v>18.39</v>
          </cell>
        </row>
        <row r="2095">
          <cell r="C2095" t="str">
            <v>4201 - TAPES/POLY FILMS</v>
          </cell>
          <cell r="D2095" t="str">
            <v>311410EFBLKGALV</v>
          </cell>
          <cell r="BA2095">
            <v>16.690000000000001</v>
          </cell>
        </row>
        <row r="2096">
          <cell r="C2096" t="str">
            <v>4201 - TAPES/POLY FILMS</v>
          </cell>
          <cell r="D2096" t="str">
            <v>311410EFWHTGALV</v>
          </cell>
          <cell r="BA2096">
            <v>16.690000000000001</v>
          </cell>
        </row>
        <row r="2097">
          <cell r="C2097" t="str">
            <v>4201 - TAPES/POLY FILMS</v>
          </cell>
          <cell r="D2097" t="str">
            <v>1213410SFLW</v>
          </cell>
          <cell r="BA2097">
            <v>5.69</v>
          </cell>
        </row>
        <row r="2098">
          <cell r="C2098" t="str">
            <v>4201 - TAPES/POLY FILMS</v>
          </cell>
          <cell r="D2098" t="str">
            <v>12110KFLW</v>
          </cell>
          <cell r="BA2098">
            <v>3.59</v>
          </cell>
        </row>
        <row r="2099">
          <cell r="C2099" t="str">
            <v>4201 - TAPES/POLY FILMS</v>
          </cell>
          <cell r="D2099" t="str">
            <v>31341ET</v>
          </cell>
          <cell r="BA2099">
            <v>12.19</v>
          </cell>
        </row>
        <row r="2100">
          <cell r="C2100" t="str">
            <v>4201 - TAPES/POLY FILMS</v>
          </cell>
          <cell r="D2100" t="str">
            <v>MD02311</v>
          </cell>
          <cell r="BA2100">
            <v>3.99</v>
          </cell>
        </row>
        <row r="2101">
          <cell r="C2101" t="str">
            <v>4201 - TAPES/POLY FILMS</v>
          </cell>
          <cell r="D2101" t="str">
            <v>ST51</v>
          </cell>
          <cell r="BA2101">
            <v>21.99</v>
          </cell>
        </row>
        <row r="2102">
          <cell r="C2102" t="str">
            <v>4201 - TAPES/POLY FILMS</v>
          </cell>
          <cell r="D2102" t="str">
            <v>25AFT</v>
          </cell>
          <cell r="BA2102">
            <v>17.989999999999998</v>
          </cell>
        </row>
        <row r="2103">
          <cell r="C2103" t="str">
            <v>4201 - TAPES/POLY FILMS</v>
          </cell>
          <cell r="D2103" t="str">
            <v>3M114</v>
          </cell>
          <cell r="BA2103">
            <v>4.99</v>
          </cell>
        </row>
        <row r="2104">
          <cell r="C2104" t="str">
            <v>4201 - TAPES/POLY FILMS</v>
          </cell>
          <cell r="D2104" t="str">
            <v>18300NOF</v>
          </cell>
          <cell r="BA2104">
            <v>80.489999999999995</v>
          </cell>
        </row>
        <row r="2105">
          <cell r="C2105" t="str">
            <v>4201 - TAPES/POLY FILMS</v>
          </cell>
          <cell r="D2105" t="str">
            <v>950FFF</v>
          </cell>
          <cell r="BA2105">
            <v>140.99</v>
          </cell>
        </row>
        <row r="2106">
          <cell r="C2106" t="str">
            <v>4201 - TAPES/POLY FILMS</v>
          </cell>
          <cell r="D2106" t="str">
            <v>2165FST</v>
          </cell>
          <cell r="BA2106">
            <v>16.89</v>
          </cell>
        </row>
        <row r="2107">
          <cell r="C2107" t="str">
            <v>4201 - TAPES/POLY FILMS</v>
          </cell>
          <cell r="D2107" t="str">
            <v>FWT1275</v>
          </cell>
          <cell r="BA2107">
            <v>59.99</v>
          </cell>
        </row>
        <row r="2108">
          <cell r="C2108" t="str">
            <v>4201 - TAPES/POLY FILMS</v>
          </cell>
          <cell r="D2108" t="str">
            <v>MD02790</v>
          </cell>
          <cell r="BA2108">
            <v>3.99</v>
          </cell>
        </row>
        <row r="2109">
          <cell r="C2109" t="str">
            <v>4201 - TAPES/POLY FILMS</v>
          </cell>
          <cell r="D2109" t="str">
            <v>MD02733</v>
          </cell>
          <cell r="BA2109">
            <v>2.99</v>
          </cell>
        </row>
        <row r="2110">
          <cell r="C2110" t="str">
            <v>4201 - TAPES/POLY FILMS</v>
          </cell>
          <cell r="D2110" t="str">
            <v>PA03509H</v>
          </cell>
          <cell r="BA2110">
            <v>25.99</v>
          </cell>
        </row>
        <row r="2111">
          <cell r="C2111" t="str">
            <v>4201 - TAPES/POLY FILMS</v>
          </cell>
          <cell r="D2111" t="str">
            <v>FG-P9941-06</v>
          </cell>
          <cell r="BA2111">
            <v>12.49</v>
          </cell>
        </row>
        <row r="2112">
          <cell r="C2112" t="str">
            <v>4201 - TAPES/POLY FILMS</v>
          </cell>
          <cell r="D2112" t="str">
            <v>VIS410</v>
          </cell>
          <cell r="BA2112">
            <v>28.39</v>
          </cell>
        </row>
        <row r="2113">
          <cell r="C2113" t="str">
            <v>4201 - TAPES/POLY FILMS</v>
          </cell>
          <cell r="D2113" t="str">
            <v>610100C</v>
          </cell>
          <cell r="BA2113">
            <v>42.59</v>
          </cell>
        </row>
        <row r="2114">
          <cell r="C2114" t="str">
            <v>4201 - TAPES/POLY FILMS</v>
          </cell>
          <cell r="D2114" t="str">
            <v>612100C</v>
          </cell>
          <cell r="BA2114">
            <v>51.49</v>
          </cell>
        </row>
        <row r="2115">
          <cell r="C2115" t="str">
            <v>4201 - TAPES/POLY FILMS</v>
          </cell>
          <cell r="D2115" t="str">
            <v>616100C</v>
          </cell>
          <cell r="BA2115">
            <v>67.989999999999995</v>
          </cell>
        </row>
        <row r="2116">
          <cell r="C2116" t="str">
            <v>4201 - TAPES/POLY FILMS</v>
          </cell>
          <cell r="D2116" t="str">
            <v>620100C</v>
          </cell>
          <cell r="BA2116">
            <v>85.99</v>
          </cell>
        </row>
        <row r="2117">
          <cell r="C2117" t="str">
            <v>4201 - TAPES/POLY FILMS</v>
          </cell>
          <cell r="D2117" t="str">
            <v>624100C</v>
          </cell>
          <cell r="BA2117">
            <v>102.99</v>
          </cell>
        </row>
        <row r="2118">
          <cell r="C2118" t="str">
            <v>4201 - TAPES/POLY FILMS</v>
          </cell>
          <cell r="D2118" t="str">
            <v>68100B</v>
          </cell>
          <cell r="BA2118">
            <v>32.29</v>
          </cell>
        </row>
        <row r="2119">
          <cell r="C2119" t="str">
            <v>4201 - TAPES/POLY FILMS</v>
          </cell>
          <cell r="D2119" t="str">
            <v>610100B</v>
          </cell>
          <cell r="BA2119">
            <v>40.29</v>
          </cell>
        </row>
        <row r="2120">
          <cell r="C2120" t="str">
            <v>4201 - TAPES/POLY FILMS</v>
          </cell>
          <cell r="D2120" t="str">
            <v>612100B</v>
          </cell>
          <cell r="BA2120">
            <v>48.39</v>
          </cell>
        </row>
        <row r="2121">
          <cell r="C2121" t="str">
            <v>4201 - TAPES/POLY FILMS</v>
          </cell>
          <cell r="D2121" t="str">
            <v>616100B</v>
          </cell>
          <cell r="BA2121">
            <v>64.489999999999995</v>
          </cell>
        </row>
        <row r="2122">
          <cell r="C2122" t="str">
            <v>4201 - TAPES/POLY FILMS</v>
          </cell>
          <cell r="D2122" t="str">
            <v>VIS624B</v>
          </cell>
          <cell r="BA2122">
            <v>96.99</v>
          </cell>
        </row>
        <row r="2123">
          <cell r="C2123" t="str">
            <v>4201 - TAPES/POLY FILMS</v>
          </cell>
          <cell r="D2123" t="str">
            <v>VIS620B</v>
          </cell>
          <cell r="BA2123">
            <v>78.989999999999995</v>
          </cell>
        </row>
        <row r="2124">
          <cell r="C2124" t="str">
            <v>4201 - TAPES/POLY FILMS</v>
          </cell>
          <cell r="D2124" t="str">
            <v>VIS16506C</v>
          </cell>
          <cell r="BA2124">
            <v>37.49</v>
          </cell>
        </row>
        <row r="2125">
          <cell r="C2125" t="str">
            <v>4201 - TAPES/POLY FILMS</v>
          </cell>
          <cell r="D2125" t="str">
            <v>VIS16506B</v>
          </cell>
          <cell r="BA2125">
            <v>35.49</v>
          </cell>
        </row>
        <row r="2126">
          <cell r="C2126" t="str">
            <v>4201 - TAPES/POLY FILMS</v>
          </cell>
          <cell r="D2126" t="str">
            <v>VIS12506C</v>
          </cell>
          <cell r="BA2126">
            <v>28.09</v>
          </cell>
        </row>
        <row r="2127">
          <cell r="C2127" t="str">
            <v>4201 - TAPES/POLY FILMS</v>
          </cell>
          <cell r="D2127" t="str">
            <v>VIS12506B</v>
          </cell>
          <cell r="BA2127">
            <v>26.59</v>
          </cell>
        </row>
        <row r="2128">
          <cell r="C2128" t="str">
            <v>4201 - TAPES/POLY FILMS</v>
          </cell>
          <cell r="D2128" t="str">
            <v>VIS12504C</v>
          </cell>
          <cell r="BA2128">
            <v>18.79</v>
          </cell>
        </row>
        <row r="2129">
          <cell r="C2129" t="str">
            <v>4201 - TAPES/POLY FILMS</v>
          </cell>
          <cell r="D2129" t="str">
            <v>VIS10506C</v>
          </cell>
          <cell r="BA2129">
            <v>23.49</v>
          </cell>
        </row>
        <row r="2130">
          <cell r="C2130" t="str">
            <v>4201 - TAPES/POLY FILMS</v>
          </cell>
          <cell r="D2130" t="str">
            <v>VIS10506B</v>
          </cell>
          <cell r="BA2130">
            <v>22.19</v>
          </cell>
        </row>
        <row r="2131">
          <cell r="C2131" t="str">
            <v>4201 - TAPES/POLY FILMS</v>
          </cell>
          <cell r="D2131" t="str">
            <v>VIS616</v>
          </cell>
          <cell r="BA2131">
            <v>67.989999999999995</v>
          </cell>
        </row>
        <row r="2132">
          <cell r="C2132" t="str">
            <v>4201 - TAPES/POLY FILMS</v>
          </cell>
          <cell r="D2132" t="str">
            <v>VIS102535C</v>
          </cell>
          <cell r="BA2132">
            <v>7.49</v>
          </cell>
        </row>
        <row r="2133">
          <cell r="C2133" t="str">
            <v>4201 - TAPES/POLY FILMS</v>
          </cell>
          <cell r="D2133" t="str">
            <v>VIS102535B</v>
          </cell>
          <cell r="BA2133">
            <v>7.09</v>
          </cell>
        </row>
        <row r="2134">
          <cell r="C2134" t="str">
            <v>4201 - TAPES/POLY FILMS</v>
          </cell>
          <cell r="D2134" t="str">
            <v>VIS8506B</v>
          </cell>
          <cell r="BA2134">
            <v>17.09</v>
          </cell>
        </row>
        <row r="2135">
          <cell r="C2135" t="str">
            <v>4201 - TAPES/POLY FILMS</v>
          </cell>
          <cell r="D2135" t="str">
            <v>VIS20506C</v>
          </cell>
          <cell r="BA2135">
            <v>46.89</v>
          </cell>
        </row>
        <row r="2136">
          <cell r="C2136" t="str">
            <v>4201 - TAPES/POLY FILMS</v>
          </cell>
          <cell r="D2136" t="str">
            <v>VIS20506B</v>
          </cell>
          <cell r="BA2136">
            <v>44.29</v>
          </cell>
        </row>
        <row r="2137">
          <cell r="C2137" t="str">
            <v>4201 - TAPES/POLY FILMS</v>
          </cell>
          <cell r="D2137" t="str">
            <v>1020100B</v>
          </cell>
          <cell r="BA2137">
            <v>144.99</v>
          </cell>
        </row>
        <row r="2138">
          <cell r="C2138" t="str">
            <v>4201 - TAPES/POLY FILMS</v>
          </cell>
          <cell r="D2138" t="str">
            <v>AA58209</v>
          </cell>
          <cell r="BA2138">
            <v>7.09</v>
          </cell>
        </row>
        <row r="2139">
          <cell r="C2139" t="str">
            <v>4201 - TAPES/POLY FILMS</v>
          </cell>
          <cell r="D2139" t="str">
            <v>475FF</v>
          </cell>
          <cell r="BA2139">
            <v>19.489999999999998</v>
          </cell>
        </row>
        <row r="2140">
          <cell r="C2140" t="str">
            <v>4201 - TAPES/POLY FILMS</v>
          </cell>
          <cell r="D2140" t="str">
            <v>475FFB</v>
          </cell>
          <cell r="BA2140">
            <v>25.99</v>
          </cell>
        </row>
        <row r="2141">
          <cell r="C2141" t="str">
            <v>4201 - TAPES/POLY FILMS</v>
          </cell>
          <cell r="D2141" t="str">
            <v>675FFB</v>
          </cell>
          <cell r="BA2141">
            <v>38.99</v>
          </cell>
        </row>
        <row r="2142">
          <cell r="C2142" t="str">
            <v>4201 - TAPES/POLY FILMS</v>
          </cell>
          <cell r="D2142" t="str">
            <v>475FFFB</v>
          </cell>
          <cell r="BA2142">
            <v>19.79</v>
          </cell>
        </row>
        <row r="2143">
          <cell r="C2143" t="str">
            <v>4201 - TAPES/POLY FILMS</v>
          </cell>
          <cell r="D2143" t="str">
            <v>675FFFB</v>
          </cell>
          <cell r="BA2143">
            <v>27.59</v>
          </cell>
        </row>
        <row r="2144">
          <cell r="C2144" t="str">
            <v>4201 - TAPES/POLY FILMS</v>
          </cell>
          <cell r="D2144" t="str">
            <v>975FFFB</v>
          </cell>
          <cell r="BA2144">
            <v>40.49</v>
          </cell>
        </row>
        <row r="2145">
          <cell r="C2145" t="str">
            <v>4201 - TAPES/POLY FILMS</v>
          </cell>
          <cell r="D2145" t="str">
            <v>1275FFFB</v>
          </cell>
          <cell r="BA2145">
            <v>57.99</v>
          </cell>
        </row>
        <row r="2146">
          <cell r="C2146" t="str">
            <v>4201 - TAPES/POLY FILMS</v>
          </cell>
          <cell r="D2146" t="str">
            <v>675FF</v>
          </cell>
          <cell r="BA2146">
            <v>27.19</v>
          </cell>
        </row>
        <row r="2147">
          <cell r="C2147" t="str">
            <v>4201 - TAPES/POLY FILMS</v>
          </cell>
          <cell r="D2147" t="str">
            <v>975FF</v>
          </cell>
          <cell r="BA2147">
            <v>39.79</v>
          </cell>
        </row>
        <row r="2148">
          <cell r="C2148" t="str">
            <v>4201 - TAPES/POLY FILMS</v>
          </cell>
          <cell r="D2148" t="str">
            <v>EZS675</v>
          </cell>
          <cell r="BA2148">
            <v>49.69</v>
          </cell>
        </row>
        <row r="2149">
          <cell r="C2149" t="str">
            <v>4201 - TAPES/POLY FILMS</v>
          </cell>
          <cell r="D2149" t="str">
            <v>9300MS</v>
          </cell>
          <cell r="BA2149">
            <v>32.49</v>
          </cell>
        </row>
        <row r="2150">
          <cell r="C2150" t="str">
            <v>4201 - TAPES/POLY FILMS</v>
          </cell>
          <cell r="D2150" t="str">
            <v>HE9200MSN</v>
          </cell>
          <cell r="BA2150">
            <v>81.489999999999995</v>
          </cell>
        </row>
        <row r="2151">
          <cell r="C2151" t="str">
            <v>4201 - TAPES/POLY FILMS</v>
          </cell>
          <cell r="D2151" t="str">
            <v>12300MS</v>
          </cell>
          <cell r="BA2151">
            <v>39.590000000000003</v>
          </cell>
        </row>
        <row r="2152">
          <cell r="C2152" t="str">
            <v>4201 - TAPES/POLY FILMS</v>
          </cell>
          <cell r="D2152" t="str">
            <v>MSTOPPF6300</v>
          </cell>
          <cell r="BA2152">
            <v>19.79</v>
          </cell>
        </row>
        <row r="2153">
          <cell r="C2153" t="str">
            <v>4201 - TAPES/POLY FILMS</v>
          </cell>
          <cell r="D2153" t="str">
            <v>MSCSEACH</v>
          </cell>
          <cell r="BA2153">
            <v>2.39</v>
          </cell>
        </row>
        <row r="2154">
          <cell r="C2154" t="str">
            <v>4201 - TAPES/POLY FILMS</v>
          </cell>
          <cell r="D2154" t="str">
            <v>975EZSEAL</v>
          </cell>
          <cell r="BA2154">
            <v>61.99</v>
          </cell>
        </row>
        <row r="2155">
          <cell r="C2155" t="str">
            <v>4202 - HOUSE WRAPS</v>
          </cell>
          <cell r="D2155" t="str">
            <v>9150HWBFS</v>
          </cell>
          <cell r="BA2155">
            <v>235.99</v>
          </cell>
        </row>
        <row r="2156">
          <cell r="C2156" t="str">
            <v>4202 - HOUSE WRAPS</v>
          </cell>
          <cell r="D2156" t="str">
            <v>HYDROCORNER</v>
          </cell>
          <cell r="BA2156">
            <v>3.89</v>
          </cell>
        </row>
        <row r="2157">
          <cell r="C2157" t="str">
            <v>4202 - HOUSE WRAPS</v>
          </cell>
          <cell r="D2157" t="str">
            <v>12150THW</v>
          </cell>
          <cell r="BA2157">
            <v>32.29</v>
          </cell>
        </row>
        <row r="2158">
          <cell r="C2158" t="str">
            <v>4202 - HOUSE WRAPS</v>
          </cell>
          <cell r="D2158" t="str">
            <v>3165HW</v>
          </cell>
          <cell r="BA2158">
            <v>103.99</v>
          </cell>
        </row>
        <row r="2159">
          <cell r="C2159" t="str">
            <v>4202 - HOUSE WRAPS</v>
          </cell>
          <cell r="D2159" t="str">
            <v>3100HW</v>
          </cell>
          <cell r="BA2159">
            <v>69.989999999999995</v>
          </cell>
        </row>
        <row r="2160">
          <cell r="C2160" t="str">
            <v>4202 - HOUSE WRAPS</v>
          </cell>
          <cell r="D2160" t="str">
            <v>5200HW</v>
          </cell>
          <cell r="BA2160">
            <v>205.99</v>
          </cell>
        </row>
        <row r="2161">
          <cell r="C2161" t="str">
            <v>4202 - HOUSE WRAPS</v>
          </cell>
          <cell r="D2161" t="str">
            <v>9100HW</v>
          </cell>
          <cell r="BA2161">
            <v>161.99</v>
          </cell>
        </row>
        <row r="2162">
          <cell r="C2162" t="str">
            <v>4202 - HOUSE WRAPS</v>
          </cell>
          <cell r="D2162" t="str">
            <v>9125DW</v>
          </cell>
          <cell r="BA2162">
            <v>245.99</v>
          </cell>
        </row>
        <row r="2163">
          <cell r="C2163" t="str">
            <v>4202 - HOUSE WRAPS</v>
          </cell>
          <cell r="D2163" t="str">
            <v>9125DWRA</v>
          </cell>
          <cell r="BA2163">
            <v>159.99</v>
          </cell>
        </row>
        <row r="2164">
          <cell r="C2164" t="str">
            <v>4202 - HOUSE WRAPS</v>
          </cell>
          <cell r="D2164" t="str">
            <v>9150HW-HORTON</v>
          </cell>
          <cell r="BA2164">
            <v>228.99</v>
          </cell>
        </row>
        <row r="2165">
          <cell r="C2165" t="str">
            <v>4202 - HOUSE WRAPS</v>
          </cell>
          <cell r="D2165" t="str">
            <v>9150HWTM</v>
          </cell>
          <cell r="BA2165">
            <v>142.99</v>
          </cell>
        </row>
        <row r="2166">
          <cell r="C2166" t="str">
            <v>4202 - HOUSE WRAPS</v>
          </cell>
          <cell r="D2166" t="str">
            <v>10125DW</v>
          </cell>
          <cell r="BA2166">
            <v>273.99</v>
          </cell>
        </row>
        <row r="2167">
          <cell r="C2167" t="str">
            <v>4202 - HOUSE WRAPS</v>
          </cell>
          <cell r="D2167" t="str">
            <v>DPRAINVENT</v>
          </cell>
          <cell r="BA2167">
            <v>4.3899999999999997</v>
          </cell>
        </row>
        <row r="2168">
          <cell r="C2168" t="str">
            <v>4202 - HOUSE WRAPS</v>
          </cell>
          <cell r="D2168" t="str">
            <v>10150HW</v>
          </cell>
          <cell r="BA2168">
            <v>291.99</v>
          </cell>
        </row>
        <row r="2169">
          <cell r="C2169" t="str">
            <v>4202 - HOUSE WRAPS</v>
          </cell>
          <cell r="D2169" t="str">
            <v>9150DL-LGI</v>
          </cell>
          <cell r="BA2169">
            <v>71.989999999999995</v>
          </cell>
        </row>
        <row r="2170">
          <cell r="C2170" t="str">
            <v>4202 - HOUSE WRAPS</v>
          </cell>
          <cell r="D2170" t="str">
            <v>18100HEADERWRAP</v>
          </cell>
          <cell r="BA2170">
            <v>29.69</v>
          </cell>
        </row>
        <row r="2171">
          <cell r="C2171" t="str">
            <v>4202 - HOUSE WRAPS</v>
          </cell>
          <cell r="D2171" t="str">
            <v>9125HGTHWDRH</v>
          </cell>
          <cell r="BA2171">
            <v>163.99</v>
          </cell>
        </row>
        <row r="2172">
          <cell r="C2172" t="str">
            <v>4202 - HOUSE WRAPS</v>
          </cell>
          <cell r="D2172" t="str">
            <v>9125RDHW</v>
          </cell>
          <cell r="BA2172">
            <v>220.99</v>
          </cell>
        </row>
        <row r="2173">
          <cell r="C2173" t="str">
            <v>4202 - HOUSE WRAPS</v>
          </cell>
          <cell r="D2173" t="str">
            <v>40486HW</v>
          </cell>
          <cell r="BA2173">
            <v>42.79</v>
          </cell>
        </row>
        <row r="2174">
          <cell r="C2174" t="str">
            <v>4202 - HOUSE WRAPS</v>
          </cell>
          <cell r="D2174" t="str">
            <v>SJT40240</v>
          </cell>
          <cell r="BA2174">
            <v>14.19</v>
          </cell>
        </row>
        <row r="2175">
          <cell r="C2175" t="str">
            <v>4202 - HOUSE WRAPS</v>
          </cell>
          <cell r="D2175" t="str">
            <v>JT40500</v>
          </cell>
          <cell r="BA2175">
            <v>14.09</v>
          </cell>
        </row>
        <row r="2176">
          <cell r="C2176" t="str">
            <v>4202 - HOUSE WRAPS</v>
          </cell>
          <cell r="D2176" t="str">
            <v>WS3100HW</v>
          </cell>
          <cell r="BA2176">
            <v>50.99</v>
          </cell>
        </row>
        <row r="2177">
          <cell r="C2177" t="str">
            <v>4202 - HOUSE WRAPS</v>
          </cell>
          <cell r="D2177" t="str">
            <v>WS9125HDHW</v>
          </cell>
          <cell r="BA2177">
            <v>211.99</v>
          </cell>
        </row>
        <row r="2178">
          <cell r="C2178" t="str">
            <v>4202 - HOUSE WRAPS</v>
          </cell>
          <cell r="D2178" t="str">
            <v>WS5125HDHW</v>
          </cell>
          <cell r="BA2178">
            <v>117.99</v>
          </cell>
        </row>
        <row r="2179">
          <cell r="C2179" t="str">
            <v>4202 - HOUSE WRAPS</v>
          </cell>
          <cell r="D2179" t="str">
            <v>WS10125HDHW</v>
          </cell>
          <cell r="BA2179">
            <v>234.99</v>
          </cell>
        </row>
        <row r="2180">
          <cell r="C2180" t="str">
            <v>4202 - HOUSE WRAPS</v>
          </cell>
          <cell r="D2180" t="str">
            <v>WS9125HWBFSHL</v>
          </cell>
          <cell r="BA2180">
            <v>211.99</v>
          </cell>
        </row>
        <row r="2181">
          <cell r="C2181" t="str">
            <v>4202 - HOUSE WRAPS</v>
          </cell>
          <cell r="D2181" t="str">
            <v>WS9150HW</v>
          </cell>
          <cell r="BA2181">
            <v>230.99</v>
          </cell>
        </row>
        <row r="2182">
          <cell r="C2182" t="str">
            <v>4202 - HOUSE WRAPS</v>
          </cell>
          <cell r="D2182" t="str">
            <v>WS10100HW</v>
          </cell>
          <cell r="BA2182">
            <v>179.99</v>
          </cell>
        </row>
        <row r="2183">
          <cell r="C2183" t="str">
            <v>4202 - HOUSE WRAPS</v>
          </cell>
          <cell r="D2183" t="str">
            <v>WSD5125HW</v>
          </cell>
          <cell r="BA2183">
            <v>117.99</v>
          </cell>
        </row>
        <row r="2184">
          <cell r="C2184" t="str">
            <v>4202 - HOUSE WRAPS</v>
          </cell>
          <cell r="D2184" t="str">
            <v>WSD10125HW</v>
          </cell>
          <cell r="BA2184">
            <v>234.99</v>
          </cell>
        </row>
        <row r="2185">
          <cell r="C2185" t="str">
            <v>4202 - HOUSE WRAPS</v>
          </cell>
          <cell r="D2185" t="str">
            <v>WSD9125HW</v>
          </cell>
          <cell r="BA2185">
            <v>211.99</v>
          </cell>
        </row>
        <row r="2186">
          <cell r="C2186" t="str">
            <v>4202 - HOUSE WRAPS</v>
          </cell>
          <cell r="D2186" t="str">
            <v>WSD9125BFSHW</v>
          </cell>
          <cell r="BA2186">
            <v>211.99</v>
          </cell>
        </row>
        <row r="2187">
          <cell r="C2187" t="str">
            <v>4202 - HOUSE WRAPS</v>
          </cell>
          <cell r="D2187" t="str">
            <v>5100BENOBDYKE</v>
          </cell>
          <cell r="BA2187">
            <v>162.99</v>
          </cell>
        </row>
        <row r="2188">
          <cell r="C2188" t="str">
            <v>4202 - HOUSE WRAPS</v>
          </cell>
          <cell r="D2188" t="str">
            <v>9100BENOBDYKE</v>
          </cell>
          <cell r="BA2188">
            <v>281.99</v>
          </cell>
        </row>
        <row r="2189">
          <cell r="C2189" t="str">
            <v>4202 - HOUSE WRAPS</v>
          </cell>
          <cell r="D2189" t="str">
            <v>4100HWBS</v>
          </cell>
          <cell r="BA2189">
            <v>379.99</v>
          </cell>
        </row>
        <row r="2190">
          <cell r="C2190" t="str">
            <v>4203 - ADHESIVES &amp; SEALANTS</v>
          </cell>
          <cell r="D2190" t="str">
            <v>FMDFC-1GAL</v>
          </cell>
          <cell r="BA2190">
            <v>79.510000000000005</v>
          </cell>
        </row>
        <row r="2191">
          <cell r="C2191" t="str">
            <v>4203 - ADHESIVES &amp; SEALANTS</v>
          </cell>
          <cell r="D2191" t="str">
            <v>HE130074</v>
          </cell>
          <cell r="BA2191">
            <v>23.18</v>
          </cell>
        </row>
        <row r="2192">
          <cell r="C2192" t="str">
            <v>4203 - ADHESIVES &amp; SEALANTS</v>
          </cell>
          <cell r="D2192" t="str">
            <v>HE208R042</v>
          </cell>
          <cell r="BA2192">
            <v>27.1</v>
          </cell>
        </row>
        <row r="2193">
          <cell r="C2193" t="str">
            <v>4203 - ADHESIVES &amp; SEALANTS</v>
          </cell>
          <cell r="D2193" t="str">
            <v>HE104Q027</v>
          </cell>
          <cell r="BA2193">
            <v>23.12</v>
          </cell>
        </row>
        <row r="2194">
          <cell r="C2194" t="str">
            <v>4203 - ADHESIVES &amp; SEALANTS</v>
          </cell>
          <cell r="D2194" t="str">
            <v>HE208R061</v>
          </cell>
          <cell r="BA2194">
            <v>89.08</v>
          </cell>
        </row>
        <row r="2195">
          <cell r="C2195" t="str">
            <v>4203 - ADHESIVES &amp; SEALANTS</v>
          </cell>
          <cell r="D2195" t="str">
            <v>HE107046</v>
          </cell>
          <cell r="BA2195">
            <v>14.29</v>
          </cell>
        </row>
        <row r="2196">
          <cell r="C2196" t="str">
            <v>4203 - ADHESIVES &amp; SEALANTS</v>
          </cell>
          <cell r="D2196" t="str">
            <v>HE208R004</v>
          </cell>
          <cell r="BA2196">
            <v>6</v>
          </cell>
        </row>
        <row r="2197">
          <cell r="C2197" t="str">
            <v>4203 - ADHESIVES &amp; SEALANTS</v>
          </cell>
          <cell r="D2197" t="str">
            <v>HE183195</v>
          </cell>
          <cell r="BA2197">
            <v>19.75</v>
          </cell>
        </row>
        <row r="2198">
          <cell r="C2198" t="str">
            <v>4203 - ADHESIVES &amp; SEALANTS</v>
          </cell>
          <cell r="D2198" t="str">
            <v>HE555042</v>
          </cell>
          <cell r="BA2198">
            <v>26.61</v>
          </cell>
        </row>
        <row r="2199">
          <cell r="C2199" t="str">
            <v>4203 - ADHESIVES &amp; SEALANTS</v>
          </cell>
          <cell r="D2199" t="str">
            <v>HE212202</v>
          </cell>
          <cell r="BA2199">
            <v>7.9</v>
          </cell>
        </row>
        <row r="2200">
          <cell r="C2200" t="str">
            <v>4203 - ADHESIVES &amp; SEALANTS</v>
          </cell>
          <cell r="D2200" t="str">
            <v>HE287SF046</v>
          </cell>
          <cell r="BA2200">
            <v>38.07</v>
          </cell>
        </row>
        <row r="2201">
          <cell r="C2201" t="str">
            <v>4203 - ADHESIVES &amp; SEALANTS</v>
          </cell>
          <cell r="D2201" t="str">
            <v>HE532410</v>
          </cell>
          <cell r="BA2201">
            <v>41.28</v>
          </cell>
        </row>
        <row r="2202">
          <cell r="C2202" t="str">
            <v>4203 - ADHESIVES &amp; SEALANTS</v>
          </cell>
          <cell r="D2202" t="str">
            <v>HE208042</v>
          </cell>
          <cell r="BA2202">
            <v>20.65</v>
          </cell>
        </row>
        <row r="2203">
          <cell r="C2203" t="str">
            <v>4203 - ADHESIVES &amp; SEALANTS</v>
          </cell>
          <cell r="D2203" t="str">
            <v>HE208061</v>
          </cell>
          <cell r="BA2203">
            <v>71.88</v>
          </cell>
        </row>
        <row r="2204">
          <cell r="C2204" t="str">
            <v>4203 - ADHESIVES &amp; SEALANTS</v>
          </cell>
          <cell r="D2204" t="str">
            <v>HE107074</v>
          </cell>
          <cell r="BA2204">
            <v>56.47</v>
          </cell>
        </row>
        <row r="2205">
          <cell r="C2205" t="str">
            <v>4203 - ADHESIVES &amp; SEALANTS</v>
          </cell>
          <cell r="D2205" t="str">
            <v>HE555019</v>
          </cell>
          <cell r="BA2205">
            <v>123.84</v>
          </cell>
        </row>
        <row r="2206">
          <cell r="C2206" t="str">
            <v>4203 - ADHESIVES &amp; SEALANTS</v>
          </cell>
          <cell r="D2206" t="str">
            <v>RC023042</v>
          </cell>
          <cell r="BA2206">
            <v>10.48</v>
          </cell>
        </row>
        <row r="2207">
          <cell r="C2207" t="str">
            <v>4203 - ADHESIVES &amp; SEALANTS</v>
          </cell>
          <cell r="D2207" t="str">
            <v>HE203042</v>
          </cell>
          <cell r="BA2207">
            <v>21.41</v>
          </cell>
        </row>
        <row r="2208">
          <cell r="C2208" t="str">
            <v>4203 - ADHESIVES &amp; SEALANTS</v>
          </cell>
          <cell r="D2208" t="str">
            <v>HE572110</v>
          </cell>
          <cell r="BA2208">
            <v>11.9</v>
          </cell>
        </row>
        <row r="2209">
          <cell r="C2209" t="str">
            <v>4203 - ADHESIVES &amp; SEALANTS</v>
          </cell>
          <cell r="D2209" t="str">
            <v>MD71551</v>
          </cell>
          <cell r="BA2209">
            <v>39.18</v>
          </cell>
        </row>
        <row r="2210">
          <cell r="C2210" t="str">
            <v>4203 - ADHESIVES &amp; SEALANTS</v>
          </cell>
          <cell r="D2210" t="str">
            <v>THC22H</v>
          </cell>
          <cell r="BA2210">
            <v>2.86</v>
          </cell>
        </row>
        <row r="2211">
          <cell r="C2211" t="str">
            <v>4203 - ADHESIVES &amp; SEALANTS</v>
          </cell>
          <cell r="D2211" t="str">
            <v>MD71550</v>
          </cell>
          <cell r="BA2211">
            <v>46.77</v>
          </cell>
        </row>
        <row r="2212">
          <cell r="C2212" t="str">
            <v>4203 - ADHESIVES &amp; SEALANTS</v>
          </cell>
          <cell r="D2212" t="str">
            <v>AP5150763</v>
          </cell>
          <cell r="BA2212">
            <v>15.6</v>
          </cell>
        </row>
        <row r="2213">
          <cell r="C2213" t="str">
            <v>4203 - ADHESIVES &amp; SEALANTS</v>
          </cell>
          <cell r="D2213" t="str">
            <v>6158SNAPTWEA</v>
          </cell>
          <cell r="BA2213">
            <v>0.63</v>
          </cell>
        </row>
        <row r="2214">
          <cell r="C2214" t="str">
            <v>4203 - ADHESIVES &amp; SEALANTS</v>
          </cell>
          <cell r="D2214" t="str">
            <v>CBA9902</v>
          </cell>
          <cell r="BA2214">
            <v>24.6</v>
          </cell>
        </row>
        <row r="2215">
          <cell r="C2215" t="str">
            <v>4203 - ADHESIVES &amp; SEALANTS</v>
          </cell>
          <cell r="D2215" t="str">
            <v>GOOP37</v>
          </cell>
          <cell r="BA2215">
            <v>4.22</v>
          </cell>
        </row>
        <row r="2216">
          <cell r="C2216" t="str">
            <v>4203 - ADHESIVES &amp; SEALANTS</v>
          </cell>
          <cell r="D2216" t="str">
            <v>HYDWS</v>
          </cell>
          <cell r="BA2216">
            <v>14.69</v>
          </cell>
        </row>
        <row r="2217">
          <cell r="C2217" t="str">
            <v>4203 - ADHESIVES &amp; SEALANTS</v>
          </cell>
          <cell r="D2217" t="str">
            <v>QSC124007</v>
          </cell>
          <cell r="BA2217">
            <v>12.93</v>
          </cell>
        </row>
        <row r="2218">
          <cell r="C2218" t="str">
            <v>4203 - ADHESIVES &amp; SEALANTS</v>
          </cell>
          <cell r="D2218" t="str">
            <v>CBA990214</v>
          </cell>
          <cell r="BA2218">
            <v>8.9499999999999993</v>
          </cell>
        </row>
        <row r="2219">
          <cell r="C2219" t="str">
            <v>4203 - ADHESIVES &amp; SEALANTS</v>
          </cell>
          <cell r="D2219" t="str">
            <v>TTT14003</v>
          </cell>
          <cell r="BA2219">
            <v>21.88</v>
          </cell>
        </row>
        <row r="2220">
          <cell r="C2220" t="str">
            <v>4203 - ADHESIVES &amp; SEALANTS</v>
          </cell>
          <cell r="D2220" t="str">
            <v>TTT14010</v>
          </cell>
          <cell r="BA2220">
            <v>8.19</v>
          </cell>
        </row>
        <row r="2221">
          <cell r="C2221" t="str">
            <v>4203 - ADHESIVES &amp; SEALANTS</v>
          </cell>
          <cell r="D2221" t="str">
            <v>LOCTITE1936440</v>
          </cell>
          <cell r="BA2221">
            <v>5.93</v>
          </cell>
        </row>
        <row r="2222">
          <cell r="C2222" t="str">
            <v>4203 - ADHESIVES &amp; SEALANTS</v>
          </cell>
          <cell r="D2222" t="str">
            <v>V116BL</v>
          </cell>
          <cell r="BA2222">
            <v>6.48</v>
          </cell>
        </row>
        <row r="2223">
          <cell r="C2223" t="str">
            <v>4203 - ADHESIVES &amp; SEALANTS</v>
          </cell>
          <cell r="D2223" t="str">
            <v>V116LS</v>
          </cell>
          <cell r="BA2223">
            <v>6.48</v>
          </cell>
        </row>
        <row r="2224">
          <cell r="C2224" t="str">
            <v>4203 - ADHESIVES &amp; SEALANTS</v>
          </cell>
          <cell r="D2224" t="str">
            <v>V116DB</v>
          </cell>
          <cell r="BA2224">
            <v>6.48</v>
          </cell>
        </row>
        <row r="2225">
          <cell r="C2225" t="str">
            <v>4203 - ADHESIVES &amp; SEALANTS</v>
          </cell>
          <cell r="D2225" t="str">
            <v>QK873002</v>
          </cell>
          <cell r="BA2225">
            <v>25.76</v>
          </cell>
        </row>
        <row r="2226">
          <cell r="C2226" t="str">
            <v>4203 - ADHESIVES &amp; SEALANTS</v>
          </cell>
          <cell r="D2226" t="str">
            <v>QK880006</v>
          </cell>
          <cell r="BA2226">
            <v>24.65</v>
          </cell>
        </row>
        <row r="2227">
          <cell r="C2227" t="str">
            <v>4203 - ADHESIVES &amp; SEALANTS</v>
          </cell>
          <cell r="D2227" t="str">
            <v>HWS112620</v>
          </cell>
          <cell r="BA2227">
            <v>21.97</v>
          </cell>
        </row>
        <row r="2228">
          <cell r="C2228" t="str">
            <v>4203 - ADHESIVES &amp; SEALANTS</v>
          </cell>
          <cell r="D2228" t="str">
            <v>DPWS</v>
          </cell>
          <cell r="BA2228">
            <v>4.9800000000000004</v>
          </cell>
        </row>
        <row r="2229">
          <cell r="C2229" t="str">
            <v>4203 - ADHESIVES &amp; SEALANTS</v>
          </cell>
          <cell r="D2229" t="str">
            <v>TB44001</v>
          </cell>
          <cell r="BA2229">
            <v>6.84</v>
          </cell>
        </row>
        <row r="2230">
          <cell r="C2230" t="str">
            <v>4203 - ADHESIVES &amp; SEALANTS</v>
          </cell>
          <cell r="D2230" t="str">
            <v>TB46041</v>
          </cell>
          <cell r="BA2230">
            <v>7.59</v>
          </cell>
        </row>
        <row r="2231">
          <cell r="C2231" t="str">
            <v>4203 - ADHESIVES &amp; SEALANTS</v>
          </cell>
          <cell r="D2231" t="str">
            <v>TB44031</v>
          </cell>
          <cell r="BA2231">
            <v>7.63</v>
          </cell>
        </row>
        <row r="2232">
          <cell r="C2232" t="str">
            <v>4203 - ADHESIVES &amp; SEALANTS</v>
          </cell>
          <cell r="D2232" t="str">
            <v>TB44291</v>
          </cell>
          <cell r="BA2232">
            <v>7.63</v>
          </cell>
        </row>
        <row r="2233">
          <cell r="C2233" t="str">
            <v>4203 - ADHESIVES &amp; SEALANTS</v>
          </cell>
          <cell r="D2233" t="str">
            <v>TB45561</v>
          </cell>
          <cell r="BA2233">
            <v>7.63</v>
          </cell>
        </row>
        <row r="2234">
          <cell r="C2234" t="str">
            <v>4203 - ADHESIVES &amp; SEALANTS</v>
          </cell>
          <cell r="D2234" t="str">
            <v>TB44501</v>
          </cell>
          <cell r="BA2234">
            <v>7.63</v>
          </cell>
        </row>
        <row r="2235">
          <cell r="C2235" t="str">
            <v>4203 - ADHESIVES &amp; SEALANTS</v>
          </cell>
          <cell r="D2235" t="str">
            <v>TB44051</v>
          </cell>
          <cell r="BA2235">
            <v>7.63</v>
          </cell>
        </row>
        <row r="2236">
          <cell r="C2236" t="str">
            <v>4203 - ADHESIVES &amp; SEALANTS</v>
          </cell>
          <cell r="D2236" t="str">
            <v>DAP00107</v>
          </cell>
          <cell r="BA2236">
            <v>5.51</v>
          </cell>
        </row>
        <row r="2237">
          <cell r="C2237" t="str">
            <v>4203 - ADHESIVES &amp; SEALANTS</v>
          </cell>
          <cell r="D2237" t="str">
            <v>DAP7079800124</v>
          </cell>
          <cell r="BA2237">
            <v>9.5399999999999991</v>
          </cell>
        </row>
        <row r="2238">
          <cell r="C2238" t="str">
            <v>4203 - ADHESIVES &amp; SEALANTS</v>
          </cell>
          <cell r="D2238" t="str">
            <v>DAP00141</v>
          </cell>
          <cell r="BA2238">
            <v>7.93</v>
          </cell>
        </row>
        <row r="2239">
          <cell r="C2239" t="str">
            <v>4203 - ADHESIVES &amp; SEALANTS</v>
          </cell>
          <cell r="D2239" t="str">
            <v>DAP00142</v>
          </cell>
          <cell r="BA2239">
            <v>24.73</v>
          </cell>
        </row>
        <row r="2240">
          <cell r="C2240" t="str">
            <v>4203 - ADHESIVES &amp; SEALANTS</v>
          </cell>
          <cell r="D2240" t="str">
            <v>DAP00271</v>
          </cell>
          <cell r="BA2240">
            <v>10.86</v>
          </cell>
        </row>
        <row r="2241">
          <cell r="C2241" t="str">
            <v>4203 - ADHESIVES &amp; SEALANTS</v>
          </cell>
          <cell r="D2241" t="str">
            <v>DAP00272</v>
          </cell>
          <cell r="BA2241">
            <v>14.76</v>
          </cell>
        </row>
        <row r="2242">
          <cell r="C2242" t="str">
            <v>4203 - ADHESIVES &amp; SEALANTS</v>
          </cell>
          <cell r="D2242" t="str">
            <v>DAP00273</v>
          </cell>
          <cell r="BA2242">
            <v>44.64</v>
          </cell>
        </row>
        <row r="2243">
          <cell r="C2243" t="str">
            <v>4203 - ADHESIVES &amp; SEALANTS</v>
          </cell>
          <cell r="D2243" t="str">
            <v>DAP00529</v>
          </cell>
          <cell r="BA2243">
            <v>6.28</v>
          </cell>
        </row>
        <row r="2244">
          <cell r="C2244" t="str">
            <v>4203 - ADHESIVES &amp; SEALANTS</v>
          </cell>
          <cell r="D2244" t="str">
            <v>DAP00684</v>
          </cell>
          <cell r="BA2244">
            <v>8.6</v>
          </cell>
        </row>
        <row r="2245">
          <cell r="C2245" t="str">
            <v>4203 - ADHESIVES &amp; SEALANTS</v>
          </cell>
          <cell r="D2245" t="str">
            <v>DAP00801</v>
          </cell>
          <cell r="BA2245">
            <v>6.04</v>
          </cell>
        </row>
        <row r="2246">
          <cell r="C2246" t="str">
            <v>4203 - ADHESIVES &amp; SEALANTS</v>
          </cell>
          <cell r="D2246" t="str">
            <v>DAP00816</v>
          </cell>
          <cell r="BA2246">
            <v>7.42</v>
          </cell>
        </row>
        <row r="2247">
          <cell r="C2247" t="str">
            <v>4203 - ADHESIVES &amp; SEALANTS</v>
          </cell>
          <cell r="D2247" t="str">
            <v>DAP08640</v>
          </cell>
          <cell r="BA2247">
            <v>7.28</v>
          </cell>
        </row>
        <row r="2248">
          <cell r="C2248" t="str">
            <v>4203 - ADHESIVES &amp; SEALANTS</v>
          </cell>
          <cell r="D2248" t="str">
            <v>DAP08641</v>
          </cell>
          <cell r="BA2248">
            <v>7.24</v>
          </cell>
        </row>
        <row r="2249">
          <cell r="C2249" t="str">
            <v>4203 - ADHESIVES &amp; SEALANTS</v>
          </cell>
          <cell r="D2249" t="str">
            <v>DAP08646</v>
          </cell>
          <cell r="BA2249">
            <v>7.04</v>
          </cell>
        </row>
        <row r="2250">
          <cell r="C2250" t="str">
            <v>4203 - ADHESIVES &amp; SEALANTS</v>
          </cell>
          <cell r="D2250" t="str">
            <v>DAP12108</v>
          </cell>
          <cell r="BA2250">
            <v>5.18</v>
          </cell>
        </row>
        <row r="2251">
          <cell r="C2251" t="str">
            <v>4203 - ADHESIVES &amp; SEALANTS</v>
          </cell>
          <cell r="D2251" t="str">
            <v>DAP12120</v>
          </cell>
          <cell r="BA2251">
            <v>3.76</v>
          </cell>
        </row>
        <row r="2252">
          <cell r="C2252" t="str">
            <v>4203 - ADHESIVES &amp; SEALANTS</v>
          </cell>
          <cell r="D2252" t="str">
            <v>DAP12130</v>
          </cell>
          <cell r="BA2252">
            <v>3.52</v>
          </cell>
        </row>
        <row r="2253">
          <cell r="C2253" t="str">
            <v>4203 - ADHESIVES &amp; SEALANTS</v>
          </cell>
          <cell r="D2253" t="str">
            <v>DAP12132</v>
          </cell>
          <cell r="BA2253">
            <v>7.2</v>
          </cell>
        </row>
        <row r="2254">
          <cell r="C2254" t="str">
            <v>4203 - ADHESIVES &amp; SEALANTS</v>
          </cell>
          <cell r="D2254" t="str">
            <v>DAP12140</v>
          </cell>
          <cell r="BA2254">
            <v>2.67</v>
          </cell>
        </row>
        <row r="2255">
          <cell r="C2255" t="str">
            <v>4203 - ADHESIVES &amp; SEALANTS</v>
          </cell>
          <cell r="D2255" t="str">
            <v>DAP12142</v>
          </cell>
          <cell r="BA2255">
            <v>6.77</v>
          </cell>
        </row>
        <row r="2256">
          <cell r="C2256" t="str">
            <v>4203 - ADHESIVES &amp; SEALANTS</v>
          </cell>
          <cell r="D2256" t="str">
            <v>DAP12240</v>
          </cell>
          <cell r="BA2256">
            <v>4</v>
          </cell>
        </row>
        <row r="2257">
          <cell r="C2257" t="str">
            <v>4203 - ADHESIVES &amp; SEALANTS</v>
          </cell>
          <cell r="D2257" t="str">
            <v>DAP18001</v>
          </cell>
          <cell r="BA2257">
            <v>2.92</v>
          </cell>
        </row>
        <row r="2258">
          <cell r="C2258" t="str">
            <v>4203 - ADHESIVES &amp; SEALANTS</v>
          </cell>
          <cell r="D2258" t="str">
            <v>DAP18008</v>
          </cell>
          <cell r="BA2258">
            <v>4.1100000000000003</v>
          </cell>
        </row>
        <row r="2259">
          <cell r="C2259" t="str">
            <v>4203 - ADHESIVES &amp; SEALANTS</v>
          </cell>
          <cell r="D2259" t="str">
            <v>DAP18032</v>
          </cell>
          <cell r="BA2259">
            <v>6.57</v>
          </cell>
        </row>
        <row r="2260">
          <cell r="C2260" t="str">
            <v>4203 - ADHESIVES &amp; SEALANTS</v>
          </cell>
          <cell r="D2260" t="str">
            <v>DAP18118</v>
          </cell>
          <cell r="BA2260">
            <v>2.65</v>
          </cell>
        </row>
        <row r="2261">
          <cell r="C2261" t="str">
            <v>4203 - ADHESIVES &amp; SEALANTS</v>
          </cell>
          <cell r="D2261" t="str">
            <v>DAP18120</v>
          </cell>
          <cell r="BA2261">
            <v>4.5199999999999996</v>
          </cell>
        </row>
        <row r="2262">
          <cell r="C2262" t="str">
            <v>4203 - ADHESIVES &amp; SEALANTS</v>
          </cell>
          <cell r="D2262" t="str">
            <v>DAP18122</v>
          </cell>
          <cell r="BA2262">
            <v>2.65</v>
          </cell>
        </row>
        <row r="2263">
          <cell r="C2263" t="str">
            <v>4203 - ADHESIVES &amp; SEALANTS</v>
          </cell>
          <cell r="D2263" t="str">
            <v>DAP18126</v>
          </cell>
          <cell r="BA2263">
            <v>2.65</v>
          </cell>
        </row>
        <row r="2264">
          <cell r="C2264" t="str">
            <v>4203 - ADHESIVES &amp; SEALANTS</v>
          </cell>
          <cell r="D2264" t="str">
            <v>DAP18152</v>
          </cell>
          <cell r="BA2264">
            <v>2.88</v>
          </cell>
        </row>
        <row r="2265">
          <cell r="C2265" t="str">
            <v>4203 - ADHESIVES &amp; SEALANTS</v>
          </cell>
          <cell r="D2265" t="str">
            <v>DAP18156</v>
          </cell>
          <cell r="BA2265">
            <v>3.67</v>
          </cell>
        </row>
        <row r="2266">
          <cell r="C2266" t="str">
            <v>4203 - ADHESIVES &amp; SEALANTS</v>
          </cell>
          <cell r="D2266" t="str">
            <v>DAP18182</v>
          </cell>
          <cell r="BA2266">
            <v>6.58</v>
          </cell>
        </row>
        <row r="2267">
          <cell r="C2267" t="str">
            <v>4203 - ADHESIVES &amp; SEALANTS</v>
          </cell>
          <cell r="D2267" t="str">
            <v>DAP18188</v>
          </cell>
          <cell r="BA2267">
            <v>6.86</v>
          </cell>
        </row>
        <row r="2268">
          <cell r="C2268" t="str">
            <v>4203 - ADHESIVES &amp; SEALANTS</v>
          </cell>
          <cell r="D2268" t="str">
            <v>DAP18275</v>
          </cell>
          <cell r="BA2268">
            <v>4.6399999999999997</v>
          </cell>
        </row>
        <row r="2269">
          <cell r="C2269" t="str">
            <v>4203 - ADHESIVES &amp; SEALANTS</v>
          </cell>
          <cell r="D2269" t="str">
            <v>DAP18286</v>
          </cell>
          <cell r="BA2269">
            <v>4.53</v>
          </cell>
        </row>
        <row r="2270">
          <cell r="C2270" t="str">
            <v>4203 - ADHESIVES &amp; SEALANTS</v>
          </cell>
          <cell r="D2270" t="str">
            <v>DAP18304</v>
          </cell>
          <cell r="BA2270">
            <v>4.59</v>
          </cell>
        </row>
        <row r="2271">
          <cell r="C2271" t="str">
            <v>4203 - ADHESIVES &amp; SEALANTS</v>
          </cell>
          <cell r="D2271" t="str">
            <v>DAP18306</v>
          </cell>
          <cell r="BA2271">
            <v>4.51</v>
          </cell>
        </row>
        <row r="2272">
          <cell r="C2272" t="str">
            <v>4203 - ADHESIVES &amp; SEALANTS</v>
          </cell>
          <cell r="D2272" t="str">
            <v>DAP18362</v>
          </cell>
          <cell r="BA2272">
            <v>8.16</v>
          </cell>
        </row>
        <row r="2273">
          <cell r="C2273" t="str">
            <v>4203 - ADHESIVES &amp; SEALANTS</v>
          </cell>
          <cell r="D2273" t="str">
            <v>DAP18412</v>
          </cell>
          <cell r="BA2273">
            <v>4.53</v>
          </cell>
        </row>
        <row r="2274">
          <cell r="C2274" t="str">
            <v>4203 - ADHESIVES &amp; SEALANTS</v>
          </cell>
          <cell r="D2274" t="str">
            <v>DAP18418</v>
          </cell>
          <cell r="BA2274">
            <v>4.55</v>
          </cell>
        </row>
        <row r="2275">
          <cell r="C2275" t="str">
            <v>4203 - ADHESIVES &amp; SEALANTS</v>
          </cell>
          <cell r="D2275" t="str">
            <v>DAP18425</v>
          </cell>
          <cell r="BA2275">
            <v>3.59</v>
          </cell>
        </row>
        <row r="2276">
          <cell r="C2276" t="str">
            <v>4203 - ADHESIVES &amp; SEALANTS</v>
          </cell>
          <cell r="D2276" t="str">
            <v>DAP18510</v>
          </cell>
          <cell r="BA2276">
            <v>5.93</v>
          </cell>
        </row>
        <row r="2277">
          <cell r="C2277" t="str">
            <v>4203 - ADHESIVES &amp; SEALANTS</v>
          </cell>
          <cell r="D2277" t="str">
            <v>DAP18526</v>
          </cell>
          <cell r="BA2277">
            <v>5.24</v>
          </cell>
        </row>
        <row r="2278">
          <cell r="C2278" t="str">
            <v>4203 - ADHESIVES &amp; SEALANTS</v>
          </cell>
          <cell r="D2278" t="str">
            <v>DAP18546</v>
          </cell>
          <cell r="BA2278">
            <v>5.24</v>
          </cell>
        </row>
        <row r="2279">
          <cell r="C2279" t="str">
            <v>4203 - ADHESIVES &amp; SEALANTS</v>
          </cell>
          <cell r="D2279" t="str">
            <v>DAP18706</v>
          </cell>
          <cell r="BA2279">
            <v>5.66</v>
          </cell>
        </row>
        <row r="2280">
          <cell r="C2280" t="str">
            <v>4203 - ADHESIVES &amp; SEALANTS</v>
          </cell>
          <cell r="D2280" t="str">
            <v>DAP18670</v>
          </cell>
          <cell r="BA2280">
            <v>2.41</v>
          </cell>
        </row>
        <row r="2281">
          <cell r="C2281" t="str">
            <v>4203 - ADHESIVES &amp; SEALANTS</v>
          </cell>
          <cell r="D2281" t="str">
            <v>DAP18746</v>
          </cell>
          <cell r="BA2281">
            <v>8.19</v>
          </cell>
        </row>
        <row r="2282">
          <cell r="C2282" t="str">
            <v>4203 - ADHESIVES &amp; SEALANTS</v>
          </cell>
          <cell r="D2282" t="str">
            <v>DAP7079818836</v>
          </cell>
          <cell r="BA2282">
            <v>7.7</v>
          </cell>
        </row>
        <row r="2283">
          <cell r="C2283" t="str">
            <v>4203 - ADHESIVES &amp; SEALANTS</v>
          </cell>
          <cell r="D2283" t="str">
            <v>DAP18858</v>
          </cell>
          <cell r="BA2283">
            <v>16.61</v>
          </cell>
        </row>
        <row r="2284">
          <cell r="C2284" t="str">
            <v>4203 - ADHESIVES &amp; SEALANTS</v>
          </cell>
          <cell r="D2284" t="str">
            <v>DAP18885</v>
          </cell>
          <cell r="BA2284">
            <v>4.51</v>
          </cell>
        </row>
        <row r="2285">
          <cell r="C2285" t="str">
            <v>4203 - ADHESIVES &amp; SEALANTS</v>
          </cell>
          <cell r="D2285" t="str">
            <v>DAP21502</v>
          </cell>
          <cell r="BA2285">
            <v>4.51</v>
          </cell>
        </row>
        <row r="2286">
          <cell r="C2286" t="str">
            <v>4203 - ADHESIVES &amp; SEALANTS</v>
          </cell>
          <cell r="D2286" t="str">
            <v>DAP21506</v>
          </cell>
          <cell r="BA2286">
            <v>9.41</v>
          </cell>
        </row>
        <row r="2287">
          <cell r="C2287" t="str">
            <v>4203 - ADHESIVES &amp; SEALANTS</v>
          </cell>
          <cell r="D2287" t="str">
            <v>DAP25082</v>
          </cell>
          <cell r="BA2287">
            <v>2.84</v>
          </cell>
        </row>
        <row r="2288">
          <cell r="C2288" t="str">
            <v>4203 - ADHESIVES &amp; SEALANTS</v>
          </cell>
          <cell r="D2288" t="str">
            <v>DAP25117</v>
          </cell>
          <cell r="BA2288">
            <v>5.22</v>
          </cell>
        </row>
        <row r="2289">
          <cell r="C2289" t="str">
            <v>4203 - ADHESIVES &amp; SEALANTS</v>
          </cell>
          <cell r="D2289" t="str">
            <v>DAP25336</v>
          </cell>
          <cell r="BA2289">
            <v>76.98</v>
          </cell>
        </row>
        <row r="2290">
          <cell r="C2290" t="str">
            <v>4203 - ADHESIVES &amp; SEALANTS</v>
          </cell>
          <cell r="D2290" t="str">
            <v>DAP27501</v>
          </cell>
          <cell r="BA2290">
            <v>2.75</v>
          </cell>
        </row>
        <row r="2291">
          <cell r="C2291" t="str">
            <v>4203 - ADHESIVES &amp; SEALANTS</v>
          </cell>
          <cell r="D2291" t="str">
            <v>DAP27509</v>
          </cell>
          <cell r="BA2291">
            <v>2.95</v>
          </cell>
        </row>
        <row r="2292">
          <cell r="C2292" t="str">
            <v>4203 - ADHESIVES &amp; SEALANTS</v>
          </cell>
          <cell r="D2292" t="str">
            <v>DAP27519</v>
          </cell>
          <cell r="BA2292">
            <v>3.11</v>
          </cell>
        </row>
        <row r="2293">
          <cell r="C2293" t="str">
            <v>4203 - ADHESIVES &amp; SEALANTS</v>
          </cell>
          <cell r="D2293" t="str">
            <v>DAP7565028775</v>
          </cell>
          <cell r="BA2293">
            <v>35.78</v>
          </cell>
        </row>
        <row r="2294">
          <cell r="C2294" t="str">
            <v>4203 - ADHESIVES &amp; SEALANTS</v>
          </cell>
          <cell r="D2294" t="str">
            <v>DAP7565000043</v>
          </cell>
          <cell r="BA2294">
            <v>5.84</v>
          </cell>
        </row>
        <row r="2295">
          <cell r="C2295" t="str">
            <v>4203 - ADHESIVES &amp; SEALANTS</v>
          </cell>
          <cell r="D2295" t="str">
            <v>DAP80800</v>
          </cell>
          <cell r="BA2295">
            <v>6.24</v>
          </cell>
        </row>
        <row r="2296">
          <cell r="C2296" t="str">
            <v>4203 - ADHESIVES &amp; SEALANTS</v>
          </cell>
          <cell r="D2296" t="str">
            <v>LFR5</v>
          </cell>
          <cell r="BA2296">
            <v>97.87</v>
          </cell>
        </row>
        <row r="2297">
          <cell r="C2297" t="str">
            <v>4203 - ADHESIVES &amp; SEALANTS</v>
          </cell>
          <cell r="D2297" t="str">
            <v>GACODC10T</v>
          </cell>
          <cell r="BA2297">
            <v>16.82</v>
          </cell>
        </row>
        <row r="2298">
          <cell r="C2298" t="str">
            <v>4203 - ADHESIVES &amp; SEALANTS</v>
          </cell>
          <cell r="D2298" t="str">
            <v>GE5000</v>
          </cell>
          <cell r="BA2298">
            <v>8.59</v>
          </cell>
        </row>
        <row r="2299">
          <cell r="C2299" t="str">
            <v>4203 - ADHESIVES &amp; SEALANTS</v>
          </cell>
          <cell r="D2299" t="str">
            <v>GE5040</v>
          </cell>
          <cell r="BA2299">
            <v>8.8800000000000008</v>
          </cell>
        </row>
        <row r="2300">
          <cell r="C2300" t="str">
            <v>4203 - ADHESIVES &amp; SEALANTS</v>
          </cell>
          <cell r="D2300" t="str">
            <v>BOHYDROFL20</v>
          </cell>
          <cell r="BA2300">
            <v>18.239999999999998</v>
          </cell>
        </row>
        <row r="2301">
          <cell r="C2301" t="str">
            <v>4203 - ADHESIVES &amp; SEALANTS</v>
          </cell>
          <cell r="D2301" t="str">
            <v>SS10002</v>
          </cell>
          <cell r="BA2301">
            <v>6.72</v>
          </cell>
        </row>
        <row r="2302">
          <cell r="C2302" t="str">
            <v>4203 - ADHESIVES &amp; SEALANTS</v>
          </cell>
          <cell r="D2302" t="str">
            <v>SS10004</v>
          </cell>
          <cell r="BA2302">
            <v>6.45</v>
          </cell>
        </row>
        <row r="2303">
          <cell r="C2303" t="str">
            <v>4203 - ADHESIVES &amp; SEALANTS</v>
          </cell>
          <cell r="D2303" t="str">
            <v>SS10006</v>
          </cell>
          <cell r="BA2303">
            <v>6.57</v>
          </cell>
        </row>
        <row r="2304">
          <cell r="C2304" t="str">
            <v>4203 - ADHESIVES &amp; SEALANTS</v>
          </cell>
          <cell r="D2304" t="str">
            <v>SS10008</v>
          </cell>
          <cell r="BA2304">
            <v>6.72</v>
          </cell>
        </row>
        <row r="2305">
          <cell r="C2305" t="str">
            <v>4203 - ADHESIVES &amp; SEALANTS</v>
          </cell>
          <cell r="D2305" t="str">
            <v>SS10010</v>
          </cell>
          <cell r="BA2305">
            <v>6.43</v>
          </cell>
        </row>
        <row r="2306">
          <cell r="C2306" t="str">
            <v>4203 - ADHESIVES &amp; SEALANTS</v>
          </cell>
          <cell r="D2306" t="str">
            <v>SS10016</v>
          </cell>
          <cell r="BA2306">
            <v>6.42</v>
          </cell>
        </row>
        <row r="2307">
          <cell r="C2307" t="str">
            <v>4203 - ADHESIVES &amp; SEALANTS</v>
          </cell>
          <cell r="D2307" t="str">
            <v>NP150TAN10</v>
          </cell>
          <cell r="BA2307">
            <v>10.37</v>
          </cell>
        </row>
        <row r="2308">
          <cell r="C2308" t="str">
            <v>4203 - ADHESIVES &amp; SEALANTS</v>
          </cell>
          <cell r="D2308" t="str">
            <v>NP150WHT10</v>
          </cell>
          <cell r="BA2308">
            <v>10.37</v>
          </cell>
        </row>
        <row r="2309">
          <cell r="C2309" t="str">
            <v>4203 - ADHESIVES &amp; SEALANTS</v>
          </cell>
          <cell r="D2309" t="str">
            <v>NP150BLK10</v>
          </cell>
          <cell r="BA2309">
            <v>10.37</v>
          </cell>
        </row>
        <row r="2310">
          <cell r="C2310" t="str">
            <v>4203 - ADHESIVES &amp; SEALANTS</v>
          </cell>
          <cell r="D2310" t="str">
            <v>TX1WHT10</v>
          </cell>
          <cell r="BA2310">
            <v>5.66</v>
          </cell>
        </row>
        <row r="2311">
          <cell r="C2311" t="str">
            <v>4203 - ADHESIVES &amp; SEALANTS</v>
          </cell>
          <cell r="D2311" t="str">
            <v>WL20510</v>
          </cell>
          <cell r="BA2311">
            <v>2.95</v>
          </cell>
        </row>
        <row r="2312">
          <cell r="C2312" t="str">
            <v>4203 - ADHESIVES &amp; SEALANTS</v>
          </cell>
          <cell r="D2312" t="str">
            <v>WL30060</v>
          </cell>
          <cell r="BA2312">
            <v>2.99</v>
          </cell>
        </row>
        <row r="2313">
          <cell r="C2313" t="str">
            <v>4203 - ADHESIVES &amp; SEALANTS</v>
          </cell>
          <cell r="D2313" t="str">
            <v>SS13010</v>
          </cell>
          <cell r="BA2313">
            <v>8.2799999999999994</v>
          </cell>
        </row>
        <row r="2314">
          <cell r="C2314" t="str">
            <v>4203 - ADHESIVES &amp; SEALANTS</v>
          </cell>
          <cell r="D2314" t="str">
            <v>SS13030</v>
          </cell>
          <cell r="BA2314">
            <v>8.1300000000000008</v>
          </cell>
        </row>
        <row r="2315">
          <cell r="C2315" t="str">
            <v>4203 - ADHESIVES &amp; SEALANTS</v>
          </cell>
          <cell r="D2315" t="str">
            <v>SS13033</v>
          </cell>
          <cell r="BA2315">
            <v>5.81</v>
          </cell>
        </row>
        <row r="2316">
          <cell r="C2316" t="str">
            <v>4203 - ADHESIVES &amp; SEALANTS</v>
          </cell>
          <cell r="D2316" t="str">
            <v>EXACTCOLOR</v>
          </cell>
          <cell r="BA2316">
            <v>10.94</v>
          </cell>
        </row>
        <row r="2317">
          <cell r="C2317" t="str">
            <v>4203 - ADHESIVES &amp; SEALANTS</v>
          </cell>
          <cell r="D2317" t="str">
            <v>DOW99108862</v>
          </cell>
          <cell r="BA2317">
            <v>11.04</v>
          </cell>
        </row>
        <row r="2318">
          <cell r="C2318" t="str">
            <v>4203 - ADHESIVES &amp; SEALANTS</v>
          </cell>
          <cell r="D2318" t="str">
            <v>GSIEF12</v>
          </cell>
          <cell r="BA2318">
            <v>5.86</v>
          </cell>
        </row>
        <row r="2319">
          <cell r="C2319" t="str">
            <v>4203 - ADHESIVES &amp; SEALANTS</v>
          </cell>
          <cell r="D2319" t="str">
            <v>GSWDF12</v>
          </cell>
          <cell r="BA2319">
            <v>8.19</v>
          </cell>
        </row>
        <row r="2320">
          <cell r="C2320" t="str">
            <v>4203 - ADHESIVES &amp; SEALANTS</v>
          </cell>
          <cell r="D2320" t="str">
            <v>DOW187273</v>
          </cell>
          <cell r="BA2320">
            <v>16.43</v>
          </cell>
        </row>
        <row r="2321">
          <cell r="C2321" t="str">
            <v>4203 - ADHESIVES &amp; SEALANTS</v>
          </cell>
          <cell r="D2321" t="str">
            <v>GSFB12</v>
          </cell>
          <cell r="BA2321">
            <v>7.4</v>
          </cell>
        </row>
        <row r="2322">
          <cell r="C2322" t="str">
            <v>4203 - ADHESIVES &amp; SEALANTS</v>
          </cell>
          <cell r="D2322" t="str">
            <v>DOW157859</v>
          </cell>
          <cell r="BA2322">
            <v>6.82</v>
          </cell>
        </row>
        <row r="2323">
          <cell r="C2323" t="str">
            <v>4203 - ADHESIVES &amp; SEALANTS</v>
          </cell>
          <cell r="D2323" t="str">
            <v>DOW157911</v>
          </cell>
          <cell r="BA2323">
            <v>11.82</v>
          </cell>
        </row>
        <row r="2324">
          <cell r="C2324" t="str">
            <v>4203 - ADHESIVES &amp; SEALANTS</v>
          </cell>
          <cell r="D2324" t="str">
            <v>DOW99112831</v>
          </cell>
          <cell r="BA2324">
            <v>12.81</v>
          </cell>
        </row>
        <row r="2325">
          <cell r="C2325" t="str">
            <v>4203 - ADHESIVES &amp; SEALANTS</v>
          </cell>
          <cell r="D2325" t="str">
            <v>VULKEM116BRZ</v>
          </cell>
          <cell r="BA2325">
            <v>6.48</v>
          </cell>
        </row>
        <row r="2326">
          <cell r="C2326" t="str">
            <v>4203 - ADHESIVES &amp; SEALANTS</v>
          </cell>
          <cell r="D2326" t="str">
            <v>VULKEM116WH</v>
          </cell>
          <cell r="BA2326">
            <v>6.48</v>
          </cell>
        </row>
        <row r="2327">
          <cell r="C2327" t="str">
            <v>4203 - ADHESIVES &amp; SEALANTS</v>
          </cell>
          <cell r="D2327" t="str">
            <v>MSTPSEALANT</v>
          </cell>
          <cell r="BA2327">
            <v>6.87</v>
          </cell>
        </row>
        <row r="2328">
          <cell r="C2328" t="str">
            <v>4203 - ADHESIVES &amp; SEALANTS</v>
          </cell>
          <cell r="D2328" t="str">
            <v>3MCP25WB</v>
          </cell>
          <cell r="BA2328">
            <v>15.39</v>
          </cell>
        </row>
        <row r="2329">
          <cell r="C2329" t="str">
            <v>4203 - ADHESIVES &amp; SEALANTS</v>
          </cell>
          <cell r="D2329" t="str">
            <v>3MIC15WB</v>
          </cell>
          <cell r="BA2329">
            <v>11.89</v>
          </cell>
        </row>
        <row r="2330">
          <cell r="C2330" t="str">
            <v>4203 - ADHESIVES &amp; SEALANTS</v>
          </cell>
          <cell r="D2330" t="str">
            <v>OSI2445634</v>
          </cell>
          <cell r="BA2330">
            <v>10.08</v>
          </cell>
        </row>
        <row r="2331">
          <cell r="C2331" t="str">
            <v>4203 - ADHESIVES &amp; SEALANTS</v>
          </cell>
          <cell r="D2331" t="str">
            <v>OSI1868687</v>
          </cell>
          <cell r="BA2331">
            <v>8.92</v>
          </cell>
        </row>
        <row r="2332">
          <cell r="C2332" t="str">
            <v>4203 - ADHESIVES &amp; SEALANTS</v>
          </cell>
          <cell r="D2332" t="str">
            <v>OSI1869460</v>
          </cell>
          <cell r="BA2332">
            <v>9.23</v>
          </cell>
        </row>
        <row r="2333">
          <cell r="C2333" t="str">
            <v>4203 - ADHESIVES &amp; SEALANTS</v>
          </cell>
          <cell r="D2333" t="str">
            <v>E849DWF</v>
          </cell>
          <cell r="BA2333">
            <v>4.3600000000000003</v>
          </cell>
        </row>
        <row r="2334">
          <cell r="C2334" t="str">
            <v>4203 - ADHESIVES &amp; SEALANTS</v>
          </cell>
          <cell r="D2334" t="str">
            <v>BP1403</v>
          </cell>
          <cell r="BA2334">
            <v>2.41</v>
          </cell>
        </row>
        <row r="2335">
          <cell r="C2335" t="str">
            <v>4203 - ADHESIVES &amp; SEALANTS</v>
          </cell>
          <cell r="D2335" t="str">
            <v>BP20052Q</v>
          </cell>
          <cell r="BA2335">
            <v>14.16</v>
          </cell>
        </row>
        <row r="2336">
          <cell r="C2336" t="str">
            <v>4203 - ADHESIVES &amp; SEALANTS</v>
          </cell>
          <cell r="D2336" t="str">
            <v>CP62100</v>
          </cell>
          <cell r="BA2336">
            <v>2.79</v>
          </cell>
        </row>
        <row r="2337">
          <cell r="C2337" t="str">
            <v>4203 - ADHESIVES &amp; SEALANTS</v>
          </cell>
          <cell r="D2337" t="str">
            <v>CP62106</v>
          </cell>
          <cell r="BA2337">
            <v>2.86</v>
          </cell>
        </row>
        <row r="2338">
          <cell r="C2338" t="str">
            <v>4203 - ADHESIVES &amp; SEALANTS</v>
          </cell>
          <cell r="D2338" t="str">
            <v>CP62108</v>
          </cell>
          <cell r="BA2338">
            <v>2.83</v>
          </cell>
        </row>
        <row r="2339">
          <cell r="C2339" t="str">
            <v>4203 - ADHESIVES &amp; SEALANTS</v>
          </cell>
          <cell r="D2339" t="str">
            <v>CP62110</v>
          </cell>
          <cell r="BA2339">
            <v>2.7</v>
          </cell>
        </row>
        <row r="2340">
          <cell r="C2340" t="str">
            <v>4203 - ADHESIVES &amp; SEALANTS</v>
          </cell>
          <cell r="D2340" t="str">
            <v>CP62116</v>
          </cell>
          <cell r="BA2340">
            <v>2.5299999999999998</v>
          </cell>
        </row>
        <row r="2341">
          <cell r="C2341" t="str">
            <v>4203 - ADHESIVES &amp; SEALANTS</v>
          </cell>
          <cell r="D2341" t="str">
            <v>CP62118</v>
          </cell>
          <cell r="BA2341">
            <v>2.66</v>
          </cell>
        </row>
        <row r="2342">
          <cell r="C2342" t="str">
            <v>4203 - ADHESIVES &amp; SEALANTS</v>
          </cell>
          <cell r="D2342" t="str">
            <v>CP62122</v>
          </cell>
          <cell r="BA2342">
            <v>2.72</v>
          </cell>
        </row>
        <row r="2343">
          <cell r="C2343" t="str">
            <v>4203 - ADHESIVES &amp; SEALANTS</v>
          </cell>
          <cell r="D2343" t="str">
            <v>CP62124</v>
          </cell>
          <cell r="BA2343">
            <v>2.69</v>
          </cell>
        </row>
        <row r="2344">
          <cell r="C2344" t="str">
            <v>4203 - ADHESIVES &amp; SEALANTS</v>
          </cell>
          <cell r="D2344" t="str">
            <v>CP62126</v>
          </cell>
          <cell r="BA2344">
            <v>2.82</v>
          </cell>
        </row>
        <row r="2345">
          <cell r="C2345" t="str">
            <v>4203 - ADHESIVES &amp; SEALANTS</v>
          </cell>
          <cell r="D2345" t="str">
            <v>CP62130</v>
          </cell>
          <cell r="BA2345">
            <v>2.86</v>
          </cell>
        </row>
        <row r="2346">
          <cell r="C2346" t="str">
            <v>4203 - ADHESIVES &amp; SEALANTS</v>
          </cell>
          <cell r="D2346" t="str">
            <v>CP62134</v>
          </cell>
          <cell r="BA2346">
            <v>2.82</v>
          </cell>
        </row>
        <row r="2347">
          <cell r="C2347" t="str">
            <v>4203 - ADHESIVES &amp; SEALANTS</v>
          </cell>
          <cell r="D2347" t="str">
            <v>CP62136</v>
          </cell>
          <cell r="BA2347">
            <v>2.83</v>
          </cell>
        </row>
        <row r="2348">
          <cell r="C2348" t="str">
            <v>4203 - ADHESIVES &amp; SEALANTS</v>
          </cell>
          <cell r="D2348" t="str">
            <v>CP62138</v>
          </cell>
          <cell r="BA2348">
            <v>2.7</v>
          </cell>
        </row>
        <row r="2349">
          <cell r="C2349" t="str">
            <v>4203 - ADHESIVES &amp; SEALANTS</v>
          </cell>
          <cell r="D2349" t="str">
            <v>CP62144</v>
          </cell>
          <cell r="BA2349">
            <v>2.71</v>
          </cell>
        </row>
        <row r="2350">
          <cell r="C2350" t="str">
            <v>4203 - ADHESIVES &amp; SEALANTS</v>
          </cell>
          <cell r="D2350" t="str">
            <v>FP6B</v>
          </cell>
          <cell r="BA2350">
            <v>2.6</v>
          </cell>
        </row>
        <row r="2351">
          <cell r="C2351" t="str">
            <v>4203 - ADHESIVES &amp; SEALANTS</v>
          </cell>
          <cell r="D2351" t="str">
            <v>FP6N</v>
          </cell>
          <cell r="BA2351">
            <v>2.81</v>
          </cell>
        </row>
        <row r="2352">
          <cell r="C2352" t="str">
            <v>4203 - ADHESIVES &amp; SEALANTS</v>
          </cell>
          <cell r="D2352" t="str">
            <v>FP6O</v>
          </cell>
          <cell r="BA2352">
            <v>2.81</v>
          </cell>
        </row>
        <row r="2353">
          <cell r="C2353" t="str">
            <v>4203 - ADHESIVES &amp; SEALANTS</v>
          </cell>
          <cell r="D2353" t="str">
            <v>FP6RO</v>
          </cell>
          <cell r="BA2353">
            <v>2.81</v>
          </cell>
        </row>
        <row r="2354">
          <cell r="C2354" t="str">
            <v>4203 - ADHESIVES &amp; SEALANTS</v>
          </cell>
          <cell r="D2354" t="str">
            <v>FP6W</v>
          </cell>
          <cell r="BA2354">
            <v>2.81</v>
          </cell>
        </row>
        <row r="2355">
          <cell r="C2355" t="str">
            <v>4203 - ADHESIVES &amp; SEALANTS</v>
          </cell>
          <cell r="D2355" t="str">
            <v>58775BR</v>
          </cell>
          <cell r="BA2355">
            <v>60.81</v>
          </cell>
        </row>
        <row r="2356">
          <cell r="C2356" t="str">
            <v>4203 - ADHESIVES &amp; SEALANTS</v>
          </cell>
          <cell r="D2356" t="str">
            <v>PL300-10</v>
          </cell>
          <cell r="BA2356">
            <v>3.83</v>
          </cell>
        </row>
        <row r="2357">
          <cell r="C2357" t="str">
            <v>4203 - ADHESIVES &amp; SEALANTS</v>
          </cell>
          <cell r="D2357" t="str">
            <v>PLPA-10.6</v>
          </cell>
          <cell r="BA2357">
            <v>5.72</v>
          </cell>
        </row>
        <row r="2358">
          <cell r="C2358" t="str">
            <v>4203 - ADHESIVES &amp; SEALANTS</v>
          </cell>
          <cell r="D2358" t="str">
            <v>PLPA-29</v>
          </cell>
          <cell r="BA2358">
            <v>12.36</v>
          </cell>
        </row>
        <row r="2359">
          <cell r="C2359" t="str">
            <v>4203 - ADHESIVES &amp; SEALANTS</v>
          </cell>
          <cell r="D2359" t="str">
            <v>PL400-10</v>
          </cell>
          <cell r="BA2359">
            <v>4.28</v>
          </cell>
        </row>
        <row r="2360">
          <cell r="C2360" t="str">
            <v>4203 - ADHESIVES &amp; SEALANTS</v>
          </cell>
          <cell r="D2360" t="str">
            <v>CTA40001</v>
          </cell>
          <cell r="BA2360">
            <v>21.55</v>
          </cell>
        </row>
        <row r="2361">
          <cell r="C2361" t="str">
            <v>4203 - ADHESIVES &amp; SEALANTS</v>
          </cell>
          <cell r="D2361" t="str">
            <v>FPA444044G</v>
          </cell>
          <cell r="BA2361">
            <v>18.89</v>
          </cell>
        </row>
        <row r="2362">
          <cell r="C2362" t="str">
            <v>4203 - ADHESIVES &amp; SEALANTS</v>
          </cell>
          <cell r="D2362" t="str">
            <v>LN-902</v>
          </cell>
          <cell r="BA2362">
            <v>3.99</v>
          </cell>
        </row>
        <row r="2363">
          <cell r="C2363" t="str">
            <v>4203 - ADHESIVES &amp; SEALANTS</v>
          </cell>
          <cell r="D2363" t="str">
            <v>SFG</v>
          </cell>
          <cell r="BA2363">
            <v>4.09</v>
          </cell>
        </row>
        <row r="2364">
          <cell r="C2364" t="str">
            <v>4203 - ADHESIVES &amp; SEALANTS</v>
          </cell>
          <cell r="D2364" t="str">
            <v>TB5491</v>
          </cell>
          <cell r="BA2364">
            <v>2.44</v>
          </cell>
        </row>
        <row r="2365">
          <cell r="C2365" t="str">
            <v>4203 - ADHESIVES &amp; SEALANTS</v>
          </cell>
          <cell r="D2365" t="str">
            <v>GORILLAADHES</v>
          </cell>
          <cell r="BA2365">
            <v>8.6300000000000008</v>
          </cell>
        </row>
        <row r="2366">
          <cell r="C2366" t="str">
            <v>4203 - ADHESIVES &amp; SEALANTS</v>
          </cell>
          <cell r="D2366" t="str">
            <v>GG4500102</v>
          </cell>
          <cell r="BA2366">
            <v>6.82</v>
          </cell>
        </row>
        <row r="2367">
          <cell r="C2367" t="str">
            <v>4203 - ADHESIVES &amp; SEALANTS</v>
          </cell>
          <cell r="D2367" t="str">
            <v>GG7805009</v>
          </cell>
          <cell r="BA2367">
            <v>4.97</v>
          </cell>
        </row>
        <row r="2368">
          <cell r="C2368" t="str">
            <v>4203 - ADHESIVES &amp; SEALANTS</v>
          </cell>
          <cell r="D2368" t="str">
            <v>GG7600103</v>
          </cell>
          <cell r="BA2368">
            <v>5.23</v>
          </cell>
        </row>
        <row r="2369">
          <cell r="C2369" t="str">
            <v>4203 - ADHESIVES &amp; SEALANTS</v>
          </cell>
          <cell r="D2369" t="str">
            <v>GG6205001</v>
          </cell>
          <cell r="BA2369">
            <v>5.63</v>
          </cell>
        </row>
        <row r="2370">
          <cell r="C2370" t="str">
            <v>4203 - ADHESIVES &amp; SEALANTS</v>
          </cell>
          <cell r="D2370" t="str">
            <v>E701</v>
          </cell>
          <cell r="BA2370">
            <v>2.66</v>
          </cell>
        </row>
        <row r="2371">
          <cell r="C2371" t="str">
            <v>4203 - ADHESIVES &amp; SEALANTS</v>
          </cell>
          <cell r="D2371" t="str">
            <v>E702</v>
          </cell>
          <cell r="BA2371">
            <v>4.3899999999999997</v>
          </cell>
        </row>
        <row r="2372">
          <cell r="C2372" t="str">
            <v>4203 - ADHESIVES &amp; SEALANTS</v>
          </cell>
          <cell r="D2372" t="str">
            <v>TITWG4</v>
          </cell>
          <cell r="BA2372">
            <v>2.57</v>
          </cell>
        </row>
        <row r="2373">
          <cell r="C2373" t="str">
            <v>4203 - ADHESIVES &amp; SEALANTS</v>
          </cell>
          <cell r="D2373" t="str">
            <v>TIT2WG8</v>
          </cell>
          <cell r="BA2373">
            <v>4.04</v>
          </cell>
        </row>
        <row r="2374">
          <cell r="C2374" t="str">
            <v>4203 - ADHESIVES &amp; SEALANTS</v>
          </cell>
          <cell r="D2374" t="str">
            <v>TITWG8</v>
          </cell>
          <cell r="BA2374">
            <v>3.01</v>
          </cell>
        </row>
        <row r="2375">
          <cell r="C2375" t="str">
            <v>4203 - ADHESIVES &amp; SEALANTS</v>
          </cell>
          <cell r="D2375" t="str">
            <v>TITWG16</v>
          </cell>
          <cell r="BA2375">
            <v>5.09</v>
          </cell>
        </row>
        <row r="2376">
          <cell r="C2376" t="str">
            <v>4203 - ADHESIVES &amp; SEALANTS</v>
          </cell>
          <cell r="D2376" t="str">
            <v>TIT2WG16</v>
          </cell>
          <cell r="BA2376">
            <v>6.43</v>
          </cell>
        </row>
        <row r="2377">
          <cell r="C2377" t="str">
            <v>4203 - ADHESIVES &amp; SEALANTS</v>
          </cell>
          <cell r="D2377" t="str">
            <v>TITWGG</v>
          </cell>
          <cell r="BA2377">
            <v>25.63</v>
          </cell>
        </row>
        <row r="2378">
          <cell r="C2378" t="str">
            <v>4203 - ADHESIVES &amp; SEALANTS</v>
          </cell>
          <cell r="D2378" t="str">
            <v>TITWG1Q</v>
          </cell>
          <cell r="BA2378">
            <v>9.7200000000000006</v>
          </cell>
        </row>
        <row r="2379">
          <cell r="C2379" t="str">
            <v>4203 - ADHESIVES &amp; SEALANTS</v>
          </cell>
          <cell r="D2379" t="str">
            <v>TIT3WG</v>
          </cell>
          <cell r="BA2379">
            <v>3.39</v>
          </cell>
        </row>
        <row r="2380">
          <cell r="C2380" t="str">
            <v>4203 - ADHESIVES &amp; SEALANTS</v>
          </cell>
          <cell r="D2380" t="str">
            <v>TIT3WG8</v>
          </cell>
          <cell r="BA2380">
            <v>5.33</v>
          </cell>
        </row>
        <row r="2381">
          <cell r="C2381" t="str">
            <v>4203 - ADHESIVES &amp; SEALANTS</v>
          </cell>
          <cell r="D2381" t="str">
            <v>TIT3WG16</v>
          </cell>
          <cell r="BA2381">
            <v>8.25</v>
          </cell>
        </row>
        <row r="2382">
          <cell r="C2382" t="str">
            <v>4203 - ADHESIVES &amp; SEALANTS</v>
          </cell>
          <cell r="D2382" t="str">
            <v>TIT3WGG</v>
          </cell>
          <cell r="BA2382">
            <v>32.409999999999997</v>
          </cell>
        </row>
        <row r="2383">
          <cell r="C2383" t="str">
            <v>4203 - ADHESIVES &amp; SEALANTS</v>
          </cell>
          <cell r="D2383" t="str">
            <v>LN2000</v>
          </cell>
          <cell r="BA2383">
            <v>9.5399999999999991</v>
          </cell>
        </row>
        <row r="2384">
          <cell r="C2384" t="str">
            <v>4203 - ADHESIVES &amp; SEALANTS</v>
          </cell>
          <cell r="D2384" t="str">
            <v>FC2P10ACTRF</v>
          </cell>
          <cell r="BA2384">
            <v>6.44</v>
          </cell>
        </row>
        <row r="2385">
          <cell r="C2385" t="str">
            <v>4203 - ADHESIVES &amp; SEALANTS</v>
          </cell>
          <cell r="D2385" t="str">
            <v>FC2P10</v>
          </cell>
          <cell r="BA2385">
            <v>8.8800000000000008</v>
          </cell>
        </row>
        <row r="2386">
          <cell r="C2386" t="str">
            <v>4203 - ADHESIVES &amp; SEALANTS</v>
          </cell>
          <cell r="D2386" t="str">
            <v>FC2P10THICK</v>
          </cell>
          <cell r="BA2386">
            <v>35.49</v>
          </cell>
        </row>
        <row r="2387">
          <cell r="C2387" t="str">
            <v>4203 - ADHESIVES &amp; SEALANTS</v>
          </cell>
          <cell r="D2387" t="str">
            <v>FC2P10ACTAER</v>
          </cell>
          <cell r="BA2387">
            <v>10.65</v>
          </cell>
        </row>
        <row r="2388">
          <cell r="C2388" t="str">
            <v>4203 - ADHESIVES &amp; SEALANTS</v>
          </cell>
          <cell r="D2388" t="str">
            <v>FRK5066</v>
          </cell>
          <cell r="BA2388">
            <v>20.64</v>
          </cell>
        </row>
        <row r="2389">
          <cell r="C2389" t="str">
            <v>4203 - ADHESIVES &amp; SEALANTS</v>
          </cell>
          <cell r="D2389" t="str">
            <v>SAT-3G</v>
          </cell>
          <cell r="BA2389">
            <v>18.98</v>
          </cell>
        </row>
        <row r="2390">
          <cell r="C2390" t="str">
            <v>4203 - ADHESIVES &amp; SEALANTS</v>
          </cell>
          <cell r="D2390" t="str">
            <v>SET3G22-N</v>
          </cell>
          <cell r="BA2390">
            <v>54.47</v>
          </cell>
        </row>
        <row r="2391">
          <cell r="C2391" t="str">
            <v>4203 - ADHESIVES &amp; SEALANTS</v>
          </cell>
          <cell r="D2391" t="str">
            <v>S31</v>
          </cell>
          <cell r="BA2391">
            <v>2.96</v>
          </cell>
        </row>
        <row r="2392">
          <cell r="C2392" t="str">
            <v>4203 - ADHESIVES &amp; SEALANTS</v>
          </cell>
          <cell r="D2392" t="str">
            <v>AA1008713</v>
          </cell>
          <cell r="BA2392">
            <v>3.57</v>
          </cell>
        </row>
        <row r="2393">
          <cell r="C2393" t="str">
            <v>4203 - ADHESIVES &amp; SEALANTS</v>
          </cell>
          <cell r="D2393" t="str">
            <v>EP237012</v>
          </cell>
          <cell r="BA2393">
            <v>3.73</v>
          </cell>
        </row>
        <row r="2394">
          <cell r="C2394" t="str">
            <v>4203 - ADHESIVES &amp; SEALANTS</v>
          </cell>
          <cell r="D2394" t="str">
            <v>LN700</v>
          </cell>
          <cell r="BA2394">
            <v>3.04</v>
          </cell>
        </row>
        <row r="2395">
          <cell r="C2395" t="str">
            <v>4203 - ADHESIVES &amp; SEALANTS</v>
          </cell>
          <cell r="D2395" t="str">
            <v>LN-601</v>
          </cell>
          <cell r="BA2395">
            <v>2.92</v>
          </cell>
        </row>
        <row r="2396">
          <cell r="C2396" t="str">
            <v>4203 - ADHESIVES &amp; SEALANTS</v>
          </cell>
          <cell r="D2396" t="str">
            <v>OA30818</v>
          </cell>
          <cell r="BA2396">
            <v>3.77</v>
          </cell>
        </row>
        <row r="2397">
          <cell r="C2397" t="str">
            <v>4203 - ADHESIVES &amp; SEALANTS</v>
          </cell>
          <cell r="D2397" t="str">
            <v>OA30821</v>
          </cell>
          <cell r="BA2397">
            <v>6.8</v>
          </cell>
        </row>
        <row r="2398">
          <cell r="C2398" t="str">
            <v>4203 - ADHESIVES &amp; SEALANTS</v>
          </cell>
          <cell r="D2398" t="str">
            <v>32CPC31015</v>
          </cell>
          <cell r="BA2398">
            <v>16.43</v>
          </cell>
        </row>
        <row r="2399">
          <cell r="C2399" t="str">
            <v>4203 - ADHESIVES &amp; SEALANTS</v>
          </cell>
          <cell r="D2399" t="str">
            <v>S91065</v>
          </cell>
          <cell r="BA2399">
            <v>7.63</v>
          </cell>
        </row>
        <row r="2400">
          <cell r="C2400" t="str">
            <v>4203 - ADHESIVES &amp; SEALANTS</v>
          </cell>
          <cell r="D2400" t="str">
            <v>CLF1260BL</v>
          </cell>
          <cell r="BA2400">
            <v>10.57</v>
          </cell>
        </row>
        <row r="2401">
          <cell r="C2401" t="str">
            <v>4203 - ADHESIVES &amp; SEALANTS</v>
          </cell>
          <cell r="D2401" t="str">
            <v>SUP-1</v>
          </cell>
          <cell r="BA2401">
            <v>1.17</v>
          </cell>
        </row>
        <row r="2402">
          <cell r="C2402" t="str">
            <v>4203 - ADHESIVES &amp; SEALANTS</v>
          </cell>
          <cell r="D2402" t="str">
            <v>8265S</v>
          </cell>
          <cell r="BA2402">
            <v>5</v>
          </cell>
        </row>
        <row r="2403">
          <cell r="C2403" t="str">
            <v>4203 - ADHESIVES &amp; SEALANTS</v>
          </cell>
          <cell r="D2403" t="str">
            <v>OA31012</v>
          </cell>
          <cell r="BA2403">
            <v>3.27</v>
          </cell>
        </row>
        <row r="2404">
          <cell r="C2404" t="str">
            <v>4203 - ADHESIVES &amp; SEALANTS</v>
          </cell>
          <cell r="D2404" t="str">
            <v>P8C31013</v>
          </cell>
          <cell r="BA2404">
            <v>5.16</v>
          </cell>
        </row>
        <row r="2405">
          <cell r="C2405" t="str">
            <v>4203 - ADHESIVES &amp; SEALANTS</v>
          </cell>
          <cell r="D2405" t="str">
            <v>16PVCC</v>
          </cell>
          <cell r="BA2405">
            <v>9.5500000000000007</v>
          </cell>
        </row>
        <row r="2406">
          <cell r="C2406" t="str">
            <v>4203 - ADHESIVES &amp; SEALANTS</v>
          </cell>
          <cell r="D2406" t="str">
            <v>4RSC</v>
          </cell>
          <cell r="BA2406">
            <v>3.87</v>
          </cell>
        </row>
        <row r="2407">
          <cell r="C2407" t="str">
            <v>4203 - ADHESIVES &amp; SEALANTS</v>
          </cell>
          <cell r="D2407" t="str">
            <v>8RSC</v>
          </cell>
          <cell r="BA2407">
            <v>6.95</v>
          </cell>
        </row>
        <row r="2408">
          <cell r="C2408" t="str">
            <v>4203 - ADHESIVES &amp; SEALANTS</v>
          </cell>
          <cell r="D2408" t="str">
            <v>16RSC</v>
          </cell>
          <cell r="BA2408">
            <v>10.35</v>
          </cell>
        </row>
        <row r="2409">
          <cell r="C2409" t="str">
            <v>4203 - ADHESIVES &amp; SEALANTS</v>
          </cell>
          <cell r="D2409" t="str">
            <v>GG5000806</v>
          </cell>
          <cell r="BA2409">
            <v>14.7</v>
          </cell>
        </row>
        <row r="2410">
          <cell r="C2410" t="str">
            <v>4203 - ADHESIVES &amp; SEALANTS</v>
          </cell>
          <cell r="D2410" t="str">
            <v>GG5000201</v>
          </cell>
          <cell r="BA2410">
            <v>5.61</v>
          </cell>
        </row>
        <row r="2411">
          <cell r="C2411" t="str">
            <v>4203 - ADHESIVES &amp; SEALANTS</v>
          </cell>
          <cell r="D2411" t="str">
            <v>GG5000408</v>
          </cell>
          <cell r="BA2411">
            <v>8.0500000000000007</v>
          </cell>
        </row>
        <row r="2412">
          <cell r="C2412" t="str">
            <v>4203 - ADHESIVES &amp; SEALANTS</v>
          </cell>
          <cell r="D2412" t="str">
            <v>JB24206</v>
          </cell>
          <cell r="BA2412">
            <v>4.2699999999999996</v>
          </cell>
        </row>
        <row r="2413">
          <cell r="C2413" t="str">
            <v>4203 - ADHESIVES &amp; SEALANTS</v>
          </cell>
          <cell r="D2413" t="str">
            <v>3M77-DSC</v>
          </cell>
          <cell r="BA2413">
            <v>14.23</v>
          </cell>
        </row>
        <row r="2414">
          <cell r="C2414" t="str">
            <v>4203 - ADHESIVES &amp; SEALANTS</v>
          </cell>
          <cell r="D2414" t="str">
            <v>3M77-NAT</v>
          </cell>
          <cell r="BA2414">
            <v>12.48</v>
          </cell>
        </row>
        <row r="2415">
          <cell r="C2415" t="str">
            <v>4203 - ADHESIVES &amp; SEALANTS</v>
          </cell>
          <cell r="D2415" t="str">
            <v>3M90-DSC</v>
          </cell>
          <cell r="BA2415">
            <v>19.34</v>
          </cell>
        </row>
        <row r="2416">
          <cell r="C2416" t="str">
            <v>4203 - ADHESIVES &amp; SEALANTS</v>
          </cell>
          <cell r="D2416" t="str">
            <v>3M90-NAT</v>
          </cell>
          <cell r="BA2416">
            <v>17.11</v>
          </cell>
        </row>
        <row r="2417">
          <cell r="C2417" t="str">
            <v>4203 - ADHESIVES &amp; SEALANTS</v>
          </cell>
          <cell r="D2417" t="str">
            <v>ADTCHAD</v>
          </cell>
          <cell r="BA2417">
            <v>21.69</v>
          </cell>
        </row>
        <row r="2418">
          <cell r="C2418" t="str">
            <v>4203 - ADHESIVES &amp; SEALANTS</v>
          </cell>
          <cell r="D2418" t="str">
            <v>AA17531</v>
          </cell>
          <cell r="BA2418">
            <v>6.06</v>
          </cell>
        </row>
        <row r="2419">
          <cell r="C2419" t="str">
            <v>4203 - ADHESIVES &amp; SEALANTS</v>
          </cell>
          <cell r="D2419" t="str">
            <v>QK862010</v>
          </cell>
          <cell r="BA2419">
            <v>5.25</v>
          </cell>
        </row>
        <row r="2420">
          <cell r="C2420" t="str">
            <v>4203 - ADHESIVES &amp; SEALANTS</v>
          </cell>
          <cell r="D2420" t="str">
            <v>3M90</v>
          </cell>
          <cell r="BA2420">
            <v>13.64</v>
          </cell>
        </row>
        <row r="2421">
          <cell r="C2421" t="str">
            <v>4203 - ADHESIVES &amp; SEALANTS</v>
          </cell>
          <cell r="D2421" t="str">
            <v>AA1229723</v>
          </cell>
          <cell r="BA2421">
            <v>12.51</v>
          </cell>
        </row>
        <row r="2422">
          <cell r="C2422" t="str">
            <v>4203 - ADHESIVES &amp; SEALANTS</v>
          </cell>
          <cell r="D2422" t="str">
            <v>TB5062</v>
          </cell>
          <cell r="BA2422">
            <v>2.0099999999999998</v>
          </cell>
        </row>
        <row r="2423">
          <cell r="C2423" t="str">
            <v>4203 - ADHESIVES &amp; SEALANTS</v>
          </cell>
          <cell r="D2423" t="str">
            <v>AA12854</v>
          </cell>
          <cell r="BA2423">
            <v>5.84</v>
          </cell>
        </row>
        <row r="2424">
          <cell r="C2424" t="str">
            <v>4203 - ADHESIVES &amp; SEALANTS</v>
          </cell>
          <cell r="D2424" t="str">
            <v>CADVULKEM</v>
          </cell>
          <cell r="BA2424">
            <v>6.49</v>
          </cell>
        </row>
        <row r="2425">
          <cell r="C2425" t="str">
            <v>4203 - ADHESIVES &amp; SEALANTS</v>
          </cell>
          <cell r="D2425" t="str">
            <v>DSJ1A</v>
          </cell>
          <cell r="BA2425">
            <v>63.96</v>
          </cell>
        </row>
        <row r="2426">
          <cell r="C2426" t="str">
            <v>4203 - ADHESIVES &amp; SEALANTS</v>
          </cell>
          <cell r="D2426" t="str">
            <v>5904049SPC</v>
          </cell>
          <cell r="BA2426">
            <v>1.04</v>
          </cell>
        </row>
        <row r="2427">
          <cell r="C2427" t="str">
            <v>4203 - ADHESIVES &amp; SEALANTS</v>
          </cell>
          <cell r="D2427" t="str">
            <v>5904050SPC</v>
          </cell>
          <cell r="BA2427">
            <v>1.07</v>
          </cell>
        </row>
        <row r="2428">
          <cell r="C2428" t="str">
            <v>4203 - ADHESIVES &amp; SEALANTS</v>
          </cell>
          <cell r="D2428" t="str">
            <v>MS33DOBIEP</v>
          </cell>
          <cell r="BA2428">
            <v>0.68</v>
          </cell>
        </row>
        <row r="2429">
          <cell r="C2429" t="str">
            <v>4203 - ADHESIVES &amp; SEALANTS</v>
          </cell>
          <cell r="D2429" t="str">
            <v>MS22DOBIEP</v>
          </cell>
          <cell r="BA2429">
            <v>0.31</v>
          </cell>
        </row>
        <row r="2430">
          <cell r="C2430" t="str">
            <v>4203 - ADHESIVES &amp; SEALANTS</v>
          </cell>
          <cell r="D2430" t="str">
            <v>LOCTITE1700176</v>
          </cell>
          <cell r="BA2430">
            <v>5.98</v>
          </cell>
        </row>
        <row r="2431">
          <cell r="C2431" t="str">
            <v>4203 - ADHESIVES &amp; SEALANTS</v>
          </cell>
          <cell r="D2431" t="str">
            <v>LQWAF1-2</v>
          </cell>
          <cell r="BA2431">
            <v>77.02</v>
          </cell>
        </row>
        <row r="2432">
          <cell r="C2432" t="str">
            <v>4204 - FLOORING ACCESSORIES</v>
          </cell>
          <cell r="D2432" t="str">
            <v>MTSG25</v>
          </cell>
          <cell r="BA2432">
            <v>13.99</v>
          </cell>
        </row>
        <row r="2433">
          <cell r="C2433" t="str">
            <v>4204 - FLOORING ACCESSORIES</v>
          </cell>
          <cell r="D2433" t="str">
            <v>GTM50</v>
          </cell>
          <cell r="BA2433">
            <v>8.99</v>
          </cell>
        </row>
        <row r="2434">
          <cell r="C2434" t="str">
            <v>4204 - FLOORING ACCESSORIES</v>
          </cell>
          <cell r="D2434" t="str">
            <v>QU1550-49</v>
          </cell>
          <cell r="BA2434">
            <v>19.79</v>
          </cell>
        </row>
        <row r="2435">
          <cell r="C2435" t="str">
            <v>4204 - FLOORING ACCESSORIES</v>
          </cell>
          <cell r="D2435" t="str">
            <v>SDS25</v>
          </cell>
          <cell r="BA2435">
            <v>19.989999999999998</v>
          </cell>
        </row>
        <row r="2436">
          <cell r="C2436" t="str">
            <v>4204 - FLOORING ACCESSORIES</v>
          </cell>
          <cell r="D2436" t="str">
            <v>1585NSGROUT</v>
          </cell>
          <cell r="BA2436">
            <v>19.39</v>
          </cell>
        </row>
        <row r="2437">
          <cell r="C2437" t="str">
            <v>4204 - FLOORING ACCESSORIES</v>
          </cell>
          <cell r="D2437" t="str">
            <v>ANCHORGROUT</v>
          </cell>
          <cell r="BA2437">
            <v>22.99</v>
          </cell>
        </row>
        <row r="2438">
          <cell r="C2438" t="str">
            <v>4204 - FLOORING ACCESSORIES</v>
          </cell>
          <cell r="D2438" t="str">
            <v>3164RBST</v>
          </cell>
          <cell r="BA2438">
            <v>11.99</v>
          </cell>
        </row>
        <row r="2439">
          <cell r="C2439" t="str">
            <v>4205 - FLOORING</v>
          </cell>
          <cell r="D2439" t="str">
            <v>MD79137</v>
          </cell>
          <cell r="BA2439">
            <v>13.99</v>
          </cell>
        </row>
        <row r="2440">
          <cell r="C2440" t="str">
            <v>4205 - FLOORING</v>
          </cell>
          <cell r="D2440" t="str">
            <v>MD78014</v>
          </cell>
          <cell r="BA2440">
            <v>7.99</v>
          </cell>
        </row>
        <row r="2441">
          <cell r="C2441" t="str">
            <v>4205 - FLOORING</v>
          </cell>
          <cell r="D2441" t="str">
            <v>MD77891</v>
          </cell>
          <cell r="BA2441">
            <v>19.989999999999998</v>
          </cell>
        </row>
        <row r="2442">
          <cell r="C2442" t="str">
            <v>4205 - FLOORING</v>
          </cell>
          <cell r="D2442" t="str">
            <v>MD79152</v>
          </cell>
          <cell r="BA2442">
            <v>13.99</v>
          </cell>
        </row>
        <row r="2443">
          <cell r="C2443" t="str">
            <v>4205 - FLOORING</v>
          </cell>
          <cell r="D2443" t="str">
            <v>MD78220</v>
          </cell>
          <cell r="BA2443">
            <v>17.989999999999998</v>
          </cell>
        </row>
        <row r="2444">
          <cell r="C2444" t="str">
            <v>4205 - FLOORING</v>
          </cell>
          <cell r="D2444" t="str">
            <v>MD78212</v>
          </cell>
          <cell r="BA2444">
            <v>10.99</v>
          </cell>
        </row>
        <row r="2445">
          <cell r="C2445" t="str">
            <v>4205 - FLOORING</v>
          </cell>
          <cell r="D2445" t="str">
            <v>MD79012</v>
          </cell>
          <cell r="BA2445">
            <v>9.99</v>
          </cell>
        </row>
        <row r="2446">
          <cell r="C2446" t="str">
            <v>4205 - FLOORING</v>
          </cell>
          <cell r="D2446" t="str">
            <v>MD78071</v>
          </cell>
          <cell r="BA2446">
            <v>8.99</v>
          </cell>
        </row>
        <row r="2447">
          <cell r="C2447" t="str">
            <v>4205 - FLOORING</v>
          </cell>
          <cell r="D2447" t="str">
            <v>MD78097</v>
          </cell>
          <cell r="BA2447">
            <v>12.99</v>
          </cell>
        </row>
        <row r="2448">
          <cell r="C2448" t="str">
            <v>4205 - FLOORING</v>
          </cell>
          <cell r="D2448" t="str">
            <v>MD79079</v>
          </cell>
          <cell r="BA2448">
            <v>8.69</v>
          </cell>
        </row>
        <row r="2449">
          <cell r="C2449" t="str">
            <v>4205 - FLOORING</v>
          </cell>
          <cell r="D2449" t="str">
            <v>MD79020</v>
          </cell>
          <cell r="BA2449">
            <v>6.99</v>
          </cell>
        </row>
        <row r="2450">
          <cell r="C2450" t="str">
            <v>4205 - FLOORING</v>
          </cell>
          <cell r="D2450" t="str">
            <v>MD79103</v>
          </cell>
          <cell r="BA2450">
            <v>15.99</v>
          </cell>
        </row>
        <row r="2451">
          <cell r="C2451" t="str">
            <v>4205 - FLOORING</v>
          </cell>
          <cell r="D2451" t="str">
            <v>MD79244</v>
          </cell>
          <cell r="BA2451">
            <v>12.99</v>
          </cell>
        </row>
        <row r="2452">
          <cell r="C2452" t="str">
            <v>4205 - FLOORING</v>
          </cell>
          <cell r="D2452" t="str">
            <v>MD79251</v>
          </cell>
          <cell r="BA2452">
            <v>21.99</v>
          </cell>
        </row>
        <row r="2453">
          <cell r="C2453" t="str">
            <v>4205 - FLOORING</v>
          </cell>
          <cell r="D2453" t="str">
            <v>MD78154</v>
          </cell>
          <cell r="BA2453">
            <v>13.99</v>
          </cell>
        </row>
        <row r="2454">
          <cell r="C2454" t="str">
            <v>4205 - FLOORING</v>
          </cell>
          <cell r="D2454" t="str">
            <v>124100CS</v>
          </cell>
          <cell r="BA2454">
            <v>37.99</v>
          </cell>
        </row>
        <row r="2455">
          <cell r="C2455" t="str">
            <v>4205 - FLOORING</v>
          </cell>
          <cell r="D2455" t="str">
            <v>MD02279</v>
          </cell>
          <cell r="BA2455">
            <v>4.59</v>
          </cell>
        </row>
        <row r="2456">
          <cell r="C2456" t="str">
            <v>4205 - FLOORING</v>
          </cell>
          <cell r="D2456" t="str">
            <v>MD06577</v>
          </cell>
          <cell r="BA2456">
            <v>3.79</v>
          </cell>
        </row>
        <row r="2457">
          <cell r="C2457" t="str">
            <v>4205 - FLOORING</v>
          </cell>
          <cell r="D2457" t="str">
            <v>36167AQUA</v>
          </cell>
          <cell r="BA2457">
            <v>26.19</v>
          </cell>
        </row>
        <row r="2458">
          <cell r="C2458" t="str">
            <v>4205 - FLOORING</v>
          </cell>
          <cell r="D2458" t="str">
            <v>RATANFLRBD</v>
          </cell>
          <cell r="BA2458">
            <v>50.49</v>
          </cell>
        </row>
        <row r="2459">
          <cell r="C2459" t="str">
            <v>4205 - FLOORING</v>
          </cell>
          <cell r="D2459" t="str">
            <v>148FF8</v>
          </cell>
          <cell r="BA2459">
            <v>16.39</v>
          </cell>
        </row>
        <row r="2460">
          <cell r="C2460" t="str">
            <v>4205 - FLOORING</v>
          </cell>
          <cell r="D2460" t="str">
            <v>1416FIRBBFJ</v>
          </cell>
          <cell r="BA2460">
            <v>19.190000000000001</v>
          </cell>
        </row>
        <row r="2461">
          <cell r="C2461" t="str">
            <v>4205 - FLOORING</v>
          </cell>
          <cell r="D2461" t="str">
            <v>584HEMBEAD</v>
          </cell>
          <cell r="BA2461">
            <v>2.39</v>
          </cell>
        </row>
        <row r="2462">
          <cell r="C2462" t="str">
            <v>4205 - FLOORING</v>
          </cell>
          <cell r="D2462" t="str">
            <v>2620TGSP</v>
          </cell>
          <cell r="BA2462">
            <v>1787</v>
          </cell>
        </row>
        <row r="2463">
          <cell r="C2463" t="str">
            <v>4205 - FLOORING</v>
          </cell>
          <cell r="D2463" t="str">
            <v>2612TGSP</v>
          </cell>
          <cell r="BA2463">
            <v>1787</v>
          </cell>
        </row>
        <row r="2464">
          <cell r="C2464" t="str">
            <v>4205 - FLOORING</v>
          </cell>
          <cell r="D2464" t="str">
            <v>2616TGSP</v>
          </cell>
          <cell r="BA2464">
            <v>1787</v>
          </cell>
        </row>
        <row r="2465">
          <cell r="C2465" t="str">
            <v>4205 - FLOORING</v>
          </cell>
          <cell r="D2465" t="str">
            <v>2610TGSP</v>
          </cell>
          <cell r="BA2465">
            <v>1787</v>
          </cell>
        </row>
        <row r="2466">
          <cell r="C2466" t="str">
            <v>4205 - FLOORING</v>
          </cell>
          <cell r="D2466" t="str">
            <v>BLDBRD</v>
          </cell>
          <cell r="BA2466">
            <v>49.59</v>
          </cell>
        </row>
        <row r="2467">
          <cell r="C2467" t="str">
            <v>4206 - VENTS/FLASHING/GUTTER</v>
          </cell>
          <cell r="D2467" t="str">
            <v>1210ZF</v>
          </cell>
          <cell r="BA2467">
            <v>11.81</v>
          </cell>
        </row>
        <row r="2468">
          <cell r="C2468" t="str">
            <v>4206 - VENTS/FLASHING/GUTTER</v>
          </cell>
          <cell r="D2468" t="str">
            <v>3834ZFBRN</v>
          </cell>
          <cell r="BA2468">
            <v>16.559999999999999</v>
          </cell>
        </row>
        <row r="2469">
          <cell r="C2469" t="str">
            <v>4206 - VENTS/FLASHING/GUTTER</v>
          </cell>
          <cell r="D2469" t="str">
            <v>8100ASSCR</v>
          </cell>
          <cell r="BA2469">
            <v>26.29</v>
          </cell>
        </row>
        <row r="2470">
          <cell r="C2470" t="str">
            <v>4206 - VENTS/FLASHING/GUTTER</v>
          </cell>
          <cell r="D2470" t="str">
            <v>186100ASSCR</v>
          </cell>
          <cell r="BA2470">
            <v>19.72</v>
          </cell>
        </row>
        <row r="2471">
          <cell r="C2471" t="str">
            <v>4206 - VENTS/FLASHING/GUTTER</v>
          </cell>
          <cell r="D2471" t="str">
            <v>41123810ZMSS</v>
          </cell>
          <cell r="BA2471">
            <v>22.44</v>
          </cell>
        </row>
        <row r="2472">
          <cell r="C2472" t="str">
            <v>4206 - VENTS/FLASHING/GUTTER</v>
          </cell>
          <cell r="D2472" t="str">
            <v>413810ZMSS</v>
          </cell>
          <cell r="BA2472">
            <v>22.44</v>
          </cell>
        </row>
        <row r="2473">
          <cell r="C2473" t="str">
            <v>4206 - VENTS/FLASHING/GUTTER</v>
          </cell>
          <cell r="D2473" t="str">
            <v>3238FWHT</v>
          </cell>
          <cell r="BA2473">
            <v>17.010000000000002</v>
          </cell>
        </row>
        <row r="2474">
          <cell r="C2474" t="str">
            <v>4206 - VENTS/FLASHING/GUTTER</v>
          </cell>
          <cell r="D2474" t="str">
            <v>EM381003</v>
          </cell>
          <cell r="BA2474">
            <v>5.69</v>
          </cell>
        </row>
        <row r="2475">
          <cell r="C2475" t="str">
            <v>4206 - VENTS/FLASHING/GUTTER</v>
          </cell>
          <cell r="D2475" t="str">
            <v>EM389912</v>
          </cell>
          <cell r="BA2475">
            <v>6.74</v>
          </cell>
        </row>
        <row r="2476">
          <cell r="C2476" t="str">
            <v>4206 - VENTS/FLASHING/GUTTER</v>
          </cell>
          <cell r="D2476" t="str">
            <v>EM389888</v>
          </cell>
          <cell r="BA2476">
            <v>7.79</v>
          </cell>
        </row>
        <row r="2477">
          <cell r="C2477" t="str">
            <v>4206 - VENTS/FLASHING/GUTTER</v>
          </cell>
          <cell r="D2477" t="str">
            <v>EM382646</v>
          </cell>
          <cell r="BA2477">
            <v>1.78</v>
          </cell>
        </row>
        <row r="2478">
          <cell r="C2478" t="str">
            <v>4206 - VENTS/FLASHING/GUTTER</v>
          </cell>
          <cell r="D2478" t="str">
            <v>EM380862</v>
          </cell>
          <cell r="BA2478">
            <v>15.87</v>
          </cell>
        </row>
        <row r="2479">
          <cell r="C2479" t="str">
            <v>4206 - VENTS/FLASHING/GUTTER</v>
          </cell>
          <cell r="D2479" t="str">
            <v>EM382626</v>
          </cell>
          <cell r="BA2479">
            <v>0.54</v>
          </cell>
        </row>
        <row r="2480">
          <cell r="C2480" t="str">
            <v>4206 - VENTS/FLASHING/GUTTER</v>
          </cell>
          <cell r="D2480" t="str">
            <v>EM384532</v>
          </cell>
          <cell r="BA2480">
            <v>1.76</v>
          </cell>
        </row>
        <row r="2481">
          <cell r="C2481" t="str">
            <v>4206 - VENTS/FLASHING/GUTTER</v>
          </cell>
          <cell r="D2481" t="str">
            <v>EM389833</v>
          </cell>
          <cell r="BA2481">
            <v>11.89</v>
          </cell>
        </row>
        <row r="2482">
          <cell r="C2482" t="str">
            <v>4206 - VENTS/FLASHING/GUTTER</v>
          </cell>
          <cell r="D2482" t="str">
            <v>EM380863</v>
          </cell>
          <cell r="BA2482">
            <v>14.21</v>
          </cell>
        </row>
        <row r="2483">
          <cell r="C2483" t="str">
            <v>4206 - VENTS/FLASHING/GUTTER</v>
          </cell>
          <cell r="D2483" t="str">
            <v>EM389848</v>
          </cell>
          <cell r="BA2483">
            <v>12.46</v>
          </cell>
        </row>
        <row r="2484">
          <cell r="C2484" t="str">
            <v>4206 - VENTS/FLASHING/GUTTER</v>
          </cell>
          <cell r="D2484" t="str">
            <v>EM389893</v>
          </cell>
          <cell r="BA2484">
            <v>7.91</v>
          </cell>
        </row>
        <row r="2485">
          <cell r="C2485" t="str">
            <v>4206 - VENTS/FLASHING/GUTTER</v>
          </cell>
          <cell r="D2485" t="str">
            <v>EM380807</v>
          </cell>
          <cell r="BA2485">
            <v>5.31</v>
          </cell>
        </row>
        <row r="2486">
          <cell r="C2486" t="str">
            <v>4206 - VENTS/FLASHING/GUTTER</v>
          </cell>
          <cell r="D2486" t="str">
            <v>EM382352</v>
          </cell>
          <cell r="BA2486">
            <v>14.92</v>
          </cell>
        </row>
        <row r="2487">
          <cell r="C2487" t="str">
            <v>4206 - VENTS/FLASHING/GUTTER</v>
          </cell>
          <cell r="D2487" t="str">
            <v>EM382302</v>
          </cell>
          <cell r="BA2487">
            <v>8.94</v>
          </cell>
        </row>
        <row r="2488">
          <cell r="C2488" t="str">
            <v>4206 - VENTS/FLASHING/GUTTER</v>
          </cell>
          <cell r="D2488" t="str">
            <v>EM380654</v>
          </cell>
          <cell r="BA2488">
            <v>17.399999999999999</v>
          </cell>
        </row>
        <row r="2489">
          <cell r="C2489" t="str">
            <v>4206 - VENTS/FLASHING/GUTTER</v>
          </cell>
          <cell r="D2489" t="str">
            <v>EM381004</v>
          </cell>
          <cell r="BA2489">
            <v>5.55</v>
          </cell>
        </row>
        <row r="2490">
          <cell r="C2490" t="str">
            <v>4206 - VENTS/FLASHING/GUTTER</v>
          </cell>
          <cell r="D2490" t="str">
            <v>NW516663</v>
          </cell>
          <cell r="BA2490">
            <v>11.51</v>
          </cell>
        </row>
        <row r="2491">
          <cell r="C2491" t="str">
            <v>4206 - VENTS/FLASHING/GUTTER</v>
          </cell>
          <cell r="D2491" t="str">
            <v>NW516863</v>
          </cell>
          <cell r="BA2491">
            <v>10.61</v>
          </cell>
        </row>
        <row r="2492">
          <cell r="C2492" t="str">
            <v>4206 - VENTS/FLASHING/GUTTER</v>
          </cell>
          <cell r="D2492" t="str">
            <v>NW516963</v>
          </cell>
          <cell r="BA2492">
            <v>11.51</v>
          </cell>
        </row>
        <row r="2493">
          <cell r="C2493" t="str">
            <v>4206 - VENTS/FLASHING/GUTTER</v>
          </cell>
          <cell r="D2493" t="str">
            <v>ASC516707</v>
          </cell>
          <cell r="BA2493">
            <v>4.74</v>
          </cell>
        </row>
        <row r="2494">
          <cell r="C2494" t="str">
            <v>4206 - VENTS/FLASHING/GUTTER</v>
          </cell>
          <cell r="D2494" t="str">
            <v>ASC35512BN</v>
          </cell>
          <cell r="BA2494">
            <v>15.8</v>
          </cell>
        </row>
        <row r="2495">
          <cell r="C2495" t="str">
            <v>4206 - VENTS/FLASHING/GUTTER</v>
          </cell>
          <cell r="D2495" t="str">
            <v>ASCEM284GLV</v>
          </cell>
          <cell r="BA2495">
            <v>6.76</v>
          </cell>
        </row>
        <row r="2496">
          <cell r="C2496" t="str">
            <v>4206 - VENTS/FLASHING/GUTTER</v>
          </cell>
          <cell r="D2496" t="str">
            <v>58784</v>
          </cell>
          <cell r="BA2496">
            <v>50</v>
          </cell>
        </row>
        <row r="2497">
          <cell r="C2497" t="str">
            <v>4206 - VENTS/FLASHING/GUTTER</v>
          </cell>
          <cell r="D2497" t="str">
            <v>AH68310</v>
          </cell>
          <cell r="BA2497">
            <v>13.33</v>
          </cell>
        </row>
        <row r="2498">
          <cell r="C2498" t="str">
            <v>4206 - VENTS/FLASHING/GUTTER</v>
          </cell>
          <cell r="D2498" t="str">
            <v>AH70410</v>
          </cell>
          <cell r="BA2498">
            <v>14.81</v>
          </cell>
        </row>
        <row r="2499">
          <cell r="C2499" t="str">
            <v>4206 - VENTS/FLASHING/GUTTER</v>
          </cell>
          <cell r="D2499" t="str">
            <v>EM681703</v>
          </cell>
          <cell r="BA2499">
            <v>20.76</v>
          </cell>
        </row>
        <row r="2500">
          <cell r="C2500" t="str">
            <v>4206 - VENTS/FLASHING/GUTTER</v>
          </cell>
          <cell r="D2500" t="str">
            <v>AH70408</v>
          </cell>
          <cell r="BA2500">
            <v>12.86</v>
          </cell>
        </row>
        <row r="2501">
          <cell r="C2501" t="str">
            <v>4206 - VENTS/FLASHING/GUTTER</v>
          </cell>
          <cell r="D2501" t="str">
            <v>AH68314</v>
          </cell>
          <cell r="BA2501">
            <v>16.87</v>
          </cell>
        </row>
        <row r="2502">
          <cell r="C2502" t="str">
            <v>4206 - VENTS/FLASHING/GUTTER</v>
          </cell>
          <cell r="D2502" t="str">
            <v>DA1212W</v>
          </cell>
          <cell r="BA2502">
            <v>18.739999999999998</v>
          </cell>
        </row>
        <row r="2503">
          <cell r="C2503" t="str">
            <v>4206 - VENTS/FLASHING/GUTTER</v>
          </cell>
          <cell r="D2503" t="str">
            <v>58785</v>
          </cell>
          <cell r="BA2503">
            <v>75.64</v>
          </cell>
        </row>
        <row r="2504">
          <cell r="C2504" t="str">
            <v>4206 - VENTS/FLASHING/GUTTER</v>
          </cell>
          <cell r="D2504" t="str">
            <v>AH68010</v>
          </cell>
          <cell r="BA2504">
            <v>45.58</v>
          </cell>
        </row>
        <row r="2505">
          <cell r="C2505" t="str">
            <v>4206 - VENTS/FLASHING/GUTTER</v>
          </cell>
          <cell r="D2505" t="str">
            <v>DVBP</v>
          </cell>
          <cell r="BA2505">
            <v>2.59</v>
          </cell>
        </row>
        <row r="2506">
          <cell r="C2506" t="str">
            <v>4206 - VENTS/FLASHING/GUTTER</v>
          </cell>
          <cell r="D2506" t="str">
            <v>DVBPXL</v>
          </cell>
          <cell r="BA2506">
            <v>3.95</v>
          </cell>
        </row>
        <row r="2507">
          <cell r="C2507" t="str">
            <v>4206 - VENTS/FLASHING/GUTTER</v>
          </cell>
          <cell r="D2507" t="str">
            <v>DVBPSM</v>
          </cell>
          <cell r="BA2507">
            <v>3.28</v>
          </cell>
        </row>
        <row r="2508">
          <cell r="C2508" t="str">
            <v>4206 - VENTS/FLASHING/GUTTER</v>
          </cell>
          <cell r="D2508" t="str">
            <v>2210EFBRN</v>
          </cell>
          <cell r="BA2508">
            <v>8.4600000000000009</v>
          </cell>
        </row>
        <row r="2509">
          <cell r="C2509" t="str">
            <v>4206 - VENTS/FLASHING/GUTTER</v>
          </cell>
          <cell r="D2509" t="str">
            <v>LLSGM20</v>
          </cell>
          <cell r="BA2509">
            <v>69.17</v>
          </cell>
        </row>
        <row r="2510">
          <cell r="C2510" t="str">
            <v>4206 - VENTS/FLASHING/GUTTER</v>
          </cell>
          <cell r="D2510" t="str">
            <v>GM1824RVWT</v>
          </cell>
          <cell r="BA2510">
            <v>74.489999999999995</v>
          </cell>
        </row>
        <row r="2511">
          <cell r="C2511" t="str">
            <v>4206 - VENTS/FLASHING/GUTTER</v>
          </cell>
          <cell r="D2511" t="str">
            <v>816CFV</v>
          </cell>
          <cell r="BA2511">
            <v>16.21</v>
          </cell>
        </row>
        <row r="2512">
          <cell r="C2512" t="str">
            <v>4206 - VENTS/FLASHING/GUTTER</v>
          </cell>
          <cell r="D2512" t="str">
            <v>GLMETAL7121212</v>
          </cell>
          <cell r="BA2512">
            <v>24.4</v>
          </cell>
        </row>
        <row r="2513">
          <cell r="C2513" t="str">
            <v>4206 - VENTS/FLASHING/GUTTER</v>
          </cell>
          <cell r="D2513" t="str">
            <v>G387253812</v>
          </cell>
          <cell r="BA2513">
            <v>5.71</v>
          </cell>
        </row>
        <row r="2514">
          <cell r="C2514" t="str">
            <v>4206 - VENTS/FLASHING/GUTTER</v>
          </cell>
          <cell r="D2514" t="str">
            <v>G73121210MB</v>
          </cell>
          <cell r="BA2514">
            <v>19.87</v>
          </cell>
        </row>
        <row r="2515">
          <cell r="C2515" t="str">
            <v>4206 - VENTS/FLASHING/GUTTER</v>
          </cell>
          <cell r="D2515" t="str">
            <v>311438HBFBLK</v>
          </cell>
          <cell r="BA2515">
            <v>7.06</v>
          </cell>
        </row>
        <row r="2516">
          <cell r="C2516" t="str">
            <v>4206 - VENTS/FLASHING/GUTTER</v>
          </cell>
          <cell r="D2516" t="str">
            <v>G3138Z90BK</v>
          </cell>
          <cell r="BA2516">
            <v>10.45</v>
          </cell>
        </row>
        <row r="2517">
          <cell r="C2517" t="str">
            <v>4206 - VENTS/FLASHING/GUTTER</v>
          </cell>
          <cell r="D2517" t="str">
            <v>G123121210</v>
          </cell>
          <cell r="BA2517">
            <v>13.14</v>
          </cell>
        </row>
        <row r="2518">
          <cell r="C2518" t="str">
            <v>4206 - VENTS/FLASHING/GUTTER</v>
          </cell>
          <cell r="D2518" t="str">
            <v>G383123812</v>
          </cell>
          <cell r="BA2518">
            <v>5.0599999999999996</v>
          </cell>
        </row>
        <row r="2519">
          <cell r="C2519" t="str">
            <v>4206 - VENTS/FLASHING/GUTTER</v>
          </cell>
          <cell r="D2519" t="str">
            <v>G385123812</v>
          </cell>
          <cell r="BA2519">
            <v>5.38</v>
          </cell>
        </row>
        <row r="2520">
          <cell r="C2520" t="str">
            <v>4206 - VENTS/FLASHING/GUTTER</v>
          </cell>
          <cell r="D2520" t="str">
            <v>SV164MF</v>
          </cell>
          <cell r="BA2520">
            <v>2.54</v>
          </cell>
        </row>
        <row r="2521">
          <cell r="C2521" t="str">
            <v>4206 - VENTS/FLASHING/GUTTER</v>
          </cell>
          <cell r="D2521" t="str">
            <v>SV164BR</v>
          </cell>
          <cell r="BA2521">
            <v>2.46</v>
          </cell>
        </row>
        <row r="2522">
          <cell r="C2522" t="str">
            <v>4206 - VENTS/FLASHING/GUTTER</v>
          </cell>
          <cell r="D2522" t="str">
            <v>NW558005</v>
          </cell>
          <cell r="BA2522">
            <v>7.23</v>
          </cell>
        </row>
        <row r="2523">
          <cell r="C2523" t="str">
            <v>4206 - VENTS/FLASHING/GUTTER</v>
          </cell>
          <cell r="D2523" t="str">
            <v>S166WHTSOFFITV</v>
          </cell>
          <cell r="BA2523">
            <v>10.130000000000001</v>
          </cell>
        </row>
        <row r="2524">
          <cell r="C2524" t="str">
            <v>4206 - VENTS/FLASHING/GUTTER</v>
          </cell>
          <cell r="D2524" t="str">
            <v>S166GALVSOFFITV</v>
          </cell>
          <cell r="BA2524">
            <v>8.16</v>
          </cell>
        </row>
        <row r="2525">
          <cell r="C2525" t="str">
            <v>4206 - VENTS/FLASHING/GUTTER</v>
          </cell>
          <cell r="D2525" t="str">
            <v>S168GALVSOFFITV</v>
          </cell>
          <cell r="BA2525">
            <v>8.68</v>
          </cell>
        </row>
        <row r="2526">
          <cell r="C2526" t="str">
            <v>4206 - VENTS/FLASHING/GUTTER</v>
          </cell>
          <cell r="D2526" t="str">
            <v>S164BBRNSOFFITV</v>
          </cell>
          <cell r="BA2526">
            <v>8.49</v>
          </cell>
        </row>
        <row r="2527">
          <cell r="C2527" t="str">
            <v>4206 - VENTS/FLASHING/GUTTER</v>
          </cell>
          <cell r="D2527" t="str">
            <v>S166BBRNSOFFITV</v>
          </cell>
          <cell r="BA2527">
            <v>9.41</v>
          </cell>
        </row>
        <row r="2528">
          <cell r="C2528" t="str">
            <v>4206 - VENTS/FLASHING/GUTTER</v>
          </cell>
          <cell r="D2528" t="str">
            <v>S168BBRNSOFFITV</v>
          </cell>
          <cell r="BA2528">
            <v>10.28</v>
          </cell>
        </row>
        <row r="2529">
          <cell r="C2529" t="str">
            <v>4206 - VENTS/FLASHING/GUTTER</v>
          </cell>
          <cell r="D2529" t="str">
            <v>SD166GALVSOFFIT</v>
          </cell>
          <cell r="BA2529">
            <v>0.01</v>
          </cell>
        </row>
        <row r="2530">
          <cell r="C2530" t="str">
            <v>4206 - VENTS/FLASHING/GUTTER</v>
          </cell>
          <cell r="D2530" t="str">
            <v>SV168B</v>
          </cell>
          <cell r="BA2530">
            <v>2.5499999999999998</v>
          </cell>
        </row>
        <row r="2531">
          <cell r="C2531" t="str">
            <v>4206 - VENTS/FLASHING/GUTTER</v>
          </cell>
          <cell r="D2531" t="str">
            <v>SV168MF</v>
          </cell>
          <cell r="BA2531">
            <v>2.31</v>
          </cell>
        </row>
        <row r="2532">
          <cell r="C2532" t="str">
            <v>4206 - VENTS/FLASHING/GUTTER</v>
          </cell>
          <cell r="D2532" t="str">
            <v>SV168WH</v>
          </cell>
          <cell r="BA2532">
            <v>2.79</v>
          </cell>
        </row>
        <row r="2533">
          <cell r="C2533" t="str">
            <v>4206 - VENTS/FLASHING/GUTTER</v>
          </cell>
          <cell r="D2533" t="str">
            <v>LLEAC16X4W</v>
          </cell>
          <cell r="BA2533">
            <v>2.4700000000000002</v>
          </cell>
        </row>
        <row r="2534">
          <cell r="C2534" t="str">
            <v>4206 - VENTS/FLASHING/GUTTER</v>
          </cell>
          <cell r="D2534" t="str">
            <v>NW556177</v>
          </cell>
          <cell r="BA2534">
            <v>18.239999999999998</v>
          </cell>
        </row>
        <row r="2535">
          <cell r="C2535" t="str">
            <v>4206 - VENTS/FLASHING/GUTTER</v>
          </cell>
          <cell r="D2535" t="str">
            <v>NWMRVO38BLK</v>
          </cell>
          <cell r="BA2535">
            <v>19.809999999999999</v>
          </cell>
        </row>
        <row r="2536">
          <cell r="C2536" t="str">
            <v>4206 - VENTS/FLASHING/GUTTER</v>
          </cell>
          <cell r="D2536" t="str">
            <v>NWMRVO38GRY</v>
          </cell>
          <cell r="BA2536">
            <v>19.809999999999999</v>
          </cell>
        </row>
        <row r="2537">
          <cell r="C2537" t="str">
            <v>4206 - VENTS/FLASHING/GUTTER</v>
          </cell>
          <cell r="D2537" t="str">
            <v>NWMRVO38BRN</v>
          </cell>
          <cell r="BA2537">
            <v>19.809999999999999</v>
          </cell>
        </row>
        <row r="2538">
          <cell r="C2538" t="str">
            <v>4206 - VENTS/FLASHING/GUTTER</v>
          </cell>
          <cell r="D2538" t="str">
            <v>NWM559001</v>
          </cell>
          <cell r="BA2538">
            <v>4.91</v>
          </cell>
        </row>
        <row r="2539">
          <cell r="C2539" t="str">
            <v>4206 - VENTS/FLASHING/GUTTER</v>
          </cell>
          <cell r="D2539" t="str">
            <v>NWM559002</v>
          </cell>
          <cell r="BA2539">
            <v>2.75</v>
          </cell>
        </row>
        <row r="2540">
          <cell r="C2540" t="str">
            <v>4206 - VENTS/FLASHING/GUTTER</v>
          </cell>
          <cell r="D2540" t="str">
            <v>NW6721016</v>
          </cell>
          <cell r="BA2540">
            <v>2.04</v>
          </cell>
        </row>
        <row r="2541">
          <cell r="C2541" t="str">
            <v>4206 - VENTS/FLASHING/GUTTER</v>
          </cell>
          <cell r="D2541" t="str">
            <v>AF50710BLK</v>
          </cell>
          <cell r="BA2541">
            <v>13.99</v>
          </cell>
        </row>
        <row r="2542">
          <cell r="C2542" t="str">
            <v>4206 - VENTS/FLASHING/GUTTER</v>
          </cell>
          <cell r="D2542" t="str">
            <v>EM681402</v>
          </cell>
          <cell r="BA2542">
            <v>13.99</v>
          </cell>
        </row>
        <row r="2543">
          <cell r="C2543" t="str">
            <v>4206 - VENTS/FLASHING/GUTTER</v>
          </cell>
          <cell r="D2543" t="str">
            <v>AF50LBR</v>
          </cell>
          <cell r="BA2543">
            <v>13.99</v>
          </cell>
        </row>
        <row r="2544">
          <cell r="C2544" t="str">
            <v>4206 - VENTS/FLASHING/GUTTER</v>
          </cell>
          <cell r="D2544" t="str">
            <v>EM130071</v>
          </cell>
          <cell r="BA2544">
            <v>34.94</v>
          </cell>
        </row>
        <row r="2545">
          <cell r="C2545" t="str">
            <v>4206 - VENTS/FLASHING/GUTTER</v>
          </cell>
          <cell r="D2545" t="str">
            <v>130070BLKVNT</v>
          </cell>
          <cell r="BA2545">
            <v>34.94</v>
          </cell>
        </row>
        <row r="2546">
          <cell r="C2546" t="str">
            <v>4206 - VENTS/FLASHING/GUTTER</v>
          </cell>
          <cell r="D2546" t="str">
            <v>EM130075</v>
          </cell>
          <cell r="BA2546">
            <v>47.64</v>
          </cell>
        </row>
        <row r="2547">
          <cell r="C2547" t="str">
            <v>4206 - VENTS/FLASHING/GUTTER</v>
          </cell>
          <cell r="D2547" t="str">
            <v>556060</v>
          </cell>
          <cell r="BA2547">
            <v>34.770000000000003</v>
          </cell>
        </row>
        <row r="2548">
          <cell r="C2548" t="str">
            <v>4206 - VENTS/FLASHING/GUTTER</v>
          </cell>
          <cell r="D2548" t="str">
            <v>EM130076BRWN</v>
          </cell>
          <cell r="BA2548">
            <v>47.64</v>
          </cell>
        </row>
        <row r="2549">
          <cell r="C2549" t="str">
            <v>4206 - VENTS/FLASHING/GUTTER</v>
          </cell>
          <cell r="D2549" t="str">
            <v>AV53847</v>
          </cell>
          <cell r="BA2549">
            <v>298.2</v>
          </cell>
        </row>
        <row r="2550">
          <cell r="C2550" t="str">
            <v>4206 - VENTS/FLASHING/GUTTER</v>
          </cell>
          <cell r="D2550" t="str">
            <v>CV2ML</v>
          </cell>
          <cell r="BA2550">
            <v>1.46</v>
          </cell>
        </row>
        <row r="2551">
          <cell r="C2551" t="str">
            <v>4206 - VENTS/FLASHING/GUTTER</v>
          </cell>
          <cell r="D2551" t="str">
            <v>EGV5</v>
          </cell>
          <cell r="BA2551">
            <v>102.47</v>
          </cell>
        </row>
        <row r="2552">
          <cell r="C2552" t="str">
            <v>4206 - VENTS/FLASHING/GUTTER</v>
          </cell>
          <cell r="D2552" t="str">
            <v>CAVSV3</v>
          </cell>
          <cell r="BA2552">
            <v>90.73</v>
          </cell>
        </row>
        <row r="2553">
          <cell r="C2553" t="str">
            <v>4206 - VENTS/FLASHING/GUTTER</v>
          </cell>
          <cell r="D2553" t="str">
            <v>CAVSV5BX</v>
          </cell>
          <cell r="BA2553">
            <v>90.71</v>
          </cell>
        </row>
        <row r="2554">
          <cell r="C2554" t="str">
            <v>4206 - VENTS/FLASHING/GUTTER</v>
          </cell>
          <cell r="D2554" t="str">
            <v>AC150C</v>
          </cell>
          <cell r="BA2554">
            <v>21.13</v>
          </cell>
        </row>
        <row r="2555">
          <cell r="C2555" t="str">
            <v>4206 - VENTS/FLASHING/GUTTER</v>
          </cell>
          <cell r="D2555" t="str">
            <v>PFV6-8D</v>
          </cell>
          <cell r="BA2555">
            <v>21.39</v>
          </cell>
        </row>
        <row r="2556">
          <cell r="C2556" t="str">
            <v>4206 - VENTS/FLASHING/GUTTER</v>
          </cell>
          <cell r="D2556" t="str">
            <v>DVENTCHR</v>
          </cell>
          <cell r="BA2556">
            <v>72.209999999999994</v>
          </cell>
        </row>
        <row r="2557">
          <cell r="C2557" t="str">
            <v>4206 - VENTS/FLASHING/GUTTER</v>
          </cell>
          <cell r="D2557" t="str">
            <v>HU559408</v>
          </cell>
          <cell r="BA2557">
            <v>10.94</v>
          </cell>
        </row>
        <row r="2558">
          <cell r="C2558" t="str">
            <v>4206 - VENTS/FLASHING/GUTTER</v>
          </cell>
          <cell r="D2558" t="str">
            <v>RL1001EA</v>
          </cell>
          <cell r="BA2558">
            <v>0.72</v>
          </cell>
        </row>
        <row r="2559">
          <cell r="C2559" t="str">
            <v>4206 - VENTS/FLASHING/GUTTER</v>
          </cell>
          <cell r="D2559" t="str">
            <v>RL100112EA</v>
          </cell>
          <cell r="BA2559">
            <v>1.19</v>
          </cell>
        </row>
        <row r="2560">
          <cell r="C2560" t="str">
            <v>4206 - VENTS/FLASHING/GUTTER</v>
          </cell>
          <cell r="D2560" t="str">
            <v>RL1002</v>
          </cell>
          <cell r="BA2560">
            <v>8.69</v>
          </cell>
        </row>
        <row r="2561">
          <cell r="C2561" t="str">
            <v>4206 - VENTS/FLASHING/GUTTER</v>
          </cell>
          <cell r="D2561" t="str">
            <v>RL1002EA</v>
          </cell>
          <cell r="BA2561">
            <v>1.45</v>
          </cell>
        </row>
        <row r="2562">
          <cell r="C2562" t="str">
            <v>4206 - VENTS/FLASHING/GUTTER</v>
          </cell>
          <cell r="D2562" t="str">
            <v>NW559437</v>
          </cell>
          <cell r="BA2562">
            <v>27.24</v>
          </cell>
        </row>
        <row r="2563">
          <cell r="C2563" t="str">
            <v>4206 - VENTS/FLASHING/GUTTER</v>
          </cell>
          <cell r="D2563" t="str">
            <v>NW559439</v>
          </cell>
          <cell r="BA2563">
            <v>27.24</v>
          </cell>
        </row>
        <row r="2564">
          <cell r="C2564" t="str">
            <v>4206 - VENTS/FLASHING/GUTTER</v>
          </cell>
          <cell r="D2564" t="str">
            <v>NW820099</v>
          </cell>
          <cell r="BA2564">
            <v>6.55</v>
          </cell>
        </row>
        <row r="2565">
          <cell r="C2565" t="str">
            <v>4206 - VENTS/FLASHING/GUTTER</v>
          </cell>
          <cell r="D2565" t="str">
            <v>NW516875</v>
          </cell>
          <cell r="BA2565">
            <v>10.62</v>
          </cell>
        </row>
        <row r="2566">
          <cell r="C2566" t="str">
            <v>4206 - VENTS/FLASHING/GUTTER</v>
          </cell>
          <cell r="D2566" t="str">
            <v>NW559451</v>
          </cell>
          <cell r="BA2566">
            <v>13.99</v>
          </cell>
        </row>
        <row r="2567">
          <cell r="C2567" t="str">
            <v>4206 - VENTS/FLASHING/GUTTER</v>
          </cell>
          <cell r="D2567" t="str">
            <v>1218RCF</v>
          </cell>
          <cell r="BA2567">
            <v>48.19</v>
          </cell>
        </row>
        <row r="2568">
          <cell r="C2568" t="str">
            <v>4206 - VENTS/FLASHING/GUTTER</v>
          </cell>
          <cell r="D2568" t="str">
            <v>NW516964</v>
          </cell>
          <cell r="BA2568">
            <v>6.22</v>
          </cell>
        </row>
        <row r="2569">
          <cell r="C2569" t="str">
            <v>4206 - VENTS/FLASHING/GUTTER</v>
          </cell>
          <cell r="D2569" t="str">
            <v>NW969181</v>
          </cell>
          <cell r="BA2569">
            <v>13.15</v>
          </cell>
        </row>
        <row r="2570">
          <cell r="C2570" t="str">
            <v>4206 - VENTS/FLASHING/GUTTER</v>
          </cell>
          <cell r="D2570" t="str">
            <v>NW556042</v>
          </cell>
          <cell r="BA2570">
            <v>9.98</v>
          </cell>
        </row>
        <row r="2571">
          <cell r="C2571" t="str">
            <v>4206 - VENTS/FLASHING/GUTTER</v>
          </cell>
          <cell r="D2571" t="str">
            <v>NW516760</v>
          </cell>
          <cell r="BA2571">
            <v>14.49</v>
          </cell>
        </row>
        <row r="2572">
          <cell r="C2572" t="str">
            <v>4206 - VENTS/FLASHING/GUTTER</v>
          </cell>
          <cell r="D2572" t="str">
            <v>NW516860</v>
          </cell>
          <cell r="BA2572">
            <v>17.399999999999999</v>
          </cell>
        </row>
        <row r="2573">
          <cell r="C2573" t="str">
            <v>4206 - VENTS/FLASHING/GUTTER</v>
          </cell>
          <cell r="D2573" t="str">
            <v>NW516786</v>
          </cell>
          <cell r="BA2573">
            <v>8.06</v>
          </cell>
        </row>
        <row r="2574">
          <cell r="C2574" t="str">
            <v>4206 - VENTS/FLASHING/GUTTER</v>
          </cell>
          <cell r="D2574" t="str">
            <v>NW516709</v>
          </cell>
          <cell r="BA2574">
            <v>16.05</v>
          </cell>
        </row>
        <row r="2575">
          <cell r="C2575" t="str">
            <v>4206 - VENTS/FLASHING/GUTTER</v>
          </cell>
          <cell r="D2575" t="str">
            <v>NW516886</v>
          </cell>
          <cell r="BA2575">
            <v>8.76</v>
          </cell>
        </row>
        <row r="2576">
          <cell r="C2576" t="str">
            <v>4206 - VENTS/FLASHING/GUTTER</v>
          </cell>
          <cell r="D2576" t="str">
            <v>NW516852</v>
          </cell>
          <cell r="BA2576">
            <v>8.83</v>
          </cell>
        </row>
        <row r="2577">
          <cell r="C2577" t="str">
            <v>4206 - VENTS/FLASHING/GUTTER</v>
          </cell>
          <cell r="D2577" t="str">
            <v>NW516803</v>
          </cell>
          <cell r="BA2577">
            <v>7.08</v>
          </cell>
        </row>
        <row r="2578">
          <cell r="C2578" t="str">
            <v>4206 - VENTS/FLASHING/GUTTER</v>
          </cell>
          <cell r="D2578" t="str">
            <v>NW516805</v>
          </cell>
          <cell r="BA2578">
            <v>7.58</v>
          </cell>
        </row>
        <row r="2579">
          <cell r="C2579" t="str">
            <v>4206 - VENTS/FLASHING/GUTTER</v>
          </cell>
          <cell r="D2579" t="str">
            <v>NW559189</v>
          </cell>
          <cell r="BA2579">
            <v>18.86</v>
          </cell>
        </row>
        <row r="2580">
          <cell r="C2580" t="str">
            <v>4206 - VENTS/FLASHING/GUTTER</v>
          </cell>
          <cell r="D2580" t="str">
            <v>NW511003</v>
          </cell>
          <cell r="BA2580">
            <v>0.76</v>
          </cell>
        </row>
        <row r="2581">
          <cell r="C2581" t="str">
            <v>4206 - VENTS/FLASHING/GUTTER</v>
          </cell>
          <cell r="D2581" t="str">
            <v>NW559021</v>
          </cell>
          <cell r="BA2581">
            <v>11.55</v>
          </cell>
        </row>
        <row r="2582">
          <cell r="C2582" t="str">
            <v>4206 - VENTS/FLASHING/GUTTER</v>
          </cell>
          <cell r="D2582" t="str">
            <v>NW559029</v>
          </cell>
          <cell r="BA2582">
            <v>14.63</v>
          </cell>
        </row>
        <row r="2583">
          <cell r="C2583" t="str">
            <v>4206 - VENTS/FLASHING/GUTTER</v>
          </cell>
          <cell r="D2583" t="str">
            <v>NW516704</v>
          </cell>
          <cell r="BA2583">
            <v>4.8</v>
          </cell>
        </row>
        <row r="2584">
          <cell r="C2584" t="str">
            <v>4206 - VENTS/FLASHING/GUTTER</v>
          </cell>
          <cell r="D2584" t="str">
            <v>NW516703</v>
          </cell>
          <cell r="BA2584">
            <v>5</v>
          </cell>
        </row>
        <row r="2585">
          <cell r="C2585" t="str">
            <v>4206 - VENTS/FLASHING/GUTTER</v>
          </cell>
          <cell r="D2585" t="str">
            <v>NW516722</v>
          </cell>
          <cell r="BA2585">
            <v>5.81</v>
          </cell>
        </row>
        <row r="2586">
          <cell r="C2586" t="str">
            <v>4206 - VENTS/FLASHING/GUTTER</v>
          </cell>
          <cell r="D2586" t="str">
            <v>NW516853</v>
          </cell>
          <cell r="BA2586">
            <v>12</v>
          </cell>
        </row>
        <row r="2587">
          <cell r="C2587" t="str">
            <v>4206 - VENTS/FLASHING/GUTTER</v>
          </cell>
          <cell r="D2587" t="str">
            <v>NW559023</v>
          </cell>
          <cell r="BA2587">
            <v>12.04</v>
          </cell>
        </row>
        <row r="2588">
          <cell r="C2588" t="str">
            <v>4206 - VENTS/FLASHING/GUTTER</v>
          </cell>
          <cell r="D2588" t="str">
            <v>NW559427</v>
          </cell>
          <cell r="BA2588">
            <v>15.95</v>
          </cell>
        </row>
        <row r="2589">
          <cell r="C2589" t="str">
            <v>4206 - VENTS/FLASHING/GUTTER</v>
          </cell>
          <cell r="D2589" t="str">
            <v>556065</v>
          </cell>
          <cell r="BA2589">
            <v>47.42</v>
          </cell>
        </row>
        <row r="2590">
          <cell r="C2590" t="str">
            <v>4206 - VENTS/FLASHING/GUTTER</v>
          </cell>
          <cell r="D2590" t="str">
            <v>1310FBLK512</v>
          </cell>
          <cell r="BA2590">
            <v>9.9600000000000009</v>
          </cell>
        </row>
        <row r="2591">
          <cell r="C2591" t="str">
            <v>4206 - VENTS/FLASHING/GUTTER</v>
          </cell>
          <cell r="D2591" t="str">
            <v>556064</v>
          </cell>
          <cell r="BA2591">
            <v>47.26</v>
          </cell>
        </row>
        <row r="2592">
          <cell r="C2592" t="str">
            <v>4206 - VENTS/FLASHING/GUTTER</v>
          </cell>
          <cell r="D2592" t="str">
            <v>MFRL100212</v>
          </cell>
          <cell r="BA2592">
            <v>1.74</v>
          </cell>
        </row>
        <row r="2593">
          <cell r="C2593" t="str">
            <v>4206 - VENTS/FLASHING/GUTTER</v>
          </cell>
          <cell r="D2593" t="str">
            <v>MFRL100212EA</v>
          </cell>
          <cell r="BA2593">
            <v>4.16</v>
          </cell>
        </row>
        <row r="2594">
          <cell r="C2594" t="str">
            <v>4206 - VENTS/FLASHING/GUTTER</v>
          </cell>
          <cell r="D2594" t="str">
            <v>3ML</v>
          </cell>
          <cell r="BA2594">
            <v>4.62</v>
          </cell>
        </row>
        <row r="2595">
          <cell r="C2595" t="str">
            <v>4206 - VENTS/FLASHING/GUTTER</v>
          </cell>
          <cell r="D2595" t="str">
            <v>3MLEA</v>
          </cell>
          <cell r="BA2595">
            <v>2.34</v>
          </cell>
        </row>
        <row r="2596">
          <cell r="C2596" t="str">
            <v>4206 - VENTS/FLASHING/GUTTER</v>
          </cell>
          <cell r="D2596" t="str">
            <v>4RLMLEA</v>
          </cell>
          <cell r="BA2596">
            <v>2.64</v>
          </cell>
        </row>
        <row r="2597">
          <cell r="C2597" t="str">
            <v>4206 - VENTS/FLASHING/GUTTER</v>
          </cell>
          <cell r="D2597" t="str">
            <v>4ML</v>
          </cell>
          <cell r="BA2597">
            <v>2</v>
          </cell>
        </row>
        <row r="2598">
          <cell r="C2598" t="str">
            <v>4206 - VENTS/FLASHING/GUTTER</v>
          </cell>
          <cell r="D2598" t="str">
            <v>1212RCF</v>
          </cell>
          <cell r="BA2598">
            <v>38.159999999999997</v>
          </cell>
        </row>
        <row r="2599">
          <cell r="C2599" t="str">
            <v>4206 - VENTS/FLASHING/GUTTER</v>
          </cell>
          <cell r="D2599" t="str">
            <v>1224RCF</v>
          </cell>
          <cell r="BA2599">
            <v>56.38</v>
          </cell>
        </row>
        <row r="2600">
          <cell r="C2600" t="str">
            <v>4206 - VENTS/FLASHING/GUTTER</v>
          </cell>
          <cell r="D2600" t="str">
            <v>1824RCF</v>
          </cell>
          <cell r="BA2600">
            <v>78.86</v>
          </cell>
        </row>
        <row r="2601">
          <cell r="C2601" t="str">
            <v>4206 - VENTS/FLASHING/GUTTER</v>
          </cell>
          <cell r="D2601" t="str">
            <v>DA121BW</v>
          </cell>
          <cell r="BA2601">
            <v>22.8</v>
          </cell>
        </row>
        <row r="2602">
          <cell r="C2602" t="str">
            <v>4206 - VENTS/FLASHING/GUTTER</v>
          </cell>
          <cell r="D2602" t="str">
            <v>HF417</v>
          </cell>
          <cell r="BA2602">
            <v>1.83</v>
          </cell>
        </row>
        <row r="2603">
          <cell r="C2603" t="str">
            <v>4206 - VENTS/FLASHING/GUTTER</v>
          </cell>
          <cell r="D2603" t="str">
            <v>HF416</v>
          </cell>
          <cell r="BA2603">
            <v>2.15</v>
          </cell>
        </row>
        <row r="2604">
          <cell r="C2604" t="str">
            <v>4206 - VENTS/FLASHING/GUTTER</v>
          </cell>
          <cell r="D2604" t="str">
            <v>NW516675</v>
          </cell>
          <cell r="BA2604">
            <v>10.62</v>
          </cell>
        </row>
        <row r="2605">
          <cell r="C2605" t="str">
            <v>4206 - VENTS/FLASHING/GUTTER</v>
          </cell>
          <cell r="D2605" t="str">
            <v>NW556446</v>
          </cell>
          <cell r="BA2605">
            <v>8.2200000000000006</v>
          </cell>
        </row>
        <row r="2606">
          <cell r="C2606" t="str">
            <v>4206 - VENTS/FLASHING/GUTTER</v>
          </cell>
          <cell r="D2606" t="str">
            <v>NW556448</v>
          </cell>
          <cell r="BA2606">
            <v>10.28</v>
          </cell>
        </row>
        <row r="2607">
          <cell r="C2607" t="str">
            <v>4206 - VENTS/FLASHING/GUTTER</v>
          </cell>
          <cell r="D2607" t="str">
            <v>NW516952</v>
          </cell>
          <cell r="BA2607">
            <v>9.1199999999999992</v>
          </cell>
        </row>
        <row r="2608">
          <cell r="C2608" t="str">
            <v>4206 - VENTS/FLASHING/GUTTER</v>
          </cell>
          <cell r="D2608" t="str">
            <v>NW559219</v>
          </cell>
          <cell r="BA2608">
            <v>9.7100000000000009</v>
          </cell>
        </row>
        <row r="2609">
          <cell r="C2609" t="str">
            <v>4206 - VENTS/FLASHING/GUTTER</v>
          </cell>
          <cell r="D2609" t="str">
            <v>NW516959</v>
          </cell>
          <cell r="BA2609">
            <v>7.79</v>
          </cell>
        </row>
        <row r="2610">
          <cell r="C2610" t="str">
            <v>4206 - VENTS/FLASHING/GUTTER</v>
          </cell>
          <cell r="D2610" t="str">
            <v>NW559440</v>
          </cell>
          <cell r="BA2610">
            <v>27.24</v>
          </cell>
        </row>
        <row r="2611">
          <cell r="C2611" t="str">
            <v>4206 - VENTS/FLASHING/GUTTER</v>
          </cell>
          <cell r="D2611" t="str">
            <v>NW516927</v>
          </cell>
          <cell r="BA2611">
            <v>6.89</v>
          </cell>
        </row>
        <row r="2612">
          <cell r="C2612" t="str">
            <v>4206 - VENTS/FLASHING/GUTTER</v>
          </cell>
          <cell r="D2612" t="str">
            <v>NW516986</v>
          </cell>
          <cell r="BA2612">
            <v>8.75</v>
          </cell>
        </row>
        <row r="2613">
          <cell r="C2613" t="str">
            <v>4206 - VENTS/FLASHING/GUTTER</v>
          </cell>
          <cell r="D2613" t="str">
            <v>NW511008</v>
          </cell>
          <cell r="BA2613">
            <v>1.58</v>
          </cell>
        </row>
        <row r="2614">
          <cell r="C2614" t="str">
            <v>4206 - VENTS/FLASHING/GUTTER</v>
          </cell>
          <cell r="D2614" t="str">
            <v>NW516953</v>
          </cell>
          <cell r="BA2614">
            <v>10.87</v>
          </cell>
        </row>
        <row r="2615">
          <cell r="C2615" t="str">
            <v>4206 - VENTS/FLASHING/GUTTER</v>
          </cell>
          <cell r="D2615" t="str">
            <v>NW516958</v>
          </cell>
          <cell r="BA2615">
            <v>6.74</v>
          </cell>
        </row>
        <row r="2616">
          <cell r="C2616" t="str">
            <v>4206 - VENTS/FLASHING/GUTTER</v>
          </cell>
          <cell r="D2616" t="str">
            <v>850RVBLK</v>
          </cell>
          <cell r="BA2616">
            <v>115.33</v>
          </cell>
        </row>
        <row r="2617">
          <cell r="C2617" t="str">
            <v>4206 - VENTS/FLASHING/GUTTER</v>
          </cell>
          <cell r="D2617" t="str">
            <v>AH70010</v>
          </cell>
          <cell r="BA2617">
            <v>52.6</v>
          </cell>
        </row>
        <row r="2618">
          <cell r="C2618" t="str">
            <v>4206 - VENTS/FLASHING/GUTTER</v>
          </cell>
          <cell r="D2618" t="str">
            <v>EM380073</v>
          </cell>
          <cell r="BA2618">
            <v>22.62</v>
          </cell>
        </row>
        <row r="2619">
          <cell r="C2619" t="str">
            <v>4206 - VENTS/FLASHING/GUTTER</v>
          </cell>
          <cell r="D2619" t="str">
            <v>EM1425GRV</v>
          </cell>
          <cell r="BA2619">
            <v>61.28</v>
          </cell>
        </row>
        <row r="2620">
          <cell r="C2620" t="str">
            <v>4206 - VENTS/FLASHING/GUTTER</v>
          </cell>
          <cell r="D2620" t="str">
            <v>1050ARV</v>
          </cell>
          <cell r="BA2620">
            <v>91.42</v>
          </cell>
        </row>
        <row r="2621">
          <cell r="C2621" t="str">
            <v>4206 - VENTS/FLASHING/GUTTER</v>
          </cell>
          <cell r="D2621" t="str">
            <v>EM750ARV</v>
          </cell>
          <cell r="BA2621">
            <v>78.13</v>
          </cell>
        </row>
        <row r="2622">
          <cell r="C2622" t="str">
            <v>4206 - VENTS/FLASHING/GUTTER</v>
          </cell>
          <cell r="D2622" t="str">
            <v>EM750GRV</v>
          </cell>
          <cell r="BA2622">
            <v>68.5</v>
          </cell>
        </row>
        <row r="2623">
          <cell r="C2623" t="str">
            <v>4206 - VENTS/FLASHING/GUTTER</v>
          </cell>
          <cell r="D2623" t="str">
            <v>EM1450BRV</v>
          </cell>
          <cell r="BA2623">
            <v>141.05000000000001</v>
          </cell>
        </row>
        <row r="2624">
          <cell r="C2624" t="str">
            <v>4206 - VENTS/FLASHING/GUTTER</v>
          </cell>
          <cell r="D2624" t="str">
            <v>EM2050BRV</v>
          </cell>
          <cell r="BA2624">
            <v>204.11</v>
          </cell>
        </row>
        <row r="2625">
          <cell r="C2625" t="str">
            <v>4206 - VENTS/FLASHING/GUTTER</v>
          </cell>
          <cell r="D2625" t="str">
            <v>EM2050ARV</v>
          </cell>
          <cell r="BA2625">
            <v>139.66999999999999</v>
          </cell>
        </row>
        <row r="2626">
          <cell r="C2626" t="str">
            <v>4206 - VENTS/FLASHING/GUTTER</v>
          </cell>
          <cell r="D2626" t="str">
            <v>EM750BRV</v>
          </cell>
          <cell r="BA2626">
            <v>118.29</v>
          </cell>
        </row>
        <row r="2627">
          <cell r="C2627" t="str">
            <v>4206 - VENTS/FLASHING/GUTTER</v>
          </cell>
          <cell r="D2627" t="str">
            <v>EM380105</v>
          </cell>
          <cell r="BA2627">
            <v>64.819999999999993</v>
          </cell>
        </row>
        <row r="2628">
          <cell r="C2628" t="str">
            <v>4206 - VENTS/FLASHING/GUTTER</v>
          </cell>
          <cell r="D2628" t="str">
            <v>EM1050BRV</v>
          </cell>
          <cell r="BA2628">
            <v>145.27000000000001</v>
          </cell>
        </row>
        <row r="2629">
          <cell r="C2629" t="str">
            <v>4206 - VENTS/FLASHING/GUTTER</v>
          </cell>
          <cell r="D2629" t="str">
            <v>EM1450GRV</v>
          </cell>
          <cell r="BA2629">
            <v>129.77000000000001</v>
          </cell>
        </row>
        <row r="2630">
          <cell r="C2630" t="str">
            <v>4206 - VENTS/FLASHING/GUTTER</v>
          </cell>
          <cell r="D2630" t="str">
            <v>EM725GRV</v>
          </cell>
          <cell r="BA2630">
            <v>37.659999999999997</v>
          </cell>
        </row>
        <row r="2631">
          <cell r="C2631" t="str">
            <v>4206 - VENTS/FLASHING/GUTTER</v>
          </cell>
          <cell r="D2631" t="str">
            <v>EM380093</v>
          </cell>
          <cell r="BA2631">
            <v>80.86</v>
          </cell>
        </row>
        <row r="2632">
          <cell r="C2632" t="str">
            <v>4206 - VENTS/FLASHING/GUTTER</v>
          </cell>
          <cell r="D2632" t="str">
            <v>EM2025BRV</v>
          </cell>
          <cell r="BA2632">
            <v>127.91</v>
          </cell>
        </row>
        <row r="2633">
          <cell r="C2633" t="str">
            <v>4206 - VENTS/FLASHING/GUTTER</v>
          </cell>
          <cell r="D2633" t="str">
            <v>EM1025GRV</v>
          </cell>
          <cell r="BA2633">
            <v>35.65</v>
          </cell>
        </row>
        <row r="2634">
          <cell r="C2634" t="str">
            <v>4206 - VENTS/FLASHING/GUTTER</v>
          </cell>
          <cell r="D2634" t="str">
            <v>EM1010GRV</v>
          </cell>
          <cell r="BA2634">
            <v>17.79</v>
          </cell>
        </row>
        <row r="2635">
          <cell r="C2635" t="str">
            <v>4206 - VENTS/FLASHING/GUTTER</v>
          </cell>
          <cell r="D2635" t="str">
            <v>EM1410GRV</v>
          </cell>
          <cell r="BA2635">
            <v>19.7</v>
          </cell>
        </row>
        <row r="2636">
          <cell r="C2636" t="str">
            <v>4206 - VENTS/FLASHING/GUTTER</v>
          </cell>
          <cell r="D2636" t="str">
            <v>EM380065</v>
          </cell>
          <cell r="BA2636">
            <v>37.58</v>
          </cell>
        </row>
        <row r="2637">
          <cell r="C2637" t="str">
            <v>4206 - VENTS/FLASHING/GUTTER</v>
          </cell>
          <cell r="D2637" t="str">
            <v>EM380101</v>
          </cell>
          <cell r="BA2637">
            <v>44.47</v>
          </cell>
        </row>
        <row r="2638">
          <cell r="C2638" t="str">
            <v>4206 - VENTS/FLASHING/GUTTER</v>
          </cell>
          <cell r="D2638" t="str">
            <v>EM380091</v>
          </cell>
          <cell r="BA2638">
            <v>57.43</v>
          </cell>
        </row>
        <row r="2639">
          <cell r="C2639" t="str">
            <v>4206 - VENTS/FLASHING/GUTTER</v>
          </cell>
          <cell r="D2639" t="str">
            <v>EM710GRV</v>
          </cell>
          <cell r="BA2639">
            <v>13.57</v>
          </cell>
        </row>
        <row r="2640">
          <cell r="C2640" t="str">
            <v>4206 - VENTS/FLASHING/GUTTER</v>
          </cell>
          <cell r="D2640" t="str">
            <v>EM380061</v>
          </cell>
          <cell r="BA2640">
            <v>24.77</v>
          </cell>
        </row>
        <row r="2641">
          <cell r="C2641" t="str">
            <v>4206 - VENTS/FLASHING/GUTTER</v>
          </cell>
          <cell r="D2641" t="str">
            <v>EM380113</v>
          </cell>
          <cell r="BA2641">
            <v>80.900000000000006</v>
          </cell>
        </row>
        <row r="2642">
          <cell r="C2642" t="str">
            <v>4206 - VENTS/FLASHING/GUTTER</v>
          </cell>
          <cell r="D2642" t="str">
            <v>NW516756</v>
          </cell>
          <cell r="BA2642">
            <v>14.92</v>
          </cell>
        </row>
        <row r="2643">
          <cell r="C2643" t="str">
            <v>4206 - VENTS/FLASHING/GUTTER</v>
          </cell>
          <cell r="D2643" t="str">
            <v>AH70014</v>
          </cell>
          <cell r="BA2643">
            <v>75.83</v>
          </cell>
        </row>
        <row r="2644">
          <cell r="C2644" t="str">
            <v>4206 - VENTS/FLASHING/GUTTER</v>
          </cell>
          <cell r="D2644" t="str">
            <v>EM389909</v>
          </cell>
          <cell r="BA2644">
            <v>5.69</v>
          </cell>
        </row>
        <row r="2645">
          <cell r="C2645" t="str">
            <v>4206 - VENTS/FLASHING/GUTTER</v>
          </cell>
          <cell r="D2645" t="str">
            <v>EM389812</v>
          </cell>
          <cell r="BA2645">
            <v>24.51</v>
          </cell>
        </row>
        <row r="2646">
          <cell r="C2646" t="str">
            <v>4206 - VENTS/FLASHING/GUTTER</v>
          </cell>
          <cell r="D2646" t="str">
            <v>EM389892</v>
          </cell>
          <cell r="BA2646">
            <v>7.09</v>
          </cell>
        </row>
        <row r="2647">
          <cell r="C2647" t="str">
            <v>4206 - VENTS/FLASHING/GUTTER</v>
          </cell>
          <cell r="D2647" t="str">
            <v>EM389926</v>
          </cell>
          <cell r="BA2647">
            <v>6.27</v>
          </cell>
        </row>
        <row r="2648">
          <cell r="C2648" t="str">
            <v>4206 - VENTS/FLASHING/GUTTER</v>
          </cell>
          <cell r="D2648" t="str">
            <v>EM389916</v>
          </cell>
          <cell r="BA2648">
            <v>6.33</v>
          </cell>
        </row>
        <row r="2649">
          <cell r="C2649" t="str">
            <v>4206 - VENTS/FLASHING/GUTTER</v>
          </cell>
          <cell r="D2649" t="str">
            <v>EM389732</v>
          </cell>
          <cell r="BA2649">
            <v>6.76</v>
          </cell>
        </row>
        <row r="2650">
          <cell r="C2650" t="str">
            <v>4206 - VENTS/FLASHING/GUTTER</v>
          </cell>
          <cell r="D2650" t="str">
            <v>EM389886</v>
          </cell>
          <cell r="BA2650">
            <v>5.98</v>
          </cell>
        </row>
        <row r="2651">
          <cell r="C2651" t="str">
            <v>4206 - VENTS/FLASHING/GUTTER</v>
          </cell>
          <cell r="D2651" t="str">
            <v>EM389719</v>
          </cell>
          <cell r="BA2651">
            <v>6.49</v>
          </cell>
        </row>
        <row r="2652">
          <cell r="C2652" t="str">
            <v>4206 - VENTS/FLASHING/GUTTER</v>
          </cell>
          <cell r="D2652" t="str">
            <v>EM389744</v>
          </cell>
          <cell r="BA2652">
            <v>7.79</v>
          </cell>
        </row>
        <row r="2653">
          <cell r="C2653" t="str">
            <v>4206 - VENTS/FLASHING/GUTTER</v>
          </cell>
          <cell r="D2653" t="str">
            <v>EM389711</v>
          </cell>
          <cell r="BA2653">
            <v>6.74</v>
          </cell>
        </row>
        <row r="2654">
          <cell r="C2654" t="str">
            <v>4206 - VENTS/FLASHING/GUTTER</v>
          </cell>
          <cell r="D2654" t="str">
            <v>EM389910</v>
          </cell>
          <cell r="BA2654">
            <v>7</v>
          </cell>
        </row>
        <row r="2655">
          <cell r="C2655" t="str">
            <v>4206 - VENTS/FLASHING/GUTTER</v>
          </cell>
          <cell r="D2655" t="str">
            <v>EM389944</v>
          </cell>
          <cell r="BA2655">
            <v>7.98</v>
          </cell>
        </row>
        <row r="2656">
          <cell r="C2656" t="str">
            <v>4206 - VENTS/FLASHING/GUTTER</v>
          </cell>
          <cell r="D2656" t="str">
            <v>EM389917</v>
          </cell>
          <cell r="BA2656">
            <v>6.74</v>
          </cell>
        </row>
        <row r="2657">
          <cell r="C2657" t="str">
            <v>4206 - VENTS/FLASHING/GUTTER</v>
          </cell>
          <cell r="D2657" t="str">
            <v>EM389928</v>
          </cell>
          <cell r="BA2657">
            <v>8.2799999999999994</v>
          </cell>
        </row>
        <row r="2658">
          <cell r="C2658" t="str">
            <v>4206 - VENTS/FLASHING/GUTTER</v>
          </cell>
          <cell r="D2658" t="str">
            <v>EM389842</v>
          </cell>
          <cell r="BA2658">
            <v>11.37</v>
          </cell>
        </row>
        <row r="2659">
          <cell r="C2659" t="str">
            <v>4206 - VENTS/FLASHING/GUTTER</v>
          </cell>
          <cell r="D2659" t="str">
            <v>EM389918</v>
          </cell>
          <cell r="BA2659">
            <v>6.85</v>
          </cell>
        </row>
        <row r="2660">
          <cell r="C2660" t="str">
            <v>4206 - VENTS/FLASHING/GUTTER</v>
          </cell>
          <cell r="D2660" t="str">
            <v>EM389943</v>
          </cell>
          <cell r="BA2660">
            <v>6.72</v>
          </cell>
        </row>
        <row r="2661">
          <cell r="C2661" t="str">
            <v>4206 - VENTS/FLASHING/GUTTER</v>
          </cell>
          <cell r="D2661" t="str">
            <v>EM389927</v>
          </cell>
          <cell r="BA2661">
            <v>7.87</v>
          </cell>
        </row>
        <row r="2662">
          <cell r="C2662" t="str">
            <v>4206 - VENTS/FLASHING/GUTTER</v>
          </cell>
          <cell r="D2662" t="str">
            <v>EM390073</v>
          </cell>
          <cell r="BA2662">
            <v>9.23</v>
          </cell>
        </row>
        <row r="2663">
          <cell r="C2663" t="str">
            <v>4206 - VENTS/FLASHING/GUTTER</v>
          </cell>
          <cell r="D2663" t="str">
            <v>EM390074</v>
          </cell>
          <cell r="BA2663">
            <v>9.42</v>
          </cell>
        </row>
        <row r="2664">
          <cell r="C2664" t="str">
            <v>4206 - VENTS/FLASHING/GUTTER</v>
          </cell>
          <cell r="D2664" t="str">
            <v>EM390075</v>
          </cell>
          <cell r="BA2664">
            <v>9.74</v>
          </cell>
        </row>
        <row r="2665">
          <cell r="C2665" t="str">
            <v>4206 - VENTS/FLASHING/GUTTER</v>
          </cell>
          <cell r="D2665" t="str">
            <v>110MZFSS</v>
          </cell>
          <cell r="BA2665">
            <v>13.46</v>
          </cell>
        </row>
        <row r="2666">
          <cell r="C2666" t="str">
            <v>4206 - VENTS/FLASHING/GUTTER</v>
          </cell>
          <cell r="D2666" t="str">
            <v>114ZFSS</v>
          </cell>
          <cell r="BA2666">
            <v>11.88</v>
          </cell>
        </row>
        <row r="2667">
          <cell r="C2667" t="str">
            <v>4206 - VENTS/FLASHING/GUTTER</v>
          </cell>
          <cell r="D2667" t="str">
            <v>112ZFSS</v>
          </cell>
          <cell r="BA2667">
            <v>13.46</v>
          </cell>
        </row>
        <row r="2668">
          <cell r="C2668" t="str">
            <v>4206 - VENTS/FLASHING/GUTTER</v>
          </cell>
          <cell r="D2668" t="str">
            <v>XZH516</v>
          </cell>
          <cell r="BA2668">
            <v>20.71</v>
          </cell>
        </row>
        <row r="2669">
          <cell r="C2669" t="str">
            <v>4206 - VENTS/FLASHING/GUTTER</v>
          </cell>
          <cell r="D2669" t="str">
            <v>1122ZFLWHT10</v>
          </cell>
          <cell r="BA2669">
            <v>7.6</v>
          </cell>
        </row>
        <row r="2670">
          <cell r="C2670" t="str">
            <v>4206 - VENTS/FLASHING/GUTTER</v>
          </cell>
          <cell r="D2670" t="str">
            <v>68PJFLASHEA</v>
          </cell>
          <cell r="BA2670">
            <v>0.36</v>
          </cell>
        </row>
        <row r="2671">
          <cell r="C2671" t="str">
            <v>4206 - VENTS/FLASHING/GUTTER</v>
          </cell>
          <cell r="D2671" t="str">
            <v>3TBRF</v>
          </cell>
          <cell r="BA2671">
            <v>4.22</v>
          </cell>
        </row>
        <row r="2672">
          <cell r="C2672" t="str">
            <v>4206 - VENTS/FLASHING/GUTTER</v>
          </cell>
          <cell r="D2672" t="str">
            <v>OA11899</v>
          </cell>
          <cell r="BA2672">
            <v>3.87</v>
          </cell>
        </row>
        <row r="2673">
          <cell r="C2673" t="str">
            <v>4206 - VENTS/FLASHING/GUTTER</v>
          </cell>
          <cell r="D2673" t="str">
            <v>NC4GRF</v>
          </cell>
          <cell r="BA2673">
            <v>16.22</v>
          </cell>
        </row>
        <row r="2674">
          <cell r="C2674" t="str">
            <v>4206 - VENTS/FLASHING/GUTTER</v>
          </cell>
          <cell r="D2674" t="str">
            <v>NC2GRF</v>
          </cell>
          <cell r="BA2674">
            <v>10.44</v>
          </cell>
        </row>
        <row r="2675">
          <cell r="C2675" t="str">
            <v>4206 - VENTS/FLASHING/GUTTER</v>
          </cell>
          <cell r="D2675" t="str">
            <v>NC3GRF</v>
          </cell>
          <cell r="BA2675">
            <v>8.73</v>
          </cell>
        </row>
        <row r="2676">
          <cell r="C2676" t="str">
            <v>4206 - VENTS/FLASHING/GUTTER</v>
          </cell>
          <cell r="D2676" t="str">
            <v>OA11841</v>
          </cell>
          <cell r="BA2676">
            <v>7.68</v>
          </cell>
        </row>
        <row r="2677">
          <cell r="C2677" t="str">
            <v>4206 - VENTS/FLASHING/GUTTER</v>
          </cell>
          <cell r="D2677" t="str">
            <v>GBPCMIGB2</v>
          </cell>
          <cell r="BA2677">
            <v>18.559999999999999</v>
          </cell>
        </row>
        <row r="2678">
          <cell r="C2678" t="str">
            <v>4206 - VENTS/FLASHING/GUTTER</v>
          </cell>
          <cell r="D2678" t="str">
            <v>SPBV-ARJ-03</v>
          </cell>
          <cell r="BA2678">
            <v>19.489999999999998</v>
          </cell>
        </row>
        <row r="2679">
          <cell r="C2679" t="str">
            <v>4206 - VENTS/FLASHING/GUTTER</v>
          </cell>
          <cell r="D2679" t="str">
            <v>WOF50WH</v>
          </cell>
          <cell r="BA2679">
            <v>15.45</v>
          </cell>
        </row>
        <row r="2680">
          <cell r="C2680" t="str">
            <v>4206 - VENTS/FLASHING/GUTTER</v>
          </cell>
          <cell r="D2680" t="str">
            <v>QFP200</v>
          </cell>
          <cell r="BA2680">
            <v>7.07</v>
          </cell>
        </row>
        <row r="2681">
          <cell r="C2681" t="str">
            <v>4206 - VENTS/FLASHING/GUTTER</v>
          </cell>
          <cell r="D2681" t="str">
            <v>QFP300</v>
          </cell>
          <cell r="BA2681">
            <v>6.47</v>
          </cell>
        </row>
        <row r="2682">
          <cell r="C2682" t="str">
            <v>4206 - VENTS/FLASHING/GUTTER</v>
          </cell>
          <cell r="D2682" t="str">
            <v>QFP50</v>
          </cell>
          <cell r="BA2682">
            <v>6.97</v>
          </cell>
        </row>
        <row r="2683">
          <cell r="C2683" t="str">
            <v>4206 - VENTS/FLASHING/GUTTER</v>
          </cell>
          <cell r="D2683" t="str">
            <v>QFP50WPI</v>
          </cell>
          <cell r="BA2683">
            <v>6.79</v>
          </cell>
        </row>
        <row r="2684">
          <cell r="C2684" t="str">
            <v>4206 - VENTS/FLASHING/GUTTER</v>
          </cell>
          <cell r="D2684" t="str">
            <v>QFPESGBA78</v>
          </cell>
          <cell r="BA2684">
            <v>8.14</v>
          </cell>
        </row>
        <row r="2685">
          <cell r="C2685" t="str">
            <v>4206 - VENTS/FLASHING/GUTTER</v>
          </cell>
          <cell r="D2685" t="str">
            <v>QFACUCWPI</v>
          </cell>
          <cell r="BA2685">
            <v>15.77</v>
          </cell>
        </row>
        <row r="2686">
          <cell r="C2686" t="str">
            <v>4206 - VENTS/FLASHING/GUTTER</v>
          </cell>
          <cell r="D2686" t="str">
            <v>QFPE30BA78</v>
          </cell>
          <cell r="BA2686">
            <v>7.1</v>
          </cell>
        </row>
        <row r="2687">
          <cell r="C2687" t="str">
            <v>4206 - VENTS/FLASHING/GUTTER</v>
          </cell>
          <cell r="D2687" t="str">
            <v>QFPE30BA</v>
          </cell>
          <cell r="BA2687">
            <v>6.55</v>
          </cell>
        </row>
        <row r="2688">
          <cell r="C2688" t="str">
            <v>4206 - VENTS/FLASHING/GUTTER</v>
          </cell>
          <cell r="D2688" t="str">
            <v>QFP400</v>
          </cell>
          <cell r="BA2688">
            <v>6.23</v>
          </cell>
        </row>
        <row r="2689">
          <cell r="C2689" t="str">
            <v>4206 - VENTS/FLASHING/GUTTER</v>
          </cell>
          <cell r="D2689" t="str">
            <v>QFP150</v>
          </cell>
          <cell r="BA2689">
            <v>6.02</v>
          </cell>
        </row>
        <row r="2690">
          <cell r="C2690" t="str">
            <v>4206 - VENTS/FLASHING/GUTTER</v>
          </cell>
          <cell r="D2690" t="str">
            <v>RFF14049</v>
          </cell>
          <cell r="BA2690">
            <v>53.78</v>
          </cell>
        </row>
        <row r="2691">
          <cell r="C2691" t="str">
            <v>4206 - VENTS/FLASHING/GUTTER</v>
          </cell>
          <cell r="D2691" t="str">
            <v>HF72FLX</v>
          </cell>
          <cell r="BA2691">
            <v>17.600000000000001</v>
          </cell>
        </row>
        <row r="2692">
          <cell r="C2692" t="str">
            <v>4206 - VENTS/FLASHING/GUTTER</v>
          </cell>
          <cell r="D2692" t="str">
            <v>517119FLWHT</v>
          </cell>
          <cell r="BA2692">
            <v>13.5</v>
          </cell>
        </row>
        <row r="2693">
          <cell r="C2693" t="str">
            <v>4206 - VENTS/FLASHING/GUTTER</v>
          </cell>
          <cell r="D2693" t="str">
            <v>517317</v>
          </cell>
          <cell r="BA2693">
            <v>20.190000000000001</v>
          </cell>
        </row>
        <row r="2694">
          <cell r="C2694" t="str">
            <v>4206 - VENTS/FLASHING/GUTTER</v>
          </cell>
          <cell r="D2694" t="str">
            <v>516668FLBRN</v>
          </cell>
          <cell r="BA2694">
            <v>13.5</v>
          </cell>
        </row>
        <row r="2695">
          <cell r="C2695" t="str">
            <v>4206 - VENTS/FLASHING/GUTTER</v>
          </cell>
          <cell r="D2695" t="str">
            <v>321238HBFWHT</v>
          </cell>
          <cell r="BA2695">
            <v>17.239999999999998</v>
          </cell>
        </row>
        <row r="2696">
          <cell r="C2696" t="str">
            <v>4206 - VENTS/FLASHING/GUTTER</v>
          </cell>
          <cell r="D2696" t="str">
            <v>311238HBFBLK</v>
          </cell>
          <cell r="BA2696">
            <v>12.56</v>
          </cell>
        </row>
        <row r="2697">
          <cell r="C2697" t="str">
            <v>4206 - VENTS/FLASHING/GUTTER</v>
          </cell>
          <cell r="D2697" t="str">
            <v>313438HBFBLK</v>
          </cell>
          <cell r="BA2697">
            <v>12.8</v>
          </cell>
        </row>
        <row r="2698">
          <cell r="C2698" t="str">
            <v>4206 - VENTS/FLASHING/GUTTER</v>
          </cell>
          <cell r="D2698" t="str">
            <v>351638HBFBLK</v>
          </cell>
          <cell r="BA2698">
            <v>8.94</v>
          </cell>
        </row>
        <row r="2699">
          <cell r="C2699" t="str">
            <v>4206 - VENTS/FLASHING/GUTTER</v>
          </cell>
          <cell r="D2699" t="str">
            <v>3138HBFBLK</v>
          </cell>
          <cell r="BA2699">
            <v>12.11</v>
          </cell>
        </row>
        <row r="2700">
          <cell r="C2700" t="str">
            <v>4206 - VENTS/FLASHING/GUTTER</v>
          </cell>
          <cell r="D2700" t="str">
            <v>381123PEHBBRN</v>
          </cell>
          <cell r="BA2700">
            <v>13.35</v>
          </cell>
        </row>
        <row r="2701">
          <cell r="C2701" t="str">
            <v>4206 - VENTS/FLASHING/GUTTER</v>
          </cell>
          <cell r="D2701" t="str">
            <v>3238HBFWHT</v>
          </cell>
          <cell r="BA2701">
            <v>17.399999999999999</v>
          </cell>
        </row>
        <row r="2702">
          <cell r="C2702" t="str">
            <v>4206 - VENTS/FLASHING/GUTTER</v>
          </cell>
          <cell r="D2702" t="str">
            <v>381123PEHBWHT</v>
          </cell>
          <cell r="BA2702">
            <v>13.5</v>
          </cell>
        </row>
        <row r="2703">
          <cell r="C2703" t="str">
            <v>4206 - VENTS/FLASHING/GUTTER</v>
          </cell>
          <cell r="D2703" t="str">
            <v>EM389980</v>
          </cell>
          <cell r="BA2703">
            <v>8.91</v>
          </cell>
        </row>
        <row r="2704">
          <cell r="C2704" t="str">
            <v>4206 - VENTS/FLASHING/GUTTER</v>
          </cell>
          <cell r="D2704" t="str">
            <v>381143PEHBBRN</v>
          </cell>
          <cell r="BA2704">
            <v>12.46</v>
          </cell>
        </row>
        <row r="2705">
          <cell r="C2705" t="str">
            <v>4206 - VENTS/FLASHING/GUTTER</v>
          </cell>
          <cell r="D2705" t="str">
            <v>381143PEHBWHT</v>
          </cell>
          <cell r="BA2705">
            <v>11.41</v>
          </cell>
        </row>
        <row r="2706">
          <cell r="C2706" t="str">
            <v>4206 - VENTS/FLASHING/GUTTER</v>
          </cell>
          <cell r="D2706" t="str">
            <v>3813PEHBWHT</v>
          </cell>
          <cell r="BA2706">
            <v>11.37</v>
          </cell>
        </row>
        <row r="2707">
          <cell r="C2707" t="str">
            <v>4206 - VENTS/FLASHING/GUTTER</v>
          </cell>
          <cell r="D2707" t="str">
            <v>4214HBFWHT</v>
          </cell>
          <cell r="BA2707">
            <v>14.75</v>
          </cell>
        </row>
        <row r="2708">
          <cell r="C2708" t="str">
            <v>4206 - VENTS/FLASHING/GUTTER</v>
          </cell>
          <cell r="D2708" t="str">
            <v>3813PEBRN</v>
          </cell>
          <cell r="BA2708">
            <v>10.9</v>
          </cell>
        </row>
        <row r="2709">
          <cell r="C2709" t="str">
            <v>4206 - VENTS/FLASHING/GUTTER</v>
          </cell>
          <cell r="D2709" t="str">
            <v>43838HBFWHT</v>
          </cell>
          <cell r="BA2709">
            <v>13.04</v>
          </cell>
        </row>
        <row r="2710">
          <cell r="C2710" t="str">
            <v>4206 - VENTS/FLASHING/GUTTER</v>
          </cell>
          <cell r="D2710" t="str">
            <v>GB31</v>
          </cell>
          <cell r="BA2710">
            <v>21.41</v>
          </cell>
        </row>
        <row r="2711">
          <cell r="C2711" t="str">
            <v>4206 - VENTS/FLASHING/GUTTER</v>
          </cell>
          <cell r="D2711" t="str">
            <v>PRO4N</v>
          </cell>
          <cell r="BA2711">
            <v>15.48</v>
          </cell>
        </row>
        <row r="2712">
          <cell r="C2712" t="str">
            <v>4206 - VENTS/FLASHING/GUTTER</v>
          </cell>
          <cell r="D2712" t="str">
            <v>QFP100</v>
          </cell>
          <cell r="BA2712">
            <v>6.49</v>
          </cell>
        </row>
        <row r="2713">
          <cell r="C2713" t="str">
            <v>4206 - VENTS/FLASHING/GUTTER</v>
          </cell>
          <cell r="D2713" t="str">
            <v>QFP25</v>
          </cell>
          <cell r="BA2713">
            <v>6.45</v>
          </cell>
        </row>
        <row r="2714">
          <cell r="C2714" t="str">
            <v>4206 - VENTS/FLASHING/GUTTER</v>
          </cell>
          <cell r="D2714" t="str">
            <v>TM158</v>
          </cell>
          <cell r="BA2714">
            <v>18.18</v>
          </cell>
        </row>
        <row r="2715">
          <cell r="C2715" t="str">
            <v>4206 - VENTS/FLASHING/GUTTER</v>
          </cell>
          <cell r="D2715" t="str">
            <v>TM1510</v>
          </cell>
          <cell r="BA2715">
            <v>18.21</v>
          </cell>
        </row>
        <row r="2716">
          <cell r="C2716" t="str">
            <v>4206 - VENTS/FLASHING/GUTTER</v>
          </cell>
          <cell r="D2716" t="str">
            <v>QFPEAIBWEI</v>
          </cell>
          <cell r="BA2716">
            <v>6.58</v>
          </cell>
        </row>
        <row r="2717">
          <cell r="C2717" t="str">
            <v>4206 - VENTS/FLASHING/GUTTER</v>
          </cell>
          <cell r="D2717" t="str">
            <v>XICLP34</v>
          </cell>
          <cell r="BA2717">
            <v>44.59</v>
          </cell>
        </row>
        <row r="2718">
          <cell r="C2718" t="str">
            <v>4206 - VENTS/FLASHING/GUTTER</v>
          </cell>
          <cell r="D2718" t="str">
            <v>XICLP51634</v>
          </cell>
          <cell r="BA2718">
            <v>55.79</v>
          </cell>
        </row>
        <row r="2719">
          <cell r="C2719" t="str">
            <v>4206 - VENTS/FLASHING/GUTTER</v>
          </cell>
          <cell r="D2719" t="str">
            <v>RV516</v>
          </cell>
          <cell r="BA2719">
            <v>37.04</v>
          </cell>
        </row>
        <row r="2720">
          <cell r="C2720" t="str">
            <v>4206 - VENTS/FLASHING/GUTTER</v>
          </cell>
          <cell r="D2720" t="str">
            <v>31F10BRN</v>
          </cell>
          <cell r="BA2720">
            <v>9.11</v>
          </cell>
        </row>
        <row r="2721">
          <cell r="C2721" t="str">
            <v>4206 - VENTS/FLASHING/GUTTER</v>
          </cell>
          <cell r="D2721" t="str">
            <v>611238DFBRN</v>
          </cell>
          <cell r="BA2721">
            <v>21.6</v>
          </cell>
        </row>
        <row r="2722">
          <cell r="C2722" t="str">
            <v>4206 - VENTS/FLASHING/GUTTER</v>
          </cell>
          <cell r="D2722" t="str">
            <v>4214BCFWHT</v>
          </cell>
          <cell r="BA2722">
            <v>14.41</v>
          </cell>
        </row>
        <row r="2723">
          <cell r="C2723" t="str">
            <v>4206 - VENTS/FLASHING/GUTTER</v>
          </cell>
          <cell r="D2723" t="str">
            <v>NW516774</v>
          </cell>
          <cell r="BA2723">
            <v>47.35</v>
          </cell>
        </row>
        <row r="2724">
          <cell r="C2724" t="str">
            <v>4206 - VENTS/FLASHING/GUTTER</v>
          </cell>
          <cell r="D2724" t="str">
            <v>NW516684</v>
          </cell>
          <cell r="BA2724">
            <v>47.35</v>
          </cell>
        </row>
        <row r="2725">
          <cell r="C2725" t="str">
            <v>4206 - VENTS/FLASHING/GUTTER</v>
          </cell>
          <cell r="D2725" t="str">
            <v>AH68008</v>
          </cell>
          <cell r="BA2725">
            <v>38.200000000000003</v>
          </cell>
        </row>
        <row r="2726">
          <cell r="C2726" t="str">
            <v>4206 - VENTS/FLASHING/GUTTER</v>
          </cell>
          <cell r="D2726" t="str">
            <v>EM382354</v>
          </cell>
          <cell r="BA2726">
            <v>15.87</v>
          </cell>
        </row>
        <row r="2727">
          <cell r="C2727" t="str">
            <v>4206 - VENTS/FLASHING/GUTTER</v>
          </cell>
          <cell r="D2727" t="str">
            <v>EM380806</v>
          </cell>
          <cell r="BA2727">
            <v>4.62</v>
          </cell>
        </row>
        <row r="2728">
          <cell r="C2728" t="str">
            <v>4206 - VENTS/FLASHING/GUTTER</v>
          </cell>
          <cell r="D2728" t="str">
            <v>AH68014</v>
          </cell>
          <cell r="BA2728">
            <v>61.97</v>
          </cell>
        </row>
        <row r="2729">
          <cell r="C2729" t="str">
            <v>4206 - VENTS/FLASHING/GUTTER</v>
          </cell>
          <cell r="D2729" t="str">
            <v>JF-5</v>
          </cell>
          <cell r="BA2729">
            <v>0.49</v>
          </cell>
        </row>
        <row r="2730">
          <cell r="C2730" t="str">
            <v>4206 - VENTS/FLASHING/GUTTER</v>
          </cell>
          <cell r="D2730" t="str">
            <v>JF-6</v>
          </cell>
          <cell r="BA2730">
            <v>0.74</v>
          </cell>
        </row>
        <row r="2731">
          <cell r="C2731" t="str">
            <v>4206 - VENTS/FLASHING/GUTTER</v>
          </cell>
          <cell r="D2731" t="str">
            <v>LF-7</v>
          </cell>
          <cell r="BA2731">
            <v>0.82</v>
          </cell>
        </row>
        <row r="2732">
          <cell r="C2732" t="str">
            <v>4206 - VENTS/FLASHING/GUTTER</v>
          </cell>
          <cell r="D2732" t="str">
            <v>JF-8</v>
          </cell>
          <cell r="BA2732">
            <v>46.29</v>
          </cell>
        </row>
        <row r="2733">
          <cell r="C2733" t="str">
            <v>4206 - VENTS/FLASHING/GUTTER</v>
          </cell>
          <cell r="D2733" t="str">
            <v>JF-9</v>
          </cell>
          <cell r="BA2733">
            <v>1.04</v>
          </cell>
        </row>
        <row r="2734">
          <cell r="C2734" t="str">
            <v>4206 - VENTS/FLASHING/GUTTER</v>
          </cell>
          <cell r="D2734" t="str">
            <v>EM389957</v>
          </cell>
          <cell r="BA2734">
            <v>8.35</v>
          </cell>
        </row>
        <row r="2735">
          <cell r="C2735" t="str">
            <v>4206 - VENTS/FLASHING/GUTTER</v>
          </cell>
          <cell r="D2735" t="str">
            <v>EM380817</v>
          </cell>
          <cell r="BA2735">
            <v>7.27</v>
          </cell>
        </row>
        <row r="2736">
          <cell r="C2736" t="str">
            <v>4206 - VENTS/FLASHING/GUTTER</v>
          </cell>
          <cell r="D2736" t="str">
            <v>EM380832</v>
          </cell>
          <cell r="BA2736">
            <v>7.92</v>
          </cell>
        </row>
        <row r="2737">
          <cell r="C2737" t="str">
            <v>4206 - VENTS/FLASHING/GUTTER</v>
          </cell>
          <cell r="D2737" t="str">
            <v>EM380837</v>
          </cell>
          <cell r="BA2737">
            <v>11.64</v>
          </cell>
        </row>
        <row r="2738">
          <cell r="C2738" t="str">
            <v>4206 - VENTS/FLASHING/GUTTER</v>
          </cell>
          <cell r="D2738" t="str">
            <v>EM389967</v>
          </cell>
          <cell r="BA2738">
            <v>12.08</v>
          </cell>
        </row>
        <row r="2739">
          <cell r="C2739" t="str">
            <v>4206 - VENTS/FLASHING/GUTTER</v>
          </cell>
          <cell r="D2739" t="str">
            <v>EM389889</v>
          </cell>
          <cell r="BA2739">
            <v>7.79</v>
          </cell>
        </row>
        <row r="2740">
          <cell r="C2740" t="str">
            <v>4206 - VENTS/FLASHING/GUTTER</v>
          </cell>
          <cell r="D2740" t="str">
            <v>EM380847</v>
          </cell>
          <cell r="BA2740">
            <v>11.79</v>
          </cell>
        </row>
        <row r="2741">
          <cell r="C2741" t="str">
            <v>4206 - VENTS/FLASHING/GUTTER</v>
          </cell>
          <cell r="D2741" t="str">
            <v>EM381002</v>
          </cell>
          <cell r="BA2741">
            <v>6.02</v>
          </cell>
        </row>
        <row r="2742">
          <cell r="C2742" t="str">
            <v>4206 - VENTS/FLASHING/GUTTER</v>
          </cell>
          <cell r="D2742" t="str">
            <v>EM380812</v>
          </cell>
          <cell r="BA2742">
            <v>7.08</v>
          </cell>
        </row>
        <row r="2743">
          <cell r="C2743" t="str">
            <v>4206 - VENTS/FLASHING/GUTTER</v>
          </cell>
          <cell r="D2743" t="str">
            <v>EM380827</v>
          </cell>
          <cell r="BA2743">
            <v>9.1199999999999992</v>
          </cell>
        </row>
        <row r="2744">
          <cell r="C2744" t="str">
            <v>4206 - VENTS/FLASHING/GUTTER</v>
          </cell>
          <cell r="D2744" t="str">
            <v>EM381401</v>
          </cell>
          <cell r="BA2744">
            <v>8.8800000000000008</v>
          </cell>
        </row>
        <row r="2745">
          <cell r="C2745" t="str">
            <v>4206 - VENTS/FLASHING/GUTTER</v>
          </cell>
          <cell r="D2745" t="str">
            <v>EM381784</v>
          </cell>
          <cell r="BA2745">
            <v>32.97</v>
          </cell>
        </row>
        <row r="2746">
          <cell r="C2746" t="str">
            <v>4206 - VENTS/FLASHING/GUTTER</v>
          </cell>
          <cell r="D2746" t="str">
            <v>EM381423</v>
          </cell>
          <cell r="BA2746">
            <v>11.51</v>
          </cell>
        </row>
        <row r="2747">
          <cell r="C2747" t="str">
            <v>4206 - VENTS/FLASHING/GUTTER</v>
          </cell>
          <cell r="D2747" t="str">
            <v>EM381967</v>
          </cell>
          <cell r="BA2747">
            <v>12.77</v>
          </cell>
        </row>
        <row r="2748">
          <cell r="C2748" t="str">
            <v>4206 - VENTS/FLASHING/GUTTER</v>
          </cell>
          <cell r="D2748" t="str">
            <v>AH516764</v>
          </cell>
          <cell r="BA2748">
            <v>4.78</v>
          </cell>
        </row>
        <row r="2749">
          <cell r="C2749" t="str">
            <v>4206 - VENTS/FLASHING/GUTTER</v>
          </cell>
          <cell r="D2749" t="str">
            <v>NW516564</v>
          </cell>
          <cell r="BA2749">
            <v>5.59</v>
          </cell>
        </row>
        <row r="2750">
          <cell r="C2750" t="str">
            <v>4206 - VENTS/FLASHING/GUTTER</v>
          </cell>
          <cell r="D2750" t="str">
            <v>110PEZFBRN</v>
          </cell>
          <cell r="BA2750">
            <v>5.89</v>
          </cell>
        </row>
        <row r="2751">
          <cell r="C2751" t="str">
            <v>4206 - VENTS/FLASHING/GUTTER</v>
          </cell>
          <cell r="D2751" t="str">
            <v>8AJF</v>
          </cell>
          <cell r="BA2751">
            <v>0.92</v>
          </cell>
        </row>
        <row r="2752">
          <cell r="C2752" t="str">
            <v>4206 - VENTS/FLASHING/GUTTER</v>
          </cell>
          <cell r="D2752" t="str">
            <v>E322EVP</v>
          </cell>
          <cell r="BA2752">
            <v>9.08</v>
          </cell>
        </row>
        <row r="2753">
          <cell r="C2753" t="str">
            <v>4207 - REBAR/REMESH</v>
          </cell>
          <cell r="D2753" t="str">
            <v>PGL1070008</v>
          </cell>
          <cell r="BA2753">
            <v>1.49</v>
          </cell>
        </row>
        <row r="2754">
          <cell r="C2754" t="str">
            <v>4207 - REBAR/REMESH</v>
          </cell>
          <cell r="D2754" t="str">
            <v>PGL1070007</v>
          </cell>
          <cell r="BA2754">
            <v>1.39</v>
          </cell>
        </row>
        <row r="2755">
          <cell r="C2755" t="str">
            <v>4207 - REBAR/REMESH</v>
          </cell>
          <cell r="D2755" t="str">
            <v>SS834SRCS</v>
          </cell>
          <cell r="BA2755">
            <v>0.68</v>
          </cell>
        </row>
        <row r="2756">
          <cell r="C2756" t="str">
            <v>4207 - REBAR/REMESH</v>
          </cell>
          <cell r="D2756" t="str">
            <v>SS634SRCS</v>
          </cell>
          <cell r="BA2756">
            <v>0.99</v>
          </cell>
        </row>
        <row r="2757">
          <cell r="C2757" t="str">
            <v>4207 - REBAR/REMESH</v>
          </cell>
          <cell r="D2757" t="str">
            <v>122REBAR</v>
          </cell>
          <cell r="BA2757">
            <v>1.0900000000000001</v>
          </cell>
        </row>
        <row r="2758">
          <cell r="C2758" t="str">
            <v>4207 - REBAR/REMESH</v>
          </cell>
          <cell r="D2758" t="str">
            <v>STSW</v>
          </cell>
          <cell r="BA2758">
            <v>0.99</v>
          </cell>
        </row>
        <row r="2759">
          <cell r="C2759" t="str">
            <v>4207 - REBAR/REMESH</v>
          </cell>
          <cell r="D2759" t="str">
            <v>8TIE1000</v>
          </cell>
          <cell r="BA2759">
            <v>57.49</v>
          </cell>
        </row>
        <row r="2760">
          <cell r="C2760" t="str">
            <v>4207 - REBAR/REMESH</v>
          </cell>
          <cell r="D2760" t="str">
            <v>14640-2</v>
          </cell>
          <cell r="BA2760">
            <v>1.39</v>
          </cell>
        </row>
        <row r="2761">
          <cell r="C2761" t="str">
            <v>4207 - REBAR/REMESH</v>
          </cell>
          <cell r="D2761" t="str">
            <v>12REBAR10</v>
          </cell>
          <cell r="BA2761">
            <v>5.79</v>
          </cell>
        </row>
        <row r="2762">
          <cell r="C2762" t="str">
            <v>4207 - REBAR/REMESH</v>
          </cell>
          <cell r="D2762" t="str">
            <v>3820REBAR</v>
          </cell>
          <cell r="BA2762">
            <v>4.8899999999999997</v>
          </cell>
        </row>
        <row r="2763">
          <cell r="C2763" t="str">
            <v>4207 - REBAR/REMESH</v>
          </cell>
          <cell r="D2763" t="str">
            <v>1220REBAR</v>
          </cell>
          <cell r="BA2763">
            <v>8.09</v>
          </cell>
        </row>
        <row r="2764">
          <cell r="C2764" t="str">
            <v>4207 - REBAR/REMESH</v>
          </cell>
          <cell r="D2764" t="str">
            <v>38REBAR60</v>
          </cell>
          <cell r="BA2764">
            <v>4.99</v>
          </cell>
        </row>
        <row r="2765">
          <cell r="C2765" t="str">
            <v>4207 - REBAR/REMESH</v>
          </cell>
          <cell r="D2765" t="str">
            <v>12REBAR60</v>
          </cell>
          <cell r="BA2765">
            <v>7.59</v>
          </cell>
        </row>
        <row r="2766">
          <cell r="C2766" t="str">
            <v>4207 - REBAR/REMESH</v>
          </cell>
          <cell r="D2766" t="str">
            <v>58REBAR60</v>
          </cell>
          <cell r="BA2766">
            <v>13.09</v>
          </cell>
        </row>
        <row r="2767">
          <cell r="C2767" t="str">
            <v>4207 - REBAR/REMESH</v>
          </cell>
          <cell r="D2767" t="str">
            <v>312BTW</v>
          </cell>
          <cell r="BA2767">
            <v>6.89</v>
          </cell>
        </row>
        <row r="2768">
          <cell r="C2768" t="str">
            <v>4207 - REBAR/REMESH</v>
          </cell>
          <cell r="D2768" t="str">
            <v>925SW</v>
          </cell>
          <cell r="BA2768">
            <v>29.59</v>
          </cell>
        </row>
        <row r="2769">
          <cell r="C2769" t="str">
            <v>4207 - REBAR/REMESH</v>
          </cell>
          <cell r="D2769" t="str">
            <v>6LOOPTIEEA</v>
          </cell>
          <cell r="BA2769">
            <v>8.19</v>
          </cell>
        </row>
        <row r="2770">
          <cell r="C2770" t="str">
            <v>4207 - REBAR/REMESH</v>
          </cell>
          <cell r="D2770" t="str">
            <v>DS5904002EA</v>
          </cell>
          <cell r="BA2770">
            <v>1.0900000000000001</v>
          </cell>
        </row>
        <row r="2771">
          <cell r="C2771" t="str">
            <v>4207 - REBAR/REMESH</v>
          </cell>
          <cell r="D2771" t="str">
            <v>DS5904003EA</v>
          </cell>
          <cell r="BA2771">
            <v>0.99</v>
          </cell>
        </row>
        <row r="2772">
          <cell r="C2772" t="str">
            <v>4207 - REBAR/REMESH</v>
          </cell>
          <cell r="D2772" t="str">
            <v>DB333</v>
          </cell>
          <cell r="BA2772">
            <v>0.66</v>
          </cell>
        </row>
        <row r="2773">
          <cell r="C2773" t="str">
            <v>4207 - REBAR/REMESH</v>
          </cell>
          <cell r="D2773" t="str">
            <v>OWRDWW22</v>
          </cell>
          <cell r="BA2773">
            <v>0.33</v>
          </cell>
        </row>
        <row r="2774">
          <cell r="C2774" t="str">
            <v>4209 - MISC. BUILDING MATERIALS</v>
          </cell>
          <cell r="D2774" t="str">
            <v>FTST1WLP48WT</v>
          </cell>
          <cell r="BA2774">
            <v>1732</v>
          </cell>
        </row>
        <row r="2775">
          <cell r="C2775" t="str">
            <v>4209 - MISC. BUILDING MATERIALS</v>
          </cell>
          <cell r="D2775" t="str">
            <v>SC53105</v>
          </cell>
          <cell r="BA2775">
            <v>19.989999999999998</v>
          </cell>
        </row>
        <row r="2776">
          <cell r="C2776" t="str">
            <v>4209 - MISC. BUILDING MATERIALS</v>
          </cell>
          <cell r="D2776" t="str">
            <v>AH85019</v>
          </cell>
          <cell r="BA2776">
            <v>8.69</v>
          </cell>
        </row>
        <row r="2777">
          <cell r="C2777" t="str">
            <v>4209 - MISC. BUILDING MATERIALS</v>
          </cell>
          <cell r="D2777" t="str">
            <v>21087</v>
          </cell>
          <cell r="BA2777">
            <v>22.99</v>
          </cell>
        </row>
        <row r="2778">
          <cell r="C2778" t="str">
            <v>4209 - MISC. BUILDING MATERIALS</v>
          </cell>
          <cell r="D2778" t="str">
            <v>BP01734</v>
          </cell>
          <cell r="BA2778">
            <v>0.28000000000000003</v>
          </cell>
        </row>
        <row r="2779">
          <cell r="C2779" t="str">
            <v>4209 - MISC. BUILDING MATERIALS</v>
          </cell>
          <cell r="D2779" t="str">
            <v>AH51510</v>
          </cell>
          <cell r="BA2779">
            <v>42.99</v>
          </cell>
        </row>
        <row r="2780">
          <cell r="C2780" t="str">
            <v>4209 - MISC. BUILDING MATERIALS</v>
          </cell>
          <cell r="D2780" t="str">
            <v>ASGM1212DLSM001</v>
          </cell>
          <cell r="BA2780">
            <v>5.59</v>
          </cell>
        </row>
        <row r="2781">
          <cell r="C2781" t="str">
            <v>4209 - MISC. BUILDING MATERIALS</v>
          </cell>
          <cell r="D2781" t="str">
            <v>MMGRYPATIOBLK</v>
          </cell>
          <cell r="BA2781">
            <v>1.79</v>
          </cell>
        </row>
        <row r="2782">
          <cell r="C2782" t="str">
            <v>4209 - MISC. BUILDING MATERIALS</v>
          </cell>
          <cell r="D2782" t="str">
            <v>44GAB</v>
          </cell>
          <cell r="BA2782">
            <v>4.99</v>
          </cell>
        </row>
        <row r="2783">
          <cell r="C2783" t="str">
            <v>4209 - MISC. BUILDING MATERIALS</v>
          </cell>
          <cell r="D2783" t="str">
            <v>18PIERFORM</v>
          </cell>
          <cell r="BA2783">
            <v>1.89</v>
          </cell>
        </row>
        <row r="2784">
          <cell r="C2784" t="str">
            <v>4209 - MISC. BUILDING MATERIALS</v>
          </cell>
          <cell r="D2784" t="str">
            <v>24PIERFORM</v>
          </cell>
          <cell r="BA2784">
            <v>4.99</v>
          </cell>
        </row>
        <row r="2785">
          <cell r="C2785" t="str">
            <v>4209 - MISC. BUILDING MATERIALS</v>
          </cell>
          <cell r="D2785" t="str">
            <v>PGL1945408</v>
          </cell>
          <cell r="BA2785">
            <v>2.4900000000000002</v>
          </cell>
        </row>
        <row r="2786">
          <cell r="C2786" t="str">
            <v>4209 - MISC. BUILDING MATERIALS</v>
          </cell>
          <cell r="D2786" t="str">
            <v>NW569081</v>
          </cell>
          <cell r="BA2786">
            <v>26.59</v>
          </cell>
        </row>
        <row r="2787">
          <cell r="C2787" t="str">
            <v>4209 - MISC. BUILDING MATERIALS</v>
          </cell>
          <cell r="D2787" t="str">
            <v>NW569041</v>
          </cell>
          <cell r="BA2787">
            <v>19.190000000000001</v>
          </cell>
        </row>
        <row r="2788">
          <cell r="C2788" t="str">
            <v>4209 - MISC. BUILDING MATERIALS</v>
          </cell>
          <cell r="D2788" t="str">
            <v>41616SB</v>
          </cell>
          <cell r="BA2788">
            <v>8.99</v>
          </cell>
        </row>
        <row r="2789">
          <cell r="C2789" t="str">
            <v>4209 - MISC. BUILDING MATERIALS</v>
          </cell>
          <cell r="D2789" t="str">
            <v>4816SB</v>
          </cell>
          <cell r="BA2789">
            <v>2.69</v>
          </cell>
        </row>
        <row r="2790">
          <cell r="C2790" t="str">
            <v>4209 - MISC. BUILDING MATERIALS</v>
          </cell>
          <cell r="D2790" t="str">
            <v>8816RB</v>
          </cell>
          <cell r="BA2790">
            <v>2.79</v>
          </cell>
        </row>
        <row r="2791">
          <cell r="C2791" t="str">
            <v>4209 - MISC. BUILDING MATERIALS</v>
          </cell>
          <cell r="D2791" t="str">
            <v>WGR26GY021</v>
          </cell>
          <cell r="BA2791">
            <v>11.89</v>
          </cell>
        </row>
        <row r="2792">
          <cell r="C2792" t="str">
            <v>4209 - MISC. BUILDING MATERIALS</v>
          </cell>
          <cell r="D2792" t="str">
            <v>WG32020005</v>
          </cell>
          <cell r="BA2792">
            <v>2.09</v>
          </cell>
        </row>
        <row r="2793">
          <cell r="C2793" t="str">
            <v>4209 - MISC. BUILDING MATERIALS</v>
          </cell>
          <cell r="D2793" t="str">
            <v>12812PIB</v>
          </cell>
          <cell r="BA2793">
            <v>4.79</v>
          </cell>
        </row>
        <row r="2794">
          <cell r="C2794" t="str">
            <v>4209 - MISC. BUILDING MATERIALS</v>
          </cell>
          <cell r="D2794" t="str">
            <v>MM463102</v>
          </cell>
          <cell r="BA2794">
            <v>9.99</v>
          </cell>
        </row>
        <row r="2795">
          <cell r="C2795" t="str">
            <v>4209 - MISC. BUILDING MATERIALS</v>
          </cell>
          <cell r="D2795" t="str">
            <v>2816NPP</v>
          </cell>
          <cell r="BA2795">
            <v>1.39</v>
          </cell>
        </row>
        <row r="2796">
          <cell r="C2796" t="str">
            <v>4209 - MISC. BUILDING MATERIALS</v>
          </cell>
          <cell r="D2796" t="str">
            <v>DC5690</v>
          </cell>
          <cell r="BA2796">
            <v>13.99</v>
          </cell>
        </row>
        <row r="2797">
          <cell r="C2797" t="str">
            <v>4209 - MISC. BUILDING MATERIALS</v>
          </cell>
          <cell r="D2797" t="str">
            <v>TIEWIRE</v>
          </cell>
          <cell r="BA2797">
            <v>5.39</v>
          </cell>
        </row>
        <row r="2798">
          <cell r="C2798" t="str">
            <v>4209 - MISC. BUILDING MATERIALS</v>
          </cell>
          <cell r="D2798" t="str">
            <v>PLASTICSHIMS</v>
          </cell>
          <cell r="BA2798">
            <v>2.59</v>
          </cell>
        </row>
        <row r="2799">
          <cell r="C2799" t="str">
            <v>4209 - MISC. BUILDING MATERIALS</v>
          </cell>
          <cell r="D2799" t="str">
            <v>CS32</v>
          </cell>
          <cell r="BA2799">
            <v>8.69</v>
          </cell>
        </row>
        <row r="2800">
          <cell r="C2800" t="str">
            <v>4209 - MISC. BUILDING MATERIALS</v>
          </cell>
          <cell r="D2800" t="str">
            <v>FCD5B04</v>
          </cell>
          <cell r="BA2800">
            <v>10.99</v>
          </cell>
        </row>
        <row r="2801">
          <cell r="C2801" t="str">
            <v>4209 - MISC. BUILDING MATERIALS</v>
          </cell>
          <cell r="D2801" t="str">
            <v>50QUIKPS</v>
          </cell>
          <cell r="BA2801">
            <v>5.99</v>
          </cell>
        </row>
        <row r="2802">
          <cell r="C2802" t="str">
            <v>4209 - MISC. BUILDING MATERIALS</v>
          </cell>
          <cell r="D2802" t="str">
            <v>QK1151-82</v>
          </cell>
          <cell r="BA2802">
            <v>4.99</v>
          </cell>
        </row>
        <row r="2803">
          <cell r="C2803" t="str">
            <v>4209 - MISC. BUILDING MATERIALS</v>
          </cell>
          <cell r="D2803" t="str">
            <v>FCTOB04</v>
          </cell>
          <cell r="BA2803">
            <v>8.59</v>
          </cell>
        </row>
        <row r="2804">
          <cell r="C2804" t="str">
            <v>4209 - MISC. BUILDING MATERIALS</v>
          </cell>
          <cell r="D2804" t="str">
            <v>HAN3100WS</v>
          </cell>
          <cell r="BA2804">
            <v>99.99</v>
          </cell>
        </row>
        <row r="2805">
          <cell r="C2805" t="str">
            <v>4209 - MISC. BUILDING MATERIALS</v>
          </cell>
          <cell r="D2805" t="str">
            <v>HAN4100WS</v>
          </cell>
          <cell r="BA2805">
            <v>89.99</v>
          </cell>
        </row>
        <row r="2806">
          <cell r="C2806" t="str">
            <v>4209 - MISC. BUILDING MATERIALS</v>
          </cell>
          <cell r="D2806" t="str">
            <v>AH3013-12</v>
          </cell>
          <cell r="BA2806">
            <v>5.99</v>
          </cell>
        </row>
        <row r="2807">
          <cell r="C2807" t="str">
            <v>4209 - MISC. BUILDING MATERIALS</v>
          </cell>
          <cell r="D2807" t="str">
            <v>AH3002-12</v>
          </cell>
          <cell r="BA2807">
            <v>5.99</v>
          </cell>
        </row>
        <row r="2808">
          <cell r="C2808" t="str">
            <v>4209 - MISC. BUILDING MATERIALS</v>
          </cell>
          <cell r="D2808" t="str">
            <v>GEN19580</v>
          </cell>
          <cell r="BA2808">
            <v>5.29</v>
          </cell>
        </row>
        <row r="2809">
          <cell r="C2809" t="str">
            <v>4209 - MISC. BUILDING MATERIALS</v>
          </cell>
          <cell r="D2809" t="str">
            <v>AL4CPL</v>
          </cell>
          <cell r="BA2809">
            <v>5.99</v>
          </cell>
        </row>
        <row r="2810">
          <cell r="C2810" t="str">
            <v>4209 - MISC. BUILDING MATERIALS</v>
          </cell>
          <cell r="D2810" t="str">
            <v>AL4EL</v>
          </cell>
          <cell r="BA2810">
            <v>6.99</v>
          </cell>
        </row>
        <row r="2811">
          <cell r="C2811" t="str">
            <v>4209 - MISC. BUILDING MATERIALS</v>
          </cell>
          <cell r="D2811" t="str">
            <v>A0684</v>
          </cell>
          <cell r="BA2811">
            <v>19.989999999999998</v>
          </cell>
        </row>
        <row r="2812">
          <cell r="C2812" t="str">
            <v>4209 - MISC. BUILDING MATERIALS</v>
          </cell>
          <cell r="D2812" t="str">
            <v>WINBAG</v>
          </cell>
          <cell r="BA2812">
            <v>17.989999999999998</v>
          </cell>
        </row>
        <row r="2813">
          <cell r="C2813" t="str">
            <v>4209 - MISC. BUILDING MATERIALS</v>
          </cell>
          <cell r="D2813" t="str">
            <v>VENTWBLK</v>
          </cell>
          <cell r="BA2813">
            <v>9.99</v>
          </cell>
        </row>
        <row r="2814">
          <cell r="C2814" t="str">
            <v>4209 - MISC. BUILDING MATERIALS</v>
          </cell>
          <cell r="D2814" t="str">
            <v>20412PVCVWGR</v>
          </cell>
          <cell r="BA2814">
            <v>20.59</v>
          </cell>
        </row>
        <row r="2815">
          <cell r="C2815" t="str">
            <v>4209 - MISC. BUILDING MATERIALS</v>
          </cell>
          <cell r="D2815" t="str">
            <v>CAMOBLOCK</v>
          </cell>
          <cell r="BA2815">
            <v>10.99</v>
          </cell>
        </row>
        <row r="2816">
          <cell r="C2816" t="str">
            <v>4209 - MISC. BUILDING MATERIALS</v>
          </cell>
          <cell r="D2816" t="str">
            <v>SPGTR147BEA</v>
          </cell>
          <cell r="BA2816">
            <v>0.99</v>
          </cell>
        </row>
        <row r="2817">
          <cell r="C2817" t="str">
            <v>4209 - MISC. BUILDING MATERIALS</v>
          </cell>
          <cell r="D2817" t="str">
            <v>SPGTR147W-EA</v>
          </cell>
          <cell r="BA2817">
            <v>0.99</v>
          </cell>
        </row>
        <row r="2818">
          <cell r="C2818" t="str">
            <v>4209 - MISC. BUILDING MATERIALS</v>
          </cell>
          <cell r="D2818" t="str">
            <v>AHM0627</v>
          </cell>
          <cell r="BA2818">
            <v>2.99</v>
          </cell>
        </row>
        <row r="2819">
          <cell r="C2819" t="str">
            <v>4209 - MISC. BUILDING MATERIALS</v>
          </cell>
          <cell r="D2819" t="str">
            <v>EMM0593</v>
          </cell>
          <cell r="BA2819">
            <v>12.99</v>
          </cell>
        </row>
        <row r="2820">
          <cell r="C2820" t="str">
            <v>4209 - MISC. BUILDING MATERIALS</v>
          </cell>
          <cell r="D2820" t="str">
            <v>EMM1722B</v>
          </cell>
          <cell r="BA2820">
            <v>3.49</v>
          </cell>
        </row>
        <row r="2821">
          <cell r="C2821" t="str">
            <v>4209 - MISC. BUILDING MATERIALS</v>
          </cell>
          <cell r="D2821" t="str">
            <v>EMM1634-30</v>
          </cell>
          <cell r="BA2821">
            <v>3.29</v>
          </cell>
        </row>
        <row r="2822">
          <cell r="C2822" t="str">
            <v>4209 - MISC. BUILDING MATERIALS</v>
          </cell>
          <cell r="D2822" t="str">
            <v>EMM1628</v>
          </cell>
          <cell r="BA2822">
            <v>2.99</v>
          </cell>
        </row>
        <row r="2823">
          <cell r="C2823" t="str">
            <v>4209 - MISC. BUILDING MATERIALS</v>
          </cell>
          <cell r="D2823" t="str">
            <v>EMM1627</v>
          </cell>
          <cell r="BA2823">
            <v>2.99</v>
          </cell>
        </row>
        <row r="2824">
          <cell r="C2824" t="str">
            <v>4209 - MISC. BUILDING MATERIALS</v>
          </cell>
          <cell r="D2824" t="str">
            <v>EMM1623</v>
          </cell>
          <cell r="BA2824">
            <v>2.99</v>
          </cell>
        </row>
        <row r="2825">
          <cell r="C2825" t="str">
            <v>4209 - MISC. BUILDING MATERIALS</v>
          </cell>
          <cell r="D2825" t="str">
            <v>EMM1608</v>
          </cell>
          <cell r="BA2825">
            <v>5.99</v>
          </cell>
        </row>
        <row r="2826">
          <cell r="C2826" t="str">
            <v>4209 - MISC. BUILDING MATERIALS</v>
          </cell>
          <cell r="D2826" t="str">
            <v>EMM1593</v>
          </cell>
          <cell r="BA2826">
            <v>12.99</v>
          </cell>
        </row>
        <row r="2827">
          <cell r="C2827" t="str">
            <v>4209 - MISC. BUILDING MATERIALS</v>
          </cell>
          <cell r="D2827" t="str">
            <v>EMM1573</v>
          </cell>
          <cell r="BA2827">
            <v>6.99</v>
          </cell>
        </row>
        <row r="2828">
          <cell r="C2828" t="str">
            <v>4209 - MISC. BUILDING MATERIALS</v>
          </cell>
          <cell r="D2828" t="str">
            <v>EMM1506</v>
          </cell>
          <cell r="BA2828">
            <v>10.99</v>
          </cell>
        </row>
        <row r="2829">
          <cell r="C2829" t="str">
            <v>4209 - MISC. BUILDING MATERIALS</v>
          </cell>
          <cell r="D2829" t="str">
            <v>EMM1504</v>
          </cell>
          <cell r="BA2829">
            <v>8.99</v>
          </cell>
        </row>
        <row r="2830">
          <cell r="C2830" t="str">
            <v>4209 - MISC. BUILDING MATERIALS</v>
          </cell>
          <cell r="D2830" t="str">
            <v>EMM1503</v>
          </cell>
          <cell r="BA2830">
            <v>8.99</v>
          </cell>
        </row>
        <row r="2831">
          <cell r="C2831" t="str">
            <v>4209 - MISC. BUILDING MATERIALS</v>
          </cell>
          <cell r="D2831" t="str">
            <v>EMM1611</v>
          </cell>
          <cell r="BA2831">
            <v>12.99</v>
          </cell>
        </row>
        <row r="2832">
          <cell r="C2832" t="str">
            <v>4209 - MISC. BUILDING MATERIALS</v>
          </cell>
          <cell r="D2832" t="str">
            <v>EMM0722B</v>
          </cell>
          <cell r="BA2832">
            <v>3.49</v>
          </cell>
        </row>
        <row r="2833">
          <cell r="C2833" t="str">
            <v>4209 - MISC. BUILDING MATERIALS</v>
          </cell>
          <cell r="D2833" t="str">
            <v>EMM0634-30</v>
          </cell>
          <cell r="BA2833">
            <v>3.29</v>
          </cell>
        </row>
        <row r="2834">
          <cell r="C2834" t="str">
            <v>4209 - MISC. BUILDING MATERIALS</v>
          </cell>
          <cell r="D2834" t="str">
            <v>EMM0628</v>
          </cell>
          <cell r="BA2834">
            <v>2.99</v>
          </cell>
        </row>
        <row r="2835">
          <cell r="C2835" t="str">
            <v>4209 - MISC. BUILDING MATERIALS</v>
          </cell>
          <cell r="D2835" t="str">
            <v>EMM0623</v>
          </cell>
          <cell r="BA2835">
            <v>2.99</v>
          </cell>
        </row>
        <row r="2836">
          <cell r="C2836" t="str">
            <v>4209 - MISC. BUILDING MATERIALS</v>
          </cell>
          <cell r="D2836" t="str">
            <v>EMM0608</v>
          </cell>
          <cell r="BA2836">
            <v>5.99</v>
          </cell>
        </row>
        <row r="2837">
          <cell r="C2837" t="str">
            <v>4209 - MISC. BUILDING MATERIALS</v>
          </cell>
          <cell r="D2837" t="str">
            <v>EMM0504</v>
          </cell>
          <cell r="BA2837">
            <v>8.99</v>
          </cell>
        </row>
        <row r="2838">
          <cell r="C2838" t="str">
            <v>4209 - MISC. BUILDING MATERIALS</v>
          </cell>
          <cell r="D2838" t="str">
            <v>EMM0503</v>
          </cell>
          <cell r="BA2838">
            <v>8.99</v>
          </cell>
        </row>
        <row r="2839">
          <cell r="C2839" t="str">
            <v>4209 - MISC. BUILDING MATERIALS</v>
          </cell>
          <cell r="D2839" t="str">
            <v>EMM0611</v>
          </cell>
          <cell r="BA2839">
            <v>12.99</v>
          </cell>
        </row>
        <row r="2840">
          <cell r="C2840" t="str">
            <v>4209 - MISC. BUILDING MATERIALS</v>
          </cell>
          <cell r="D2840" t="str">
            <v>EMM0573</v>
          </cell>
          <cell r="BA2840">
            <v>6.99</v>
          </cell>
        </row>
        <row r="2841">
          <cell r="C2841" t="str">
            <v>4209 - MISC. BUILDING MATERIALS</v>
          </cell>
          <cell r="D2841" t="str">
            <v>EMM0506-06</v>
          </cell>
          <cell r="BA2841">
            <v>13.99</v>
          </cell>
        </row>
        <row r="2842">
          <cell r="C2842" t="str">
            <v>4209 - MISC. BUILDING MATERIALS</v>
          </cell>
          <cell r="D2842" t="str">
            <v>CDB12126</v>
          </cell>
          <cell r="BA2842">
            <v>16.190000000000001</v>
          </cell>
        </row>
        <row r="2843">
          <cell r="C2843" t="str">
            <v>4210 - CONCRETE</v>
          </cell>
          <cell r="D2843" t="str">
            <v>QK124020</v>
          </cell>
          <cell r="BA2843">
            <v>19.989999999999998</v>
          </cell>
        </row>
        <row r="2844">
          <cell r="C2844" t="str">
            <v>4210 - CONCRETE</v>
          </cell>
          <cell r="D2844" t="str">
            <v>RSCAP25</v>
          </cell>
          <cell r="BA2844">
            <v>19.59</v>
          </cell>
        </row>
        <row r="2845">
          <cell r="C2845" t="str">
            <v>4210 - CONCRETE</v>
          </cell>
          <cell r="D2845" t="str">
            <v>QK124120</v>
          </cell>
          <cell r="BA2845">
            <v>14.19</v>
          </cell>
        </row>
        <row r="2846">
          <cell r="C2846" t="str">
            <v>4210 - CONCRETE</v>
          </cell>
          <cell r="D2846" t="str">
            <v>QK115270</v>
          </cell>
          <cell r="BA2846">
            <v>2.99</v>
          </cell>
        </row>
        <row r="2847">
          <cell r="C2847" t="str">
            <v>4210 - CONCRETE</v>
          </cell>
          <cell r="D2847" t="str">
            <v>QK124050</v>
          </cell>
          <cell r="BA2847">
            <v>15.09</v>
          </cell>
        </row>
        <row r="2848">
          <cell r="C2848" t="str">
            <v>4210 - CONCRETE</v>
          </cell>
          <cell r="D2848" t="str">
            <v>SSAND</v>
          </cell>
          <cell r="BA2848">
            <v>13.59</v>
          </cell>
        </row>
        <row r="2849">
          <cell r="C2849" t="str">
            <v>4210 - CONCRETE</v>
          </cell>
          <cell r="D2849" t="str">
            <v>SSANDM100-20/30G</v>
          </cell>
          <cell r="BA2849">
            <v>13.19</v>
          </cell>
        </row>
        <row r="2850">
          <cell r="C2850" t="str">
            <v>4210 - CONCRETE</v>
          </cell>
          <cell r="D2850" t="str">
            <v>QUIKM60</v>
          </cell>
          <cell r="BA2850">
            <v>1.89</v>
          </cell>
        </row>
        <row r="2851">
          <cell r="C2851" t="str">
            <v>4210 - CONCRETE</v>
          </cell>
          <cell r="D2851" t="str">
            <v>254-94-S</v>
          </cell>
          <cell r="BA2851">
            <v>8.49</v>
          </cell>
        </row>
        <row r="2852">
          <cell r="C2852" t="str">
            <v>4210 - CONCRETE</v>
          </cell>
          <cell r="D2852" t="str">
            <v>848SONO</v>
          </cell>
          <cell r="BA2852">
            <v>11.99</v>
          </cell>
        </row>
        <row r="2853">
          <cell r="C2853" t="str">
            <v>4210 - CONCRETE</v>
          </cell>
          <cell r="D2853" t="str">
            <v>QK692202</v>
          </cell>
          <cell r="BA2853">
            <v>14.99</v>
          </cell>
        </row>
        <row r="2854">
          <cell r="C2854" t="str">
            <v>4210 - CONCRETE</v>
          </cell>
          <cell r="D2854" t="str">
            <v>1248SONO</v>
          </cell>
          <cell r="BA2854">
            <v>18.989999999999998</v>
          </cell>
        </row>
        <row r="2855">
          <cell r="C2855" t="str">
            <v>4210 - CONCRETE</v>
          </cell>
          <cell r="D2855" t="str">
            <v>10005RC5</v>
          </cell>
          <cell r="BA2855">
            <v>10.99</v>
          </cell>
        </row>
        <row r="2856">
          <cell r="C2856" t="str">
            <v>4210 - CONCRETE</v>
          </cell>
          <cell r="D2856" t="str">
            <v>80MMTS</v>
          </cell>
          <cell r="BA2856">
            <v>9.59</v>
          </cell>
        </row>
        <row r="2857">
          <cell r="C2857" t="str">
            <v>4210 - CONCRETE</v>
          </cell>
          <cell r="D2857" t="str">
            <v>60CONC</v>
          </cell>
          <cell r="BA2857">
            <v>4.3899999999999997</v>
          </cell>
        </row>
        <row r="2858">
          <cell r="C2858" t="str">
            <v>4210 - CONCRETE</v>
          </cell>
          <cell r="D2858" t="str">
            <v>QK1133-11</v>
          </cell>
          <cell r="BA2858">
            <v>10.99</v>
          </cell>
        </row>
        <row r="2859">
          <cell r="C2859" t="str">
            <v>4210 - CONCRETE</v>
          </cell>
          <cell r="D2859" t="str">
            <v>80CONC</v>
          </cell>
          <cell r="BA2859">
            <v>5.19</v>
          </cell>
        </row>
        <row r="2860">
          <cell r="C2860" t="str">
            <v>4210 - CONCRETE</v>
          </cell>
          <cell r="D2860" t="str">
            <v>50FASTCON</v>
          </cell>
          <cell r="BA2860">
            <v>8.69</v>
          </cell>
        </row>
        <row r="2861">
          <cell r="C2861" t="str">
            <v>4210 - CONCRETE</v>
          </cell>
          <cell r="D2861" t="str">
            <v>MMTS80</v>
          </cell>
          <cell r="BA2861">
            <v>7.89</v>
          </cell>
        </row>
        <row r="2862">
          <cell r="C2862" t="str">
            <v>4210 - CONCRETE</v>
          </cell>
          <cell r="D2862" t="str">
            <v>100MASONSAND</v>
          </cell>
          <cell r="BA2862">
            <v>6.39</v>
          </cell>
        </row>
        <row r="2863">
          <cell r="C2863" t="str">
            <v>4210 - CONCRETE</v>
          </cell>
          <cell r="D2863" t="str">
            <v>60TUBESAND</v>
          </cell>
          <cell r="BA2863">
            <v>6.99</v>
          </cell>
        </row>
        <row r="2864">
          <cell r="C2864" t="str">
            <v>4210 - CONCRETE</v>
          </cell>
          <cell r="D2864" t="str">
            <v>AC1246</v>
          </cell>
          <cell r="BA2864">
            <v>18.989999999999998</v>
          </cell>
        </row>
        <row r="2865">
          <cell r="C2865" t="str">
            <v>4210 - CONCRETE</v>
          </cell>
          <cell r="D2865" t="str">
            <v>QK124950</v>
          </cell>
          <cell r="BA2865">
            <v>20.79</v>
          </cell>
        </row>
        <row r="2866">
          <cell r="C2866" t="str">
            <v>4210 - CONCRETE</v>
          </cell>
          <cell r="D2866" t="str">
            <v>DAP31084</v>
          </cell>
          <cell r="BA2866">
            <v>11.99</v>
          </cell>
        </row>
        <row r="2867">
          <cell r="C2867" t="str">
            <v>4210 - CONCRETE</v>
          </cell>
          <cell r="D2867" t="str">
            <v>DAP63050</v>
          </cell>
          <cell r="BA2867">
            <v>18.989999999999998</v>
          </cell>
        </row>
        <row r="2868">
          <cell r="C2868" t="str">
            <v>4210 - CONCRETE</v>
          </cell>
          <cell r="D2868" t="str">
            <v>QK170152</v>
          </cell>
          <cell r="BA2868">
            <v>12.89</v>
          </cell>
        </row>
        <row r="2869">
          <cell r="C2869" t="str">
            <v>4210 - CONCRETE</v>
          </cell>
          <cell r="D2869" t="str">
            <v>862009MR10</v>
          </cell>
          <cell r="BA2869">
            <v>5.99</v>
          </cell>
        </row>
        <row r="2870">
          <cell r="C2870" t="str">
            <v>4210 - CONCRETE</v>
          </cell>
          <cell r="D2870" t="str">
            <v>CCS864000</v>
          </cell>
          <cell r="BA2870">
            <v>12.99</v>
          </cell>
        </row>
        <row r="2871">
          <cell r="C2871" t="str">
            <v>4210 - CONCRETE</v>
          </cell>
          <cell r="D2871" t="str">
            <v>50APS</v>
          </cell>
          <cell r="BA2871">
            <v>5.99</v>
          </cell>
        </row>
        <row r="2872">
          <cell r="C2872" t="str">
            <v>4210 - CONCRETE</v>
          </cell>
          <cell r="D2872" t="str">
            <v>5038GRAVEL</v>
          </cell>
          <cell r="BA2872">
            <v>5.99</v>
          </cell>
        </row>
        <row r="2873">
          <cell r="C2873" t="str">
            <v>4210 - CONCRETE</v>
          </cell>
          <cell r="D2873" t="str">
            <v>FL14834</v>
          </cell>
          <cell r="BA2873">
            <v>42.99</v>
          </cell>
        </row>
        <row r="2874">
          <cell r="C2874" t="str">
            <v>4211 - PORTLAND CEMENT</v>
          </cell>
          <cell r="D2874" t="str">
            <v>94PORT1</v>
          </cell>
          <cell r="BA2874">
            <v>15.99</v>
          </cell>
        </row>
        <row r="2875">
          <cell r="C2875" t="str">
            <v>4211 - PORTLAND CEMENT</v>
          </cell>
          <cell r="D2875" t="str">
            <v>RC1</v>
          </cell>
          <cell r="BA2875">
            <v>3.29</v>
          </cell>
        </row>
        <row r="2876">
          <cell r="C2876" t="str">
            <v>4275 - MISC BLDG MTRL TOOLS &amp; SUPPLY</v>
          </cell>
          <cell r="D2876" t="str">
            <v>GRSTKR18</v>
          </cell>
          <cell r="BA2876">
            <v>3.19</v>
          </cell>
        </row>
        <row r="2877">
          <cell r="C2877" t="str">
            <v>4275 - MISC BLDG MTRL TOOLS &amp; SUPPLY</v>
          </cell>
          <cell r="D2877" t="str">
            <v>GRSTKR36</v>
          </cell>
          <cell r="BA2877">
            <v>4.99</v>
          </cell>
        </row>
        <row r="2878">
          <cell r="C2878" t="str">
            <v>4275 - MISC BLDG MTRL TOOLS &amp; SUPPLY</v>
          </cell>
          <cell r="D2878" t="str">
            <v>IPG5202-1</v>
          </cell>
          <cell r="BA2878">
            <v>2.99</v>
          </cell>
        </row>
        <row r="2879">
          <cell r="C2879" t="str">
            <v>4275 - MISC BLDG MTRL TOOLS &amp; SUPPLY</v>
          </cell>
          <cell r="D2879" t="str">
            <v>IPG5129</v>
          </cell>
          <cell r="BA2879">
            <v>5.19</v>
          </cell>
        </row>
        <row r="2880">
          <cell r="C2880" t="str">
            <v>4275 - MISC BLDG MTRL TOOLS &amp; SUPPLY</v>
          </cell>
          <cell r="D2880" t="str">
            <v>3M20501.5</v>
          </cell>
          <cell r="BA2880">
            <v>5.99</v>
          </cell>
        </row>
        <row r="2881">
          <cell r="C2881" t="str">
            <v>4275 - MISC BLDG MTRL TOOLS &amp; SUPPLY</v>
          </cell>
          <cell r="D2881" t="str">
            <v>3M20502</v>
          </cell>
          <cell r="BA2881">
            <v>8.99</v>
          </cell>
        </row>
        <row r="2882">
          <cell r="C2882" t="str">
            <v>4275 - MISC BLDG MTRL TOOLS &amp; SUPPLY</v>
          </cell>
          <cell r="D2882" t="str">
            <v>3M20601</v>
          </cell>
          <cell r="BA2882">
            <v>4.99</v>
          </cell>
        </row>
        <row r="2883">
          <cell r="C2883" t="str">
            <v>4275 - MISC BLDG MTRL TOOLS &amp; SUPPLY</v>
          </cell>
          <cell r="D2883" t="str">
            <v>3M2050-24A</v>
          </cell>
          <cell r="BA2883">
            <v>3.99</v>
          </cell>
        </row>
        <row r="2884">
          <cell r="C2884" t="str">
            <v>4275 - MISC BLDG MTRL TOOLS &amp; SUPPLY</v>
          </cell>
          <cell r="D2884" t="str">
            <v>11260PMTAPE</v>
          </cell>
          <cell r="BA2884">
            <v>4.59</v>
          </cell>
        </row>
        <row r="2885">
          <cell r="C2885" t="str">
            <v>4275 - MISC BLDG MTRL TOOLS &amp; SUPPLY</v>
          </cell>
          <cell r="D2885" t="str">
            <v>260PMTAPE</v>
          </cell>
          <cell r="BA2885">
            <v>5.99</v>
          </cell>
        </row>
        <row r="2886">
          <cell r="C2886" t="str">
            <v>4275 - MISC BLDG MTRL TOOLS &amp; SUPPLY</v>
          </cell>
          <cell r="D2886" t="str">
            <v>3M209024A</v>
          </cell>
          <cell r="BA2886">
            <v>5.69</v>
          </cell>
        </row>
        <row r="2887">
          <cell r="C2887" t="str">
            <v>4275 - MISC BLDG MTRL TOOLS &amp; SUPPLY</v>
          </cell>
          <cell r="D2887" t="str">
            <v>3M209036A</v>
          </cell>
          <cell r="BA2887">
            <v>7.59</v>
          </cell>
        </row>
        <row r="2888">
          <cell r="C2888" t="str">
            <v>4275 - MISC BLDG MTRL TOOLS &amp; SUPPLY</v>
          </cell>
          <cell r="D2888" t="str">
            <v>3M209048A</v>
          </cell>
          <cell r="BA2888">
            <v>7.99</v>
          </cell>
        </row>
        <row r="2889">
          <cell r="C2889" t="str">
            <v>4275 - MISC BLDG MTRL TOOLS &amp; SUPPLY</v>
          </cell>
          <cell r="D2889" t="str">
            <v>IGP5803</v>
          </cell>
          <cell r="BA2889">
            <v>4.59</v>
          </cell>
        </row>
        <row r="2890">
          <cell r="C2890" t="str">
            <v>4275 - MISC BLDG MTRL TOOLS &amp; SUPPLY</v>
          </cell>
          <cell r="D2890" t="str">
            <v>IGP5804</v>
          </cell>
          <cell r="BA2890">
            <v>6.99</v>
          </cell>
        </row>
        <row r="2891">
          <cell r="C2891" t="str">
            <v>4275 - MISC BLDG MTRL TOOLS &amp; SUPPLY</v>
          </cell>
          <cell r="D2891" t="str">
            <v>IGP5805</v>
          </cell>
          <cell r="BA2891">
            <v>8.69</v>
          </cell>
        </row>
        <row r="2892">
          <cell r="C2892" t="str">
            <v>4275 - MISC BLDG MTRL TOOLS &amp; SUPPLY</v>
          </cell>
          <cell r="D2892" t="str">
            <v>5048825</v>
          </cell>
          <cell r="BA2892">
            <v>72.989999999999995</v>
          </cell>
        </row>
        <row r="2893">
          <cell r="C2893" t="str">
            <v>4275 - MISC BLDG MTRL TOOLS &amp; SUPPLY</v>
          </cell>
          <cell r="D2893" t="str">
            <v>TC35145</v>
          </cell>
          <cell r="BA2893">
            <v>14.99</v>
          </cell>
        </row>
        <row r="2894">
          <cell r="C2894" t="str">
            <v>4275 - MISC BLDG MTRL TOOLS &amp; SUPPLY</v>
          </cell>
          <cell r="D2894" t="str">
            <v>3M209018A</v>
          </cell>
          <cell r="BA2894">
            <v>3.79</v>
          </cell>
        </row>
        <row r="2895">
          <cell r="C2895" t="str">
            <v>4275 - MISC BLDG MTRL TOOLS &amp; SUPPLY</v>
          </cell>
          <cell r="D2895" t="str">
            <v>3M3850</v>
          </cell>
          <cell r="BA2895">
            <v>6.99</v>
          </cell>
        </row>
        <row r="2896">
          <cell r="C2896" t="str">
            <v>4275 - MISC BLDG MTRL TOOLS &amp; SUPPLY</v>
          </cell>
          <cell r="D2896" t="str">
            <v>PASTA2590</v>
          </cell>
          <cell r="BA2896">
            <v>5.39</v>
          </cell>
        </row>
        <row r="2897">
          <cell r="C2897" t="str">
            <v>4275 - MISC BLDG MTRL TOOLS &amp; SUPPLY</v>
          </cell>
          <cell r="D2897" t="str">
            <v>WINTEQGUN</v>
          </cell>
          <cell r="BA2897">
            <v>77.989999999999995</v>
          </cell>
        </row>
        <row r="2898">
          <cell r="C2898" t="str">
            <v>4275 - MISC BLDG MTRL TOOLS &amp; SUPPLY</v>
          </cell>
          <cell r="D2898" t="str">
            <v>DAP075650120057</v>
          </cell>
          <cell r="BA2898">
            <v>10.99</v>
          </cell>
        </row>
        <row r="2899">
          <cell r="C2899" t="str">
            <v>4275 - MISC BLDG MTRL TOOLS &amp; SUPPLY</v>
          </cell>
          <cell r="D2899" t="str">
            <v>CHH16100</v>
          </cell>
          <cell r="BA2899">
            <v>6.99</v>
          </cell>
        </row>
        <row r="2900">
          <cell r="C2900" t="str">
            <v>4275 - MISC BLDG MTRL TOOLS &amp; SUPPLY</v>
          </cell>
          <cell r="D2900" t="str">
            <v>12X400POLY</v>
          </cell>
          <cell r="BA2900">
            <v>32.99</v>
          </cell>
        </row>
        <row r="2901">
          <cell r="C2901" t="str">
            <v>4275 - MISC BLDG MTRL TOOLS &amp; SUPPLY</v>
          </cell>
          <cell r="D2901" t="str">
            <v>GT30YD</v>
          </cell>
          <cell r="BA2901">
            <v>9.99</v>
          </cell>
        </row>
        <row r="2902">
          <cell r="C2902" t="str">
            <v>4275 - MISC BLDG MTRL TOOLS &amp; SUPPLY</v>
          </cell>
          <cell r="D2902" t="str">
            <v>GT30YDBLK</v>
          </cell>
          <cell r="BA2902">
            <v>9.99</v>
          </cell>
        </row>
        <row r="2903">
          <cell r="C2903" t="str">
            <v>4275 - MISC BLDG MTRL TOOLS &amp; SUPPLY</v>
          </cell>
          <cell r="D2903" t="str">
            <v>GT35YD</v>
          </cell>
          <cell r="BA2903">
            <v>9.99</v>
          </cell>
        </row>
        <row r="2904">
          <cell r="C2904" t="str">
            <v>4275 - MISC BLDG MTRL TOOLS &amp; SUPPLY</v>
          </cell>
          <cell r="D2904" t="str">
            <v>HK42WC032B</v>
          </cell>
          <cell r="BA2904">
            <v>24.99</v>
          </cell>
        </row>
        <row r="2905">
          <cell r="C2905" t="str">
            <v>4275 - MISC BLDG MTRL TOOLS &amp; SUPPLY</v>
          </cell>
          <cell r="D2905" t="str">
            <v>PAHC42WC032B</v>
          </cell>
          <cell r="BA2905">
            <v>24.99</v>
          </cell>
        </row>
        <row r="2906">
          <cell r="C2906" t="str">
            <v>4275 - MISC BLDG MTRL TOOLS &amp; SUPPLY</v>
          </cell>
          <cell r="D2906" t="str">
            <v>DC012CG</v>
          </cell>
          <cell r="BA2906">
            <v>5.39</v>
          </cell>
        </row>
        <row r="2907">
          <cell r="C2907" t="str">
            <v>4275 - MISC BLDG MTRL TOOLS &amp; SUPPLY</v>
          </cell>
          <cell r="D2907" t="str">
            <v>NB255</v>
          </cell>
          <cell r="BA2907">
            <v>49.99</v>
          </cell>
        </row>
        <row r="2908">
          <cell r="C2908" t="str">
            <v>4275 - MISC BLDG MTRL TOOLS &amp; SUPPLY</v>
          </cell>
          <cell r="D2908" t="str">
            <v>AA1037829</v>
          </cell>
          <cell r="BA2908">
            <v>12.99</v>
          </cell>
        </row>
        <row r="2909">
          <cell r="C2909" t="str">
            <v>4275 - MISC BLDG MTRL TOOLS &amp; SUPPLY</v>
          </cell>
          <cell r="D2909" t="str">
            <v>114D</v>
          </cell>
          <cell r="BA2909">
            <v>13.99</v>
          </cell>
        </row>
        <row r="2910">
          <cell r="C2910" t="str">
            <v>4275 - MISC BLDG MTRL TOOLS &amp; SUPPLY</v>
          </cell>
          <cell r="D2910" t="str">
            <v>NB105</v>
          </cell>
          <cell r="BA2910">
            <v>17.989999999999998</v>
          </cell>
        </row>
        <row r="2911">
          <cell r="C2911" t="str">
            <v>4275 - MISC BLDG MTRL TOOLS &amp; SUPPLY</v>
          </cell>
          <cell r="D2911" t="str">
            <v>NB877</v>
          </cell>
          <cell r="BA2911">
            <v>5.99</v>
          </cell>
        </row>
        <row r="2912">
          <cell r="C2912" t="str">
            <v>4275 - MISC BLDG MTRL TOOLS &amp; SUPPLY</v>
          </cell>
          <cell r="D2912" t="str">
            <v>NB250</v>
          </cell>
          <cell r="BA2912">
            <v>37.99</v>
          </cell>
        </row>
        <row r="2913">
          <cell r="C2913" t="str">
            <v>4275 - MISC BLDG MTRL TOOLS &amp; SUPPLY</v>
          </cell>
          <cell r="D2913" t="str">
            <v>NB111</v>
          </cell>
          <cell r="BA2913">
            <v>10.99</v>
          </cell>
        </row>
        <row r="2914">
          <cell r="C2914" t="str">
            <v>4275 - MISC BLDG MTRL TOOLS &amp; SUPPLY</v>
          </cell>
          <cell r="D2914" t="str">
            <v>CT904P</v>
          </cell>
          <cell r="BA2914">
            <v>9.99</v>
          </cell>
        </row>
        <row r="2915">
          <cell r="C2915" t="str">
            <v>4275 - MISC BLDG MTRL TOOLS &amp; SUPPLY</v>
          </cell>
          <cell r="D2915" t="str">
            <v>ETS3000</v>
          </cell>
          <cell r="BA2915">
            <v>22.99</v>
          </cell>
        </row>
        <row r="2916">
          <cell r="C2916" t="str">
            <v>4275 - MISC BLDG MTRL TOOLS &amp; SUPPLY</v>
          </cell>
          <cell r="D2916" t="str">
            <v>AMN19Q-RP5</v>
          </cell>
          <cell r="BA2916">
            <v>9.89</v>
          </cell>
        </row>
        <row r="2917">
          <cell r="C2917" t="str">
            <v>4275 - MISC BLDG MTRL TOOLS &amp; SUPPLY</v>
          </cell>
          <cell r="D2917" t="str">
            <v>ADT30S</v>
          </cell>
          <cell r="BA2917">
            <v>145.99</v>
          </cell>
        </row>
        <row r="2918">
          <cell r="C2918" t="str">
            <v>4275 - MISC BLDG MTRL TOOLS &amp; SUPPLY</v>
          </cell>
          <cell r="D2918" t="str">
            <v>ADTCHGUN</v>
          </cell>
          <cell r="BA2918">
            <v>59.99</v>
          </cell>
        </row>
        <row r="2919">
          <cell r="C2919" t="str">
            <v>4275 - MISC BLDG MTRL TOOLS &amp; SUPPLY</v>
          </cell>
          <cell r="D2919" t="str">
            <v>ADTCHGUN28</v>
          </cell>
          <cell r="BA2919">
            <v>61.49</v>
          </cell>
        </row>
        <row r="2920">
          <cell r="C2920" t="str">
            <v>4275 - MISC BLDG MTRL TOOLS &amp; SUPPLY</v>
          </cell>
          <cell r="D2920" t="str">
            <v>ADTCHCLNR</v>
          </cell>
          <cell r="BA2920">
            <v>13.59</v>
          </cell>
        </row>
        <row r="2921">
          <cell r="C2921" t="str">
            <v>4275 - MISC BLDG MTRL TOOLS &amp; SUPPLY</v>
          </cell>
          <cell r="D2921" t="str">
            <v>MT14731</v>
          </cell>
          <cell r="BA2921">
            <v>9.99</v>
          </cell>
        </row>
        <row r="2922">
          <cell r="C2922" t="str">
            <v>4275 - MISC BLDG MTRL TOOLS &amp; SUPPLY</v>
          </cell>
          <cell r="D2922" t="str">
            <v>MC16570</v>
          </cell>
          <cell r="BA2922">
            <v>7.59</v>
          </cell>
        </row>
        <row r="2923">
          <cell r="C2923" t="str">
            <v>4275 - MISC BLDG MTRL TOOLS &amp; SUPPLY</v>
          </cell>
          <cell r="D2923" t="str">
            <v>36100SILT</v>
          </cell>
          <cell r="BA2923">
            <v>57.99</v>
          </cell>
        </row>
        <row r="2924">
          <cell r="C2924" t="str">
            <v>4275 - MISC BLDG MTRL TOOLS &amp; SUPPLY</v>
          </cell>
          <cell r="D2924" t="str">
            <v>ACF530000050</v>
          </cell>
          <cell r="BA2924">
            <v>4.8899999999999997</v>
          </cell>
        </row>
        <row r="2925">
          <cell r="C2925" t="str">
            <v>4275 - MISC BLDG MTRL TOOLS &amp; SUPPLY</v>
          </cell>
          <cell r="D2925" t="str">
            <v>HAL633663</v>
          </cell>
          <cell r="BA2925">
            <v>29.79</v>
          </cell>
        </row>
        <row r="2926">
          <cell r="C2926" t="str">
            <v>4275 - MISC BLDG MTRL TOOLS &amp; SUPPLY</v>
          </cell>
          <cell r="D2926" t="str">
            <v>GRSTKR24</v>
          </cell>
          <cell r="BA2926">
            <v>2.89</v>
          </cell>
        </row>
        <row r="2927">
          <cell r="C2927" t="str">
            <v>4275 - MISC BLDG MTRL TOOLS &amp; SUPPLY</v>
          </cell>
          <cell r="D2927" t="str">
            <v>HCA3634RDPSTP</v>
          </cell>
          <cell r="BA2927">
            <v>6.69</v>
          </cell>
        </row>
        <row r="2928">
          <cell r="C2928" t="str">
            <v>4275 - MISC BLDG MTRL TOOLS &amp; SUPPLY</v>
          </cell>
          <cell r="D2928" t="str">
            <v>HCA2434RDPSTP</v>
          </cell>
          <cell r="BA2928">
            <v>3.99</v>
          </cell>
        </row>
        <row r="2929">
          <cell r="C2929" t="str">
            <v>4275 - MISC BLDG MTRL TOOLS &amp; SUPPLY</v>
          </cell>
          <cell r="D2929" t="str">
            <v>HCA1834RDPSTP</v>
          </cell>
          <cell r="BA2929">
            <v>3.49</v>
          </cell>
        </row>
        <row r="2930">
          <cell r="C2930" t="str">
            <v>4275 - MISC BLDG MTRL TOOLS &amp; SUPPLY</v>
          </cell>
          <cell r="D2930" t="str">
            <v>HCA1234RDPSTP</v>
          </cell>
          <cell r="BA2930">
            <v>2.09</v>
          </cell>
        </row>
        <row r="2931">
          <cell r="C2931" t="str">
            <v>4275 - MISC BLDG MTRL TOOLS &amp; SUPPLY</v>
          </cell>
          <cell r="D2931" t="str">
            <v>RRPAPER</v>
          </cell>
          <cell r="BA2931">
            <v>15.79</v>
          </cell>
        </row>
        <row r="2932">
          <cell r="C2932" t="str">
            <v>4275 - MISC BLDG MTRL TOOLS &amp; SUPPLY</v>
          </cell>
          <cell r="D2932" t="str">
            <v>KRPAPER48X900</v>
          </cell>
          <cell r="BA2932">
            <v>68.989999999999995</v>
          </cell>
        </row>
        <row r="2933">
          <cell r="C2933" t="str">
            <v>4275 - MISC BLDG MTRL TOOLS &amp; SUPPLY</v>
          </cell>
          <cell r="D2933" t="str">
            <v>HFZ3850YW2-N/CA</v>
          </cell>
          <cell r="BA2933">
            <v>35.99</v>
          </cell>
        </row>
        <row r="2934">
          <cell r="C2934" t="str">
            <v>4275 - MISC BLDG MTRL TOOLS &amp; SUPPLY</v>
          </cell>
          <cell r="D2934" t="str">
            <v>HFZ14100YW2-CA</v>
          </cell>
          <cell r="BA2934">
            <v>44.99</v>
          </cell>
        </row>
        <row r="2935">
          <cell r="C2935" t="str">
            <v>4275 - MISC BLDG MTRL TOOLS &amp; SUPPLY</v>
          </cell>
          <cell r="D2935" t="str">
            <v>HFZ38100YW2-N/CA</v>
          </cell>
          <cell r="BA2935">
            <v>69.989999999999995</v>
          </cell>
        </row>
        <row r="2936">
          <cell r="C2936" t="str">
            <v>4275 - MISC BLDG MTRL TOOLS &amp; SUPPLY</v>
          </cell>
          <cell r="D2936" t="str">
            <v>HFZ1450YW2-N/CA</v>
          </cell>
          <cell r="BA2936">
            <v>24.99</v>
          </cell>
        </row>
        <row r="2937">
          <cell r="C2937" t="str">
            <v>4275 - MISC BLDG MTRL TOOLS &amp; SUPPLY</v>
          </cell>
          <cell r="D2937" t="str">
            <v>38100RAM</v>
          </cell>
          <cell r="BA2937">
            <v>59.99</v>
          </cell>
        </row>
        <row r="2938">
          <cell r="C2938" t="str">
            <v>4401 - KWIKSET</v>
          </cell>
          <cell r="D2938" t="str">
            <v>K81825001</v>
          </cell>
          <cell r="BA2938">
            <v>7.99</v>
          </cell>
        </row>
        <row r="2939">
          <cell r="C2939" t="str">
            <v>4401 - KWIKSET</v>
          </cell>
          <cell r="D2939" t="str">
            <v>K81847001</v>
          </cell>
          <cell r="BA2939">
            <v>3.39</v>
          </cell>
        </row>
        <row r="2940">
          <cell r="C2940" t="str">
            <v>4401 - KWIKSET</v>
          </cell>
          <cell r="D2940" t="str">
            <v>K98515SMTCP</v>
          </cell>
          <cell r="BA2940">
            <v>49.99</v>
          </cell>
        </row>
        <row r="2941">
          <cell r="C2941" t="str">
            <v>4401 - KWIKSET</v>
          </cell>
          <cell r="D2941" t="str">
            <v>K818SCEXHFL11P</v>
          </cell>
          <cell r="BA2941">
            <v>155.99</v>
          </cell>
        </row>
        <row r="2942">
          <cell r="C2942" t="str">
            <v>4401 - KWIKSET</v>
          </cell>
          <cell r="D2942" t="str">
            <v>KCONLOCK</v>
          </cell>
          <cell r="BA2942">
            <v>7.99</v>
          </cell>
        </row>
        <row r="2943">
          <cell r="C2943" t="str">
            <v>4401 - KWIKSET</v>
          </cell>
          <cell r="D2943" t="str">
            <v>K687AMD15RCAL</v>
          </cell>
          <cell r="BA2943">
            <v>57.49</v>
          </cell>
        </row>
        <row r="2944">
          <cell r="C2944" t="str">
            <v>4401 - KWIKSET</v>
          </cell>
          <cell r="D2944" t="str">
            <v>K687AMD514RCAL</v>
          </cell>
          <cell r="BA2944">
            <v>54.49</v>
          </cell>
        </row>
        <row r="2945">
          <cell r="C2945" t="str">
            <v>4401 - KWIKSET</v>
          </cell>
          <cell r="D2945" t="str">
            <v>KBALEN11P</v>
          </cell>
          <cell r="BA2945">
            <v>37.99</v>
          </cell>
        </row>
        <row r="2946">
          <cell r="C2946" t="str">
            <v>4401 - KWIKSET</v>
          </cell>
          <cell r="D2946" t="str">
            <v>KBALPS11PCP</v>
          </cell>
          <cell r="BA2946">
            <v>25.99</v>
          </cell>
        </row>
        <row r="2947">
          <cell r="C2947" t="str">
            <v>4401 - KWIKSET</v>
          </cell>
          <cell r="D2947" t="str">
            <v>KBALPR11P</v>
          </cell>
          <cell r="BA2947">
            <v>27.99</v>
          </cell>
        </row>
        <row r="2948">
          <cell r="C2948" t="str">
            <v>4401 - KWIKSET</v>
          </cell>
          <cell r="D2948" t="str">
            <v>KBALPS15CP</v>
          </cell>
          <cell r="BA2948">
            <v>24.99</v>
          </cell>
        </row>
        <row r="2949">
          <cell r="C2949" t="str">
            <v>4401 - KWIKSET</v>
          </cell>
          <cell r="D2949" t="str">
            <v>KBALPR15CP</v>
          </cell>
          <cell r="BA2949">
            <v>25.99</v>
          </cell>
        </row>
        <row r="2950">
          <cell r="C2950" t="str">
            <v>4401 - KWIKSET</v>
          </cell>
          <cell r="D2950" t="str">
            <v>KBRNPR15</v>
          </cell>
          <cell r="BA2950">
            <v>20.39</v>
          </cell>
        </row>
        <row r="2951">
          <cell r="C2951" t="str">
            <v>4401 - KWIKSET</v>
          </cell>
          <cell r="D2951" t="str">
            <v>KBRNPS15</v>
          </cell>
          <cell r="BA2951">
            <v>19.09</v>
          </cell>
        </row>
        <row r="2952">
          <cell r="C2952" t="str">
            <v>4401 - KWIKSET</v>
          </cell>
          <cell r="D2952" t="str">
            <v>KBRNEN15SMT</v>
          </cell>
          <cell r="BA2952">
            <v>25.49</v>
          </cell>
        </row>
        <row r="2953">
          <cell r="C2953" t="str">
            <v>4401 - KWIKSET</v>
          </cell>
          <cell r="D2953" t="str">
            <v>KBRNDU15</v>
          </cell>
          <cell r="BA2953">
            <v>8.99</v>
          </cell>
        </row>
        <row r="2954">
          <cell r="C2954" t="str">
            <v>4401 - KWIKSET</v>
          </cell>
          <cell r="D2954" t="str">
            <v>KBRNLIP15</v>
          </cell>
          <cell r="BA2954">
            <v>25.19</v>
          </cell>
        </row>
        <row r="2955">
          <cell r="C2955" t="str">
            <v>4401 - KWIKSET</v>
          </cell>
          <cell r="D2955" t="str">
            <v>K966BRNLSQT514</v>
          </cell>
          <cell r="BA2955">
            <v>20.39</v>
          </cell>
        </row>
        <row r="2956">
          <cell r="C2956" t="str">
            <v>4401 - KWIKSET</v>
          </cell>
          <cell r="D2956" t="str">
            <v>K405BRNLSQT514SM</v>
          </cell>
          <cell r="BA2956">
            <v>25.49</v>
          </cell>
        </row>
        <row r="2957">
          <cell r="C2957" t="str">
            <v>4401 - KWIKSET</v>
          </cell>
          <cell r="D2957" t="str">
            <v>K300BRNLSQT514</v>
          </cell>
          <cell r="BA2957">
            <v>20.39</v>
          </cell>
        </row>
        <row r="2958">
          <cell r="C2958" t="str">
            <v>4401 - KWIKSET</v>
          </cell>
          <cell r="D2958" t="str">
            <v>K200BRNLSQT514</v>
          </cell>
          <cell r="BA2958">
            <v>19.09</v>
          </cell>
        </row>
        <row r="2959">
          <cell r="C2959" t="str">
            <v>4401 - KWIKSET</v>
          </cell>
          <cell r="D2959" t="str">
            <v>K488BRNLSQT514</v>
          </cell>
          <cell r="BA2959">
            <v>8.99</v>
          </cell>
        </row>
        <row r="2960">
          <cell r="C2960" t="str">
            <v>4401 - KWIKSET</v>
          </cell>
          <cell r="D2960" t="str">
            <v>KCAMPS11P</v>
          </cell>
          <cell r="BA2960">
            <v>18.79</v>
          </cell>
        </row>
        <row r="2961">
          <cell r="C2961" t="str">
            <v>4401 - KWIKSET</v>
          </cell>
          <cell r="D2961" t="str">
            <v>KCAMEN11P</v>
          </cell>
          <cell r="BA2961">
            <v>31.09</v>
          </cell>
        </row>
        <row r="2962">
          <cell r="C2962" t="str">
            <v>4401 - KWIKSET</v>
          </cell>
          <cell r="D2962" t="str">
            <v>KCAMPR11P</v>
          </cell>
          <cell r="BA2962">
            <v>19.59</v>
          </cell>
        </row>
        <row r="2963">
          <cell r="C2963" t="str">
            <v>4401 - KWIKSET</v>
          </cell>
          <cell r="D2963" t="str">
            <v>KCAMPSSN</v>
          </cell>
          <cell r="BA2963">
            <v>14.49</v>
          </cell>
        </row>
        <row r="2964">
          <cell r="C2964" t="str">
            <v>4401 - KWIKSET</v>
          </cell>
          <cell r="D2964" t="str">
            <v>KCAMPR15</v>
          </cell>
          <cell r="BA2964">
            <v>15.79</v>
          </cell>
        </row>
        <row r="2965">
          <cell r="C2965" t="str">
            <v>4401 - KWIKSET</v>
          </cell>
          <cell r="D2965" t="str">
            <v>KCSLEN514SMTSQ</v>
          </cell>
          <cell r="BA2965">
            <v>26.59</v>
          </cell>
        </row>
        <row r="2966">
          <cell r="C2966" t="str">
            <v>4401 - KWIKSET</v>
          </cell>
          <cell r="D2966" t="str">
            <v>KCSLPR514SQ</v>
          </cell>
          <cell r="BA2966">
            <v>20.69</v>
          </cell>
        </row>
        <row r="2967">
          <cell r="C2967" t="str">
            <v>4401 - KWIKSET</v>
          </cell>
          <cell r="D2967" t="str">
            <v>KCSLDU514SQ</v>
          </cell>
          <cell r="BA2967">
            <v>12.69</v>
          </cell>
        </row>
        <row r="2968">
          <cell r="C2968" t="str">
            <v>4401 - KWIKSET</v>
          </cell>
          <cell r="D2968" t="str">
            <v>KCSLPS514SQ</v>
          </cell>
          <cell r="BA2968">
            <v>19.989999999999998</v>
          </cell>
        </row>
        <row r="2969">
          <cell r="C2969" t="str">
            <v>4401 - KWIKSET</v>
          </cell>
          <cell r="D2969" t="str">
            <v>K400CV11PCPK6</v>
          </cell>
          <cell r="BA2969">
            <v>19.989999999999998</v>
          </cell>
        </row>
        <row r="2970">
          <cell r="C2970" t="str">
            <v>4401 - KWIKSET</v>
          </cell>
          <cell r="D2970" t="str">
            <v>KCOVPS11P</v>
          </cell>
          <cell r="BA2970">
            <v>24.99</v>
          </cell>
        </row>
        <row r="2971">
          <cell r="C2971" t="str">
            <v>4401 - KWIKSET</v>
          </cell>
          <cell r="D2971" t="str">
            <v>KCOVPS11PCP</v>
          </cell>
          <cell r="BA2971">
            <v>17.989999999999998</v>
          </cell>
        </row>
        <row r="2972">
          <cell r="C2972" t="str">
            <v>4401 - KWIKSET</v>
          </cell>
          <cell r="D2972" t="str">
            <v>KCOVPR11P</v>
          </cell>
          <cell r="BA2972">
            <v>25.99</v>
          </cell>
        </row>
        <row r="2973">
          <cell r="C2973" t="str">
            <v>4401 - KWIKSET</v>
          </cell>
          <cell r="D2973" t="str">
            <v>KCOVPR11PCP</v>
          </cell>
          <cell r="BA2973">
            <v>18.989999999999998</v>
          </cell>
        </row>
        <row r="2974">
          <cell r="C2974" t="str">
            <v>4401 - KWIKSET</v>
          </cell>
          <cell r="D2974" t="str">
            <v>K690CV11PSMT</v>
          </cell>
          <cell r="BA2974">
            <v>37.99</v>
          </cell>
        </row>
        <row r="2975">
          <cell r="C2975" t="str">
            <v>4401 - KWIKSET</v>
          </cell>
          <cell r="D2975" t="str">
            <v>KCOVEN15SMT</v>
          </cell>
          <cell r="BA2975">
            <v>29.99</v>
          </cell>
        </row>
        <row r="2976">
          <cell r="C2976" t="str">
            <v>4401 - KWIKSET</v>
          </cell>
          <cell r="D2976" t="str">
            <v>K400CV15RCALRCS</v>
          </cell>
          <cell r="BA2976">
            <v>29.99</v>
          </cell>
        </row>
        <row r="2977">
          <cell r="C2977" t="str">
            <v>4401 - KWIKSET</v>
          </cell>
          <cell r="D2977" t="str">
            <v>KCOVPS15</v>
          </cell>
          <cell r="BA2977">
            <v>24.99</v>
          </cell>
        </row>
        <row r="2978">
          <cell r="C2978" t="str">
            <v>4401 - KWIKSET</v>
          </cell>
          <cell r="D2978" t="str">
            <v>KCOVPS15CP</v>
          </cell>
          <cell r="BA2978">
            <v>16.989999999999998</v>
          </cell>
        </row>
        <row r="2979">
          <cell r="C2979" t="str">
            <v>4401 - KWIKSET</v>
          </cell>
          <cell r="D2979" t="str">
            <v>KCOVPR15</v>
          </cell>
          <cell r="BA2979">
            <v>19.989999999999998</v>
          </cell>
        </row>
        <row r="2980">
          <cell r="C2980" t="str">
            <v>4401 - KWIKSET</v>
          </cell>
          <cell r="D2980" t="str">
            <v>KCOVDU15</v>
          </cell>
          <cell r="BA2980">
            <v>13.99</v>
          </cell>
        </row>
        <row r="2981">
          <cell r="C2981" t="str">
            <v>4401 - KWIKSET</v>
          </cell>
          <cell r="D2981" t="str">
            <v>KS690CV11PCPK6</v>
          </cell>
          <cell r="BA2981">
            <v>34.590000000000003</v>
          </cell>
        </row>
        <row r="2982">
          <cell r="C2982" t="str">
            <v>4401 - KWIKSET</v>
          </cell>
          <cell r="D2982" t="str">
            <v>K604CV15</v>
          </cell>
          <cell r="BA2982">
            <v>15.99</v>
          </cell>
        </row>
        <row r="2983">
          <cell r="C2983" t="str">
            <v>4401 - KWIKSET</v>
          </cell>
          <cell r="D2983" t="str">
            <v>K300CV15CP</v>
          </cell>
          <cell r="BA2983">
            <v>18.989999999999998</v>
          </cell>
        </row>
        <row r="2984">
          <cell r="C2984" t="str">
            <v>4401 - KWIKSET</v>
          </cell>
          <cell r="D2984" t="str">
            <v>K966CV514</v>
          </cell>
          <cell r="BA2984">
            <v>15.89</v>
          </cell>
        </row>
        <row r="2985">
          <cell r="C2985" t="str">
            <v>4401 - KWIKSET</v>
          </cell>
          <cell r="D2985" t="str">
            <v>KCOVDU514</v>
          </cell>
          <cell r="BA2985">
            <v>3.89</v>
          </cell>
        </row>
        <row r="2986">
          <cell r="C2986" t="str">
            <v>4401 - KWIKSET</v>
          </cell>
          <cell r="D2986" t="str">
            <v>KCOVPR514</v>
          </cell>
          <cell r="BA2986">
            <v>9.7899999999999991</v>
          </cell>
        </row>
        <row r="2987">
          <cell r="C2987" t="str">
            <v>4401 - KWIKSET</v>
          </cell>
          <cell r="D2987" t="str">
            <v>KCOVPS514</v>
          </cell>
          <cell r="BA2987">
            <v>8.99</v>
          </cell>
        </row>
        <row r="2988">
          <cell r="C2988" t="str">
            <v>4401 - KWIKSET</v>
          </cell>
          <cell r="D2988" t="str">
            <v>KCOVEN514SMT</v>
          </cell>
          <cell r="BA2988">
            <v>16.59</v>
          </cell>
        </row>
        <row r="2989">
          <cell r="C2989" t="str">
            <v>4401 - KWIKSET</v>
          </cell>
          <cell r="D2989" t="str">
            <v>K94002-954</v>
          </cell>
          <cell r="BA2989">
            <v>22.99</v>
          </cell>
        </row>
        <row r="2990">
          <cell r="C2990" t="str">
            <v>4401 - KWIKSET</v>
          </cell>
          <cell r="D2990" t="str">
            <v>KDAKHS15SMT</v>
          </cell>
          <cell r="BA2990">
            <v>45.99</v>
          </cell>
        </row>
        <row r="2991">
          <cell r="C2991" t="str">
            <v>4401 - KWIKSET</v>
          </cell>
          <cell r="D2991" t="str">
            <v>KDAKTYLHSPB3SMT</v>
          </cell>
          <cell r="BA2991">
            <v>89.99</v>
          </cell>
        </row>
        <row r="2992">
          <cell r="C2992" t="str">
            <v>4401 - KWIKSET</v>
          </cell>
          <cell r="D2992" t="str">
            <v>KDELEN26D</v>
          </cell>
          <cell r="BA2992">
            <v>32.39</v>
          </cell>
        </row>
        <row r="2993">
          <cell r="C2993" t="str">
            <v>4401 - KWIKSET</v>
          </cell>
          <cell r="D2993" t="str">
            <v>KDELPS26DCP</v>
          </cell>
          <cell r="BA2993">
            <v>22.99</v>
          </cell>
        </row>
        <row r="2994">
          <cell r="C2994" t="str">
            <v>4401 - KWIKSET</v>
          </cell>
          <cell r="D2994" t="str">
            <v>KDELPR26DCP</v>
          </cell>
          <cell r="BA2994">
            <v>25.99</v>
          </cell>
        </row>
        <row r="2995">
          <cell r="C2995" t="str">
            <v>4401 - KWIKSET</v>
          </cell>
          <cell r="D2995" t="str">
            <v>KDOREN15</v>
          </cell>
          <cell r="BA2995">
            <v>32.99</v>
          </cell>
        </row>
        <row r="2996">
          <cell r="C2996" t="str">
            <v>4401 - KWIKSET</v>
          </cell>
          <cell r="D2996" t="str">
            <v>K300DNL15CPRCL</v>
          </cell>
          <cell r="BA2996">
            <v>24.99</v>
          </cell>
        </row>
        <row r="2997">
          <cell r="C2997" t="str">
            <v>4401 - KWIKSET</v>
          </cell>
          <cell r="D2997" t="str">
            <v>KHALEN15SMT</v>
          </cell>
          <cell r="BA2997">
            <v>43.89</v>
          </cell>
        </row>
        <row r="2998">
          <cell r="C2998" t="str">
            <v>4401 - KWIKSET</v>
          </cell>
          <cell r="D2998" t="str">
            <v>KHALSDB15SMT</v>
          </cell>
          <cell r="BA2998">
            <v>31.19</v>
          </cell>
        </row>
        <row r="2999">
          <cell r="C2999" t="str">
            <v>4401 - KWIKSET</v>
          </cell>
          <cell r="D2999" t="str">
            <v>KHALPS15</v>
          </cell>
          <cell r="BA2999">
            <v>22.29</v>
          </cell>
        </row>
        <row r="3000">
          <cell r="C3000" t="str">
            <v>4401 - KWIKSET</v>
          </cell>
          <cell r="D3000" t="str">
            <v>KHALPR15</v>
          </cell>
          <cell r="BA3000">
            <v>37.99</v>
          </cell>
        </row>
        <row r="3001">
          <cell r="C3001" t="str">
            <v>4401 - KWIKSET</v>
          </cell>
          <cell r="D3001" t="str">
            <v>KHALDU15</v>
          </cell>
          <cell r="BA3001">
            <v>11.39</v>
          </cell>
        </row>
        <row r="3002">
          <cell r="C3002" t="str">
            <v>4401 - KWIKSET</v>
          </cell>
          <cell r="D3002" t="str">
            <v>K971HFLSQT15</v>
          </cell>
          <cell r="BA3002">
            <v>45.59</v>
          </cell>
        </row>
        <row r="3003">
          <cell r="C3003" t="str">
            <v>4401 - KWIKSET</v>
          </cell>
          <cell r="D3003" t="str">
            <v>KHALEN26SMT</v>
          </cell>
          <cell r="BA3003">
            <v>41.19</v>
          </cell>
        </row>
        <row r="3004">
          <cell r="C3004" t="str">
            <v>4401 - KWIKSET</v>
          </cell>
          <cell r="D3004" t="str">
            <v>KHALSDB26SMT</v>
          </cell>
          <cell r="BA3004">
            <v>30.89</v>
          </cell>
        </row>
        <row r="3005">
          <cell r="C3005" t="str">
            <v>4401 - KWIKSET</v>
          </cell>
          <cell r="D3005" t="str">
            <v>KHALPS26</v>
          </cell>
          <cell r="BA3005">
            <v>22.19</v>
          </cell>
        </row>
        <row r="3006">
          <cell r="C3006" t="str">
            <v>4401 - KWIKSET</v>
          </cell>
          <cell r="D3006" t="str">
            <v>KHALPR26</v>
          </cell>
          <cell r="BA3006">
            <v>23.49</v>
          </cell>
        </row>
        <row r="3007">
          <cell r="C3007" t="str">
            <v>4401 - KWIKSET</v>
          </cell>
          <cell r="D3007" t="str">
            <v>KHALDU26</v>
          </cell>
          <cell r="BA3007">
            <v>11.49</v>
          </cell>
        </row>
        <row r="3008">
          <cell r="C3008" t="str">
            <v>4401 - KWIKSET</v>
          </cell>
          <cell r="D3008" t="str">
            <v>KHALDUM514SQ</v>
          </cell>
          <cell r="BA3008">
            <v>11.49</v>
          </cell>
        </row>
        <row r="3009">
          <cell r="C3009" t="str">
            <v>4401 - KWIKSET</v>
          </cell>
          <cell r="D3009" t="str">
            <v>KHALENT514SQSMT</v>
          </cell>
          <cell r="BA3009">
            <v>40.79</v>
          </cell>
        </row>
        <row r="3010">
          <cell r="C3010" t="str">
            <v>4401 - KWIKSET</v>
          </cell>
          <cell r="D3010" t="str">
            <v>K154HFL5146ALRCS</v>
          </cell>
          <cell r="BA3010">
            <v>22.29</v>
          </cell>
        </row>
        <row r="3011">
          <cell r="C3011" t="str">
            <v>4401 - KWIKSET</v>
          </cell>
          <cell r="D3011" t="str">
            <v>K155HFL5146ALRCS</v>
          </cell>
          <cell r="BA3011">
            <v>23.59</v>
          </cell>
        </row>
        <row r="3012">
          <cell r="C3012" t="str">
            <v>4401 - KWIKSET</v>
          </cell>
          <cell r="D3012" t="str">
            <v>K971HFLSQT514</v>
          </cell>
          <cell r="BA3012">
            <v>41.99</v>
          </cell>
        </row>
        <row r="3013">
          <cell r="C3013" t="str">
            <v>4401 - KWIKSET</v>
          </cell>
          <cell r="D3013" t="str">
            <v>K158SQT514RCAL</v>
          </cell>
          <cell r="BA3013">
            <v>31.79</v>
          </cell>
        </row>
        <row r="3014">
          <cell r="C3014" t="str">
            <v>4401 - KWIKSET</v>
          </cell>
          <cell r="D3014" t="str">
            <v>KHALSCE514SMT</v>
          </cell>
          <cell r="BA3014">
            <v>117.99</v>
          </cell>
        </row>
        <row r="3015">
          <cell r="C3015" t="str">
            <v>4401 - KWIKSET</v>
          </cell>
          <cell r="D3015" t="str">
            <v>KHANEN15SMT</v>
          </cell>
          <cell r="BA3015">
            <v>35.99</v>
          </cell>
        </row>
        <row r="3016">
          <cell r="C3016" t="str">
            <v>4401 - KWIKSET</v>
          </cell>
          <cell r="D3016" t="str">
            <v>K720H15RCLRCSBX</v>
          </cell>
          <cell r="BA3016">
            <v>25.99</v>
          </cell>
        </row>
        <row r="3017">
          <cell r="C3017" t="str">
            <v>4401 - KWIKSET</v>
          </cell>
          <cell r="D3017" t="str">
            <v>KHANPR15</v>
          </cell>
          <cell r="BA3017">
            <v>27.99</v>
          </cell>
        </row>
        <row r="3018">
          <cell r="C3018" t="str">
            <v>4401 - KWIKSET</v>
          </cell>
          <cell r="D3018" t="str">
            <v>KHANDU15</v>
          </cell>
          <cell r="BA3018">
            <v>15.99</v>
          </cell>
        </row>
        <row r="3019">
          <cell r="C3019" t="str">
            <v>4401 - KWIKSET</v>
          </cell>
          <cell r="D3019" t="str">
            <v>KSDB514980</v>
          </cell>
          <cell r="BA3019">
            <v>44.39</v>
          </cell>
        </row>
        <row r="3020">
          <cell r="C3020" t="str">
            <v>4401 - KWIKSET</v>
          </cell>
          <cell r="D3020" t="str">
            <v>KHANDU514</v>
          </cell>
          <cell r="BA3020">
            <v>11.69</v>
          </cell>
        </row>
        <row r="3021">
          <cell r="C3021" t="str">
            <v>4401 - KWIKSET</v>
          </cell>
          <cell r="D3021" t="str">
            <v>KHANPS514</v>
          </cell>
          <cell r="BA3021">
            <v>22.69</v>
          </cell>
        </row>
        <row r="3022">
          <cell r="C3022" t="str">
            <v>4401 - KWIKSET</v>
          </cell>
          <cell r="D3022" t="str">
            <v>KHANPR514</v>
          </cell>
          <cell r="BA3022">
            <v>24.79</v>
          </cell>
        </row>
        <row r="3023">
          <cell r="C3023" t="str">
            <v>4401 - KWIKSET</v>
          </cell>
          <cell r="D3023" t="str">
            <v>KHANEN514SMT</v>
          </cell>
          <cell r="BA3023">
            <v>37.39</v>
          </cell>
        </row>
        <row r="3024">
          <cell r="C3024" t="str">
            <v>4401 - KWIKSET</v>
          </cell>
          <cell r="D3024" t="str">
            <v>KHAWHS15SMT</v>
          </cell>
          <cell r="BA3024">
            <v>144.99</v>
          </cell>
        </row>
        <row r="3025">
          <cell r="C3025" t="str">
            <v>4401 - KWIKSET</v>
          </cell>
          <cell r="D3025" t="str">
            <v>K687HYHLIP15SMT</v>
          </cell>
          <cell r="BA3025">
            <v>53.49</v>
          </cell>
        </row>
        <row r="3026">
          <cell r="C3026" t="str">
            <v>4401 - KWIKSET</v>
          </cell>
          <cell r="D3026" t="str">
            <v>K687HYHLIP514SMT</v>
          </cell>
          <cell r="BA3026">
            <v>53.49</v>
          </cell>
        </row>
        <row r="3027">
          <cell r="C3027" t="str">
            <v>4401 - KWIKSET</v>
          </cell>
          <cell r="D3027" t="str">
            <v>K405LRLSQT15SMT</v>
          </cell>
          <cell r="BA3027">
            <v>26.99</v>
          </cell>
        </row>
        <row r="3028">
          <cell r="C3028" t="str">
            <v>4401 - KWIKSET</v>
          </cell>
          <cell r="D3028" t="str">
            <v>K200LRLSQT15</v>
          </cell>
          <cell r="BA3028">
            <v>17.190000000000001</v>
          </cell>
        </row>
        <row r="3029">
          <cell r="C3029" t="str">
            <v>4401 - KWIKSET</v>
          </cell>
          <cell r="D3029" t="str">
            <v>K300LRLSQT15</v>
          </cell>
          <cell r="BA3029">
            <v>18.59</v>
          </cell>
        </row>
        <row r="3030">
          <cell r="C3030" t="str">
            <v>4401 - KWIKSET</v>
          </cell>
          <cell r="D3030" t="str">
            <v>K488LRLSQTLH15</v>
          </cell>
          <cell r="BA3030">
            <v>9.2899999999999991</v>
          </cell>
        </row>
        <row r="3031">
          <cell r="C3031" t="str">
            <v>4401 - KWIKSET</v>
          </cell>
          <cell r="D3031" t="str">
            <v>K488LRLSQTRH15</v>
          </cell>
          <cell r="BA3031">
            <v>9.2899999999999991</v>
          </cell>
        </row>
        <row r="3032">
          <cell r="C3032" t="str">
            <v>4401 - KWIKSET</v>
          </cell>
          <cell r="D3032" t="str">
            <v>K966LRLSQT15R</v>
          </cell>
          <cell r="BA3032">
            <v>23.19</v>
          </cell>
        </row>
        <row r="3033">
          <cell r="C3033" t="str">
            <v>4401 - KWIKSET</v>
          </cell>
          <cell r="D3033" t="str">
            <v>K966LRLSQT15L</v>
          </cell>
          <cell r="BA3033">
            <v>23.19</v>
          </cell>
        </row>
        <row r="3034">
          <cell r="C3034" t="str">
            <v>4401 - KWIKSET</v>
          </cell>
          <cell r="D3034" t="str">
            <v>K488LRLSQT514L</v>
          </cell>
          <cell r="BA3034">
            <v>9.2899999999999991</v>
          </cell>
        </row>
        <row r="3035">
          <cell r="C3035" t="str">
            <v>4401 - KWIKSET</v>
          </cell>
          <cell r="D3035" t="str">
            <v>K488LRLSQT514R</v>
          </cell>
          <cell r="BA3035">
            <v>9.2899999999999991</v>
          </cell>
        </row>
        <row r="3036">
          <cell r="C3036" t="str">
            <v>4401 - KWIKSET</v>
          </cell>
          <cell r="D3036" t="str">
            <v>K200LRLSQT514</v>
          </cell>
          <cell r="BA3036">
            <v>16.89</v>
          </cell>
        </row>
        <row r="3037">
          <cell r="C3037" t="str">
            <v>4401 - KWIKSET</v>
          </cell>
          <cell r="D3037" t="str">
            <v>K300LRLSQT514</v>
          </cell>
          <cell r="BA3037">
            <v>18.39</v>
          </cell>
        </row>
        <row r="3038">
          <cell r="C3038" t="str">
            <v>4401 - KWIKSET</v>
          </cell>
          <cell r="D3038" t="str">
            <v>K966LRLSQT514R</v>
          </cell>
          <cell r="BA3038">
            <v>23.19</v>
          </cell>
        </row>
        <row r="3039">
          <cell r="C3039" t="str">
            <v>4401 - KWIKSET</v>
          </cell>
          <cell r="D3039" t="str">
            <v>K966LRLSQT514L</v>
          </cell>
          <cell r="BA3039">
            <v>20.69</v>
          </cell>
        </row>
        <row r="3040">
          <cell r="C3040" t="str">
            <v>4401 - KWIKSET</v>
          </cell>
          <cell r="D3040" t="str">
            <v>K405LRLSQT514SMT</v>
          </cell>
          <cell r="BA3040">
            <v>22.89</v>
          </cell>
        </row>
        <row r="3041">
          <cell r="C3041" t="str">
            <v>4401 - KWIKSET</v>
          </cell>
          <cell r="D3041" t="str">
            <v>K788MILRDT15</v>
          </cell>
          <cell r="BA3041">
            <v>16.39</v>
          </cell>
        </row>
        <row r="3042">
          <cell r="C3042" t="str">
            <v>4401 - KWIKSET</v>
          </cell>
          <cell r="D3042" t="str">
            <v>K740MILRDT15SMT</v>
          </cell>
          <cell r="BA3042">
            <v>56.99</v>
          </cell>
        </row>
        <row r="3043">
          <cell r="C3043" t="str">
            <v>4401 - KWIKSET</v>
          </cell>
          <cell r="D3043" t="str">
            <v>K720MILRDT15</v>
          </cell>
          <cell r="BA3043">
            <v>32.69</v>
          </cell>
        </row>
        <row r="3044">
          <cell r="C3044" t="str">
            <v>4401 - KWIKSET</v>
          </cell>
          <cell r="D3044" t="str">
            <v>K730MILRDT15</v>
          </cell>
          <cell r="BA3044">
            <v>34.29</v>
          </cell>
        </row>
        <row r="3045">
          <cell r="C3045" t="str">
            <v>4401 - KWIKSET</v>
          </cell>
          <cell r="D3045" t="str">
            <v>K740PSKRDT514SMT</v>
          </cell>
          <cell r="BA3045">
            <v>44.99</v>
          </cell>
        </row>
        <row r="3046">
          <cell r="C3046" t="str">
            <v>4401 - KWIKSET</v>
          </cell>
          <cell r="D3046" t="str">
            <v>K730PSKRDT514</v>
          </cell>
          <cell r="BA3046">
            <v>34.99</v>
          </cell>
        </row>
        <row r="3047">
          <cell r="C3047" t="str">
            <v>4401 - KWIKSET</v>
          </cell>
          <cell r="D3047" t="str">
            <v>K720PSKRDT514</v>
          </cell>
          <cell r="BA3047">
            <v>29.99</v>
          </cell>
        </row>
        <row r="3048">
          <cell r="C3048" t="str">
            <v>4401 - KWIKSET</v>
          </cell>
          <cell r="D3048" t="str">
            <v>KPOLENSDB3</v>
          </cell>
          <cell r="BA3048">
            <v>31.99</v>
          </cell>
        </row>
        <row r="3049">
          <cell r="C3049" t="str">
            <v>4401 - KWIKSET</v>
          </cell>
          <cell r="D3049" t="str">
            <v>KPOLEN3CP</v>
          </cell>
          <cell r="BA3049">
            <v>16.989999999999998</v>
          </cell>
        </row>
        <row r="3050">
          <cell r="C3050" t="str">
            <v>4401 - KWIKSET</v>
          </cell>
          <cell r="D3050" t="str">
            <v>KPOLPS3CP</v>
          </cell>
          <cell r="BA3050">
            <v>13.99</v>
          </cell>
        </row>
        <row r="3051">
          <cell r="C3051" t="str">
            <v>4401 - KWIKSET</v>
          </cell>
          <cell r="D3051" t="str">
            <v>KPOLEN11P</v>
          </cell>
          <cell r="BA3051">
            <v>19.989999999999998</v>
          </cell>
        </row>
        <row r="3052">
          <cell r="C3052" t="str">
            <v>4401 - KWIKSET</v>
          </cell>
          <cell r="D3052" t="str">
            <v>KPOLPS11P</v>
          </cell>
          <cell r="BA3052">
            <v>15.99</v>
          </cell>
        </row>
        <row r="3053">
          <cell r="C3053" t="str">
            <v>4401 - KWIKSET</v>
          </cell>
          <cell r="D3053" t="str">
            <v>KPOLPR11P</v>
          </cell>
          <cell r="BA3053">
            <v>18.989999999999998</v>
          </cell>
        </row>
        <row r="3054">
          <cell r="C3054" t="str">
            <v>4401 - KWIKSET</v>
          </cell>
          <cell r="D3054" t="str">
            <v>KPOLEN15SMT</v>
          </cell>
          <cell r="BA3054">
            <v>27.99</v>
          </cell>
        </row>
        <row r="3055">
          <cell r="C3055" t="str">
            <v>4401 - KWIKSET</v>
          </cell>
          <cell r="D3055" t="str">
            <v>KPOLENSDB15</v>
          </cell>
          <cell r="BA3055">
            <v>34.99</v>
          </cell>
        </row>
        <row r="3056">
          <cell r="C3056" t="str">
            <v>4401 - KWIKSET</v>
          </cell>
          <cell r="D3056" t="str">
            <v>K200P15CP</v>
          </cell>
          <cell r="BA3056">
            <v>14.99</v>
          </cell>
        </row>
        <row r="3057">
          <cell r="C3057" t="str">
            <v>4401 - KWIKSET</v>
          </cell>
          <cell r="D3057" t="str">
            <v>KPOLIT15604</v>
          </cell>
          <cell r="BA3057">
            <v>37.99</v>
          </cell>
        </row>
        <row r="3058">
          <cell r="C3058" t="str">
            <v>4401 - KWIKSET</v>
          </cell>
          <cell r="D3058" t="str">
            <v>K300P15RCLRCSBX</v>
          </cell>
          <cell r="BA3058">
            <v>22.99</v>
          </cell>
        </row>
        <row r="3059">
          <cell r="C3059" t="str">
            <v>4401 - KWIKSET</v>
          </cell>
          <cell r="D3059" t="str">
            <v>KPOLPR15CP</v>
          </cell>
          <cell r="BA3059">
            <v>17.989999999999998</v>
          </cell>
        </row>
        <row r="3060">
          <cell r="C3060" t="str">
            <v>4401 - KWIKSET</v>
          </cell>
          <cell r="D3060" t="str">
            <v>KPOLDU15</v>
          </cell>
          <cell r="BA3060">
            <v>10.99</v>
          </cell>
        </row>
        <row r="3061">
          <cell r="C3061" t="str">
            <v>4401 - KWIKSET</v>
          </cell>
          <cell r="D3061" t="str">
            <v>KS400P15CPK6</v>
          </cell>
          <cell r="BA3061">
            <v>19.989999999999998</v>
          </cell>
        </row>
        <row r="3062">
          <cell r="C3062" t="str">
            <v>4401 - KWIKSET</v>
          </cell>
          <cell r="D3062" t="str">
            <v>KTAVHS11PSMT</v>
          </cell>
          <cell r="BA3062">
            <v>176.99</v>
          </cell>
        </row>
        <row r="3063">
          <cell r="C3063" t="str">
            <v>4401 - KWIKSET</v>
          </cell>
          <cell r="D3063" t="str">
            <v>KTAVHS15SMT</v>
          </cell>
          <cell r="BA3063">
            <v>145.99</v>
          </cell>
        </row>
        <row r="3064">
          <cell r="C3064" t="str">
            <v>4401 - KWIKSET</v>
          </cell>
          <cell r="D3064" t="str">
            <v>K800TVHLIP514SMT</v>
          </cell>
          <cell r="BA3064">
            <v>89.49</v>
          </cell>
        </row>
        <row r="3065">
          <cell r="C3065" t="str">
            <v>4401 - KWIKSET</v>
          </cell>
          <cell r="D3065" t="str">
            <v>KTUSEN11PSMTCP</v>
          </cell>
          <cell r="BA3065">
            <v>52.99</v>
          </cell>
        </row>
        <row r="3066">
          <cell r="C3066" t="str">
            <v>4401 - KWIKSET</v>
          </cell>
          <cell r="D3066" t="str">
            <v>KTUSPS11PCP</v>
          </cell>
          <cell r="BA3066">
            <v>37.99</v>
          </cell>
        </row>
        <row r="3067">
          <cell r="C3067" t="str">
            <v>4401 - KWIKSET</v>
          </cell>
          <cell r="D3067" t="str">
            <v>K730TNL11PCP</v>
          </cell>
          <cell r="BA3067">
            <v>39.99</v>
          </cell>
        </row>
        <row r="3068">
          <cell r="C3068" t="str">
            <v>4401 - KWIKSET</v>
          </cell>
          <cell r="D3068" t="str">
            <v>KTUSDU11PLCP</v>
          </cell>
          <cell r="BA3068">
            <v>19.989999999999998</v>
          </cell>
        </row>
        <row r="3069">
          <cell r="C3069" t="str">
            <v>4401 - KWIKSET</v>
          </cell>
          <cell r="D3069" t="str">
            <v>KTUSEN15SMT</v>
          </cell>
          <cell r="BA3069">
            <v>49.99</v>
          </cell>
        </row>
        <row r="3070">
          <cell r="C3070" t="str">
            <v>4401 - KWIKSET</v>
          </cell>
          <cell r="D3070" t="str">
            <v>KTUSEN15SMTNK</v>
          </cell>
          <cell r="BA3070">
            <v>74.989999999999995</v>
          </cell>
        </row>
        <row r="3071">
          <cell r="C3071" t="str">
            <v>4401 - KWIKSET</v>
          </cell>
          <cell r="D3071" t="str">
            <v>K740TNL15SMTCP</v>
          </cell>
          <cell r="BA3071">
            <v>52.99</v>
          </cell>
        </row>
        <row r="3072">
          <cell r="C3072" t="str">
            <v>4401 - KWIKSET</v>
          </cell>
          <cell r="D3072" t="str">
            <v>KTUSIT15R</v>
          </cell>
          <cell r="BA3072">
            <v>54.99</v>
          </cell>
        </row>
        <row r="3073">
          <cell r="C3073" t="str">
            <v>4401 - KWIKSET</v>
          </cell>
          <cell r="D3073" t="str">
            <v>KTUSIT15L</v>
          </cell>
          <cell r="BA3073">
            <v>49.99</v>
          </cell>
        </row>
        <row r="3074">
          <cell r="C3074" t="str">
            <v>4401 - KWIKSET</v>
          </cell>
          <cell r="D3074" t="str">
            <v>KTUSPS15</v>
          </cell>
          <cell r="BA3074">
            <v>37.99</v>
          </cell>
        </row>
        <row r="3075">
          <cell r="C3075" t="str">
            <v>4401 - KWIKSET</v>
          </cell>
          <cell r="D3075" t="str">
            <v>KTUSPS15CP</v>
          </cell>
          <cell r="BA3075">
            <v>34.99</v>
          </cell>
        </row>
        <row r="3076">
          <cell r="C3076" t="str">
            <v>4401 - KWIKSET</v>
          </cell>
          <cell r="D3076" t="str">
            <v>KTUSPR15</v>
          </cell>
          <cell r="BA3076">
            <v>37.99</v>
          </cell>
        </row>
        <row r="3077">
          <cell r="C3077" t="str">
            <v>4401 - KWIKSET</v>
          </cell>
          <cell r="D3077" t="str">
            <v>KTUSPR15CP</v>
          </cell>
          <cell r="BA3077">
            <v>37.99</v>
          </cell>
        </row>
        <row r="3078">
          <cell r="C3078" t="str">
            <v>4401 - KWIKSET</v>
          </cell>
          <cell r="D3078" t="str">
            <v>KTUSDU15R</v>
          </cell>
          <cell r="BA3078">
            <v>22.99</v>
          </cell>
        </row>
        <row r="3079">
          <cell r="C3079" t="str">
            <v>4401 - KWIKSET</v>
          </cell>
          <cell r="D3079" t="str">
            <v>KTUSDU15L</v>
          </cell>
          <cell r="BA3079">
            <v>22.99</v>
          </cell>
        </row>
        <row r="3080">
          <cell r="C3080" t="str">
            <v>4401 - KWIKSET</v>
          </cell>
          <cell r="D3080" t="str">
            <v>KTUSEN514SMT</v>
          </cell>
          <cell r="BA3080">
            <v>45.49</v>
          </cell>
        </row>
        <row r="3081">
          <cell r="C3081" t="str">
            <v>4401 - KWIKSET</v>
          </cell>
          <cell r="D3081" t="str">
            <v>KTUSPR514</v>
          </cell>
          <cell r="BA3081">
            <v>24.39</v>
          </cell>
        </row>
        <row r="3082">
          <cell r="C3082" t="str">
            <v>4401 - KWIKSET</v>
          </cell>
          <cell r="D3082" t="str">
            <v>KTUSPS514</v>
          </cell>
          <cell r="BA3082">
            <v>21.99</v>
          </cell>
        </row>
        <row r="3083">
          <cell r="C3083" t="str">
            <v>4401 - KWIKSET</v>
          </cell>
          <cell r="D3083" t="str">
            <v>KTUSDU514L</v>
          </cell>
          <cell r="BA3083">
            <v>9.39</v>
          </cell>
        </row>
        <row r="3084">
          <cell r="C3084" t="str">
            <v>4401 - KWIKSET</v>
          </cell>
          <cell r="D3084" t="str">
            <v>KTUSDU514R</v>
          </cell>
          <cell r="BA3084">
            <v>9.39</v>
          </cell>
        </row>
        <row r="3085">
          <cell r="C3085" t="str">
            <v>4401 - KWIKSET</v>
          </cell>
          <cell r="D3085" t="str">
            <v>KTUSIT514L</v>
          </cell>
          <cell r="BA3085">
            <v>37.090000000000003</v>
          </cell>
        </row>
        <row r="3086">
          <cell r="C3086" t="str">
            <v>4401 - KWIKSET</v>
          </cell>
          <cell r="D3086" t="str">
            <v>KTUSIT514R</v>
          </cell>
          <cell r="BA3086">
            <v>37.090000000000003</v>
          </cell>
        </row>
        <row r="3087">
          <cell r="C3087" t="str">
            <v>4401 - KWIKSET</v>
          </cell>
          <cell r="D3087" t="str">
            <v>K991TNL11P</v>
          </cell>
          <cell r="BA3087">
            <v>79.989999999999995</v>
          </cell>
        </row>
        <row r="3088">
          <cell r="C3088" t="str">
            <v>4401 - KWIKSET</v>
          </cell>
          <cell r="D3088" t="str">
            <v>KTYLEN3CP</v>
          </cell>
          <cell r="BA3088">
            <v>12.99</v>
          </cell>
        </row>
        <row r="3089">
          <cell r="C3089" t="str">
            <v>4401 - KWIKSET</v>
          </cell>
          <cell r="D3089" t="str">
            <v>KTYLEN3KA2</v>
          </cell>
          <cell r="BA3089">
            <v>24.99</v>
          </cell>
        </row>
        <row r="3090">
          <cell r="C3090" t="str">
            <v>4401 - KWIKSET</v>
          </cell>
          <cell r="D3090" t="str">
            <v>KTYLENDB3CP</v>
          </cell>
          <cell r="BA3090">
            <v>25.99</v>
          </cell>
        </row>
        <row r="3091">
          <cell r="C3091" t="str">
            <v>4401 - KWIKSET</v>
          </cell>
          <cell r="D3091" t="str">
            <v>KTYLPS3CP</v>
          </cell>
          <cell r="BA3091">
            <v>12.99</v>
          </cell>
        </row>
        <row r="3092">
          <cell r="C3092" t="str">
            <v>4401 - KWIKSET</v>
          </cell>
          <cell r="D3092" t="str">
            <v>KTYLPR3CP</v>
          </cell>
          <cell r="BA3092">
            <v>11.99</v>
          </cell>
        </row>
        <row r="3093">
          <cell r="C3093" t="str">
            <v>4401 - KWIKSET</v>
          </cell>
          <cell r="D3093" t="str">
            <v>KTYLPS5CP</v>
          </cell>
          <cell r="BA3093">
            <v>12.99</v>
          </cell>
        </row>
        <row r="3094">
          <cell r="C3094" t="str">
            <v>4401 - KWIKSET</v>
          </cell>
          <cell r="D3094" t="str">
            <v>KTYLPR5CP</v>
          </cell>
          <cell r="BA3094">
            <v>13.99</v>
          </cell>
        </row>
        <row r="3095">
          <cell r="C3095" t="str">
            <v>4401 - KWIKSET</v>
          </cell>
          <cell r="D3095" t="str">
            <v>KTYLEN15</v>
          </cell>
          <cell r="BA3095">
            <v>16.989999999999998</v>
          </cell>
        </row>
        <row r="3096">
          <cell r="C3096" t="str">
            <v>4401 - KWIKSET</v>
          </cell>
          <cell r="D3096" t="str">
            <v>KTYLC15</v>
          </cell>
          <cell r="BA3096">
            <v>34.99</v>
          </cell>
        </row>
        <row r="3097">
          <cell r="C3097" t="str">
            <v>4401 - KWIKSET</v>
          </cell>
          <cell r="D3097" t="str">
            <v>KTYLPS15</v>
          </cell>
          <cell r="BA3097">
            <v>12.99</v>
          </cell>
        </row>
        <row r="3098">
          <cell r="C3098" t="str">
            <v>4401 - KWIKSET</v>
          </cell>
          <cell r="D3098" t="str">
            <v>KTYLPR15</v>
          </cell>
          <cell r="BA3098">
            <v>16.989999999999998</v>
          </cell>
        </row>
        <row r="3099">
          <cell r="C3099" t="str">
            <v>4401 - KWIKSET</v>
          </cell>
          <cell r="D3099" t="str">
            <v>KTYLEN26DCP</v>
          </cell>
          <cell r="BA3099">
            <v>15.99</v>
          </cell>
        </row>
        <row r="3100">
          <cell r="C3100" t="str">
            <v>4401 - KWIKSET</v>
          </cell>
          <cell r="D3100" t="str">
            <v>KTYLPS26DCP</v>
          </cell>
          <cell r="BA3100">
            <v>12.99</v>
          </cell>
        </row>
        <row r="3101">
          <cell r="C3101" t="str">
            <v>4401 - KWIKSET</v>
          </cell>
          <cell r="D3101" t="str">
            <v>KTYLPR26DCP</v>
          </cell>
          <cell r="BA3101">
            <v>12.99</v>
          </cell>
        </row>
        <row r="3102">
          <cell r="C3102" t="str">
            <v>4401 - KWIKSET</v>
          </cell>
          <cell r="D3102" t="str">
            <v>KS400T5CPK6</v>
          </cell>
          <cell r="BA3102">
            <v>15.99</v>
          </cell>
        </row>
        <row r="3103">
          <cell r="C3103" t="str">
            <v>4401 - KWIKSET</v>
          </cell>
          <cell r="D3103" t="str">
            <v>KTYLC5</v>
          </cell>
          <cell r="BA3103">
            <v>31.99</v>
          </cell>
        </row>
        <row r="3104">
          <cell r="C3104" t="str">
            <v>4401 - KWIKSET</v>
          </cell>
          <cell r="D3104" t="str">
            <v>K690T26DCP6ALRCS</v>
          </cell>
          <cell r="BA3104">
            <v>29.99</v>
          </cell>
        </row>
        <row r="3105">
          <cell r="C3105" t="str">
            <v>4401 - KWIKSET</v>
          </cell>
          <cell r="D3105" t="str">
            <v>KPOCRDPR11P335</v>
          </cell>
          <cell r="BA3105">
            <v>25.99</v>
          </cell>
        </row>
        <row r="3106">
          <cell r="C3106" t="str">
            <v>4401 - KWIKSET</v>
          </cell>
          <cell r="D3106" t="str">
            <v>KPOCPR10B335</v>
          </cell>
          <cell r="BA3106">
            <v>23.39</v>
          </cell>
        </row>
        <row r="3107">
          <cell r="C3107" t="str">
            <v>4401 - KWIKSET</v>
          </cell>
          <cell r="D3107" t="str">
            <v>KPOCPS15334</v>
          </cell>
          <cell r="BA3107">
            <v>25.99</v>
          </cell>
        </row>
        <row r="3108">
          <cell r="C3108" t="str">
            <v>4401 - KWIKSET</v>
          </cell>
          <cell r="D3108" t="str">
            <v>KDDB3CP</v>
          </cell>
          <cell r="BA3108">
            <v>19.989999999999998</v>
          </cell>
        </row>
        <row r="3109">
          <cell r="C3109" t="str">
            <v>4401 - KWIKSET</v>
          </cell>
          <cell r="D3109" t="str">
            <v>KSDB5</v>
          </cell>
          <cell r="BA3109">
            <v>17.989999999999998</v>
          </cell>
        </row>
        <row r="3110">
          <cell r="C3110" t="str">
            <v>4401 - KWIKSET</v>
          </cell>
          <cell r="D3110" t="str">
            <v>KDDB5</v>
          </cell>
          <cell r="BA3110">
            <v>20.99</v>
          </cell>
        </row>
        <row r="3111">
          <cell r="C3111" t="str">
            <v>4401 - KWIKSET</v>
          </cell>
          <cell r="D3111" t="str">
            <v>K660SQ15SMT5303</v>
          </cell>
          <cell r="BA3111">
            <v>24.39</v>
          </cell>
        </row>
        <row r="3112">
          <cell r="C3112" t="str">
            <v>4401 - KWIKSET</v>
          </cell>
          <cell r="D3112" t="str">
            <v>K660514SMT5303K3</v>
          </cell>
          <cell r="BA3112">
            <v>21.39</v>
          </cell>
        </row>
        <row r="3113">
          <cell r="C3113" t="str">
            <v>4401 - KWIKSET</v>
          </cell>
          <cell r="D3113" t="str">
            <v>K66011PSMT</v>
          </cell>
          <cell r="BA3113">
            <v>25.99</v>
          </cell>
        </row>
        <row r="3114">
          <cell r="C3114" t="str">
            <v>4401 - KWIKSET</v>
          </cell>
          <cell r="D3114" t="str">
            <v>K66011PSMTCPK6V2</v>
          </cell>
          <cell r="BA3114">
            <v>19.989999999999998</v>
          </cell>
        </row>
        <row r="3115">
          <cell r="C3115" t="str">
            <v>4401 - KWIKSET</v>
          </cell>
          <cell r="D3115" t="str">
            <v>K66015SMT</v>
          </cell>
          <cell r="BA3115">
            <v>25.99</v>
          </cell>
        </row>
        <row r="3116">
          <cell r="C3116" t="str">
            <v>4401 - KWIKSET</v>
          </cell>
          <cell r="D3116" t="str">
            <v>K66026DCPRCALRCS</v>
          </cell>
          <cell r="BA3116">
            <v>16.989999999999998</v>
          </cell>
        </row>
        <row r="3117">
          <cell r="C3117" t="str">
            <v>4401 - KWIKSET</v>
          </cell>
          <cell r="D3117" t="str">
            <v>K66026DSMTCPRCAL</v>
          </cell>
          <cell r="BA3117">
            <v>16.989999999999998</v>
          </cell>
        </row>
        <row r="3118">
          <cell r="C3118" t="str">
            <v>4401 - KWIKSET</v>
          </cell>
          <cell r="D3118" t="str">
            <v>K6603SMTCPRCALK6</v>
          </cell>
          <cell r="BA3118">
            <v>15.99</v>
          </cell>
        </row>
        <row r="3119">
          <cell r="C3119" t="str">
            <v>4401 - KWIKSET</v>
          </cell>
          <cell r="D3119" t="str">
            <v>K660SMTDB514SQ</v>
          </cell>
          <cell r="BA3119">
            <v>26.09</v>
          </cell>
        </row>
        <row r="3120">
          <cell r="C3120" t="str">
            <v>4401 - KWIKSET</v>
          </cell>
          <cell r="D3120" t="str">
            <v>KSDB11P780SMT</v>
          </cell>
          <cell r="BA3120">
            <v>49.99</v>
          </cell>
        </row>
        <row r="3121">
          <cell r="C3121" t="str">
            <v>4401 - KWIKSET</v>
          </cell>
          <cell r="D3121" t="str">
            <v>KSDB11P780</v>
          </cell>
          <cell r="BA3121">
            <v>46.79</v>
          </cell>
        </row>
        <row r="3122">
          <cell r="C3122" t="str">
            <v>4401 - KWIKSET</v>
          </cell>
          <cell r="D3122" t="str">
            <v>KSDB11P</v>
          </cell>
          <cell r="BA3122">
            <v>18.989999999999998</v>
          </cell>
        </row>
        <row r="3123">
          <cell r="C3123" t="str">
            <v>4401 - KWIKSET</v>
          </cell>
          <cell r="D3123" t="str">
            <v>KSDB66015SMT</v>
          </cell>
          <cell r="BA3123">
            <v>18.989999999999998</v>
          </cell>
        </row>
        <row r="3124">
          <cell r="C3124" t="str">
            <v>4401 - KWIKSET</v>
          </cell>
          <cell r="D3124" t="str">
            <v>KSDB158SQT11PSMT</v>
          </cell>
          <cell r="BA3124">
            <v>42.99</v>
          </cell>
        </row>
        <row r="3125">
          <cell r="C3125" t="str">
            <v>4401 - KWIKSET</v>
          </cell>
          <cell r="D3125" t="str">
            <v>K258RDT514SMT</v>
          </cell>
          <cell r="BA3125">
            <v>44.99</v>
          </cell>
        </row>
        <row r="3126">
          <cell r="C3126" t="str">
            <v>4401 - KWIKSET</v>
          </cell>
          <cell r="D3126" t="str">
            <v>KDDBKC15SMT</v>
          </cell>
          <cell r="BA3126">
            <v>43.39</v>
          </cell>
        </row>
        <row r="3127">
          <cell r="C3127" t="str">
            <v>4401 - KWIKSET</v>
          </cell>
          <cell r="D3127" t="str">
            <v>K158RDT514SMT</v>
          </cell>
          <cell r="BA3127">
            <v>25.49</v>
          </cell>
        </row>
        <row r="3128">
          <cell r="C3128" t="str">
            <v>4401 - KWIKSET</v>
          </cell>
          <cell r="D3128" t="str">
            <v>K158RDT15SMT</v>
          </cell>
          <cell r="BA3128">
            <v>25.49</v>
          </cell>
        </row>
        <row r="3129">
          <cell r="C3129" t="str">
            <v>4401 - KWIKSET</v>
          </cell>
          <cell r="D3129" t="str">
            <v>K9800WIFITSCR514</v>
          </cell>
          <cell r="BA3129">
            <v>241.99</v>
          </cell>
        </row>
        <row r="3130">
          <cell r="C3130" t="str">
            <v>4401 - KWIKSET</v>
          </cell>
          <cell r="D3130" t="str">
            <v>K9800WIFITSCR15</v>
          </cell>
          <cell r="BA3130">
            <v>241.99</v>
          </cell>
        </row>
        <row r="3131">
          <cell r="C3131" t="str">
            <v>4401 - KWIKSET</v>
          </cell>
          <cell r="D3131" t="str">
            <v>KSDB15780</v>
          </cell>
          <cell r="BA3131">
            <v>39.69</v>
          </cell>
        </row>
        <row r="3132">
          <cell r="C3132" t="str">
            <v>4401 - KWIKSET</v>
          </cell>
          <cell r="D3132" t="str">
            <v>KSDB15CP</v>
          </cell>
          <cell r="BA3132">
            <v>17.989999999999998</v>
          </cell>
        </row>
        <row r="3133">
          <cell r="C3133" t="str">
            <v>4401 - KWIKSET</v>
          </cell>
          <cell r="D3133" t="str">
            <v>KSDB26SMTRCAL</v>
          </cell>
          <cell r="BA3133">
            <v>31.79</v>
          </cell>
        </row>
        <row r="3134">
          <cell r="C3134" t="str">
            <v>4401 - KWIKSET</v>
          </cell>
          <cell r="D3134" t="str">
            <v>KHC620ZW15SMT</v>
          </cell>
          <cell r="BA3134">
            <v>135.99</v>
          </cell>
        </row>
        <row r="3135">
          <cell r="C3135" t="str">
            <v>4401 - KWIKSET</v>
          </cell>
          <cell r="D3135" t="str">
            <v>KHC620ZW11PSMT</v>
          </cell>
          <cell r="BA3135">
            <v>135.99</v>
          </cell>
        </row>
        <row r="3136">
          <cell r="C3136" t="str">
            <v>4401 - KWIKSET</v>
          </cell>
          <cell r="D3136" t="str">
            <v>KHC620CZW514SMT</v>
          </cell>
          <cell r="BA3136">
            <v>135.99</v>
          </cell>
        </row>
        <row r="3137">
          <cell r="C3137" t="str">
            <v>4401 - KWIKSET</v>
          </cell>
          <cell r="D3137" t="str">
            <v>KHC620CZW15SMT</v>
          </cell>
          <cell r="BA3137">
            <v>135.99</v>
          </cell>
        </row>
        <row r="3138">
          <cell r="C3138" t="str">
            <v>4401 - KWIKSET</v>
          </cell>
          <cell r="D3138" t="str">
            <v>KHC620CZW11PSMT</v>
          </cell>
          <cell r="BA3138">
            <v>135.99</v>
          </cell>
        </row>
        <row r="3139">
          <cell r="C3139" t="str">
            <v>4401 - KWIKSET</v>
          </cell>
          <cell r="D3139" t="str">
            <v>KHC620CZW26SMT</v>
          </cell>
          <cell r="BA3139">
            <v>135.99</v>
          </cell>
        </row>
        <row r="3140">
          <cell r="C3140" t="str">
            <v>4401 - KWIKSET</v>
          </cell>
          <cell r="D3140" t="str">
            <v>KSCEHALHS15SMT</v>
          </cell>
          <cell r="BA3140">
            <v>169.99</v>
          </cell>
        </row>
        <row r="3141">
          <cell r="C3141" t="str">
            <v>4401 - KWIKSET</v>
          </cell>
          <cell r="D3141" t="str">
            <v>K814SCELIP514</v>
          </cell>
          <cell r="BA3141">
            <v>119.99</v>
          </cell>
        </row>
        <row r="3142">
          <cell r="C3142" t="str">
            <v>4401 - KWIKSET</v>
          </cell>
          <cell r="D3142" t="str">
            <v>K814SCELIP15</v>
          </cell>
          <cell r="BA3142">
            <v>114.99</v>
          </cell>
        </row>
        <row r="3143">
          <cell r="C3143" t="str">
            <v>4401 - KWIKSET</v>
          </cell>
          <cell r="D3143" t="str">
            <v>KJUNPSBB</v>
          </cell>
          <cell r="BA3143">
            <v>21.99</v>
          </cell>
        </row>
        <row r="3144">
          <cell r="C3144" t="str">
            <v>4401 - KWIKSET</v>
          </cell>
          <cell r="D3144" t="str">
            <v>KJUNPRBB</v>
          </cell>
          <cell r="BA3144">
            <v>22.99</v>
          </cell>
        </row>
        <row r="3145">
          <cell r="C3145" t="str">
            <v>4401 - KWIKSET</v>
          </cell>
          <cell r="D3145" t="str">
            <v>KJUNENBB</v>
          </cell>
          <cell r="BA3145">
            <v>27.99</v>
          </cell>
        </row>
        <row r="3146">
          <cell r="C3146" t="str">
            <v>4401 - KWIKSET</v>
          </cell>
          <cell r="D3146" t="str">
            <v>KJUNPSSN</v>
          </cell>
          <cell r="BA3146">
            <v>22.99</v>
          </cell>
        </row>
        <row r="3147">
          <cell r="C3147" t="str">
            <v>4401 - KWIKSET</v>
          </cell>
          <cell r="D3147" t="str">
            <v>KJUNPRSN</v>
          </cell>
          <cell r="BA3147">
            <v>22.99</v>
          </cell>
        </row>
        <row r="3148">
          <cell r="C3148" t="str">
            <v>4401 - KWIKSET</v>
          </cell>
          <cell r="D3148" t="str">
            <v>KJUNENSN</v>
          </cell>
          <cell r="BA3148">
            <v>31.99</v>
          </cell>
        </row>
        <row r="3149">
          <cell r="C3149" t="str">
            <v>4401 - KWIKSET</v>
          </cell>
          <cell r="D3149" t="str">
            <v>KJUNPRVB</v>
          </cell>
          <cell r="BA3149">
            <v>25.99</v>
          </cell>
        </row>
        <row r="3150">
          <cell r="C3150" t="str">
            <v>4401 - KWIKSET</v>
          </cell>
          <cell r="D3150" t="str">
            <v>KJUNEC11P</v>
          </cell>
          <cell r="BA3150">
            <v>62.99</v>
          </cell>
        </row>
        <row r="3151">
          <cell r="C3151" t="str">
            <v>4401 - KWIKSET</v>
          </cell>
          <cell r="D3151" t="str">
            <v>KJUNENTSMTPB3</v>
          </cell>
          <cell r="BA3151">
            <v>149.99</v>
          </cell>
        </row>
        <row r="3152">
          <cell r="C3152" t="str">
            <v>4401 - KWIKSET</v>
          </cell>
          <cell r="D3152" t="str">
            <v>KS991J3SMTCP</v>
          </cell>
          <cell r="BA3152">
            <v>54.99</v>
          </cell>
        </row>
        <row r="3153">
          <cell r="C3153" t="str">
            <v>4401 - KWIKSET</v>
          </cell>
          <cell r="D3153" t="str">
            <v>K83262-001</v>
          </cell>
          <cell r="BA3153">
            <v>11.99</v>
          </cell>
        </row>
        <row r="3154">
          <cell r="C3154" t="str">
            <v>4401 - KWIKSET</v>
          </cell>
          <cell r="D3154" t="str">
            <v>K83223-514</v>
          </cell>
          <cell r="BA3154">
            <v>6.19</v>
          </cell>
        </row>
        <row r="3155">
          <cell r="C3155" t="str">
            <v>4401 - KWIKSET</v>
          </cell>
          <cell r="D3155" t="str">
            <v>K335514</v>
          </cell>
          <cell r="BA3155">
            <v>26.09</v>
          </cell>
        </row>
        <row r="3156">
          <cell r="C3156" t="str">
            <v>4401 - KWIKSET</v>
          </cell>
          <cell r="D3156" t="str">
            <v>K334514</v>
          </cell>
          <cell r="BA3156">
            <v>21.19</v>
          </cell>
        </row>
        <row r="3157">
          <cell r="C3157" t="str">
            <v>4401 - KWIKSET</v>
          </cell>
          <cell r="D3157" t="str">
            <v>SHRTSHACKLE</v>
          </cell>
          <cell r="BA3157">
            <v>17.989999999999998</v>
          </cell>
        </row>
        <row r="3158">
          <cell r="C3158" t="str">
            <v>4402 - SCHLAGE</v>
          </cell>
          <cell r="D3158" t="str">
            <v>SCONLOCK</v>
          </cell>
          <cell r="BA3158">
            <v>23.49</v>
          </cell>
        </row>
        <row r="3159">
          <cell r="C3159" t="str">
            <v>4402 - SCHLAGE</v>
          </cell>
          <cell r="D3159" t="str">
            <v>SACCEN11PREV</v>
          </cell>
          <cell r="BA3159">
            <v>57.99</v>
          </cell>
        </row>
        <row r="3160">
          <cell r="C3160" t="str">
            <v>4402 - SCHLAGE</v>
          </cell>
          <cell r="D3160" t="str">
            <v>SACCPS11PVP</v>
          </cell>
          <cell r="BA3160">
            <v>34.99</v>
          </cell>
        </row>
        <row r="3161">
          <cell r="C3161" t="str">
            <v>4402 - SCHLAGE</v>
          </cell>
          <cell r="D3161" t="str">
            <v>SFLAPS11PK4A</v>
          </cell>
          <cell r="BA3161">
            <v>29.99</v>
          </cell>
        </row>
        <row r="3162">
          <cell r="C3162" t="str">
            <v>4402 - SCHLAGE</v>
          </cell>
          <cell r="D3162" t="str">
            <v>SJ54VSTR619</v>
          </cell>
          <cell r="BA3162">
            <v>29.99</v>
          </cell>
        </row>
        <row r="3163">
          <cell r="C3163" t="str">
            <v>4402 - SCHLAGE</v>
          </cell>
          <cell r="D3163" t="str">
            <v>SDJ10STR619</v>
          </cell>
          <cell r="BA3163">
            <v>18.989999999999998</v>
          </cell>
        </row>
        <row r="3164">
          <cell r="C3164" t="str">
            <v>4402 - SCHLAGE</v>
          </cell>
          <cell r="D3164" t="str">
            <v>SDJ10VSTR619</v>
          </cell>
          <cell r="BA3164">
            <v>22.99</v>
          </cell>
        </row>
        <row r="3165">
          <cell r="C3165" t="str">
            <v>4402 - SCHLAGE</v>
          </cell>
          <cell r="D3165" t="str">
            <v>SJ40VSTR619</v>
          </cell>
          <cell r="BA3165">
            <v>25.99</v>
          </cell>
        </row>
        <row r="3166">
          <cell r="C3166" t="str">
            <v>4402 - SCHLAGE</v>
          </cell>
          <cell r="D3166" t="str">
            <v>SDJ170STR619</v>
          </cell>
          <cell r="BA3166">
            <v>11.99</v>
          </cell>
        </row>
        <row r="3167">
          <cell r="C3167" t="str">
            <v>4402 - SCHLAGE</v>
          </cell>
          <cell r="D3167" t="str">
            <v>SDJ10STR716</v>
          </cell>
          <cell r="BA3167">
            <v>21.99</v>
          </cell>
        </row>
        <row r="3168">
          <cell r="C3168" t="str">
            <v>4402 - SCHLAGE</v>
          </cell>
          <cell r="D3168" t="str">
            <v>SSCDB36015</v>
          </cell>
          <cell r="BA3168">
            <v>37.99</v>
          </cell>
        </row>
        <row r="3169">
          <cell r="C3169" t="str">
            <v>4402 - SCHLAGE</v>
          </cell>
          <cell r="D3169" t="str">
            <v>SB60622</v>
          </cell>
          <cell r="BA3169">
            <v>54.99</v>
          </cell>
        </row>
        <row r="3170">
          <cell r="C3170" t="str">
            <v>4402 - SCHLAGE</v>
          </cell>
          <cell r="D3170" t="str">
            <v>SSCDBJD60716</v>
          </cell>
          <cell r="BA3170">
            <v>22.99</v>
          </cell>
        </row>
        <row r="3171">
          <cell r="C3171" t="str">
            <v>4402 - SCHLAGE</v>
          </cell>
          <cell r="D3171" t="str">
            <v>SJH58SUT619</v>
          </cell>
          <cell r="BA3171">
            <v>90.49</v>
          </cell>
        </row>
        <row r="3172">
          <cell r="C3172" t="str">
            <v>4402 - SCHLAGE</v>
          </cell>
          <cell r="D3172" t="str">
            <v>SJH58SUT622</v>
          </cell>
          <cell r="BA3172">
            <v>93.99</v>
          </cell>
        </row>
        <row r="3173">
          <cell r="C3173" t="str">
            <v>4402 - SCHLAGE</v>
          </cell>
          <cell r="D3173" t="str">
            <v>SDJH58BAR619OS</v>
          </cell>
          <cell r="BA3173">
            <v>55.99</v>
          </cell>
        </row>
        <row r="3174">
          <cell r="C3174" t="str">
            <v>4402 - SCHLAGE</v>
          </cell>
          <cell r="D3174" t="str">
            <v>SDCORPR3</v>
          </cell>
          <cell r="BA3174">
            <v>15.39</v>
          </cell>
        </row>
        <row r="3175">
          <cell r="C3175" t="str">
            <v>4402 - SCHLAGE</v>
          </cell>
          <cell r="D3175" t="str">
            <v>SDCOREN15</v>
          </cell>
          <cell r="BA3175">
            <v>19.989999999999998</v>
          </cell>
        </row>
        <row r="3176">
          <cell r="C3176" t="str">
            <v>4402 - SCHLAGE</v>
          </cell>
          <cell r="D3176" t="str">
            <v>SDJH59STR619</v>
          </cell>
          <cell r="BA3176">
            <v>39.99</v>
          </cell>
        </row>
        <row r="3177">
          <cell r="C3177" t="str">
            <v>4402 - SCHLAGE</v>
          </cell>
          <cell r="D3177" t="str">
            <v>SDSTRPR15</v>
          </cell>
          <cell r="BA3177">
            <v>19.989999999999998</v>
          </cell>
        </row>
        <row r="3178">
          <cell r="C3178" t="str">
            <v>4402 - SCHLAGE</v>
          </cell>
          <cell r="D3178" t="str">
            <v>SDJ54VSTR716</v>
          </cell>
          <cell r="BA3178">
            <v>21.99</v>
          </cell>
        </row>
        <row r="3179">
          <cell r="C3179" t="str">
            <v>4402 - SCHLAGE</v>
          </cell>
          <cell r="D3179" t="str">
            <v>SDSOLIT15</v>
          </cell>
          <cell r="BA3179">
            <v>63.99</v>
          </cell>
        </row>
        <row r="3180">
          <cell r="C3180" t="str">
            <v>4402 - SCHLAGE</v>
          </cell>
          <cell r="D3180" t="str">
            <v>SDSOLPS15</v>
          </cell>
          <cell r="BA3180">
            <v>30.69</v>
          </cell>
        </row>
        <row r="3181">
          <cell r="C3181" t="str">
            <v>4402 - SCHLAGE</v>
          </cell>
          <cell r="D3181" t="str">
            <v>SDSOLPR15</v>
          </cell>
          <cell r="BA3181">
            <v>34.49</v>
          </cell>
        </row>
        <row r="3182">
          <cell r="C3182" t="str">
            <v>4402 - SCHLAGE</v>
          </cell>
          <cell r="D3182" t="str">
            <v>SDSOLDU15</v>
          </cell>
          <cell r="BA3182">
            <v>16.59</v>
          </cell>
        </row>
        <row r="3183">
          <cell r="C3183" t="str">
            <v>4402 - SCHLAGE</v>
          </cell>
          <cell r="D3183" t="str">
            <v>SDSOLDU19</v>
          </cell>
          <cell r="BA3183">
            <v>17.690000000000001</v>
          </cell>
        </row>
        <row r="3184">
          <cell r="C3184" t="str">
            <v>4402 - SCHLAGE</v>
          </cell>
          <cell r="D3184" t="str">
            <v>SDSOLPR19</v>
          </cell>
          <cell r="BA3184">
            <v>35.090000000000003</v>
          </cell>
        </row>
        <row r="3185">
          <cell r="C3185" t="str">
            <v>4402 - SCHLAGE</v>
          </cell>
          <cell r="D3185" t="str">
            <v>SDSOLPS19</v>
          </cell>
          <cell r="BA3185">
            <v>31.09</v>
          </cell>
        </row>
        <row r="3186">
          <cell r="C3186" t="str">
            <v>4402 - SCHLAGE</v>
          </cell>
          <cell r="D3186" t="str">
            <v>SSOLIT19</v>
          </cell>
          <cell r="BA3186">
            <v>56.99</v>
          </cell>
        </row>
        <row r="3187">
          <cell r="C3187" t="str">
            <v>4402 - SCHLAGE</v>
          </cell>
          <cell r="D3187" t="str">
            <v>SDJD60N619</v>
          </cell>
          <cell r="BA3187">
            <v>22.99</v>
          </cell>
        </row>
        <row r="3188">
          <cell r="C3188" t="str">
            <v>4403 - WEISER</v>
          </cell>
          <cell r="D3188" t="str">
            <v>WSENL535HFL514SQ</v>
          </cell>
          <cell r="BA3188">
            <v>72.989999999999995</v>
          </cell>
        </row>
        <row r="3189">
          <cell r="C3189" t="str">
            <v>4403 - WEISER</v>
          </cell>
          <cell r="D3189" t="str">
            <v>WSPVL331HFL514SQ</v>
          </cell>
          <cell r="BA3189">
            <v>54.99</v>
          </cell>
        </row>
        <row r="3190">
          <cell r="C3190" t="str">
            <v>4403 - WEISER</v>
          </cell>
          <cell r="D3190" t="str">
            <v>WSPSL101HFL514SQ</v>
          </cell>
          <cell r="BA3190">
            <v>44.99</v>
          </cell>
        </row>
        <row r="3191">
          <cell r="C3191" t="str">
            <v>4410 - MISC. LOCKS</v>
          </cell>
          <cell r="D3191" t="str">
            <v>KEYCHG</v>
          </cell>
          <cell r="BA3191">
            <v>0</v>
          </cell>
        </row>
        <row r="3192">
          <cell r="C3192" t="str">
            <v>4410 - MISC. LOCKS</v>
          </cell>
          <cell r="D3192" t="str">
            <v>MAS120D</v>
          </cell>
          <cell r="BA3192">
            <v>5.69</v>
          </cell>
        </row>
        <row r="3193">
          <cell r="C3193" t="str">
            <v>4410 - MISC. LOCKS</v>
          </cell>
          <cell r="D3193" t="str">
            <v>EPCTRIMADAPT</v>
          </cell>
          <cell r="BA3193">
            <v>52.49</v>
          </cell>
        </row>
        <row r="3194">
          <cell r="C3194" t="str">
            <v>4410 - MISC. LOCKS</v>
          </cell>
          <cell r="D3194" t="str">
            <v>EPCSTRPCK175SN</v>
          </cell>
          <cell r="BA3194">
            <v>43.29</v>
          </cell>
        </row>
        <row r="3195">
          <cell r="C3195" t="str">
            <v>4410 - MISC. LOCKS</v>
          </cell>
          <cell r="D3195" t="str">
            <v>EPCSTRPCK175BK</v>
          </cell>
          <cell r="BA3195">
            <v>16.39</v>
          </cell>
        </row>
        <row r="3196">
          <cell r="C3196" t="str">
            <v>4410 - MISC. LOCKS</v>
          </cell>
          <cell r="D3196" t="str">
            <v>EPL1000SN80LH</v>
          </cell>
          <cell r="BA3196">
            <v>153.99</v>
          </cell>
        </row>
        <row r="3197">
          <cell r="C3197" t="str">
            <v>4410 - MISC. LOCKS</v>
          </cell>
          <cell r="D3197" t="str">
            <v>EPL1000BZ80LH</v>
          </cell>
          <cell r="BA3197">
            <v>153.99</v>
          </cell>
        </row>
        <row r="3198">
          <cell r="C3198" t="str">
            <v>4410 - MISC. LOCKS</v>
          </cell>
          <cell r="D3198" t="str">
            <v>EPL1375SN68RH</v>
          </cell>
          <cell r="BA3198">
            <v>158.99</v>
          </cell>
        </row>
        <row r="3199">
          <cell r="C3199" t="str">
            <v>4410 - MISC. LOCKS</v>
          </cell>
          <cell r="D3199" t="str">
            <v>EPL1375BZ68RH</v>
          </cell>
          <cell r="BA3199">
            <v>158.99</v>
          </cell>
        </row>
        <row r="3200">
          <cell r="C3200" t="str">
            <v>4410 - MISC. LOCKS</v>
          </cell>
          <cell r="D3200" t="str">
            <v>PROBS6B1-PS</v>
          </cell>
          <cell r="BA3200">
            <v>24.99</v>
          </cell>
        </row>
        <row r="3201">
          <cell r="C3201" t="str">
            <v>4475 - LOCK TOOLS &amp; SUPPLIES</v>
          </cell>
          <cell r="D3201" t="str">
            <v>IRW3111001</v>
          </cell>
          <cell r="BA3201">
            <v>21.99</v>
          </cell>
        </row>
        <row r="3202">
          <cell r="C3202" t="str">
            <v>4475 - LOCK TOOLS &amp; SUPPLIES</v>
          </cell>
          <cell r="D3202" t="str">
            <v>IRW3111002</v>
          </cell>
          <cell r="BA3202">
            <v>29.99</v>
          </cell>
        </row>
        <row r="3203">
          <cell r="C3203" t="str">
            <v>4502 - CONNECTR,HANGERS,TIES,ANCHORS</v>
          </cell>
          <cell r="D3203" t="str">
            <v>SB5824</v>
          </cell>
          <cell r="BA3203">
            <v>21.51</v>
          </cell>
        </row>
        <row r="3204">
          <cell r="C3204" t="str">
            <v>4502 - CONNECTR,HANGERS,TIES,ANCHORS</v>
          </cell>
          <cell r="D3204" t="str">
            <v>ST121APEA</v>
          </cell>
          <cell r="BA3204">
            <v>2.31</v>
          </cell>
        </row>
        <row r="3205">
          <cell r="C3205" t="str">
            <v>4502 - CONNECTR,HANGERS,TIES,ANCHORS</v>
          </cell>
          <cell r="D3205" t="str">
            <v>ST122AP126EA</v>
          </cell>
          <cell r="BA3205">
            <v>0.67</v>
          </cell>
        </row>
        <row r="3206">
          <cell r="C3206" t="str">
            <v>4502 - CONNECTR,HANGERS,TIES,ANCHORS</v>
          </cell>
          <cell r="D3206" t="str">
            <v>ST122AP3410EA</v>
          </cell>
          <cell r="BA3206">
            <v>0.88</v>
          </cell>
        </row>
        <row r="3207">
          <cell r="C3207" t="str">
            <v>4502 - CONNECTR,HANGERS,TIES,ANCHORS</v>
          </cell>
          <cell r="D3207" t="str">
            <v>ST199S516614EA</v>
          </cell>
          <cell r="BA3207">
            <v>0.75</v>
          </cell>
        </row>
        <row r="3208">
          <cell r="C3208" t="str">
            <v>4502 - CONNECTR,HANGERS,TIES,ANCHORS</v>
          </cell>
          <cell r="D3208" t="str">
            <v>ST199S516714EA</v>
          </cell>
          <cell r="BA3208">
            <v>0.75</v>
          </cell>
        </row>
        <row r="3209">
          <cell r="C3209" t="str">
            <v>4502 - CONNECTR,HANGERS,TIES,ANCHORS</v>
          </cell>
          <cell r="D3209" t="str">
            <v>ST199S516814EA</v>
          </cell>
          <cell r="BA3209">
            <v>0.78</v>
          </cell>
        </row>
        <row r="3210">
          <cell r="C3210" t="str">
            <v>4502 - CONNECTR,HANGERS,TIES,ANCHORS</v>
          </cell>
          <cell r="D3210" t="str">
            <v>ST199S516914EA</v>
          </cell>
          <cell r="BA3210">
            <v>0.85</v>
          </cell>
        </row>
        <row r="3211">
          <cell r="C3211" t="str">
            <v>4502 - CONNECTR,HANGERS,TIES,ANCHORS</v>
          </cell>
          <cell r="D3211" t="str">
            <v>ST199S51612EA</v>
          </cell>
          <cell r="BA3211">
            <v>0.91</v>
          </cell>
        </row>
        <row r="3212">
          <cell r="C3212" t="str">
            <v>4502 - CONNECTR,HANGERS,TIES,ANCHORS</v>
          </cell>
          <cell r="D3212" t="str">
            <v>CSD25300EA</v>
          </cell>
          <cell r="BA3212">
            <v>0.36</v>
          </cell>
        </row>
        <row r="3213">
          <cell r="C3213" t="str">
            <v>4502 - CONNECTR,HANGERS,TIES,ANCHORS</v>
          </cell>
          <cell r="D3213" t="str">
            <v>CSD25212EA</v>
          </cell>
          <cell r="BA3213">
            <v>0.32</v>
          </cell>
        </row>
        <row r="3214">
          <cell r="C3214" t="str">
            <v>4502 - CONNECTR,HANGERS,TIES,ANCHORS</v>
          </cell>
          <cell r="D3214" t="str">
            <v>STB2-37300EA</v>
          </cell>
          <cell r="BA3214">
            <v>0.57999999999999996</v>
          </cell>
        </row>
        <row r="3215">
          <cell r="C3215" t="str">
            <v>4502 - CONNECTR,HANGERS,TIES,ANCHORS</v>
          </cell>
          <cell r="D3215" t="str">
            <v>STB2-37334EA</v>
          </cell>
          <cell r="BA3215">
            <v>0.67</v>
          </cell>
        </row>
        <row r="3216">
          <cell r="C3216" t="str">
            <v>4502 - CONNECTR,HANGERS,TIES,ANCHORS</v>
          </cell>
          <cell r="D3216" t="str">
            <v>STB2-37500</v>
          </cell>
          <cell r="BA3216">
            <v>0.77</v>
          </cell>
        </row>
        <row r="3217">
          <cell r="C3217" t="str">
            <v>4502 - CONNECTR,HANGERS,TIES,ANCHORS</v>
          </cell>
          <cell r="D3217" t="str">
            <v>WA37214</v>
          </cell>
          <cell r="BA3217">
            <v>0.36</v>
          </cell>
        </row>
        <row r="3218">
          <cell r="C3218" t="str">
            <v>4502 - CONNECTR,HANGERS,TIES,ANCHORS</v>
          </cell>
          <cell r="D3218" t="str">
            <v>WA50234</v>
          </cell>
          <cell r="BA3218">
            <v>1.21</v>
          </cell>
        </row>
        <row r="3219">
          <cell r="C3219" t="str">
            <v>4502 - CONNECTR,HANGERS,TIES,ANCHORS</v>
          </cell>
          <cell r="D3219" t="str">
            <v>WA50334MG</v>
          </cell>
          <cell r="BA3219">
            <v>32.69</v>
          </cell>
        </row>
        <row r="3220">
          <cell r="C3220" t="str">
            <v>4502 - CONNECTR,HANGERS,TIES,ANCHORS</v>
          </cell>
          <cell r="D3220" t="str">
            <v>WA50414MG</v>
          </cell>
          <cell r="BA3220">
            <v>34.29</v>
          </cell>
        </row>
        <row r="3221">
          <cell r="C3221" t="str">
            <v>4502 - CONNECTR,HANGERS,TIES,ANCHORS</v>
          </cell>
          <cell r="D3221" t="str">
            <v>WA50414MGEA</v>
          </cell>
          <cell r="BA3221">
            <v>1.37</v>
          </cell>
        </row>
        <row r="3222">
          <cell r="C3222" t="str">
            <v>4502 - CONNECTR,HANGERS,TIES,ANCHORS</v>
          </cell>
          <cell r="D3222" t="str">
            <v>WA50512MG</v>
          </cell>
          <cell r="BA3222">
            <v>39.74</v>
          </cell>
        </row>
        <row r="3223">
          <cell r="C3223" t="str">
            <v>4502 - CONNECTR,HANGERS,TIES,ANCHORS</v>
          </cell>
          <cell r="D3223" t="str">
            <v>WA50512MGEA</v>
          </cell>
          <cell r="BA3223">
            <v>1.59</v>
          </cell>
        </row>
        <row r="3224">
          <cell r="C3224" t="str">
            <v>4502 - CONNECTR,HANGERS,TIES,ANCHORS</v>
          </cell>
          <cell r="D3224" t="str">
            <v>WA50700MG</v>
          </cell>
          <cell r="BA3224">
            <v>47.76</v>
          </cell>
        </row>
        <row r="3225">
          <cell r="C3225" t="str">
            <v>4502 - CONNECTR,HANGERS,TIES,ANCHORS</v>
          </cell>
          <cell r="D3225" t="str">
            <v>WA50812MG</v>
          </cell>
          <cell r="BA3225">
            <v>85.9</v>
          </cell>
        </row>
        <row r="3226">
          <cell r="C3226" t="str">
            <v>4502 - CONNECTR,HANGERS,TIES,ANCHORS</v>
          </cell>
          <cell r="D3226" t="str">
            <v>WA62412MG</v>
          </cell>
          <cell r="BA3226">
            <v>48.21</v>
          </cell>
        </row>
        <row r="3227">
          <cell r="C3227" t="str">
            <v>4502 - CONNECTR,HANGERS,TIES,ANCHORS</v>
          </cell>
          <cell r="D3227" t="str">
            <v>WA62500MG</v>
          </cell>
          <cell r="BA3227">
            <v>54.87</v>
          </cell>
        </row>
        <row r="3228">
          <cell r="C3228" t="str">
            <v>4502 - CONNECTR,HANGERS,TIES,ANCHORS</v>
          </cell>
          <cell r="D3228" t="str">
            <v>WA62600MGEA</v>
          </cell>
          <cell r="BA3228">
            <v>2.83</v>
          </cell>
        </row>
        <row r="3229">
          <cell r="C3229" t="str">
            <v>4502 - CONNECTR,HANGERS,TIES,ANCHORS</v>
          </cell>
          <cell r="D3229" t="str">
            <v>WA62600MG</v>
          </cell>
          <cell r="BA3229">
            <v>56.67</v>
          </cell>
        </row>
        <row r="3230">
          <cell r="C3230" t="str">
            <v>4502 - CONNECTR,HANGERS,TIES,ANCHORS</v>
          </cell>
          <cell r="D3230" t="str">
            <v>WA62700MG</v>
          </cell>
          <cell r="BA3230">
            <v>66.92</v>
          </cell>
        </row>
        <row r="3231">
          <cell r="C3231" t="str">
            <v>4502 - CONNECTR,HANGERS,TIES,ANCHORS</v>
          </cell>
          <cell r="D3231" t="str">
            <v>WA62812MG</v>
          </cell>
          <cell r="BA3231">
            <v>92.56</v>
          </cell>
        </row>
        <row r="3232">
          <cell r="C3232" t="str">
            <v>4502 - CONNECTR,HANGERS,TIES,ANCHORS</v>
          </cell>
          <cell r="D3232" t="str">
            <v>LSCZ</v>
          </cell>
          <cell r="BA3232">
            <v>2.29</v>
          </cell>
        </row>
        <row r="3233">
          <cell r="C3233" t="str">
            <v>4502 - CONNECTR,HANGERS,TIES,ANCHORS</v>
          </cell>
          <cell r="D3233" t="str">
            <v>LSCSS</v>
          </cell>
          <cell r="BA3233">
            <v>30.23</v>
          </cell>
        </row>
        <row r="3234">
          <cell r="C3234" t="str">
            <v>4502 - CONNECTR,HANGERS,TIES,ANCHORS</v>
          </cell>
          <cell r="D3234" t="str">
            <v>A35</v>
          </cell>
          <cell r="BA3234">
            <v>0.53</v>
          </cell>
        </row>
        <row r="3235">
          <cell r="C3235" t="str">
            <v>4502 - CONNECTR,HANGERS,TIES,ANCHORS</v>
          </cell>
          <cell r="D3235" t="str">
            <v>A21</v>
          </cell>
          <cell r="BA3235">
            <v>0.5</v>
          </cell>
        </row>
        <row r="3236">
          <cell r="C3236" t="str">
            <v>4502 - CONNECTR,HANGERS,TIES,ANCHORS</v>
          </cell>
          <cell r="D3236" t="str">
            <v>A34</v>
          </cell>
          <cell r="BA3236">
            <v>0.49</v>
          </cell>
        </row>
        <row r="3237">
          <cell r="C3237" t="str">
            <v>4502 - CONNECTR,HANGERS,TIES,ANCHORS</v>
          </cell>
          <cell r="D3237" t="str">
            <v>A34SS</v>
          </cell>
          <cell r="BA3237">
            <v>3.62</v>
          </cell>
        </row>
        <row r="3238">
          <cell r="C3238" t="str">
            <v>4502 - CONNECTR,HANGERS,TIES,ANCHORS</v>
          </cell>
          <cell r="D3238" t="str">
            <v>CNW1/2</v>
          </cell>
          <cell r="BA3238">
            <v>1.95</v>
          </cell>
        </row>
        <row r="3239">
          <cell r="C3239" t="str">
            <v>4502 - CONNECTR,HANGERS,TIES,ANCHORS</v>
          </cell>
          <cell r="D3239" t="str">
            <v>THD50300H</v>
          </cell>
          <cell r="BA3239">
            <v>1.92</v>
          </cell>
        </row>
        <row r="3240">
          <cell r="C3240" t="str">
            <v>4502 - CONNECTR,HANGERS,TIES,ANCHORS</v>
          </cell>
          <cell r="D3240" t="str">
            <v>THD50500HEA</v>
          </cell>
          <cell r="BA3240">
            <v>2.5299999999999998</v>
          </cell>
        </row>
        <row r="3241">
          <cell r="C3241" t="str">
            <v>4502 - CONNECTR,HANGERS,TIES,ANCHORS</v>
          </cell>
          <cell r="D3241" t="str">
            <v>THD37500HMGPK</v>
          </cell>
          <cell r="BA3241">
            <v>162.18</v>
          </cell>
        </row>
        <row r="3242">
          <cell r="C3242" t="str">
            <v>4502 - CONNECTR,HANGERS,TIES,ANCHORS</v>
          </cell>
          <cell r="D3242" t="str">
            <v>THD37600HMGPK</v>
          </cell>
          <cell r="BA3242">
            <v>184.62</v>
          </cell>
        </row>
        <row r="3243">
          <cell r="C3243" t="str">
            <v>4502 - CONNECTR,HANGERS,TIES,ANCHORS</v>
          </cell>
          <cell r="D3243" t="str">
            <v>THD50400H</v>
          </cell>
          <cell r="BA3243">
            <v>2.06</v>
          </cell>
        </row>
        <row r="3244">
          <cell r="C3244" t="str">
            <v>4502 - CONNECTR,HANGERS,TIES,ANCHORS</v>
          </cell>
          <cell r="D3244" t="str">
            <v>THD50400HEA</v>
          </cell>
          <cell r="BA3244">
            <v>2.06</v>
          </cell>
        </row>
        <row r="3245">
          <cell r="C3245" t="str">
            <v>4502 - CONNECTR,HANGERS,TIES,ANCHORS</v>
          </cell>
          <cell r="D3245" t="str">
            <v>THD50400HMG</v>
          </cell>
          <cell r="BA3245">
            <v>87.95</v>
          </cell>
        </row>
        <row r="3246">
          <cell r="C3246" t="str">
            <v>4502 - CONNECTR,HANGERS,TIES,ANCHORS</v>
          </cell>
          <cell r="D3246" t="str">
            <v>THD50400HMGEA</v>
          </cell>
          <cell r="BA3246">
            <v>4.4000000000000004</v>
          </cell>
        </row>
        <row r="3247">
          <cell r="C3247" t="str">
            <v>4502 - CONNECTR,HANGERS,TIES,ANCHORS</v>
          </cell>
          <cell r="D3247" t="str">
            <v>THD50500HMGPK</v>
          </cell>
          <cell r="BA3247">
            <v>91.79</v>
          </cell>
        </row>
        <row r="3248">
          <cell r="C3248" t="str">
            <v>4502 - CONNECTR,HANGERS,TIES,ANCHORS</v>
          </cell>
          <cell r="D3248" t="str">
            <v>THD50500HMGEA</v>
          </cell>
          <cell r="BA3248">
            <v>4.59</v>
          </cell>
        </row>
        <row r="3249">
          <cell r="C3249" t="str">
            <v>4502 - CONNECTR,HANGERS,TIES,ANCHORS</v>
          </cell>
          <cell r="D3249" t="str">
            <v>THD50600HEA</v>
          </cell>
          <cell r="BA3249">
            <v>2.63</v>
          </cell>
        </row>
        <row r="3250">
          <cell r="C3250" t="str">
            <v>4502 - CONNECTR,HANGERS,TIES,ANCHORS</v>
          </cell>
          <cell r="D3250" t="str">
            <v>THD50600HMGEA</v>
          </cell>
          <cell r="BA3250">
            <v>4.76</v>
          </cell>
        </row>
        <row r="3251">
          <cell r="C3251" t="str">
            <v>4502 - CONNECTR,HANGERS,TIES,ANCHORS</v>
          </cell>
          <cell r="D3251" t="str">
            <v>THD50600HMG</v>
          </cell>
          <cell r="BA3251">
            <v>95.13</v>
          </cell>
        </row>
        <row r="3252">
          <cell r="C3252" t="str">
            <v>4502 - CONNECTR,HANGERS,TIES,ANCHORS</v>
          </cell>
          <cell r="D3252" t="str">
            <v>THD50800HEA</v>
          </cell>
          <cell r="BA3252">
            <v>4.79</v>
          </cell>
        </row>
        <row r="3253">
          <cell r="C3253" t="str">
            <v>4502 - CONNECTR,HANGERS,TIES,ANCHORS</v>
          </cell>
          <cell r="D3253" t="str">
            <v>THD50800HMGEA</v>
          </cell>
          <cell r="BA3253">
            <v>9.2100000000000009</v>
          </cell>
        </row>
        <row r="3254">
          <cell r="C3254" t="str">
            <v>4502 - CONNECTR,HANGERS,TIES,ANCHORS</v>
          </cell>
          <cell r="D3254" t="str">
            <v>THD50800HMG</v>
          </cell>
          <cell r="BA3254">
            <v>184.1</v>
          </cell>
        </row>
        <row r="3255">
          <cell r="C3255" t="str">
            <v>4502 - CONNECTR,HANGERS,TIES,ANCHORS</v>
          </cell>
          <cell r="D3255" t="str">
            <v>THD62500HMG</v>
          </cell>
          <cell r="BA3255">
            <v>7.05</v>
          </cell>
        </row>
        <row r="3256">
          <cell r="C3256" t="str">
            <v>4502 - CONNECTR,HANGERS,TIES,ANCHORS</v>
          </cell>
          <cell r="D3256" t="str">
            <v>THD62500HMGEA</v>
          </cell>
          <cell r="BA3256">
            <v>7.05</v>
          </cell>
        </row>
        <row r="3257">
          <cell r="C3257" t="str">
            <v>4502 - CONNECTR,HANGERS,TIES,ANCHORS</v>
          </cell>
          <cell r="D3257" t="str">
            <v>THD62600H</v>
          </cell>
          <cell r="BA3257">
            <v>4.24</v>
          </cell>
        </row>
        <row r="3258">
          <cell r="C3258" t="str">
            <v>4502 - CONNECTR,HANGERS,TIES,ANCHORS</v>
          </cell>
          <cell r="D3258" t="str">
            <v>THD37300HEA</v>
          </cell>
          <cell r="BA3258">
            <v>1.17</v>
          </cell>
        </row>
        <row r="3259">
          <cell r="C3259" t="str">
            <v>4502 - CONNECTR,HANGERS,TIES,ANCHORS</v>
          </cell>
          <cell r="D3259" t="str">
            <v>THD37300HMG</v>
          </cell>
          <cell r="BA3259">
            <v>78.209999999999994</v>
          </cell>
        </row>
        <row r="3260">
          <cell r="C3260" t="str">
            <v>4502 - CONNECTR,HANGERS,TIES,ANCHORS</v>
          </cell>
          <cell r="D3260" t="str">
            <v>THD37400HMG</v>
          </cell>
          <cell r="BA3260">
            <v>87.18</v>
          </cell>
        </row>
        <row r="3261">
          <cell r="C3261" t="str">
            <v>4502 - CONNECTR,HANGERS,TIES,ANCHORS</v>
          </cell>
          <cell r="D3261" t="str">
            <v>THD50600WH</v>
          </cell>
          <cell r="BA3261">
            <v>47.1</v>
          </cell>
        </row>
        <row r="3262">
          <cell r="C3262" t="str">
            <v>4502 - CONNECTR,HANGERS,TIES,ANCHORS</v>
          </cell>
          <cell r="D3262" t="str">
            <v>THD50800WH</v>
          </cell>
          <cell r="BA3262">
            <v>93.59</v>
          </cell>
        </row>
        <row r="3263">
          <cell r="C3263" t="str">
            <v>4502 - CONNECTR,HANGERS,TIES,ANCHORS</v>
          </cell>
          <cell r="D3263" t="str">
            <v>THDB62500HMGEA</v>
          </cell>
          <cell r="BA3263">
            <v>7.05</v>
          </cell>
        </row>
        <row r="3264">
          <cell r="C3264" t="str">
            <v>4502 - CONNECTR,HANGERS,TIES,ANCHORS</v>
          </cell>
          <cell r="D3264" t="str">
            <v>THDB62500HMG</v>
          </cell>
          <cell r="BA3264">
            <v>70.510000000000005</v>
          </cell>
        </row>
        <row r="3265">
          <cell r="C3265" t="str">
            <v>4502 - CONNECTR,HANGERS,TIES,ANCHORS</v>
          </cell>
          <cell r="D3265" t="str">
            <v>THDB62500HEA</v>
          </cell>
          <cell r="BA3265">
            <v>4.0999999999999996</v>
          </cell>
        </row>
        <row r="3266">
          <cell r="C3266" t="str">
            <v>4502 - CONNECTR,HANGERS,TIES,ANCHORS</v>
          </cell>
          <cell r="D3266" t="str">
            <v>THDB62600HMG</v>
          </cell>
          <cell r="BA3266">
            <v>77.31</v>
          </cell>
        </row>
        <row r="3267">
          <cell r="C3267" t="str">
            <v>4502 - CONNECTR,HANGERS,TIES,ANCHORS</v>
          </cell>
          <cell r="D3267" t="str">
            <v>THDB62600WH</v>
          </cell>
          <cell r="BA3267">
            <v>53.01</v>
          </cell>
        </row>
        <row r="3268">
          <cell r="C3268" t="str">
            <v>4502 - CONNECTR,HANGERS,TIES,ANCHORS</v>
          </cell>
          <cell r="D3268" t="str">
            <v>THDB62800HMG</v>
          </cell>
          <cell r="BA3268">
            <v>115.51</v>
          </cell>
        </row>
        <row r="3269">
          <cell r="C3269" t="str">
            <v>4502 - CONNECTR,HANGERS,TIES,ANCHORS</v>
          </cell>
          <cell r="D3269" t="str">
            <v>THD62800HMG</v>
          </cell>
          <cell r="BA3269">
            <v>11.55</v>
          </cell>
        </row>
        <row r="3270">
          <cell r="C3270" t="str">
            <v>4502 - CONNECTR,HANGERS,TIES,ANCHORS</v>
          </cell>
          <cell r="D3270" t="str">
            <v>THD75812HMG</v>
          </cell>
          <cell r="BA3270">
            <v>15.78</v>
          </cell>
        </row>
        <row r="3271">
          <cell r="C3271" t="str">
            <v>4502 - CONNECTR,HANGERS,TIES,ANCHORS</v>
          </cell>
          <cell r="D3271" t="str">
            <v>THDT75600HMG</v>
          </cell>
          <cell r="BA3271">
            <v>58.78</v>
          </cell>
        </row>
        <row r="3272">
          <cell r="C3272" t="str">
            <v>4502 - CONNECTR,HANGERS,TIES,ANCHORS</v>
          </cell>
          <cell r="D3272" t="str">
            <v>AM5/8</v>
          </cell>
          <cell r="BA3272">
            <v>2.17</v>
          </cell>
        </row>
        <row r="3273">
          <cell r="C3273" t="str">
            <v>4502 - CONNECTR,HANGERS,TIES,ANCHORS</v>
          </cell>
          <cell r="D3273" t="str">
            <v>00455-QC</v>
          </cell>
          <cell r="BA3273">
            <v>25.69</v>
          </cell>
        </row>
        <row r="3274">
          <cell r="C3274" t="str">
            <v>4502 - CONNECTR,HANGERS,TIES,ANCHORS</v>
          </cell>
          <cell r="D3274" t="str">
            <v>LB210AZ</v>
          </cell>
          <cell r="BA3274">
            <v>6.36</v>
          </cell>
        </row>
        <row r="3275">
          <cell r="C3275" t="str">
            <v>4502 - CONNECTR,HANGERS,TIES,ANCHORS</v>
          </cell>
          <cell r="D3275" t="str">
            <v>LSSJ26RZ</v>
          </cell>
          <cell r="BA3275">
            <v>6.74</v>
          </cell>
        </row>
        <row r="3276">
          <cell r="C3276" t="str">
            <v>4502 - CONNECTR,HANGERS,TIES,ANCHORS</v>
          </cell>
          <cell r="D3276" t="str">
            <v>LSSJ26LZ</v>
          </cell>
          <cell r="BA3276">
            <v>6.74</v>
          </cell>
        </row>
        <row r="3277">
          <cell r="C3277" t="str">
            <v>4502 - CONNECTR,HANGERS,TIES,ANCHORS</v>
          </cell>
          <cell r="D3277" t="str">
            <v>LSSR410Z</v>
          </cell>
          <cell r="BA3277">
            <v>21.64</v>
          </cell>
        </row>
        <row r="3278">
          <cell r="C3278" t="str">
            <v>4502 - CONNECTR,HANGERS,TIES,ANCHORS</v>
          </cell>
          <cell r="D3278" t="str">
            <v>LSSR26Z</v>
          </cell>
          <cell r="BA3278">
            <v>8.6300000000000008</v>
          </cell>
        </row>
        <row r="3279">
          <cell r="C3279" t="str">
            <v>4502 - CONNECTR,HANGERS,TIES,ANCHORS</v>
          </cell>
          <cell r="D3279" t="str">
            <v>LU24</v>
          </cell>
          <cell r="BA3279">
            <v>0.69</v>
          </cell>
        </row>
        <row r="3280">
          <cell r="C3280" t="str">
            <v>4502 - CONNECTR,HANGERS,TIES,ANCHORS</v>
          </cell>
          <cell r="D3280" t="str">
            <v>LU26</v>
          </cell>
          <cell r="BA3280">
            <v>0.77</v>
          </cell>
        </row>
        <row r="3281">
          <cell r="C3281" t="str">
            <v>4502 - CONNECTR,HANGERS,TIES,ANCHORS</v>
          </cell>
          <cell r="D3281" t="str">
            <v>LU28</v>
          </cell>
          <cell r="BA3281">
            <v>1</v>
          </cell>
        </row>
        <row r="3282">
          <cell r="C3282" t="str">
            <v>4502 - CONNECTR,HANGERS,TIES,ANCHORS</v>
          </cell>
          <cell r="D3282" t="str">
            <v>LU210</v>
          </cell>
          <cell r="BA3282">
            <v>1.1499999999999999</v>
          </cell>
        </row>
        <row r="3283">
          <cell r="C3283" t="str">
            <v>4502 - CONNECTR,HANGERS,TIES,ANCHORS</v>
          </cell>
          <cell r="D3283" t="str">
            <v>LUS24</v>
          </cell>
          <cell r="BA3283">
            <v>0.76</v>
          </cell>
        </row>
        <row r="3284">
          <cell r="C3284" t="str">
            <v>4502 - CONNECTR,HANGERS,TIES,ANCHORS</v>
          </cell>
          <cell r="D3284" t="str">
            <v>LUS26</v>
          </cell>
          <cell r="BA3284">
            <v>1.04</v>
          </cell>
        </row>
        <row r="3285">
          <cell r="C3285" t="str">
            <v>4502 - CONNECTR,HANGERS,TIES,ANCHORS</v>
          </cell>
          <cell r="D3285" t="str">
            <v>LUS26SS</v>
          </cell>
          <cell r="BA3285">
            <v>9.58</v>
          </cell>
        </row>
        <row r="3286">
          <cell r="C3286" t="str">
            <v>4502 - CONNECTR,HANGERS,TIES,ANCHORS</v>
          </cell>
          <cell r="D3286" t="str">
            <v>LUS28</v>
          </cell>
          <cell r="BA3286">
            <v>1.37</v>
          </cell>
        </row>
        <row r="3287">
          <cell r="C3287" t="str">
            <v>4502 - CONNECTR,HANGERS,TIES,ANCHORS</v>
          </cell>
          <cell r="D3287" t="str">
            <v>LUS210</v>
          </cell>
          <cell r="BA3287">
            <v>1.56</v>
          </cell>
        </row>
        <row r="3288">
          <cell r="C3288" t="str">
            <v>4502 - CONNECTR,HANGERS,TIES,ANCHORS</v>
          </cell>
          <cell r="D3288" t="str">
            <v>LUS210SS</v>
          </cell>
          <cell r="BA3288">
            <v>15.12</v>
          </cell>
        </row>
        <row r="3289">
          <cell r="C3289" t="str">
            <v>4502 - CONNECTR,HANGERS,TIES,ANCHORS</v>
          </cell>
          <cell r="D3289" t="str">
            <v>LUS46</v>
          </cell>
          <cell r="BA3289">
            <v>2.5099999999999998</v>
          </cell>
        </row>
        <row r="3290">
          <cell r="C3290" t="str">
            <v>4502 - CONNECTR,HANGERS,TIES,ANCHORS</v>
          </cell>
          <cell r="D3290" t="str">
            <v>LUS46Z</v>
          </cell>
          <cell r="BA3290">
            <v>3.37</v>
          </cell>
        </row>
        <row r="3291">
          <cell r="C3291" t="str">
            <v>4502 - CONNECTR,HANGERS,TIES,ANCHORS</v>
          </cell>
          <cell r="D3291" t="str">
            <v>LUS48</v>
          </cell>
          <cell r="BA3291">
            <v>3.44</v>
          </cell>
        </row>
        <row r="3292">
          <cell r="C3292" t="str">
            <v>4502 - CONNECTR,HANGERS,TIES,ANCHORS</v>
          </cell>
          <cell r="D3292" t="str">
            <v>LUS410</v>
          </cell>
          <cell r="BA3292">
            <v>3.19</v>
          </cell>
        </row>
        <row r="3293">
          <cell r="C3293" t="str">
            <v>4502 - CONNECTR,HANGERS,TIES,ANCHORS</v>
          </cell>
          <cell r="D3293" t="str">
            <v>U26</v>
          </cell>
          <cell r="BA3293">
            <v>2.37</v>
          </cell>
        </row>
        <row r="3294">
          <cell r="C3294" t="str">
            <v>4502 - CONNECTR,HANGERS,TIES,ANCHORS</v>
          </cell>
          <cell r="D3294" t="str">
            <v>HGUS412</v>
          </cell>
          <cell r="BA3294">
            <v>42.81</v>
          </cell>
        </row>
        <row r="3295">
          <cell r="C3295" t="str">
            <v>4502 - CONNECTR,HANGERS,TIES,ANCHORS</v>
          </cell>
          <cell r="D3295" t="str">
            <v>HGUS5.50/12</v>
          </cell>
          <cell r="BA3295">
            <v>62.69</v>
          </cell>
        </row>
        <row r="3296">
          <cell r="C3296" t="str">
            <v>4502 - CONNECTR,HANGERS,TIES,ANCHORS</v>
          </cell>
          <cell r="D3296" t="str">
            <v>HGUS5.50/14</v>
          </cell>
          <cell r="BA3296">
            <v>72.040000000000006</v>
          </cell>
        </row>
        <row r="3297">
          <cell r="C3297" t="str">
            <v>4502 - CONNECTR,HANGERS,TIES,ANCHORS</v>
          </cell>
          <cell r="D3297" t="str">
            <v>HGUS7.25/14</v>
          </cell>
          <cell r="BA3297">
            <v>80.349999999999994</v>
          </cell>
        </row>
        <row r="3298">
          <cell r="C3298" t="str">
            <v>4502 - CONNECTR,HANGERS,TIES,ANCHORS</v>
          </cell>
          <cell r="D3298" t="str">
            <v>HGUS6.88/12</v>
          </cell>
          <cell r="BA3298">
            <v>68.17</v>
          </cell>
        </row>
        <row r="3299">
          <cell r="C3299" t="str">
            <v>4502 - CONNECTR,HANGERS,TIES,ANCHORS</v>
          </cell>
          <cell r="D3299" t="str">
            <v>HGUS6.88/10</v>
          </cell>
          <cell r="BA3299">
            <v>58.85</v>
          </cell>
        </row>
        <row r="3300">
          <cell r="C3300" t="str">
            <v>4502 - CONNECTR,HANGERS,TIES,ANCHORS</v>
          </cell>
          <cell r="D3300" t="str">
            <v>HU212</v>
          </cell>
          <cell r="BA3300">
            <v>10.69</v>
          </cell>
        </row>
        <row r="3301">
          <cell r="C3301" t="str">
            <v>4502 - CONNECTR,HANGERS,TIES,ANCHORS</v>
          </cell>
          <cell r="D3301" t="str">
            <v>HU210TF</v>
          </cell>
          <cell r="BA3301">
            <v>26.8</v>
          </cell>
        </row>
        <row r="3302">
          <cell r="C3302" t="str">
            <v>4502 - CONNECTR,HANGERS,TIES,ANCHORS</v>
          </cell>
          <cell r="D3302" t="str">
            <v>HU210-2TF</v>
          </cell>
          <cell r="BA3302">
            <v>37.54</v>
          </cell>
        </row>
        <row r="3303">
          <cell r="C3303" t="str">
            <v>4502 - CONNECTR,HANGERS,TIES,ANCHORS</v>
          </cell>
          <cell r="D3303" t="str">
            <v>HU212TF</v>
          </cell>
          <cell r="BA3303">
            <v>30.85</v>
          </cell>
        </row>
        <row r="3304">
          <cell r="C3304" t="str">
            <v>4502 - CONNECTR,HANGERS,TIES,ANCHORS</v>
          </cell>
          <cell r="D3304" t="str">
            <v>HU212-2TF</v>
          </cell>
          <cell r="BA3304">
            <v>41.6</v>
          </cell>
        </row>
        <row r="3305">
          <cell r="C3305" t="str">
            <v>4502 - CONNECTR,HANGERS,TIES,ANCHORS</v>
          </cell>
          <cell r="D3305" t="str">
            <v>HU410SS</v>
          </cell>
          <cell r="BA3305">
            <v>76.489999999999995</v>
          </cell>
        </row>
        <row r="3306">
          <cell r="C3306" t="str">
            <v>4502 - CONNECTR,HANGERS,TIES,ANCHORS</v>
          </cell>
          <cell r="D3306" t="str">
            <v>HUS26</v>
          </cell>
          <cell r="BA3306">
            <v>2.5099999999999998</v>
          </cell>
        </row>
        <row r="3307">
          <cell r="C3307" t="str">
            <v>4502 - CONNECTR,HANGERS,TIES,ANCHORS</v>
          </cell>
          <cell r="D3307" t="str">
            <v>HUS28</v>
          </cell>
          <cell r="BA3307">
            <v>3.53</v>
          </cell>
        </row>
        <row r="3308">
          <cell r="C3308" t="str">
            <v>4502 - CONNECTR,HANGERS,TIES,ANCHORS</v>
          </cell>
          <cell r="D3308" t="str">
            <v>HUS1.81/10</v>
          </cell>
          <cell r="BA3308">
            <v>9.8800000000000008</v>
          </cell>
        </row>
        <row r="3309">
          <cell r="C3309" t="str">
            <v>4502 - CONNECTR,HANGERS,TIES,ANCHORS</v>
          </cell>
          <cell r="D3309" t="str">
            <v>EPC6Z</v>
          </cell>
          <cell r="BA3309">
            <v>32.65</v>
          </cell>
        </row>
        <row r="3310">
          <cell r="C3310" t="str">
            <v>4502 - CONNECTR,HANGERS,TIES,ANCHORS</v>
          </cell>
          <cell r="D3310" t="str">
            <v>HUS26-2</v>
          </cell>
          <cell r="BA3310">
            <v>6.94</v>
          </cell>
        </row>
        <row r="3311">
          <cell r="C3311" t="str">
            <v>4502 - CONNECTR,HANGERS,TIES,ANCHORS</v>
          </cell>
          <cell r="D3311" t="str">
            <v>HUS410</v>
          </cell>
          <cell r="BA3311">
            <v>8.31</v>
          </cell>
        </row>
        <row r="3312">
          <cell r="C3312" t="str">
            <v>4502 - CONNECTR,HANGERS,TIES,ANCHORS</v>
          </cell>
          <cell r="D3312" t="str">
            <v>HUS412</v>
          </cell>
          <cell r="BA3312">
            <v>8.76</v>
          </cell>
        </row>
        <row r="3313">
          <cell r="C3313" t="str">
            <v>4502 - CONNECTR,HANGERS,TIES,ANCHORS</v>
          </cell>
          <cell r="D3313" t="str">
            <v>LUS28-2</v>
          </cell>
          <cell r="BA3313">
            <v>2.3199999999999998</v>
          </cell>
        </row>
        <row r="3314">
          <cell r="C3314" t="str">
            <v>4502 - CONNECTR,HANGERS,TIES,ANCHORS</v>
          </cell>
          <cell r="D3314" t="str">
            <v>LUC210Z</v>
          </cell>
          <cell r="BA3314">
            <v>2.33</v>
          </cell>
        </row>
        <row r="3315">
          <cell r="C3315" t="str">
            <v>4502 - CONNECTR,HANGERS,TIES,ANCHORS</v>
          </cell>
          <cell r="D3315" t="str">
            <v>LUS210-2</v>
          </cell>
          <cell r="BA3315">
            <v>2.42</v>
          </cell>
        </row>
        <row r="3316">
          <cell r="C3316" t="str">
            <v>4502 - CONNECTR,HANGERS,TIES,ANCHORS</v>
          </cell>
          <cell r="D3316" t="str">
            <v>LUS44</v>
          </cell>
          <cell r="BA3316">
            <v>2.5099999999999998</v>
          </cell>
        </row>
        <row r="3317">
          <cell r="C3317" t="str">
            <v>4502 - CONNECTR,HANGERS,TIES,ANCHORS</v>
          </cell>
          <cell r="D3317" t="str">
            <v>LUS28-2SS</v>
          </cell>
          <cell r="BA3317">
            <v>16.239999999999998</v>
          </cell>
        </row>
        <row r="3318">
          <cell r="C3318" t="str">
            <v>4502 - CONNECTR,HANGERS,TIES,ANCHORS</v>
          </cell>
          <cell r="D3318" t="str">
            <v>LUS210-3</v>
          </cell>
          <cell r="BA3318">
            <v>5.41</v>
          </cell>
        </row>
        <row r="3319">
          <cell r="C3319" t="str">
            <v>4502 - CONNECTR,HANGERS,TIES,ANCHORS</v>
          </cell>
          <cell r="D3319" t="str">
            <v>SK24-B</v>
          </cell>
          <cell r="BA3319">
            <v>175.29</v>
          </cell>
        </row>
        <row r="3320">
          <cell r="C3320" t="str">
            <v>4502 - CONNECTR,HANGERS,TIES,ANCHORS</v>
          </cell>
          <cell r="D3320" t="str">
            <v>SK18-B</v>
          </cell>
          <cell r="BA3320">
            <v>165.82</v>
          </cell>
        </row>
        <row r="3321">
          <cell r="C3321" t="str">
            <v>4502 - CONNECTR,HANGERS,TIES,ANCHORS</v>
          </cell>
          <cell r="D3321" t="str">
            <v>LUS28SS</v>
          </cell>
          <cell r="BA3321">
            <v>12.22</v>
          </cell>
        </row>
        <row r="3322">
          <cell r="C3322" t="str">
            <v>4502 - CONNECTR,HANGERS,TIES,ANCHORS</v>
          </cell>
          <cell r="D3322" t="str">
            <v>A35SS</v>
          </cell>
          <cell r="BA3322">
            <v>4.0599999999999996</v>
          </cell>
        </row>
        <row r="3323">
          <cell r="C3323" t="str">
            <v>4502 - CONNECTR,HANGERS,TIES,ANCHORS</v>
          </cell>
          <cell r="D3323" t="str">
            <v>LUS262SS</v>
          </cell>
          <cell r="BA3323">
            <v>13.76</v>
          </cell>
        </row>
        <row r="3324">
          <cell r="C3324" t="str">
            <v>4502 - CONNECTR,HANGERS,TIES,ANCHORS</v>
          </cell>
          <cell r="D3324" t="str">
            <v>GR05HG</v>
          </cell>
          <cell r="BA3324">
            <v>81.36</v>
          </cell>
        </row>
        <row r="3325">
          <cell r="C3325" t="str">
            <v>4502 - CONNECTR,HANGERS,TIES,ANCHORS</v>
          </cell>
          <cell r="D3325" t="str">
            <v>GR314148</v>
          </cell>
          <cell r="BA3325">
            <v>110.78</v>
          </cell>
        </row>
        <row r="3326">
          <cell r="C3326" t="str">
            <v>4502 - CONNECTR,HANGERS,TIES,ANCHORS</v>
          </cell>
          <cell r="D3326" t="str">
            <v>GRF18112SS</v>
          </cell>
          <cell r="BA3326">
            <v>44.31</v>
          </cell>
        </row>
        <row r="3327">
          <cell r="C3327" t="str">
            <v>4502 - CONNECTR,HANGERS,TIES,ANCHORS</v>
          </cell>
          <cell r="D3327" t="str">
            <v>MUS26</v>
          </cell>
          <cell r="BA3327">
            <v>2.1</v>
          </cell>
        </row>
        <row r="3328">
          <cell r="C3328" t="str">
            <v>4502 - CONNECTR,HANGERS,TIES,ANCHORS</v>
          </cell>
          <cell r="D3328" t="str">
            <v>JB28</v>
          </cell>
          <cell r="BA3328">
            <v>3.35</v>
          </cell>
        </row>
        <row r="3329">
          <cell r="C3329" t="str">
            <v>4502 - CONNECTR,HANGERS,TIES,ANCHORS</v>
          </cell>
          <cell r="D3329" t="str">
            <v>JB210A</v>
          </cell>
          <cell r="BA3329">
            <v>5.95</v>
          </cell>
        </row>
        <row r="3330">
          <cell r="C3330" t="str">
            <v>4502 - CONNECTR,HANGERS,TIES,ANCHORS</v>
          </cell>
          <cell r="D3330" t="str">
            <v>JB212A</v>
          </cell>
          <cell r="BA3330">
            <v>6.56</v>
          </cell>
        </row>
        <row r="3331">
          <cell r="C3331" t="str">
            <v>4502 - CONNECTR,HANGERS,TIES,ANCHORS</v>
          </cell>
          <cell r="D3331" t="str">
            <v>JB212</v>
          </cell>
          <cell r="BA3331">
            <v>7.24</v>
          </cell>
        </row>
        <row r="3332">
          <cell r="C3332" t="str">
            <v>4502 - CONNECTR,HANGERS,TIES,ANCHORS</v>
          </cell>
          <cell r="D3332" t="str">
            <v>BA210-2</v>
          </cell>
          <cell r="BA3332">
            <v>17.14</v>
          </cell>
        </row>
        <row r="3333">
          <cell r="C3333" t="str">
            <v>4502 - CONNECTR,HANGERS,TIES,ANCHORS</v>
          </cell>
          <cell r="D3333" t="str">
            <v>MIT11.88</v>
          </cell>
          <cell r="BA3333">
            <v>8.44</v>
          </cell>
        </row>
        <row r="3334">
          <cell r="C3334" t="str">
            <v>4502 - CONNECTR,HANGERS,TIES,ANCHORS</v>
          </cell>
          <cell r="D3334" t="str">
            <v>MIT4.28/9.5</v>
          </cell>
          <cell r="BA3334">
            <v>9.4700000000000006</v>
          </cell>
        </row>
        <row r="3335">
          <cell r="C3335" t="str">
            <v>4502 - CONNECTR,HANGERS,TIES,ANCHORS</v>
          </cell>
          <cell r="D3335" t="str">
            <v>MIT4.12/9.5</v>
          </cell>
          <cell r="BA3335">
            <v>9.3699999999999992</v>
          </cell>
        </row>
        <row r="3336">
          <cell r="C3336" t="str">
            <v>4502 - CONNECTR,HANGERS,TIES,ANCHORS</v>
          </cell>
          <cell r="D3336" t="str">
            <v>ITS1.81/9.5</v>
          </cell>
          <cell r="BA3336">
            <v>3.19</v>
          </cell>
        </row>
        <row r="3337">
          <cell r="C3337" t="str">
            <v>4502 - CONNECTR,HANGERS,TIES,ANCHORS</v>
          </cell>
          <cell r="D3337" t="str">
            <v>ITS1.81/11.88</v>
          </cell>
          <cell r="BA3337">
            <v>4.05</v>
          </cell>
        </row>
        <row r="3338">
          <cell r="C3338" t="str">
            <v>4502 - CONNECTR,HANGERS,TIES,ANCHORS</v>
          </cell>
          <cell r="D3338" t="str">
            <v>ITS1.81/14</v>
          </cell>
          <cell r="BA3338">
            <v>5.36</v>
          </cell>
        </row>
        <row r="3339">
          <cell r="C3339" t="str">
            <v>4502 - CONNECTR,HANGERS,TIES,ANCHORS</v>
          </cell>
          <cell r="D3339" t="str">
            <v>ITS1.81/16</v>
          </cell>
          <cell r="BA3339">
            <v>6.42</v>
          </cell>
        </row>
        <row r="3340">
          <cell r="C3340" t="str">
            <v>4502 - CONNECTR,HANGERS,TIES,ANCHORS</v>
          </cell>
          <cell r="D3340" t="str">
            <v>ITS2.06/9.5</v>
          </cell>
          <cell r="BA3340">
            <v>3.82</v>
          </cell>
        </row>
        <row r="3341">
          <cell r="C3341" t="str">
            <v>4502 - CONNECTR,HANGERS,TIES,ANCHORS</v>
          </cell>
          <cell r="D3341" t="str">
            <v>ITS2.06/11.88</v>
          </cell>
          <cell r="BA3341">
            <v>4.41</v>
          </cell>
        </row>
        <row r="3342">
          <cell r="C3342" t="str">
            <v>4502 - CONNECTR,HANGERS,TIES,ANCHORS</v>
          </cell>
          <cell r="D3342" t="str">
            <v>ITS2.56/11.88</v>
          </cell>
          <cell r="BA3342">
            <v>4.8499999999999996</v>
          </cell>
        </row>
        <row r="3343">
          <cell r="C3343" t="str">
            <v>4502 - CONNECTR,HANGERS,TIES,ANCHORS</v>
          </cell>
          <cell r="D3343" t="str">
            <v>ITS2.56/14</v>
          </cell>
          <cell r="BA3343">
            <v>5.54</v>
          </cell>
        </row>
        <row r="3344">
          <cell r="C3344" t="str">
            <v>4502 - CONNECTR,HANGERS,TIES,ANCHORS</v>
          </cell>
          <cell r="D3344" t="str">
            <v>ITS2.56/9.5</v>
          </cell>
          <cell r="BA3344">
            <v>4.22</v>
          </cell>
        </row>
        <row r="3345">
          <cell r="C3345" t="str">
            <v>4502 - CONNECTR,HANGERS,TIES,ANCHORS</v>
          </cell>
          <cell r="D3345" t="str">
            <v>ITS2.37/11.88</v>
          </cell>
          <cell r="BA3345">
            <v>4.76</v>
          </cell>
        </row>
        <row r="3346">
          <cell r="C3346" t="str">
            <v>4502 - CONNECTR,HANGERS,TIES,ANCHORS</v>
          </cell>
          <cell r="D3346" t="str">
            <v>ITS2.37/14</v>
          </cell>
          <cell r="BA3346">
            <v>5.76</v>
          </cell>
        </row>
        <row r="3347">
          <cell r="C3347" t="str">
            <v>4502 - CONNECTR,HANGERS,TIES,ANCHORS</v>
          </cell>
          <cell r="D3347" t="str">
            <v>ITS2.37/9.5</v>
          </cell>
          <cell r="BA3347">
            <v>4.1399999999999997</v>
          </cell>
        </row>
        <row r="3348">
          <cell r="C3348" t="str">
            <v>4502 - CONNECTR,HANGERS,TIES,ANCHORS</v>
          </cell>
          <cell r="D3348" t="str">
            <v>ITS3.56/9.5</v>
          </cell>
          <cell r="BA3348">
            <v>5.53</v>
          </cell>
        </row>
        <row r="3349">
          <cell r="C3349" t="str">
            <v>4502 - CONNECTR,HANGERS,TIES,ANCHORS</v>
          </cell>
          <cell r="D3349" t="str">
            <v>ITS3.56/11.88</v>
          </cell>
          <cell r="BA3349">
            <v>5.76</v>
          </cell>
        </row>
        <row r="3350">
          <cell r="C3350" t="str">
            <v>4502 - CONNECTR,HANGERS,TIES,ANCHORS</v>
          </cell>
          <cell r="D3350" t="str">
            <v>ITS3.56/14</v>
          </cell>
          <cell r="BA3350">
            <v>6.42</v>
          </cell>
        </row>
        <row r="3351">
          <cell r="C3351" t="str">
            <v>4502 - CONNECTR,HANGERS,TIES,ANCHORS</v>
          </cell>
          <cell r="D3351" t="str">
            <v>ITS3.56/16</v>
          </cell>
          <cell r="BA3351">
            <v>7.49</v>
          </cell>
        </row>
        <row r="3352">
          <cell r="C3352" t="str">
            <v>4502 - CONNECTR,HANGERS,TIES,ANCHORS</v>
          </cell>
          <cell r="D3352" t="str">
            <v>BA156/11.25SKL45</v>
          </cell>
          <cell r="BA3352">
            <v>40.71</v>
          </cell>
        </row>
        <row r="3353">
          <cell r="C3353" t="str">
            <v>4502 - CONNECTR,HANGERS,TIES,ANCHORS</v>
          </cell>
          <cell r="D3353" t="str">
            <v>BA156/11.25SKR45</v>
          </cell>
          <cell r="BA3353">
            <v>42.19</v>
          </cell>
        </row>
        <row r="3354">
          <cell r="C3354" t="str">
            <v>4502 - CONNECTR,HANGERS,TIES,ANCHORS</v>
          </cell>
          <cell r="D3354" t="str">
            <v>BA3.56/9.5</v>
          </cell>
          <cell r="BA3354">
            <v>13.79</v>
          </cell>
        </row>
        <row r="3355">
          <cell r="C3355" t="str">
            <v>4502 - CONNECTR,HANGERS,TIES,ANCHORS</v>
          </cell>
          <cell r="D3355" t="str">
            <v>HU410TF</v>
          </cell>
          <cell r="BA3355">
            <v>32.270000000000003</v>
          </cell>
        </row>
        <row r="3356">
          <cell r="C3356" t="str">
            <v>4502 - CONNECTR,HANGERS,TIES,ANCHORS</v>
          </cell>
          <cell r="D3356" t="str">
            <v>THA213</v>
          </cell>
          <cell r="BA3356">
            <v>4.5</v>
          </cell>
        </row>
        <row r="3357">
          <cell r="C3357" t="str">
            <v>4502 - CONNECTR,HANGERS,TIES,ANCHORS</v>
          </cell>
          <cell r="D3357" t="str">
            <v>WP210-2</v>
          </cell>
          <cell r="BA3357">
            <v>27.18</v>
          </cell>
        </row>
        <row r="3358">
          <cell r="C3358" t="str">
            <v>4502 - CONNECTR,HANGERS,TIES,ANCHORS</v>
          </cell>
          <cell r="D3358" t="str">
            <v>MIT359.5-2</v>
          </cell>
          <cell r="BA3358">
            <v>8.92</v>
          </cell>
        </row>
        <row r="3359">
          <cell r="C3359" t="str">
            <v>4502 - CONNECTR,HANGERS,TIES,ANCHORS</v>
          </cell>
          <cell r="D3359" t="str">
            <v>MIT411.88</v>
          </cell>
          <cell r="BA3359">
            <v>8.9600000000000009</v>
          </cell>
        </row>
        <row r="3360">
          <cell r="C3360" t="str">
            <v>4502 - CONNECTR,HANGERS,TIES,ANCHORS</v>
          </cell>
          <cell r="D3360" t="str">
            <v>MIT4.12/11.88</v>
          </cell>
          <cell r="BA3360">
            <v>9.6300000000000008</v>
          </cell>
        </row>
        <row r="3361">
          <cell r="C3361" t="str">
            <v>4502 - CONNECTR,HANGERS,TIES,ANCHORS</v>
          </cell>
          <cell r="D3361" t="str">
            <v>MIT49.5</v>
          </cell>
          <cell r="BA3361">
            <v>8.83</v>
          </cell>
        </row>
        <row r="3362">
          <cell r="C3362" t="str">
            <v>4502 - CONNECTR,HANGERS,TIES,ANCHORS</v>
          </cell>
          <cell r="D3362" t="str">
            <v>HU212-3</v>
          </cell>
          <cell r="BA3362">
            <v>41.6</v>
          </cell>
        </row>
        <row r="3363">
          <cell r="C3363" t="str">
            <v>4502 - CONNECTR,HANGERS,TIES,ANCHORS</v>
          </cell>
          <cell r="D3363" t="str">
            <v>HU212-3TF</v>
          </cell>
          <cell r="BA3363">
            <v>55.58</v>
          </cell>
        </row>
        <row r="3364">
          <cell r="C3364" t="str">
            <v>4502 - CONNECTR,HANGERS,TIES,ANCHORS</v>
          </cell>
          <cell r="D3364" t="str">
            <v>HGUS5.50/10</v>
          </cell>
          <cell r="BA3364">
            <v>53.35</v>
          </cell>
        </row>
        <row r="3365">
          <cell r="C3365" t="str">
            <v>4502 - CONNECTR,HANGERS,TIES,ANCHORS</v>
          </cell>
          <cell r="D3365" t="str">
            <v>HHUS46</v>
          </cell>
          <cell r="BA3365">
            <v>6.67</v>
          </cell>
        </row>
        <row r="3366">
          <cell r="C3366" t="str">
            <v>4502 - CONNECTR,HANGERS,TIES,ANCHORS</v>
          </cell>
          <cell r="D3366" t="str">
            <v>HU11</v>
          </cell>
          <cell r="BA3366">
            <v>13.94</v>
          </cell>
        </row>
        <row r="3367">
          <cell r="C3367" t="str">
            <v>4502 - CONNECTR,HANGERS,TIES,ANCHORS</v>
          </cell>
          <cell r="D3367" t="str">
            <v>HU14</v>
          </cell>
          <cell r="BA3367">
            <v>22.12</v>
          </cell>
        </row>
        <row r="3368">
          <cell r="C3368" t="str">
            <v>4502 - CONNECTR,HANGERS,TIES,ANCHORS</v>
          </cell>
          <cell r="D3368" t="str">
            <v>HU210</v>
          </cell>
          <cell r="BA3368">
            <v>8.6</v>
          </cell>
        </row>
        <row r="3369">
          <cell r="C3369" t="str">
            <v>4502 - CONNECTR,HANGERS,TIES,ANCHORS</v>
          </cell>
          <cell r="D3369" t="str">
            <v>HU48</v>
          </cell>
          <cell r="BA3369">
            <v>11.36</v>
          </cell>
        </row>
        <row r="3370">
          <cell r="C3370" t="str">
            <v>4502 - CONNECTR,HANGERS,TIES,ANCHORS</v>
          </cell>
          <cell r="D3370" t="str">
            <v>HU48TF</v>
          </cell>
          <cell r="BA3370">
            <v>26.79</v>
          </cell>
        </row>
        <row r="3371">
          <cell r="C3371" t="str">
            <v>4502 - CONNECTR,HANGERS,TIES,ANCHORS</v>
          </cell>
          <cell r="D3371" t="str">
            <v>HU48Z</v>
          </cell>
          <cell r="BA3371">
            <v>16.04</v>
          </cell>
        </row>
        <row r="3372">
          <cell r="C3372" t="str">
            <v>4502 - CONNECTR,HANGERS,TIES,ANCHORS</v>
          </cell>
          <cell r="D3372" t="str">
            <v>HU610</v>
          </cell>
          <cell r="BA3372">
            <v>16.420000000000002</v>
          </cell>
        </row>
        <row r="3373">
          <cell r="C3373" t="str">
            <v>4502 - CONNECTR,HANGERS,TIES,ANCHORS</v>
          </cell>
          <cell r="D3373" t="str">
            <v>HU610Z</v>
          </cell>
          <cell r="BA3373">
            <v>30.85</v>
          </cell>
        </row>
        <row r="3374">
          <cell r="C3374" t="str">
            <v>4502 - CONNECTR,HANGERS,TIES,ANCHORS</v>
          </cell>
          <cell r="D3374" t="str">
            <v>HU612</v>
          </cell>
          <cell r="BA3374">
            <v>19.649999999999999</v>
          </cell>
        </row>
        <row r="3375">
          <cell r="C3375" t="str">
            <v>4502 - CONNECTR,HANGERS,TIES,ANCHORS</v>
          </cell>
          <cell r="D3375" t="str">
            <v>HU612TF</v>
          </cell>
          <cell r="BA3375">
            <v>38.76</v>
          </cell>
        </row>
        <row r="3376">
          <cell r="C3376" t="str">
            <v>4502 - CONNECTR,HANGERS,TIES,ANCHORS</v>
          </cell>
          <cell r="D3376" t="str">
            <v>HU614</v>
          </cell>
          <cell r="BA3376">
            <v>23.94</v>
          </cell>
        </row>
        <row r="3377">
          <cell r="C3377" t="str">
            <v>4502 - CONNECTR,HANGERS,TIES,ANCHORS</v>
          </cell>
          <cell r="D3377" t="str">
            <v>HU616</v>
          </cell>
          <cell r="BA3377">
            <v>32.270000000000003</v>
          </cell>
        </row>
        <row r="3378">
          <cell r="C3378" t="str">
            <v>4502 - CONNECTR,HANGERS,TIES,ANCHORS</v>
          </cell>
          <cell r="D3378" t="str">
            <v>HU66</v>
          </cell>
          <cell r="BA3378">
            <v>11.36</v>
          </cell>
        </row>
        <row r="3379">
          <cell r="C3379" t="str">
            <v>4502 - CONNECTR,HANGERS,TIES,ANCHORS</v>
          </cell>
          <cell r="D3379" t="str">
            <v>HU68</v>
          </cell>
          <cell r="BA3379">
            <v>15.53</v>
          </cell>
        </row>
        <row r="3380">
          <cell r="C3380" t="str">
            <v>4502 - CONNECTR,HANGERS,TIES,ANCHORS</v>
          </cell>
          <cell r="D3380" t="str">
            <v>HU68Z</v>
          </cell>
          <cell r="BA3380">
            <v>23.53</v>
          </cell>
        </row>
        <row r="3381">
          <cell r="C3381" t="str">
            <v>4502 - CONNECTR,HANGERS,TIES,ANCHORS</v>
          </cell>
          <cell r="D3381" t="str">
            <v>HU9</v>
          </cell>
          <cell r="BA3381">
            <v>12.82</v>
          </cell>
        </row>
        <row r="3382">
          <cell r="C3382" t="str">
            <v>4502 - CONNECTR,HANGERS,TIES,ANCHORS</v>
          </cell>
          <cell r="D3382" t="str">
            <v>HUC410</v>
          </cell>
          <cell r="BA3382">
            <v>12.82</v>
          </cell>
        </row>
        <row r="3383">
          <cell r="C3383" t="str">
            <v>4502 - CONNECTR,HANGERS,TIES,ANCHORS</v>
          </cell>
          <cell r="D3383" t="str">
            <v>HUC410SS</v>
          </cell>
          <cell r="BA3383">
            <v>76.489999999999995</v>
          </cell>
        </row>
        <row r="3384">
          <cell r="C3384" t="str">
            <v>4502 - CONNECTR,HANGERS,TIES,ANCHORS</v>
          </cell>
          <cell r="D3384" t="str">
            <v>HUC410Z</v>
          </cell>
          <cell r="BA3384">
            <v>18.82</v>
          </cell>
        </row>
        <row r="3385">
          <cell r="C3385" t="str">
            <v>4502 - CONNECTR,HANGERS,TIES,ANCHORS</v>
          </cell>
          <cell r="D3385" t="str">
            <v>HUC412</v>
          </cell>
          <cell r="BA3385">
            <v>16.190000000000001</v>
          </cell>
        </row>
        <row r="3386">
          <cell r="C3386" t="str">
            <v>4502 - CONNECTR,HANGERS,TIES,ANCHORS</v>
          </cell>
          <cell r="D3386" t="str">
            <v>HUC412Z</v>
          </cell>
          <cell r="BA3386">
            <v>21.72</v>
          </cell>
        </row>
        <row r="3387">
          <cell r="C3387" t="str">
            <v>4502 - CONNECTR,HANGERS,TIES,ANCHORS</v>
          </cell>
          <cell r="D3387" t="str">
            <v>HUC414</v>
          </cell>
          <cell r="BA3387">
            <v>19.54</v>
          </cell>
        </row>
        <row r="3388">
          <cell r="C3388" t="str">
            <v>4502 - CONNECTR,HANGERS,TIES,ANCHORS</v>
          </cell>
          <cell r="D3388" t="str">
            <v>HUC416</v>
          </cell>
          <cell r="BA3388">
            <v>22.72</v>
          </cell>
        </row>
        <row r="3389">
          <cell r="C3389" t="str">
            <v>4502 - CONNECTR,HANGERS,TIES,ANCHORS</v>
          </cell>
          <cell r="D3389" t="str">
            <v>HUC46</v>
          </cell>
          <cell r="BA3389">
            <v>9.68</v>
          </cell>
        </row>
        <row r="3390">
          <cell r="C3390" t="str">
            <v>4502 - CONNECTR,HANGERS,TIES,ANCHORS</v>
          </cell>
          <cell r="D3390" t="str">
            <v>HUC46Z</v>
          </cell>
          <cell r="BA3390">
            <v>12.88</v>
          </cell>
        </row>
        <row r="3391">
          <cell r="C3391" t="str">
            <v>4502 - CONNECTR,HANGERS,TIES,ANCHORS</v>
          </cell>
          <cell r="D3391" t="str">
            <v>HUC48</v>
          </cell>
          <cell r="BA3391">
            <v>11.36</v>
          </cell>
        </row>
        <row r="3392">
          <cell r="C3392" t="str">
            <v>4502 - CONNECTR,HANGERS,TIES,ANCHORS</v>
          </cell>
          <cell r="D3392" t="str">
            <v>HUC48SS</v>
          </cell>
          <cell r="BA3392">
            <v>67.959999999999994</v>
          </cell>
        </row>
        <row r="3393">
          <cell r="C3393" t="str">
            <v>4502 - CONNECTR,HANGERS,TIES,ANCHORS</v>
          </cell>
          <cell r="D3393" t="str">
            <v>HUC48Z</v>
          </cell>
          <cell r="BA3393">
            <v>16.04</v>
          </cell>
        </row>
        <row r="3394">
          <cell r="C3394" t="str">
            <v>4502 - CONNECTR,HANGERS,TIES,ANCHORS</v>
          </cell>
          <cell r="D3394" t="str">
            <v>HUC610</v>
          </cell>
          <cell r="BA3394">
            <v>16.420000000000002</v>
          </cell>
        </row>
        <row r="3395">
          <cell r="C3395" t="str">
            <v>4502 - CONNECTR,HANGERS,TIES,ANCHORS</v>
          </cell>
          <cell r="D3395" t="str">
            <v>HUC612</v>
          </cell>
          <cell r="BA3395">
            <v>19.649999999999999</v>
          </cell>
        </row>
        <row r="3396">
          <cell r="C3396" t="str">
            <v>4502 - CONNECTR,HANGERS,TIES,ANCHORS</v>
          </cell>
          <cell r="D3396" t="str">
            <v>HUC612Z</v>
          </cell>
          <cell r="BA3396">
            <v>39.58</v>
          </cell>
        </row>
        <row r="3397">
          <cell r="C3397" t="str">
            <v>4502 - CONNECTR,HANGERS,TIES,ANCHORS</v>
          </cell>
          <cell r="D3397" t="str">
            <v>HUC614</v>
          </cell>
          <cell r="BA3397">
            <v>23.94</v>
          </cell>
        </row>
        <row r="3398">
          <cell r="C3398" t="str">
            <v>4502 - CONNECTR,HANGERS,TIES,ANCHORS</v>
          </cell>
          <cell r="D3398" t="str">
            <v>HUC66</v>
          </cell>
          <cell r="BA3398">
            <v>11.36</v>
          </cell>
        </row>
        <row r="3399">
          <cell r="C3399" t="str">
            <v>4502 - CONNECTR,HANGERS,TIES,ANCHORS</v>
          </cell>
          <cell r="D3399" t="str">
            <v>HUC68</v>
          </cell>
          <cell r="BA3399">
            <v>15.53</v>
          </cell>
        </row>
        <row r="3400">
          <cell r="C3400" t="str">
            <v>4502 - CONNECTR,HANGERS,TIES,ANCHORS</v>
          </cell>
          <cell r="D3400" t="str">
            <v>HUC68Z</v>
          </cell>
          <cell r="BA3400">
            <v>23.53</v>
          </cell>
        </row>
        <row r="3401">
          <cell r="C3401" t="str">
            <v>4502 - CONNECTR,HANGERS,TIES,ANCHORS</v>
          </cell>
          <cell r="D3401" t="str">
            <v>HUCQ1.81/9-SDS</v>
          </cell>
          <cell r="BA3401">
            <v>29.42</v>
          </cell>
        </row>
        <row r="3402">
          <cell r="C3402" t="str">
            <v>4502 - CONNECTR,HANGERS,TIES,ANCHORS</v>
          </cell>
          <cell r="D3402" t="str">
            <v>IUS1.81/11.88</v>
          </cell>
          <cell r="BA3402">
            <v>3.78</v>
          </cell>
        </row>
        <row r="3403">
          <cell r="C3403" t="str">
            <v>4502 - CONNECTR,HANGERS,TIES,ANCHORS</v>
          </cell>
          <cell r="D3403" t="str">
            <v>IUS1.81/14</v>
          </cell>
          <cell r="BA3403">
            <v>4.8600000000000003</v>
          </cell>
        </row>
        <row r="3404">
          <cell r="C3404" t="str">
            <v>4502 - CONNECTR,HANGERS,TIES,ANCHORS</v>
          </cell>
          <cell r="D3404" t="str">
            <v>IUS1.81/16</v>
          </cell>
          <cell r="BA3404">
            <v>5.63</v>
          </cell>
        </row>
        <row r="3405">
          <cell r="C3405" t="str">
            <v>4502 - CONNECTR,HANGERS,TIES,ANCHORS</v>
          </cell>
          <cell r="D3405" t="str">
            <v>IUS1.81/9.5</v>
          </cell>
          <cell r="BA3405">
            <v>3.19</v>
          </cell>
        </row>
        <row r="3406">
          <cell r="C3406" t="str">
            <v>4502 - CONNECTR,HANGERS,TIES,ANCHORS</v>
          </cell>
          <cell r="D3406" t="str">
            <v>IUS2.06/11.88</v>
          </cell>
          <cell r="BA3406">
            <v>4.1500000000000004</v>
          </cell>
        </row>
        <row r="3407">
          <cell r="C3407" t="str">
            <v>4502 - CONNECTR,HANGERS,TIES,ANCHORS</v>
          </cell>
          <cell r="D3407" t="str">
            <v>IUS2.06/14</v>
          </cell>
          <cell r="BA3407">
            <v>5.05</v>
          </cell>
        </row>
        <row r="3408">
          <cell r="C3408" t="str">
            <v>4502 - CONNECTR,HANGERS,TIES,ANCHORS</v>
          </cell>
          <cell r="D3408" t="str">
            <v>IUS2.06/9.5</v>
          </cell>
          <cell r="BA3408">
            <v>3.44</v>
          </cell>
        </row>
        <row r="3409">
          <cell r="C3409" t="str">
            <v>4502 - CONNECTR,HANGERS,TIES,ANCHORS</v>
          </cell>
          <cell r="D3409" t="str">
            <v>IUS2.37/11.88</v>
          </cell>
          <cell r="BA3409">
            <v>4.1900000000000004</v>
          </cell>
        </row>
        <row r="3410">
          <cell r="C3410" t="str">
            <v>4502 - CONNECTR,HANGERS,TIES,ANCHORS</v>
          </cell>
          <cell r="D3410" t="str">
            <v>IUS2.37/14</v>
          </cell>
          <cell r="BA3410">
            <v>4.95</v>
          </cell>
        </row>
        <row r="3411">
          <cell r="C3411" t="str">
            <v>4502 - CONNECTR,HANGERS,TIES,ANCHORS</v>
          </cell>
          <cell r="D3411" t="str">
            <v>IUS2.37/16</v>
          </cell>
          <cell r="BA3411">
            <v>6.03</v>
          </cell>
        </row>
        <row r="3412">
          <cell r="C3412" t="str">
            <v>4502 - CONNECTR,HANGERS,TIES,ANCHORS</v>
          </cell>
          <cell r="D3412" t="str">
            <v>IUS2.37/9.5</v>
          </cell>
          <cell r="BA3412">
            <v>3.65</v>
          </cell>
        </row>
        <row r="3413">
          <cell r="C3413" t="str">
            <v>4502 - CONNECTR,HANGERS,TIES,ANCHORS</v>
          </cell>
          <cell r="D3413" t="str">
            <v>IUS2.56/11.88</v>
          </cell>
          <cell r="BA3413">
            <v>4.1399999999999997</v>
          </cell>
        </row>
        <row r="3414">
          <cell r="C3414" t="str">
            <v>4502 - CONNECTR,HANGERS,TIES,ANCHORS</v>
          </cell>
          <cell r="D3414" t="str">
            <v>IUS2.56/14</v>
          </cell>
          <cell r="BA3414">
            <v>4.8600000000000003</v>
          </cell>
        </row>
        <row r="3415">
          <cell r="C3415" t="str">
            <v>4502 - CONNECTR,HANGERS,TIES,ANCHORS</v>
          </cell>
          <cell r="D3415" t="str">
            <v>IUS2.56/9.5</v>
          </cell>
          <cell r="BA3415">
            <v>3.77</v>
          </cell>
        </row>
        <row r="3416">
          <cell r="C3416" t="str">
            <v>4502 - CONNECTR,HANGERS,TIES,ANCHORS</v>
          </cell>
          <cell r="D3416" t="str">
            <v>IUS3.56/11.88</v>
          </cell>
          <cell r="BA3416">
            <v>4.41</v>
          </cell>
        </row>
        <row r="3417">
          <cell r="C3417" t="str">
            <v>4502 - CONNECTR,HANGERS,TIES,ANCHORS</v>
          </cell>
          <cell r="D3417" t="str">
            <v>IUS3.56/14</v>
          </cell>
          <cell r="BA3417">
            <v>5.22</v>
          </cell>
        </row>
        <row r="3418">
          <cell r="C3418" t="str">
            <v>4502 - CONNECTR,HANGERS,TIES,ANCHORS</v>
          </cell>
          <cell r="D3418" t="str">
            <v>IUS3.56/16</v>
          </cell>
          <cell r="BA3418">
            <v>6.35</v>
          </cell>
        </row>
        <row r="3419">
          <cell r="C3419" t="str">
            <v>4502 - CONNECTR,HANGERS,TIES,ANCHORS</v>
          </cell>
          <cell r="D3419" t="str">
            <v>IUS3.56/9.5</v>
          </cell>
          <cell r="BA3419">
            <v>4.1900000000000004</v>
          </cell>
        </row>
        <row r="3420">
          <cell r="C3420" t="str">
            <v>4502 - CONNECTR,HANGERS,TIES,ANCHORS</v>
          </cell>
          <cell r="D3420" t="str">
            <v>MIU2.37/14</v>
          </cell>
          <cell r="BA3420">
            <v>20.059999999999999</v>
          </cell>
        </row>
        <row r="3421">
          <cell r="C3421" t="str">
            <v>4502 - CONNECTR,HANGERS,TIES,ANCHORS</v>
          </cell>
          <cell r="D3421" t="str">
            <v>MIU4.12/11</v>
          </cell>
          <cell r="BA3421">
            <v>15.77</v>
          </cell>
        </row>
        <row r="3422">
          <cell r="C3422" t="str">
            <v>4502 - CONNECTR,HANGERS,TIES,ANCHORS</v>
          </cell>
          <cell r="D3422" t="str">
            <v>MIU4.28/11</v>
          </cell>
          <cell r="BA3422">
            <v>15.77</v>
          </cell>
        </row>
        <row r="3423">
          <cell r="C3423" t="str">
            <v>4502 - CONNECTR,HANGERS,TIES,ANCHORS</v>
          </cell>
          <cell r="D3423" t="str">
            <v>5675200HDG</v>
          </cell>
          <cell r="BA3423">
            <v>8.2200000000000006</v>
          </cell>
        </row>
        <row r="3424">
          <cell r="C3424" t="str">
            <v>4502 - CONNECTR,HANGERS,TIES,ANCHORS</v>
          </cell>
          <cell r="D3424" t="str">
            <v>AM7/8</v>
          </cell>
          <cell r="BA3424">
            <v>2.17</v>
          </cell>
        </row>
        <row r="3425">
          <cell r="C3425" t="str">
            <v>4502 - CONNECTR,HANGERS,TIES,ANCHORS</v>
          </cell>
          <cell r="D3425" t="str">
            <v>HGUS26-2</v>
          </cell>
          <cell r="BA3425">
            <v>21.54</v>
          </cell>
        </row>
        <row r="3426">
          <cell r="C3426" t="str">
            <v>4502 - CONNECTR,HANGERS,TIES,ANCHORS</v>
          </cell>
          <cell r="D3426" t="str">
            <v>HHUS410</v>
          </cell>
          <cell r="BA3426">
            <v>9.86</v>
          </cell>
        </row>
        <row r="3427">
          <cell r="C3427" t="str">
            <v>4502 - CONNECTR,HANGERS,TIES,ANCHORS</v>
          </cell>
          <cell r="D3427" t="str">
            <v>HU212-2</v>
          </cell>
          <cell r="BA3427">
            <v>20.059999999999999</v>
          </cell>
        </row>
        <row r="3428">
          <cell r="C3428" t="str">
            <v>4502 - CONNECTR,HANGERS,TIES,ANCHORS</v>
          </cell>
          <cell r="D3428" t="str">
            <v>HU410</v>
          </cell>
          <cell r="BA3428">
            <v>12.82</v>
          </cell>
        </row>
        <row r="3429">
          <cell r="C3429" t="str">
            <v>4502 - CONNECTR,HANGERS,TIES,ANCHORS</v>
          </cell>
          <cell r="D3429" t="str">
            <v>HU410Z</v>
          </cell>
          <cell r="BA3429">
            <v>18.82</v>
          </cell>
        </row>
        <row r="3430">
          <cell r="C3430" t="str">
            <v>4502 - CONNECTR,HANGERS,TIES,ANCHORS</v>
          </cell>
          <cell r="D3430" t="str">
            <v>HU412</v>
          </cell>
          <cell r="BA3430">
            <v>16.149999999999999</v>
          </cell>
        </row>
        <row r="3431">
          <cell r="C3431" t="str">
            <v>4502 - CONNECTR,HANGERS,TIES,ANCHORS</v>
          </cell>
          <cell r="D3431" t="str">
            <v>HU412TF</v>
          </cell>
          <cell r="BA3431">
            <v>34.9</v>
          </cell>
        </row>
        <row r="3432">
          <cell r="C3432" t="str">
            <v>4502 - CONNECTR,HANGERS,TIES,ANCHORS</v>
          </cell>
          <cell r="D3432" t="str">
            <v>HU412Z</v>
          </cell>
          <cell r="BA3432">
            <v>21.72</v>
          </cell>
        </row>
        <row r="3433">
          <cell r="C3433" t="str">
            <v>4502 - CONNECTR,HANGERS,TIES,ANCHORS</v>
          </cell>
          <cell r="D3433" t="str">
            <v>HU414</v>
          </cell>
          <cell r="BA3433">
            <v>19.54</v>
          </cell>
        </row>
        <row r="3434">
          <cell r="C3434" t="str">
            <v>4502 - CONNECTR,HANGERS,TIES,ANCHORS</v>
          </cell>
          <cell r="D3434" t="str">
            <v>HU416</v>
          </cell>
          <cell r="BA3434">
            <v>21.51</v>
          </cell>
        </row>
        <row r="3435">
          <cell r="C3435" t="str">
            <v>4502 - CONNECTR,HANGERS,TIES,ANCHORS</v>
          </cell>
          <cell r="D3435" t="str">
            <v>HU46</v>
          </cell>
          <cell r="BA3435">
            <v>9.68</v>
          </cell>
        </row>
        <row r="3436">
          <cell r="C3436" t="str">
            <v>4502 - CONNECTR,HANGERS,TIES,ANCHORS</v>
          </cell>
          <cell r="D3436" t="str">
            <v>HU46Z</v>
          </cell>
          <cell r="BA3436">
            <v>12.88</v>
          </cell>
        </row>
        <row r="3437">
          <cell r="C3437" t="str">
            <v>4502 - CONNECTR,HANGERS,TIES,ANCHORS</v>
          </cell>
          <cell r="D3437" t="str">
            <v>HUC210-2</v>
          </cell>
          <cell r="BA3437">
            <v>16.809999999999999</v>
          </cell>
        </row>
        <row r="3438">
          <cell r="C3438" t="str">
            <v>4502 - CONNECTR,HANGERS,TIES,ANCHORS</v>
          </cell>
          <cell r="D3438" t="str">
            <v>HUC212-2</v>
          </cell>
          <cell r="BA3438">
            <v>20.059999999999999</v>
          </cell>
        </row>
        <row r="3439">
          <cell r="C3439" t="str">
            <v>4502 - CONNECTR,HANGERS,TIES,ANCHORS</v>
          </cell>
          <cell r="D3439" t="str">
            <v>HUC26-2</v>
          </cell>
          <cell r="BA3439">
            <v>13.13</v>
          </cell>
        </row>
        <row r="3440">
          <cell r="C3440" t="str">
            <v>4502 - CONNECTR,HANGERS,TIES,ANCHORS</v>
          </cell>
          <cell r="D3440" t="str">
            <v>HUC28-2</v>
          </cell>
          <cell r="BA3440">
            <v>15.53</v>
          </cell>
        </row>
        <row r="3441">
          <cell r="C3441" t="str">
            <v>4502 - CONNECTR,HANGERS,TIES,ANCHORS</v>
          </cell>
          <cell r="D3441" t="str">
            <v>MIU4.75/11</v>
          </cell>
          <cell r="BA3441">
            <v>16.329999999999998</v>
          </cell>
        </row>
        <row r="3442">
          <cell r="C3442" t="str">
            <v>4502 - CONNECTR,HANGERS,TIES,ANCHORS</v>
          </cell>
          <cell r="D3442" t="str">
            <v>MIU4.75/14</v>
          </cell>
          <cell r="BA3442">
            <v>24.35</v>
          </cell>
        </row>
        <row r="3443">
          <cell r="C3443" t="str">
            <v>4502 - CONNECTR,HANGERS,TIES,ANCHORS</v>
          </cell>
          <cell r="D3443" t="str">
            <v>U210-2</v>
          </cell>
          <cell r="BA3443">
            <v>5.47</v>
          </cell>
        </row>
        <row r="3444">
          <cell r="C3444" t="str">
            <v>4502 - CONNECTR,HANGERS,TIES,ANCHORS</v>
          </cell>
          <cell r="D3444" t="str">
            <v>HHUS5.50/10</v>
          </cell>
          <cell r="BA3444">
            <v>21.51</v>
          </cell>
        </row>
        <row r="3445">
          <cell r="C3445" t="str">
            <v>4502 - CONNECTR,HANGERS,TIES,ANCHORS</v>
          </cell>
          <cell r="D3445" t="str">
            <v>THA422</v>
          </cell>
          <cell r="BA3445">
            <v>5.0599999999999996</v>
          </cell>
        </row>
        <row r="3446">
          <cell r="C3446" t="str">
            <v>4502 - CONNECTR,HANGERS,TIES,ANCHORS</v>
          </cell>
          <cell r="D3446" t="str">
            <v>THAC422</v>
          </cell>
          <cell r="BA3446">
            <v>5.0599999999999996</v>
          </cell>
        </row>
        <row r="3447">
          <cell r="C3447" t="str">
            <v>4502 - CONNECTR,HANGERS,TIES,ANCHORS</v>
          </cell>
          <cell r="D3447" t="str">
            <v>APA4</v>
          </cell>
          <cell r="BA3447">
            <v>4.4000000000000004</v>
          </cell>
        </row>
        <row r="3448">
          <cell r="C3448" t="str">
            <v>4502 - CONNECTR,HANGERS,TIES,ANCHORS</v>
          </cell>
          <cell r="D3448" t="str">
            <v>APA6</v>
          </cell>
          <cell r="BA3448">
            <v>8.82</v>
          </cell>
        </row>
        <row r="3449">
          <cell r="C3449" t="str">
            <v>4502 - CONNECTR,HANGERS,TIES,ANCHORS</v>
          </cell>
          <cell r="D3449" t="str">
            <v>DSC2L-SDS3</v>
          </cell>
          <cell r="BA3449">
            <v>55.38</v>
          </cell>
        </row>
        <row r="3450">
          <cell r="C3450" t="str">
            <v>4502 - CONNECTR,HANGERS,TIES,ANCHORS</v>
          </cell>
          <cell r="D3450" t="str">
            <v>DSC2R-SDS3</v>
          </cell>
          <cell r="BA3450">
            <v>55.38</v>
          </cell>
        </row>
        <row r="3451">
          <cell r="C3451" t="str">
            <v>4502 - CONNECTR,HANGERS,TIES,ANCHORS</v>
          </cell>
          <cell r="D3451" t="str">
            <v>DSC5L-SDS3</v>
          </cell>
          <cell r="BA3451">
            <v>135.72999999999999</v>
          </cell>
        </row>
        <row r="3452">
          <cell r="C3452" t="str">
            <v>4502 - CONNECTR,HANGERS,TIES,ANCHORS</v>
          </cell>
          <cell r="D3452" t="str">
            <v>DSC5R-SDS3</v>
          </cell>
          <cell r="BA3452">
            <v>135.72999999999999</v>
          </cell>
        </row>
        <row r="3453">
          <cell r="C3453" t="str">
            <v>4502 - CONNECTR,HANGERS,TIES,ANCHORS</v>
          </cell>
          <cell r="D3453" t="str">
            <v>HUS210</v>
          </cell>
          <cell r="BA3453">
            <v>4.82</v>
          </cell>
        </row>
        <row r="3454">
          <cell r="C3454" t="str">
            <v>4502 - CONNECTR,HANGERS,TIES,ANCHORS</v>
          </cell>
          <cell r="D3454" t="str">
            <v>HHUS210-2</v>
          </cell>
          <cell r="BA3454">
            <v>7.1</v>
          </cell>
        </row>
        <row r="3455">
          <cell r="C3455" t="str">
            <v>4502 - CONNECTR,HANGERS,TIES,ANCHORS</v>
          </cell>
          <cell r="D3455" t="str">
            <v>LSU26</v>
          </cell>
          <cell r="BA3455">
            <v>6.82</v>
          </cell>
        </row>
        <row r="3456">
          <cell r="C3456" t="str">
            <v>4502 - CONNECTR,HANGERS,TIES,ANCHORS</v>
          </cell>
          <cell r="D3456" t="str">
            <v>LSU26Z</v>
          </cell>
          <cell r="BA3456">
            <v>4.5199999999999996</v>
          </cell>
        </row>
        <row r="3457">
          <cell r="C3457" t="str">
            <v>4502 - CONNECTR,HANGERS,TIES,ANCHORS</v>
          </cell>
          <cell r="D3457" t="str">
            <v>HGUS410</v>
          </cell>
          <cell r="BA3457">
            <v>38.97</v>
          </cell>
        </row>
        <row r="3458">
          <cell r="C3458" t="str">
            <v>4502 - CONNECTR,HANGERS,TIES,ANCHORS</v>
          </cell>
          <cell r="D3458" t="str">
            <v>HGUS414</v>
          </cell>
          <cell r="BA3458">
            <v>50.32</v>
          </cell>
        </row>
        <row r="3459">
          <cell r="C3459" t="str">
            <v>4502 - CONNECTR,HANGERS,TIES,ANCHORS</v>
          </cell>
          <cell r="D3459" t="str">
            <v>HGUS48</v>
          </cell>
          <cell r="BA3459">
            <v>27.38</v>
          </cell>
        </row>
        <row r="3460">
          <cell r="C3460" t="str">
            <v>4502 - CONNECTR,HANGERS,TIES,ANCHORS</v>
          </cell>
          <cell r="D3460" t="str">
            <v>LSSJ210LZ</v>
          </cell>
          <cell r="BA3460">
            <v>13.15</v>
          </cell>
        </row>
        <row r="3461">
          <cell r="C3461" t="str">
            <v>4502 - CONNECTR,HANGERS,TIES,ANCHORS</v>
          </cell>
          <cell r="D3461" t="str">
            <v>LSSJ210RZ</v>
          </cell>
          <cell r="BA3461">
            <v>13.15</v>
          </cell>
        </row>
        <row r="3462">
          <cell r="C3462" t="str">
            <v>4502 - CONNECTR,HANGERS,TIES,ANCHORS</v>
          </cell>
          <cell r="D3462" t="str">
            <v>LSSJ28LZ</v>
          </cell>
          <cell r="BA3462">
            <v>12.82</v>
          </cell>
        </row>
        <row r="3463">
          <cell r="C3463" t="str">
            <v>4502 - CONNECTR,HANGERS,TIES,ANCHORS</v>
          </cell>
          <cell r="D3463" t="str">
            <v>LSSJ28RZ</v>
          </cell>
          <cell r="BA3463">
            <v>12.82</v>
          </cell>
        </row>
        <row r="3464">
          <cell r="C3464" t="str">
            <v>4502 - CONNECTR,HANGERS,TIES,ANCHORS</v>
          </cell>
          <cell r="D3464" t="str">
            <v>LSSU210</v>
          </cell>
          <cell r="BA3464">
            <v>9.02</v>
          </cell>
        </row>
        <row r="3465">
          <cell r="C3465" t="str">
            <v>4502 - CONNECTR,HANGERS,TIES,ANCHORS</v>
          </cell>
          <cell r="D3465" t="str">
            <v>LSSU28</v>
          </cell>
          <cell r="BA3465">
            <v>7.85</v>
          </cell>
        </row>
        <row r="3466">
          <cell r="C3466" t="str">
            <v>4502 - CONNECTR,HANGERS,TIES,ANCHORS</v>
          </cell>
          <cell r="D3466" t="str">
            <v>SUL2.37/14</v>
          </cell>
          <cell r="BA3466">
            <v>25.56</v>
          </cell>
        </row>
        <row r="3467">
          <cell r="C3467" t="str">
            <v>4502 - CONNECTR,HANGERS,TIES,ANCHORS</v>
          </cell>
          <cell r="D3467" t="str">
            <v>SUR2.1/11</v>
          </cell>
          <cell r="BA3467">
            <v>21.51</v>
          </cell>
        </row>
        <row r="3468">
          <cell r="C3468" t="str">
            <v>4502 - CONNECTR,HANGERS,TIES,ANCHORS</v>
          </cell>
          <cell r="D3468" t="str">
            <v>SUR2.37/14</v>
          </cell>
          <cell r="BA3468">
            <v>25.56</v>
          </cell>
        </row>
        <row r="3469">
          <cell r="C3469" t="str">
            <v>4502 - CONNECTR,HANGERS,TIES,ANCHORS</v>
          </cell>
          <cell r="D3469" t="str">
            <v>SUR210</v>
          </cell>
          <cell r="BA3469">
            <v>11.92</v>
          </cell>
        </row>
        <row r="3470">
          <cell r="C3470" t="str">
            <v>4502 - CONNECTR,HANGERS,TIES,ANCHORS</v>
          </cell>
          <cell r="D3470" t="str">
            <v>SUL210</v>
          </cell>
          <cell r="BA3470">
            <v>11.92</v>
          </cell>
        </row>
        <row r="3471">
          <cell r="C3471" t="str">
            <v>4502 - CONNECTR,HANGERS,TIES,ANCHORS</v>
          </cell>
          <cell r="D3471" t="str">
            <v>SUR410</v>
          </cell>
          <cell r="BA3471">
            <v>21.72</v>
          </cell>
        </row>
        <row r="3472">
          <cell r="C3472" t="str">
            <v>4502 - CONNECTR,HANGERS,TIES,ANCHORS</v>
          </cell>
          <cell r="D3472" t="str">
            <v>SUR210-2</v>
          </cell>
          <cell r="BA3472">
            <v>18.45</v>
          </cell>
        </row>
        <row r="3473">
          <cell r="C3473" t="str">
            <v>4502 - CONNECTR,HANGERS,TIES,ANCHORS</v>
          </cell>
          <cell r="D3473" t="str">
            <v>SUL210-2</v>
          </cell>
          <cell r="BA3473">
            <v>18.45</v>
          </cell>
        </row>
        <row r="3474">
          <cell r="C3474" t="str">
            <v>4502 - CONNECTR,HANGERS,TIES,ANCHORS</v>
          </cell>
          <cell r="D3474" t="str">
            <v>APHH46</v>
          </cell>
          <cell r="BA3474">
            <v>22.12</v>
          </cell>
        </row>
        <row r="3475">
          <cell r="C3475" t="str">
            <v>4502 - CONNECTR,HANGERS,TIES,ANCHORS</v>
          </cell>
          <cell r="D3475" t="str">
            <v>APHH610</v>
          </cell>
          <cell r="BA3475">
            <v>45.44</v>
          </cell>
        </row>
        <row r="3476">
          <cell r="C3476" t="str">
            <v>4502 - CONNECTR,HANGERS,TIES,ANCHORS</v>
          </cell>
          <cell r="D3476" t="str">
            <v>HUCQ1.81/11-SDS</v>
          </cell>
          <cell r="BA3476">
            <v>33.47</v>
          </cell>
        </row>
        <row r="3477">
          <cell r="C3477" t="str">
            <v>4502 - CONNECTR,HANGERS,TIES,ANCHORS</v>
          </cell>
          <cell r="D3477" t="str">
            <v>HUCQ410-SDS</v>
          </cell>
          <cell r="BA3477">
            <v>39.15</v>
          </cell>
        </row>
        <row r="3478">
          <cell r="C3478" t="str">
            <v>4502 - CONNECTR,HANGERS,TIES,ANCHORS</v>
          </cell>
          <cell r="D3478" t="str">
            <v>HUCQ410Z-SDSG</v>
          </cell>
          <cell r="BA3478">
            <v>61.47</v>
          </cell>
        </row>
        <row r="3479">
          <cell r="C3479" t="str">
            <v>4502 - CONNECTR,HANGERS,TIES,ANCHORS</v>
          </cell>
          <cell r="D3479" t="str">
            <v>HUCQ412-SDS</v>
          </cell>
          <cell r="BA3479">
            <v>41.79</v>
          </cell>
        </row>
        <row r="3480">
          <cell r="C3480" t="str">
            <v>4502 - CONNECTR,HANGERS,TIES,ANCHORS</v>
          </cell>
          <cell r="D3480" t="str">
            <v>HUCQ412Z-SDSG</v>
          </cell>
          <cell r="BA3480">
            <v>66.95</v>
          </cell>
        </row>
        <row r="3481">
          <cell r="C3481" t="str">
            <v>4502 - CONNECTR,HANGERS,TIES,ANCHORS</v>
          </cell>
          <cell r="D3481" t="str">
            <v>HUCQ610-SDS</v>
          </cell>
          <cell r="BA3481">
            <v>39.58</v>
          </cell>
        </row>
        <row r="3482">
          <cell r="C3482" t="str">
            <v>4502 - CONNECTR,HANGERS,TIES,ANCHORS</v>
          </cell>
          <cell r="D3482" t="str">
            <v>HUCQ610Z-SDSG</v>
          </cell>
          <cell r="BA3482">
            <v>61.47</v>
          </cell>
        </row>
        <row r="3483">
          <cell r="C3483" t="str">
            <v>4502 - CONNECTR,HANGERS,TIES,ANCHORS</v>
          </cell>
          <cell r="D3483" t="str">
            <v>HUCQ612-SDS</v>
          </cell>
          <cell r="BA3483">
            <v>41.99</v>
          </cell>
        </row>
        <row r="3484">
          <cell r="C3484" t="str">
            <v>4502 - CONNECTR,HANGERS,TIES,ANCHORS</v>
          </cell>
          <cell r="D3484" t="str">
            <v>HUCQ612Z-SDSG</v>
          </cell>
          <cell r="BA3484">
            <v>69.599999999999994</v>
          </cell>
        </row>
        <row r="3485">
          <cell r="C3485" t="str">
            <v>4502 - CONNECTR,HANGERS,TIES,ANCHORS</v>
          </cell>
          <cell r="D3485" t="str">
            <v>SD10112DBBR50</v>
          </cell>
          <cell r="BA3485">
            <v>6.87</v>
          </cell>
        </row>
        <row r="3486">
          <cell r="C3486" t="str">
            <v>4502 - CONNECTR,HANGERS,TIES,ANCHORS</v>
          </cell>
          <cell r="D3486" t="str">
            <v>SD10112R100BX</v>
          </cell>
          <cell r="BA3486">
            <v>13.4</v>
          </cell>
        </row>
        <row r="3487">
          <cell r="C3487" t="str">
            <v>4502 - CONNECTR,HANGERS,TIES,ANCHORS</v>
          </cell>
          <cell r="D3487" t="str">
            <v>SD10212R100-R</v>
          </cell>
          <cell r="BA3487">
            <v>17.96</v>
          </cell>
        </row>
        <row r="3488">
          <cell r="C3488" t="str">
            <v>4502 - CONNECTR,HANGERS,TIES,ANCHORS</v>
          </cell>
          <cell r="D3488" t="str">
            <v>SD9112R100B</v>
          </cell>
          <cell r="BA3488">
            <v>11.72</v>
          </cell>
        </row>
        <row r="3489">
          <cell r="C3489" t="str">
            <v>4502 - CONNECTR,HANGERS,TIES,ANCHORS</v>
          </cell>
          <cell r="D3489" t="str">
            <v>SD9212R100R</v>
          </cell>
          <cell r="BA3489">
            <v>16.149999999999999</v>
          </cell>
        </row>
        <row r="3490">
          <cell r="C3490" t="str">
            <v>4502 - CONNECTR,HANGERS,TIES,ANCHORS</v>
          </cell>
          <cell r="D3490" t="str">
            <v>SDW22634B</v>
          </cell>
          <cell r="BA3490">
            <v>373.63</v>
          </cell>
        </row>
        <row r="3491">
          <cell r="C3491" t="str">
            <v>4502 - CONNECTR,HANGERS,TIES,ANCHORS</v>
          </cell>
          <cell r="D3491" t="str">
            <v>SDWC15450KT50</v>
          </cell>
          <cell r="BA3491">
            <v>38.47</v>
          </cell>
        </row>
        <row r="3492">
          <cell r="C3492" t="str">
            <v>4502 - CONNECTR,HANGERS,TIES,ANCHORS</v>
          </cell>
          <cell r="D3492" t="str">
            <v>SDWC15600</v>
          </cell>
          <cell r="BA3492">
            <v>0.64</v>
          </cell>
        </row>
        <row r="3493">
          <cell r="C3493" t="str">
            <v>4502 - CONNECTR,HANGERS,TIES,ANCHORS</v>
          </cell>
          <cell r="D3493" t="str">
            <v>SDWC15600B-KT</v>
          </cell>
          <cell r="BA3493">
            <v>320.26</v>
          </cell>
        </row>
        <row r="3494">
          <cell r="C3494" t="str">
            <v>4502 - CONNECTR,HANGERS,TIES,ANCHORS</v>
          </cell>
          <cell r="D3494" t="str">
            <v>SDWC15600KT50</v>
          </cell>
          <cell r="BA3494">
            <v>43.96</v>
          </cell>
        </row>
        <row r="3495">
          <cell r="C3495" t="str">
            <v>4502 - CONNECTR,HANGERS,TIES,ANCHORS</v>
          </cell>
          <cell r="D3495" t="str">
            <v>SDWS22312DBB-R50</v>
          </cell>
          <cell r="BA3495">
            <v>26.83</v>
          </cell>
        </row>
        <row r="3496">
          <cell r="C3496" t="str">
            <v>4502 - CONNECTR,HANGERS,TIES,ANCHORS</v>
          </cell>
          <cell r="D3496" t="str">
            <v>SDWS22312DBBRC12</v>
          </cell>
          <cell r="BA3496">
            <v>10.86</v>
          </cell>
        </row>
        <row r="3497">
          <cell r="C3497" t="str">
            <v>4502 - CONNECTR,HANGERS,TIES,ANCHORS</v>
          </cell>
          <cell r="D3497" t="str">
            <v>SDWS22512DBB-R50</v>
          </cell>
          <cell r="BA3497">
            <v>44.54</v>
          </cell>
        </row>
        <row r="3498">
          <cell r="C3498" t="str">
            <v>4502 - CONNECTR,HANGERS,TIES,ANCHORS</v>
          </cell>
          <cell r="D3498" t="str">
            <v>SDWS22512DBBRC12</v>
          </cell>
          <cell r="BA3498">
            <v>14.69</v>
          </cell>
        </row>
        <row r="3499">
          <cell r="C3499" t="str">
            <v>4502 - CONNECTR,HANGERS,TIES,ANCHORS</v>
          </cell>
          <cell r="D3499" t="str">
            <v>SDWS25200DBBRC12</v>
          </cell>
          <cell r="BA3499">
            <v>7.76</v>
          </cell>
        </row>
        <row r="3500">
          <cell r="C3500" t="str">
            <v>4502 - CONNECTR,HANGERS,TIES,ANCHORS</v>
          </cell>
          <cell r="D3500" t="str">
            <v>STN22-R8</v>
          </cell>
          <cell r="BA3500">
            <v>15.54</v>
          </cell>
        </row>
        <row r="3501">
          <cell r="C3501" t="str">
            <v>4502 - CONNECTR,HANGERS,TIES,ANCHORS</v>
          </cell>
          <cell r="D3501" t="str">
            <v>HH4</v>
          </cell>
          <cell r="BA3501">
            <v>9.08</v>
          </cell>
        </row>
        <row r="3502">
          <cell r="C3502" t="str">
            <v>4502 - CONNECTR,HANGERS,TIES,ANCHORS</v>
          </cell>
          <cell r="D3502" t="str">
            <v>HH6</v>
          </cell>
          <cell r="BA3502">
            <v>15.88</v>
          </cell>
        </row>
        <row r="3503">
          <cell r="C3503" t="str">
            <v>4502 - CONNECTR,HANGERS,TIES,ANCHORS</v>
          </cell>
          <cell r="D3503" t="str">
            <v>1212L</v>
          </cell>
          <cell r="BA3503">
            <v>10.53</v>
          </cell>
        </row>
        <row r="3504">
          <cell r="C3504" t="str">
            <v>4502 - CONNECTR,HANGERS,TIES,ANCHORS</v>
          </cell>
          <cell r="D3504" t="str">
            <v>1212TG</v>
          </cell>
          <cell r="BA3504">
            <v>17.600000000000001</v>
          </cell>
        </row>
        <row r="3505">
          <cell r="C3505" t="str">
            <v>4502 - CONNECTR,HANGERS,TIES,ANCHORS</v>
          </cell>
          <cell r="D3505" t="str">
            <v>88L</v>
          </cell>
          <cell r="BA3505">
            <v>7.35</v>
          </cell>
        </row>
        <row r="3506">
          <cell r="C3506" t="str">
            <v>4502 - CONNECTR,HANGERS,TIES,ANCHORS</v>
          </cell>
          <cell r="D3506" t="str">
            <v>66L</v>
          </cell>
          <cell r="BA3506">
            <v>4.21</v>
          </cell>
        </row>
        <row r="3507">
          <cell r="C3507" t="str">
            <v>4502 - CONNECTR,HANGERS,TIES,ANCHORS</v>
          </cell>
          <cell r="D3507" t="str">
            <v>APL4</v>
          </cell>
          <cell r="BA3507">
            <v>10.28</v>
          </cell>
        </row>
        <row r="3508">
          <cell r="C3508" t="str">
            <v>4502 - CONNECTR,HANGERS,TIES,ANCHORS</v>
          </cell>
          <cell r="D3508" t="str">
            <v>APL6</v>
          </cell>
          <cell r="BA3508">
            <v>17.13</v>
          </cell>
        </row>
        <row r="3509">
          <cell r="C3509" t="str">
            <v>4502 - CONNECTR,HANGERS,TIES,ANCHORS</v>
          </cell>
          <cell r="D3509" t="str">
            <v>APLH210</v>
          </cell>
          <cell r="BA3509">
            <v>5.26</v>
          </cell>
        </row>
        <row r="3510">
          <cell r="C3510" t="str">
            <v>4502 - CONNECTR,HANGERS,TIES,ANCHORS</v>
          </cell>
          <cell r="D3510" t="str">
            <v>APLH24</v>
          </cell>
          <cell r="BA3510">
            <v>3.17</v>
          </cell>
        </row>
        <row r="3511">
          <cell r="C3511" t="str">
            <v>4502 - CONNECTR,HANGERS,TIES,ANCHORS</v>
          </cell>
          <cell r="D3511" t="str">
            <v>APLH26</v>
          </cell>
          <cell r="BA3511">
            <v>3.86</v>
          </cell>
        </row>
        <row r="3512">
          <cell r="C3512" t="str">
            <v>4502 - CONNECTR,HANGERS,TIES,ANCHORS</v>
          </cell>
          <cell r="D3512" t="str">
            <v>APVKB45-6</v>
          </cell>
          <cell r="BA3512">
            <v>8.8699999999999992</v>
          </cell>
        </row>
        <row r="3513">
          <cell r="C3513" t="str">
            <v>4502 - CONNECTR,HANGERS,TIES,ANCHORS</v>
          </cell>
          <cell r="D3513" t="str">
            <v>APVST412</v>
          </cell>
          <cell r="BA3513">
            <v>6.42</v>
          </cell>
        </row>
        <row r="3514">
          <cell r="C3514" t="str">
            <v>4502 - CONNECTR,HANGERS,TIES,ANCHORS</v>
          </cell>
          <cell r="D3514" t="str">
            <v>APVST610</v>
          </cell>
          <cell r="BA3514">
            <v>8.9700000000000006</v>
          </cell>
        </row>
        <row r="3515">
          <cell r="C3515" t="str">
            <v>4502 - CONNECTR,HANGERS,TIES,ANCHORS</v>
          </cell>
          <cell r="D3515" t="str">
            <v>APVA21</v>
          </cell>
          <cell r="BA3515">
            <v>1.85</v>
          </cell>
        </row>
        <row r="3516">
          <cell r="C3516" t="str">
            <v>4502 - CONNECTR,HANGERS,TIES,ANCHORS</v>
          </cell>
          <cell r="D3516" t="str">
            <v>APVT6</v>
          </cell>
          <cell r="BA3516">
            <v>19.760000000000002</v>
          </cell>
        </row>
        <row r="3517">
          <cell r="C3517" t="str">
            <v>4502 - CONNECTR,HANGERS,TIES,ANCHORS</v>
          </cell>
          <cell r="D3517" t="str">
            <v>APVT4</v>
          </cell>
          <cell r="BA3517">
            <v>12.08</v>
          </cell>
        </row>
        <row r="3518">
          <cell r="C3518" t="str">
            <v>4502 - CONNECTR,HANGERS,TIES,ANCHORS</v>
          </cell>
          <cell r="D3518" t="str">
            <v>APVL6</v>
          </cell>
          <cell r="BA3518">
            <v>17.13</v>
          </cell>
        </row>
        <row r="3519">
          <cell r="C3519" t="str">
            <v>4502 - CONNECTR,HANGERS,TIES,ANCHORS</v>
          </cell>
          <cell r="D3519" t="str">
            <v>APVL4</v>
          </cell>
          <cell r="BA3519">
            <v>10.28</v>
          </cell>
        </row>
        <row r="3520">
          <cell r="C3520" t="str">
            <v>4502 - CONNECTR,HANGERS,TIES,ANCHORS</v>
          </cell>
          <cell r="D3520" t="str">
            <v>APVDJT2-6</v>
          </cell>
          <cell r="BA3520">
            <v>8.9700000000000006</v>
          </cell>
        </row>
        <row r="3521">
          <cell r="C3521" t="str">
            <v>4502 - CONNECTR,HANGERS,TIES,ANCHORS</v>
          </cell>
          <cell r="D3521" t="str">
            <v>APVDJT2-4</v>
          </cell>
          <cell r="BA3521">
            <v>6.42</v>
          </cell>
        </row>
        <row r="3522">
          <cell r="C3522" t="str">
            <v>4502 - CONNECTR,HANGERS,TIES,ANCHORS</v>
          </cell>
          <cell r="D3522" t="str">
            <v>APVDW56</v>
          </cell>
          <cell r="BA3522">
            <v>2.5</v>
          </cell>
        </row>
        <row r="3523">
          <cell r="C3523" t="str">
            <v>4502 - CONNECTR,HANGERS,TIES,ANCHORS</v>
          </cell>
          <cell r="D3523" t="str">
            <v>APVA6</v>
          </cell>
          <cell r="BA3523">
            <v>8.82</v>
          </cell>
        </row>
        <row r="3524">
          <cell r="C3524" t="str">
            <v>4502 - CONNECTR,HANGERS,TIES,ANCHORS</v>
          </cell>
          <cell r="D3524" t="str">
            <v>APVA4</v>
          </cell>
          <cell r="BA3524">
            <v>4.4000000000000004</v>
          </cell>
        </row>
        <row r="3525">
          <cell r="C3525" t="str">
            <v>4502 - CONNECTR,HANGERS,TIES,ANCHORS</v>
          </cell>
          <cell r="D3525" t="str">
            <v>APVB66</v>
          </cell>
          <cell r="BA3525">
            <v>43.63</v>
          </cell>
        </row>
        <row r="3526">
          <cell r="C3526" t="str">
            <v>4502 - CONNECTR,HANGERS,TIES,ANCHORS</v>
          </cell>
          <cell r="D3526" t="str">
            <v>APVB44</v>
          </cell>
          <cell r="BA3526">
            <v>23.13</v>
          </cell>
        </row>
        <row r="3527">
          <cell r="C3527" t="str">
            <v>4502 - CONNECTR,HANGERS,TIES,ANCHORS</v>
          </cell>
          <cell r="D3527" t="str">
            <v>APVGP812</v>
          </cell>
          <cell r="BA3527">
            <v>90.08</v>
          </cell>
        </row>
        <row r="3528">
          <cell r="C3528" t="str">
            <v>4502 - CONNECTR,HANGERS,TIES,ANCHORS</v>
          </cell>
          <cell r="D3528" t="str">
            <v>APVKB45-4</v>
          </cell>
          <cell r="BA3528">
            <v>7.6</v>
          </cell>
        </row>
        <row r="3529">
          <cell r="C3529" t="str">
            <v>4502 - CONNECTR,HANGERS,TIES,ANCHORS</v>
          </cell>
          <cell r="D3529" t="str">
            <v>APVB66DSP</v>
          </cell>
          <cell r="BA3529">
            <v>23.13</v>
          </cell>
        </row>
        <row r="3530">
          <cell r="C3530" t="str">
            <v>4502 - CONNECTR,HANGERS,TIES,ANCHORS</v>
          </cell>
          <cell r="D3530" t="str">
            <v>APVB44DSP</v>
          </cell>
          <cell r="BA3530">
            <v>17.399999999999999</v>
          </cell>
        </row>
        <row r="3531">
          <cell r="C3531" t="str">
            <v>4502 - CONNECTR,HANGERS,TIES,ANCHORS</v>
          </cell>
          <cell r="D3531" t="str">
            <v>APT4</v>
          </cell>
          <cell r="BA3531">
            <v>12.08</v>
          </cell>
        </row>
        <row r="3532">
          <cell r="C3532" t="str">
            <v>4502 - CONNECTR,HANGERS,TIES,ANCHORS</v>
          </cell>
          <cell r="D3532" t="str">
            <v>APT6</v>
          </cell>
          <cell r="BA3532">
            <v>19.760000000000002</v>
          </cell>
        </row>
        <row r="3533">
          <cell r="C3533" t="str">
            <v>4502 - CONNECTR,HANGERS,TIES,ANCHORS</v>
          </cell>
          <cell r="D3533" t="str">
            <v>HTS24</v>
          </cell>
          <cell r="BA3533">
            <v>2.92</v>
          </cell>
        </row>
        <row r="3534">
          <cell r="C3534" t="str">
            <v>4502 - CONNECTR,HANGERS,TIES,ANCHORS</v>
          </cell>
          <cell r="D3534" t="str">
            <v>LSTA15</v>
          </cell>
          <cell r="BA3534">
            <v>0.94</v>
          </cell>
        </row>
        <row r="3535">
          <cell r="C3535" t="str">
            <v>4502 - CONNECTR,HANGERS,TIES,ANCHORS</v>
          </cell>
          <cell r="D3535" t="str">
            <v>LSTA12</v>
          </cell>
          <cell r="BA3535">
            <v>0.72</v>
          </cell>
        </row>
        <row r="3536">
          <cell r="C3536" t="str">
            <v>4502 - CONNECTR,HANGERS,TIES,ANCHORS</v>
          </cell>
          <cell r="D3536" t="str">
            <v>LSTA18</v>
          </cell>
          <cell r="BA3536">
            <v>1.03</v>
          </cell>
        </row>
        <row r="3537">
          <cell r="C3537" t="str">
            <v>4502 - CONNECTR,HANGERS,TIES,ANCHORS</v>
          </cell>
          <cell r="D3537" t="str">
            <v>LSTA21</v>
          </cell>
          <cell r="BA3537">
            <v>1.23</v>
          </cell>
        </row>
        <row r="3538">
          <cell r="C3538" t="str">
            <v>4502 - CONNECTR,HANGERS,TIES,ANCHORS</v>
          </cell>
          <cell r="D3538" t="str">
            <v>LSTA24</v>
          </cell>
          <cell r="BA3538">
            <v>1.38</v>
          </cell>
        </row>
        <row r="3539">
          <cell r="C3539" t="str">
            <v>4502 - CONNECTR,HANGERS,TIES,ANCHORS</v>
          </cell>
          <cell r="D3539" t="str">
            <v>LSTA30</v>
          </cell>
          <cell r="BA3539">
            <v>2.17</v>
          </cell>
        </row>
        <row r="3540">
          <cell r="C3540" t="str">
            <v>4502 - CONNECTR,HANGERS,TIES,ANCHORS</v>
          </cell>
          <cell r="D3540" t="str">
            <v>LSTA36</v>
          </cell>
          <cell r="BA3540">
            <v>2.4900000000000002</v>
          </cell>
        </row>
        <row r="3541">
          <cell r="C3541" t="str">
            <v>4502 - CONNECTR,HANGERS,TIES,ANCHORS</v>
          </cell>
          <cell r="D3541" t="str">
            <v>MST27</v>
          </cell>
          <cell r="BA3541">
            <v>6.62</v>
          </cell>
        </row>
        <row r="3542">
          <cell r="C3542" t="str">
            <v>4502 - CONNECTR,HANGERS,TIES,ANCHORS</v>
          </cell>
          <cell r="D3542" t="str">
            <v>MST37</v>
          </cell>
          <cell r="BA3542">
            <v>9.7899999999999991</v>
          </cell>
        </row>
        <row r="3543">
          <cell r="C3543" t="str">
            <v>4502 - CONNECTR,HANGERS,TIES,ANCHORS</v>
          </cell>
          <cell r="D3543" t="str">
            <v>MST48</v>
          </cell>
          <cell r="BA3543">
            <v>12.64</v>
          </cell>
        </row>
        <row r="3544">
          <cell r="C3544" t="str">
            <v>4502 - CONNECTR,HANGERS,TIES,ANCHORS</v>
          </cell>
          <cell r="D3544" t="str">
            <v>MST60</v>
          </cell>
          <cell r="BA3544">
            <v>22.72</v>
          </cell>
        </row>
        <row r="3545">
          <cell r="C3545" t="str">
            <v>4502 - CONNECTR,HANGERS,TIES,ANCHORS</v>
          </cell>
          <cell r="D3545" t="str">
            <v>MST72</v>
          </cell>
          <cell r="BA3545">
            <v>31.46</v>
          </cell>
        </row>
        <row r="3546">
          <cell r="C3546" t="str">
            <v>4502 - CONNECTR,HANGERS,TIES,ANCHORS</v>
          </cell>
          <cell r="D3546" t="str">
            <v>MSTA18SS</v>
          </cell>
          <cell r="BA3546">
            <v>12.15</v>
          </cell>
        </row>
        <row r="3547">
          <cell r="C3547" t="str">
            <v>4502 - CONNECTR,HANGERS,TIES,ANCHORS</v>
          </cell>
          <cell r="D3547" t="str">
            <v>MSTA18</v>
          </cell>
          <cell r="BA3547">
            <v>1.35</v>
          </cell>
        </row>
        <row r="3548">
          <cell r="C3548" t="str">
            <v>4502 - CONNECTR,HANGERS,TIES,ANCHORS</v>
          </cell>
          <cell r="D3548" t="str">
            <v>MSTA24</v>
          </cell>
          <cell r="BA3548">
            <v>1.63</v>
          </cell>
        </row>
        <row r="3549">
          <cell r="C3549" t="str">
            <v>4502 - CONNECTR,HANGERS,TIES,ANCHORS</v>
          </cell>
          <cell r="D3549" t="str">
            <v>MSTA30</v>
          </cell>
          <cell r="BA3549">
            <v>2.4500000000000002</v>
          </cell>
        </row>
        <row r="3550">
          <cell r="C3550" t="str">
            <v>4502 - CONNECTR,HANGERS,TIES,ANCHORS</v>
          </cell>
          <cell r="D3550" t="str">
            <v>MSTA36</v>
          </cell>
          <cell r="BA3550">
            <v>2.72</v>
          </cell>
        </row>
        <row r="3551">
          <cell r="C3551" t="str">
            <v>4502 - CONNECTR,HANGERS,TIES,ANCHORS</v>
          </cell>
          <cell r="D3551" t="str">
            <v>MSTA49</v>
          </cell>
          <cell r="BA3551">
            <v>5.63</v>
          </cell>
        </row>
        <row r="3552">
          <cell r="C3552" t="str">
            <v>4502 - CONNECTR,HANGERS,TIES,ANCHORS</v>
          </cell>
          <cell r="D3552" t="str">
            <v>MSTC28</v>
          </cell>
          <cell r="BA3552">
            <v>8.5299999999999994</v>
          </cell>
        </row>
        <row r="3553">
          <cell r="C3553" t="str">
            <v>4502 - CONNECTR,HANGERS,TIES,ANCHORS</v>
          </cell>
          <cell r="D3553" t="str">
            <v>MSTC40</v>
          </cell>
          <cell r="BA3553">
            <v>11.21</v>
          </cell>
        </row>
        <row r="3554">
          <cell r="C3554" t="str">
            <v>4502 - CONNECTR,HANGERS,TIES,ANCHORS</v>
          </cell>
          <cell r="D3554" t="str">
            <v>MSTC48B3</v>
          </cell>
          <cell r="BA3554">
            <v>22.72</v>
          </cell>
        </row>
        <row r="3555">
          <cell r="C3555" t="str">
            <v>4502 - CONNECTR,HANGERS,TIES,ANCHORS</v>
          </cell>
          <cell r="D3555" t="str">
            <v>MSTC52</v>
          </cell>
          <cell r="BA3555">
            <v>13.24</v>
          </cell>
        </row>
        <row r="3556">
          <cell r="C3556" t="str">
            <v>4502 - CONNECTR,HANGERS,TIES,ANCHORS</v>
          </cell>
          <cell r="D3556" t="str">
            <v>MSTC66</v>
          </cell>
          <cell r="BA3556">
            <v>21.51</v>
          </cell>
        </row>
        <row r="3557">
          <cell r="C3557" t="str">
            <v>4502 - CONNECTR,HANGERS,TIES,ANCHORS</v>
          </cell>
          <cell r="D3557" t="str">
            <v>MSTC66B3Z</v>
          </cell>
          <cell r="BA3557">
            <v>40.99</v>
          </cell>
        </row>
        <row r="3558">
          <cell r="C3558" t="str">
            <v>4502 - CONNECTR,HANGERS,TIES,ANCHORS</v>
          </cell>
          <cell r="D3558" t="str">
            <v>MSTC78</v>
          </cell>
          <cell r="BA3558">
            <v>38.14</v>
          </cell>
        </row>
        <row r="3559">
          <cell r="C3559" t="str">
            <v>4502 - CONNECTR,HANGERS,TIES,ANCHORS</v>
          </cell>
          <cell r="D3559" t="str">
            <v>MSTI26</v>
          </cell>
          <cell r="BA3559">
            <v>12.04</v>
          </cell>
        </row>
        <row r="3560">
          <cell r="C3560" t="str">
            <v>4502 - CONNECTR,HANGERS,TIES,ANCHORS</v>
          </cell>
          <cell r="D3560" t="str">
            <v>MSTI36</v>
          </cell>
          <cell r="BA3560">
            <v>14.45</v>
          </cell>
        </row>
        <row r="3561">
          <cell r="C3561" t="str">
            <v>4502 - CONNECTR,HANGERS,TIES,ANCHORS</v>
          </cell>
          <cell r="D3561" t="str">
            <v>MSTI48</v>
          </cell>
          <cell r="BA3561">
            <v>21.72</v>
          </cell>
        </row>
        <row r="3562">
          <cell r="C3562" t="str">
            <v>4502 - CONNECTR,HANGERS,TIES,ANCHORS</v>
          </cell>
          <cell r="D3562" t="str">
            <v>MSTI60</v>
          </cell>
          <cell r="BA3562">
            <v>26.37</v>
          </cell>
        </row>
        <row r="3563">
          <cell r="C3563" t="str">
            <v>4502 - CONNECTR,HANGERS,TIES,ANCHORS</v>
          </cell>
          <cell r="D3563" t="str">
            <v>MSTI72</v>
          </cell>
          <cell r="BA3563">
            <v>36.92</v>
          </cell>
        </row>
        <row r="3564">
          <cell r="C3564" t="str">
            <v>4502 - CONNECTR,HANGERS,TIES,ANCHORS</v>
          </cell>
          <cell r="D3564" t="str">
            <v>SS128T</v>
          </cell>
          <cell r="BA3564">
            <v>9.73</v>
          </cell>
        </row>
        <row r="3565">
          <cell r="C3565" t="str">
            <v>4502 - CONNECTR,HANGERS,TIES,ANCHORS</v>
          </cell>
          <cell r="D3565" t="str">
            <v>ST12</v>
          </cell>
          <cell r="BA3565">
            <v>1.22</v>
          </cell>
        </row>
        <row r="3566">
          <cell r="C3566" t="str">
            <v>4502 - CONNECTR,HANGERS,TIES,ANCHORS</v>
          </cell>
          <cell r="D3566" t="str">
            <v>ST18</v>
          </cell>
          <cell r="BA3566">
            <v>1.45</v>
          </cell>
        </row>
        <row r="3567">
          <cell r="C3567" t="str">
            <v>4502 - CONNECTR,HANGERS,TIES,ANCHORS</v>
          </cell>
          <cell r="D3567" t="str">
            <v>ST2115</v>
          </cell>
          <cell r="BA3567">
            <v>1.31</v>
          </cell>
        </row>
        <row r="3568">
          <cell r="C3568" t="str">
            <v>4502 - CONNECTR,HANGERS,TIES,ANCHORS</v>
          </cell>
          <cell r="D3568" t="str">
            <v>ST2122</v>
          </cell>
          <cell r="BA3568">
            <v>1.88</v>
          </cell>
        </row>
        <row r="3569">
          <cell r="C3569" t="str">
            <v>4502 - CONNECTR,HANGERS,TIES,ANCHORS</v>
          </cell>
          <cell r="D3569" t="str">
            <v>ST22</v>
          </cell>
          <cell r="BA3569">
            <v>2.17</v>
          </cell>
        </row>
        <row r="3570">
          <cell r="C3570" t="str">
            <v>4502 - CONNECTR,HANGERS,TIES,ANCHORS</v>
          </cell>
          <cell r="D3570" t="str">
            <v>ST2215</v>
          </cell>
          <cell r="BA3570">
            <v>2.0499999999999998</v>
          </cell>
        </row>
        <row r="3571">
          <cell r="C3571" t="str">
            <v>4502 - CONNECTR,HANGERS,TIES,ANCHORS</v>
          </cell>
          <cell r="D3571" t="str">
            <v>ST292</v>
          </cell>
          <cell r="BA3571">
            <v>1.36</v>
          </cell>
        </row>
        <row r="3572">
          <cell r="C3572" t="str">
            <v>4502 - CONNECTR,HANGERS,TIES,ANCHORS</v>
          </cell>
          <cell r="D3572" t="str">
            <v>ST6215</v>
          </cell>
          <cell r="BA3572">
            <v>2.83</v>
          </cell>
        </row>
        <row r="3573">
          <cell r="C3573" t="str">
            <v>4502 - CONNECTR,HANGERS,TIES,ANCHORS</v>
          </cell>
          <cell r="D3573" t="str">
            <v>ST6224</v>
          </cell>
          <cell r="BA3573">
            <v>4.04</v>
          </cell>
        </row>
        <row r="3574">
          <cell r="C3574" t="str">
            <v>4502 - CONNECTR,HANGERS,TIES,ANCHORS</v>
          </cell>
          <cell r="D3574" t="str">
            <v>ST6236</v>
          </cell>
          <cell r="BA3574">
            <v>6.09</v>
          </cell>
        </row>
        <row r="3575">
          <cell r="C3575" t="str">
            <v>4502 - CONNECTR,HANGERS,TIES,ANCHORS</v>
          </cell>
          <cell r="D3575" t="str">
            <v>ST9</v>
          </cell>
          <cell r="BA3575">
            <v>1.17</v>
          </cell>
        </row>
        <row r="3576">
          <cell r="C3576" t="str">
            <v>4502 - CONNECTR,HANGERS,TIES,ANCHORS</v>
          </cell>
          <cell r="D3576" t="str">
            <v>STHD10</v>
          </cell>
          <cell r="BA3576">
            <v>15.95</v>
          </cell>
        </row>
        <row r="3577">
          <cell r="C3577" t="str">
            <v>4502 - CONNECTR,HANGERS,TIES,ANCHORS</v>
          </cell>
          <cell r="D3577" t="str">
            <v>STHD14</v>
          </cell>
          <cell r="BA3577">
            <v>20.03</v>
          </cell>
        </row>
        <row r="3578">
          <cell r="C3578" t="str">
            <v>4502 - CONNECTR,HANGERS,TIES,ANCHORS</v>
          </cell>
          <cell r="D3578" t="str">
            <v>STHD14RJ</v>
          </cell>
          <cell r="BA3578">
            <v>24.96</v>
          </cell>
        </row>
        <row r="3579">
          <cell r="C3579" t="str">
            <v>4502 - CONNECTR,HANGERS,TIES,ANCHORS</v>
          </cell>
          <cell r="D3579" t="str">
            <v>66T</v>
          </cell>
          <cell r="BA3579">
            <v>4.21</v>
          </cell>
        </row>
        <row r="3580">
          <cell r="C3580" t="str">
            <v>4502 - CONNECTR,HANGERS,TIES,ANCHORS</v>
          </cell>
          <cell r="D3580" t="str">
            <v>HTS20</v>
          </cell>
          <cell r="BA3580">
            <v>2.3199999999999998</v>
          </cell>
        </row>
        <row r="3581">
          <cell r="C3581" t="str">
            <v>4502 - CONNECTR,HANGERS,TIES,ANCHORS</v>
          </cell>
          <cell r="D3581" t="str">
            <v>HTS30</v>
          </cell>
          <cell r="BA3581">
            <v>4.33</v>
          </cell>
        </row>
        <row r="3582">
          <cell r="C3582" t="str">
            <v>4502 - CONNECTR,HANGERS,TIES,ANCHORS</v>
          </cell>
          <cell r="D3582" t="str">
            <v>HTS30C</v>
          </cell>
          <cell r="BA3582">
            <v>4.33</v>
          </cell>
        </row>
        <row r="3583">
          <cell r="C3583" t="str">
            <v>4502 - CONNECTR,HANGERS,TIES,ANCHORS</v>
          </cell>
          <cell r="D3583" t="str">
            <v>MTS30C</v>
          </cell>
          <cell r="BA3583">
            <v>4.38</v>
          </cell>
        </row>
        <row r="3584">
          <cell r="C3584" t="str">
            <v>4502 - CONNECTR,HANGERS,TIES,ANCHORS</v>
          </cell>
          <cell r="D3584" t="str">
            <v>CMST12</v>
          </cell>
          <cell r="BA3584">
            <v>173.15</v>
          </cell>
        </row>
        <row r="3585">
          <cell r="C3585" t="str">
            <v>4502 - CONNECTR,HANGERS,TIES,ANCHORS</v>
          </cell>
          <cell r="D3585" t="str">
            <v>CMST14</v>
          </cell>
          <cell r="BA3585">
            <v>190.46</v>
          </cell>
        </row>
        <row r="3586">
          <cell r="C3586" t="str">
            <v>4502 - CONNECTR,HANGERS,TIES,ANCHORS</v>
          </cell>
          <cell r="D3586" t="str">
            <v>CMSTC16</v>
          </cell>
          <cell r="BA3586">
            <v>202.08</v>
          </cell>
        </row>
        <row r="3587">
          <cell r="C3587" t="str">
            <v>4502 - CONNECTR,HANGERS,TIES,ANCHORS</v>
          </cell>
          <cell r="D3587" t="str">
            <v>CS14</v>
          </cell>
          <cell r="BA3587">
            <v>147.59</v>
          </cell>
        </row>
        <row r="3588">
          <cell r="C3588" t="str">
            <v>4502 - CONNECTR,HANGERS,TIES,ANCHORS</v>
          </cell>
          <cell r="D3588" t="str">
            <v>CS14-R</v>
          </cell>
          <cell r="BA3588">
            <v>59.6</v>
          </cell>
        </row>
        <row r="3589">
          <cell r="C3589" t="str">
            <v>4502 - CONNECTR,HANGERS,TIES,ANCHORS</v>
          </cell>
          <cell r="D3589" t="str">
            <v>CS16</v>
          </cell>
          <cell r="BA3589">
            <v>151.03</v>
          </cell>
        </row>
        <row r="3590">
          <cell r="C3590" t="str">
            <v>4502 - CONNECTR,HANGERS,TIES,ANCHORS</v>
          </cell>
          <cell r="D3590" t="str">
            <v>CS16-R</v>
          </cell>
          <cell r="BA3590">
            <v>45.35</v>
          </cell>
        </row>
        <row r="3591">
          <cell r="C3591" t="str">
            <v>4502 - CONNECTR,HANGERS,TIES,ANCHORS</v>
          </cell>
          <cell r="D3591" t="str">
            <v>CS18</v>
          </cell>
          <cell r="BA3591">
            <v>153.27000000000001</v>
          </cell>
        </row>
        <row r="3592">
          <cell r="C3592" t="str">
            <v>4502 - CONNECTR,HANGERS,TIES,ANCHORS</v>
          </cell>
          <cell r="D3592" t="str">
            <v>CS18-R</v>
          </cell>
          <cell r="BA3592">
            <v>40.53</v>
          </cell>
        </row>
        <row r="3593">
          <cell r="C3593" t="str">
            <v>4502 - CONNECTR,HANGERS,TIES,ANCHORS</v>
          </cell>
          <cell r="D3593" t="str">
            <v>CS20</v>
          </cell>
          <cell r="BA3593">
            <v>153.72</v>
          </cell>
        </row>
        <row r="3594">
          <cell r="C3594" t="str">
            <v>4502 - CONNECTR,HANGERS,TIES,ANCHORS</v>
          </cell>
          <cell r="D3594" t="str">
            <v>CS20-R</v>
          </cell>
          <cell r="BA3594">
            <v>34.5</v>
          </cell>
        </row>
        <row r="3595">
          <cell r="C3595" t="str">
            <v>4502 - CONNECTR,HANGERS,TIES,ANCHORS</v>
          </cell>
          <cell r="D3595" t="str">
            <v>CS22-R</v>
          </cell>
          <cell r="BA3595">
            <v>32.42</v>
          </cell>
        </row>
        <row r="3596">
          <cell r="C3596" t="str">
            <v>4502 - CONNECTR,HANGERS,TIES,ANCHORS</v>
          </cell>
          <cell r="D3596" t="str">
            <v>H1</v>
          </cell>
          <cell r="BA3596">
            <v>0.91</v>
          </cell>
        </row>
        <row r="3597">
          <cell r="C3597" t="str">
            <v>4502 - CONNECTR,HANGERS,TIES,ANCHORS</v>
          </cell>
          <cell r="D3597" t="str">
            <v>H1A</v>
          </cell>
          <cell r="BA3597">
            <v>0.91</v>
          </cell>
        </row>
        <row r="3598">
          <cell r="C3598" t="str">
            <v>4502 - CONNECTR,HANGERS,TIES,ANCHORS</v>
          </cell>
          <cell r="D3598" t="str">
            <v>H1AZ</v>
          </cell>
          <cell r="BA3598">
            <v>1.19</v>
          </cell>
        </row>
        <row r="3599">
          <cell r="C3599" t="str">
            <v>4502 - CONNECTR,HANGERS,TIES,ANCHORS</v>
          </cell>
          <cell r="D3599" t="str">
            <v>H10A</v>
          </cell>
          <cell r="BA3599">
            <v>2.4</v>
          </cell>
        </row>
        <row r="3600">
          <cell r="C3600" t="str">
            <v>4502 - CONNECTR,HANGERS,TIES,ANCHORS</v>
          </cell>
          <cell r="D3600" t="str">
            <v>H14</v>
          </cell>
          <cell r="BA3600">
            <v>3.5</v>
          </cell>
        </row>
        <row r="3601">
          <cell r="C3601" t="str">
            <v>4502 - CONNECTR,HANGERS,TIES,ANCHORS</v>
          </cell>
          <cell r="D3601" t="str">
            <v>H2.5A</v>
          </cell>
          <cell r="BA3601">
            <v>0.38</v>
          </cell>
        </row>
        <row r="3602">
          <cell r="C3602" t="str">
            <v>4502 - CONNECTR,HANGERS,TIES,ANCHORS</v>
          </cell>
          <cell r="D3602" t="str">
            <v>H2.5ASS</v>
          </cell>
          <cell r="BA3602">
            <v>3.82</v>
          </cell>
        </row>
        <row r="3603">
          <cell r="C3603" t="str">
            <v>4502 - CONNECTR,HANGERS,TIES,ANCHORS</v>
          </cell>
          <cell r="D3603" t="str">
            <v>H2.5T</v>
          </cell>
          <cell r="BA3603">
            <v>0.45</v>
          </cell>
        </row>
        <row r="3604">
          <cell r="C3604" t="str">
            <v>4502 - CONNECTR,HANGERS,TIES,ANCHORS</v>
          </cell>
          <cell r="D3604" t="str">
            <v>H3</v>
          </cell>
          <cell r="BA3604">
            <v>0.47</v>
          </cell>
        </row>
        <row r="3605">
          <cell r="C3605" t="str">
            <v>4502 - CONNECTR,HANGERS,TIES,ANCHORS</v>
          </cell>
          <cell r="D3605" t="str">
            <v>H6</v>
          </cell>
          <cell r="BA3605">
            <v>5.36</v>
          </cell>
        </row>
        <row r="3606">
          <cell r="C3606" t="str">
            <v>4502 - CONNECTR,HANGERS,TIES,ANCHORS</v>
          </cell>
          <cell r="D3606" t="str">
            <v>H8</v>
          </cell>
          <cell r="BA3606">
            <v>0.67</v>
          </cell>
        </row>
        <row r="3607">
          <cell r="C3607" t="str">
            <v>4502 - CONNECTR,HANGERS,TIES,ANCHORS</v>
          </cell>
          <cell r="D3607" t="str">
            <v>HGA10KT</v>
          </cell>
          <cell r="BA3607">
            <v>88.46</v>
          </cell>
        </row>
        <row r="3608">
          <cell r="C3608" t="str">
            <v>4502 - CONNECTR,HANGERS,TIES,ANCHORS</v>
          </cell>
          <cell r="D3608" t="str">
            <v>HGA10KTEA</v>
          </cell>
          <cell r="BA3608">
            <v>8.85</v>
          </cell>
        </row>
        <row r="3609">
          <cell r="C3609" t="str">
            <v>4502 - CONNECTR,HANGERS,TIES,ANCHORS</v>
          </cell>
          <cell r="D3609" t="str">
            <v>LGT2</v>
          </cell>
          <cell r="BA3609">
            <v>10.33</v>
          </cell>
        </row>
        <row r="3610">
          <cell r="C3610" t="str">
            <v>4502 - CONNECTR,HANGERS,TIES,ANCHORS</v>
          </cell>
          <cell r="D3610" t="str">
            <v>LGT3-SDS2.5</v>
          </cell>
          <cell r="BA3610">
            <v>38.76</v>
          </cell>
        </row>
        <row r="3611">
          <cell r="C3611" t="str">
            <v>4502 - CONNECTR,HANGERS,TIES,ANCHORS</v>
          </cell>
          <cell r="D3611" t="str">
            <v>LGT4-SDS3</v>
          </cell>
          <cell r="BA3611">
            <v>69.599999999999994</v>
          </cell>
        </row>
        <row r="3612">
          <cell r="C3612" t="str">
            <v>4502 - CONNECTR,HANGERS,TIES,ANCHORS</v>
          </cell>
          <cell r="D3612" t="str">
            <v>VGT</v>
          </cell>
          <cell r="BA3612">
            <v>77.510000000000005</v>
          </cell>
        </row>
        <row r="3613">
          <cell r="C3613" t="str">
            <v>4502 - CONNECTR,HANGERS,TIES,ANCHORS</v>
          </cell>
          <cell r="D3613" t="str">
            <v>VGTR</v>
          </cell>
          <cell r="BA3613">
            <v>85.62</v>
          </cell>
        </row>
        <row r="3614">
          <cell r="C3614" t="str">
            <v>4502 - CONNECTR,HANGERS,TIES,ANCHORS</v>
          </cell>
          <cell r="D3614" t="str">
            <v>HTT4</v>
          </cell>
          <cell r="BA3614">
            <v>19.670000000000002</v>
          </cell>
        </row>
        <row r="3615">
          <cell r="C3615" t="str">
            <v>4502 - CONNECTR,HANGERS,TIES,ANCHORS</v>
          </cell>
          <cell r="D3615" t="str">
            <v>HTT5</v>
          </cell>
          <cell r="BA3615">
            <v>21.38</v>
          </cell>
        </row>
        <row r="3616">
          <cell r="C3616" t="str">
            <v>4502 - CONNECTR,HANGERS,TIES,ANCHORS</v>
          </cell>
          <cell r="D3616" t="str">
            <v>LTTP2</v>
          </cell>
          <cell r="BA3616">
            <v>16.45</v>
          </cell>
        </row>
        <row r="3617">
          <cell r="C3617" t="str">
            <v>4502 - CONNECTR,HANGERS,TIES,ANCHORS</v>
          </cell>
          <cell r="D3617" t="str">
            <v>LTT19</v>
          </cell>
          <cell r="BA3617">
            <v>17.82</v>
          </cell>
        </row>
        <row r="3618">
          <cell r="C3618" t="str">
            <v>4502 - CONNECTR,HANGERS,TIES,ANCHORS</v>
          </cell>
          <cell r="D3618" t="str">
            <v>LTT20B</v>
          </cell>
          <cell r="BA3618">
            <v>19.13</v>
          </cell>
        </row>
        <row r="3619">
          <cell r="C3619" t="str">
            <v>4502 - CONNECTR,HANGERS,TIES,ANCHORS</v>
          </cell>
          <cell r="D3619" t="str">
            <v>SS1.5</v>
          </cell>
          <cell r="BA3619">
            <v>5.08</v>
          </cell>
        </row>
        <row r="3620">
          <cell r="C3620" t="str">
            <v>4502 - CONNECTR,HANGERS,TIES,ANCHORS</v>
          </cell>
          <cell r="D3620" t="str">
            <v>SS3</v>
          </cell>
          <cell r="BA3620">
            <v>12.32</v>
          </cell>
        </row>
        <row r="3621">
          <cell r="C3621" t="str">
            <v>4502 - CONNECTR,HANGERS,TIES,ANCHORS</v>
          </cell>
          <cell r="D3621" t="str">
            <v>TSP</v>
          </cell>
          <cell r="BA3621">
            <v>1.28</v>
          </cell>
        </row>
        <row r="3622">
          <cell r="C3622" t="str">
            <v>4502 - CONNECTR,HANGERS,TIES,ANCHORS</v>
          </cell>
          <cell r="D3622" t="str">
            <v>CJT3ZS</v>
          </cell>
          <cell r="BA3622">
            <v>41.79</v>
          </cell>
        </row>
        <row r="3623">
          <cell r="C3623" t="str">
            <v>4502 - CONNECTR,HANGERS,TIES,ANCHORS</v>
          </cell>
          <cell r="D3623" t="str">
            <v>HDQ8-SDS3</v>
          </cell>
          <cell r="BA3623">
            <v>57.29</v>
          </cell>
        </row>
        <row r="3624">
          <cell r="C3624" t="str">
            <v>4502 - CONNECTR,HANGERS,TIES,ANCHORS</v>
          </cell>
          <cell r="D3624" t="str">
            <v>HDU11-SDS2.5</v>
          </cell>
          <cell r="BA3624">
            <v>60.23</v>
          </cell>
        </row>
        <row r="3625">
          <cell r="C3625" t="str">
            <v>4502 - CONNECTR,HANGERS,TIES,ANCHORS</v>
          </cell>
          <cell r="D3625" t="str">
            <v>HDU14-SDS2.5</v>
          </cell>
          <cell r="BA3625">
            <v>72.709999999999994</v>
          </cell>
        </row>
        <row r="3626">
          <cell r="C3626" t="str">
            <v>4502 - CONNECTR,HANGERS,TIES,ANCHORS</v>
          </cell>
          <cell r="D3626" t="str">
            <v>HDU2-SDS2.5</v>
          </cell>
          <cell r="BA3626">
            <v>25.14</v>
          </cell>
        </row>
        <row r="3627">
          <cell r="C3627" t="str">
            <v>4502 - CONNECTR,HANGERS,TIES,ANCHORS</v>
          </cell>
          <cell r="D3627" t="str">
            <v>HDU4-SDS2.5</v>
          </cell>
          <cell r="BA3627">
            <v>29.59</v>
          </cell>
        </row>
        <row r="3628">
          <cell r="C3628" t="str">
            <v>4502 - CONNECTR,HANGERS,TIES,ANCHORS</v>
          </cell>
          <cell r="D3628" t="str">
            <v>HDU5-SDS2.5</v>
          </cell>
          <cell r="BA3628">
            <v>35.119999999999997</v>
          </cell>
        </row>
        <row r="3629">
          <cell r="C3629" t="str">
            <v>4502 - CONNECTR,HANGERS,TIES,ANCHORS</v>
          </cell>
          <cell r="D3629" t="str">
            <v>HDU8-SDS2.5</v>
          </cell>
          <cell r="BA3629">
            <v>49.87</v>
          </cell>
        </row>
        <row r="3630">
          <cell r="C3630" t="str">
            <v>4502 - CONNECTR,HANGERS,TIES,ANCHORS</v>
          </cell>
          <cell r="D3630" t="str">
            <v>HDUE3-SDS3</v>
          </cell>
          <cell r="BA3630">
            <v>27.88</v>
          </cell>
        </row>
        <row r="3631">
          <cell r="C3631" t="str">
            <v>4502 - CONNECTR,HANGERS,TIES,ANCHORS</v>
          </cell>
          <cell r="D3631" t="str">
            <v>HDUE5-SDS3</v>
          </cell>
          <cell r="BA3631">
            <v>32.08</v>
          </cell>
        </row>
        <row r="3632">
          <cell r="C3632" t="str">
            <v>4502 - CONNECTR,HANGERS,TIES,ANCHORS</v>
          </cell>
          <cell r="D3632" t="str">
            <v>HDUE7-SDS3</v>
          </cell>
          <cell r="BA3632">
            <v>46.15</v>
          </cell>
        </row>
        <row r="3633">
          <cell r="C3633" t="str">
            <v>4502 - CONNECTR,HANGERS,TIES,ANCHORS</v>
          </cell>
          <cell r="D3633" t="str">
            <v>HDUE9-SDS3.5</v>
          </cell>
          <cell r="BA3633">
            <v>52.71</v>
          </cell>
        </row>
        <row r="3634">
          <cell r="C3634" t="str">
            <v>4502 - CONNECTR,HANGERS,TIES,ANCHORS</v>
          </cell>
          <cell r="D3634" t="str">
            <v>HDUE13-SDS3.5</v>
          </cell>
          <cell r="BA3634">
            <v>63.79</v>
          </cell>
        </row>
        <row r="3635">
          <cell r="C3635" t="str">
            <v>4502 - CONNECTR,HANGERS,TIES,ANCHORS</v>
          </cell>
          <cell r="D3635" t="str">
            <v>HDUE17-SDS4.5</v>
          </cell>
          <cell r="BA3635">
            <v>77.260000000000005</v>
          </cell>
        </row>
        <row r="3636">
          <cell r="C3636" t="str">
            <v>4502 - CONNECTR,HANGERS,TIES,ANCHORS</v>
          </cell>
          <cell r="D3636" t="str">
            <v>HHDQ11-SDS2.5</v>
          </cell>
          <cell r="BA3636">
            <v>136.74</v>
          </cell>
        </row>
        <row r="3637">
          <cell r="C3637" t="str">
            <v>4502 - CONNECTR,HANGERS,TIES,ANCHORS</v>
          </cell>
          <cell r="D3637" t="str">
            <v>LTP4</v>
          </cell>
          <cell r="BA3637">
            <v>0.55000000000000004</v>
          </cell>
        </row>
        <row r="3638">
          <cell r="C3638" t="str">
            <v>4502 - CONNECTR,HANGERS,TIES,ANCHORS</v>
          </cell>
          <cell r="D3638" t="str">
            <v>LTP5</v>
          </cell>
          <cell r="BA3638">
            <v>1.21</v>
          </cell>
        </row>
        <row r="3639">
          <cell r="C3639" t="str">
            <v>4502 - CONNECTR,HANGERS,TIES,ANCHORS</v>
          </cell>
          <cell r="D3639" t="str">
            <v>TP35</v>
          </cell>
          <cell r="BA3639">
            <v>0.79</v>
          </cell>
        </row>
        <row r="3640">
          <cell r="C3640" t="str">
            <v>4502 - CONNECTR,HANGERS,TIES,ANCHORS</v>
          </cell>
          <cell r="D3640" t="str">
            <v>TP37</v>
          </cell>
          <cell r="BA3640">
            <v>1.19</v>
          </cell>
        </row>
        <row r="3641">
          <cell r="C3641" t="str">
            <v>4502 - CONNECTR,HANGERS,TIES,ANCHORS</v>
          </cell>
          <cell r="D3641" t="str">
            <v>TP57</v>
          </cell>
          <cell r="BA3641">
            <v>2.12</v>
          </cell>
        </row>
        <row r="3642">
          <cell r="C3642" t="str">
            <v>4502 - CONNECTR,HANGERS,TIES,ANCHORS</v>
          </cell>
          <cell r="D3642" t="str">
            <v>W1</v>
          </cell>
          <cell r="BA3642">
            <v>0.32</v>
          </cell>
        </row>
        <row r="3643">
          <cell r="C3643" t="str">
            <v>4502 - CONNECTR,HANGERS,TIES,ANCHORS</v>
          </cell>
          <cell r="D3643" t="str">
            <v>WT6</v>
          </cell>
          <cell r="BA3643">
            <v>0.65</v>
          </cell>
        </row>
        <row r="3644">
          <cell r="C3644" t="str">
            <v>4502 - CONNECTR,HANGERS,TIES,ANCHORS</v>
          </cell>
          <cell r="D3644" t="str">
            <v>WT8</v>
          </cell>
          <cell r="BA3644">
            <v>0.69</v>
          </cell>
        </row>
        <row r="3645">
          <cell r="C3645" t="str">
            <v>4502 - CONNECTR,HANGERS,TIES,ANCHORS</v>
          </cell>
          <cell r="D3645" t="str">
            <v>GBC</v>
          </cell>
          <cell r="BA3645">
            <v>5.33</v>
          </cell>
        </row>
        <row r="3646">
          <cell r="C3646" t="str">
            <v>4502 - CONNECTR,HANGERS,TIES,ANCHORS</v>
          </cell>
          <cell r="D3646" t="str">
            <v>RBC</v>
          </cell>
          <cell r="BA3646">
            <v>1.45</v>
          </cell>
        </row>
        <row r="3647">
          <cell r="C3647" t="str">
            <v>4502 - CONNECTR,HANGERS,TIES,ANCHORS</v>
          </cell>
          <cell r="D3647" t="str">
            <v>BP1/2-3HDG</v>
          </cell>
          <cell r="BA3647">
            <v>0.63</v>
          </cell>
        </row>
        <row r="3648">
          <cell r="C3648" t="str">
            <v>4502 - CONNECTR,HANGERS,TIES,ANCHORS</v>
          </cell>
          <cell r="D3648" t="str">
            <v>BPS1/2-6HDG</v>
          </cell>
          <cell r="BA3648">
            <v>10.19</v>
          </cell>
        </row>
        <row r="3649">
          <cell r="C3649" t="str">
            <v>4502 - CONNECTR,HANGERS,TIES,ANCHORS</v>
          </cell>
          <cell r="D3649" t="str">
            <v>BP3/4HDG</v>
          </cell>
          <cell r="BA3649">
            <v>1.01</v>
          </cell>
        </row>
        <row r="3650">
          <cell r="C3650" t="str">
            <v>4502 - CONNECTR,HANGERS,TIES,ANCHORS</v>
          </cell>
          <cell r="D3650" t="str">
            <v>BPS5/8-3HDG</v>
          </cell>
          <cell r="BA3650">
            <v>0.61</v>
          </cell>
        </row>
        <row r="3651">
          <cell r="C3651" t="str">
            <v>4502 - CONNECTR,HANGERS,TIES,ANCHORS</v>
          </cell>
          <cell r="D3651" t="str">
            <v>L30</v>
          </cell>
          <cell r="BA3651">
            <v>1.1299999999999999</v>
          </cell>
        </row>
        <row r="3652">
          <cell r="C3652" t="str">
            <v>4502 - CONNECTR,HANGERS,TIES,ANCHORS</v>
          </cell>
          <cell r="D3652" t="str">
            <v>TBE6</v>
          </cell>
          <cell r="BA3652">
            <v>7.77</v>
          </cell>
        </row>
        <row r="3653">
          <cell r="C3653" t="str">
            <v>4502 - CONNECTR,HANGERS,TIES,ANCHORS</v>
          </cell>
          <cell r="D3653" t="str">
            <v>MP24</v>
          </cell>
          <cell r="BA3653">
            <v>0.47</v>
          </cell>
        </row>
        <row r="3654">
          <cell r="C3654" t="str">
            <v>4502 - CONNECTR,HANGERS,TIES,ANCHORS</v>
          </cell>
          <cell r="D3654" t="str">
            <v>MP36</v>
          </cell>
          <cell r="BA3654">
            <v>0.97</v>
          </cell>
        </row>
        <row r="3655">
          <cell r="C3655" t="str">
            <v>4502 - CONNECTR,HANGERS,TIES,ANCHORS</v>
          </cell>
          <cell r="D3655" t="str">
            <v>TP15</v>
          </cell>
          <cell r="BA3655">
            <v>0.63</v>
          </cell>
        </row>
        <row r="3656">
          <cell r="C3656" t="str">
            <v>4502 - CONNECTR,HANGERS,TIES,ANCHORS</v>
          </cell>
          <cell r="D3656" t="str">
            <v>A23</v>
          </cell>
          <cell r="BA3656">
            <v>0.81</v>
          </cell>
        </row>
        <row r="3657">
          <cell r="C3657" t="str">
            <v>4502 - CONNECTR,HANGERS,TIES,ANCHORS</v>
          </cell>
          <cell r="D3657" t="str">
            <v>A24</v>
          </cell>
          <cell r="BA3657">
            <v>3.79</v>
          </cell>
        </row>
        <row r="3658">
          <cell r="C3658" t="str">
            <v>4502 - CONNECTR,HANGERS,TIES,ANCHORS</v>
          </cell>
          <cell r="D3658" t="str">
            <v>A33</v>
          </cell>
          <cell r="BA3658">
            <v>2.15</v>
          </cell>
        </row>
        <row r="3659">
          <cell r="C3659" t="str">
            <v>4502 - CONNECTR,HANGERS,TIES,ANCHORS</v>
          </cell>
          <cell r="D3659" t="str">
            <v>A44</v>
          </cell>
          <cell r="BA3659">
            <v>3</v>
          </cell>
        </row>
        <row r="3660">
          <cell r="C3660" t="str">
            <v>4502 - CONNECTR,HANGERS,TIES,ANCHORS</v>
          </cell>
          <cell r="D3660" t="str">
            <v>L50</v>
          </cell>
          <cell r="BA3660">
            <v>1.77</v>
          </cell>
        </row>
        <row r="3661">
          <cell r="C3661" t="str">
            <v>4502 - CONNECTR,HANGERS,TIES,ANCHORS</v>
          </cell>
          <cell r="D3661" t="str">
            <v>L70</v>
          </cell>
          <cell r="BA3661">
            <v>2.46</v>
          </cell>
        </row>
        <row r="3662">
          <cell r="C3662" t="str">
            <v>4502 - CONNECTR,HANGERS,TIES,ANCHORS</v>
          </cell>
          <cell r="D3662" t="str">
            <v>L90</v>
          </cell>
          <cell r="BA3662">
            <v>3.08</v>
          </cell>
        </row>
        <row r="3663">
          <cell r="C3663" t="str">
            <v>4502 - CONNECTR,HANGERS,TIES,ANCHORS</v>
          </cell>
          <cell r="D3663" t="str">
            <v>LS30</v>
          </cell>
          <cell r="BA3663">
            <v>1.54</v>
          </cell>
        </row>
        <row r="3664">
          <cell r="C3664" t="str">
            <v>4502 - CONNECTR,HANGERS,TIES,ANCHORS</v>
          </cell>
          <cell r="D3664" t="str">
            <v>LS30Z</v>
          </cell>
          <cell r="BA3664">
            <v>2.17</v>
          </cell>
        </row>
        <row r="3665">
          <cell r="C3665" t="str">
            <v>4502 - CONNECTR,HANGERS,TIES,ANCHORS</v>
          </cell>
          <cell r="D3665" t="str">
            <v>LS50</v>
          </cell>
          <cell r="BA3665">
            <v>2.2200000000000002</v>
          </cell>
        </row>
        <row r="3666">
          <cell r="C3666" t="str">
            <v>4502 - CONNECTR,HANGERS,TIES,ANCHORS</v>
          </cell>
          <cell r="D3666" t="str">
            <v>LS50SS</v>
          </cell>
          <cell r="BA3666">
            <v>20.059999999999999</v>
          </cell>
        </row>
        <row r="3667">
          <cell r="C3667" t="str">
            <v>4502 - CONNECTR,HANGERS,TIES,ANCHORS</v>
          </cell>
          <cell r="D3667" t="str">
            <v>LS50Z</v>
          </cell>
          <cell r="BA3667">
            <v>2.92</v>
          </cell>
        </row>
        <row r="3668">
          <cell r="C3668" t="str">
            <v>4502 - CONNECTR,HANGERS,TIES,ANCHORS</v>
          </cell>
          <cell r="D3668" t="str">
            <v>LS70</v>
          </cell>
          <cell r="BA3668">
            <v>2.96</v>
          </cell>
        </row>
        <row r="3669">
          <cell r="C3669" t="str">
            <v>4502 - CONNECTR,HANGERS,TIES,ANCHORS</v>
          </cell>
          <cell r="D3669" t="str">
            <v>LS90</v>
          </cell>
          <cell r="BA3669">
            <v>3.97</v>
          </cell>
        </row>
        <row r="3670">
          <cell r="C3670" t="str">
            <v>4502 - CONNECTR,HANGERS,TIES,ANCHORS</v>
          </cell>
          <cell r="D3670" t="str">
            <v>LS90Z</v>
          </cell>
          <cell r="BA3670">
            <v>5.76</v>
          </cell>
        </row>
        <row r="3671">
          <cell r="C3671" t="str">
            <v>4502 - CONNECTR,HANGERS,TIES,ANCHORS</v>
          </cell>
          <cell r="D3671" t="str">
            <v>ML24Z</v>
          </cell>
          <cell r="BA3671">
            <v>2.37</v>
          </cell>
        </row>
        <row r="3672">
          <cell r="C3672" t="str">
            <v>4502 - CONNECTR,HANGERS,TIES,ANCHORS</v>
          </cell>
          <cell r="D3672" t="str">
            <v>ML24SS</v>
          </cell>
          <cell r="BA3672">
            <v>37.729999999999997</v>
          </cell>
        </row>
        <row r="3673">
          <cell r="C3673" t="str">
            <v>4502 - CONNECTR,HANGERS,TIES,ANCHORS</v>
          </cell>
          <cell r="D3673" t="str">
            <v>ML26SS</v>
          </cell>
          <cell r="BA3673">
            <v>49.71</v>
          </cell>
        </row>
        <row r="3674">
          <cell r="C3674" t="str">
            <v>4502 - CONNECTR,HANGERS,TIES,ANCHORS</v>
          </cell>
          <cell r="D3674" t="str">
            <v>ML26Z</v>
          </cell>
          <cell r="BA3674">
            <v>3.31</v>
          </cell>
        </row>
        <row r="3675">
          <cell r="C3675" t="str">
            <v>4502 - CONNECTR,HANGERS,TIES,ANCHORS</v>
          </cell>
          <cell r="D3675" t="str">
            <v>OT</v>
          </cell>
          <cell r="BA3675">
            <v>26.79</v>
          </cell>
        </row>
        <row r="3676">
          <cell r="C3676" t="str">
            <v>4502 - CONNECTR,HANGERS,TIES,ANCHORS</v>
          </cell>
          <cell r="D3676" t="str">
            <v>DTC</v>
          </cell>
          <cell r="BA3676">
            <v>1.37</v>
          </cell>
        </row>
        <row r="3677">
          <cell r="C3677" t="str">
            <v>4502 - CONNECTR,HANGERS,TIES,ANCHORS</v>
          </cell>
          <cell r="D3677" t="str">
            <v>STC</v>
          </cell>
          <cell r="BA3677">
            <v>0.51</v>
          </cell>
        </row>
        <row r="3678">
          <cell r="C3678" t="str">
            <v>4502 - CONNECTR,HANGERS,TIES,ANCHORS</v>
          </cell>
          <cell r="D3678" t="str">
            <v>PSCL1/2EA</v>
          </cell>
          <cell r="BA3678">
            <v>0.08</v>
          </cell>
        </row>
        <row r="3679">
          <cell r="C3679" t="str">
            <v>4502 - CONNECTR,HANGERS,TIES,ANCHORS</v>
          </cell>
          <cell r="D3679" t="str">
            <v>PSCL3/4EA</v>
          </cell>
          <cell r="BA3679">
            <v>0.1</v>
          </cell>
        </row>
        <row r="3680">
          <cell r="C3680" t="str">
            <v>4502 - CONNECTR,HANGERS,TIES,ANCHORS</v>
          </cell>
          <cell r="D3680" t="str">
            <v>PSCL5/8EA</v>
          </cell>
          <cell r="BA3680">
            <v>0.09</v>
          </cell>
        </row>
        <row r="3681">
          <cell r="C3681" t="str">
            <v>4502 - CONNECTR,HANGERS,TIES,ANCHORS</v>
          </cell>
          <cell r="D3681" t="str">
            <v>PSCL7/16EA</v>
          </cell>
          <cell r="BA3681">
            <v>0.08</v>
          </cell>
        </row>
        <row r="3682">
          <cell r="C3682" t="str">
            <v>4502 - CONNECTR,HANGERS,TIES,ANCHORS</v>
          </cell>
          <cell r="D3682" t="str">
            <v>NS1</v>
          </cell>
          <cell r="BA3682">
            <v>0.37</v>
          </cell>
        </row>
        <row r="3683">
          <cell r="C3683" t="str">
            <v>4502 - CONNECTR,HANGERS,TIES,ANCHORS</v>
          </cell>
          <cell r="D3683" t="str">
            <v>NS2</v>
          </cell>
          <cell r="BA3683">
            <v>0.68</v>
          </cell>
        </row>
        <row r="3684">
          <cell r="C3684" t="str">
            <v>4502 - CONNECTR,HANGERS,TIES,ANCHORS</v>
          </cell>
          <cell r="D3684" t="str">
            <v>WSWH12X8</v>
          </cell>
          <cell r="BA3684">
            <v>517.12</v>
          </cell>
        </row>
        <row r="3685">
          <cell r="C3685" t="str">
            <v>4502 - CONNECTR,HANGERS,TIES,ANCHORS</v>
          </cell>
          <cell r="D3685" t="str">
            <v>WSWH12X9</v>
          </cell>
          <cell r="BA3685">
            <v>525.67999999999995</v>
          </cell>
        </row>
        <row r="3686">
          <cell r="C3686" t="str">
            <v>4502 - CONNECTR,HANGERS,TIES,ANCHORS</v>
          </cell>
          <cell r="D3686" t="str">
            <v>WSWH18X8</v>
          </cell>
          <cell r="BA3686">
            <v>535.96</v>
          </cell>
        </row>
        <row r="3687">
          <cell r="C3687" t="str">
            <v>4502 - CONNECTR,HANGERS,TIES,ANCHORS</v>
          </cell>
          <cell r="D3687" t="str">
            <v>ABU44SS</v>
          </cell>
          <cell r="BA3687">
            <v>99</v>
          </cell>
        </row>
        <row r="3688">
          <cell r="C3688" t="str">
            <v>4502 - CONNECTR,HANGERS,TIES,ANCHORS</v>
          </cell>
          <cell r="D3688" t="str">
            <v>ABU66SS</v>
          </cell>
          <cell r="BA3688">
            <v>165.4</v>
          </cell>
        </row>
        <row r="3689">
          <cell r="C3689" t="str">
            <v>4502 - CONNECTR,HANGERS,TIES,ANCHORS</v>
          </cell>
          <cell r="D3689" t="str">
            <v>APB44</v>
          </cell>
          <cell r="BA3689">
            <v>23.13</v>
          </cell>
        </row>
        <row r="3690">
          <cell r="C3690" t="str">
            <v>4502 - CONNECTR,HANGERS,TIES,ANCHORS</v>
          </cell>
          <cell r="D3690" t="str">
            <v>APB66</v>
          </cell>
          <cell r="BA3690">
            <v>43.63</v>
          </cell>
        </row>
        <row r="3691">
          <cell r="C3691" t="str">
            <v>4502 - CONNECTR,HANGERS,TIES,ANCHORS</v>
          </cell>
          <cell r="D3691" t="str">
            <v>EPB44HDG</v>
          </cell>
          <cell r="BA3691">
            <v>20.71</v>
          </cell>
        </row>
        <row r="3692">
          <cell r="C3692" t="str">
            <v>4502 - CONNECTR,HANGERS,TIES,ANCHORS</v>
          </cell>
          <cell r="D3692" t="str">
            <v>EPB44PHDG</v>
          </cell>
          <cell r="BA3692">
            <v>19.59</v>
          </cell>
        </row>
        <row r="3693">
          <cell r="C3693" t="str">
            <v>4502 - CONNECTR,HANGERS,TIES,ANCHORS</v>
          </cell>
          <cell r="D3693" t="str">
            <v>EPB46HDG</v>
          </cell>
          <cell r="BA3693">
            <v>29.01</v>
          </cell>
        </row>
        <row r="3694">
          <cell r="C3694" t="str">
            <v>4502 - CONNECTR,HANGERS,TIES,ANCHORS</v>
          </cell>
          <cell r="D3694" t="str">
            <v>EPB66</v>
          </cell>
          <cell r="BA3694">
            <v>25.77</v>
          </cell>
        </row>
        <row r="3695">
          <cell r="C3695" t="str">
            <v>4502 - CONNECTR,HANGERS,TIES,ANCHORS</v>
          </cell>
          <cell r="D3695" t="str">
            <v>EPB66HDG</v>
          </cell>
          <cell r="BA3695">
            <v>37.54</v>
          </cell>
        </row>
        <row r="3696">
          <cell r="C3696" t="str">
            <v>4502 - CONNECTR,HANGERS,TIES,ANCHORS</v>
          </cell>
          <cell r="D3696" t="str">
            <v>MPB66Z</v>
          </cell>
          <cell r="BA3696">
            <v>192.97</v>
          </cell>
        </row>
        <row r="3697">
          <cell r="C3697" t="str">
            <v>4502 - CONNECTR,HANGERS,TIES,ANCHORS</v>
          </cell>
          <cell r="D3697" t="str">
            <v>RPBZ</v>
          </cell>
          <cell r="BA3697">
            <v>6</v>
          </cell>
        </row>
        <row r="3698">
          <cell r="C3698" t="str">
            <v>4502 - CONNECTR,HANGERS,TIES,ANCHORS</v>
          </cell>
          <cell r="D3698" t="str">
            <v>AC4SS</v>
          </cell>
          <cell r="BA3698">
            <v>23.94</v>
          </cell>
        </row>
        <row r="3699">
          <cell r="C3699" t="str">
            <v>4502 - CONNECTR,HANGERS,TIES,ANCHORS</v>
          </cell>
          <cell r="D3699" t="str">
            <v>AC6SS</v>
          </cell>
          <cell r="BA3699">
            <v>35.31</v>
          </cell>
        </row>
        <row r="3700">
          <cell r="C3700" t="str">
            <v>4502 - CONNECTR,HANGERS,TIES,ANCHORS</v>
          </cell>
          <cell r="D3700" t="str">
            <v>ACH4Z</v>
          </cell>
          <cell r="BA3700">
            <v>16.829999999999998</v>
          </cell>
        </row>
        <row r="3701">
          <cell r="C3701" t="str">
            <v>4502 - CONNECTR,HANGERS,TIES,ANCHORS</v>
          </cell>
          <cell r="D3701" t="str">
            <v>ACH6Z</v>
          </cell>
          <cell r="BA3701">
            <v>19.53</v>
          </cell>
        </row>
        <row r="3702">
          <cell r="C3702" t="str">
            <v>4502 - CONNECTR,HANGERS,TIES,ANCHORS</v>
          </cell>
          <cell r="D3702" t="str">
            <v>BC40SS</v>
          </cell>
          <cell r="BA3702">
            <v>31.67</v>
          </cell>
        </row>
        <row r="3703">
          <cell r="C3703" t="str">
            <v>4502 - CONNECTR,HANGERS,TIES,ANCHORS</v>
          </cell>
          <cell r="D3703" t="str">
            <v>BC4SS</v>
          </cell>
          <cell r="BA3703">
            <v>45.24</v>
          </cell>
        </row>
        <row r="3704">
          <cell r="C3704" t="str">
            <v>4502 - CONNECTR,HANGERS,TIES,ANCHORS</v>
          </cell>
          <cell r="D3704" t="str">
            <v>BC5908005</v>
          </cell>
          <cell r="BA3704">
            <v>6.9</v>
          </cell>
        </row>
        <row r="3705">
          <cell r="C3705" t="str">
            <v>4502 - CONNECTR,HANGERS,TIES,ANCHORS</v>
          </cell>
          <cell r="D3705" t="str">
            <v>BC60</v>
          </cell>
          <cell r="BA3705">
            <v>10.85</v>
          </cell>
        </row>
        <row r="3706">
          <cell r="C3706" t="str">
            <v>4502 - CONNECTR,HANGERS,TIES,ANCHORS</v>
          </cell>
          <cell r="D3706" t="str">
            <v>EPC4Z</v>
          </cell>
          <cell r="BA3706">
            <v>20.059999999999999</v>
          </cell>
        </row>
        <row r="3707">
          <cell r="C3707" t="str">
            <v>4502 - CONNECTR,HANGERS,TIES,ANCHORS</v>
          </cell>
          <cell r="D3707" t="str">
            <v>LCE4SS</v>
          </cell>
          <cell r="BA3707">
            <v>24.15</v>
          </cell>
        </row>
        <row r="3708">
          <cell r="C3708" t="str">
            <v>4502 - CONNECTR,HANGERS,TIES,ANCHORS</v>
          </cell>
          <cell r="D3708" t="str">
            <v>PC4Z</v>
          </cell>
          <cell r="BA3708">
            <v>19.989999999999998</v>
          </cell>
        </row>
        <row r="3709">
          <cell r="C3709" t="str">
            <v>4502 - CONNECTR,HANGERS,TIES,ANCHORS</v>
          </cell>
          <cell r="D3709" t="str">
            <v>CB68</v>
          </cell>
          <cell r="BA3709">
            <v>44.03</v>
          </cell>
        </row>
        <row r="3710">
          <cell r="C3710" t="str">
            <v>4502 - CONNECTR,HANGERS,TIES,ANCHORS</v>
          </cell>
          <cell r="D3710" t="str">
            <v>CBSQ44-SDS2HDG</v>
          </cell>
          <cell r="BA3710">
            <v>53.35</v>
          </cell>
        </row>
        <row r="3711">
          <cell r="C3711" t="str">
            <v>4502 - CONNECTR,HANGERS,TIES,ANCHORS</v>
          </cell>
          <cell r="D3711" t="str">
            <v>CBSQ46-SDS2HDG</v>
          </cell>
          <cell r="BA3711">
            <v>60.65</v>
          </cell>
        </row>
        <row r="3712">
          <cell r="C3712" t="str">
            <v>4502 - CONNECTR,HANGERS,TIES,ANCHORS</v>
          </cell>
          <cell r="D3712" t="str">
            <v>CBSQ66-SDS2</v>
          </cell>
          <cell r="BA3712">
            <v>49.5</v>
          </cell>
        </row>
        <row r="3713">
          <cell r="C3713" t="str">
            <v>4502 - CONNECTR,HANGERS,TIES,ANCHORS</v>
          </cell>
          <cell r="D3713" t="str">
            <v>CBSQ66-SDS2HDG</v>
          </cell>
          <cell r="BA3713">
            <v>71.41</v>
          </cell>
        </row>
        <row r="3714">
          <cell r="C3714" t="str">
            <v>4502 - CONNECTR,HANGERS,TIES,ANCHORS</v>
          </cell>
          <cell r="D3714" t="str">
            <v>CBSTQ44-SDS2HDG</v>
          </cell>
          <cell r="BA3714">
            <v>59.76</v>
          </cell>
        </row>
        <row r="3715">
          <cell r="C3715" t="str">
            <v>4502 - CONNECTR,HANGERS,TIES,ANCHORS</v>
          </cell>
          <cell r="D3715" t="str">
            <v>CBSTQ66-SDS2HDG</v>
          </cell>
          <cell r="BA3715">
            <v>79.989999999999995</v>
          </cell>
        </row>
        <row r="3716">
          <cell r="C3716" t="str">
            <v>4502 - CONNECTR,HANGERS,TIES,ANCHORS</v>
          </cell>
          <cell r="D3716" t="str">
            <v>PPB66-4Z</v>
          </cell>
          <cell r="BA3716">
            <v>104.68</v>
          </cell>
        </row>
        <row r="3717">
          <cell r="C3717" t="str">
            <v>4502 - CONNECTR,HANGERS,TIES,ANCHORS</v>
          </cell>
          <cell r="D3717" t="str">
            <v>PPB66-6Z</v>
          </cell>
          <cell r="BA3717">
            <v>127.82</v>
          </cell>
        </row>
        <row r="3718">
          <cell r="C3718" t="str">
            <v>4502 - CONNECTR,HANGERS,TIES,ANCHORS</v>
          </cell>
          <cell r="D3718" t="str">
            <v>CC66PC</v>
          </cell>
          <cell r="BA3718">
            <v>118.47</v>
          </cell>
        </row>
        <row r="3719">
          <cell r="C3719" t="str">
            <v>4502 - CONNECTR,HANGERS,TIES,ANCHORS</v>
          </cell>
          <cell r="D3719" t="str">
            <v>CCQ44-SDS2.5HDG</v>
          </cell>
          <cell r="BA3719">
            <v>137.56</v>
          </cell>
        </row>
        <row r="3720">
          <cell r="C3720" t="str">
            <v>4502 - CONNECTR,HANGERS,TIES,ANCHORS</v>
          </cell>
          <cell r="D3720" t="str">
            <v>CCQ46SDS2.5</v>
          </cell>
          <cell r="BA3720">
            <v>104.68</v>
          </cell>
        </row>
        <row r="3721">
          <cell r="C3721" t="str">
            <v>4502 - CONNECTR,HANGERS,TIES,ANCHORS</v>
          </cell>
          <cell r="D3721" t="str">
            <v>CCQ66SDS2.5</v>
          </cell>
          <cell r="BA3721">
            <v>104.27</v>
          </cell>
        </row>
        <row r="3722">
          <cell r="C3722" t="str">
            <v>4502 - CONNECTR,HANGERS,TIES,ANCHORS</v>
          </cell>
          <cell r="D3722" t="str">
            <v>CCQ66-SDS2.5HDG</v>
          </cell>
          <cell r="BA3722">
            <v>162.31</v>
          </cell>
        </row>
        <row r="3723">
          <cell r="C3723" t="str">
            <v>4502 - CONNECTR,HANGERS,TIES,ANCHORS</v>
          </cell>
          <cell r="D3723" t="str">
            <v>ECC66</v>
          </cell>
          <cell r="BA3723">
            <v>90.9</v>
          </cell>
        </row>
        <row r="3724">
          <cell r="C3724" t="str">
            <v>4502 - CONNECTR,HANGERS,TIES,ANCHORS</v>
          </cell>
          <cell r="D3724" t="str">
            <v>ECCLLQ666SDS</v>
          </cell>
          <cell r="BA3724">
            <v>302.69</v>
          </cell>
        </row>
        <row r="3725">
          <cell r="C3725" t="str">
            <v>4502 - CONNECTR,HANGERS,TIES,ANCHORS</v>
          </cell>
          <cell r="D3725" t="str">
            <v>ECCQ46SDS2.5</v>
          </cell>
          <cell r="BA3725">
            <v>104.27</v>
          </cell>
        </row>
        <row r="3726">
          <cell r="C3726" t="str">
            <v>4502 - CONNECTR,HANGERS,TIES,ANCHORS</v>
          </cell>
          <cell r="D3726" t="str">
            <v>ECCQ64SDS2.5</v>
          </cell>
          <cell r="BA3726">
            <v>104.27</v>
          </cell>
        </row>
        <row r="3727">
          <cell r="C3727" t="str">
            <v>4502 - CONNECTR,HANGERS,TIES,ANCHORS</v>
          </cell>
          <cell r="D3727" t="str">
            <v>ECCQ66SDS2.5</v>
          </cell>
          <cell r="BA3727">
            <v>104.27</v>
          </cell>
        </row>
        <row r="3728">
          <cell r="C3728" t="str">
            <v>4502 - CONNECTR,HANGERS,TIES,ANCHORS</v>
          </cell>
          <cell r="D3728" t="str">
            <v>ECCLRQ666SDS</v>
          </cell>
          <cell r="BA3728">
            <v>302.69</v>
          </cell>
        </row>
        <row r="3729">
          <cell r="C3729" t="str">
            <v>4502 - CONNECTR,HANGERS,TIES,ANCHORS</v>
          </cell>
          <cell r="D3729" t="str">
            <v>ECCQ66-SDS2.5HDG</v>
          </cell>
          <cell r="BA3729">
            <v>162.31</v>
          </cell>
        </row>
        <row r="3730">
          <cell r="C3730" t="str">
            <v>4502 - CONNECTR,HANGERS,TIES,ANCHORS</v>
          </cell>
          <cell r="D3730" t="str">
            <v>ECCQ76SDS2.5</v>
          </cell>
          <cell r="BA3730">
            <v>151.35</v>
          </cell>
        </row>
        <row r="3731">
          <cell r="C3731" t="str">
            <v>4502 - CONNECTR,HANGERS,TIES,ANCHORS</v>
          </cell>
          <cell r="D3731" t="str">
            <v>A23Z</v>
          </cell>
          <cell r="BA3731">
            <v>0.83</v>
          </cell>
        </row>
        <row r="3732">
          <cell r="C3732" t="str">
            <v>4502 - CONNECTR,HANGERS,TIES,ANCHORS</v>
          </cell>
          <cell r="D3732" t="str">
            <v>A34Z</v>
          </cell>
          <cell r="BA3732">
            <v>0.79</v>
          </cell>
        </row>
        <row r="3733">
          <cell r="C3733" t="str">
            <v>4502 - CONNECTR,HANGERS,TIES,ANCHORS</v>
          </cell>
          <cell r="D3733" t="str">
            <v>A35Z</v>
          </cell>
          <cell r="BA3733">
            <v>0.59</v>
          </cell>
        </row>
        <row r="3734">
          <cell r="C3734" t="str">
            <v>4502 - CONNECTR,HANGERS,TIES,ANCHORS</v>
          </cell>
          <cell r="D3734" t="str">
            <v>ABW44Z</v>
          </cell>
          <cell r="BA3734">
            <v>13.03</v>
          </cell>
        </row>
        <row r="3735">
          <cell r="C3735" t="str">
            <v>4502 - CONNECTR,HANGERS,TIES,ANCHORS</v>
          </cell>
          <cell r="D3735" t="str">
            <v>ABW46Z</v>
          </cell>
          <cell r="BA3735">
            <v>23.74</v>
          </cell>
        </row>
        <row r="3736">
          <cell r="C3736" t="str">
            <v>4502 - CONNECTR,HANGERS,TIES,ANCHORS</v>
          </cell>
          <cell r="D3736" t="str">
            <v>ABW66Z</v>
          </cell>
          <cell r="BA3736">
            <v>26.49</v>
          </cell>
        </row>
        <row r="3737">
          <cell r="C3737" t="str">
            <v>4502 - CONNECTR,HANGERS,TIES,ANCHORS</v>
          </cell>
          <cell r="D3737" t="str">
            <v>ABA44Z</v>
          </cell>
          <cell r="BA3737">
            <v>7.95</v>
          </cell>
        </row>
        <row r="3738">
          <cell r="C3738" t="str">
            <v>4502 - CONNECTR,HANGERS,TIES,ANCHORS</v>
          </cell>
          <cell r="D3738" t="str">
            <v>ABA46Z</v>
          </cell>
          <cell r="BA3738">
            <v>16.37</v>
          </cell>
        </row>
        <row r="3739">
          <cell r="C3739" t="str">
            <v>4502 - CONNECTR,HANGERS,TIES,ANCHORS</v>
          </cell>
          <cell r="D3739" t="str">
            <v>ABA66Z</v>
          </cell>
          <cell r="BA3739">
            <v>21.9</v>
          </cell>
        </row>
        <row r="3740">
          <cell r="C3740" t="str">
            <v>4502 - CONNECTR,HANGERS,TIES,ANCHORS</v>
          </cell>
          <cell r="D3740" t="str">
            <v>ABU44Z</v>
          </cell>
          <cell r="BA3740">
            <v>19.46</v>
          </cell>
        </row>
        <row r="3741">
          <cell r="C3741" t="str">
            <v>4502 - CONNECTR,HANGERS,TIES,ANCHORS</v>
          </cell>
          <cell r="D3741" t="str">
            <v>ABU46Z</v>
          </cell>
          <cell r="BA3741">
            <v>34.729999999999997</v>
          </cell>
        </row>
        <row r="3742">
          <cell r="C3742" t="str">
            <v>4502 - CONNECTR,HANGERS,TIES,ANCHORS</v>
          </cell>
          <cell r="D3742" t="str">
            <v>ABU66Z</v>
          </cell>
          <cell r="BA3742">
            <v>41.35</v>
          </cell>
        </row>
        <row r="3743">
          <cell r="C3743" t="str">
            <v>4502 - CONNECTR,HANGERS,TIES,ANCHORS</v>
          </cell>
          <cell r="D3743" t="str">
            <v>ABU88Z</v>
          </cell>
          <cell r="BA3743">
            <v>73.400000000000006</v>
          </cell>
        </row>
        <row r="3744">
          <cell r="C3744" t="str">
            <v>4502 - CONNECTR,HANGERS,TIES,ANCHORS</v>
          </cell>
          <cell r="D3744" t="str">
            <v>AC4Z</v>
          </cell>
          <cell r="BA3744">
            <v>6</v>
          </cell>
        </row>
        <row r="3745">
          <cell r="C3745" t="str">
            <v>4502 - CONNECTR,HANGERS,TIES,ANCHORS</v>
          </cell>
          <cell r="D3745" t="str">
            <v>AC6Z</v>
          </cell>
          <cell r="BA3745">
            <v>9.4700000000000006</v>
          </cell>
        </row>
        <row r="3746">
          <cell r="C3746" t="str">
            <v>4502 - CONNECTR,HANGERS,TIES,ANCHORS</v>
          </cell>
          <cell r="D3746" t="str">
            <v>BC4Z</v>
          </cell>
          <cell r="BA3746">
            <v>7.28</v>
          </cell>
        </row>
        <row r="3747">
          <cell r="C3747" t="str">
            <v>4502 - CONNECTR,HANGERS,TIES,ANCHORS</v>
          </cell>
          <cell r="D3747" t="str">
            <v>BC46Z</v>
          </cell>
          <cell r="BA3747">
            <v>10.69</v>
          </cell>
        </row>
        <row r="3748">
          <cell r="C3748" t="str">
            <v>4502 - CONNECTR,HANGERS,TIES,ANCHORS</v>
          </cell>
          <cell r="D3748" t="str">
            <v>BC40Z</v>
          </cell>
          <cell r="BA3748">
            <v>3.81</v>
          </cell>
        </row>
        <row r="3749">
          <cell r="C3749" t="str">
            <v>4502 - CONNECTR,HANGERS,TIES,ANCHORS</v>
          </cell>
          <cell r="D3749" t="str">
            <v>BC6Z</v>
          </cell>
          <cell r="BA3749">
            <v>23.33</v>
          </cell>
        </row>
        <row r="3750">
          <cell r="C3750" t="str">
            <v>4502 - CONNECTR,HANGERS,TIES,ANCHORS</v>
          </cell>
          <cell r="D3750" t="str">
            <v>BC60Z</v>
          </cell>
          <cell r="BA3750">
            <v>14.06</v>
          </cell>
        </row>
        <row r="3751">
          <cell r="C3751" t="str">
            <v>4502 - CONNECTR,HANGERS,TIES,ANCHORS</v>
          </cell>
          <cell r="D3751" t="str">
            <v>CB66HDG</v>
          </cell>
          <cell r="BA3751">
            <v>66.14</v>
          </cell>
        </row>
        <row r="3752">
          <cell r="C3752" t="str">
            <v>4502 - CONNECTR,HANGERS,TIES,ANCHORS</v>
          </cell>
          <cell r="D3752" t="str">
            <v>FB24Z</v>
          </cell>
          <cell r="BA3752">
            <v>0.33</v>
          </cell>
        </row>
        <row r="3753">
          <cell r="C3753" t="str">
            <v>4502 - CONNECTR,HANGERS,TIES,ANCHORS</v>
          </cell>
          <cell r="D3753" t="str">
            <v>H10AZ</v>
          </cell>
          <cell r="BA3753">
            <v>3.41</v>
          </cell>
        </row>
        <row r="3754">
          <cell r="C3754" t="str">
            <v>4502 - CONNECTR,HANGERS,TIES,ANCHORS</v>
          </cell>
          <cell r="D3754" t="str">
            <v>H2.5AZ</v>
          </cell>
          <cell r="BA3754">
            <v>0.5</v>
          </cell>
        </row>
        <row r="3755">
          <cell r="C3755" t="str">
            <v>4502 - CONNECTR,HANGERS,TIES,ANCHORS</v>
          </cell>
          <cell r="D3755" t="str">
            <v>H3Z</v>
          </cell>
          <cell r="BA3755">
            <v>0.83</v>
          </cell>
        </row>
        <row r="3756">
          <cell r="C3756" t="str">
            <v>4502 - CONNECTR,HANGERS,TIES,ANCHORS</v>
          </cell>
          <cell r="D3756" t="str">
            <v>H7Z</v>
          </cell>
          <cell r="BA3756">
            <v>8.0399999999999991</v>
          </cell>
        </row>
        <row r="3757">
          <cell r="C3757" t="str">
            <v>4502 - CONNECTR,HANGERS,TIES,ANCHORS</v>
          </cell>
          <cell r="D3757" t="str">
            <v>HUC610Z</v>
          </cell>
          <cell r="BA3757">
            <v>30.85</v>
          </cell>
        </row>
        <row r="3758">
          <cell r="C3758" t="str">
            <v>4502 - CONNECTR,HANGERS,TIES,ANCHORS</v>
          </cell>
          <cell r="D3758" t="str">
            <v>HUC26-2Z</v>
          </cell>
          <cell r="BA3758">
            <v>18.350000000000001</v>
          </cell>
        </row>
        <row r="3759">
          <cell r="C3759" t="str">
            <v>4502 - CONNECTR,HANGERS,TIES,ANCHORS</v>
          </cell>
          <cell r="D3759" t="str">
            <v>HUC28-2Z</v>
          </cell>
          <cell r="BA3759">
            <v>18.73</v>
          </cell>
        </row>
        <row r="3760">
          <cell r="C3760" t="str">
            <v>4502 - CONNECTR,HANGERS,TIES,ANCHORS</v>
          </cell>
          <cell r="D3760" t="str">
            <v>HUC210-2Z</v>
          </cell>
          <cell r="BA3760">
            <v>22.32</v>
          </cell>
        </row>
        <row r="3761">
          <cell r="C3761" t="str">
            <v>4502 - CONNECTR,HANGERS,TIES,ANCHORS</v>
          </cell>
          <cell r="D3761" t="str">
            <v>HUS26Z</v>
          </cell>
          <cell r="BA3761">
            <v>4.68</v>
          </cell>
        </row>
        <row r="3762">
          <cell r="C3762" t="str">
            <v>4502 - CONNECTR,HANGERS,TIES,ANCHORS</v>
          </cell>
          <cell r="D3762" t="str">
            <v>L50Z</v>
          </cell>
          <cell r="BA3762">
            <v>2.09</v>
          </cell>
        </row>
        <row r="3763">
          <cell r="C3763" t="str">
            <v>4502 - CONNECTR,HANGERS,TIES,ANCHORS</v>
          </cell>
          <cell r="D3763" t="str">
            <v>L70Z</v>
          </cell>
          <cell r="BA3763">
            <v>2.94</v>
          </cell>
        </row>
        <row r="3764">
          <cell r="C3764" t="str">
            <v>4502 - CONNECTR,HANGERS,TIES,ANCHORS</v>
          </cell>
          <cell r="D3764" t="str">
            <v>L90Z</v>
          </cell>
          <cell r="BA3764">
            <v>4.1900000000000004</v>
          </cell>
        </row>
        <row r="3765">
          <cell r="C3765" t="str">
            <v>4502 - CONNECTR,HANGERS,TIES,ANCHORS</v>
          </cell>
          <cell r="D3765" t="str">
            <v>LS70Z</v>
          </cell>
          <cell r="BA3765">
            <v>3.94</v>
          </cell>
        </row>
        <row r="3766">
          <cell r="C3766" t="str">
            <v>4502 - CONNECTR,HANGERS,TIES,ANCHORS</v>
          </cell>
          <cell r="D3766" t="str">
            <v>LPC6Z</v>
          </cell>
          <cell r="BA3766">
            <v>5.22</v>
          </cell>
        </row>
        <row r="3767">
          <cell r="C3767" t="str">
            <v>4502 - CONNECTR,HANGERS,TIES,ANCHORS</v>
          </cell>
          <cell r="D3767" t="str">
            <v>LTP4Z</v>
          </cell>
          <cell r="BA3767">
            <v>0.88</v>
          </cell>
        </row>
        <row r="3768">
          <cell r="C3768" t="str">
            <v>4502 - CONNECTR,HANGERS,TIES,ANCHORS</v>
          </cell>
          <cell r="D3768" t="str">
            <v>LUC26Z</v>
          </cell>
          <cell r="BA3768">
            <v>1.59</v>
          </cell>
        </row>
        <row r="3769">
          <cell r="C3769" t="str">
            <v>4502 - CONNECTR,HANGERS,TIES,ANCHORS</v>
          </cell>
          <cell r="D3769" t="str">
            <v>LUS210Z</v>
          </cell>
          <cell r="BA3769">
            <v>1.91</v>
          </cell>
        </row>
        <row r="3770">
          <cell r="C3770" t="str">
            <v>4502 - CONNECTR,HANGERS,TIES,ANCHORS</v>
          </cell>
          <cell r="D3770" t="str">
            <v>LUS210-2Z</v>
          </cell>
          <cell r="BA3770">
            <v>3.44</v>
          </cell>
        </row>
        <row r="3771">
          <cell r="C3771" t="str">
            <v>4502 - CONNECTR,HANGERS,TIES,ANCHORS</v>
          </cell>
          <cell r="D3771" t="str">
            <v>LUS24Z</v>
          </cell>
          <cell r="BA3771">
            <v>0.95</v>
          </cell>
        </row>
        <row r="3772">
          <cell r="C3772" t="str">
            <v>4502 - CONNECTR,HANGERS,TIES,ANCHORS</v>
          </cell>
          <cell r="D3772" t="str">
            <v>LUS26Z</v>
          </cell>
          <cell r="BA3772">
            <v>1.27</v>
          </cell>
        </row>
        <row r="3773">
          <cell r="C3773" t="str">
            <v>4502 - CONNECTR,HANGERS,TIES,ANCHORS</v>
          </cell>
          <cell r="D3773" t="str">
            <v>LUS26-2Z</v>
          </cell>
          <cell r="BA3773">
            <v>2.46</v>
          </cell>
        </row>
        <row r="3774">
          <cell r="C3774" t="str">
            <v>4502 - CONNECTR,HANGERS,TIES,ANCHORS</v>
          </cell>
          <cell r="D3774" t="str">
            <v>LUS28Z</v>
          </cell>
          <cell r="BA3774">
            <v>1.58</v>
          </cell>
        </row>
        <row r="3775">
          <cell r="C3775" t="str">
            <v>4502 - CONNECTR,HANGERS,TIES,ANCHORS</v>
          </cell>
          <cell r="D3775" t="str">
            <v>LUS28-2Z</v>
          </cell>
          <cell r="BA3775">
            <v>3.14</v>
          </cell>
        </row>
        <row r="3776">
          <cell r="C3776" t="str">
            <v>4502 - CONNECTR,HANGERS,TIES,ANCHORS</v>
          </cell>
          <cell r="D3776" t="str">
            <v>LUS410Z</v>
          </cell>
          <cell r="BA3776">
            <v>5.38</v>
          </cell>
        </row>
        <row r="3777">
          <cell r="C3777" t="str">
            <v>4502 - CONNECTR,HANGERS,TIES,ANCHORS</v>
          </cell>
          <cell r="D3777" t="str">
            <v>LUS48Z</v>
          </cell>
          <cell r="BA3777">
            <v>5.13</v>
          </cell>
        </row>
        <row r="3778">
          <cell r="C3778" t="str">
            <v>4502 - CONNECTR,HANGERS,TIES,ANCHORS</v>
          </cell>
          <cell r="D3778" t="str">
            <v>LRU210Z</v>
          </cell>
          <cell r="BA3778">
            <v>8.69</v>
          </cell>
        </row>
        <row r="3779">
          <cell r="C3779" t="str">
            <v>4502 - CONNECTR,HANGERS,TIES,ANCHORS</v>
          </cell>
          <cell r="D3779" t="str">
            <v>LRU212Z</v>
          </cell>
          <cell r="BA3779">
            <v>10.19</v>
          </cell>
        </row>
        <row r="3780">
          <cell r="C3780" t="str">
            <v>4502 - CONNECTR,HANGERS,TIES,ANCHORS</v>
          </cell>
          <cell r="D3780" t="str">
            <v>LRU26Z</v>
          </cell>
          <cell r="BA3780">
            <v>5.36</v>
          </cell>
        </row>
        <row r="3781">
          <cell r="C3781" t="str">
            <v>4502 - CONNECTR,HANGERS,TIES,ANCHORS</v>
          </cell>
          <cell r="D3781" t="str">
            <v>LRU28Z</v>
          </cell>
          <cell r="BA3781">
            <v>7.24</v>
          </cell>
        </row>
        <row r="3782">
          <cell r="C3782" t="str">
            <v>4502 - CONNECTR,HANGERS,TIES,ANCHORS</v>
          </cell>
          <cell r="D3782" t="str">
            <v>DTT1Z</v>
          </cell>
          <cell r="BA3782">
            <v>2.94</v>
          </cell>
        </row>
        <row r="3783">
          <cell r="C3783" t="str">
            <v>4502 - CONNECTR,HANGERS,TIES,ANCHORS</v>
          </cell>
          <cell r="D3783" t="str">
            <v>DTT1Z-KT</v>
          </cell>
          <cell r="BA3783">
            <v>40.17</v>
          </cell>
        </row>
        <row r="3784">
          <cell r="C3784" t="str">
            <v>4502 - CONNECTR,HANGERS,TIES,ANCHORS</v>
          </cell>
          <cell r="D3784" t="str">
            <v>DTT2Z</v>
          </cell>
          <cell r="BA3784">
            <v>10.85</v>
          </cell>
        </row>
        <row r="3785">
          <cell r="C3785" t="str">
            <v>4502 - CONNECTR,HANGERS,TIES,ANCHORS</v>
          </cell>
          <cell r="D3785" t="str">
            <v>DTT2SS</v>
          </cell>
          <cell r="BA3785">
            <v>32.049999999999997</v>
          </cell>
        </row>
        <row r="3786">
          <cell r="C3786" t="str">
            <v>4502 - CONNECTR,HANGERS,TIES,ANCHORS</v>
          </cell>
          <cell r="D3786" t="str">
            <v>PB44Z</v>
          </cell>
          <cell r="BA3786">
            <v>11.4</v>
          </cell>
        </row>
        <row r="3787">
          <cell r="C3787" t="str">
            <v>4502 - CONNECTR,HANGERS,TIES,ANCHORS</v>
          </cell>
          <cell r="D3787" t="str">
            <v>PB66Z</v>
          </cell>
          <cell r="BA3787">
            <v>23.94</v>
          </cell>
        </row>
        <row r="3788">
          <cell r="C3788" t="str">
            <v>4502 - CONNECTR,HANGERS,TIES,ANCHORS</v>
          </cell>
          <cell r="D3788" t="str">
            <v>PC6Z</v>
          </cell>
          <cell r="BA3788">
            <v>32.65</v>
          </cell>
        </row>
        <row r="3789">
          <cell r="C3789" t="str">
            <v>4502 - CONNECTR,HANGERS,TIES,ANCHORS</v>
          </cell>
          <cell r="D3789" t="str">
            <v>SUR26Z</v>
          </cell>
          <cell r="BA3789">
            <v>10.28</v>
          </cell>
        </row>
        <row r="3790">
          <cell r="C3790" t="str">
            <v>4502 - CONNECTR,HANGERS,TIES,ANCHORS</v>
          </cell>
          <cell r="D3790" t="str">
            <v>SUL26Z</v>
          </cell>
          <cell r="BA3790">
            <v>10.28</v>
          </cell>
        </row>
        <row r="3791">
          <cell r="C3791" t="str">
            <v>4502 - CONNECTR,HANGERS,TIES,ANCHORS</v>
          </cell>
          <cell r="D3791" t="str">
            <v>SUR210Z</v>
          </cell>
          <cell r="BA3791">
            <v>15.53</v>
          </cell>
        </row>
        <row r="3792">
          <cell r="C3792" t="str">
            <v>4502 - CONNECTR,HANGERS,TIES,ANCHORS</v>
          </cell>
          <cell r="D3792" t="str">
            <v>SUL210Z</v>
          </cell>
          <cell r="BA3792">
            <v>15.53</v>
          </cell>
        </row>
        <row r="3793">
          <cell r="C3793" t="str">
            <v>4502 - CONNECTR,HANGERS,TIES,ANCHORS</v>
          </cell>
          <cell r="D3793" t="str">
            <v>TA9Z-R</v>
          </cell>
          <cell r="BA3793">
            <v>4.63</v>
          </cell>
        </row>
        <row r="3794">
          <cell r="C3794" t="str">
            <v>4502 - CONNECTR,HANGERS,TIES,ANCHORS</v>
          </cell>
          <cell r="D3794" t="str">
            <v>TA10Z</v>
          </cell>
          <cell r="BA3794">
            <v>6.04</v>
          </cell>
        </row>
        <row r="3795">
          <cell r="C3795" t="str">
            <v>4502 - CONNECTR,HANGERS,TIES,ANCHORS</v>
          </cell>
          <cell r="D3795" t="str">
            <v>TA10Z-R</v>
          </cell>
          <cell r="BA3795">
            <v>6.04</v>
          </cell>
        </row>
        <row r="3796">
          <cell r="C3796" t="str">
            <v>4502 - CONNECTR,HANGERS,TIES,ANCHORS</v>
          </cell>
          <cell r="D3796" t="str">
            <v>LCE4Z</v>
          </cell>
          <cell r="BA3796">
            <v>6.64</v>
          </cell>
        </row>
        <row r="3797">
          <cell r="C3797" t="str">
            <v>4502 - CONNECTR,HANGERS,TIES,ANCHORS</v>
          </cell>
          <cell r="D3797" t="str">
            <v>AT-3G10</v>
          </cell>
          <cell r="BA3797">
            <v>20.190000000000001</v>
          </cell>
        </row>
        <row r="3798">
          <cell r="C3798" t="str">
            <v>4502 - CONNECTR,HANGERS,TIES,ANCHORS</v>
          </cell>
          <cell r="D3798" t="str">
            <v>AT-XP10</v>
          </cell>
          <cell r="BA3798">
            <v>25.65</v>
          </cell>
        </row>
        <row r="3799">
          <cell r="C3799" t="str">
            <v>4502 - CONNECTR,HANGERS,TIES,ANCHORS</v>
          </cell>
          <cell r="D3799" t="str">
            <v>AT-XP30</v>
          </cell>
          <cell r="BA3799">
            <v>43.28</v>
          </cell>
        </row>
        <row r="3800">
          <cell r="C3800" t="str">
            <v>4502 - CONNECTR,HANGERS,TIES,ANCHORS</v>
          </cell>
          <cell r="D3800" t="str">
            <v>EMN22IRP5</v>
          </cell>
          <cell r="BA3800">
            <v>19.36</v>
          </cell>
        </row>
        <row r="3801">
          <cell r="C3801" t="str">
            <v>4502 - CONNECTR,HANGERS,TIES,ANCHORS</v>
          </cell>
          <cell r="D3801" t="str">
            <v>EMN22IRP5E</v>
          </cell>
          <cell r="BA3801">
            <v>4.01</v>
          </cell>
        </row>
        <row r="3802">
          <cell r="C3802" t="str">
            <v>4502 - CONNECTR,HANGERS,TIES,ANCHORS</v>
          </cell>
          <cell r="D3802" t="str">
            <v>EMN22-RP6</v>
          </cell>
          <cell r="BA3802">
            <v>3.87</v>
          </cell>
        </row>
        <row r="3803">
          <cell r="C3803" t="str">
            <v>4502 - CONNECTR,HANGERS,TIES,ANCHORS</v>
          </cell>
          <cell r="D3803" t="str">
            <v>SET3G10</v>
          </cell>
          <cell r="BA3803">
            <v>26.45</v>
          </cell>
        </row>
        <row r="3804">
          <cell r="C3804" t="str">
            <v>4502 - CONNECTR,HANGERS,TIES,ANCHORS</v>
          </cell>
          <cell r="D3804" t="str">
            <v>NP5112</v>
          </cell>
          <cell r="BA3804">
            <v>0.53</v>
          </cell>
        </row>
        <row r="3805">
          <cell r="C3805" t="str">
            <v>4502 - CONNECTR,HANGERS,TIES,ANCHORS</v>
          </cell>
          <cell r="D3805" t="str">
            <v>BP5/8-3HDG</v>
          </cell>
          <cell r="BA3805">
            <v>0.66</v>
          </cell>
        </row>
        <row r="3806">
          <cell r="C3806" t="str">
            <v>4502 - CONNECTR,HANGERS,TIES,ANCHORS</v>
          </cell>
          <cell r="D3806" t="str">
            <v>BPS1/2-3HDG</v>
          </cell>
          <cell r="BA3806">
            <v>6.22</v>
          </cell>
        </row>
        <row r="3807">
          <cell r="C3807" t="str">
            <v>4502 - CONNECTR,HANGERS,TIES,ANCHORS</v>
          </cell>
          <cell r="D3807" t="str">
            <v>SSTB20-R</v>
          </cell>
          <cell r="BA3807">
            <v>9.5500000000000007</v>
          </cell>
        </row>
        <row r="3808">
          <cell r="C3808" t="str">
            <v>4502 - CONNECTR,HANGERS,TIES,ANCHORS</v>
          </cell>
          <cell r="D3808" t="str">
            <v>SSTB24</v>
          </cell>
          <cell r="BA3808">
            <v>10.19</v>
          </cell>
        </row>
        <row r="3809">
          <cell r="C3809" t="str">
            <v>4502 - CONNECTR,HANGERS,TIES,ANCHORS</v>
          </cell>
          <cell r="D3809" t="str">
            <v>SSTB24R</v>
          </cell>
          <cell r="BA3809">
            <v>12.49</v>
          </cell>
        </row>
        <row r="3810">
          <cell r="C3810" t="str">
            <v>4502 - CONNECTR,HANGERS,TIES,ANCHORS</v>
          </cell>
          <cell r="D3810" t="str">
            <v>SSTB28-R</v>
          </cell>
          <cell r="BA3810">
            <v>26.14</v>
          </cell>
        </row>
        <row r="3811">
          <cell r="C3811" t="str">
            <v>4502 - CONNECTR,HANGERS,TIES,ANCHORS</v>
          </cell>
          <cell r="D3811" t="str">
            <v>11050</v>
          </cell>
          <cell r="BA3811">
            <v>24.34</v>
          </cell>
        </row>
        <row r="3812">
          <cell r="C3812" t="str">
            <v>4502 - CONNECTR,HANGERS,TIES,ANCHORS</v>
          </cell>
          <cell r="D3812" t="str">
            <v>FPBB44</v>
          </cell>
          <cell r="BA3812">
            <v>23.63</v>
          </cell>
        </row>
        <row r="3813">
          <cell r="C3813" t="str">
            <v>4502 - CONNECTR,HANGERS,TIES,ANCHORS</v>
          </cell>
          <cell r="D3813" t="str">
            <v>H371944EA</v>
          </cell>
          <cell r="BA3813">
            <v>1.36</v>
          </cell>
        </row>
        <row r="3814">
          <cell r="C3814" t="str">
            <v>4502 - CONNECTR,HANGERS,TIES,ANCHORS</v>
          </cell>
          <cell r="D3814" t="str">
            <v>H371946EA</v>
          </cell>
          <cell r="BA3814">
            <v>1.53</v>
          </cell>
        </row>
        <row r="3815">
          <cell r="C3815" t="str">
            <v>4502 - CONNECTR,HANGERS,TIES,ANCHORS</v>
          </cell>
          <cell r="D3815" t="str">
            <v>THD62600HMGEA</v>
          </cell>
          <cell r="BA3815">
            <v>7.73</v>
          </cell>
        </row>
        <row r="3816">
          <cell r="C3816" t="str">
            <v>4502 - CONNECTR,HANGERS,TIES,ANCHORS</v>
          </cell>
          <cell r="D3816" t="str">
            <v>MF04120EA</v>
          </cell>
          <cell r="BA3816">
            <v>0.37</v>
          </cell>
        </row>
        <row r="3817">
          <cell r="C3817" t="str">
            <v>4502 - CONNECTR,HANGERS,TIES,ANCHORS</v>
          </cell>
          <cell r="D3817" t="str">
            <v>MF04121EA</v>
          </cell>
          <cell r="BA3817">
            <v>0.38</v>
          </cell>
        </row>
        <row r="3818">
          <cell r="C3818" t="str">
            <v>4502 - CONNECTR,HANGERS,TIES,ANCHORS</v>
          </cell>
          <cell r="D3818" t="str">
            <v>MF04122EA</v>
          </cell>
          <cell r="BA3818">
            <v>0.4</v>
          </cell>
        </row>
        <row r="3819">
          <cell r="C3819" t="str">
            <v>4502 - CONNECTR,HANGERS,TIES,ANCHORS</v>
          </cell>
          <cell r="D3819" t="str">
            <v>MF04123EA</v>
          </cell>
          <cell r="BA3819">
            <v>0.52</v>
          </cell>
        </row>
        <row r="3820">
          <cell r="C3820" t="str">
            <v>4502 - CONNECTR,HANGERS,TIES,ANCHORS</v>
          </cell>
          <cell r="D3820" t="str">
            <v>MF04124EA</v>
          </cell>
          <cell r="BA3820">
            <v>0.52</v>
          </cell>
        </row>
        <row r="3821">
          <cell r="C3821" t="str">
            <v>4502 - CONNECTR,HANGERS,TIES,ANCHORS</v>
          </cell>
          <cell r="D3821" t="str">
            <v>MF04125EA</v>
          </cell>
          <cell r="BA3821">
            <v>0.67</v>
          </cell>
        </row>
        <row r="3822">
          <cell r="C3822" t="str">
            <v>4502 - CONNECTR,HANGERS,TIES,ANCHORS</v>
          </cell>
          <cell r="D3822" t="str">
            <v>MF04126EA</v>
          </cell>
          <cell r="BA3822">
            <v>0.81</v>
          </cell>
        </row>
        <row r="3823">
          <cell r="C3823" t="str">
            <v>4502 - CONNECTR,HANGERS,TIES,ANCHORS</v>
          </cell>
          <cell r="D3823" t="str">
            <v>MF04127EA</v>
          </cell>
          <cell r="BA3823">
            <v>1</v>
          </cell>
        </row>
        <row r="3824">
          <cell r="C3824" t="str">
            <v>4502 - CONNECTR,HANGERS,TIES,ANCHORS</v>
          </cell>
          <cell r="D3824" t="str">
            <v>MF04128EA</v>
          </cell>
          <cell r="BA3824">
            <v>1.08</v>
          </cell>
        </row>
        <row r="3825">
          <cell r="C3825" t="str">
            <v>4502 - CONNECTR,HANGERS,TIES,ANCHORS</v>
          </cell>
          <cell r="D3825" t="str">
            <v>MF04130EA</v>
          </cell>
          <cell r="BA3825">
            <v>1.45</v>
          </cell>
        </row>
        <row r="3826">
          <cell r="C3826" t="str">
            <v>4502 - CONNECTR,HANGERS,TIES,ANCHORS</v>
          </cell>
          <cell r="D3826" t="str">
            <v>MF04131EA</v>
          </cell>
          <cell r="BA3826">
            <v>1.64</v>
          </cell>
        </row>
        <row r="3827">
          <cell r="C3827" t="str">
            <v>4502 - CONNECTR,HANGERS,TIES,ANCHORS</v>
          </cell>
          <cell r="D3827" t="str">
            <v>MF04133EA</v>
          </cell>
          <cell r="BA3827">
            <v>1.73</v>
          </cell>
        </row>
        <row r="3828">
          <cell r="C3828" t="str">
            <v>4502 - CONNECTR,HANGERS,TIES,ANCHORS</v>
          </cell>
          <cell r="D3828" t="str">
            <v>MF04134EA</v>
          </cell>
          <cell r="BA3828">
            <v>1.92</v>
          </cell>
        </row>
        <row r="3829">
          <cell r="C3829" t="str">
            <v>4502 - CONNECTR,HANGERS,TIES,ANCHORS</v>
          </cell>
          <cell r="D3829" t="str">
            <v>MF04135EA</v>
          </cell>
          <cell r="BA3829">
            <v>2.17</v>
          </cell>
        </row>
        <row r="3830">
          <cell r="C3830" t="str">
            <v>4502 - CONNECTR,HANGERS,TIES,ANCHORS</v>
          </cell>
          <cell r="D3830" t="str">
            <v>MF04136EA</v>
          </cell>
          <cell r="BA3830">
            <v>2.31</v>
          </cell>
        </row>
        <row r="3831">
          <cell r="C3831" t="str">
            <v>4502 - CONNECTR,HANGERS,TIES,ANCHORS</v>
          </cell>
          <cell r="D3831" t="str">
            <v>MF04137EA</v>
          </cell>
          <cell r="BA3831">
            <v>2.39</v>
          </cell>
        </row>
        <row r="3832">
          <cell r="C3832" t="str">
            <v>4502 - CONNECTR,HANGERS,TIES,ANCHORS</v>
          </cell>
          <cell r="D3832" t="str">
            <v>MF04138EA</v>
          </cell>
          <cell r="BA3832">
            <v>3.81</v>
          </cell>
        </row>
        <row r="3833">
          <cell r="C3833" t="str">
            <v>4502 - CONNECTR,HANGERS,TIES,ANCHORS</v>
          </cell>
          <cell r="D3833" t="str">
            <v>MF04139EA</v>
          </cell>
          <cell r="BA3833">
            <v>4.2300000000000004</v>
          </cell>
        </row>
        <row r="3834">
          <cell r="C3834" t="str">
            <v>4502 - CONNECTR,HANGERS,TIES,ANCHORS</v>
          </cell>
          <cell r="D3834" t="str">
            <v>MF04142EA</v>
          </cell>
          <cell r="BA3834">
            <v>2.69</v>
          </cell>
        </row>
        <row r="3835">
          <cell r="C3835" t="str">
            <v>4502 - CONNECTR,HANGERS,TIES,ANCHORS</v>
          </cell>
          <cell r="D3835" t="str">
            <v>MF04148EA</v>
          </cell>
          <cell r="BA3835">
            <v>1.1499999999999999</v>
          </cell>
        </row>
        <row r="3836">
          <cell r="C3836" t="str">
            <v>4502 - CONNECTR,HANGERS,TIES,ANCHORS</v>
          </cell>
          <cell r="D3836" t="str">
            <v>MF04240EA</v>
          </cell>
          <cell r="BA3836">
            <v>0.4</v>
          </cell>
        </row>
        <row r="3837">
          <cell r="C3837" t="str">
            <v>4502 - CONNECTR,HANGERS,TIES,ANCHORS</v>
          </cell>
          <cell r="D3837" t="str">
            <v>MF04241EA</v>
          </cell>
          <cell r="BA3837">
            <v>0.56000000000000005</v>
          </cell>
        </row>
        <row r="3838">
          <cell r="C3838" t="str">
            <v>4502 - CONNECTR,HANGERS,TIES,ANCHORS</v>
          </cell>
          <cell r="D3838" t="str">
            <v>MF04242EA</v>
          </cell>
          <cell r="BA3838">
            <v>0.9</v>
          </cell>
        </row>
        <row r="3839">
          <cell r="C3839" t="str">
            <v>4502 - CONNECTR,HANGERS,TIES,ANCHORS</v>
          </cell>
          <cell r="D3839" t="str">
            <v>MF04255EA</v>
          </cell>
          <cell r="BA3839">
            <v>0.2</v>
          </cell>
        </row>
        <row r="3840">
          <cell r="C3840" t="str">
            <v>4502 - CONNECTR,HANGERS,TIES,ANCHORS</v>
          </cell>
          <cell r="D3840" t="str">
            <v>MF04256EA</v>
          </cell>
          <cell r="BA3840">
            <v>0.19</v>
          </cell>
        </row>
        <row r="3841">
          <cell r="C3841" t="str">
            <v>4502 - CONNECTR,HANGERS,TIES,ANCHORS</v>
          </cell>
          <cell r="D3841" t="str">
            <v>MF04257EA</v>
          </cell>
          <cell r="BA3841">
            <v>0.21</v>
          </cell>
        </row>
        <row r="3842">
          <cell r="C3842" t="str">
            <v>4502 - CONNECTR,HANGERS,TIES,ANCHORS</v>
          </cell>
          <cell r="D3842" t="str">
            <v>MF04259EA</v>
          </cell>
          <cell r="BA3842">
            <v>0.38</v>
          </cell>
        </row>
        <row r="3843">
          <cell r="C3843" t="str">
            <v>4502 - CONNECTR,HANGERS,TIES,ANCHORS</v>
          </cell>
          <cell r="D3843" t="str">
            <v>MF04260EA</v>
          </cell>
          <cell r="BA3843">
            <v>0.45</v>
          </cell>
        </row>
        <row r="3844">
          <cell r="C3844" t="str">
            <v>4502 - CONNECTR,HANGERS,TIES,ANCHORS</v>
          </cell>
          <cell r="D3844" t="str">
            <v>MF04262EA</v>
          </cell>
          <cell r="BA3844">
            <v>0.51</v>
          </cell>
        </row>
        <row r="3845">
          <cell r="C3845" t="str">
            <v>4502 - CONNECTR,HANGERS,TIES,ANCHORS</v>
          </cell>
          <cell r="D3845" t="str">
            <v>MF04263EA</v>
          </cell>
          <cell r="BA3845">
            <v>0.57999999999999996</v>
          </cell>
        </row>
        <row r="3846">
          <cell r="C3846" t="str">
            <v>4502 - CONNECTR,HANGERS,TIES,ANCHORS</v>
          </cell>
          <cell r="D3846" t="str">
            <v>MF04270EA</v>
          </cell>
          <cell r="BA3846">
            <v>0.25</v>
          </cell>
        </row>
        <row r="3847">
          <cell r="C3847" t="str">
            <v>4502 - CONNECTR,HANGERS,TIES,ANCHORS</v>
          </cell>
          <cell r="D3847" t="str">
            <v>MF04271EA</v>
          </cell>
          <cell r="BA3847">
            <v>0.24</v>
          </cell>
        </row>
        <row r="3848">
          <cell r="C3848" t="str">
            <v>4502 - CONNECTR,HANGERS,TIES,ANCHORS</v>
          </cell>
          <cell r="D3848" t="str">
            <v>MF04272EA</v>
          </cell>
          <cell r="BA3848">
            <v>0.28999999999999998</v>
          </cell>
        </row>
        <row r="3849">
          <cell r="C3849" t="str">
            <v>4502 - CONNECTR,HANGERS,TIES,ANCHORS</v>
          </cell>
          <cell r="D3849" t="str">
            <v>MF04275EA</v>
          </cell>
          <cell r="BA3849">
            <v>0.25</v>
          </cell>
        </row>
        <row r="3850">
          <cell r="C3850" t="str">
            <v>4502 - CONNECTR,HANGERS,TIES,ANCHORS</v>
          </cell>
          <cell r="D3850" t="str">
            <v>MF04276EA</v>
          </cell>
          <cell r="BA3850">
            <v>0.17</v>
          </cell>
        </row>
        <row r="3851">
          <cell r="C3851" t="str">
            <v>4502 - CONNECTR,HANGERS,TIES,ANCHORS</v>
          </cell>
          <cell r="D3851" t="str">
            <v>MF04280EA</v>
          </cell>
          <cell r="BA3851">
            <v>0.23</v>
          </cell>
        </row>
        <row r="3852">
          <cell r="C3852" t="str">
            <v>4502 - CONNECTR,HANGERS,TIES,ANCHORS</v>
          </cell>
          <cell r="D3852" t="str">
            <v>MF04285EA</v>
          </cell>
          <cell r="BA3852">
            <v>0.03</v>
          </cell>
        </row>
        <row r="3853">
          <cell r="C3853" t="str">
            <v>4502 - CONNECTR,HANGERS,TIES,ANCHORS</v>
          </cell>
          <cell r="D3853" t="str">
            <v>MF04286EA</v>
          </cell>
          <cell r="BA3853">
            <v>0.03</v>
          </cell>
        </row>
        <row r="3854">
          <cell r="C3854" t="str">
            <v>4502 - CONNECTR,HANGERS,TIES,ANCHORS</v>
          </cell>
          <cell r="D3854" t="str">
            <v>MF04287EA</v>
          </cell>
          <cell r="BA3854">
            <v>0.04</v>
          </cell>
        </row>
        <row r="3855">
          <cell r="C3855" t="str">
            <v>4502 - CONNECTR,HANGERS,TIES,ANCHORS</v>
          </cell>
          <cell r="D3855" t="str">
            <v>MF04288EA</v>
          </cell>
          <cell r="BA3855">
            <v>0.04</v>
          </cell>
        </row>
        <row r="3856">
          <cell r="C3856" t="str">
            <v>4502 - CONNECTR,HANGERS,TIES,ANCHORS</v>
          </cell>
          <cell r="D3856" t="str">
            <v>MF04295EA</v>
          </cell>
          <cell r="BA3856">
            <v>0.03</v>
          </cell>
        </row>
        <row r="3857">
          <cell r="C3857" t="str">
            <v>4502 - CONNECTR,HANGERS,TIES,ANCHORS</v>
          </cell>
          <cell r="D3857" t="str">
            <v>MF04296EA</v>
          </cell>
          <cell r="BA3857">
            <v>0.03</v>
          </cell>
        </row>
        <row r="3858">
          <cell r="C3858" t="str">
            <v>4502 - CONNECTR,HANGERS,TIES,ANCHORS</v>
          </cell>
          <cell r="D3858" t="str">
            <v>MF04297EA</v>
          </cell>
          <cell r="BA3858">
            <v>0.05</v>
          </cell>
        </row>
        <row r="3859">
          <cell r="C3859" t="str">
            <v>4502 - CONNECTR,HANGERS,TIES,ANCHORS</v>
          </cell>
          <cell r="D3859" t="str">
            <v>MF07851EA</v>
          </cell>
          <cell r="BA3859">
            <v>2.5</v>
          </cell>
        </row>
        <row r="3860">
          <cell r="C3860" t="str">
            <v>4502 - CONNECTR,HANGERS,TIES,ANCHORS</v>
          </cell>
          <cell r="D3860" t="str">
            <v>MF07852EA</v>
          </cell>
          <cell r="BA3860">
            <v>2.86</v>
          </cell>
        </row>
        <row r="3861">
          <cell r="C3861" t="str">
            <v>4502 - CONNECTR,HANGERS,TIES,ANCHORS</v>
          </cell>
          <cell r="D3861" t="str">
            <v>MF09405EA</v>
          </cell>
          <cell r="BA3861">
            <v>2.12</v>
          </cell>
        </row>
        <row r="3862">
          <cell r="C3862" t="str">
            <v>4502 - CONNECTR,HANGERS,TIES,ANCHORS</v>
          </cell>
          <cell r="D3862" t="str">
            <v>MF09411EA</v>
          </cell>
          <cell r="BA3862">
            <v>4.21</v>
          </cell>
        </row>
        <row r="3863">
          <cell r="C3863" t="str">
            <v>4502 - CONNECTR,HANGERS,TIES,ANCHORS</v>
          </cell>
          <cell r="D3863" t="str">
            <v>MF09640EA</v>
          </cell>
          <cell r="BA3863">
            <v>1.17</v>
          </cell>
        </row>
        <row r="3864">
          <cell r="C3864" t="str">
            <v>4502 - CONNECTR,HANGERS,TIES,ANCHORS</v>
          </cell>
          <cell r="D3864" t="str">
            <v>MF09645EA</v>
          </cell>
          <cell r="BA3864">
            <v>2.83</v>
          </cell>
        </row>
        <row r="3865">
          <cell r="C3865" t="str">
            <v>4502 - CONNECTR,HANGERS,TIES,ANCHORS</v>
          </cell>
          <cell r="D3865" t="str">
            <v>MF50384EA</v>
          </cell>
          <cell r="BA3865">
            <v>2.74</v>
          </cell>
        </row>
        <row r="3866">
          <cell r="C3866" t="str">
            <v>4502 - CONNECTR,HANGERS,TIES,ANCHORS</v>
          </cell>
          <cell r="D3866" t="str">
            <v>MF51410EA</v>
          </cell>
          <cell r="BA3866">
            <v>3.68</v>
          </cell>
        </row>
        <row r="3867">
          <cell r="C3867" t="str">
            <v>4502 - CONNECTR,HANGERS,TIES,ANCHORS</v>
          </cell>
          <cell r="D3867" t="str">
            <v>MF53228EA</v>
          </cell>
          <cell r="BA3867">
            <v>6.4</v>
          </cell>
        </row>
        <row r="3868">
          <cell r="C3868" t="str">
            <v>4502 - CONNECTR,HANGERS,TIES,ANCHORS</v>
          </cell>
          <cell r="D3868" t="str">
            <v>STB2-50512EA</v>
          </cell>
          <cell r="BA3868">
            <v>1.08</v>
          </cell>
        </row>
        <row r="3869">
          <cell r="C3869" t="str">
            <v>4502 - CONNECTR,HANGERS,TIES,ANCHORS</v>
          </cell>
          <cell r="D3869" t="str">
            <v>STB2-50414MGREA</v>
          </cell>
          <cell r="BA3869">
            <v>1.77</v>
          </cell>
        </row>
        <row r="3870">
          <cell r="C3870" t="str">
            <v>4503 - NUTS/BOLTS/WASHERS</v>
          </cell>
          <cell r="D3870" t="str">
            <v>N130-641</v>
          </cell>
          <cell r="BA3870">
            <v>14.99</v>
          </cell>
        </row>
        <row r="3871">
          <cell r="C3871" t="str">
            <v>4503 - NUTS/BOLTS/WASHERS</v>
          </cell>
          <cell r="D3871" t="str">
            <v>770061-BR</v>
          </cell>
          <cell r="BA3871">
            <v>17.989999999999998</v>
          </cell>
        </row>
        <row r="3872">
          <cell r="C3872" t="str">
            <v>4503 - NUTS/BOLTS/WASHERS</v>
          </cell>
          <cell r="D3872" t="str">
            <v>770063-BR</v>
          </cell>
          <cell r="BA3872">
            <v>30.89</v>
          </cell>
        </row>
        <row r="3873">
          <cell r="C3873" t="str">
            <v>4503 - NUTS/BOLTS/WASHERS</v>
          </cell>
          <cell r="D3873" t="str">
            <v>N130-583</v>
          </cell>
          <cell r="BA3873">
            <v>12.99</v>
          </cell>
        </row>
        <row r="3874">
          <cell r="C3874" t="str">
            <v>4503 - NUTS/BOLTS/WASHERS</v>
          </cell>
          <cell r="D3874" t="str">
            <v>N130-617</v>
          </cell>
          <cell r="BA3874">
            <v>9.99</v>
          </cell>
        </row>
        <row r="3875">
          <cell r="C3875" t="str">
            <v>4503 - NUTS/BOLTS/WASHERS</v>
          </cell>
          <cell r="D3875" t="str">
            <v>N130-674</v>
          </cell>
          <cell r="BA3875">
            <v>15.99</v>
          </cell>
        </row>
        <row r="3876">
          <cell r="C3876" t="str">
            <v>4503 - NUTS/BOLTS/WASHERS</v>
          </cell>
          <cell r="D3876" t="str">
            <v>HSP158CBSP1</v>
          </cell>
          <cell r="BA3876">
            <v>9.7899999999999991</v>
          </cell>
        </row>
        <row r="3877">
          <cell r="C3877" t="str">
            <v>4503 - NUTS/BOLTS/WASHERS</v>
          </cell>
          <cell r="D3877" t="str">
            <v>POW50116</v>
          </cell>
          <cell r="BA3877">
            <v>22.86</v>
          </cell>
        </row>
        <row r="3878">
          <cell r="C3878" t="str">
            <v>4503 - NUTS/BOLTS/WASHERS</v>
          </cell>
          <cell r="D3878" t="str">
            <v>BB770053-BR</v>
          </cell>
          <cell r="BA3878">
            <v>21.99</v>
          </cell>
        </row>
        <row r="3879">
          <cell r="C3879" t="str">
            <v>4503 - NUTS/BOLTS/WASHERS</v>
          </cell>
          <cell r="D3879" t="str">
            <v>770051-BR</v>
          </cell>
          <cell r="BA3879">
            <v>10.99</v>
          </cell>
        </row>
        <row r="3880">
          <cell r="C3880" t="str">
            <v>4503 - NUTS/BOLTS/WASHERS</v>
          </cell>
          <cell r="D3880" t="str">
            <v>CNZ12</v>
          </cell>
          <cell r="BA3880">
            <v>0.89</v>
          </cell>
        </row>
        <row r="3881">
          <cell r="C3881" t="str">
            <v>4503 - NUTS/BOLTS/WASHERS</v>
          </cell>
          <cell r="D3881" t="str">
            <v>BPS5/8-6HDG</v>
          </cell>
          <cell r="BA3881">
            <v>10.19</v>
          </cell>
        </row>
        <row r="3882">
          <cell r="C3882" t="str">
            <v>4503 - NUTS/BOLTS/WASHERS</v>
          </cell>
          <cell r="D3882" t="str">
            <v>ST571088</v>
          </cell>
          <cell r="BA3882">
            <v>0.89</v>
          </cell>
        </row>
        <row r="3883">
          <cell r="C3883" t="str">
            <v>4503 - NUTS/BOLTS/WASHERS</v>
          </cell>
          <cell r="D3883" t="str">
            <v>N179-150</v>
          </cell>
          <cell r="BA3883">
            <v>4.59</v>
          </cell>
        </row>
        <row r="3884">
          <cell r="C3884" t="str">
            <v>4503 - NUTS/BOLTS/WASHERS</v>
          </cell>
          <cell r="D3884" t="str">
            <v>AB1210</v>
          </cell>
          <cell r="BA3884">
            <v>2.59</v>
          </cell>
        </row>
        <row r="3885">
          <cell r="C3885" t="str">
            <v>4503 - NUTS/BOLTS/WASHERS</v>
          </cell>
          <cell r="D3885" t="str">
            <v>GR128AB50EA</v>
          </cell>
          <cell r="BA3885">
            <v>0.48</v>
          </cell>
        </row>
        <row r="3886">
          <cell r="C3886" t="str">
            <v>4503 - NUTS/BOLTS/WASHERS</v>
          </cell>
          <cell r="D3886" t="str">
            <v>GR5810AB</v>
          </cell>
          <cell r="BA3886">
            <v>1.89</v>
          </cell>
        </row>
        <row r="3887">
          <cell r="C3887" t="str">
            <v>4503 - NUTS/BOLTS/WASHERS</v>
          </cell>
          <cell r="D3887" t="str">
            <v>GR5810AB50</v>
          </cell>
          <cell r="BA3887">
            <v>1.29</v>
          </cell>
        </row>
        <row r="3888">
          <cell r="C3888" t="str">
            <v>4503 - NUTS/BOLTS/WASHERS</v>
          </cell>
          <cell r="D3888" t="str">
            <v>GR5812AB</v>
          </cell>
          <cell r="BA3888">
            <v>1.19</v>
          </cell>
        </row>
        <row r="3889">
          <cell r="C3889" t="str">
            <v>4503 - NUTS/BOLTS/WASHERS</v>
          </cell>
          <cell r="D3889" t="str">
            <v>AB1210G</v>
          </cell>
          <cell r="BA3889">
            <v>2.19</v>
          </cell>
        </row>
        <row r="3890">
          <cell r="C3890" t="str">
            <v>4503 - NUTS/BOLTS/WASHERS</v>
          </cell>
          <cell r="D3890" t="str">
            <v>AB5810G</v>
          </cell>
          <cell r="BA3890">
            <v>1.39</v>
          </cell>
        </row>
        <row r="3891">
          <cell r="C3891" t="str">
            <v>4503 - NUTS/BOLTS/WASHERS</v>
          </cell>
          <cell r="D3891" t="str">
            <v>GR5812HGAB1</v>
          </cell>
          <cell r="BA3891">
            <v>2.39</v>
          </cell>
        </row>
        <row r="3892">
          <cell r="C3892" t="str">
            <v>4503 - NUTS/BOLTS/WASHERS</v>
          </cell>
          <cell r="D3892" t="str">
            <v>GR3412HGAB50EA</v>
          </cell>
          <cell r="BA3892">
            <v>3.29</v>
          </cell>
        </row>
        <row r="3893">
          <cell r="C3893" t="str">
            <v>4503 - NUTS/BOLTS/WASHERS</v>
          </cell>
          <cell r="D3893" t="str">
            <v>FB1210</v>
          </cell>
          <cell r="BA3893">
            <v>0.57999999999999996</v>
          </cell>
        </row>
        <row r="3894">
          <cell r="C3894" t="str">
            <v>4503 - NUTS/BOLTS/WASHERS</v>
          </cell>
          <cell r="D3894" t="str">
            <v>FMTHR614-6</v>
          </cell>
          <cell r="BA3894">
            <v>28.59</v>
          </cell>
        </row>
        <row r="3895">
          <cell r="C3895" t="str">
            <v>4503 - NUTS/BOLTS/WASHERS</v>
          </cell>
          <cell r="D3895" t="str">
            <v>FMTHR614-24</v>
          </cell>
          <cell r="BA3895">
            <v>74.989999999999995</v>
          </cell>
        </row>
        <row r="3896">
          <cell r="C3896" t="str">
            <v>4503 - NUTS/BOLTS/WASHERS</v>
          </cell>
          <cell r="D3896" t="str">
            <v>FMTHR614-INDYEA</v>
          </cell>
          <cell r="BA3896">
            <v>4.3899999999999997</v>
          </cell>
        </row>
        <row r="3897">
          <cell r="C3897" t="str">
            <v>4503 - NUTS/BOLTS/WASHERS</v>
          </cell>
          <cell r="D3897" t="str">
            <v>FMTHR008-6</v>
          </cell>
          <cell r="BA3897">
            <v>30.49</v>
          </cell>
        </row>
        <row r="3898">
          <cell r="C3898" t="str">
            <v>4503 - NUTS/BOLTS/WASHERS</v>
          </cell>
          <cell r="D3898" t="str">
            <v>FMTHR008-24</v>
          </cell>
          <cell r="BA3898">
            <v>90.49</v>
          </cell>
        </row>
        <row r="3899">
          <cell r="C3899" t="str">
            <v>4503 - NUTS/BOLTS/WASHERS</v>
          </cell>
          <cell r="D3899" t="str">
            <v>FMTHR008-INDYEA</v>
          </cell>
          <cell r="BA3899">
            <v>4.99</v>
          </cell>
        </row>
        <row r="3900">
          <cell r="C3900" t="str">
            <v>4503 - NUTS/BOLTS/WASHERS</v>
          </cell>
          <cell r="D3900" t="str">
            <v>THDB62400H</v>
          </cell>
          <cell r="BA3900">
            <v>4.1900000000000004</v>
          </cell>
        </row>
        <row r="3901">
          <cell r="C3901" t="str">
            <v>4503 - NUTS/BOLTS/WASHERS</v>
          </cell>
          <cell r="D3901" t="str">
            <v>TNT25234HEA</v>
          </cell>
          <cell r="BA3901">
            <v>0.215</v>
          </cell>
        </row>
        <row r="3902">
          <cell r="C3902" t="str">
            <v>4503 - NUTS/BOLTS/WASHERS</v>
          </cell>
          <cell r="D3902" t="str">
            <v>TNT25114HEA</v>
          </cell>
          <cell r="BA3902">
            <v>0.12</v>
          </cell>
        </row>
        <row r="3903">
          <cell r="C3903" t="str">
            <v>4503 - NUTS/BOLTS/WASHERS</v>
          </cell>
          <cell r="D3903" t="str">
            <v>TNT25314HEA</v>
          </cell>
          <cell r="BA3903">
            <v>0.27</v>
          </cell>
        </row>
        <row r="3904">
          <cell r="C3904" t="str">
            <v>4503 - NUTS/BOLTS/WASHERS</v>
          </cell>
          <cell r="D3904" t="str">
            <v>TNT25214HEA</v>
          </cell>
          <cell r="BA3904">
            <v>0.2</v>
          </cell>
        </row>
        <row r="3905">
          <cell r="C3905" t="str">
            <v>4503 - NUTS/BOLTS/WASHERS</v>
          </cell>
          <cell r="D3905" t="str">
            <v>CNW1</v>
          </cell>
          <cell r="BA3905">
            <v>9.89</v>
          </cell>
        </row>
        <row r="3906">
          <cell r="C3906" t="str">
            <v>4503 - NUTS/BOLTS/WASHERS</v>
          </cell>
          <cell r="D3906" t="str">
            <v>CNW3/4</v>
          </cell>
          <cell r="BA3906">
            <v>4.09</v>
          </cell>
        </row>
        <row r="3907">
          <cell r="C3907" t="str">
            <v>4503 - NUTS/BOLTS/WASHERS</v>
          </cell>
          <cell r="D3907" t="str">
            <v>CNW5/8</v>
          </cell>
          <cell r="BA3907">
            <v>2.09</v>
          </cell>
        </row>
        <row r="3908">
          <cell r="C3908" t="str">
            <v>4503 - NUTS/BOLTS/WASHERS</v>
          </cell>
          <cell r="D3908" t="str">
            <v>CNW7/8</v>
          </cell>
          <cell r="BA3908">
            <v>6.39</v>
          </cell>
        </row>
        <row r="3909">
          <cell r="C3909" t="str">
            <v>4503 - NUTS/BOLTS/WASHERS</v>
          </cell>
          <cell r="D3909" t="str">
            <v>HDGCN12</v>
          </cell>
          <cell r="BA3909">
            <v>1.0900000000000001</v>
          </cell>
        </row>
        <row r="3910">
          <cell r="C3910" t="str">
            <v>4503 - NUTS/BOLTS/WASHERS</v>
          </cell>
          <cell r="D3910" t="str">
            <v>HDGCN58</v>
          </cell>
          <cell r="BA3910">
            <v>1.89</v>
          </cell>
        </row>
        <row r="3911">
          <cell r="C3911" t="str">
            <v>4503 - NUTS/BOLTS/WASHERS</v>
          </cell>
          <cell r="D3911" t="str">
            <v>GHN38</v>
          </cell>
          <cell r="BA3911">
            <v>0.06</v>
          </cell>
        </row>
        <row r="3912">
          <cell r="C3912" t="str">
            <v>4503 - NUTS/BOLTS/WASHERS</v>
          </cell>
          <cell r="D3912" t="str">
            <v>ITW1508SD</v>
          </cell>
          <cell r="BA3912">
            <v>19.989999999999998</v>
          </cell>
        </row>
        <row r="3913">
          <cell r="C3913" t="str">
            <v>4503 - NUTS/BOLTS/WASHERS</v>
          </cell>
          <cell r="D3913" t="str">
            <v>ITW1514SD</v>
          </cell>
          <cell r="BA3913">
            <v>24.99</v>
          </cell>
        </row>
        <row r="3914">
          <cell r="C3914" t="str">
            <v>4503 - NUTS/BOLTS/WASHERS</v>
          </cell>
          <cell r="D3914" t="str">
            <v>SSTB16</v>
          </cell>
          <cell r="BA3914">
            <v>8.7899999999999991</v>
          </cell>
        </row>
        <row r="3915">
          <cell r="C3915" t="str">
            <v>4503 - NUTS/BOLTS/WASHERS</v>
          </cell>
          <cell r="D3915" t="str">
            <v>SSTB16-R</v>
          </cell>
          <cell r="BA3915">
            <v>10.19</v>
          </cell>
        </row>
        <row r="3916">
          <cell r="C3916" t="str">
            <v>4503 - NUTS/BOLTS/WASHERS</v>
          </cell>
          <cell r="D3916" t="str">
            <v>SSTB20</v>
          </cell>
          <cell r="BA3916">
            <v>9.39</v>
          </cell>
        </row>
        <row r="3917">
          <cell r="C3917" t="str">
            <v>4503 - NUTS/BOLTS/WASHERS</v>
          </cell>
          <cell r="D3917" t="str">
            <v>N130-146</v>
          </cell>
          <cell r="BA3917">
            <v>6.99</v>
          </cell>
        </row>
        <row r="3918">
          <cell r="C3918" t="str">
            <v>4503 - NUTS/BOLTS/WASHERS</v>
          </cell>
          <cell r="D3918" t="str">
            <v>N130-112</v>
          </cell>
          <cell r="BA3918">
            <v>5.99</v>
          </cell>
        </row>
        <row r="3919">
          <cell r="C3919" t="str">
            <v>4503 - NUTS/BOLTS/WASHERS</v>
          </cell>
          <cell r="D3919" t="str">
            <v>FST27</v>
          </cell>
          <cell r="BA3919">
            <v>0.18</v>
          </cell>
        </row>
        <row r="3920">
          <cell r="C3920" t="str">
            <v>4503 - NUTS/BOLTS/WASHERS</v>
          </cell>
          <cell r="D3920" t="str">
            <v>FST70</v>
          </cell>
          <cell r="BA3920">
            <v>0.46</v>
          </cell>
        </row>
        <row r="3921">
          <cell r="C3921" t="str">
            <v>4503 - NUTS/BOLTS/WASHERS</v>
          </cell>
          <cell r="D3921" t="str">
            <v>H270033EA</v>
          </cell>
          <cell r="BA3921">
            <v>2.19</v>
          </cell>
        </row>
        <row r="3922">
          <cell r="C3922" t="str">
            <v>4503 - NUTS/BOLTS/WASHERS</v>
          </cell>
          <cell r="D3922" t="str">
            <v>H290012EA</v>
          </cell>
          <cell r="BA3922">
            <v>0.27</v>
          </cell>
        </row>
        <row r="3923">
          <cell r="C3923" t="str">
            <v>4503 - NUTS/BOLTS/WASHERS</v>
          </cell>
          <cell r="D3923" t="str">
            <v>H290021EA</v>
          </cell>
          <cell r="BA3923">
            <v>0.65</v>
          </cell>
        </row>
        <row r="3924">
          <cell r="C3924" t="str">
            <v>4503 - NUTS/BOLTS/WASHERS</v>
          </cell>
          <cell r="D3924" t="str">
            <v>H290033EA</v>
          </cell>
          <cell r="BA3924">
            <v>0.37</v>
          </cell>
        </row>
        <row r="3925">
          <cell r="C3925" t="str">
            <v>4503 - NUTS/BOLTS/WASHERS</v>
          </cell>
          <cell r="D3925" t="str">
            <v>MF03498EA</v>
          </cell>
          <cell r="BA3925">
            <v>5.99</v>
          </cell>
        </row>
        <row r="3926">
          <cell r="C3926" t="str">
            <v>4503 - NUTS/BOLTS/WASHERS</v>
          </cell>
          <cell r="D3926" t="str">
            <v>MF03499EA</v>
          </cell>
          <cell r="BA3926">
            <v>6.39</v>
          </cell>
        </row>
        <row r="3927">
          <cell r="C3927" t="str">
            <v>4503 - NUTS/BOLTS/WASHERS</v>
          </cell>
          <cell r="D3927" t="str">
            <v>MF03670EA</v>
          </cell>
          <cell r="BA3927">
            <v>0.17</v>
          </cell>
        </row>
        <row r="3928">
          <cell r="C3928" t="str">
            <v>4503 - NUTS/BOLTS/WASHERS</v>
          </cell>
          <cell r="D3928" t="str">
            <v>MF03671EA</v>
          </cell>
          <cell r="BA3928">
            <v>0.24</v>
          </cell>
        </row>
        <row r="3929">
          <cell r="C3929" t="str">
            <v>4503 - NUTS/BOLTS/WASHERS</v>
          </cell>
          <cell r="D3929" t="str">
            <v>MF03672EA</v>
          </cell>
          <cell r="BA3929">
            <v>0.26</v>
          </cell>
        </row>
        <row r="3930">
          <cell r="C3930" t="str">
            <v>4503 - NUTS/BOLTS/WASHERS</v>
          </cell>
          <cell r="D3930" t="str">
            <v>MF03674EA</v>
          </cell>
          <cell r="BA3930">
            <v>0.43</v>
          </cell>
        </row>
        <row r="3931">
          <cell r="C3931" t="str">
            <v>4503 - NUTS/BOLTS/WASHERS</v>
          </cell>
          <cell r="D3931" t="str">
            <v>MF03676EA</v>
          </cell>
          <cell r="BA3931">
            <v>0.79</v>
          </cell>
        </row>
        <row r="3932">
          <cell r="C3932" t="str">
            <v>4503 - NUTS/BOLTS/WASHERS</v>
          </cell>
          <cell r="D3932" t="str">
            <v>MF03677EA</v>
          </cell>
          <cell r="BA3932">
            <v>1.25</v>
          </cell>
        </row>
        <row r="3933">
          <cell r="C3933" t="str">
            <v>4503 - NUTS/BOLTS/WASHERS</v>
          </cell>
          <cell r="D3933" t="str">
            <v>MF03678EA</v>
          </cell>
          <cell r="BA3933">
            <v>1.75</v>
          </cell>
        </row>
        <row r="3934">
          <cell r="C3934" t="str">
            <v>4503 - NUTS/BOLTS/WASHERS</v>
          </cell>
          <cell r="D3934" t="str">
            <v>MF03679EA</v>
          </cell>
          <cell r="BA3934">
            <v>2.59</v>
          </cell>
        </row>
        <row r="3935">
          <cell r="C3935" t="str">
            <v>4503 - NUTS/BOLTS/WASHERS</v>
          </cell>
          <cell r="D3935" t="str">
            <v>MF03826EA</v>
          </cell>
          <cell r="BA3935">
            <v>0.23</v>
          </cell>
        </row>
        <row r="3936">
          <cell r="C3936" t="str">
            <v>4503 - NUTS/BOLTS/WASHERS</v>
          </cell>
          <cell r="D3936" t="str">
            <v>MF03827EA</v>
          </cell>
          <cell r="BA3936">
            <v>0.26</v>
          </cell>
        </row>
        <row r="3937">
          <cell r="C3937" t="str">
            <v>4503 - NUTS/BOLTS/WASHERS</v>
          </cell>
          <cell r="D3937" t="str">
            <v>MF03828EA</v>
          </cell>
          <cell r="BA3937">
            <v>0.27</v>
          </cell>
        </row>
        <row r="3938">
          <cell r="C3938" t="str">
            <v>4503 - NUTS/BOLTS/WASHERS</v>
          </cell>
          <cell r="D3938" t="str">
            <v>MF03830EA</v>
          </cell>
          <cell r="BA3938">
            <v>0.46</v>
          </cell>
        </row>
        <row r="3939">
          <cell r="C3939" t="str">
            <v>4503 - NUTS/BOLTS/WASHERS</v>
          </cell>
          <cell r="D3939" t="str">
            <v>MF03842EA</v>
          </cell>
          <cell r="BA3939">
            <v>0.75</v>
          </cell>
        </row>
        <row r="3940">
          <cell r="C3940" t="str">
            <v>4503 - NUTS/BOLTS/WASHERS</v>
          </cell>
          <cell r="D3940" t="str">
            <v>MF03925EA</v>
          </cell>
          <cell r="BA3940">
            <v>0.3</v>
          </cell>
        </row>
        <row r="3941">
          <cell r="C3941" t="str">
            <v>4503 - NUTS/BOLTS/WASHERS</v>
          </cell>
          <cell r="D3941" t="str">
            <v>MF03928EA</v>
          </cell>
          <cell r="BA3941">
            <v>0.31</v>
          </cell>
        </row>
        <row r="3942">
          <cell r="C3942" t="str">
            <v>4503 - NUTS/BOLTS/WASHERS</v>
          </cell>
          <cell r="D3942" t="str">
            <v>MF03930EA</v>
          </cell>
          <cell r="BA3942">
            <v>0.42</v>
          </cell>
        </row>
        <row r="3943">
          <cell r="C3943" t="str">
            <v>4503 - NUTS/BOLTS/WASHERS</v>
          </cell>
          <cell r="D3943" t="str">
            <v>MF03932EA</v>
          </cell>
          <cell r="BA3943">
            <v>0.39</v>
          </cell>
        </row>
        <row r="3944">
          <cell r="C3944" t="str">
            <v>4503 - NUTS/BOLTS/WASHERS</v>
          </cell>
          <cell r="D3944" t="str">
            <v>MF03935EA</v>
          </cell>
          <cell r="BA3944">
            <v>0.49</v>
          </cell>
        </row>
        <row r="3945">
          <cell r="C3945" t="str">
            <v>4503 - NUTS/BOLTS/WASHERS</v>
          </cell>
          <cell r="D3945" t="str">
            <v>MF03936EA</v>
          </cell>
          <cell r="BA3945">
            <v>0.75</v>
          </cell>
        </row>
        <row r="3946">
          <cell r="C3946" t="str">
            <v>4503 - NUTS/BOLTS/WASHERS</v>
          </cell>
          <cell r="D3946" t="str">
            <v>MF03937EA</v>
          </cell>
          <cell r="BA3946">
            <v>0.52</v>
          </cell>
        </row>
        <row r="3947">
          <cell r="C3947" t="str">
            <v>4503 - NUTS/BOLTS/WASHERS</v>
          </cell>
          <cell r="D3947" t="str">
            <v>MF03944EA</v>
          </cell>
          <cell r="BA3947">
            <v>0.21</v>
          </cell>
        </row>
        <row r="3948">
          <cell r="C3948" t="str">
            <v>4503 - NUTS/BOLTS/WASHERS</v>
          </cell>
          <cell r="D3948" t="str">
            <v>MF03945EA</v>
          </cell>
          <cell r="BA3948">
            <v>0.22</v>
          </cell>
        </row>
        <row r="3949">
          <cell r="C3949" t="str">
            <v>4503 - NUTS/BOLTS/WASHERS</v>
          </cell>
          <cell r="D3949" t="str">
            <v>MF03946EA</v>
          </cell>
          <cell r="BA3949">
            <v>0.24</v>
          </cell>
        </row>
        <row r="3950">
          <cell r="C3950" t="str">
            <v>4503 - NUTS/BOLTS/WASHERS</v>
          </cell>
          <cell r="D3950" t="str">
            <v>MF04085EA</v>
          </cell>
          <cell r="BA3950">
            <v>0.66</v>
          </cell>
        </row>
        <row r="3951">
          <cell r="C3951" t="str">
            <v>4503 - NUTS/BOLTS/WASHERS</v>
          </cell>
          <cell r="D3951" t="str">
            <v>MF04086EA</v>
          </cell>
          <cell r="BA3951">
            <v>0.69</v>
          </cell>
        </row>
        <row r="3952">
          <cell r="C3952" t="str">
            <v>4503 - NUTS/BOLTS/WASHERS</v>
          </cell>
          <cell r="D3952" t="str">
            <v>MF04088EA</v>
          </cell>
          <cell r="BA3952">
            <v>0.79</v>
          </cell>
        </row>
        <row r="3953">
          <cell r="C3953" t="str">
            <v>4503 - NUTS/BOLTS/WASHERS</v>
          </cell>
          <cell r="D3953" t="str">
            <v>MF04089EA</v>
          </cell>
          <cell r="BA3953">
            <v>0.95</v>
          </cell>
        </row>
        <row r="3954">
          <cell r="C3954" t="str">
            <v>4503 - NUTS/BOLTS/WASHERS</v>
          </cell>
          <cell r="D3954" t="str">
            <v>MF04090EA</v>
          </cell>
          <cell r="BA3954">
            <v>0.95</v>
          </cell>
        </row>
        <row r="3955">
          <cell r="C3955" t="str">
            <v>4503 - NUTS/BOLTS/WASHERS</v>
          </cell>
          <cell r="D3955" t="str">
            <v>MF04092EA</v>
          </cell>
          <cell r="BA3955">
            <v>1.0900000000000001</v>
          </cell>
        </row>
        <row r="3956">
          <cell r="C3956" t="str">
            <v>4503 - NUTS/BOLTS/WASHERS</v>
          </cell>
          <cell r="D3956" t="str">
            <v>MF04093EA</v>
          </cell>
          <cell r="BA3956">
            <v>1.05</v>
          </cell>
        </row>
        <row r="3957">
          <cell r="C3957" t="str">
            <v>4503 - NUTS/BOLTS/WASHERS</v>
          </cell>
          <cell r="D3957" t="str">
            <v>MF04094EA</v>
          </cell>
          <cell r="BA3957">
            <v>1.0900000000000001</v>
          </cell>
        </row>
        <row r="3958">
          <cell r="C3958" t="str">
            <v>4503 - NUTS/BOLTS/WASHERS</v>
          </cell>
          <cell r="D3958" t="str">
            <v>MF04095EA</v>
          </cell>
          <cell r="BA3958">
            <v>1.1499999999999999</v>
          </cell>
        </row>
        <row r="3959">
          <cell r="C3959" t="str">
            <v>4503 - NUTS/BOLTS/WASHERS</v>
          </cell>
          <cell r="D3959" t="str">
            <v>MF04096EA</v>
          </cell>
          <cell r="BA3959">
            <v>1.35</v>
          </cell>
        </row>
        <row r="3960">
          <cell r="C3960" t="str">
            <v>4503 - NUTS/BOLTS/WASHERS</v>
          </cell>
          <cell r="D3960" t="str">
            <v>MF04097EA</v>
          </cell>
          <cell r="BA3960">
            <v>1.75</v>
          </cell>
        </row>
        <row r="3961">
          <cell r="C3961" t="str">
            <v>4503 - NUTS/BOLTS/WASHERS</v>
          </cell>
          <cell r="D3961" t="str">
            <v>MF04098EA</v>
          </cell>
          <cell r="BA3961">
            <v>1.89</v>
          </cell>
        </row>
        <row r="3962">
          <cell r="C3962" t="str">
            <v>4503 - NUTS/BOLTS/WASHERS</v>
          </cell>
          <cell r="D3962" t="str">
            <v>MF04101EA</v>
          </cell>
          <cell r="BA3962">
            <v>1.99</v>
          </cell>
        </row>
        <row r="3963">
          <cell r="C3963" t="str">
            <v>4503 - NUTS/BOLTS/WASHERS</v>
          </cell>
          <cell r="D3963" t="str">
            <v>MF04102EA</v>
          </cell>
          <cell r="BA3963">
            <v>2.09</v>
          </cell>
        </row>
        <row r="3964">
          <cell r="C3964" t="str">
            <v>4503 - NUTS/BOLTS/WASHERS</v>
          </cell>
          <cell r="D3964" t="str">
            <v>MF04103EA</v>
          </cell>
          <cell r="BA3964">
            <v>2.39</v>
          </cell>
        </row>
        <row r="3965">
          <cell r="C3965" t="str">
            <v>4503 - NUTS/BOLTS/WASHERS</v>
          </cell>
          <cell r="D3965" t="str">
            <v>MF04685EA</v>
          </cell>
          <cell r="BA3965">
            <v>0.69</v>
          </cell>
        </row>
        <row r="3966">
          <cell r="C3966" t="str">
            <v>4503 - NUTS/BOLTS/WASHERS</v>
          </cell>
          <cell r="D3966" t="str">
            <v>MF04686EA</v>
          </cell>
          <cell r="BA3966">
            <v>0.99</v>
          </cell>
        </row>
        <row r="3967">
          <cell r="C3967" t="str">
            <v>4503 - NUTS/BOLTS/WASHERS</v>
          </cell>
          <cell r="D3967" t="str">
            <v>MF05270EA</v>
          </cell>
          <cell r="BA3967">
            <v>0.32</v>
          </cell>
        </row>
        <row r="3968">
          <cell r="C3968" t="str">
            <v>4503 - NUTS/BOLTS/WASHERS</v>
          </cell>
          <cell r="D3968" t="str">
            <v>MF05271EA</v>
          </cell>
          <cell r="BA3968">
            <v>0.4</v>
          </cell>
        </row>
        <row r="3969">
          <cell r="C3969" t="str">
            <v>4503 - NUTS/BOLTS/WASHERS</v>
          </cell>
          <cell r="D3969" t="str">
            <v>MF05272EA</v>
          </cell>
          <cell r="BA3969">
            <v>0.48</v>
          </cell>
        </row>
        <row r="3970">
          <cell r="C3970" t="str">
            <v>4503 - NUTS/BOLTS/WASHERS</v>
          </cell>
          <cell r="D3970" t="str">
            <v>MF05274EA</v>
          </cell>
          <cell r="BA3970">
            <v>1.0900000000000001</v>
          </cell>
        </row>
        <row r="3971">
          <cell r="C3971" t="str">
            <v>4503 - NUTS/BOLTS/WASHERS</v>
          </cell>
          <cell r="D3971" t="str">
            <v>MF05275EA</v>
          </cell>
          <cell r="BA3971">
            <v>1.65</v>
          </cell>
        </row>
        <row r="3972">
          <cell r="C3972" t="str">
            <v>4503 - NUTS/BOLTS/WASHERS</v>
          </cell>
          <cell r="D3972" t="str">
            <v>MF05289EA</v>
          </cell>
          <cell r="BA3972">
            <v>0.46</v>
          </cell>
        </row>
        <row r="3973">
          <cell r="C3973" t="str">
            <v>4503 - NUTS/BOLTS/WASHERS</v>
          </cell>
          <cell r="D3973" t="str">
            <v>MF05290EA</v>
          </cell>
          <cell r="BA3973">
            <v>0.56000000000000005</v>
          </cell>
        </row>
        <row r="3974">
          <cell r="C3974" t="str">
            <v>4503 - NUTS/BOLTS/WASHERS</v>
          </cell>
          <cell r="D3974" t="str">
            <v>MF05291EA</v>
          </cell>
          <cell r="BA3974">
            <v>0.99</v>
          </cell>
        </row>
        <row r="3975">
          <cell r="C3975" t="str">
            <v>4503 - NUTS/BOLTS/WASHERS</v>
          </cell>
          <cell r="D3975" t="str">
            <v>MF05292EA</v>
          </cell>
          <cell r="BA3975">
            <v>1.75</v>
          </cell>
        </row>
        <row r="3976">
          <cell r="C3976" t="str">
            <v>4503 - NUTS/BOLTS/WASHERS</v>
          </cell>
          <cell r="D3976" t="str">
            <v>MF05323EA</v>
          </cell>
          <cell r="BA3976">
            <v>0.25</v>
          </cell>
        </row>
        <row r="3977">
          <cell r="C3977" t="str">
            <v>4503 - NUTS/BOLTS/WASHERS</v>
          </cell>
          <cell r="D3977" t="str">
            <v>MF05324EA</v>
          </cell>
          <cell r="BA3977">
            <v>0.28000000000000003</v>
          </cell>
        </row>
        <row r="3978">
          <cell r="C3978" t="str">
            <v>4503 - NUTS/BOLTS/WASHERS</v>
          </cell>
          <cell r="D3978" t="str">
            <v>MF05325EA</v>
          </cell>
          <cell r="BA3978">
            <v>0.33</v>
          </cell>
        </row>
        <row r="3979">
          <cell r="C3979" t="str">
            <v>4503 - NUTS/BOLTS/WASHERS</v>
          </cell>
          <cell r="D3979" t="str">
            <v>MF05338EA</v>
          </cell>
          <cell r="BA3979">
            <v>0.24</v>
          </cell>
        </row>
        <row r="3980">
          <cell r="C3980" t="str">
            <v>4503 - NUTS/BOLTS/WASHERS</v>
          </cell>
          <cell r="D3980" t="str">
            <v>MF05339EA</v>
          </cell>
          <cell r="BA3980">
            <v>0.27</v>
          </cell>
        </row>
        <row r="3981">
          <cell r="C3981" t="str">
            <v>4503 - NUTS/BOLTS/WASHERS</v>
          </cell>
          <cell r="D3981" t="str">
            <v>MF05340EA</v>
          </cell>
          <cell r="BA3981">
            <v>0.33</v>
          </cell>
        </row>
        <row r="3982">
          <cell r="C3982" t="str">
            <v>4503 - NUTS/BOLTS/WASHERS</v>
          </cell>
          <cell r="D3982" t="str">
            <v>MF05350EA</v>
          </cell>
          <cell r="BA3982">
            <v>1.45</v>
          </cell>
        </row>
        <row r="3983">
          <cell r="C3983" t="str">
            <v>4503 - NUTS/BOLTS/WASHERS</v>
          </cell>
          <cell r="D3983" t="str">
            <v>MF05351EA</v>
          </cell>
          <cell r="BA3983">
            <v>1.89</v>
          </cell>
        </row>
        <row r="3984">
          <cell r="C3984" t="str">
            <v>4503 - NUTS/BOLTS/WASHERS</v>
          </cell>
          <cell r="D3984" t="str">
            <v>MF05408EA</v>
          </cell>
          <cell r="BA3984">
            <v>3.69</v>
          </cell>
        </row>
        <row r="3985">
          <cell r="C3985" t="str">
            <v>4503 - NUTS/BOLTS/WASHERS</v>
          </cell>
          <cell r="D3985" t="str">
            <v>MF05410EA</v>
          </cell>
          <cell r="BA3985">
            <v>2.19</v>
          </cell>
        </row>
        <row r="3986">
          <cell r="C3986" t="str">
            <v>4503 - NUTS/BOLTS/WASHERS</v>
          </cell>
          <cell r="D3986" t="str">
            <v>MF05475EA</v>
          </cell>
          <cell r="BA3986">
            <v>0.39</v>
          </cell>
        </row>
        <row r="3987">
          <cell r="C3987" t="str">
            <v>4503 - NUTS/BOLTS/WASHERS</v>
          </cell>
          <cell r="D3987" t="str">
            <v>MF05476EA</v>
          </cell>
          <cell r="BA3987">
            <v>0.46</v>
          </cell>
        </row>
        <row r="3988">
          <cell r="C3988" t="str">
            <v>4503 - NUTS/BOLTS/WASHERS</v>
          </cell>
          <cell r="D3988" t="str">
            <v>MF05477EA</v>
          </cell>
          <cell r="BA3988">
            <v>0.53</v>
          </cell>
        </row>
        <row r="3989">
          <cell r="C3989" t="str">
            <v>4503 - NUTS/BOLTS/WASHERS</v>
          </cell>
          <cell r="D3989" t="str">
            <v>MF05478EA</v>
          </cell>
          <cell r="BA3989">
            <v>0.65</v>
          </cell>
        </row>
        <row r="3990">
          <cell r="C3990" t="str">
            <v>4503 - NUTS/BOLTS/WASHERS</v>
          </cell>
          <cell r="D3990" t="str">
            <v>MF05479EA</v>
          </cell>
          <cell r="BA3990">
            <v>0.75</v>
          </cell>
        </row>
        <row r="3991">
          <cell r="C3991" t="str">
            <v>4503 - NUTS/BOLTS/WASHERS</v>
          </cell>
          <cell r="D3991" t="str">
            <v>MF05480EA</v>
          </cell>
          <cell r="BA3991">
            <v>0.85</v>
          </cell>
        </row>
        <row r="3992">
          <cell r="C3992" t="str">
            <v>4503 - NUTS/BOLTS/WASHERS</v>
          </cell>
          <cell r="D3992" t="str">
            <v>MF05481EA</v>
          </cell>
          <cell r="BA3992">
            <v>0.89</v>
          </cell>
        </row>
        <row r="3993">
          <cell r="C3993" t="str">
            <v>4503 - NUTS/BOLTS/WASHERS</v>
          </cell>
          <cell r="D3993" t="str">
            <v>MF05483EA</v>
          </cell>
          <cell r="BA3993">
            <v>1.05</v>
          </cell>
        </row>
        <row r="3994">
          <cell r="C3994" t="str">
            <v>4503 - NUTS/BOLTS/WASHERS</v>
          </cell>
          <cell r="D3994" t="str">
            <v>MF05484EA</v>
          </cell>
          <cell r="BA3994">
            <v>1.0900000000000001</v>
          </cell>
        </row>
        <row r="3995">
          <cell r="C3995" t="str">
            <v>4503 - NUTS/BOLTS/WASHERS</v>
          </cell>
          <cell r="D3995" t="str">
            <v>MF05488EA</v>
          </cell>
          <cell r="BA3995">
            <v>0.49</v>
          </cell>
        </row>
        <row r="3996">
          <cell r="C3996" t="str">
            <v>4503 - NUTS/BOLTS/WASHERS</v>
          </cell>
          <cell r="D3996" t="str">
            <v>MF05489EA</v>
          </cell>
          <cell r="BA3996">
            <v>0.57999999999999996</v>
          </cell>
        </row>
        <row r="3997">
          <cell r="C3997" t="str">
            <v>4503 - NUTS/BOLTS/WASHERS</v>
          </cell>
          <cell r="D3997" t="str">
            <v>MF05490EA</v>
          </cell>
          <cell r="BA3997">
            <v>0.69</v>
          </cell>
        </row>
        <row r="3998">
          <cell r="C3998" t="str">
            <v>4503 - NUTS/BOLTS/WASHERS</v>
          </cell>
          <cell r="D3998" t="str">
            <v>MF05491EA</v>
          </cell>
          <cell r="BA3998">
            <v>0.85</v>
          </cell>
        </row>
        <row r="3999">
          <cell r="C3999" t="str">
            <v>4503 - NUTS/BOLTS/WASHERS</v>
          </cell>
          <cell r="D3999" t="str">
            <v>MF05493EA</v>
          </cell>
          <cell r="BA3999">
            <v>0.95</v>
          </cell>
        </row>
        <row r="4000">
          <cell r="C4000" t="str">
            <v>4503 - NUTS/BOLTS/WASHERS</v>
          </cell>
          <cell r="D4000" t="str">
            <v>MF05494EA</v>
          </cell>
          <cell r="BA4000">
            <v>1.0900000000000001</v>
          </cell>
        </row>
        <row r="4001">
          <cell r="C4001" t="str">
            <v>4503 - NUTS/BOLTS/WASHERS</v>
          </cell>
          <cell r="D4001" t="str">
            <v>MF05496EA</v>
          </cell>
          <cell r="BA4001">
            <v>1.29</v>
          </cell>
        </row>
        <row r="4002">
          <cell r="C4002" t="str">
            <v>4503 - NUTS/BOLTS/WASHERS</v>
          </cell>
          <cell r="D4002" t="str">
            <v>MF05498EA</v>
          </cell>
          <cell r="BA4002">
            <v>1.45</v>
          </cell>
        </row>
        <row r="4003">
          <cell r="C4003" t="str">
            <v>4503 - NUTS/BOLTS/WASHERS</v>
          </cell>
          <cell r="D4003" t="str">
            <v>MF05502EA</v>
          </cell>
          <cell r="BA4003">
            <v>0.85</v>
          </cell>
        </row>
        <row r="4004">
          <cell r="C4004" t="str">
            <v>4503 - NUTS/BOLTS/WASHERS</v>
          </cell>
          <cell r="D4004" t="str">
            <v>MF05503EA</v>
          </cell>
          <cell r="BA4004">
            <v>0.95</v>
          </cell>
        </row>
        <row r="4005">
          <cell r="C4005" t="str">
            <v>4503 - NUTS/BOLTS/WASHERS</v>
          </cell>
          <cell r="D4005" t="str">
            <v>MF05504EA</v>
          </cell>
          <cell r="BA4005">
            <v>1.0900000000000001</v>
          </cell>
        </row>
        <row r="4006">
          <cell r="C4006" t="str">
            <v>4503 - NUTS/BOLTS/WASHERS</v>
          </cell>
          <cell r="D4006" t="str">
            <v>MF05505EA</v>
          </cell>
          <cell r="BA4006">
            <v>1.29</v>
          </cell>
        </row>
        <row r="4007">
          <cell r="C4007" t="str">
            <v>4503 - NUTS/BOLTS/WASHERS</v>
          </cell>
          <cell r="D4007" t="str">
            <v>MF05506EA</v>
          </cell>
          <cell r="BA4007">
            <v>1.35</v>
          </cell>
        </row>
        <row r="4008">
          <cell r="C4008" t="str">
            <v>4503 - NUTS/BOLTS/WASHERS</v>
          </cell>
          <cell r="D4008" t="str">
            <v>MF05507EA</v>
          </cell>
          <cell r="BA4008">
            <v>1.45</v>
          </cell>
        </row>
        <row r="4009">
          <cell r="C4009" t="str">
            <v>4503 - NUTS/BOLTS/WASHERS</v>
          </cell>
          <cell r="D4009" t="str">
            <v>MF05508EA</v>
          </cell>
          <cell r="BA4009">
            <v>1.55</v>
          </cell>
        </row>
        <row r="4010">
          <cell r="C4010" t="str">
            <v>4503 - NUTS/BOLTS/WASHERS</v>
          </cell>
          <cell r="D4010" t="str">
            <v>MF05509EA</v>
          </cell>
          <cell r="BA4010">
            <v>1.75</v>
          </cell>
        </row>
        <row r="4011">
          <cell r="C4011" t="str">
            <v>4503 - NUTS/BOLTS/WASHERS</v>
          </cell>
          <cell r="D4011" t="str">
            <v>MF05511EA</v>
          </cell>
          <cell r="BA4011">
            <v>1.99</v>
          </cell>
        </row>
        <row r="4012">
          <cell r="C4012" t="str">
            <v>4503 - NUTS/BOLTS/WASHERS</v>
          </cell>
          <cell r="D4012" t="str">
            <v>MF05514EA</v>
          </cell>
          <cell r="BA4012">
            <v>3.29</v>
          </cell>
        </row>
        <row r="4013">
          <cell r="C4013" t="str">
            <v>4503 - NUTS/BOLTS/WASHERS</v>
          </cell>
          <cell r="D4013" t="str">
            <v>MF05515EA</v>
          </cell>
          <cell r="BA4013">
            <v>3.39</v>
          </cell>
        </row>
        <row r="4014">
          <cell r="C4014" t="str">
            <v>4503 - NUTS/BOLTS/WASHERS</v>
          </cell>
          <cell r="D4014" t="str">
            <v>MF05516EA</v>
          </cell>
          <cell r="BA4014">
            <v>3.59</v>
          </cell>
        </row>
        <row r="4015">
          <cell r="C4015" t="str">
            <v>4503 - NUTS/BOLTS/WASHERS</v>
          </cell>
          <cell r="D4015" t="str">
            <v>MF05518EA</v>
          </cell>
          <cell r="BA4015">
            <v>1.29</v>
          </cell>
        </row>
        <row r="4016">
          <cell r="C4016" t="str">
            <v>4503 - NUTS/BOLTS/WASHERS</v>
          </cell>
          <cell r="D4016" t="str">
            <v>MF05519EA</v>
          </cell>
          <cell r="BA4016">
            <v>1.45</v>
          </cell>
        </row>
        <row r="4017">
          <cell r="C4017" t="str">
            <v>4503 - NUTS/BOLTS/WASHERS</v>
          </cell>
          <cell r="D4017" t="str">
            <v>MF05522EA</v>
          </cell>
          <cell r="BA4017">
            <v>1.99</v>
          </cell>
        </row>
        <row r="4018">
          <cell r="C4018" t="str">
            <v>4503 - NUTS/BOLTS/WASHERS</v>
          </cell>
          <cell r="D4018" t="str">
            <v>MF05525EA</v>
          </cell>
          <cell r="BA4018">
            <v>2.79</v>
          </cell>
        </row>
        <row r="4019">
          <cell r="C4019" t="str">
            <v>4503 - NUTS/BOLTS/WASHERS</v>
          </cell>
          <cell r="D4019" t="str">
            <v>MF05526EA</v>
          </cell>
          <cell r="BA4019">
            <v>2.89</v>
          </cell>
        </row>
        <row r="4020">
          <cell r="C4020" t="str">
            <v>4503 - NUTS/BOLTS/WASHERS</v>
          </cell>
          <cell r="D4020" t="str">
            <v>MF05527EA</v>
          </cell>
          <cell r="BA4020">
            <v>3.29</v>
          </cell>
        </row>
        <row r="4021">
          <cell r="C4021" t="str">
            <v>4503 - NUTS/BOLTS/WASHERS</v>
          </cell>
          <cell r="D4021" t="str">
            <v>MF05529EA</v>
          </cell>
          <cell r="BA4021">
            <v>3.99</v>
          </cell>
        </row>
        <row r="4022">
          <cell r="C4022" t="str">
            <v>4503 - NUTS/BOLTS/WASHERS</v>
          </cell>
          <cell r="D4022" t="str">
            <v>MF05530EA</v>
          </cell>
          <cell r="BA4022">
            <v>4.3899999999999997</v>
          </cell>
        </row>
        <row r="4023">
          <cell r="C4023" t="str">
            <v>4503 - NUTS/BOLTS/WASHERS</v>
          </cell>
          <cell r="D4023" t="str">
            <v>MF05531EA</v>
          </cell>
          <cell r="BA4023">
            <v>4.59</v>
          </cell>
        </row>
        <row r="4024">
          <cell r="C4024" t="str">
            <v>4503 - NUTS/BOLTS/WASHERS</v>
          </cell>
          <cell r="D4024" t="str">
            <v>MF05532EA</v>
          </cell>
          <cell r="BA4024">
            <v>4.99</v>
          </cell>
        </row>
        <row r="4025">
          <cell r="C4025" t="str">
            <v>4503 - NUTS/BOLTS/WASHERS</v>
          </cell>
          <cell r="D4025" t="str">
            <v>MF05533EA</v>
          </cell>
          <cell r="BA4025">
            <v>5.99</v>
          </cell>
        </row>
        <row r="4026">
          <cell r="C4026" t="str">
            <v>4503 - NUTS/BOLTS/WASHERS</v>
          </cell>
          <cell r="D4026" t="str">
            <v>MF05615EA</v>
          </cell>
          <cell r="BA4026">
            <v>0.27</v>
          </cell>
        </row>
        <row r="4027">
          <cell r="C4027" t="str">
            <v>4503 - NUTS/BOLTS/WASHERS</v>
          </cell>
          <cell r="D4027" t="str">
            <v>MF05616EA</v>
          </cell>
          <cell r="BA4027">
            <v>0.31</v>
          </cell>
        </row>
        <row r="4028">
          <cell r="C4028" t="str">
            <v>4503 - NUTS/BOLTS/WASHERS</v>
          </cell>
          <cell r="D4028" t="str">
            <v>MF05635EA</v>
          </cell>
          <cell r="BA4028">
            <v>0.24</v>
          </cell>
        </row>
        <row r="4029">
          <cell r="C4029" t="str">
            <v>4503 - NUTS/BOLTS/WASHERS</v>
          </cell>
          <cell r="D4029" t="str">
            <v>MF05636EA</v>
          </cell>
          <cell r="BA4029">
            <v>0.28999999999999998</v>
          </cell>
        </row>
        <row r="4030">
          <cell r="C4030" t="str">
            <v>4503 - NUTS/BOLTS/WASHERS</v>
          </cell>
          <cell r="D4030" t="str">
            <v>MF05637EA</v>
          </cell>
          <cell r="BA4030">
            <v>0.35</v>
          </cell>
        </row>
        <row r="4031">
          <cell r="C4031" t="str">
            <v>4503 - NUTS/BOLTS/WASHERS</v>
          </cell>
          <cell r="D4031" t="str">
            <v>MF05638EA</v>
          </cell>
          <cell r="BA4031">
            <v>0.47</v>
          </cell>
        </row>
        <row r="4032">
          <cell r="C4032" t="str">
            <v>4503 - NUTS/BOLTS/WASHERS</v>
          </cell>
          <cell r="D4032" t="str">
            <v>MF05639EA</v>
          </cell>
          <cell r="BA4032">
            <v>0.69</v>
          </cell>
        </row>
        <row r="4033">
          <cell r="C4033" t="str">
            <v>4503 - NUTS/BOLTS/WASHERS</v>
          </cell>
          <cell r="D4033" t="str">
            <v>MF05640EA</v>
          </cell>
          <cell r="BA4033">
            <v>1.1499999999999999</v>
          </cell>
        </row>
        <row r="4034">
          <cell r="C4034" t="str">
            <v>4503 - NUTS/BOLTS/WASHERS</v>
          </cell>
          <cell r="D4034" t="str">
            <v>MF07369EA</v>
          </cell>
          <cell r="BA4034">
            <v>0.24</v>
          </cell>
        </row>
        <row r="4035">
          <cell r="C4035" t="str">
            <v>4503 - NUTS/BOLTS/WASHERS</v>
          </cell>
          <cell r="D4035" t="str">
            <v>MF07370EA</v>
          </cell>
          <cell r="BA4035">
            <v>0.26</v>
          </cell>
        </row>
        <row r="4036">
          <cell r="C4036" t="str">
            <v>4503 - NUTS/BOLTS/WASHERS</v>
          </cell>
          <cell r="D4036" t="str">
            <v>MF07577EA</v>
          </cell>
          <cell r="BA4036">
            <v>0.54</v>
          </cell>
        </row>
        <row r="4037">
          <cell r="C4037" t="str">
            <v>4503 - NUTS/BOLTS/WASHERS</v>
          </cell>
          <cell r="D4037" t="str">
            <v>MF07578EA</v>
          </cell>
          <cell r="BA4037">
            <v>0.45</v>
          </cell>
        </row>
        <row r="4038">
          <cell r="C4038" t="str">
            <v>4503 - NUTS/BOLTS/WASHERS</v>
          </cell>
          <cell r="D4038" t="str">
            <v>MF07579EA</v>
          </cell>
          <cell r="BA4038">
            <v>0.55000000000000004</v>
          </cell>
        </row>
        <row r="4039">
          <cell r="C4039" t="str">
            <v>4503 - NUTS/BOLTS/WASHERS</v>
          </cell>
          <cell r="D4039" t="str">
            <v>MF07580EA</v>
          </cell>
          <cell r="BA4039">
            <v>0.69</v>
          </cell>
        </row>
        <row r="4040">
          <cell r="C4040" t="str">
            <v>4503 - NUTS/BOLTS/WASHERS</v>
          </cell>
          <cell r="D4040" t="str">
            <v>MF07581EA</v>
          </cell>
          <cell r="BA4040">
            <v>0.75</v>
          </cell>
        </row>
        <row r="4041">
          <cell r="C4041" t="str">
            <v>4503 - NUTS/BOLTS/WASHERS</v>
          </cell>
          <cell r="D4041" t="str">
            <v>MF07582EA</v>
          </cell>
          <cell r="BA4041">
            <v>0.89</v>
          </cell>
        </row>
        <row r="4042">
          <cell r="C4042" t="str">
            <v>4503 - NUTS/BOLTS/WASHERS</v>
          </cell>
          <cell r="D4042" t="str">
            <v>MF07616EA</v>
          </cell>
          <cell r="BA4042">
            <v>0.69</v>
          </cell>
        </row>
        <row r="4043">
          <cell r="C4043" t="str">
            <v>4503 - NUTS/BOLTS/WASHERS</v>
          </cell>
          <cell r="D4043" t="str">
            <v>MF07619EA</v>
          </cell>
          <cell r="BA4043">
            <v>0.79</v>
          </cell>
        </row>
        <row r="4044">
          <cell r="C4044" t="str">
            <v>4503 - NUTS/BOLTS/WASHERS</v>
          </cell>
          <cell r="D4044" t="str">
            <v>MF07620EA</v>
          </cell>
          <cell r="BA4044">
            <v>0.95</v>
          </cell>
        </row>
        <row r="4045">
          <cell r="C4045" t="str">
            <v>4503 - NUTS/BOLTS/WASHERS</v>
          </cell>
          <cell r="D4045" t="str">
            <v>MF07621EA</v>
          </cell>
          <cell r="BA4045">
            <v>1.05</v>
          </cell>
        </row>
        <row r="4046">
          <cell r="C4046" t="str">
            <v>4503 - NUTS/BOLTS/WASHERS</v>
          </cell>
          <cell r="D4046" t="str">
            <v>MF07643EA</v>
          </cell>
          <cell r="BA4046">
            <v>0.41</v>
          </cell>
        </row>
        <row r="4047">
          <cell r="C4047" t="str">
            <v>4503 - NUTS/BOLTS/WASHERS</v>
          </cell>
          <cell r="D4047" t="str">
            <v>MF07645EA</v>
          </cell>
          <cell r="BA4047">
            <v>0.67</v>
          </cell>
        </row>
        <row r="4048">
          <cell r="C4048" t="str">
            <v>4503 - NUTS/BOLTS/WASHERS</v>
          </cell>
          <cell r="D4048" t="str">
            <v>MF08225EA</v>
          </cell>
          <cell r="BA4048">
            <v>0.62</v>
          </cell>
        </row>
        <row r="4049">
          <cell r="C4049" t="str">
            <v>4503 - NUTS/BOLTS/WASHERS</v>
          </cell>
          <cell r="D4049" t="str">
            <v>MF08262EA</v>
          </cell>
          <cell r="BA4049">
            <v>12.59</v>
          </cell>
        </row>
        <row r="4050">
          <cell r="C4050" t="str">
            <v>4503 - NUTS/BOLTS/WASHERS</v>
          </cell>
          <cell r="D4050" t="str">
            <v>MF08498EA</v>
          </cell>
          <cell r="BA4050">
            <v>3.39</v>
          </cell>
        </row>
        <row r="4051">
          <cell r="C4051" t="str">
            <v>4503 - NUTS/BOLTS/WASHERS</v>
          </cell>
          <cell r="D4051" t="str">
            <v>MF08499EA</v>
          </cell>
          <cell r="BA4051">
            <v>3.59</v>
          </cell>
        </row>
        <row r="4052">
          <cell r="C4052" t="str">
            <v>4503 - NUTS/BOLTS/WASHERS</v>
          </cell>
          <cell r="D4052" t="str">
            <v>MF08500EA</v>
          </cell>
          <cell r="BA4052">
            <v>4.99</v>
          </cell>
        </row>
        <row r="4053">
          <cell r="C4053" t="str">
            <v>4503 - NUTS/BOLTS/WASHERS</v>
          </cell>
          <cell r="D4053" t="str">
            <v>MF08501EA</v>
          </cell>
          <cell r="BA4053">
            <v>6.79</v>
          </cell>
        </row>
        <row r="4054">
          <cell r="C4054" t="str">
            <v>4503 - NUTS/BOLTS/WASHERS</v>
          </cell>
          <cell r="D4054" t="str">
            <v>MF09122EA</v>
          </cell>
          <cell r="BA4054">
            <v>0.31</v>
          </cell>
        </row>
        <row r="4055">
          <cell r="C4055" t="str">
            <v>4503 - NUTS/BOLTS/WASHERS</v>
          </cell>
          <cell r="D4055" t="str">
            <v>MF09123EA</v>
          </cell>
          <cell r="BA4055">
            <v>0.55000000000000004</v>
          </cell>
        </row>
        <row r="4056">
          <cell r="C4056" t="str">
            <v>4503 - NUTS/BOLTS/WASHERS</v>
          </cell>
          <cell r="D4056" t="str">
            <v>MF09124EA</v>
          </cell>
          <cell r="BA4056">
            <v>0.95</v>
          </cell>
        </row>
        <row r="4057">
          <cell r="C4057" t="str">
            <v>4503 - NUTS/BOLTS/WASHERS</v>
          </cell>
          <cell r="D4057" t="str">
            <v>MF09125EA</v>
          </cell>
          <cell r="BA4057">
            <v>1.39</v>
          </cell>
        </row>
        <row r="4058">
          <cell r="C4058" t="str">
            <v>4503 - NUTS/BOLTS/WASHERS</v>
          </cell>
          <cell r="D4058" t="str">
            <v>MF09126EA</v>
          </cell>
          <cell r="BA4058">
            <v>0.3</v>
          </cell>
        </row>
        <row r="4059">
          <cell r="C4059" t="str">
            <v>4503 - NUTS/BOLTS/WASHERS</v>
          </cell>
          <cell r="D4059" t="str">
            <v>MF09127EA</v>
          </cell>
          <cell r="BA4059">
            <v>0.5</v>
          </cell>
        </row>
        <row r="4060">
          <cell r="C4060" t="str">
            <v>4503 - NUTS/BOLTS/WASHERS</v>
          </cell>
          <cell r="D4060" t="str">
            <v>MF09128EA</v>
          </cell>
          <cell r="BA4060">
            <v>0.95</v>
          </cell>
        </row>
        <row r="4061">
          <cell r="C4061" t="str">
            <v>4503 - NUTS/BOLTS/WASHERS</v>
          </cell>
          <cell r="D4061" t="str">
            <v>MF09129EA</v>
          </cell>
          <cell r="BA4061">
            <v>1.39</v>
          </cell>
        </row>
        <row r="4062">
          <cell r="C4062" t="str">
            <v>4503 - NUTS/BOLTS/WASHERS</v>
          </cell>
          <cell r="D4062" t="str">
            <v>MF09140EA</v>
          </cell>
          <cell r="BA4062">
            <v>0.28000000000000003</v>
          </cell>
        </row>
        <row r="4063">
          <cell r="C4063" t="str">
            <v>4503 - NUTS/BOLTS/WASHERS</v>
          </cell>
          <cell r="D4063" t="str">
            <v>MF09141EA</v>
          </cell>
          <cell r="BA4063">
            <v>0.33</v>
          </cell>
        </row>
        <row r="4064">
          <cell r="C4064" t="str">
            <v>4503 - NUTS/BOLTS/WASHERS</v>
          </cell>
          <cell r="D4064" t="str">
            <v>MF09416EA</v>
          </cell>
          <cell r="BA4064">
            <v>0.89</v>
          </cell>
        </row>
        <row r="4065">
          <cell r="C4065" t="str">
            <v>4503 - NUTS/BOLTS/WASHERS</v>
          </cell>
          <cell r="D4065" t="str">
            <v>MF09417EA</v>
          </cell>
          <cell r="BA4065">
            <v>1.05</v>
          </cell>
        </row>
        <row r="4066">
          <cell r="C4066" t="str">
            <v>4503 - NUTS/BOLTS/WASHERS</v>
          </cell>
          <cell r="D4066" t="str">
            <v>MF09418EA</v>
          </cell>
          <cell r="BA4066">
            <v>1.45</v>
          </cell>
        </row>
        <row r="4067">
          <cell r="C4067" t="str">
            <v>4503 - NUTS/BOLTS/WASHERS</v>
          </cell>
          <cell r="D4067" t="str">
            <v>MF09419EA</v>
          </cell>
          <cell r="BA4067">
            <v>1.69</v>
          </cell>
        </row>
        <row r="4068">
          <cell r="C4068" t="str">
            <v>4503 - NUTS/BOLTS/WASHERS</v>
          </cell>
          <cell r="D4068" t="str">
            <v>MF09661EA</v>
          </cell>
          <cell r="BA4068">
            <v>1.89</v>
          </cell>
        </row>
        <row r="4069">
          <cell r="C4069" t="str">
            <v>4503 - NUTS/BOLTS/WASHERS</v>
          </cell>
          <cell r="D4069" t="str">
            <v>MF09662EA</v>
          </cell>
          <cell r="BA4069">
            <v>1.89</v>
          </cell>
        </row>
        <row r="4070">
          <cell r="C4070" t="str">
            <v>4503 - NUTS/BOLTS/WASHERS</v>
          </cell>
          <cell r="D4070" t="str">
            <v>MF09698EA</v>
          </cell>
          <cell r="BA4070">
            <v>2.89</v>
          </cell>
        </row>
        <row r="4071">
          <cell r="C4071" t="str">
            <v>4503 - NUTS/BOLTS/WASHERS</v>
          </cell>
          <cell r="D4071" t="str">
            <v>MF09700EA</v>
          </cell>
          <cell r="BA4071">
            <v>2.39</v>
          </cell>
        </row>
        <row r="4072">
          <cell r="C4072" t="str">
            <v>4503 - NUTS/BOLTS/WASHERS</v>
          </cell>
          <cell r="D4072" t="str">
            <v>MF09857EA</v>
          </cell>
          <cell r="BA4072">
            <v>2.59</v>
          </cell>
        </row>
        <row r="4073">
          <cell r="C4073" t="str">
            <v>4503 - NUTS/BOLTS/WASHERS</v>
          </cell>
          <cell r="D4073" t="str">
            <v>MF09869EA</v>
          </cell>
          <cell r="BA4073">
            <v>4.29</v>
          </cell>
        </row>
        <row r="4074">
          <cell r="C4074" t="str">
            <v>4503 - NUTS/BOLTS/WASHERS</v>
          </cell>
          <cell r="D4074" t="str">
            <v>MF09870EA</v>
          </cell>
          <cell r="BA4074">
            <v>5.39</v>
          </cell>
        </row>
        <row r="4075">
          <cell r="C4075" t="str">
            <v>4503 - NUTS/BOLTS/WASHERS</v>
          </cell>
          <cell r="D4075" t="str">
            <v>MF09871EA</v>
          </cell>
          <cell r="BA4075">
            <v>7.39</v>
          </cell>
        </row>
        <row r="4076">
          <cell r="C4076" t="str">
            <v>4503 - NUTS/BOLTS/WASHERS</v>
          </cell>
          <cell r="D4076" t="str">
            <v>MF09872EA</v>
          </cell>
          <cell r="BA4076">
            <v>9.99</v>
          </cell>
        </row>
        <row r="4077">
          <cell r="C4077" t="str">
            <v>4503 - NUTS/BOLTS/WASHERS</v>
          </cell>
          <cell r="D4077" t="str">
            <v>MF29088EA</v>
          </cell>
          <cell r="BA4077">
            <v>9.19</v>
          </cell>
        </row>
        <row r="4078">
          <cell r="C4078" t="str">
            <v>4503 - NUTS/BOLTS/WASHERS</v>
          </cell>
          <cell r="D4078" t="str">
            <v>MF29034</v>
          </cell>
          <cell r="BA4078">
            <v>8.99</v>
          </cell>
        </row>
        <row r="4079">
          <cell r="C4079" t="str">
            <v>4503 - NUTS/BOLTS/WASHERS</v>
          </cell>
          <cell r="D4079" t="str">
            <v>MF29035</v>
          </cell>
          <cell r="BA4079">
            <v>13.59</v>
          </cell>
        </row>
        <row r="4080">
          <cell r="C4080" t="str">
            <v>4503 - NUTS/BOLTS/WASHERS</v>
          </cell>
          <cell r="D4080" t="str">
            <v>MF29036</v>
          </cell>
          <cell r="BA4080">
            <v>15.49</v>
          </cell>
        </row>
        <row r="4081">
          <cell r="C4081" t="str">
            <v>4503 - NUTS/BOLTS/WASHERS</v>
          </cell>
          <cell r="D4081" t="str">
            <v>MF29037</v>
          </cell>
          <cell r="BA4081">
            <v>21.99</v>
          </cell>
        </row>
        <row r="4082">
          <cell r="C4082" t="str">
            <v>4503 - NUTS/BOLTS/WASHERS</v>
          </cell>
          <cell r="D4082" t="str">
            <v>MF29044</v>
          </cell>
          <cell r="BA4082">
            <v>14.59</v>
          </cell>
        </row>
        <row r="4083">
          <cell r="C4083" t="str">
            <v>4503 - NUTS/BOLTS/WASHERS</v>
          </cell>
          <cell r="D4083" t="str">
            <v>MF29045</v>
          </cell>
          <cell r="BA4083">
            <v>25.99</v>
          </cell>
        </row>
        <row r="4084">
          <cell r="C4084" t="str">
            <v>4503 - NUTS/BOLTS/WASHERS</v>
          </cell>
          <cell r="D4084" t="str">
            <v>MF29106</v>
          </cell>
          <cell r="BA4084">
            <v>7.39</v>
          </cell>
        </row>
        <row r="4085">
          <cell r="C4085" t="str">
            <v>4503 - NUTS/BOLTS/WASHERS</v>
          </cell>
          <cell r="D4085" t="str">
            <v>MF29110</v>
          </cell>
          <cell r="BA4085">
            <v>4.3899999999999997</v>
          </cell>
        </row>
        <row r="4086">
          <cell r="C4086" t="str">
            <v>4503 - NUTS/BOLTS/WASHERS</v>
          </cell>
          <cell r="D4086" t="str">
            <v>MF29111</v>
          </cell>
          <cell r="BA4086">
            <v>7.79</v>
          </cell>
        </row>
        <row r="4087">
          <cell r="C4087" t="str">
            <v>4503 - NUTS/BOLTS/WASHERS</v>
          </cell>
          <cell r="D4087" t="str">
            <v>MF50110EA</v>
          </cell>
          <cell r="BA4087">
            <v>0.36</v>
          </cell>
        </row>
        <row r="4088">
          <cell r="C4088" t="str">
            <v>4503 - NUTS/BOLTS/WASHERS</v>
          </cell>
          <cell r="D4088" t="str">
            <v>MF50204EA</v>
          </cell>
          <cell r="BA4088">
            <v>2.69</v>
          </cell>
        </row>
        <row r="4089">
          <cell r="C4089" t="str">
            <v>4503 - NUTS/BOLTS/WASHERS</v>
          </cell>
          <cell r="D4089" t="str">
            <v>MF50255EA</v>
          </cell>
          <cell r="BA4089">
            <v>0.47</v>
          </cell>
        </row>
        <row r="4090">
          <cell r="C4090" t="str">
            <v>4503 - NUTS/BOLTS/WASHERS</v>
          </cell>
          <cell r="D4090" t="str">
            <v>MF50256EA</v>
          </cell>
          <cell r="BA4090">
            <v>10.99</v>
          </cell>
        </row>
        <row r="4091">
          <cell r="C4091" t="str">
            <v>4503 - NUTS/BOLTS/WASHERS</v>
          </cell>
          <cell r="D4091" t="str">
            <v>MF50258EA</v>
          </cell>
          <cell r="BA4091">
            <v>2.09</v>
          </cell>
        </row>
        <row r="4092">
          <cell r="C4092" t="str">
            <v>4503 - NUTS/BOLTS/WASHERS</v>
          </cell>
          <cell r="D4092" t="str">
            <v>MF50587EA</v>
          </cell>
          <cell r="BA4092">
            <v>0.79</v>
          </cell>
        </row>
        <row r="4093">
          <cell r="C4093" t="str">
            <v>4503 - NUTS/BOLTS/WASHERS</v>
          </cell>
          <cell r="D4093" t="str">
            <v>MF50588EA</v>
          </cell>
          <cell r="BA4093">
            <v>0.89</v>
          </cell>
        </row>
        <row r="4094">
          <cell r="C4094" t="str">
            <v>4503 - NUTS/BOLTS/WASHERS</v>
          </cell>
          <cell r="D4094" t="str">
            <v>MF50589EA</v>
          </cell>
          <cell r="BA4094">
            <v>0.99</v>
          </cell>
        </row>
        <row r="4095">
          <cell r="C4095" t="str">
            <v>4503 - NUTS/BOLTS/WASHERS</v>
          </cell>
          <cell r="D4095" t="str">
            <v>MF50590EA</v>
          </cell>
          <cell r="BA4095">
            <v>1.19</v>
          </cell>
        </row>
        <row r="4096">
          <cell r="C4096" t="str">
            <v>4503 - NUTS/BOLTS/WASHERS</v>
          </cell>
          <cell r="D4096" t="str">
            <v>MF50591EA</v>
          </cell>
          <cell r="BA4096">
            <v>1.35</v>
          </cell>
        </row>
        <row r="4097">
          <cell r="C4097" t="str">
            <v>4503 - NUTS/BOLTS/WASHERS</v>
          </cell>
          <cell r="D4097" t="str">
            <v>MF50592EA</v>
          </cell>
          <cell r="BA4097">
            <v>1.45</v>
          </cell>
        </row>
        <row r="4098">
          <cell r="C4098" t="str">
            <v>4503 - NUTS/BOLTS/WASHERS</v>
          </cell>
          <cell r="D4098" t="str">
            <v>MF50593EA</v>
          </cell>
          <cell r="BA4098">
            <v>1.65</v>
          </cell>
        </row>
        <row r="4099">
          <cell r="C4099" t="str">
            <v>4503 - NUTS/BOLTS/WASHERS</v>
          </cell>
          <cell r="D4099" t="str">
            <v>MF50594EA</v>
          </cell>
          <cell r="BA4099">
            <v>1.95</v>
          </cell>
        </row>
        <row r="4100">
          <cell r="C4100" t="str">
            <v>4503 - NUTS/BOLTS/WASHERS</v>
          </cell>
          <cell r="D4100" t="str">
            <v>MF50596EA</v>
          </cell>
          <cell r="BA4100">
            <v>3.59</v>
          </cell>
        </row>
        <row r="4101">
          <cell r="C4101" t="str">
            <v>4503 - NUTS/BOLTS/WASHERS</v>
          </cell>
          <cell r="D4101" t="str">
            <v>MF50597EA</v>
          </cell>
          <cell r="BA4101">
            <v>4.79</v>
          </cell>
        </row>
        <row r="4102">
          <cell r="C4102" t="str">
            <v>4503 - NUTS/BOLTS/WASHERS</v>
          </cell>
          <cell r="D4102" t="str">
            <v>MF50599EA</v>
          </cell>
          <cell r="BA4102">
            <v>1.25</v>
          </cell>
        </row>
        <row r="4103">
          <cell r="C4103" t="str">
            <v>4503 - NUTS/BOLTS/WASHERS</v>
          </cell>
          <cell r="D4103" t="str">
            <v>MF50600EA</v>
          </cell>
          <cell r="BA4103">
            <v>1.35</v>
          </cell>
        </row>
        <row r="4104">
          <cell r="C4104" t="str">
            <v>4503 - NUTS/BOLTS/WASHERS</v>
          </cell>
          <cell r="D4104" t="str">
            <v>MF50601EA</v>
          </cell>
          <cell r="BA4104">
            <v>1.45</v>
          </cell>
        </row>
        <row r="4105">
          <cell r="C4105" t="str">
            <v>4503 - NUTS/BOLTS/WASHERS</v>
          </cell>
          <cell r="D4105" t="str">
            <v>MF50602EA</v>
          </cell>
          <cell r="BA4105">
            <v>1.75</v>
          </cell>
        </row>
        <row r="4106">
          <cell r="C4106" t="str">
            <v>4503 - NUTS/BOLTS/WASHERS</v>
          </cell>
          <cell r="D4106" t="str">
            <v>MF50603EA</v>
          </cell>
          <cell r="BA4106">
            <v>2.09</v>
          </cell>
        </row>
        <row r="4107">
          <cell r="C4107" t="str">
            <v>4503 - NUTS/BOLTS/WASHERS</v>
          </cell>
          <cell r="D4107" t="str">
            <v>MF50604EA</v>
          </cell>
          <cell r="BA4107">
            <v>2.29</v>
          </cell>
        </row>
        <row r="4108">
          <cell r="C4108" t="str">
            <v>4503 - NUTS/BOLTS/WASHERS</v>
          </cell>
          <cell r="D4108" t="str">
            <v>MF50605EA</v>
          </cell>
          <cell r="BA4108">
            <v>2.59</v>
          </cell>
        </row>
        <row r="4109">
          <cell r="C4109" t="str">
            <v>4503 - NUTS/BOLTS/WASHERS</v>
          </cell>
          <cell r="D4109" t="str">
            <v>MF50606EA</v>
          </cell>
          <cell r="BA4109">
            <v>2.99</v>
          </cell>
        </row>
        <row r="4110">
          <cell r="C4110" t="str">
            <v>4503 - NUTS/BOLTS/WASHERS</v>
          </cell>
          <cell r="D4110" t="str">
            <v>MF50607EA</v>
          </cell>
          <cell r="BA4110">
            <v>1.65</v>
          </cell>
        </row>
        <row r="4111">
          <cell r="C4111" t="str">
            <v>4503 - NUTS/BOLTS/WASHERS</v>
          </cell>
          <cell r="D4111" t="str">
            <v>MF50608EA</v>
          </cell>
          <cell r="BA4111">
            <v>1.75</v>
          </cell>
        </row>
        <row r="4112">
          <cell r="C4112" t="str">
            <v>4503 - NUTS/BOLTS/WASHERS</v>
          </cell>
          <cell r="D4112" t="str">
            <v>MF50609EA</v>
          </cell>
          <cell r="BA4112">
            <v>1.95</v>
          </cell>
        </row>
        <row r="4113">
          <cell r="C4113" t="str">
            <v>4503 - NUTS/BOLTS/WASHERS</v>
          </cell>
          <cell r="D4113" t="str">
            <v>MF50610EA</v>
          </cell>
          <cell r="BA4113">
            <v>2.19</v>
          </cell>
        </row>
        <row r="4114">
          <cell r="C4114" t="str">
            <v>4503 - NUTS/BOLTS/WASHERS</v>
          </cell>
          <cell r="D4114" t="str">
            <v>MF50611EA</v>
          </cell>
          <cell r="BA4114">
            <v>2.79</v>
          </cell>
        </row>
        <row r="4115">
          <cell r="C4115" t="str">
            <v>4503 - NUTS/BOLTS/WASHERS</v>
          </cell>
          <cell r="D4115" t="str">
            <v>MF50612EA</v>
          </cell>
          <cell r="BA4115">
            <v>3.19</v>
          </cell>
        </row>
        <row r="4116">
          <cell r="C4116" t="str">
            <v>4503 - NUTS/BOLTS/WASHERS</v>
          </cell>
          <cell r="D4116" t="str">
            <v>MF50613EA</v>
          </cell>
          <cell r="BA4116">
            <v>3.89</v>
          </cell>
        </row>
        <row r="4117">
          <cell r="C4117" t="str">
            <v>4503 - NUTS/BOLTS/WASHERS</v>
          </cell>
          <cell r="D4117" t="str">
            <v>MF50614EA</v>
          </cell>
          <cell r="BA4117">
            <v>4.49</v>
          </cell>
        </row>
        <row r="4118">
          <cell r="C4118" t="str">
            <v>4503 - NUTS/BOLTS/WASHERS</v>
          </cell>
          <cell r="D4118" t="str">
            <v>MF50615EA</v>
          </cell>
          <cell r="BA4118">
            <v>4.8899999999999997</v>
          </cell>
        </row>
        <row r="4119">
          <cell r="C4119" t="str">
            <v>4503 - NUTS/BOLTS/WASHERS</v>
          </cell>
          <cell r="D4119" t="str">
            <v>MF50616EA</v>
          </cell>
          <cell r="BA4119">
            <v>5.19</v>
          </cell>
        </row>
        <row r="4120">
          <cell r="C4120" t="str">
            <v>4503 - NUTS/BOLTS/WASHERS</v>
          </cell>
          <cell r="D4120" t="str">
            <v>MF50617EA</v>
          </cell>
          <cell r="BA4120">
            <v>4.09</v>
          </cell>
        </row>
        <row r="4121">
          <cell r="C4121" t="str">
            <v>4503 - NUTS/BOLTS/WASHERS</v>
          </cell>
          <cell r="D4121" t="str">
            <v>MF50618EA</v>
          </cell>
          <cell r="BA4121">
            <v>4.49</v>
          </cell>
        </row>
        <row r="4122">
          <cell r="C4122" t="str">
            <v>4503 - NUTS/BOLTS/WASHERS</v>
          </cell>
          <cell r="D4122" t="str">
            <v>MF50619EA</v>
          </cell>
          <cell r="BA4122">
            <v>4.99</v>
          </cell>
        </row>
        <row r="4123">
          <cell r="C4123" t="str">
            <v>4503 - NUTS/BOLTS/WASHERS</v>
          </cell>
          <cell r="D4123" t="str">
            <v>MF50620EA</v>
          </cell>
          <cell r="BA4123">
            <v>5.59</v>
          </cell>
        </row>
        <row r="4124">
          <cell r="C4124" t="str">
            <v>4503 - NUTS/BOLTS/WASHERS</v>
          </cell>
          <cell r="D4124" t="str">
            <v>MF50621EA</v>
          </cell>
          <cell r="BA4124">
            <v>5.99</v>
          </cell>
        </row>
        <row r="4125">
          <cell r="C4125" t="str">
            <v>4503 - NUTS/BOLTS/WASHERS</v>
          </cell>
          <cell r="D4125" t="str">
            <v>MF50622EA</v>
          </cell>
          <cell r="BA4125">
            <v>6.39</v>
          </cell>
        </row>
        <row r="4126">
          <cell r="C4126" t="str">
            <v>4503 - NUTS/BOLTS/WASHERS</v>
          </cell>
          <cell r="D4126" t="str">
            <v>MF50623EA</v>
          </cell>
          <cell r="BA4126">
            <v>6.79</v>
          </cell>
        </row>
        <row r="4127">
          <cell r="C4127" t="str">
            <v>4503 - NUTS/BOLTS/WASHERS</v>
          </cell>
          <cell r="D4127" t="str">
            <v>MF50624EA</v>
          </cell>
          <cell r="BA4127">
            <v>7.39</v>
          </cell>
        </row>
        <row r="4128">
          <cell r="C4128" t="str">
            <v>4503 - NUTS/BOLTS/WASHERS</v>
          </cell>
          <cell r="D4128" t="str">
            <v>MF50715EA</v>
          </cell>
          <cell r="BA4128">
            <v>0.55000000000000004</v>
          </cell>
        </row>
        <row r="4129">
          <cell r="C4129" t="str">
            <v>4503 - NUTS/BOLTS/WASHERS</v>
          </cell>
          <cell r="D4129" t="str">
            <v>MF50716EA</v>
          </cell>
          <cell r="BA4129">
            <v>0.95</v>
          </cell>
        </row>
        <row r="4130">
          <cell r="C4130" t="str">
            <v>4503 - NUTS/BOLTS/WASHERS</v>
          </cell>
          <cell r="D4130" t="str">
            <v>MF50718EA</v>
          </cell>
          <cell r="BA4130">
            <v>0.51</v>
          </cell>
        </row>
        <row r="4131">
          <cell r="C4131" t="str">
            <v>4503 - NUTS/BOLTS/WASHERS</v>
          </cell>
          <cell r="D4131" t="str">
            <v>MF50723EA</v>
          </cell>
          <cell r="BA4131">
            <v>0.35</v>
          </cell>
        </row>
        <row r="4132">
          <cell r="C4132" t="str">
            <v>4503 - NUTS/BOLTS/WASHERS</v>
          </cell>
          <cell r="D4132" t="str">
            <v>MF50725EA</v>
          </cell>
          <cell r="BA4132">
            <v>0.56999999999999995</v>
          </cell>
        </row>
        <row r="4133">
          <cell r="C4133" t="str">
            <v>4503 - NUTS/BOLTS/WASHERS</v>
          </cell>
          <cell r="D4133" t="str">
            <v>MF50726EA</v>
          </cell>
          <cell r="BA4133">
            <v>0.89</v>
          </cell>
        </row>
        <row r="4134">
          <cell r="C4134" t="str">
            <v>4503 - NUTS/BOLTS/WASHERS</v>
          </cell>
          <cell r="D4134" t="str">
            <v>MF50205EA</v>
          </cell>
          <cell r="BA4134">
            <v>2.69</v>
          </cell>
        </row>
        <row r="4135">
          <cell r="C4135" t="str">
            <v>4503 - NUTS/BOLTS/WASHERS</v>
          </cell>
          <cell r="D4135" t="str">
            <v>MF50790EA</v>
          </cell>
          <cell r="BA4135">
            <v>3.89</v>
          </cell>
        </row>
        <row r="4136">
          <cell r="C4136" t="str">
            <v>4503 - NUTS/BOLTS/WASHERS</v>
          </cell>
          <cell r="D4136" t="str">
            <v>MF50791EA</v>
          </cell>
          <cell r="BA4136">
            <v>4.8899999999999997</v>
          </cell>
        </row>
        <row r="4137">
          <cell r="C4137" t="str">
            <v>4503 - NUTS/BOLTS/WASHERS</v>
          </cell>
          <cell r="D4137" t="str">
            <v>MF51644EA</v>
          </cell>
          <cell r="BA4137">
            <v>0.25</v>
          </cell>
        </row>
        <row r="4138">
          <cell r="C4138" t="str">
            <v>4503 - NUTS/BOLTS/WASHERS</v>
          </cell>
          <cell r="D4138" t="str">
            <v>MF51645EA</v>
          </cell>
          <cell r="BA4138">
            <v>4.1900000000000004</v>
          </cell>
        </row>
        <row r="4139">
          <cell r="C4139" t="str">
            <v>4503 - NUTS/BOLTS/WASHERS</v>
          </cell>
          <cell r="D4139" t="str">
            <v>MF51646EA</v>
          </cell>
          <cell r="BA4139">
            <v>4.1900000000000004</v>
          </cell>
        </row>
        <row r="4140">
          <cell r="C4140" t="str">
            <v>4503 - NUTS/BOLTS/WASHERS</v>
          </cell>
          <cell r="D4140" t="str">
            <v>MF51855EA</v>
          </cell>
          <cell r="BA4140">
            <v>2.99</v>
          </cell>
        </row>
        <row r="4141">
          <cell r="C4141" t="str">
            <v>4503 - NUTS/BOLTS/WASHERS</v>
          </cell>
          <cell r="D4141" t="str">
            <v>MF51928EA</v>
          </cell>
          <cell r="BA4141">
            <v>1.1499999999999999</v>
          </cell>
        </row>
        <row r="4142">
          <cell r="C4142" t="str">
            <v>4503 - NUTS/BOLTS/WASHERS</v>
          </cell>
          <cell r="D4142" t="str">
            <v>MF51929EA</v>
          </cell>
          <cell r="BA4142">
            <v>1.75</v>
          </cell>
        </row>
        <row r="4143">
          <cell r="C4143" t="str">
            <v>4503 - NUTS/BOLTS/WASHERS</v>
          </cell>
          <cell r="D4143" t="str">
            <v>MF51930EA</v>
          </cell>
          <cell r="BA4143">
            <v>1.85</v>
          </cell>
        </row>
        <row r="4144">
          <cell r="C4144" t="str">
            <v>4503 - NUTS/BOLTS/WASHERS</v>
          </cell>
          <cell r="D4144" t="str">
            <v>MF51947EA</v>
          </cell>
          <cell r="BA4144">
            <v>9.69</v>
          </cell>
        </row>
        <row r="4145">
          <cell r="C4145" t="str">
            <v>4503 - NUTS/BOLTS/WASHERS</v>
          </cell>
          <cell r="D4145" t="str">
            <v>MF51983EA</v>
          </cell>
          <cell r="BA4145">
            <v>0.66</v>
          </cell>
        </row>
        <row r="4146">
          <cell r="C4146" t="str">
            <v>4503 - NUTS/BOLTS/WASHERS</v>
          </cell>
          <cell r="D4146" t="str">
            <v>MF51984EA</v>
          </cell>
          <cell r="BA4146">
            <v>0.69</v>
          </cell>
        </row>
        <row r="4147">
          <cell r="C4147" t="str">
            <v>4503 - NUTS/BOLTS/WASHERS</v>
          </cell>
          <cell r="D4147" t="str">
            <v>MF51985EA</v>
          </cell>
          <cell r="BA4147">
            <v>0.75</v>
          </cell>
        </row>
        <row r="4148">
          <cell r="C4148" t="str">
            <v>4503 - NUTS/BOLTS/WASHERS</v>
          </cell>
          <cell r="D4148" t="str">
            <v>MF51986EA</v>
          </cell>
          <cell r="BA4148">
            <v>1.35</v>
          </cell>
        </row>
        <row r="4149">
          <cell r="C4149" t="str">
            <v>4503 - NUTS/BOLTS/WASHERS</v>
          </cell>
          <cell r="D4149" t="str">
            <v>MF53485EA</v>
          </cell>
          <cell r="BA4149">
            <v>1.29</v>
          </cell>
        </row>
        <row r="4150">
          <cell r="C4150" t="str">
            <v>4503 - NUTS/BOLTS/WASHERS</v>
          </cell>
          <cell r="D4150" t="str">
            <v>MF53486EA</v>
          </cell>
          <cell r="BA4150">
            <v>1.39</v>
          </cell>
        </row>
        <row r="4151">
          <cell r="C4151" t="str">
            <v>4503 - NUTS/BOLTS/WASHERS</v>
          </cell>
          <cell r="D4151" t="str">
            <v>MF53487EA</v>
          </cell>
          <cell r="BA4151">
            <v>1.59</v>
          </cell>
        </row>
        <row r="4152">
          <cell r="C4152" t="str">
            <v>4503 - NUTS/BOLTS/WASHERS</v>
          </cell>
          <cell r="D4152" t="str">
            <v>MF53488EA</v>
          </cell>
          <cell r="BA4152">
            <v>1.79</v>
          </cell>
        </row>
        <row r="4153">
          <cell r="C4153" t="str">
            <v>4503 - NUTS/BOLTS/WASHERS</v>
          </cell>
          <cell r="D4153" t="str">
            <v>MF53489EA</v>
          </cell>
          <cell r="BA4153">
            <v>4.3899999999999997</v>
          </cell>
        </row>
        <row r="4154">
          <cell r="C4154" t="str">
            <v>4503 - NUTS/BOLTS/WASHERS</v>
          </cell>
          <cell r="D4154" t="str">
            <v>MF53490EA</v>
          </cell>
          <cell r="BA4154">
            <v>4.79</v>
          </cell>
        </row>
        <row r="4155">
          <cell r="C4155" t="str">
            <v>4503 - NUTS/BOLTS/WASHERS</v>
          </cell>
          <cell r="D4155" t="str">
            <v>MF53491EA</v>
          </cell>
          <cell r="BA4155">
            <v>2.4900000000000002</v>
          </cell>
        </row>
        <row r="4156">
          <cell r="C4156" t="str">
            <v>4503 - NUTS/BOLTS/WASHERS</v>
          </cell>
          <cell r="D4156" t="str">
            <v>MF53493EA</v>
          </cell>
          <cell r="BA4156">
            <v>2.99</v>
          </cell>
        </row>
        <row r="4157">
          <cell r="C4157" t="str">
            <v>4503 - NUTS/BOLTS/WASHERS</v>
          </cell>
          <cell r="D4157" t="str">
            <v>MF53495EA</v>
          </cell>
          <cell r="BA4157">
            <v>6.99</v>
          </cell>
        </row>
        <row r="4158">
          <cell r="C4158" t="str">
            <v>4503 - NUTS/BOLTS/WASHERS</v>
          </cell>
          <cell r="D4158" t="str">
            <v>MF53496EA</v>
          </cell>
          <cell r="BA4158">
            <v>7.79</v>
          </cell>
        </row>
        <row r="4159">
          <cell r="C4159" t="str">
            <v>4503 - NUTS/BOLTS/WASHERS</v>
          </cell>
          <cell r="D4159" t="str">
            <v>MF53497EA</v>
          </cell>
          <cell r="BA4159">
            <v>9.19</v>
          </cell>
        </row>
        <row r="4160">
          <cell r="C4160" t="str">
            <v>4503 - NUTS/BOLTS/WASHERS</v>
          </cell>
          <cell r="D4160" t="str">
            <v>MF53498EA</v>
          </cell>
          <cell r="BA4160">
            <v>9.7899999999999991</v>
          </cell>
        </row>
        <row r="4161">
          <cell r="C4161" t="str">
            <v>4503 - NUTS/BOLTS/WASHERS</v>
          </cell>
          <cell r="D4161" t="str">
            <v>MF53499EA</v>
          </cell>
          <cell r="BA4161">
            <v>10.59</v>
          </cell>
        </row>
        <row r="4162">
          <cell r="C4162" t="str">
            <v>4503 - NUTS/BOLTS/WASHERS</v>
          </cell>
          <cell r="D4162" t="str">
            <v>MF53500EA</v>
          </cell>
          <cell r="BA4162">
            <v>1.89</v>
          </cell>
        </row>
        <row r="4163">
          <cell r="C4163" t="str">
            <v>4503 - NUTS/BOLTS/WASHERS</v>
          </cell>
          <cell r="D4163" t="str">
            <v>MF53502EA</v>
          </cell>
          <cell r="BA4163">
            <v>2.4900000000000002</v>
          </cell>
        </row>
        <row r="4164">
          <cell r="C4164" t="str">
            <v>4503 - NUTS/BOLTS/WASHERS</v>
          </cell>
          <cell r="D4164" t="str">
            <v>MF53506EA</v>
          </cell>
          <cell r="BA4164">
            <v>4.99</v>
          </cell>
        </row>
        <row r="4165">
          <cell r="C4165" t="str">
            <v>4503 - NUTS/BOLTS/WASHERS</v>
          </cell>
          <cell r="D4165" t="str">
            <v>MF53508EA</v>
          </cell>
          <cell r="BA4165">
            <v>5.59</v>
          </cell>
        </row>
        <row r="4166">
          <cell r="C4166" t="str">
            <v>4503 - NUTS/BOLTS/WASHERS</v>
          </cell>
          <cell r="D4166" t="str">
            <v>MF53510EA</v>
          </cell>
          <cell r="BA4166">
            <v>13.59</v>
          </cell>
        </row>
        <row r="4167">
          <cell r="C4167" t="str">
            <v>4503 - NUTS/BOLTS/WASHERS</v>
          </cell>
          <cell r="D4167" t="str">
            <v>MF53511EA</v>
          </cell>
          <cell r="BA4167">
            <v>5.49</v>
          </cell>
        </row>
        <row r="4168">
          <cell r="C4168" t="str">
            <v>4503 - NUTS/BOLTS/WASHERS</v>
          </cell>
          <cell r="D4168" t="str">
            <v>MF53638EA</v>
          </cell>
          <cell r="BA4168">
            <v>3.59</v>
          </cell>
        </row>
        <row r="4169">
          <cell r="C4169" t="str">
            <v>4503 - NUTS/BOLTS/WASHERS</v>
          </cell>
          <cell r="D4169" t="str">
            <v>MF53639EA</v>
          </cell>
          <cell r="BA4169">
            <v>4.3899999999999997</v>
          </cell>
        </row>
        <row r="4170">
          <cell r="C4170" t="str">
            <v>4503 - NUTS/BOLTS/WASHERS</v>
          </cell>
          <cell r="D4170" t="str">
            <v>MF53640EA</v>
          </cell>
          <cell r="BA4170">
            <v>4.59</v>
          </cell>
        </row>
        <row r="4171">
          <cell r="C4171" t="str">
            <v>4503 - NUTS/BOLTS/WASHERS</v>
          </cell>
          <cell r="D4171" t="str">
            <v>MF53641EA</v>
          </cell>
          <cell r="BA4171">
            <v>5.79</v>
          </cell>
        </row>
        <row r="4172">
          <cell r="C4172" t="str">
            <v>4503 - NUTS/BOLTS/WASHERS</v>
          </cell>
          <cell r="D4172" t="str">
            <v>MF53642EA</v>
          </cell>
          <cell r="BA4172">
            <v>6.39</v>
          </cell>
        </row>
        <row r="4173">
          <cell r="C4173" t="str">
            <v>4503 - NUTS/BOLTS/WASHERS</v>
          </cell>
          <cell r="D4173" t="str">
            <v>MF53643EA</v>
          </cell>
          <cell r="BA4173">
            <v>7.39</v>
          </cell>
        </row>
        <row r="4174">
          <cell r="C4174" t="str">
            <v>4503 - NUTS/BOLTS/WASHERS</v>
          </cell>
          <cell r="D4174" t="str">
            <v>MF53645EA</v>
          </cell>
          <cell r="BA4174">
            <v>8.59</v>
          </cell>
        </row>
        <row r="4175">
          <cell r="C4175" t="str">
            <v>4503 - NUTS/BOLTS/WASHERS</v>
          </cell>
          <cell r="D4175" t="str">
            <v>MF53646EA</v>
          </cell>
          <cell r="BA4175">
            <v>8.99</v>
          </cell>
        </row>
        <row r="4176">
          <cell r="C4176" t="str">
            <v>4503 - NUTS/BOLTS/WASHERS</v>
          </cell>
          <cell r="D4176" t="str">
            <v>MF53654EA</v>
          </cell>
          <cell r="BA4176">
            <v>9.39</v>
          </cell>
        </row>
        <row r="4177">
          <cell r="C4177" t="str">
            <v>4503 - NUTS/BOLTS/WASHERS</v>
          </cell>
          <cell r="D4177" t="str">
            <v>MF54041EA</v>
          </cell>
          <cell r="BA4177">
            <v>0.95</v>
          </cell>
        </row>
        <row r="4178">
          <cell r="C4178" t="str">
            <v>4503 - NUTS/BOLTS/WASHERS</v>
          </cell>
          <cell r="D4178" t="str">
            <v>MF932741</v>
          </cell>
          <cell r="BA4178">
            <v>0.42</v>
          </cell>
        </row>
        <row r="4179">
          <cell r="C4179" t="str">
            <v>4503 - NUTS/BOLTS/WASHERS</v>
          </cell>
          <cell r="D4179" t="str">
            <v>MF932742</v>
          </cell>
          <cell r="BA4179">
            <v>0.46</v>
          </cell>
        </row>
        <row r="4180">
          <cell r="C4180" t="str">
            <v>4503 - NUTS/BOLTS/WASHERS</v>
          </cell>
          <cell r="D4180" t="str">
            <v>MF932743</v>
          </cell>
          <cell r="BA4180">
            <v>0.51</v>
          </cell>
        </row>
        <row r="4181">
          <cell r="C4181" t="str">
            <v>4503 - NUTS/BOLTS/WASHERS</v>
          </cell>
          <cell r="D4181" t="str">
            <v>MF932744</v>
          </cell>
          <cell r="BA4181">
            <v>0.6</v>
          </cell>
        </row>
        <row r="4182">
          <cell r="C4182" t="str">
            <v>4503 - NUTS/BOLTS/WASHERS</v>
          </cell>
          <cell r="D4182" t="str">
            <v>MF932745</v>
          </cell>
          <cell r="BA4182">
            <v>0.66</v>
          </cell>
        </row>
        <row r="4183">
          <cell r="C4183" t="str">
            <v>4503 - NUTS/BOLTS/WASHERS</v>
          </cell>
          <cell r="D4183" t="str">
            <v>MF932746</v>
          </cell>
          <cell r="BA4183">
            <v>0.75</v>
          </cell>
        </row>
        <row r="4184">
          <cell r="C4184" t="str">
            <v>4503 - NUTS/BOLTS/WASHERS</v>
          </cell>
          <cell r="D4184" t="str">
            <v>MF932747</v>
          </cell>
          <cell r="BA4184">
            <v>0.89</v>
          </cell>
        </row>
        <row r="4185">
          <cell r="C4185" t="str">
            <v>4503 - NUTS/BOLTS/WASHERS</v>
          </cell>
          <cell r="D4185" t="str">
            <v>MF932748</v>
          </cell>
          <cell r="BA4185">
            <v>1.0900000000000001</v>
          </cell>
        </row>
        <row r="4186">
          <cell r="C4186" t="str">
            <v>4503 - NUTS/BOLTS/WASHERS</v>
          </cell>
          <cell r="D4186" t="str">
            <v>MF932761</v>
          </cell>
          <cell r="BA4186">
            <v>0.69</v>
          </cell>
        </row>
        <row r="4187">
          <cell r="C4187" t="str">
            <v>4503 - NUTS/BOLTS/WASHERS</v>
          </cell>
          <cell r="D4187" t="str">
            <v>MF932762</v>
          </cell>
          <cell r="BA4187">
            <v>0.75</v>
          </cell>
        </row>
        <row r="4188">
          <cell r="C4188" t="str">
            <v>4503 - NUTS/BOLTS/WASHERS</v>
          </cell>
          <cell r="D4188" t="str">
            <v>MF932763</v>
          </cell>
          <cell r="BA4188">
            <v>0.85</v>
          </cell>
        </row>
        <row r="4189">
          <cell r="C4189" t="str">
            <v>4503 - NUTS/BOLTS/WASHERS</v>
          </cell>
          <cell r="D4189" t="str">
            <v>MF932764</v>
          </cell>
          <cell r="BA4189">
            <v>0.95</v>
          </cell>
        </row>
        <row r="4190">
          <cell r="C4190" t="str">
            <v>4503 - NUTS/BOLTS/WASHERS</v>
          </cell>
          <cell r="D4190" t="str">
            <v>MF932765</v>
          </cell>
          <cell r="BA4190">
            <v>1.05</v>
          </cell>
        </row>
        <row r="4191">
          <cell r="C4191" t="str">
            <v>4503 - NUTS/BOLTS/WASHERS</v>
          </cell>
          <cell r="D4191" t="str">
            <v>MF932766</v>
          </cell>
          <cell r="BA4191">
            <v>1.19</v>
          </cell>
        </row>
        <row r="4192">
          <cell r="C4192" t="str">
            <v>4503 - NUTS/BOLTS/WASHERS</v>
          </cell>
          <cell r="D4192" t="str">
            <v>MF932767</v>
          </cell>
          <cell r="BA4192">
            <v>1.29</v>
          </cell>
        </row>
        <row r="4193">
          <cell r="C4193" t="str">
            <v>4503 - NUTS/BOLTS/WASHERS</v>
          </cell>
          <cell r="D4193" t="str">
            <v>MF932768</v>
          </cell>
          <cell r="BA4193">
            <v>1.59</v>
          </cell>
        </row>
        <row r="4194">
          <cell r="C4194" t="str">
            <v>4503 - NUTS/BOLTS/WASHERS</v>
          </cell>
          <cell r="D4194" t="str">
            <v>MF932781</v>
          </cell>
          <cell r="BA4194">
            <v>0.85</v>
          </cell>
        </row>
        <row r="4195">
          <cell r="C4195" t="str">
            <v>4503 - NUTS/BOLTS/WASHERS</v>
          </cell>
          <cell r="D4195" t="str">
            <v>MF932782</v>
          </cell>
          <cell r="BA4195">
            <v>0.89</v>
          </cell>
        </row>
        <row r="4196">
          <cell r="C4196" t="str">
            <v>4503 - NUTS/BOLTS/WASHERS</v>
          </cell>
          <cell r="D4196" t="str">
            <v>MF932783</v>
          </cell>
          <cell r="BA4196">
            <v>1.05</v>
          </cell>
        </row>
        <row r="4197">
          <cell r="C4197" t="str">
            <v>4503 - NUTS/BOLTS/WASHERS</v>
          </cell>
          <cell r="D4197" t="str">
            <v>MF932784</v>
          </cell>
          <cell r="BA4197">
            <v>1.1499999999999999</v>
          </cell>
        </row>
        <row r="4198">
          <cell r="C4198" t="str">
            <v>4503 - NUTS/BOLTS/WASHERS</v>
          </cell>
          <cell r="D4198" t="str">
            <v>MF932785</v>
          </cell>
          <cell r="BA4198">
            <v>1.39</v>
          </cell>
        </row>
        <row r="4199">
          <cell r="C4199" t="str">
            <v>4503 - NUTS/BOLTS/WASHERS</v>
          </cell>
          <cell r="D4199" t="str">
            <v>MF932786</v>
          </cell>
          <cell r="BA4199">
            <v>1.49</v>
          </cell>
        </row>
        <row r="4200">
          <cell r="C4200" t="str">
            <v>4503 - NUTS/BOLTS/WASHERS</v>
          </cell>
          <cell r="D4200" t="str">
            <v>MF932787</v>
          </cell>
          <cell r="BA4200">
            <v>1.75</v>
          </cell>
        </row>
        <row r="4201">
          <cell r="C4201" t="str">
            <v>4503 - NUTS/BOLTS/WASHERS</v>
          </cell>
          <cell r="D4201" t="str">
            <v>MF932788</v>
          </cell>
          <cell r="BA4201">
            <v>1.99</v>
          </cell>
        </row>
        <row r="4202">
          <cell r="C4202" t="str">
            <v>4503 - NUTS/BOLTS/WASHERS</v>
          </cell>
          <cell r="D4202" t="str">
            <v>MF932801</v>
          </cell>
          <cell r="BA4202">
            <v>0.66</v>
          </cell>
        </row>
        <row r="4203">
          <cell r="C4203" t="str">
            <v>4503 - NUTS/BOLTS/WASHERS</v>
          </cell>
          <cell r="D4203" t="str">
            <v>MF932802</v>
          </cell>
          <cell r="BA4203">
            <v>0.85</v>
          </cell>
        </row>
        <row r="4204">
          <cell r="C4204" t="str">
            <v>4503 - NUTS/BOLTS/WASHERS</v>
          </cell>
          <cell r="D4204" t="str">
            <v>MF932803</v>
          </cell>
          <cell r="BA4204">
            <v>0.95</v>
          </cell>
        </row>
        <row r="4205">
          <cell r="C4205" t="str">
            <v>4503 - NUTS/BOLTS/WASHERS</v>
          </cell>
          <cell r="D4205" t="str">
            <v>MF932804</v>
          </cell>
          <cell r="BA4205">
            <v>1.05</v>
          </cell>
        </row>
        <row r="4206">
          <cell r="C4206" t="str">
            <v>4503 - NUTS/BOLTS/WASHERS</v>
          </cell>
          <cell r="D4206" t="str">
            <v>MF932805</v>
          </cell>
          <cell r="BA4206">
            <v>1.29</v>
          </cell>
        </row>
        <row r="4207">
          <cell r="C4207" t="str">
            <v>4503 - NUTS/BOLTS/WASHERS</v>
          </cell>
          <cell r="D4207" t="str">
            <v>MF932806</v>
          </cell>
          <cell r="BA4207">
            <v>1.49</v>
          </cell>
        </row>
        <row r="4208">
          <cell r="C4208" t="str">
            <v>4503 - NUTS/BOLTS/WASHERS</v>
          </cell>
          <cell r="D4208" t="str">
            <v>MF932807</v>
          </cell>
          <cell r="BA4208">
            <v>1.75</v>
          </cell>
        </row>
        <row r="4209">
          <cell r="C4209" t="str">
            <v>4503 - NUTS/BOLTS/WASHERS</v>
          </cell>
          <cell r="D4209" t="str">
            <v>MF932821</v>
          </cell>
          <cell r="BA4209">
            <v>0.95</v>
          </cell>
        </row>
        <row r="4210">
          <cell r="C4210" t="str">
            <v>4503 - NUTS/BOLTS/WASHERS</v>
          </cell>
          <cell r="D4210" t="str">
            <v>MF932822</v>
          </cell>
          <cell r="BA4210">
            <v>1.0900000000000001</v>
          </cell>
        </row>
        <row r="4211">
          <cell r="C4211" t="str">
            <v>4503 - NUTS/BOLTS/WASHERS</v>
          </cell>
          <cell r="D4211" t="str">
            <v>MF932823</v>
          </cell>
          <cell r="BA4211">
            <v>1.29</v>
          </cell>
        </row>
        <row r="4212">
          <cell r="C4212" t="str">
            <v>4503 - NUTS/BOLTS/WASHERS</v>
          </cell>
          <cell r="D4212" t="str">
            <v>MF932824</v>
          </cell>
          <cell r="BA4212">
            <v>1.49</v>
          </cell>
        </row>
        <row r="4213">
          <cell r="C4213" t="str">
            <v>4503 - NUTS/BOLTS/WASHERS</v>
          </cell>
          <cell r="D4213" t="str">
            <v>MF932825</v>
          </cell>
          <cell r="BA4213">
            <v>1.75</v>
          </cell>
        </row>
        <row r="4214">
          <cell r="C4214" t="str">
            <v>4503 - NUTS/BOLTS/WASHERS</v>
          </cell>
          <cell r="D4214" t="str">
            <v>MF932826</v>
          </cell>
          <cell r="BA4214">
            <v>1.79</v>
          </cell>
        </row>
        <row r="4215">
          <cell r="C4215" t="str">
            <v>4503 - NUTS/BOLTS/WASHERS</v>
          </cell>
          <cell r="D4215" t="str">
            <v>MF932827</v>
          </cell>
          <cell r="BA4215">
            <v>1.99</v>
          </cell>
        </row>
        <row r="4216">
          <cell r="C4216" t="str">
            <v>4503 - NUTS/BOLTS/WASHERS</v>
          </cell>
          <cell r="D4216" t="str">
            <v>MF932841</v>
          </cell>
          <cell r="BA4216">
            <v>1.19</v>
          </cell>
        </row>
        <row r="4217">
          <cell r="C4217" t="str">
            <v>4503 - NUTS/BOLTS/WASHERS</v>
          </cell>
          <cell r="D4217" t="str">
            <v>MF932842</v>
          </cell>
          <cell r="BA4217">
            <v>1.49</v>
          </cell>
        </row>
        <row r="4218">
          <cell r="C4218" t="str">
            <v>4503 - NUTS/BOLTS/WASHERS</v>
          </cell>
          <cell r="D4218" t="str">
            <v>MF932843</v>
          </cell>
          <cell r="BA4218">
            <v>1.69</v>
          </cell>
        </row>
        <row r="4219">
          <cell r="C4219" t="str">
            <v>4503 - NUTS/BOLTS/WASHERS</v>
          </cell>
          <cell r="D4219" t="str">
            <v>MF932844</v>
          </cell>
          <cell r="BA4219">
            <v>1.95</v>
          </cell>
        </row>
        <row r="4220">
          <cell r="C4220" t="str">
            <v>4503 - NUTS/BOLTS/WASHERS</v>
          </cell>
          <cell r="D4220" t="str">
            <v>MF932845</v>
          </cell>
          <cell r="BA4220">
            <v>2.4900000000000002</v>
          </cell>
        </row>
        <row r="4221">
          <cell r="C4221" t="str">
            <v>4503 - NUTS/BOLTS/WASHERS</v>
          </cell>
          <cell r="D4221" t="str">
            <v>MF932846</v>
          </cell>
          <cell r="BA4221">
            <v>3.09</v>
          </cell>
        </row>
        <row r="4222">
          <cell r="C4222" t="str">
            <v>4503 - NUTS/BOLTS/WASHERS</v>
          </cell>
          <cell r="D4222" t="str">
            <v>MF932847</v>
          </cell>
          <cell r="BA4222">
            <v>3.59</v>
          </cell>
        </row>
        <row r="4223">
          <cell r="C4223" t="str">
            <v>4503 - NUTS/BOLTS/WASHERS</v>
          </cell>
          <cell r="D4223" t="str">
            <v>MF932861</v>
          </cell>
          <cell r="BA4223">
            <v>0.25</v>
          </cell>
        </row>
        <row r="4224">
          <cell r="C4224" t="str">
            <v>4503 - NUTS/BOLTS/WASHERS</v>
          </cell>
          <cell r="D4224" t="str">
            <v>MF932862</v>
          </cell>
          <cell r="BA4224">
            <v>0.31</v>
          </cell>
        </row>
        <row r="4225">
          <cell r="C4225" t="str">
            <v>4503 - NUTS/BOLTS/WASHERS</v>
          </cell>
          <cell r="D4225" t="str">
            <v>MF932863</v>
          </cell>
          <cell r="BA4225">
            <v>0.44</v>
          </cell>
        </row>
        <row r="4226">
          <cell r="C4226" t="str">
            <v>4503 - NUTS/BOLTS/WASHERS</v>
          </cell>
          <cell r="D4226" t="str">
            <v>MF932864</v>
          </cell>
          <cell r="BA4226">
            <v>0.34</v>
          </cell>
        </row>
        <row r="4227">
          <cell r="C4227" t="str">
            <v>4503 - NUTS/BOLTS/WASHERS</v>
          </cell>
          <cell r="D4227" t="str">
            <v>MF932865</v>
          </cell>
          <cell r="BA4227">
            <v>0.44</v>
          </cell>
        </row>
        <row r="4228">
          <cell r="C4228" t="str">
            <v>4503 - NUTS/BOLTS/WASHERS</v>
          </cell>
          <cell r="D4228" t="str">
            <v>MF932866</v>
          </cell>
          <cell r="BA4228">
            <v>0.56999999999999995</v>
          </cell>
        </row>
        <row r="4229">
          <cell r="C4229" t="str">
            <v>4503 - NUTS/BOLTS/WASHERS</v>
          </cell>
          <cell r="D4229" t="str">
            <v>MF932867</v>
          </cell>
          <cell r="BA4229">
            <v>0.2</v>
          </cell>
        </row>
        <row r="4230">
          <cell r="C4230" t="str">
            <v>4503 - NUTS/BOLTS/WASHERS</v>
          </cell>
          <cell r="D4230" t="str">
            <v>MF932868</v>
          </cell>
          <cell r="BA4230">
            <v>0.24</v>
          </cell>
        </row>
        <row r="4231">
          <cell r="C4231" t="str">
            <v>4503 - NUTS/BOLTS/WASHERS</v>
          </cell>
          <cell r="D4231" t="str">
            <v>MF932871</v>
          </cell>
          <cell r="BA4231">
            <v>0.31</v>
          </cell>
        </row>
        <row r="4232">
          <cell r="C4232" t="str">
            <v>4503 - NUTS/BOLTS/WASHERS</v>
          </cell>
          <cell r="D4232" t="str">
            <v>MF932872</v>
          </cell>
          <cell r="BA4232">
            <v>0.26</v>
          </cell>
        </row>
        <row r="4233">
          <cell r="C4233" t="str">
            <v>4503 - NUTS/BOLTS/WASHERS</v>
          </cell>
          <cell r="D4233" t="str">
            <v>MF932873</v>
          </cell>
          <cell r="BA4233">
            <v>0.39</v>
          </cell>
        </row>
        <row r="4234">
          <cell r="C4234" t="str">
            <v>4503 - NUTS/BOLTS/WASHERS</v>
          </cell>
          <cell r="D4234" t="str">
            <v>MF932874</v>
          </cell>
          <cell r="BA4234">
            <v>0.44</v>
          </cell>
        </row>
        <row r="4235">
          <cell r="C4235" t="str">
            <v>4503 - NUTS/BOLTS/WASHERS</v>
          </cell>
          <cell r="D4235" t="str">
            <v>H150009EA</v>
          </cell>
          <cell r="BA4235">
            <v>0.18</v>
          </cell>
        </row>
        <row r="4236">
          <cell r="C4236" t="str">
            <v>4503 - NUTS/BOLTS/WASHERS</v>
          </cell>
          <cell r="D4236" t="str">
            <v>H810512EA</v>
          </cell>
          <cell r="BA4236">
            <v>0.43</v>
          </cell>
        </row>
        <row r="4237">
          <cell r="C4237" t="str">
            <v>4503 - NUTS/BOLTS/WASHERS</v>
          </cell>
          <cell r="D4237" t="str">
            <v>H812635EA</v>
          </cell>
          <cell r="BA4237">
            <v>3.39</v>
          </cell>
        </row>
        <row r="4238">
          <cell r="C4238" t="str">
            <v>4503 - NUTS/BOLTS/WASHERS</v>
          </cell>
          <cell r="D4238" t="str">
            <v>MF05513EA</v>
          </cell>
          <cell r="BA4238">
            <v>2.89</v>
          </cell>
        </row>
        <row r="4239">
          <cell r="C4239" t="str">
            <v>4504 - HAND DRIVN FASTNR (NAILS,SCRW</v>
          </cell>
          <cell r="D4239" t="str">
            <v>FIFCAFFFBIT</v>
          </cell>
          <cell r="BA4239">
            <v>26.28</v>
          </cell>
        </row>
        <row r="4240">
          <cell r="C4240" t="str">
            <v>4504 - HAND DRIVN FASTNR (NAILS,SCRW</v>
          </cell>
          <cell r="D4240" t="str">
            <v>GRK12221</v>
          </cell>
          <cell r="BA4240">
            <v>70.150000000000006</v>
          </cell>
        </row>
        <row r="4241">
          <cell r="C4241" t="str">
            <v>4504 - HAND DRIVN FASTNR (NAILS,SCRW</v>
          </cell>
          <cell r="D4241" t="str">
            <v>MF03225EA</v>
          </cell>
          <cell r="BA4241">
            <v>0.03</v>
          </cell>
        </row>
        <row r="4242">
          <cell r="C4242" t="str">
            <v>4504 - HAND DRIVN FASTNR (NAILS,SCRW</v>
          </cell>
          <cell r="D4242" t="str">
            <v>MF03235EA</v>
          </cell>
          <cell r="BA4242">
            <v>0.06</v>
          </cell>
        </row>
        <row r="4243">
          <cell r="C4243" t="str">
            <v>4504 - HAND DRIVN FASTNR (NAILS,SCRW</v>
          </cell>
          <cell r="D4243" t="str">
            <v>MF03254EA</v>
          </cell>
          <cell r="BA4243">
            <v>0.05</v>
          </cell>
        </row>
        <row r="4244">
          <cell r="C4244" t="str">
            <v>4504 - HAND DRIVN FASTNR (NAILS,SCRW</v>
          </cell>
          <cell r="D4244" t="str">
            <v>MF03269EA</v>
          </cell>
          <cell r="BA4244">
            <v>0.03</v>
          </cell>
        </row>
        <row r="4245">
          <cell r="C4245" t="str">
            <v>4504 - HAND DRIVN FASTNR (NAILS,SCRW</v>
          </cell>
          <cell r="D4245" t="str">
            <v>MF03270EA</v>
          </cell>
          <cell r="BA4245">
            <v>0.03</v>
          </cell>
        </row>
        <row r="4246">
          <cell r="C4246" t="str">
            <v>4504 - HAND DRIVN FASTNR (NAILS,SCRW</v>
          </cell>
          <cell r="D4246" t="str">
            <v>MF03273EA</v>
          </cell>
          <cell r="BA4246">
            <v>0.1</v>
          </cell>
        </row>
        <row r="4247">
          <cell r="C4247" t="str">
            <v>4504 - HAND DRIVN FASTNR (NAILS,SCRW</v>
          </cell>
          <cell r="D4247" t="str">
            <v>MF03275EA</v>
          </cell>
          <cell r="BA4247">
            <v>0.13</v>
          </cell>
        </row>
        <row r="4248">
          <cell r="C4248" t="str">
            <v>4504 - HAND DRIVN FASTNR (NAILS,SCRW</v>
          </cell>
          <cell r="D4248" t="str">
            <v>MF03278EA</v>
          </cell>
          <cell r="BA4248">
            <v>0.14000000000000001</v>
          </cell>
        </row>
        <row r="4249">
          <cell r="C4249" t="str">
            <v>4504 - HAND DRIVN FASTNR (NAILS,SCRW</v>
          </cell>
          <cell r="D4249" t="str">
            <v>MF03300EA</v>
          </cell>
          <cell r="BA4249">
            <v>0.31</v>
          </cell>
        </row>
        <row r="4250">
          <cell r="C4250" t="str">
            <v>4504 - HAND DRIVN FASTNR (NAILS,SCRW</v>
          </cell>
          <cell r="D4250" t="str">
            <v>MF05523EA</v>
          </cell>
          <cell r="BA4250">
            <v>1.05</v>
          </cell>
        </row>
        <row r="4251">
          <cell r="C4251" t="str">
            <v>4504 - HAND DRIVN FASTNR (NAILS,SCRW</v>
          </cell>
          <cell r="D4251" t="str">
            <v>MF62722</v>
          </cell>
          <cell r="BA4251">
            <v>0.14000000000000001</v>
          </cell>
        </row>
        <row r="4252">
          <cell r="C4252" t="str">
            <v>4504 - HAND DRIVN FASTNR (NAILS,SCRW</v>
          </cell>
          <cell r="D4252" t="str">
            <v>FIFFEHF50</v>
          </cell>
          <cell r="BA4252">
            <v>50.22</v>
          </cell>
        </row>
        <row r="4253">
          <cell r="C4253" t="str">
            <v>4504 - HAND DRIVN FASTNR (NAILS,SCRW</v>
          </cell>
          <cell r="D4253" t="str">
            <v>FIFFEHF250</v>
          </cell>
          <cell r="BA4253">
            <v>222.58</v>
          </cell>
        </row>
        <row r="4254">
          <cell r="C4254" t="str">
            <v>4504 - HAND DRIVN FASTNR (NAILS,SCRW</v>
          </cell>
          <cell r="D4254" t="str">
            <v>FIFFEHF500</v>
          </cell>
          <cell r="BA4254">
            <v>426.64</v>
          </cell>
        </row>
        <row r="4255">
          <cell r="C4255" t="str">
            <v>4504 - HAND DRIVN FASTNR (NAILS,SCRW</v>
          </cell>
          <cell r="D4255" t="str">
            <v>SD8X1.25</v>
          </cell>
          <cell r="BA4255">
            <v>10.29</v>
          </cell>
        </row>
        <row r="4256">
          <cell r="C4256" t="str">
            <v>4504 - HAND DRIVN FASTNR (NAILS,SCRW</v>
          </cell>
          <cell r="D4256" t="str">
            <v>AH84034</v>
          </cell>
          <cell r="BA4256">
            <v>8.5399999999999991</v>
          </cell>
        </row>
        <row r="4257">
          <cell r="C4257" t="str">
            <v>4504 - HAND DRIVN FASTNR (NAILS,SCRW</v>
          </cell>
          <cell r="D4257" t="str">
            <v>WT2BWHT</v>
          </cell>
          <cell r="BA4257">
            <v>7.29</v>
          </cell>
        </row>
        <row r="4258">
          <cell r="C4258" t="str">
            <v>4504 - HAND DRIVN FASTNR (NAILS,SCRW</v>
          </cell>
          <cell r="D4258" t="str">
            <v>GRK12137</v>
          </cell>
          <cell r="BA4258">
            <v>15.32</v>
          </cell>
        </row>
        <row r="4259">
          <cell r="C4259" t="str">
            <v>4504 - HAND DRIVN FASTNR (NAILS,SCRW</v>
          </cell>
          <cell r="D4259" t="str">
            <v>GBGGS1512R</v>
          </cell>
          <cell r="BA4259">
            <v>1.23</v>
          </cell>
        </row>
        <row r="4260">
          <cell r="C4260" t="str">
            <v>4504 - HAND DRIVN FASTNR (NAILS,SCRW</v>
          </cell>
          <cell r="D4260" t="str">
            <v>FST110</v>
          </cell>
          <cell r="BA4260">
            <v>0.6</v>
          </cell>
        </row>
        <row r="4261">
          <cell r="C4261" t="str">
            <v>4504 - HAND DRIVN FASTNR (NAILS,SCRW</v>
          </cell>
          <cell r="D4261" t="str">
            <v>FST129</v>
          </cell>
          <cell r="BA4261">
            <v>0.76</v>
          </cell>
        </row>
        <row r="4262">
          <cell r="C4262" t="str">
            <v>4504 - HAND DRIVN FASTNR (NAILS,SCRW</v>
          </cell>
          <cell r="D4262" t="str">
            <v>FST169</v>
          </cell>
          <cell r="BA4262">
            <v>1.1200000000000001</v>
          </cell>
        </row>
        <row r="4263">
          <cell r="C4263" t="str">
            <v>4504 - HAND DRIVN FASTNR (NAILS,SCRW</v>
          </cell>
          <cell r="D4263" t="str">
            <v>FST19</v>
          </cell>
          <cell r="BA4263">
            <v>0.09</v>
          </cell>
        </row>
        <row r="4264">
          <cell r="C4264" t="str">
            <v>4504 - HAND DRIVN FASTNR (NAILS,SCRW</v>
          </cell>
          <cell r="D4264" t="str">
            <v>FST33</v>
          </cell>
          <cell r="BA4264">
            <v>0.19</v>
          </cell>
        </row>
        <row r="4265">
          <cell r="C4265" t="str">
            <v>4504 - HAND DRIVN FASTNR (NAILS,SCRW</v>
          </cell>
          <cell r="D4265" t="str">
            <v>FST75</v>
          </cell>
          <cell r="BA4265">
            <v>0.42</v>
          </cell>
        </row>
        <row r="4266">
          <cell r="C4266" t="str">
            <v>4504 - HAND DRIVN FASTNR (NAILS,SCRW</v>
          </cell>
          <cell r="D4266" t="str">
            <v>FST95</v>
          </cell>
          <cell r="BA4266">
            <v>0.54</v>
          </cell>
        </row>
        <row r="4267">
          <cell r="C4267" t="str">
            <v>4504 - HAND DRIVN FASTNR (NAILS,SCRW</v>
          </cell>
          <cell r="D4267" t="str">
            <v>FST360</v>
          </cell>
          <cell r="BA4267">
            <v>2.33</v>
          </cell>
        </row>
        <row r="4268">
          <cell r="C4268" t="str">
            <v>4504 - HAND DRIVN FASTNR (NAILS,SCRW</v>
          </cell>
          <cell r="D4268" t="str">
            <v>FST150</v>
          </cell>
          <cell r="BA4268">
            <v>0.9</v>
          </cell>
        </row>
        <row r="4269">
          <cell r="C4269" t="str">
            <v>4504 - HAND DRIVN FASTNR (NAILS,SCRW</v>
          </cell>
          <cell r="D4269" t="str">
            <v>FST29</v>
          </cell>
          <cell r="BA4269">
            <v>0.15</v>
          </cell>
        </row>
        <row r="4270">
          <cell r="C4270" t="str">
            <v>4504 - HAND DRIVN FASTNR (NAILS,SCRW</v>
          </cell>
          <cell r="D4270" t="str">
            <v>FST32</v>
          </cell>
          <cell r="BA4270">
            <v>0.16</v>
          </cell>
        </row>
        <row r="4271">
          <cell r="C4271" t="str">
            <v>4504 - HAND DRIVN FASTNR (NAILS,SCRW</v>
          </cell>
          <cell r="D4271" t="str">
            <v>SDPW19600-R50</v>
          </cell>
          <cell r="BA4271">
            <v>117.45</v>
          </cell>
        </row>
        <row r="4272">
          <cell r="C4272" t="str">
            <v>4504 - HAND DRIVN FASTNR (NAILS,SCRW</v>
          </cell>
          <cell r="D4272" t="str">
            <v>FST39</v>
          </cell>
          <cell r="BA4272">
            <v>0.22</v>
          </cell>
        </row>
        <row r="4273">
          <cell r="C4273" t="str">
            <v>4504 - HAND DRIVN FASTNR (NAILS,SCRW</v>
          </cell>
          <cell r="D4273" t="str">
            <v>FST64</v>
          </cell>
          <cell r="BA4273">
            <v>0.38</v>
          </cell>
        </row>
        <row r="4274">
          <cell r="C4274" t="str">
            <v>4504 - HAND DRIVN FASTNR (NAILS,SCRW</v>
          </cell>
          <cell r="D4274" t="str">
            <v>FST69</v>
          </cell>
          <cell r="BA4274">
            <v>0.41</v>
          </cell>
        </row>
        <row r="4275">
          <cell r="C4275" t="str">
            <v>4504 - HAND DRIVN FASTNR (NAILS,SCRW</v>
          </cell>
          <cell r="D4275" t="str">
            <v>NLS16GBL</v>
          </cell>
          <cell r="BA4275">
            <v>16.329999999999998</v>
          </cell>
        </row>
        <row r="4276">
          <cell r="C4276" t="str">
            <v>4504 - HAND DRIVN FASTNR (NAILS,SCRW</v>
          </cell>
          <cell r="D4276" t="str">
            <v>PGP178ATUL1</v>
          </cell>
          <cell r="BA4276">
            <v>4.99</v>
          </cell>
        </row>
        <row r="4277">
          <cell r="C4277" t="str">
            <v>4504 - HAND DRIVN FASTNR (NAILS,SCRW</v>
          </cell>
          <cell r="D4277" t="str">
            <v>5HGBX5</v>
          </cell>
          <cell r="BA4277">
            <v>18.62</v>
          </cell>
        </row>
        <row r="4278">
          <cell r="C4278" t="str">
            <v>4504 - HAND DRIVN FASTNR (NAILS,SCRW</v>
          </cell>
          <cell r="D4278" t="str">
            <v>PAMWCYZ8134F</v>
          </cell>
          <cell r="BA4278">
            <v>62.24</v>
          </cell>
        </row>
        <row r="4279">
          <cell r="C4279" t="str">
            <v>4504 - HAND DRIVN FASTNR (NAILS,SCRW</v>
          </cell>
          <cell r="D4279" t="str">
            <v>SDS25112MB</v>
          </cell>
          <cell r="BA4279">
            <v>70.489999999999995</v>
          </cell>
        </row>
        <row r="4280">
          <cell r="C4280" t="str">
            <v>4504 - HAND DRIVN FASTNR (NAILS,SCRW</v>
          </cell>
          <cell r="D4280" t="str">
            <v>SDS25112-R25</v>
          </cell>
          <cell r="BA4280">
            <v>7.27</v>
          </cell>
        </row>
        <row r="4281">
          <cell r="C4281" t="str">
            <v>4504 - HAND DRIVN FASTNR (NAILS,SCRW</v>
          </cell>
          <cell r="D4281" t="str">
            <v>SDS25112SS-R25</v>
          </cell>
          <cell r="BA4281">
            <v>26.08</v>
          </cell>
        </row>
        <row r="4282">
          <cell r="C4282" t="str">
            <v>4504 - HAND DRIVN FASTNR (NAILS,SCRW</v>
          </cell>
          <cell r="D4282" t="str">
            <v>SDS25200MB</v>
          </cell>
          <cell r="BA4282">
            <v>71.56</v>
          </cell>
        </row>
        <row r="4283">
          <cell r="C4283" t="str">
            <v>4504 - HAND DRIVN FASTNR (NAILS,SCRW</v>
          </cell>
          <cell r="D4283" t="str">
            <v>SDS25200R25</v>
          </cell>
          <cell r="BA4283">
            <v>8.9</v>
          </cell>
        </row>
        <row r="4284">
          <cell r="C4284" t="str">
            <v>4504 - HAND DRIVN FASTNR (NAILS,SCRW</v>
          </cell>
          <cell r="D4284" t="str">
            <v>SDS25212MB</v>
          </cell>
          <cell r="BA4284">
            <v>67.38</v>
          </cell>
        </row>
        <row r="4285">
          <cell r="C4285" t="str">
            <v>4504 - HAND DRIVN FASTNR (NAILS,SCRW</v>
          </cell>
          <cell r="D4285" t="str">
            <v>SDS25212-R25</v>
          </cell>
          <cell r="BA4285">
            <v>9.3800000000000008</v>
          </cell>
        </row>
        <row r="4286">
          <cell r="C4286" t="str">
            <v>4504 - HAND DRIVN FASTNR (NAILS,SCRW</v>
          </cell>
          <cell r="D4286" t="str">
            <v>SDS25300MB</v>
          </cell>
          <cell r="BA4286">
            <v>61.36</v>
          </cell>
        </row>
        <row r="4287">
          <cell r="C4287" t="str">
            <v>4504 - HAND DRIVN FASTNR (NAILS,SCRW</v>
          </cell>
          <cell r="D4287" t="str">
            <v>SDS25300-R25</v>
          </cell>
          <cell r="BA4287">
            <v>11.05</v>
          </cell>
        </row>
        <row r="4288">
          <cell r="C4288" t="str">
            <v>4504 - HAND DRIVN FASTNR (NAILS,SCRW</v>
          </cell>
          <cell r="D4288" t="str">
            <v>SDS25312MB</v>
          </cell>
          <cell r="BA4288">
            <v>59.15</v>
          </cell>
        </row>
        <row r="4289">
          <cell r="C4289" t="str">
            <v>4504 - HAND DRIVN FASTNR (NAILS,SCRW</v>
          </cell>
          <cell r="D4289" t="str">
            <v>SDS25312-R10</v>
          </cell>
          <cell r="BA4289">
            <v>7.06</v>
          </cell>
        </row>
        <row r="4290">
          <cell r="C4290" t="str">
            <v>4504 - HAND DRIVN FASTNR (NAILS,SCRW</v>
          </cell>
          <cell r="D4290" t="str">
            <v>SDS25412MB</v>
          </cell>
          <cell r="BA4290">
            <v>71.56</v>
          </cell>
        </row>
        <row r="4291">
          <cell r="C4291" t="str">
            <v>4504 - HAND DRIVN FASTNR (NAILS,SCRW</v>
          </cell>
          <cell r="D4291" t="str">
            <v>SDS25412R10</v>
          </cell>
          <cell r="BA4291">
            <v>8.9</v>
          </cell>
        </row>
        <row r="4292">
          <cell r="C4292" t="str">
            <v>4504 - HAND DRIVN FASTNR (NAILS,SCRW</v>
          </cell>
          <cell r="D4292" t="str">
            <v>SDS25500MB</v>
          </cell>
          <cell r="BA4292">
            <v>88.92</v>
          </cell>
        </row>
        <row r="4293">
          <cell r="C4293" t="str">
            <v>4504 - HAND DRIVN FASTNR (NAILS,SCRW</v>
          </cell>
          <cell r="D4293" t="str">
            <v>SDS25500-R10</v>
          </cell>
          <cell r="BA4293">
            <v>11.35</v>
          </cell>
        </row>
        <row r="4294">
          <cell r="C4294" t="str">
            <v>4504 - HAND DRIVN FASTNR (NAILS,SCRW</v>
          </cell>
          <cell r="D4294" t="str">
            <v>SDS25500-R25L</v>
          </cell>
          <cell r="BA4294">
            <v>28.49</v>
          </cell>
        </row>
        <row r="4295">
          <cell r="C4295" t="str">
            <v>4504 - HAND DRIVN FASTNR (NAILS,SCRW</v>
          </cell>
          <cell r="D4295" t="str">
            <v>SDS25600MB</v>
          </cell>
          <cell r="BA4295">
            <v>108.64</v>
          </cell>
        </row>
        <row r="4296">
          <cell r="C4296" t="str">
            <v>4504 - HAND DRIVN FASTNR (NAILS,SCRW</v>
          </cell>
          <cell r="D4296" t="str">
            <v>SDS25600MBEA</v>
          </cell>
          <cell r="BA4296">
            <v>1.0900000000000001</v>
          </cell>
        </row>
        <row r="4297">
          <cell r="C4297" t="str">
            <v>4504 - HAND DRIVN FASTNR (NAILS,SCRW</v>
          </cell>
          <cell r="D4297" t="str">
            <v>SDS25600-R10</v>
          </cell>
          <cell r="BA4297">
            <v>13.21</v>
          </cell>
        </row>
        <row r="4298">
          <cell r="C4298" t="str">
            <v>4504 - HAND DRIVN FASTNR (NAILS,SCRW</v>
          </cell>
          <cell r="D4298" t="str">
            <v>ARWA316</v>
          </cell>
          <cell r="BA4298">
            <v>1.27</v>
          </cell>
        </row>
        <row r="4299">
          <cell r="C4299" t="str">
            <v>4504 - HAND DRIVN FASTNR (NAILS,SCRW</v>
          </cell>
          <cell r="D4299" t="str">
            <v>N179-161</v>
          </cell>
          <cell r="BA4299">
            <v>1.44</v>
          </cell>
        </row>
        <row r="4300">
          <cell r="C4300" t="str">
            <v>4504 - HAND DRIVN FASTNR (NAILS,SCRW</v>
          </cell>
          <cell r="D4300" t="str">
            <v>N223-982</v>
          </cell>
          <cell r="BA4300">
            <v>1.99</v>
          </cell>
        </row>
        <row r="4301">
          <cell r="C4301" t="str">
            <v>4504 - HAND DRIVN FASTNR (NAILS,SCRW</v>
          </cell>
          <cell r="D4301" t="str">
            <v>N224-386</v>
          </cell>
          <cell r="BA4301">
            <v>1.97</v>
          </cell>
        </row>
        <row r="4302">
          <cell r="C4302" t="str">
            <v>4504 - HAND DRIVN FASTNR (NAILS,SCRW</v>
          </cell>
          <cell r="D4302" t="str">
            <v>PTNMT1141</v>
          </cell>
          <cell r="BA4302">
            <v>5.35</v>
          </cell>
        </row>
        <row r="4303">
          <cell r="C4303" t="str">
            <v>4504 - HAND DRIVN FASTNR (NAILS,SCRW</v>
          </cell>
          <cell r="D4303" t="str">
            <v>PTNMT1145</v>
          </cell>
          <cell r="BA4303">
            <v>22.1</v>
          </cell>
        </row>
        <row r="4304">
          <cell r="C4304" t="str">
            <v>4504 - HAND DRIVN FASTNR (NAILS,SCRW</v>
          </cell>
          <cell r="D4304" t="str">
            <v>PTNMT1581</v>
          </cell>
          <cell r="BA4304">
            <v>5.35</v>
          </cell>
        </row>
        <row r="4305">
          <cell r="C4305" t="str">
            <v>4504 - HAND DRIVN FASTNR (NAILS,SCRW</v>
          </cell>
          <cell r="D4305" t="str">
            <v>PTNMT1585</v>
          </cell>
          <cell r="BA4305">
            <v>32.58</v>
          </cell>
        </row>
        <row r="4306">
          <cell r="C4306" t="str">
            <v>4504 - HAND DRIVN FASTNR (NAILS,SCRW</v>
          </cell>
          <cell r="D4306" t="str">
            <v>PTNMT2001</v>
          </cell>
          <cell r="BA4306">
            <v>7.47</v>
          </cell>
        </row>
        <row r="4307">
          <cell r="C4307" t="str">
            <v>4504 - HAND DRIVN FASTNR (NAILS,SCRW</v>
          </cell>
          <cell r="D4307" t="str">
            <v>PTNMTD8121</v>
          </cell>
          <cell r="BA4307">
            <v>6.44</v>
          </cell>
        </row>
        <row r="4308">
          <cell r="C4308" t="str">
            <v>4504 - HAND DRIVN FASTNR (NAILS,SCRW</v>
          </cell>
          <cell r="D4308" t="str">
            <v>PTNMTD81141</v>
          </cell>
          <cell r="BA4308">
            <v>6.44</v>
          </cell>
        </row>
        <row r="4309">
          <cell r="C4309" t="str">
            <v>4504 - HAND DRIVN FASTNR (NAILS,SCRW</v>
          </cell>
          <cell r="D4309" t="str">
            <v>PTNMTD81581</v>
          </cell>
          <cell r="BA4309">
            <v>6.46</v>
          </cell>
        </row>
        <row r="4310">
          <cell r="C4310" t="str">
            <v>4504 - HAND DRIVN FASTNR (NAILS,SCRW</v>
          </cell>
          <cell r="D4310" t="str">
            <v>PTNMTD81585</v>
          </cell>
          <cell r="BA4310">
            <v>24.05</v>
          </cell>
        </row>
        <row r="4311">
          <cell r="C4311" t="str">
            <v>4504 - HAND DRIVN FASTNR (NAILS,SCRW</v>
          </cell>
          <cell r="D4311" t="str">
            <v>GRK02101</v>
          </cell>
          <cell r="BA4311">
            <v>13.23</v>
          </cell>
        </row>
        <row r="4312">
          <cell r="C4312" t="str">
            <v>4504 - HAND DRIVN FASTNR (NAILS,SCRW</v>
          </cell>
          <cell r="D4312" t="str">
            <v>GRK100073</v>
          </cell>
          <cell r="BA4312">
            <v>27.91</v>
          </cell>
        </row>
        <row r="4313">
          <cell r="C4313" t="str">
            <v>4504 - HAND DRIVN FASTNR (NAILS,SCRW</v>
          </cell>
          <cell r="D4313" t="str">
            <v>GRK120660</v>
          </cell>
          <cell r="BA4313">
            <v>17.66</v>
          </cell>
        </row>
        <row r="4314">
          <cell r="C4314" t="str">
            <v>4504 - HAND DRIVN FASTNR (NAILS,SCRW</v>
          </cell>
          <cell r="D4314" t="str">
            <v>GRK12073</v>
          </cell>
          <cell r="BA4314">
            <v>9.24</v>
          </cell>
        </row>
        <row r="4315">
          <cell r="C4315" t="str">
            <v>4504 - HAND DRIVN FASTNR (NAILS,SCRW</v>
          </cell>
          <cell r="D4315" t="str">
            <v>GRK12225</v>
          </cell>
          <cell r="BA4315">
            <v>69.36</v>
          </cell>
        </row>
        <row r="4316">
          <cell r="C4316" t="str">
            <v>4504 - HAND DRIVN FASTNR (NAILS,SCRW</v>
          </cell>
          <cell r="D4316" t="str">
            <v>GRK17732</v>
          </cell>
          <cell r="BA4316">
            <v>14.03</v>
          </cell>
        </row>
        <row r="4317">
          <cell r="C4317" t="str">
            <v>4504 - HAND DRIVN FASTNR (NAILS,SCRW</v>
          </cell>
          <cell r="D4317" t="str">
            <v>SP30568</v>
          </cell>
          <cell r="BA4317">
            <v>0.61</v>
          </cell>
        </row>
        <row r="4318">
          <cell r="C4318" t="str">
            <v>4504 - HAND DRIVN FASTNR (NAILS,SCRW</v>
          </cell>
          <cell r="D4318" t="str">
            <v>SP30580</v>
          </cell>
          <cell r="BA4318">
            <v>0.74</v>
          </cell>
        </row>
        <row r="4319">
          <cell r="C4319" t="str">
            <v>4504 - HAND DRIVN FASTNR (NAILS,SCRW</v>
          </cell>
          <cell r="D4319" t="str">
            <v>SP30592</v>
          </cell>
          <cell r="BA4319">
            <v>0.94</v>
          </cell>
        </row>
        <row r="4320">
          <cell r="C4320" t="str">
            <v>4504 - HAND DRIVN FASTNR (NAILS,SCRW</v>
          </cell>
          <cell r="D4320" t="str">
            <v>SP30610</v>
          </cell>
          <cell r="BA4320">
            <v>1.17</v>
          </cell>
        </row>
        <row r="4321">
          <cell r="C4321" t="str">
            <v>4504 - HAND DRIVN FASTNR (NAILS,SCRW</v>
          </cell>
          <cell r="D4321" t="str">
            <v>SP30622</v>
          </cell>
          <cell r="BA4321">
            <v>1.04</v>
          </cell>
        </row>
        <row r="4322">
          <cell r="C4322" t="str">
            <v>4504 - HAND DRIVN FASTNR (NAILS,SCRW</v>
          </cell>
          <cell r="D4322" t="str">
            <v>SP30628</v>
          </cell>
          <cell r="BA4322">
            <v>0.55000000000000004</v>
          </cell>
        </row>
        <row r="4323">
          <cell r="C4323" t="str">
            <v>4504 - HAND DRIVN FASTNR (NAILS,SCRW</v>
          </cell>
          <cell r="D4323" t="str">
            <v>SP30634</v>
          </cell>
          <cell r="BA4323">
            <v>0.87</v>
          </cell>
        </row>
        <row r="4324">
          <cell r="C4324" t="str">
            <v>4504 - HAND DRIVN FASTNR (NAILS,SCRW</v>
          </cell>
          <cell r="D4324" t="str">
            <v>SP30640</v>
          </cell>
          <cell r="BA4324">
            <v>1.46</v>
          </cell>
        </row>
        <row r="4325">
          <cell r="C4325" t="str">
            <v>4504 - HAND DRIVN FASTNR (NAILS,SCRW</v>
          </cell>
          <cell r="D4325" t="str">
            <v>SP30646</v>
          </cell>
          <cell r="BA4325">
            <v>1.91</v>
          </cell>
        </row>
        <row r="4326">
          <cell r="C4326" t="str">
            <v>4504 - HAND DRIVN FASTNR (NAILS,SCRW</v>
          </cell>
          <cell r="D4326" t="str">
            <v>SP30652</v>
          </cell>
          <cell r="BA4326">
            <v>1.6</v>
          </cell>
        </row>
        <row r="4327">
          <cell r="C4327" t="str">
            <v>4504 - HAND DRIVN FASTNR (NAILS,SCRW</v>
          </cell>
          <cell r="D4327" t="str">
            <v>SP30658</v>
          </cell>
          <cell r="BA4327">
            <v>37.869999999999997</v>
          </cell>
        </row>
        <row r="4328">
          <cell r="C4328" t="str">
            <v>4504 - HAND DRIVN FASTNR (NAILS,SCRW</v>
          </cell>
          <cell r="D4328" t="str">
            <v>SP30670</v>
          </cell>
          <cell r="BA4328">
            <v>40.07</v>
          </cell>
        </row>
        <row r="4329">
          <cell r="C4329" t="str">
            <v>4504 - HAND DRIVN FASTNR (NAILS,SCRW</v>
          </cell>
          <cell r="D4329" t="str">
            <v>SP30682</v>
          </cell>
          <cell r="BA4329">
            <v>2.62</v>
          </cell>
        </row>
        <row r="4330">
          <cell r="C4330" t="str">
            <v>4504 - HAND DRIVN FASTNR (NAILS,SCRW</v>
          </cell>
          <cell r="D4330" t="str">
            <v>SP30694</v>
          </cell>
          <cell r="BA4330">
            <v>4.9000000000000004</v>
          </cell>
        </row>
        <row r="4331">
          <cell r="C4331" t="str">
            <v>4504 - HAND DRIVN FASTNR (NAILS,SCRW</v>
          </cell>
          <cell r="D4331" t="str">
            <v>SP30700</v>
          </cell>
          <cell r="BA4331">
            <v>5.28</v>
          </cell>
        </row>
        <row r="4332">
          <cell r="C4332" t="str">
            <v>4504 - HAND DRIVN FASTNR (NAILS,SCRW</v>
          </cell>
          <cell r="D4332" t="str">
            <v>DCT8250W</v>
          </cell>
          <cell r="BA4332">
            <v>49.56</v>
          </cell>
        </row>
        <row r="4333">
          <cell r="C4333" t="str">
            <v>4504 - HAND DRIVN FASTNR (NAILS,SCRW</v>
          </cell>
          <cell r="D4333" t="str">
            <v>DCT8300W</v>
          </cell>
          <cell r="BA4333">
            <v>95.99</v>
          </cell>
        </row>
        <row r="4334">
          <cell r="C4334" t="str">
            <v>4504 - HAND DRIVN FASTNR (NAILS,SCRW</v>
          </cell>
          <cell r="D4334" t="str">
            <v>GRK01101</v>
          </cell>
          <cell r="BA4334">
            <v>69.790000000000006</v>
          </cell>
        </row>
        <row r="4335">
          <cell r="C4335" t="str">
            <v>4504 - HAND DRIVN FASTNR (NAILS,SCRW</v>
          </cell>
          <cell r="D4335" t="str">
            <v>GRK01105</v>
          </cell>
          <cell r="BA4335">
            <v>69.790000000000006</v>
          </cell>
        </row>
        <row r="4336">
          <cell r="C4336" t="str">
            <v>4504 - HAND DRIVN FASTNR (NAILS,SCRW</v>
          </cell>
          <cell r="D4336" t="str">
            <v>GRK02069</v>
          </cell>
          <cell r="BA4336">
            <v>7.24</v>
          </cell>
        </row>
        <row r="4337">
          <cell r="C4337" t="str">
            <v>4504 - HAND DRIVN FASTNR (NAILS,SCRW</v>
          </cell>
          <cell r="D4337" t="str">
            <v>GRK02073</v>
          </cell>
          <cell r="BA4337">
            <v>8.06</v>
          </cell>
        </row>
        <row r="4338">
          <cell r="C4338" t="str">
            <v>4504 - HAND DRIVN FASTNR (NAILS,SCRW</v>
          </cell>
          <cell r="D4338" t="str">
            <v>GRK02077</v>
          </cell>
          <cell r="BA4338">
            <v>8.4700000000000006</v>
          </cell>
        </row>
        <row r="4339">
          <cell r="C4339" t="str">
            <v>4504 - HAND DRIVN FASTNR (NAILS,SCRW</v>
          </cell>
          <cell r="D4339" t="str">
            <v>GRK103099</v>
          </cell>
          <cell r="BA4339">
            <v>12.85</v>
          </cell>
        </row>
        <row r="4340">
          <cell r="C4340" t="str">
            <v>4504 - HAND DRIVN FASTNR (NAILS,SCRW</v>
          </cell>
          <cell r="D4340" t="str">
            <v>GRK103101</v>
          </cell>
          <cell r="BA4340">
            <v>13.1</v>
          </cell>
        </row>
        <row r="4341">
          <cell r="C4341" t="str">
            <v>4504 - HAND DRIVN FASTNR (NAILS,SCRW</v>
          </cell>
          <cell r="D4341" t="str">
            <v>GRK117760</v>
          </cell>
          <cell r="BA4341">
            <v>24.44</v>
          </cell>
        </row>
        <row r="4342">
          <cell r="C4342" t="str">
            <v>4504 - HAND DRIVN FASTNR (NAILS,SCRW</v>
          </cell>
          <cell r="D4342" t="str">
            <v>GRK119724</v>
          </cell>
          <cell r="BA4342">
            <v>9.33</v>
          </cell>
        </row>
        <row r="4343">
          <cell r="C4343" t="str">
            <v>4504 - HAND DRIVN FASTNR (NAILS,SCRW</v>
          </cell>
          <cell r="D4343" t="str">
            <v>GRK119728</v>
          </cell>
          <cell r="BA4343">
            <v>11.6</v>
          </cell>
        </row>
        <row r="4344">
          <cell r="C4344" t="str">
            <v>4504 - HAND DRIVN FASTNR (NAILS,SCRW</v>
          </cell>
          <cell r="D4344" t="str">
            <v>GRK119730</v>
          </cell>
          <cell r="BA4344">
            <v>13.79</v>
          </cell>
        </row>
        <row r="4345">
          <cell r="C4345" t="str">
            <v>4504 - HAND DRIVN FASTNR (NAILS,SCRW</v>
          </cell>
          <cell r="D4345" t="str">
            <v>GRK119734</v>
          </cell>
          <cell r="BA4345">
            <v>16.28</v>
          </cell>
        </row>
        <row r="4346">
          <cell r="C4346" t="str">
            <v>4504 - HAND DRIVN FASTNR (NAILS,SCRW</v>
          </cell>
          <cell r="D4346" t="str">
            <v>GRK12235</v>
          </cell>
          <cell r="BA4346">
            <v>77.239999999999995</v>
          </cell>
        </row>
        <row r="4347">
          <cell r="C4347" t="str">
            <v>4504 - HAND DRIVN FASTNR (NAILS,SCRW</v>
          </cell>
          <cell r="D4347" t="str">
            <v>GRK12287</v>
          </cell>
          <cell r="BA4347">
            <v>160.86000000000001</v>
          </cell>
        </row>
        <row r="4348">
          <cell r="C4348" t="str">
            <v>4504 - HAND DRIVN FASTNR (NAILS,SCRW</v>
          </cell>
          <cell r="D4348" t="str">
            <v>GRK96055</v>
          </cell>
          <cell r="BA4348">
            <v>8.6</v>
          </cell>
        </row>
        <row r="4349">
          <cell r="C4349" t="str">
            <v>4504 - HAND DRIVN FASTNR (NAILS,SCRW</v>
          </cell>
          <cell r="D4349" t="str">
            <v>GRPTN114S1</v>
          </cell>
          <cell r="BA4349">
            <v>5.22</v>
          </cell>
        </row>
        <row r="4350">
          <cell r="C4350" t="str">
            <v>4504 - HAND DRIVN FASTNR (NAILS,SCRW</v>
          </cell>
          <cell r="D4350" t="str">
            <v>HGS2YAP1</v>
          </cell>
          <cell r="BA4350">
            <v>3.45</v>
          </cell>
        </row>
        <row r="4351">
          <cell r="C4351" t="str">
            <v>4504 - HAND DRIVN FASTNR (NAILS,SCRW</v>
          </cell>
          <cell r="D4351" t="str">
            <v>PM18435</v>
          </cell>
          <cell r="BA4351">
            <v>0.06</v>
          </cell>
        </row>
        <row r="4352">
          <cell r="C4352" t="str">
            <v>4504 - HAND DRIVN FASTNR (NAILS,SCRW</v>
          </cell>
          <cell r="D4352" t="str">
            <v>PM19606</v>
          </cell>
          <cell r="BA4352">
            <v>0.06</v>
          </cell>
        </row>
        <row r="4353">
          <cell r="C4353" t="str">
            <v>4504 - HAND DRIVN FASTNR (NAILS,SCRW</v>
          </cell>
          <cell r="D4353" t="str">
            <v>SDWS221000DB-R50</v>
          </cell>
          <cell r="BA4353">
            <v>76.5</v>
          </cell>
        </row>
        <row r="4354">
          <cell r="C4354" t="str">
            <v>4504 - HAND DRIVN FASTNR (NAILS,SCRW</v>
          </cell>
          <cell r="D4354" t="str">
            <v>SDWS22300DB-RP1</v>
          </cell>
          <cell r="BA4354">
            <v>1.22</v>
          </cell>
        </row>
        <row r="4355">
          <cell r="C4355" t="str">
            <v>4504 - HAND DRIVN FASTNR (NAILS,SCRW</v>
          </cell>
          <cell r="D4355" t="str">
            <v>SDWS22300DB-R50</v>
          </cell>
          <cell r="BA4355">
            <v>25.03</v>
          </cell>
        </row>
        <row r="4356">
          <cell r="C4356" t="str">
            <v>4504 - HAND DRIVN FASTNR (NAILS,SCRW</v>
          </cell>
          <cell r="D4356" t="str">
            <v>SDWS22300DB-R12</v>
          </cell>
          <cell r="BA4356">
            <v>10.27</v>
          </cell>
        </row>
        <row r="4357">
          <cell r="C4357" t="str">
            <v>4504 - HAND DRIVN FASTNR (NAILS,SCRW</v>
          </cell>
          <cell r="D4357" t="str">
            <v>SDWS22300DBB-R50</v>
          </cell>
          <cell r="BA4357">
            <v>25.03</v>
          </cell>
        </row>
        <row r="4358">
          <cell r="C4358" t="str">
            <v>4504 - HAND DRIVN FASTNR (NAILS,SCRW</v>
          </cell>
          <cell r="D4358" t="str">
            <v>SDWS22400DB-RC12</v>
          </cell>
          <cell r="BA4358">
            <v>12.22</v>
          </cell>
        </row>
        <row r="4359">
          <cell r="C4359" t="str">
            <v>4504 - HAND DRIVN FASTNR (NAILS,SCRW</v>
          </cell>
          <cell r="D4359" t="str">
            <v>SDWS22400DB-R50</v>
          </cell>
          <cell r="BA4359">
            <v>30.68</v>
          </cell>
        </row>
        <row r="4360">
          <cell r="C4360" t="str">
            <v>4504 - HAND DRIVN FASTNR (NAILS,SCRW</v>
          </cell>
          <cell r="D4360" t="str">
            <v>SDWS22400DBB-R50</v>
          </cell>
          <cell r="BA4360">
            <v>30.68</v>
          </cell>
        </row>
        <row r="4361">
          <cell r="C4361" t="str">
            <v>4504 - HAND DRIVN FASTNR (NAILS,SCRW</v>
          </cell>
          <cell r="D4361" t="str">
            <v>SDWS22400DB-R12</v>
          </cell>
          <cell r="BA4361">
            <v>12.22</v>
          </cell>
        </row>
        <row r="4362">
          <cell r="C4362" t="str">
            <v>4504 - HAND DRIVN FASTNR (NAILS,SCRW</v>
          </cell>
          <cell r="D4362" t="str">
            <v>SDWS22500DBB-R50</v>
          </cell>
          <cell r="BA4362">
            <v>37.06</v>
          </cell>
        </row>
        <row r="4363">
          <cell r="C4363" t="str">
            <v>4504 - HAND DRIVN FASTNR (NAILS,SCRW</v>
          </cell>
          <cell r="D4363" t="str">
            <v>SDWS22500DB-R50</v>
          </cell>
          <cell r="BA4363">
            <v>37.06</v>
          </cell>
        </row>
        <row r="4364">
          <cell r="C4364" t="str">
            <v>4504 - HAND DRIVN FASTNR (NAILS,SCRW</v>
          </cell>
          <cell r="D4364" t="str">
            <v>SDWS22500DB-R12</v>
          </cell>
          <cell r="BA4364">
            <v>13.97</v>
          </cell>
        </row>
        <row r="4365">
          <cell r="C4365" t="str">
            <v>4504 - HAND DRIVN FASTNR (NAILS,SCRW</v>
          </cell>
          <cell r="D4365" t="str">
            <v>SDWS22600DB-R50</v>
          </cell>
          <cell r="BA4365">
            <v>46.76</v>
          </cell>
        </row>
        <row r="4366">
          <cell r="C4366" t="str">
            <v>4504 - HAND DRIVN FASTNR (NAILS,SCRW</v>
          </cell>
          <cell r="D4366" t="str">
            <v>SDWS22600DB-R12</v>
          </cell>
          <cell r="BA4366">
            <v>16.28</v>
          </cell>
        </row>
        <row r="4367">
          <cell r="C4367" t="str">
            <v>4504 - HAND DRIVN FASTNR (NAILS,SCRW</v>
          </cell>
          <cell r="D4367" t="str">
            <v>SDWS22600DBB-R50</v>
          </cell>
          <cell r="BA4367">
            <v>46.76</v>
          </cell>
        </row>
        <row r="4368">
          <cell r="C4368" t="str">
            <v>4504 - HAND DRIVN FASTNR (NAILS,SCRW</v>
          </cell>
          <cell r="D4368" t="str">
            <v>SDWS22800DB-R50</v>
          </cell>
          <cell r="BA4368">
            <v>62.45</v>
          </cell>
        </row>
        <row r="4369">
          <cell r="C4369" t="str">
            <v>4504 - HAND DRIVN FASTNR (NAILS,SCRW</v>
          </cell>
          <cell r="D4369" t="str">
            <v>SDWS22800DB-R12</v>
          </cell>
          <cell r="BA4369">
            <v>20.81</v>
          </cell>
        </row>
        <row r="4370">
          <cell r="C4370" t="str">
            <v>4504 - HAND DRIVN FASTNR (NAILS,SCRW</v>
          </cell>
          <cell r="D4370" t="str">
            <v>SP30103</v>
          </cell>
          <cell r="BA4370">
            <v>13.1</v>
          </cell>
        </row>
        <row r="4371">
          <cell r="C4371" t="str">
            <v>4504 - HAND DRIVN FASTNR (NAILS,SCRW</v>
          </cell>
          <cell r="D4371" t="str">
            <v>SP30108-29</v>
          </cell>
          <cell r="BA4371">
            <v>52.18</v>
          </cell>
        </row>
        <row r="4372">
          <cell r="C4372" t="str">
            <v>4504 - HAND DRIVN FASTNR (NAILS,SCRW</v>
          </cell>
          <cell r="D4372" t="str">
            <v>SP30109-03</v>
          </cell>
          <cell r="BA4372">
            <v>7.62</v>
          </cell>
        </row>
        <row r="4373">
          <cell r="C4373" t="str">
            <v>4504 - HAND DRIVN FASTNR (NAILS,SCRW</v>
          </cell>
          <cell r="D4373" t="str">
            <v>SP30109-29</v>
          </cell>
          <cell r="BA4373">
            <v>12.56</v>
          </cell>
        </row>
        <row r="4374">
          <cell r="C4374" t="str">
            <v>4504 - HAND DRIVN FASTNR (NAILS,SCRW</v>
          </cell>
          <cell r="D4374" t="str">
            <v>SP30110-03</v>
          </cell>
          <cell r="BA4374">
            <v>32.36</v>
          </cell>
        </row>
        <row r="4375">
          <cell r="C4375" t="str">
            <v>4504 - HAND DRIVN FASTNR (NAILS,SCRW</v>
          </cell>
          <cell r="D4375" t="str">
            <v>SP30110-29</v>
          </cell>
          <cell r="BA4375">
            <v>55.44</v>
          </cell>
        </row>
        <row r="4376">
          <cell r="C4376" t="str">
            <v>4504 - HAND DRIVN FASTNR (NAILS,SCRW</v>
          </cell>
          <cell r="D4376" t="str">
            <v>SP30111-29</v>
          </cell>
          <cell r="BA4376">
            <v>54.15</v>
          </cell>
        </row>
        <row r="4377">
          <cell r="C4377" t="str">
            <v>4504 - HAND DRIVN FASTNR (NAILS,SCRW</v>
          </cell>
          <cell r="D4377" t="str">
            <v>SP30112-03</v>
          </cell>
          <cell r="BA4377">
            <v>6.37</v>
          </cell>
        </row>
        <row r="4378">
          <cell r="C4378" t="str">
            <v>4504 - HAND DRIVN FASTNR (NAILS,SCRW</v>
          </cell>
          <cell r="D4378" t="str">
            <v>SP30112-29</v>
          </cell>
          <cell r="BA4378">
            <v>12.13</v>
          </cell>
        </row>
        <row r="4379">
          <cell r="C4379" t="str">
            <v>4504 - HAND DRIVN FASTNR (NAILS,SCRW</v>
          </cell>
          <cell r="D4379" t="str">
            <v>SP30113-03</v>
          </cell>
          <cell r="BA4379">
            <v>31.73</v>
          </cell>
        </row>
        <row r="4380">
          <cell r="C4380" t="str">
            <v>4504 - HAND DRIVN FASTNR (NAILS,SCRW</v>
          </cell>
          <cell r="D4380" t="str">
            <v>SP30113-29</v>
          </cell>
          <cell r="BA4380">
            <v>53.09</v>
          </cell>
        </row>
        <row r="4381">
          <cell r="C4381" t="str">
            <v>4504 - HAND DRIVN FASTNR (NAILS,SCRW</v>
          </cell>
          <cell r="D4381" t="str">
            <v>SP30114-03</v>
          </cell>
          <cell r="BA4381">
            <v>7.28</v>
          </cell>
        </row>
        <row r="4382">
          <cell r="C4382" t="str">
            <v>4504 - HAND DRIVN FASTNR (NAILS,SCRW</v>
          </cell>
          <cell r="D4382" t="str">
            <v>SP30114-29</v>
          </cell>
          <cell r="BA4382">
            <v>11.77</v>
          </cell>
        </row>
        <row r="4383">
          <cell r="C4383" t="str">
            <v>4504 - HAND DRIVN FASTNR (NAILS,SCRW</v>
          </cell>
          <cell r="D4383" t="str">
            <v>SP30115-03</v>
          </cell>
          <cell r="BA4383">
            <v>30.73</v>
          </cell>
        </row>
        <row r="4384">
          <cell r="C4384" t="str">
            <v>4504 - HAND DRIVN FASTNR (NAILS,SCRW</v>
          </cell>
          <cell r="D4384" t="str">
            <v>SP30115-29</v>
          </cell>
          <cell r="BA4384">
            <v>51.38</v>
          </cell>
        </row>
        <row r="4385">
          <cell r="C4385" t="str">
            <v>4504 - HAND DRIVN FASTNR (NAILS,SCRW</v>
          </cell>
          <cell r="D4385" t="str">
            <v>SP30116-03</v>
          </cell>
          <cell r="BA4385">
            <v>7.41</v>
          </cell>
        </row>
        <row r="4386">
          <cell r="C4386" t="str">
            <v>4504 - HAND DRIVN FASTNR (NAILS,SCRW</v>
          </cell>
          <cell r="D4386" t="str">
            <v>SP30116-29</v>
          </cell>
          <cell r="BA4386">
            <v>12.06</v>
          </cell>
        </row>
        <row r="4387">
          <cell r="C4387" t="str">
            <v>4504 - HAND DRIVN FASTNR (NAILS,SCRW</v>
          </cell>
          <cell r="D4387" t="str">
            <v>SP30117-03</v>
          </cell>
          <cell r="BA4387">
            <v>38.96</v>
          </cell>
        </row>
        <row r="4388">
          <cell r="C4388" t="str">
            <v>4504 - HAND DRIVN FASTNR (NAILS,SCRW</v>
          </cell>
          <cell r="D4388" t="str">
            <v>SP30117-29</v>
          </cell>
          <cell r="BA4388">
            <v>52.82</v>
          </cell>
        </row>
        <row r="4389">
          <cell r="C4389" t="str">
            <v>4504 - HAND DRIVN FASTNR (NAILS,SCRW</v>
          </cell>
          <cell r="D4389" t="str">
            <v>SP30118-29</v>
          </cell>
          <cell r="BA4389">
            <v>13.32</v>
          </cell>
        </row>
        <row r="4390">
          <cell r="C4390" t="str">
            <v>4504 - HAND DRIVN FASTNR (NAILS,SCRW</v>
          </cell>
          <cell r="D4390" t="str">
            <v>SP30119-29</v>
          </cell>
          <cell r="BA4390">
            <v>59.21</v>
          </cell>
        </row>
        <row r="4391">
          <cell r="C4391" t="str">
            <v>4504 - HAND DRIVN FASTNR (NAILS,SCRW</v>
          </cell>
          <cell r="D4391" t="str">
            <v>SP30120-03</v>
          </cell>
          <cell r="BA4391">
            <v>8.77</v>
          </cell>
        </row>
        <row r="4392">
          <cell r="C4392" t="str">
            <v>4504 - HAND DRIVN FASTNR (NAILS,SCRW</v>
          </cell>
          <cell r="D4392" t="str">
            <v>SP30120-29</v>
          </cell>
          <cell r="BA4392">
            <v>14.6</v>
          </cell>
        </row>
        <row r="4393">
          <cell r="C4393" t="str">
            <v>4504 - HAND DRIVN FASTNR (NAILS,SCRW</v>
          </cell>
          <cell r="D4393" t="str">
            <v>SP30121-29</v>
          </cell>
          <cell r="BA4393">
            <v>65.64</v>
          </cell>
        </row>
        <row r="4394">
          <cell r="C4394" t="str">
            <v>4504 - HAND DRIVN FASTNR (NAILS,SCRW</v>
          </cell>
          <cell r="D4394" t="str">
            <v>SP30122-29</v>
          </cell>
          <cell r="BA4394">
            <v>12.13</v>
          </cell>
        </row>
        <row r="4395">
          <cell r="C4395" t="str">
            <v>4504 - HAND DRIVN FASTNR (NAILS,SCRW</v>
          </cell>
          <cell r="D4395" t="str">
            <v>SP30124-29</v>
          </cell>
          <cell r="BA4395">
            <v>11.88</v>
          </cell>
        </row>
        <row r="4396">
          <cell r="C4396" t="str">
            <v>4504 - HAND DRIVN FASTNR (NAILS,SCRW</v>
          </cell>
          <cell r="D4396" t="str">
            <v>SP30125-29</v>
          </cell>
          <cell r="BA4396">
            <v>12.29</v>
          </cell>
        </row>
        <row r="4397">
          <cell r="C4397" t="str">
            <v>4504 - HAND DRIVN FASTNR (NAILS,SCRW</v>
          </cell>
          <cell r="D4397" t="str">
            <v>SP30127-03</v>
          </cell>
          <cell r="BA4397">
            <v>7.22</v>
          </cell>
        </row>
        <row r="4398">
          <cell r="C4398" t="str">
            <v>4504 - HAND DRIVN FASTNR (NAILS,SCRW</v>
          </cell>
          <cell r="D4398" t="str">
            <v>SP30127-29</v>
          </cell>
          <cell r="BA4398">
            <v>13.17</v>
          </cell>
        </row>
        <row r="4399">
          <cell r="C4399" t="str">
            <v>4504 - HAND DRIVN FASTNR (NAILS,SCRW</v>
          </cell>
          <cell r="D4399" t="str">
            <v>SP30128-29</v>
          </cell>
          <cell r="BA4399">
            <v>58.4</v>
          </cell>
        </row>
        <row r="4400">
          <cell r="C4400" t="str">
            <v>4504 - HAND DRIVN FASTNR (NAILS,SCRW</v>
          </cell>
          <cell r="D4400" t="str">
            <v>SP30129-03</v>
          </cell>
          <cell r="BA4400">
            <v>6.83</v>
          </cell>
        </row>
        <row r="4401">
          <cell r="C4401" t="str">
            <v>4504 - HAND DRIVN FASTNR (NAILS,SCRW</v>
          </cell>
          <cell r="D4401" t="str">
            <v>SP30129-29</v>
          </cell>
          <cell r="BA4401">
            <v>12.73</v>
          </cell>
        </row>
        <row r="4402">
          <cell r="C4402" t="str">
            <v>4504 - HAND DRIVN FASTNR (NAILS,SCRW</v>
          </cell>
          <cell r="D4402" t="str">
            <v>SP30186-03</v>
          </cell>
          <cell r="BA4402">
            <v>8.9700000000000006</v>
          </cell>
        </row>
        <row r="4403">
          <cell r="C4403" t="str">
            <v>4504 - HAND DRIVN FASTNR (NAILS,SCRW</v>
          </cell>
          <cell r="D4403" t="str">
            <v>SP30186-29</v>
          </cell>
          <cell r="BA4403">
            <v>14.81</v>
          </cell>
        </row>
        <row r="4404">
          <cell r="C4404" t="str">
            <v>4504 - HAND DRIVN FASTNR (NAILS,SCRW</v>
          </cell>
          <cell r="D4404" t="str">
            <v>SP30302-29</v>
          </cell>
          <cell r="BA4404">
            <v>184.62</v>
          </cell>
        </row>
        <row r="4405">
          <cell r="C4405" t="str">
            <v>4504 - HAND DRIVN FASTNR (NAILS,SCRW</v>
          </cell>
          <cell r="D4405" t="str">
            <v>SP30308-29</v>
          </cell>
          <cell r="BA4405">
            <v>234.97</v>
          </cell>
        </row>
        <row r="4406">
          <cell r="C4406" t="str">
            <v>4504 - HAND DRIVN FASTNR (NAILS,SCRW</v>
          </cell>
          <cell r="D4406" t="str">
            <v>SP30315-29</v>
          </cell>
          <cell r="BA4406">
            <v>9.3699999999999992</v>
          </cell>
        </row>
        <row r="4407">
          <cell r="C4407" t="str">
            <v>4504 - HAND DRIVN FASTNR (NAILS,SCRW</v>
          </cell>
          <cell r="D4407" t="str">
            <v>SP30316-29</v>
          </cell>
          <cell r="BA4407">
            <v>41.06</v>
          </cell>
        </row>
        <row r="4408">
          <cell r="C4408" t="str">
            <v>4504 - HAND DRIVN FASTNR (NAILS,SCRW</v>
          </cell>
          <cell r="D4408" t="str">
            <v>SP30327-29</v>
          </cell>
          <cell r="BA4408">
            <v>12.92</v>
          </cell>
        </row>
        <row r="4409">
          <cell r="C4409" t="str">
            <v>4504 - HAND DRIVN FASTNR (NAILS,SCRW</v>
          </cell>
          <cell r="D4409" t="str">
            <v>SP30328-29</v>
          </cell>
          <cell r="BA4409">
            <v>57.17</v>
          </cell>
        </row>
        <row r="4410">
          <cell r="C4410" t="str">
            <v>4504 - HAND DRIVN FASTNR (NAILS,SCRW</v>
          </cell>
          <cell r="D4410" t="str">
            <v>SP30348-29</v>
          </cell>
          <cell r="BA4410">
            <v>66.72</v>
          </cell>
        </row>
        <row r="4411">
          <cell r="C4411" t="str">
            <v>4504 - HAND DRIVN FASTNR (NAILS,SCRW</v>
          </cell>
          <cell r="D4411" t="str">
            <v>SP30354-29</v>
          </cell>
          <cell r="BA4411">
            <v>242.79</v>
          </cell>
        </row>
        <row r="4412">
          <cell r="C4412" t="str">
            <v>4504 - HAND DRIVN FASTNR (NAILS,SCRW</v>
          </cell>
          <cell r="D4412" t="str">
            <v>SP30357-03</v>
          </cell>
          <cell r="BA4412">
            <v>10.41</v>
          </cell>
        </row>
        <row r="4413">
          <cell r="C4413" t="str">
            <v>4504 - HAND DRIVN FASTNR (NAILS,SCRW</v>
          </cell>
          <cell r="D4413" t="str">
            <v>SP30357-29</v>
          </cell>
          <cell r="BA4413">
            <v>15.83</v>
          </cell>
        </row>
        <row r="4414">
          <cell r="C4414" t="str">
            <v>4504 - HAND DRIVN FASTNR (NAILS,SCRW</v>
          </cell>
          <cell r="D4414" t="str">
            <v>SP30361-29</v>
          </cell>
          <cell r="BA4414">
            <v>17.12</v>
          </cell>
        </row>
        <row r="4415">
          <cell r="C4415" t="str">
            <v>4504 - HAND DRIVN FASTNR (NAILS,SCRW</v>
          </cell>
          <cell r="D4415" t="str">
            <v>SP30952-18</v>
          </cell>
          <cell r="BA4415">
            <v>17.84</v>
          </cell>
        </row>
        <row r="4416">
          <cell r="C4416" t="str">
            <v>4504 - HAND DRIVN FASTNR (NAILS,SCRW</v>
          </cell>
          <cell r="D4416" t="str">
            <v>WDCH8212</v>
          </cell>
          <cell r="BA4416">
            <v>80.709999999999994</v>
          </cell>
        </row>
        <row r="4417">
          <cell r="C4417" t="str">
            <v>4504 - HAND DRIVN FASTNR (NAILS,SCRW</v>
          </cell>
          <cell r="D4417" t="str">
            <v>WSHL134S7</v>
          </cell>
          <cell r="BA4417">
            <v>75.06</v>
          </cell>
        </row>
        <row r="4418">
          <cell r="C4418" t="str">
            <v>4504 - HAND DRIVN FASTNR (NAILS,SCRW</v>
          </cell>
          <cell r="D4418" t="str">
            <v>WSNTLG3S</v>
          </cell>
          <cell r="BA4418">
            <v>112.49</v>
          </cell>
        </row>
        <row r="4419">
          <cell r="C4419" t="str">
            <v>4504 - HAND DRIVN FASTNR (NAILS,SCRW</v>
          </cell>
          <cell r="D4419" t="str">
            <v>WSV134S</v>
          </cell>
          <cell r="BA4419">
            <v>110.97</v>
          </cell>
        </row>
        <row r="4420">
          <cell r="C4420" t="str">
            <v>4504 - HAND DRIVN FASTNR (NAILS,SCRW</v>
          </cell>
          <cell r="D4420" t="str">
            <v>WSV2S</v>
          </cell>
          <cell r="BA4420">
            <v>113.45</v>
          </cell>
        </row>
        <row r="4421">
          <cell r="C4421" t="str">
            <v>4504 - HAND DRIVN FASTNR (NAILS,SCRW</v>
          </cell>
          <cell r="D4421" t="str">
            <v>WFR112CLB</v>
          </cell>
          <cell r="BA4421">
            <v>8.32</v>
          </cell>
        </row>
        <row r="4422">
          <cell r="C4422" t="str">
            <v>4504 - HAND DRIVN FASTNR (NAILS,SCRW</v>
          </cell>
          <cell r="D4422" t="str">
            <v>WFR112GLB</v>
          </cell>
          <cell r="BA4422">
            <v>6.85</v>
          </cell>
        </row>
        <row r="4423">
          <cell r="C4423" t="str">
            <v>4504 - HAND DRIVN FASTNR (NAILS,SCRW</v>
          </cell>
          <cell r="D4423" t="str">
            <v>WFR1CLB</v>
          </cell>
          <cell r="BA4423">
            <v>8.1199999999999992</v>
          </cell>
        </row>
        <row r="4424">
          <cell r="C4424" t="str">
            <v>4504 - HAND DRIVN FASTNR (NAILS,SCRW</v>
          </cell>
          <cell r="D4424" t="str">
            <v>WT1GLV250</v>
          </cell>
          <cell r="BA4424">
            <v>5.21</v>
          </cell>
        </row>
        <row r="4425">
          <cell r="C4425" t="str">
            <v>4504 - HAND DRIVN FASTNR (NAILS,SCRW</v>
          </cell>
          <cell r="D4425" t="str">
            <v>WT1GLV50</v>
          </cell>
          <cell r="BA4425">
            <v>5.26</v>
          </cell>
        </row>
        <row r="4426">
          <cell r="C4426" t="str">
            <v>4504 - HAND DRIVN FASTNR (NAILS,SCRW</v>
          </cell>
          <cell r="D4426" t="str">
            <v>6TS50</v>
          </cell>
          <cell r="BA4426">
            <v>42.17</v>
          </cell>
        </row>
        <row r="4427">
          <cell r="C4427" t="str">
            <v>4504 - HAND DRIVN FASTNR (NAILS,SCRW</v>
          </cell>
          <cell r="D4427" t="str">
            <v>CBT08112R100</v>
          </cell>
          <cell r="BA4427">
            <v>7.55</v>
          </cell>
        </row>
        <row r="4428">
          <cell r="C4428" t="str">
            <v>4504 - HAND DRIVN FASTNR (NAILS,SCRW</v>
          </cell>
          <cell r="D4428" t="str">
            <v>CBT08112R300</v>
          </cell>
          <cell r="BA4428">
            <v>19.62</v>
          </cell>
        </row>
        <row r="4429">
          <cell r="C4429" t="str">
            <v>4504 - HAND DRIVN FASTNR (NAILS,SCRW</v>
          </cell>
          <cell r="D4429" t="str">
            <v>CBT08200R100</v>
          </cell>
          <cell r="BA4429">
            <v>10.56</v>
          </cell>
        </row>
        <row r="4430">
          <cell r="C4430" t="str">
            <v>4504 - HAND DRIVN FASTNR (NAILS,SCRW</v>
          </cell>
          <cell r="D4430" t="str">
            <v>FIFCAFFDBS100</v>
          </cell>
          <cell r="BA4430">
            <v>61.62</v>
          </cell>
        </row>
        <row r="4431">
          <cell r="C4431" t="str">
            <v>4504 - HAND DRIVN FASTNR (NAILS,SCRW</v>
          </cell>
          <cell r="D4431" t="str">
            <v>FIFCAFFDWGR100</v>
          </cell>
          <cell r="BA4431">
            <v>60.26</v>
          </cell>
        </row>
        <row r="4432">
          <cell r="C4432" t="str">
            <v>4504 - HAND DRIVN FASTNR (NAILS,SCRW</v>
          </cell>
          <cell r="D4432" t="str">
            <v>FIFCAFFFBS100</v>
          </cell>
          <cell r="BA4432">
            <v>19.95</v>
          </cell>
        </row>
        <row r="4433">
          <cell r="C4433" t="str">
            <v>4504 - HAND DRIVN FASTNR (NAILS,SCRW</v>
          </cell>
          <cell r="D4433" t="str">
            <v>FIFCAFFFWGR100</v>
          </cell>
          <cell r="BA4433">
            <v>19.95</v>
          </cell>
        </row>
        <row r="4434">
          <cell r="C4434" t="str">
            <v>4504 - HAND DRIVN FASTNR (NAILS,SCRW</v>
          </cell>
          <cell r="D4434" t="str">
            <v>FIPPFSBIT</v>
          </cell>
          <cell r="BA4434">
            <v>42.95</v>
          </cell>
        </row>
        <row r="4435">
          <cell r="C4435" t="str">
            <v>4504 - HAND DRIVN FASTNR (NAILS,SCRW</v>
          </cell>
          <cell r="D4435" t="str">
            <v>DAC200B</v>
          </cell>
          <cell r="BA4435">
            <v>215.38</v>
          </cell>
        </row>
        <row r="4436">
          <cell r="C4436" t="str">
            <v>4504 - HAND DRIVN FASTNR (NAILS,SCRW</v>
          </cell>
          <cell r="D4436" t="str">
            <v>DAC250B</v>
          </cell>
          <cell r="BA4436">
            <v>220.51</v>
          </cell>
        </row>
        <row r="4437">
          <cell r="C4437" t="str">
            <v>4504 - HAND DRIVN FASTNR (NAILS,SCRW</v>
          </cell>
          <cell r="D4437" t="str">
            <v>DSVT114R1LB</v>
          </cell>
          <cell r="BA4437">
            <v>9.8800000000000008</v>
          </cell>
        </row>
        <row r="4438">
          <cell r="C4438" t="str">
            <v>4504 - HAND DRIVN FASTNR (NAILS,SCRW</v>
          </cell>
          <cell r="D4438" t="str">
            <v>DSVT114R5LB</v>
          </cell>
          <cell r="BA4438">
            <v>39.04</v>
          </cell>
        </row>
        <row r="4439">
          <cell r="C4439" t="str">
            <v>4504 - HAND DRIVN FASTNR (NAILS,SCRW</v>
          </cell>
          <cell r="D4439" t="str">
            <v>DSVT114R350</v>
          </cell>
          <cell r="BA4439">
            <v>23.18</v>
          </cell>
        </row>
        <row r="4440">
          <cell r="C4440" t="str">
            <v>4504 - HAND DRIVN FASTNR (NAILS,SCRW</v>
          </cell>
          <cell r="D4440" t="str">
            <v>DSVT158S</v>
          </cell>
          <cell r="BA4440">
            <v>127.65</v>
          </cell>
        </row>
        <row r="4441">
          <cell r="C4441" t="str">
            <v>4504 - HAND DRIVN FASTNR (NAILS,SCRW</v>
          </cell>
          <cell r="D4441" t="str">
            <v>DSVT158R1LB</v>
          </cell>
          <cell r="BA4441">
            <v>9.8800000000000008</v>
          </cell>
        </row>
        <row r="4442">
          <cell r="C4442" t="str">
            <v>4504 - HAND DRIVN FASTNR (NAILS,SCRW</v>
          </cell>
          <cell r="D4442" t="str">
            <v>DSVT158R350</v>
          </cell>
          <cell r="BA4442">
            <v>25.79</v>
          </cell>
        </row>
        <row r="4443">
          <cell r="C4443" t="str">
            <v>4504 - HAND DRIVN FASTNR (NAILS,SCRW</v>
          </cell>
          <cell r="D4443" t="str">
            <v>DSVT158R5LB</v>
          </cell>
          <cell r="BA4443">
            <v>39.04</v>
          </cell>
        </row>
        <row r="4444">
          <cell r="C4444" t="str">
            <v>4504 - HAND DRIVN FASTNR (NAILS,SCRW</v>
          </cell>
          <cell r="D4444" t="str">
            <v>DSVT212R1LB</v>
          </cell>
          <cell r="BA4444">
            <v>9.8800000000000008</v>
          </cell>
        </row>
        <row r="4445">
          <cell r="C4445" t="str">
            <v>4504 - HAND DRIVN FASTNR (NAILS,SCRW</v>
          </cell>
          <cell r="D4445" t="str">
            <v>DSVT212R5LB</v>
          </cell>
          <cell r="BA4445">
            <v>39.04</v>
          </cell>
        </row>
        <row r="4446">
          <cell r="C4446" t="str">
            <v>4504 - HAND DRIVN FASTNR (NAILS,SCRW</v>
          </cell>
          <cell r="D4446" t="str">
            <v>DSVT212S</v>
          </cell>
          <cell r="BA4446">
            <v>99.15</v>
          </cell>
        </row>
        <row r="4447">
          <cell r="C4447" t="str">
            <v>4504 - HAND DRIVN FASTNR (NAILS,SCRW</v>
          </cell>
          <cell r="D4447" t="str">
            <v>DSVT2R1LB</v>
          </cell>
          <cell r="BA4447">
            <v>9.8800000000000008</v>
          </cell>
        </row>
        <row r="4448">
          <cell r="C4448" t="str">
            <v>4504 - HAND DRIVN FASTNR (NAILS,SCRW</v>
          </cell>
          <cell r="D4448" t="str">
            <v>DSVT2R350</v>
          </cell>
          <cell r="BA4448">
            <v>28.77</v>
          </cell>
        </row>
        <row r="4449">
          <cell r="C4449" t="str">
            <v>4504 - HAND DRIVN FASTNR (NAILS,SCRW</v>
          </cell>
          <cell r="D4449" t="str">
            <v>DSVT2R5LB</v>
          </cell>
          <cell r="BA4449">
            <v>39.04</v>
          </cell>
        </row>
        <row r="4450">
          <cell r="C4450" t="str">
            <v>4504 - HAND DRIVN FASTNR (NAILS,SCRW</v>
          </cell>
          <cell r="D4450" t="str">
            <v>DSVT2S</v>
          </cell>
          <cell r="BA4450">
            <v>114.46</v>
          </cell>
        </row>
        <row r="4451">
          <cell r="C4451" t="str">
            <v>4504 - HAND DRIVN FASTNR (NAILS,SCRW</v>
          </cell>
          <cell r="D4451" t="str">
            <v>DSVT312R1LB</v>
          </cell>
          <cell r="BA4451">
            <v>9.8800000000000008</v>
          </cell>
        </row>
        <row r="4452">
          <cell r="C4452" t="str">
            <v>4504 - HAND DRIVN FASTNR (NAILS,SCRW</v>
          </cell>
          <cell r="D4452" t="str">
            <v>DSVT312R5LB</v>
          </cell>
          <cell r="BA4452">
            <v>39.04</v>
          </cell>
        </row>
        <row r="4453">
          <cell r="C4453" t="str">
            <v>4504 - HAND DRIVN FASTNR (NAILS,SCRW</v>
          </cell>
          <cell r="D4453" t="str">
            <v>DSVT3R1LB</v>
          </cell>
          <cell r="BA4453">
            <v>9.8800000000000008</v>
          </cell>
        </row>
        <row r="4454">
          <cell r="C4454" t="str">
            <v>4504 - HAND DRIVN FASTNR (NAILS,SCRW</v>
          </cell>
          <cell r="D4454" t="str">
            <v>DSVT3R5LB</v>
          </cell>
          <cell r="BA4454">
            <v>39.04</v>
          </cell>
        </row>
        <row r="4455">
          <cell r="C4455" t="str">
            <v>4504 - HAND DRIVN FASTNR (NAILS,SCRW</v>
          </cell>
          <cell r="D4455" t="str">
            <v>DSVT3S</v>
          </cell>
          <cell r="BA4455">
            <v>114.97</v>
          </cell>
        </row>
        <row r="4456">
          <cell r="C4456" t="str">
            <v>4504 - HAND DRIVN FASTNR (NAILS,SCRW</v>
          </cell>
          <cell r="D4456" t="str">
            <v>DSVT4R1LB</v>
          </cell>
          <cell r="BA4456">
            <v>9.8800000000000008</v>
          </cell>
        </row>
        <row r="4457">
          <cell r="C4457" t="str">
            <v>4504 - HAND DRIVN FASTNR (NAILS,SCRW</v>
          </cell>
          <cell r="D4457" t="str">
            <v>DSVT4R5LB</v>
          </cell>
          <cell r="BA4457">
            <v>39.04</v>
          </cell>
        </row>
        <row r="4458">
          <cell r="C4458" t="str">
            <v>4504 - HAND DRIVN FASTNR (NAILS,SCRW</v>
          </cell>
          <cell r="D4458" t="str">
            <v>FMGD002-75</v>
          </cell>
          <cell r="BA4458">
            <v>7.28</v>
          </cell>
        </row>
        <row r="4459">
          <cell r="C4459" t="str">
            <v>4504 - HAND DRIVN FASTNR (NAILS,SCRW</v>
          </cell>
          <cell r="D4459" t="str">
            <v>FMGD158-1750</v>
          </cell>
          <cell r="BA4459">
            <v>100.72</v>
          </cell>
        </row>
        <row r="4460">
          <cell r="C4460" t="str">
            <v>4504 - HAND DRIVN FASTNR (NAILS,SCRW</v>
          </cell>
          <cell r="D4460" t="str">
            <v>FMGD158-75</v>
          </cell>
          <cell r="BA4460">
            <v>6.99</v>
          </cell>
        </row>
        <row r="4461">
          <cell r="C4461" t="str">
            <v>4504 - HAND DRIVN FASTNR (NAILS,SCRW</v>
          </cell>
          <cell r="D4461" t="str">
            <v>FMGD312-75</v>
          </cell>
          <cell r="BA4461">
            <v>8.86</v>
          </cell>
        </row>
        <row r="4462">
          <cell r="C4462" t="str">
            <v>4504 - HAND DRIVN FASTNR (NAILS,SCRW</v>
          </cell>
          <cell r="D4462" t="str">
            <v>FMHLGM278-50</v>
          </cell>
          <cell r="BA4462">
            <v>23.25</v>
          </cell>
        </row>
        <row r="4463">
          <cell r="C4463" t="str">
            <v>4504 - HAND DRIVN FASTNR (NAILS,SCRW</v>
          </cell>
          <cell r="D4463" t="str">
            <v>FMHLGM412-12</v>
          </cell>
          <cell r="BA4463">
            <v>17.079999999999998</v>
          </cell>
        </row>
        <row r="4464">
          <cell r="C4464" t="str">
            <v>4504 - HAND DRIVN FASTNR (NAILS,SCRW</v>
          </cell>
          <cell r="D4464" t="str">
            <v>FMHLGM412-50</v>
          </cell>
          <cell r="BA4464">
            <v>41.66</v>
          </cell>
        </row>
        <row r="4465">
          <cell r="C4465" t="str">
            <v>4504 - HAND DRIVN FASTNR (NAILS,SCRW</v>
          </cell>
          <cell r="D4465" t="str">
            <v>FMHLGM006-12</v>
          </cell>
          <cell r="BA4465">
            <v>20.65</v>
          </cell>
        </row>
        <row r="4466">
          <cell r="C4466" t="str">
            <v>4504 - HAND DRIVN FASTNR (NAILS,SCRW</v>
          </cell>
          <cell r="D4466" t="str">
            <v>FMHLGM006-50</v>
          </cell>
          <cell r="BA4466">
            <v>52.03</v>
          </cell>
        </row>
        <row r="4467">
          <cell r="C4467" t="str">
            <v>4504 - HAND DRIVN FASTNR (NAILS,SCRW</v>
          </cell>
          <cell r="D4467" t="str">
            <v>FMLL358-12</v>
          </cell>
          <cell r="BA4467">
            <v>17.96</v>
          </cell>
        </row>
        <row r="4468">
          <cell r="C4468" t="str">
            <v>4504 - HAND DRIVN FASTNR (NAILS,SCRW</v>
          </cell>
          <cell r="D4468" t="str">
            <v>FMLL358-50</v>
          </cell>
          <cell r="BA4468">
            <v>43.95</v>
          </cell>
        </row>
        <row r="4469">
          <cell r="C4469" t="str">
            <v>4504 - HAND DRIVN FASTNR (NAILS,SCRW</v>
          </cell>
          <cell r="D4469" t="str">
            <v>FMLL005-12</v>
          </cell>
          <cell r="BA4469">
            <v>19.260000000000002</v>
          </cell>
        </row>
        <row r="4470">
          <cell r="C4470" t="str">
            <v>4504 - HAND DRIVN FASTNR (NAILS,SCRW</v>
          </cell>
          <cell r="D4470" t="str">
            <v>FMLL005-50</v>
          </cell>
          <cell r="BA4470">
            <v>51.68</v>
          </cell>
        </row>
        <row r="4471">
          <cell r="C4471" t="str">
            <v>4504 - HAND DRIVN FASTNR (NAILS,SCRW</v>
          </cell>
          <cell r="D4471" t="str">
            <v>FMLLF358-12</v>
          </cell>
          <cell r="BA4471">
            <v>19.82</v>
          </cell>
        </row>
        <row r="4472">
          <cell r="C4472" t="str">
            <v>4504 - HAND DRIVN FASTNR (NAILS,SCRW</v>
          </cell>
          <cell r="D4472" t="str">
            <v>FMLLF358-50</v>
          </cell>
          <cell r="BA4472">
            <v>47.15</v>
          </cell>
        </row>
        <row r="4473">
          <cell r="C4473" t="str">
            <v>4504 - HAND DRIVN FASTNR (NAILS,SCRW</v>
          </cell>
          <cell r="D4473" t="str">
            <v>FMLLF005-12</v>
          </cell>
          <cell r="BA4473">
            <v>21.38</v>
          </cell>
        </row>
        <row r="4474">
          <cell r="C4474" t="str">
            <v>4504 - HAND DRIVN FASTNR (NAILS,SCRW</v>
          </cell>
          <cell r="D4474" t="str">
            <v>FMLLF005-50</v>
          </cell>
          <cell r="BA4474">
            <v>52.72</v>
          </cell>
        </row>
        <row r="4475">
          <cell r="C4475" t="str">
            <v>4504 - HAND DRIVN FASTNR (NAILS,SCRW</v>
          </cell>
          <cell r="D4475" t="str">
            <v>FMMVP212-100</v>
          </cell>
          <cell r="BA4475">
            <v>19.87</v>
          </cell>
        </row>
        <row r="4476">
          <cell r="C4476" t="str">
            <v>4504 - HAND DRIVN FASTNR (NAILS,SCRW</v>
          </cell>
          <cell r="D4476" t="str">
            <v>FMMVP212-450</v>
          </cell>
          <cell r="BA4476">
            <v>66.67</v>
          </cell>
        </row>
        <row r="4477">
          <cell r="C4477" t="str">
            <v>4504 - HAND DRIVN FASTNR (NAILS,SCRW</v>
          </cell>
          <cell r="D4477" t="str">
            <v>FMMVP003-100</v>
          </cell>
          <cell r="BA4477">
            <v>22.44</v>
          </cell>
        </row>
        <row r="4478">
          <cell r="C4478" t="str">
            <v>4504 - HAND DRIVN FASTNR (NAILS,SCRW</v>
          </cell>
          <cell r="D4478" t="str">
            <v>FMMVP003-350</v>
          </cell>
          <cell r="BA4478">
            <v>65.38</v>
          </cell>
        </row>
        <row r="4479">
          <cell r="C4479" t="str">
            <v>4504 - HAND DRIVN FASTNR (NAILS,SCRW</v>
          </cell>
          <cell r="D4479" t="str">
            <v>FMMVP312-100</v>
          </cell>
          <cell r="BA4479">
            <v>26.92</v>
          </cell>
        </row>
        <row r="4480">
          <cell r="C4480" t="str">
            <v>4504 - HAND DRIVN FASTNR (NAILS,SCRW</v>
          </cell>
          <cell r="D4480" t="str">
            <v>FMMVP312-250</v>
          </cell>
          <cell r="BA4480">
            <v>53.85</v>
          </cell>
        </row>
        <row r="4481">
          <cell r="C4481" t="str">
            <v>4504 - HAND DRIVN FASTNR (NAILS,SCRW</v>
          </cell>
          <cell r="D4481" t="str">
            <v>FMMVP004-100</v>
          </cell>
          <cell r="BA4481">
            <v>29.49</v>
          </cell>
        </row>
        <row r="4482">
          <cell r="C4482" t="str">
            <v>4504 - HAND DRIVN FASTNR (NAILS,SCRW</v>
          </cell>
          <cell r="D4482" t="str">
            <v>FMMVP004-250</v>
          </cell>
          <cell r="BA4482">
            <v>62.82</v>
          </cell>
        </row>
        <row r="4483">
          <cell r="C4483" t="str">
            <v>4504 - HAND DRIVN FASTNR (NAILS,SCRW</v>
          </cell>
          <cell r="D4483" t="str">
            <v>FMTLOK04-12</v>
          </cell>
          <cell r="BA4483">
            <v>16.04</v>
          </cell>
        </row>
        <row r="4484">
          <cell r="C4484" t="str">
            <v>4504 - HAND DRIVN FASTNR (NAILS,SCRW</v>
          </cell>
          <cell r="D4484" t="str">
            <v>FMTLOK04-50</v>
          </cell>
          <cell r="BA4484">
            <v>36.590000000000003</v>
          </cell>
        </row>
        <row r="4485">
          <cell r="C4485" t="str">
            <v>4504 - HAND DRIVN FASTNR (NAILS,SCRW</v>
          </cell>
          <cell r="D4485" t="str">
            <v>FMTLOK06-12</v>
          </cell>
          <cell r="BA4485">
            <v>18.28</v>
          </cell>
        </row>
        <row r="4486">
          <cell r="C4486" t="str">
            <v>4504 - HAND DRIVN FASTNR (NAILS,SCRW</v>
          </cell>
          <cell r="D4486" t="str">
            <v>FMTLOK06-50</v>
          </cell>
          <cell r="BA4486">
            <v>42.35</v>
          </cell>
        </row>
        <row r="4487">
          <cell r="C4487" t="str">
            <v>4504 - HAND DRIVN FASTNR (NAILS,SCRW</v>
          </cell>
          <cell r="D4487" t="str">
            <v>FMTLOK08-12</v>
          </cell>
          <cell r="BA4487">
            <v>20.25</v>
          </cell>
        </row>
        <row r="4488">
          <cell r="C4488" t="str">
            <v>4504 - HAND DRIVN FASTNR (NAILS,SCRW</v>
          </cell>
          <cell r="D4488" t="str">
            <v>FMTLOK10-12</v>
          </cell>
          <cell r="BA4488">
            <v>25.22</v>
          </cell>
        </row>
        <row r="4489">
          <cell r="C4489" t="str">
            <v>4504 - HAND DRIVN FASTNR (NAILS,SCRW</v>
          </cell>
          <cell r="D4489" t="str">
            <v>FMTLOK10-50A</v>
          </cell>
          <cell r="BA4489">
            <v>63.99</v>
          </cell>
        </row>
        <row r="4490">
          <cell r="C4490" t="str">
            <v>4504 - HAND DRIVN FASTNR (NAILS,SCRW</v>
          </cell>
          <cell r="D4490" t="str">
            <v>FMTLOK08-50A</v>
          </cell>
          <cell r="BA4490">
            <v>53.49</v>
          </cell>
        </row>
        <row r="4491">
          <cell r="C4491" t="str">
            <v>4504 - HAND DRIVN FASTNR (NAILS,SCRW</v>
          </cell>
          <cell r="D4491" t="str">
            <v>FMVLOK006-50</v>
          </cell>
          <cell r="BA4491">
            <v>64.09</v>
          </cell>
        </row>
        <row r="4492">
          <cell r="C4492" t="str">
            <v>4504 - HAND DRIVN FASTNR (NAILS,SCRW</v>
          </cell>
          <cell r="D4492" t="str">
            <v>FMVLOK008-50</v>
          </cell>
          <cell r="BA4492">
            <v>88.46</v>
          </cell>
        </row>
        <row r="4493">
          <cell r="C4493" t="str">
            <v>4504 - HAND DRIVN FASTNR (NAILS,SCRW</v>
          </cell>
          <cell r="D4493" t="str">
            <v>FMVLOK010-50</v>
          </cell>
          <cell r="BA4493">
            <v>119.23</v>
          </cell>
        </row>
        <row r="4494">
          <cell r="C4494" t="str">
            <v>4504 - HAND DRIVN FASTNR (NAILS,SCRW</v>
          </cell>
          <cell r="D4494" t="str">
            <v>FMGD158-350</v>
          </cell>
          <cell r="BA4494">
            <v>27.22</v>
          </cell>
        </row>
        <row r="4495">
          <cell r="C4495" t="str">
            <v>4504 - HAND DRIVN FASTNR (NAILS,SCRW</v>
          </cell>
          <cell r="D4495" t="str">
            <v>FMGD212-1750</v>
          </cell>
          <cell r="BA4495">
            <v>110.83</v>
          </cell>
        </row>
        <row r="4496">
          <cell r="C4496" t="str">
            <v>4504 - HAND DRIVN FASTNR (NAILS,SCRW</v>
          </cell>
          <cell r="D4496" t="str">
            <v>FMGD212-350</v>
          </cell>
          <cell r="BA4496">
            <v>29.67</v>
          </cell>
        </row>
        <row r="4497">
          <cell r="C4497" t="str">
            <v>4504 - HAND DRIVN FASTNR (NAILS,SCRW</v>
          </cell>
          <cell r="D4497" t="str">
            <v>FMGD212-75</v>
          </cell>
          <cell r="BA4497">
            <v>7.71</v>
          </cell>
        </row>
        <row r="4498">
          <cell r="C4498" t="str">
            <v>4504 - HAND DRIVN FASTNR (NAILS,SCRW</v>
          </cell>
          <cell r="D4498" t="str">
            <v>FMGD002-1750</v>
          </cell>
          <cell r="BA4498">
            <v>105.79</v>
          </cell>
        </row>
        <row r="4499">
          <cell r="C4499" t="str">
            <v>4504 - HAND DRIVN FASTNR (NAILS,SCRW</v>
          </cell>
          <cell r="D4499" t="str">
            <v>FMGD002-350</v>
          </cell>
          <cell r="BA4499">
            <v>28.45</v>
          </cell>
        </row>
        <row r="4500">
          <cell r="C4500" t="str">
            <v>4504 - HAND DRIVN FASTNR (NAILS,SCRW</v>
          </cell>
          <cell r="D4500" t="str">
            <v>FMGD312-350</v>
          </cell>
          <cell r="BA4500">
            <v>33.14</v>
          </cell>
        </row>
        <row r="4501">
          <cell r="C4501" t="str">
            <v>4504 - HAND DRIVN FASTNR (NAILS,SCRW</v>
          </cell>
          <cell r="D4501" t="str">
            <v>FMGD003-1750</v>
          </cell>
          <cell r="BA4501">
            <v>117.1</v>
          </cell>
        </row>
        <row r="4502">
          <cell r="C4502" t="str">
            <v>4504 - HAND DRIVN FASTNR (NAILS,SCRW</v>
          </cell>
          <cell r="D4502" t="str">
            <v>FMGD003-350</v>
          </cell>
          <cell r="BA4502">
            <v>31.99</v>
          </cell>
        </row>
        <row r="4503">
          <cell r="C4503" t="str">
            <v>4504 - HAND DRIVN FASTNR (NAILS,SCRW</v>
          </cell>
          <cell r="D4503" t="str">
            <v>FMGD003-75</v>
          </cell>
          <cell r="BA4503">
            <v>9.74</v>
          </cell>
        </row>
        <row r="4504">
          <cell r="C4504" t="str">
            <v>4504 - HAND DRIVN FASTNR (NAILS,SCRW</v>
          </cell>
          <cell r="D4504" t="str">
            <v>GRDF3STGD5</v>
          </cell>
          <cell r="BA4504">
            <v>28.37</v>
          </cell>
        </row>
        <row r="4505">
          <cell r="C4505" t="str">
            <v>4504 - HAND DRIVN FASTNR (NAILS,SCRW</v>
          </cell>
          <cell r="D4505" t="str">
            <v>GRDFCS212ACA1</v>
          </cell>
          <cell r="BA4505">
            <v>9.24</v>
          </cell>
        </row>
        <row r="4506">
          <cell r="C4506" t="str">
            <v>4504 - HAND DRIVN FASTNR (NAILS,SCRW</v>
          </cell>
          <cell r="D4506" t="str">
            <v>GRDFCS212ACA5</v>
          </cell>
          <cell r="BA4506">
            <v>28.35</v>
          </cell>
        </row>
        <row r="4507">
          <cell r="C4507" t="str">
            <v>4504 - HAND DRIVN FASTNR (NAILS,SCRW</v>
          </cell>
          <cell r="D4507" t="str">
            <v>GRDFCS212AMW1</v>
          </cell>
          <cell r="BA4507">
            <v>9.24</v>
          </cell>
        </row>
        <row r="4508">
          <cell r="C4508" t="str">
            <v>4504 - HAND DRIVN FASTNR (NAILS,SCRW</v>
          </cell>
          <cell r="D4508" t="str">
            <v>GRDFCS212AMW5</v>
          </cell>
          <cell r="BA4508">
            <v>32.71</v>
          </cell>
        </row>
        <row r="4509">
          <cell r="C4509" t="str">
            <v>4504 - HAND DRIVN FASTNR (NAILS,SCRW</v>
          </cell>
          <cell r="D4509" t="str">
            <v>GRDFCS212CER1</v>
          </cell>
          <cell r="BA4509">
            <v>9.24</v>
          </cell>
        </row>
        <row r="4510">
          <cell r="C4510" t="str">
            <v>4504 - HAND DRIVN FASTNR (NAILS,SCRW</v>
          </cell>
          <cell r="D4510" t="str">
            <v>GRDFCS212CER5</v>
          </cell>
          <cell r="BA4510">
            <v>32.71</v>
          </cell>
        </row>
        <row r="4511">
          <cell r="C4511" t="str">
            <v>4504 - HAND DRIVN FASTNR (NAILS,SCRW</v>
          </cell>
          <cell r="D4511" t="str">
            <v>GRDFCS212DWG1</v>
          </cell>
          <cell r="BA4511">
            <v>9.24</v>
          </cell>
        </row>
        <row r="4512">
          <cell r="C4512" t="str">
            <v>4504 - HAND DRIVN FASTNR (NAILS,SCRW</v>
          </cell>
          <cell r="D4512" t="str">
            <v>GRDFCS212DWG5</v>
          </cell>
          <cell r="BA4512">
            <v>32.71</v>
          </cell>
        </row>
        <row r="4513">
          <cell r="C4513" t="str">
            <v>4504 - HAND DRIVN FASTNR (NAILS,SCRW</v>
          </cell>
          <cell r="D4513" t="str">
            <v>GRDFCS212HAG1</v>
          </cell>
          <cell r="BA4513">
            <v>9.24</v>
          </cell>
        </row>
        <row r="4514">
          <cell r="C4514" t="str">
            <v>4504 - HAND DRIVN FASTNR (NAILS,SCRW</v>
          </cell>
          <cell r="D4514" t="str">
            <v>GRDFCS212HAG5</v>
          </cell>
          <cell r="BA4514">
            <v>28.35</v>
          </cell>
        </row>
        <row r="4515">
          <cell r="C4515" t="str">
            <v>4504 - HAND DRIVN FASTNR (NAILS,SCRW</v>
          </cell>
          <cell r="D4515" t="str">
            <v>GRDFCS212ONX1</v>
          </cell>
          <cell r="BA4515">
            <v>9.24</v>
          </cell>
        </row>
        <row r="4516">
          <cell r="C4516" t="str">
            <v>4504 - HAND DRIVN FASTNR (NAILS,SCRW</v>
          </cell>
          <cell r="D4516" t="str">
            <v>GRDFCS212ONX5</v>
          </cell>
          <cell r="BA4516">
            <v>32.71</v>
          </cell>
        </row>
        <row r="4517">
          <cell r="C4517" t="str">
            <v>4504 - HAND DRIVN FASTNR (NAILS,SCRW</v>
          </cell>
          <cell r="D4517" t="str">
            <v>GRL114STB1</v>
          </cell>
          <cell r="BA4517">
            <v>6.53</v>
          </cell>
        </row>
        <row r="4518">
          <cell r="C4518" t="str">
            <v>4504 - HAND DRIVN FASTNR (NAILS,SCRW</v>
          </cell>
          <cell r="D4518" t="str">
            <v>GRL114STB5</v>
          </cell>
          <cell r="BA4518">
            <v>24.68</v>
          </cell>
        </row>
        <row r="4519">
          <cell r="C4519" t="str">
            <v>4504 - HAND DRIVN FASTNR (NAILS,SCRW</v>
          </cell>
          <cell r="D4519" t="str">
            <v>GRL158STB1</v>
          </cell>
          <cell r="BA4519">
            <v>6.53</v>
          </cell>
        </row>
        <row r="4520">
          <cell r="C4520" t="str">
            <v>4504 - HAND DRIVN FASTNR (NAILS,SCRW</v>
          </cell>
          <cell r="D4520" t="str">
            <v>GRL158STB5</v>
          </cell>
          <cell r="BA4520">
            <v>24.68</v>
          </cell>
        </row>
        <row r="4521">
          <cell r="C4521" t="str">
            <v>4504 - HAND DRIVN FASTNR (NAILS,SCRW</v>
          </cell>
          <cell r="D4521" t="str">
            <v>GRLP158STBBK</v>
          </cell>
          <cell r="BA4521">
            <v>95.18</v>
          </cell>
        </row>
        <row r="4522">
          <cell r="C4522" t="str">
            <v>4504 - HAND DRIVN FASTNR (NAILS,SCRW</v>
          </cell>
          <cell r="D4522" t="str">
            <v>GRL2STB1</v>
          </cell>
          <cell r="BA4522">
            <v>6.53</v>
          </cell>
        </row>
        <row r="4523">
          <cell r="C4523" t="str">
            <v>4504 - HAND DRIVN FASTNR (NAILS,SCRW</v>
          </cell>
          <cell r="D4523" t="str">
            <v>GRL2STB5</v>
          </cell>
          <cell r="BA4523">
            <v>24.68</v>
          </cell>
        </row>
        <row r="4524">
          <cell r="C4524" t="str">
            <v>4504 - HAND DRIVN FASTNR (NAILS,SCRW</v>
          </cell>
          <cell r="D4524" t="str">
            <v>GRL212STB1</v>
          </cell>
          <cell r="BA4524">
            <v>6.53</v>
          </cell>
        </row>
        <row r="4525">
          <cell r="C4525" t="str">
            <v>4504 - HAND DRIVN FASTNR (NAILS,SCRW</v>
          </cell>
          <cell r="D4525" t="str">
            <v>GRL212STB5</v>
          </cell>
          <cell r="BA4525">
            <v>24.68</v>
          </cell>
        </row>
        <row r="4526">
          <cell r="C4526" t="str">
            <v>4504 - HAND DRIVN FASTNR (NAILS,SCRW</v>
          </cell>
          <cell r="D4526" t="str">
            <v>GRLP212STBBK</v>
          </cell>
          <cell r="BA4526">
            <v>95.18</v>
          </cell>
        </row>
        <row r="4527">
          <cell r="C4527" t="str">
            <v>4504 - HAND DRIVN FASTNR (NAILS,SCRW</v>
          </cell>
          <cell r="D4527" t="str">
            <v>GRL3STB1</v>
          </cell>
          <cell r="BA4527">
            <v>6.53</v>
          </cell>
        </row>
        <row r="4528">
          <cell r="C4528" t="str">
            <v>4504 - HAND DRIVN FASTNR (NAILS,SCRW</v>
          </cell>
          <cell r="D4528" t="str">
            <v>GRL3STB5</v>
          </cell>
          <cell r="BA4528">
            <v>24.68</v>
          </cell>
        </row>
        <row r="4529">
          <cell r="C4529" t="str">
            <v>4504 - HAND DRIVN FASTNR (NAILS,SCRW</v>
          </cell>
          <cell r="D4529" t="str">
            <v>GRLP3STBBK</v>
          </cell>
          <cell r="BA4529">
            <v>95.18</v>
          </cell>
        </row>
        <row r="4530">
          <cell r="C4530" t="str">
            <v>4504 - HAND DRIVN FASTNR (NAILS,SCRW</v>
          </cell>
          <cell r="D4530" t="str">
            <v>GRL312STB1</v>
          </cell>
          <cell r="BA4530">
            <v>6.53</v>
          </cell>
        </row>
        <row r="4531">
          <cell r="C4531" t="str">
            <v>4504 - HAND DRIVN FASTNR (NAILS,SCRW</v>
          </cell>
          <cell r="D4531" t="str">
            <v>GRL4STB1</v>
          </cell>
          <cell r="BA4531">
            <v>6.53</v>
          </cell>
        </row>
        <row r="4532">
          <cell r="C4532" t="str">
            <v>4504 - HAND DRIVN FASTNR (NAILS,SCRW</v>
          </cell>
          <cell r="D4532" t="str">
            <v>GRL312STB5</v>
          </cell>
          <cell r="BA4532">
            <v>24.68</v>
          </cell>
        </row>
        <row r="4533">
          <cell r="C4533" t="str">
            <v>4504 - HAND DRIVN FASTNR (NAILS,SCRW</v>
          </cell>
          <cell r="D4533" t="str">
            <v>GRL4STB5</v>
          </cell>
          <cell r="BA4533">
            <v>24.68</v>
          </cell>
        </row>
        <row r="4534">
          <cell r="C4534" t="str">
            <v>4504 - HAND DRIVN FASTNR (NAILS,SCRW</v>
          </cell>
          <cell r="D4534" t="str">
            <v>GRL114STGD1</v>
          </cell>
          <cell r="BA4534">
            <v>6.53</v>
          </cell>
        </row>
        <row r="4535">
          <cell r="C4535" t="str">
            <v>4504 - HAND DRIVN FASTNR (NAILS,SCRW</v>
          </cell>
          <cell r="D4535" t="str">
            <v>GRL158STGD1</v>
          </cell>
          <cell r="BA4535">
            <v>6.53</v>
          </cell>
        </row>
        <row r="4536">
          <cell r="C4536" t="str">
            <v>4504 - HAND DRIVN FASTNR (NAILS,SCRW</v>
          </cell>
          <cell r="D4536" t="str">
            <v>GRL158STGD5</v>
          </cell>
          <cell r="BA4536">
            <v>24.68</v>
          </cell>
        </row>
        <row r="4537">
          <cell r="C4537" t="str">
            <v>4504 - HAND DRIVN FASTNR (NAILS,SCRW</v>
          </cell>
          <cell r="D4537" t="str">
            <v>GRL2STGD1</v>
          </cell>
          <cell r="BA4537">
            <v>6.53</v>
          </cell>
        </row>
        <row r="4538">
          <cell r="C4538" t="str">
            <v>4504 - HAND DRIVN FASTNR (NAILS,SCRW</v>
          </cell>
          <cell r="D4538" t="str">
            <v>GRL2STGD5</v>
          </cell>
          <cell r="BA4538">
            <v>24.68</v>
          </cell>
        </row>
        <row r="4539">
          <cell r="C4539" t="str">
            <v>4504 - HAND DRIVN FASTNR (NAILS,SCRW</v>
          </cell>
          <cell r="D4539" t="str">
            <v>GRL212STGD1</v>
          </cell>
          <cell r="BA4539">
            <v>6.53</v>
          </cell>
        </row>
        <row r="4540">
          <cell r="C4540" t="str">
            <v>4504 - HAND DRIVN FASTNR (NAILS,SCRW</v>
          </cell>
          <cell r="D4540" t="str">
            <v>GRL212STGD5</v>
          </cell>
          <cell r="BA4540">
            <v>24.68</v>
          </cell>
        </row>
        <row r="4541">
          <cell r="C4541" t="str">
            <v>4504 - HAND DRIVN FASTNR (NAILS,SCRW</v>
          </cell>
          <cell r="D4541" t="str">
            <v>GRLP212STGDBK</v>
          </cell>
          <cell r="BA4541">
            <v>95.18</v>
          </cell>
        </row>
        <row r="4542">
          <cell r="C4542" t="str">
            <v>4504 - HAND DRIVN FASTNR (NAILS,SCRW</v>
          </cell>
          <cell r="D4542" t="str">
            <v>GRL3STGD1</v>
          </cell>
          <cell r="BA4542">
            <v>6.53</v>
          </cell>
        </row>
        <row r="4543">
          <cell r="C4543" t="str">
            <v>4504 - HAND DRIVN FASTNR (NAILS,SCRW</v>
          </cell>
          <cell r="D4543" t="str">
            <v>GRL3STGD5</v>
          </cell>
          <cell r="BA4543">
            <v>24.68</v>
          </cell>
        </row>
        <row r="4544">
          <cell r="C4544" t="str">
            <v>4504 - HAND DRIVN FASTNR (NAILS,SCRW</v>
          </cell>
          <cell r="D4544" t="str">
            <v>GRLP3STGDBK</v>
          </cell>
          <cell r="BA4544">
            <v>95.18</v>
          </cell>
        </row>
        <row r="4545">
          <cell r="C4545" t="str">
            <v>4504 - HAND DRIVN FASTNR (NAILS,SCRW</v>
          </cell>
          <cell r="D4545" t="str">
            <v>GRL312STGD1</v>
          </cell>
          <cell r="BA4545">
            <v>6.53</v>
          </cell>
        </row>
        <row r="4546">
          <cell r="C4546" t="str">
            <v>4504 - HAND DRIVN FASTNR (NAILS,SCRW</v>
          </cell>
          <cell r="D4546" t="str">
            <v>GRL312STGD5</v>
          </cell>
          <cell r="BA4546">
            <v>24.68</v>
          </cell>
        </row>
        <row r="4547">
          <cell r="C4547" t="str">
            <v>4504 - HAND DRIVN FASTNR (NAILS,SCRW</v>
          </cell>
          <cell r="D4547" t="str">
            <v>GRL4STGD1</v>
          </cell>
          <cell r="BA4547">
            <v>6.53</v>
          </cell>
        </row>
        <row r="4548">
          <cell r="C4548" t="str">
            <v>4504 - HAND DRIVN FASTNR (NAILS,SCRW</v>
          </cell>
          <cell r="D4548" t="str">
            <v>GRL4STGD5</v>
          </cell>
          <cell r="BA4548">
            <v>24.68</v>
          </cell>
        </row>
        <row r="4549">
          <cell r="C4549" t="str">
            <v>4504 - HAND DRIVN FASTNR (NAILS,SCRW</v>
          </cell>
          <cell r="D4549" t="str">
            <v>GRL158STT1</v>
          </cell>
          <cell r="BA4549">
            <v>6.53</v>
          </cell>
        </row>
        <row r="4550">
          <cell r="C4550" t="str">
            <v>4504 - HAND DRIVN FASTNR (NAILS,SCRW</v>
          </cell>
          <cell r="D4550" t="str">
            <v>GRL2STT1</v>
          </cell>
          <cell r="BA4550">
            <v>6.53</v>
          </cell>
        </row>
        <row r="4551">
          <cell r="C4551" t="str">
            <v>4504 - HAND DRIVN FASTNR (NAILS,SCRW</v>
          </cell>
          <cell r="D4551" t="str">
            <v>GRL212STT1</v>
          </cell>
          <cell r="BA4551">
            <v>6.53</v>
          </cell>
        </row>
        <row r="4552">
          <cell r="C4552" t="str">
            <v>4504 - HAND DRIVN FASTNR (NAILS,SCRW</v>
          </cell>
          <cell r="D4552" t="str">
            <v>GRL212STT5</v>
          </cell>
          <cell r="BA4552">
            <v>24.68</v>
          </cell>
        </row>
        <row r="4553">
          <cell r="C4553" t="str">
            <v>4504 - HAND DRIVN FASTNR (NAILS,SCRW</v>
          </cell>
          <cell r="D4553" t="str">
            <v>GRL3STT1</v>
          </cell>
          <cell r="BA4553">
            <v>6.53</v>
          </cell>
        </row>
        <row r="4554">
          <cell r="C4554" t="str">
            <v>4504 - HAND DRIVN FASTNR (NAILS,SCRW</v>
          </cell>
          <cell r="D4554" t="str">
            <v>GRL3STT5</v>
          </cell>
          <cell r="BA4554">
            <v>24.68</v>
          </cell>
        </row>
        <row r="4555">
          <cell r="C4555" t="str">
            <v>4504 - HAND DRIVN FASTNR (NAILS,SCRW</v>
          </cell>
          <cell r="D4555" t="str">
            <v>GRLP3STTBK</v>
          </cell>
          <cell r="BA4555">
            <v>95.18</v>
          </cell>
        </row>
        <row r="4556">
          <cell r="C4556" t="str">
            <v>4504 - HAND DRIVN FASTNR (NAILS,SCRW</v>
          </cell>
          <cell r="D4556" t="str">
            <v>GRMAXS158TH3051</v>
          </cell>
          <cell r="BA4556">
            <v>20.62</v>
          </cell>
        </row>
        <row r="4557">
          <cell r="C4557" t="str">
            <v>4504 - HAND DRIVN FASTNR (NAILS,SCRW</v>
          </cell>
          <cell r="D4557" t="str">
            <v>GRMAXS158TH3165</v>
          </cell>
          <cell r="BA4557">
            <v>106.62</v>
          </cell>
        </row>
        <row r="4558">
          <cell r="C4558" t="str">
            <v>4504 - HAND DRIVN FASTNR (NAILS,SCRW</v>
          </cell>
          <cell r="D4558" t="str">
            <v>GRMAXS214TH3051</v>
          </cell>
          <cell r="BA4558">
            <v>21.63</v>
          </cell>
        </row>
        <row r="4559">
          <cell r="C4559" t="str">
            <v>4504 - HAND DRIVN FASTNR (NAILS,SCRW</v>
          </cell>
          <cell r="D4559" t="str">
            <v>GRMAXS214TH3055</v>
          </cell>
          <cell r="BA4559">
            <v>80.88</v>
          </cell>
        </row>
        <row r="4560">
          <cell r="C4560" t="str">
            <v>4504 - HAND DRIVN FASTNR (NAILS,SCRW</v>
          </cell>
          <cell r="D4560" t="str">
            <v>GRMAXS3TH3051</v>
          </cell>
          <cell r="BA4560">
            <v>23.21</v>
          </cell>
        </row>
        <row r="4561">
          <cell r="C4561" t="str">
            <v>4504 - HAND DRIVN FASTNR (NAILS,SCRW</v>
          </cell>
          <cell r="D4561" t="str">
            <v>GRMAXS3TH3055</v>
          </cell>
          <cell r="BA4561">
            <v>94.14</v>
          </cell>
        </row>
        <row r="4562">
          <cell r="C4562" t="str">
            <v>4504 - HAND DRIVN FASTNR (NAILS,SCRW</v>
          </cell>
          <cell r="D4562" t="str">
            <v>GRMAXS3TH305BK</v>
          </cell>
          <cell r="BA4562">
            <v>283.18</v>
          </cell>
        </row>
        <row r="4563">
          <cell r="C4563" t="str">
            <v>4504 - HAND DRIVN FASTNR (NAILS,SCRW</v>
          </cell>
          <cell r="D4563" t="str">
            <v>GRMAXS3TH3165</v>
          </cell>
          <cell r="BA4563">
            <v>106.62</v>
          </cell>
        </row>
        <row r="4564">
          <cell r="C4564" t="str">
            <v>4504 - HAND DRIVN FASTNR (NAILS,SCRW</v>
          </cell>
          <cell r="D4564" t="str">
            <v>GRMAXS1148DS3051</v>
          </cell>
          <cell r="BA4564">
            <v>17.350000000000001</v>
          </cell>
        </row>
        <row r="4565">
          <cell r="C4565" t="str">
            <v>4504 - HAND DRIVN FASTNR (NAILS,SCRW</v>
          </cell>
          <cell r="D4565" t="str">
            <v>GRMAXS1148DS3161</v>
          </cell>
          <cell r="BA4565">
            <v>26.38</v>
          </cell>
        </row>
        <row r="4566">
          <cell r="C4566" t="str">
            <v>4504 - HAND DRIVN FASTNR (NAILS,SCRW</v>
          </cell>
          <cell r="D4566" t="str">
            <v>GRMAXS1588DS3051</v>
          </cell>
          <cell r="BA4566">
            <v>17.350000000000001</v>
          </cell>
        </row>
        <row r="4567">
          <cell r="C4567" t="str">
            <v>4504 - HAND DRIVN FASTNR (NAILS,SCRW</v>
          </cell>
          <cell r="D4567" t="str">
            <v>GRMAXS28DS3051</v>
          </cell>
          <cell r="BA4567">
            <v>17.350000000000001</v>
          </cell>
        </row>
        <row r="4568">
          <cell r="C4568" t="str">
            <v>4504 - HAND DRIVN FASTNR (NAILS,SCRW</v>
          </cell>
          <cell r="D4568" t="str">
            <v>GRMAXS28DS3055</v>
          </cell>
          <cell r="BA4568">
            <v>74.599999999999994</v>
          </cell>
        </row>
        <row r="4569">
          <cell r="C4569" t="str">
            <v>4504 - HAND DRIVN FASTNR (NAILS,SCRW</v>
          </cell>
          <cell r="D4569" t="str">
            <v>GMAXS21210DS3051</v>
          </cell>
          <cell r="BA4569">
            <v>17.350000000000001</v>
          </cell>
        </row>
        <row r="4570">
          <cell r="C4570" t="str">
            <v>4504 - HAND DRIVN FASTNR (NAILS,SCRW</v>
          </cell>
          <cell r="D4570" t="str">
            <v>GMAXS21210DS3055</v>
          </cell>
          <cell r="BA4570">
            <v>74.599999999999994</v>
          </cell>
        </row>
        <row r="4571">
          <cell r="C4571" t="str">
            <v>4504 - HAND DRIVN FASTNR (NAILS,SCRW</v>
          </cell>
          <cell r="D4571" t="str">
            <v>GRMAXS310DS3051</v>
          </cell>
          <cell r="BA4571">
            <v>17.350000000000001</v>
          </cell>
        </row>
        <row r="4572">
          <cell r="C4572" t="str">
            <v>4504 - HAND DRIVN FASTNR (NAILS,SCRW</v>
          </cell>
          <cell r="D4572" t="str">
            <v>GMAXS31210DS3051</v>
          </cell>
          <cell r="BA4572">
            <v>17.350000000000001</v>
          </cell>
        </row>
        <row r="4573">
          <cell r="C4573" t="str">
            <v>4504 - HAND DRIVN FASTNR (NAILS,SCRW</v>
          </cell>
          <cell r="D4573" t="str">
            <v>GRMAXS310DS3055</v>
          </cell>
          <cell r="BA4573">
            <v>74.599999999999994</v>
          </cell>
        </row>
        <row r="4574">
          <cell r="C4574" t="str">
            <v>4504 - HAND DRIVN FASTNR (NAILS,SCRW</v>
          </cell>
          <cell r="D4574" t="str">
            <v>GRPTN212S1</v>
          </cell>
          <cell r="BA4574">
            <v>5.22</v>
          </cell>
        </row>
        <row r="4575">
          <cell r="C4575" t="str">
            <v>4504 - HAND DRIVN FASTNR (NAILS,SCRW</v>
          </cell>
          <cell r="D4575" t="str">
            <v>GRPTN212S25B</v>
          </cell>
          <cell r="BA4575">
            <v>94.74</v>
          </cell>
        </row>
        <row r="4576">
          <cell r="C4576" t="str">
            <v>4504 - HAND DRIVN FASTNR (NAILS,SCRW</v>
          </cell>
          <cell r="D4576" t="str">
            <v>GRPTN212S5</v>
          </cell>
          <cell r="BA4576">
            <v>23.05</v>
          </cell>
        </row>
        <row r="4577">
          <cell r="C4577" t="str">
            <v>4504 - HAND DRIVN FASTNR (NAILS,SCRW</v>
          </cell>
          <cell r="D4577" t="str">
            <v>GRPTN3S25B</v>
          </cell>
          <cell r="BA4577">
            <v>94.74</v>
          </cell>
        </row>
        <row r="4578">
          <cell r="C4578" t="str">
            <v>4504 - HAND DRIVN FASTNR (NAILS,SCRW</v>
          </cell>
          <cell r="D4578" t="str">
            <v>GRSF212C</v>
          </cell>
          <cell r="BA4578">
            <v>61.18</v>
          </cell>
        </row>
        <row r="4579">
          <cell r="C4579" t="str">
            <v>4504 - HAND DRIVN FASTNR (NAILS,SCRW</v>
          </cell>
          <cell r="D4579" t="str">
            <v>GRSF212C1M</v>
          </cell>
          <cell r="BA4579">
            <v>45.55</v>
          </cell>
        </row>
        <row r="4580">
          <cell r="C4580" t="str">
            <v>4504 - HAND DRIVN FASTNR (NAILS,SCRW</v>
          </cell>
          <cell r="D4580" t="str">
            <v>PAMWCYZ8212F</v>
          </cell>
          <cell r="BA4580">
            <v>81.06</v>
          </cell>
        </row>
        <row r="4581">
          <cell r="C4581" t="str">
            <v>4504 - HAND DRIVN FASTNR (NAILS,SCRW</v>
          </cell>
          <cell r="D4581" t="str">
            <v>CXD31T10275O</v>
          </cell>
          <cell r="BA4581">
            <v>42.41</v>
          </cell>
        </row>
        <row r="4582">
          <cell r="C4582" t="str">
            <v>4504 - HAND DRIVN FASTNR (NAILS,SCRW</v>
          </cell>
          <cell r="D4582" t="str">
            <v>SICXD34L10275</v>
          </cell>
          <cell r="BA4582">
            <v>20.97</v>
          </cell>
        </row>
        <row r="4583">
          <cell r="C4583" t="str">
            <v>4504 - HAND DRIVN FASTNR (NAILS,SCRW</v>
          </cell>
          <cell r="D4583" t="str">
            <v>SICXD34T10275</v>
          </cell>
          <cell r="BA4583">
            <v>70.459999999999994</v>
          </cell>
        </row>
        <row r="4584">
          <cell r="C4584" t="str">
            <v>4504 - HAND DRIVN FASTNR (NAILS,SCRW</v>
          </cell>
          <cell r="D4584" t="str">
            <v>SICXD34T10275BB</v>
          </cell>
          <cell r="BA4584">
            <v>44.62</v>
          </cell>
        </row>
        <row r="4585">
          <cell r="C4585" t="str">
            <v>4504 - HAND DRIVN FASTNR (NAILS,SCRW</v>
          </cell>
          <cell r="D4585" t="str">
            <v>SICXD34Q10275BB</v>
          </cell>
          <cell r="BA4585">
            <v>220.76</v>
          </cell>
        </row>
        <row r="4586">
          <cell r="C4586" t="str">
            <v>4504 - HAND DRIVN FASTNR (NAILS,SCRW</v>
          </cell>
          <cell r="D4586" t="str">
            <v>SICXD37L10275</v>
          </cell>
          <cell r="BA4586">
            <v>19.97</v>
          </cell>
        </row>
        <row r="4587">
          <cell r="C4587" t="str">
            <v>4504 - HAND DRIVN FASTNR (NAILS,SCRW</v>
          </cell>
          <cell r="D4587" t="str">
            <v>SICXD37T10275</v>
          </cell>
          <cell r="BA4587">
            <v>73.989999999999995</v>
          </cell>
        </row>
        <row r="4588">
          <cell r="C4588" t="str">
            <v>4504 - HAND DRIVN FASTNR (NAILS,SCRW</v>
          </cell>
          <cell r="D4588" t="str">
            <v>SICXD37T10275BB</v>
          </cell>
          <cell r="BA4588">
            <v>44.62</v>
          </cell>
        </row>
        <row r="4589">
          <cell r="C4589" t="str">
            <v>4504 - HAND DRIVN FASTNR (NAILS,SCRW</v>
          </cell>
          <cell r="D4589" t="str">
            <v>SICXD63L10275O</v>
          </cell>
          <cell r="BA4589">
            <v>19.97</v>
          </cell>
        </row>
        <row r="4590">
          <cell r="C4590" t="str">
            <v>4504 - HAND DRIVN FASTNR (NAILS,SCRW</v>
          </cell>
          <cell r="D4590" t="str">
            <v>SICXD63T10275O</v>
          </cell>
          <cell r="BA4590">
            <v>70.459999999999994</v>
          </cell>
        </row>
        <row r="4591">
          <cell r="C4591" t="str">
            <v>4504 - HAND DRIVN FASTNR (NAILS,SCRW</v>
          </cell>
          <cell r="D4591" t="str">
            <v>SICXD65L10275</v>
          </cell>
          <cell r="BA4591">
            <v>12.63</v>
          </cell>
        </row>
        <row r="4592">
          <cell r="C4592" t="str">
            <v>4504 - HAND DRIVN FASTNR (NAILS,SCRW</v>
          </cell>
          <cell r="D4592" t="str">
            <v>SICXD65T10275</v>
          </cell>
          <cell r="BA4592">
            <v>44.62</v>
          </cell>
        </row>
        <row r="4593">
          <cell r="C4593" t="str">
            <v>4504 - HAND DRIVN FASTNR (NAILS,SCRW</v>
          </cell>
          <cell r="D4593" t="str">
            <v>SICXD65T10275O</v>
          </cell>
          <cell r="BA4593">
            <v>44.62</v>
          </cell>
        </row>
        <row r="4594">
          <cell r="C4594" t="str">
            <v>4504 - HAND DRIVN FASTNR (NAILS,SCRW</v>
          </cell>
          <cell r="D4594" t="str">
            <v>SICXD71L10275</v>
          </cell>
          <cell r="BA4594">
            <v>19.97</v>
          </cell>
        </row>
        <row r="4595">
          <cell r="C4595" t="str">
            <v>4504 - HAND DRIVN FASTNR (NAILS,SCRW</v>
          </cell>
          <cell r="D4595" t="str">
            <v>SICXD71T10275</v>
          </cell>
          <cell r="BA4595">
            <v>70.459999999999994</v>
          </cell>
        </row>
        <row r="4596">
          <cell r="C4596" t="str">
            <v>4504 - HAND DRIVN FASTNR (NAILS,SCRW</v>
          </cell>
          <cell r="D4596" t="str">
            <v>SICXD73L10275</v>
          </cell>
          <cell r="BA4596">
            <v>19.97</v>
          </cell>
        </row>
        <row r="4597">
          <cell r="C4597" t="str">
            <v>4504 - HAND DRIVN FASTNR (NAILS,SCRW</v>
          </cell>
          <cell r="D4597" t="str">
            <v>CXD73T10275</v>
          </cell>
          <cell r="BA4597">
            <v>73.989999999999995</v>
          </cell>
        </row>
        <row r="4598">
          <cell r="C4598" t="str">
            <v>4504 - HAND DRIVN FASTNR (NAILS,SCRW</v>
          </cell>
          <cell r="D4598" t="str">
            <v>SIFSC37L10188BB</v>
          </cell>
          <cell r="BA4598">
            <v>24.1</v>
          </cell>
        </row>
        <row r="4599">
          <cell r="C4599" t="str">
            <v>4504 - HAND DRIVN FASTNR (NAILS,SCRW</v>
          </cell>
          <cell r="D4599" t="str">
            <v>SP08F150Y</v>
          </cell>
          <cell r="BA4599">
            <v>32.369999999999997</v>
          </cell>
        </row>
        <row r="4600">
          <cell r="C4600" t="str">
            <v>4504 - HAND DRIVN FASTNR (NAILS,SCRW</v>
          </cell>
          <cell r="D4600" t="str">
            <v>2PGPHS1</v>
          </cell>
          <cell r="BA4600">
            <v>5.22</v>
          </cell>
        </row>
        <row r="4601">
          <cell r="C4601" t="str">
            <v>4504 - HAND DRIVN FASTNR (NAILS,SCRW</v>
          </cell>
          <cell r="D4601" t="str">
            <v>2PGPHS5</v>
          </cell>
          <cell r="BA4601">
            <v>23.05</v>
          </cell>
        </row>
        <row r="4602">
          <cell r="C4602" t="str">
            <v>4504 - HAND DRIVN FASTNR (NAILS,SCRW</v>
          </cell>
          <cell r="D4602" t="str">
            <v>1CDWS1</v>
          </cell>
          <cell r="BA4602">
            <v>4.03</v>
          </cell>
        </row>
        <row r="4603">
          <cell r="C4603" t="str">
            <v>4504 - HAND DRIVN FASTNR (NAILS,SCRW</v>
          </cell>
          <cell r="D4603" t="str">
            <v>114CDWS1</v>
          </cell>
          <cell r="BA4603">
            <v>4.03</v>
          </cell>
        </row>
        <row r="4604">
          <cell r="C4604" t="str">
            <v>4504 - HAND DRIVN FASTNR (NAILS,SCRW</v>
          </cell>
          <cell r="D4604" t="str">
            <v>158CDWS1</v>
          </cell>
          <cell r="BA4604">
            <v>4.1500000000000004</v>
          </cell>
        </row>
        <row r="4605">
          <cell r="C4605" t="str">
            <v>4504 - HAND DRIVN FASTNR (NAILS,SCRW</v>
          </cell>
          <cell r="D4605" t="str">
            <v>GR158CDW25BK</v>
          </cell>
          <cell r="BA4605">
            <v>76.5</v>
          </cell>
        </row>
        <row r="4606">
          <cell r="C4606" t="str">
            <v>4504 - HAND DRIVN FASTNR (NAILS,SCRW</v>
          </cell>
          <cell r="D4606" t="str">
            <v>2CDWS1</v>
          </cell>
          <cell r="BA4606">
            <v>4.12</v>
          </cell>
        </row>
        <row r="4607">
          <cell r="C4607" t="str">
            <v>4504 - HAND DRIVN FASTNR (NAILS,SCRW</v>
          </cell>
          <cell r="D4607" t="str">
            <v>212CDWS1</v>
          </cell>
          <cell r="BA4607">
            <v>4.1399999999999997</v>
          </cell>
        </row>
        <row r="4608">
          <cell r="C4608" t="str">
            <v>4504 - HAND DRIVN FASTNR (NAILS,SCRW</v>
          </cell>
          <cell r="D4608" t="str">
            <v>3CDWS1</v>
          </cell>
          <cell r="BA4608">
            <v>4.01</v>
          </cell>
        </row>
        <row r="4609">
          <cell r="C4609" t="str">
            <v>4504 - HAND DRIVN FASTNR (NAILS,SCRW</v>
          </cell>
          <cell r="D4609" t="str">
            <v>114CDWS5</v>
          </cell>
          <cell r="BA4609">
            <v>17.399999999999999</v>
          </cell>
        </row>
        <row r="4610">
          <cell r="C4610" t="str">
            <v>4504 - HAND DRIVN FASTNR (NAILS,SCRW</v>
          </cell>
          <cell r="D4610" t="str">
            <v>158CDWS5</v>
          </cell>
          <cell r="BA4610">
            <v>20.23</v>
          </cell>
        </row>
        <row r="4611">
          <cell r="C4611" t="str">
            <v>4504 - HAND DRIVN FASTNR (NAILS,SCRW</v>
          </cell>
          <cell r="D4611" t="str">
            <v>2CDWS5</v>
          </cell>
          <cell r="BA4611">
            <v>17.21</v>
          </cell>
        </row>
        <row r="4612">
          <cell r="C4612" t="str">
            <v>4504 - HAND DRIVN FASTNR (NAILS,SCRW</v>
          </cell>
          <cell r="D4612" t="str">
            <v>212CDWS5</v>
          </cell>
          <cell r="BA4612">
            <v>18.47</v>
          </cell>
        </row>
        <row r="4613">
          <cell r="C4613" t="str">
            <v>4504 - HAND DRIVN FASTNR (NAILS,SCRW</v>
          </cell>
          <cell r="D4613" t="str">
            <v>3CDWS5</v>
          </cell>
          <cell r="BA4613">
            <v>17</v>
          </cell>
        </row>
        <row r="4614">
          <cell r="C4614" t="str">
            <v>4504 - HAND DRIVN FASTNR (NAILS,SCRW</v>
          </cell>
          <cell r="D4614" t="str">
            <v>PTNSD1141</v>
          </cell>
          <cell r="BA4614">
            <v>6.5</v>
          </cell>
        </row>
        <row r="4615">
          <cell r="C4615" t="str">
            <v>4504 - HAND DRIVN FASTNR (NAILS,SCRW</v>
          </cell>
          <cell r="D4615" t="str">
            <v>PTNSD1581</v>
          </cell>
          <cell r="BA4615">
            <v>6.5</v>
          </cell>
        </row>
        <row r="4616">
          <cell r="C4616" t="str">
            <v>4504 - HAND DRIVN FASTNR (NAILS,SCRW</v>
          </cell>
          <cell r="D4616" t="str">
            <v>HSP114CT5</v>
          </cell>
          <cell r="BA4616">
            <v>21.86</v>
          </cell>
        </row>
        <row r="4617">
          <cell r="C4617" t="str">
            <v>4504 - HAND DRIVN FASTNR (NAILS,SCRW</v>
          </cell>
          <cell r="D4617" t="str">
            <v>HSP158CT1</v>
          </cell>
          <cell r="BA4617">
            <v>2.68</v>
          </cell>
        </row>
        <row r="4618">
          <cell r="C4618" t="str">
            <v>4504 - HAND DRIVN FASTNR (NAILS,SCRW</v>
          </cell>
          <cell r="D4618" t="str">
            <v>HSP62CT1</v>
          </cell>
          <cell r="BA4618">
            <v>2.68</v>
          </cell>
        </row>
        <row r="4619">
          <cell r="C4619" t="str">
            <v>4504 - HAND DRIVN FASTNR (NAILS,SCRW</v>
          </cell>
          <cell r="D4619" t="str">
            <v>114CDW25BK</v>
          </cell>
          <cell r="BA4619">
            <v>76.5</v>
          </cell>
        </row>
        <row r="4620">
          <cell r="C4620" t="str">
            <v>4504 - HAND DRIVN FASTNR (NAILS,SCRW</v>
          </cell>
          <cell r="D4620" t="str">
            <v>158CDWS5M</v>
          </cell>
          <cell r="BA4620">
            <v>47.69</v>
          </cell>
        </row>
        <row r="4621">
          <cell r="C4621" t="str">
            <v>4504 - HAND DRIVN FASTNR (NAILS,SCRW</v>
          </cell>
          <cell r="D4621" t="str">
            <v>PAMGCBP6114</v>
          </cell>
          <cell r="BA4621">
            <v>33.270000000000003</v>
          </cell>
        </row>
        <row r="4622">
          <cell r="C4622" t="str">
            <v>4504 - HAND DRIVN FASTNR (NAILS,SCRW</v>
          </cell>
          <cell r="D4622" t="str">
            <v>NN0345148</v>
          </cell>
          <cell r="BA4622">
            <v>40.799999999999997</v>
          </cell>
        </row>
        <row r="4623">
          <cell r="C4623" t="str">
            <v>4504 - HAND DRIVN FASTNR (NAILS,SCRW</v>
          </cell>
          <cell r="D4623" t="str">
            <v>NN0345139</v>
          </cell>
          <cell r="BA4623">
            <v>122.58</v>
          </cell>
        </row>
        <row r="4624">
          <cell r="C4624" t="str">
            <v>4504 - HAND DRIVN FASTNR (NAILS,SCRW</v>
          </cell>
          <cell r="D4624" t="str">
            <v>NN0345140</v>
          </cell>
          <cell r="BA4624">
            <v>15.86</v>
          </cell>
        </row>
        <row r="4625">
          <cell r="C4625" t="str">
            <v>4504 - HAND DRIVN FASTNR (NAILS,SCRW</v>
          </cell>
          <cell r="D4625" t="str">
            <v>GRC6R92HG1</v>
          </cell>
          <cell r="BA4625">
            <v>30.26</v>
          </cell>
        </row>
        <row r="4626">
          <cell r="C4626" t="str">
            <v>4504 - HAND DRIVN FASTNR (NAILS,SCRW</v>
          </cell>
          <cell r="D4626" t="str">
            <v>GRC7R92HG1</v>
          </cell>
          <cell r="BA4626">
            <v>32.619999999999997</v>
          </cell>
        </row>
        <row r="4627">
          <cell r="C4627" t="str">
            <v>4504 - HAND DRIVN FASTNR (NAILS,SCRW</v>
          </cell>
          <cell r="D4627" t="str">
            <v>GRPTN158S25B</v>
          </cell>
          <cell r="BA4627">
            <v>94.74</v>
          </cell>
        </row>
        <row r="4628">
          <cell r="C4628" t="str">
            <v>4504 - HAND DRIVN FASTNR (NAILS,SCRW</v>
          </cell>
          <cell r="D4628" t="str">
            <v>PTN158S1</v>
          </cell>
          <cell r="BA4628">
            <v>5.22</v>
          </cell>
        </row>
        <row r="4629">
          <cell r="C4629" t="str">
            <v>4504 - HAND DRIVN FASTNR (NAILS,SCRW</v>
          </cell>
          <cell r="D4629" t="str">
            <v>GR114GCS1</v>
          </cell>
          <cell r="BA4629">
            <v>3.94</v>
          </cell>
        </row>
        <row r="4630">
          <cell r="C4630" t="str">
            <v>4504 - HAND DRIVN FASTNR (NAILS,SCRW</v>
          </cell>
          <cell r="D4630" t="str">
            <v>GR114GCS5</v>
          </cell>
          <cell r="BA4630">
            <v>15.17</v>
          </cell>
        </row>
        <row r="4631">
          <cell r="C4631" t="str">
            <v>4504 - HAND DRIVN FASTNR (NAILS,SCRW</v>
          </cell>
          <cell r="D4631" t="str">
            <v>GR158GCS1</v>
          </cell>
          <cell r="BA4631">
            <v>3.94</v>
          </cell>
        </row>
        <row r="4632">
          <cell r="C4632" t="str">
            <v>4504 - HAND DRIVN FASTNR (NAILS,SCRW</v>
          </cell>
          <cell r="D4632" t="str">
            <v>GR158GCS5</v>
          </cell>
          <cell r="BA4632">
            <v>15.17</v>
          </cell>
        </row>
        <row r="4633">
          <cell r="C4633" t="str">
            <v>4504 - HAND DRIVN FASTNR (NAILS,SCRW</v>
          </cell>
          <cell r="D4633" t="str">
            <v>GR2GCS1</v>
          </cell>
          <cell r="BA4633">
            <v>3.94</v>
          </cell>
        </row>
        <row r="4634">
          <cell r="C4634" t="str">
            <v>4504 - HAND DRIVN FASTNR (NAILS,SCRW</v>
          </cell>
          <cell r="D4634" t="str">
            <v>GR2GCS5</v>
          </cell>
          <cell r="BA4634">
            <v>15.17</v>
          </cell>
        </row>
        <row r="4635">
          <cell r="C4635" t="str">
            <v>4504 - HAND DRIVN FASTNR (NAILS,SCRW</v>
          </cell>
          <cell r="D4635" t="str">
            <v>GR212GCS1</v>
          </cell>
          <cell r="BA4635">
            <v>3.94</v>
          </cell>
        </row>
        <row r="4636">
          <cell r="C4636" t="str">
            <v>4504 - HAND DRIVN FASTNR (NAILS,SCRW</v>
          </cell>
          <cell r="D4636" t="str">
            <v>GR212GCS5</v>
          </cell>
          <cell r="BA4636">
            <v>15.17</v>
          </cell>
        </row>
        <row r="4637">
          <cell r="C4637" t="str">
            <v>4504 - HAND DRIVN FASTNR (NAILS,SCRW</v>
          </cell>
          <cell r="D4637" t="str">
            <v>GR212GCS25BK</v>
          </cell>
          <cell r="BA4637">
            <v>66.099999999999994</v>
          </cell>
        </row>
        <row r="4638">
          <cell r="C4638" t="str">
            <v>4504 - HAND DRIVN FASTNR (NAILS,SCRW</v>
          </cell>
          <cell r="D4638" t="str">
            <v>GR3GCS1</v>
          </cell>
          <cell r="BA4638">
            <v>3.94</v>
          </cell>
        </row>
        <row r="4639">
          <cell r="C4639" t="str">
            <v>4504 - HAND DRIVN FASTNR (NAILS,SCRW</v>
          </cell>
          <cell r="D4639" t="str">
            <v>GR3GCS5</v>
          </cell>
          <cell r="BA4639">
            <v>15.17</v>
          </cell>
        </row>
        <row r="4640">
          <cell r="C4640" t="str">
            <v>4504 - HAND DRIVN FASTNR (NAILS,SCRW</v>
          </cell>
          <cell r="D4640" t="str">
            <v>GR3GCS25BK</v>
          </cell>
          <cell r="BA4640">
            <v>66.099999999999994</v>
          </cell>
        </row>
        <row r="4641">
          <cell r="C4641" t="str">
            <v>4504 - HAND DRIVN FASTNR (NAILS,SCRW</v>
          </cell>
          <cell r="D4641" t="str">
            <v>GR312GCS1</v>
          </cell>
          <cell r="BA4641">
            <v>3.94</v>
          </cell>
        </row>
        <row r="4642">
          <cell r="C4642" t="str">
            <v>4504 - HAND DRIVN FASTNR (NAILS,SCRW</v>
          </cell>
          <cell r="D4642" t="str">
            <v>GR312GCS5</v>
          </cell>
          <cell r="BA4642">
            <v>15.17</v>
          </cell>
        </row>
        <row r="4643">
          <cell r="C4643" t="str">
            <v>4504 - HAND DRIVN FASTNR (NAILS,SCRW</v>
          </cell>
          <cell r="D4643" t="str">
            <v>GR4GCS1</v>
          </cell>
          <cell r="BA4643">
            <v>3.94</v>
          </cell>
        </row>
        <row r="4644">
          <cell r="C4644" t="str">
            <v>4504 - HAND DRIVN FASTNR (NAILS,SCRW</v>
          </cell>
          <cell r="D4644" t="str">
            <v>GR158THGCS8OZ</v>
          </cell>
          <cell r="BA4644">
            <v>2.4700000000000002</v>
          </cell>
        </row>
        <row r="4645">
          <cell r="C4645" t="str">
            <v>4504 - HAND DRIVN FASTNR (NAILS,SCRW</v>
          </cell>
          <cell r="D4645" t="str">
            <v>GR214THGCS8OZ</v>
          </cell>
          <cell r="BA4645">
            <v>2.4700000000000002</v>
          </cell>
        </row>
        <row r="4646">
          <cell r="C4646" t="str">
            <v>4504 - HAND DRIVN FASTNR (NAILS,SCRW</v>
          </cell>
          <cell r="D4646" t="str">
            <v>GR3THGCS8OZ</v>
          </cell>
          <cell r="BA4646">
            <v>2.4700000000000002</v>
          </cell>
        </row>
        <row r="4647">
          <cell r="C4647" t="str">
            <v>4504 - HAND DRIVN FASTNR (NAILS,SCRW</v>
          </cell>
          <cell r="D4647" t="str">
            <v>PTN158S5</v>
          </cell>
          <cell r="BA4647">
            <v>23.05</v>
          </cell>
        </row>
        <row r="4648">
          <cell r="C4648" t="str">
            <v>4504 - HAND DRIVN FASTNR (NAILS,SCRW</v>
          </cell>
          <cell r="D4648" t="str">
            <v>PTN3S1</v>
          </cell>
          <cell r="BA4648">
            <v>5.22</v>
          </cell>
        </row>
        <row r="4649">
          <cell r="C4649" t="str">
            <v>4504 - HAND DRIVN FASTNR (NAILS,SCRW</v>
          </cell>
          <cell r="D4649" t="str">
            <v>GRPTN3S5</v>
          </cell>
          <cell r="BA4649">
            <v>23.05</v>
          </cell>
        </row>
        <row r="4650">
          <cell r="C4650" t="str">
            <v>4504 - HAND DRIVN FASTNR (NAILS,SCRW</v>
          </cell>
          <cell r="D4650" t="str">
            <v>PTN312S1</v>
          </cell>
          <cell r="BA4650">
            <v>5.22</v>
          </cell>
        </row>
        <row r="4651">
          <cell r="C4651" t="str">
            <v>4504 - HAND DRIVN FASTNR (NAILS,SCRW</v>
          </cell>
          <cell r="D4651" t="str">
            <v>SDS25312-R25L</v>
          </cell>
          <cell r="BA4651">
            <v>16.46</v>
          </cell>
        </row>
        <row r="4652">
          <cell r="C4652" t="str">
            <v>4504 - HAND DRIVN FASTNR (NAILS,SCRW</v>
          </cell>
          <cell r="D4652" t="str">
            <v>SIFSC65L10188</v>
          </cell>
          <cell r="BA4652">
            <v>27.18</v>
          </cell>
        </row>
        <row r="4653">
          <cell r="C4653" t="str">
            <v>4504 - HAND DRIVN FASTNR (NAILS,SCRW</v>
          </cell>
          <cell r="D4653" t="str">
            <v>SIFSC31L10188AG</v>
          </cell>
          <cell r="BA4653">
            <v>27.18</v>
          </cell>
        </row>
        <row r="4654">
          <cell r="C4654" t="str">
            <v>4504 - HAND DRIVN FASTNR (NAILS,SCRW</v>
          </cell>
          <cell r="D4654" t="str">
            <v>SIFSC37L10188AG</v>
          </cell>
          <cell r="BA4654">
            <v>19.97</v>
          </cell>
        </row>
        <row r="4655">
          <cell r="C4655" t="str">
            <v>4504 - HAND DRIVN FASTNR (NAILS,SCRW</v>
          </cell>
          <cell r="D4655" t="str">
            <v>SIPXDC640F275</v>
          </cell>
          <cell r="BA4655">
            <v>118.95</v>
          </cell>
        </row>
        <row r="4656">
          <cell r="C4656" t="str">
            <v>4504 - HAND DRIVN FASTNR (NAILS,SCRW</v>
          </cell>
          <cell r="D4656" t="str">
            <v>SIPXDC641F275</v>
          </cell>
          <cell r="BA4656">
            <v>101.28</v>
          </cell>
        </row>
        <row r="4657">
          <cell r="C4657" t="str">
            <v>4504 - HAND DRIVN FASTNR (NAILS,SCRW</v>
          </cell>
          <cell r="D4657" t="str">
            <v>SIPXDC642F275</v>
          </cell>
          <cell r="BA4657">
            <v>118.95</v>
          </cell>
        </row>
        <row r="4658">
          <cell r="C4658" t="str">
            <v>4504 - HAND DRIVN FASTNR (NAILS,SCRW</v>
          </cell>
          <cell r="D4658" t="str">
            <v>SIPXDC702F275</v>
          </cell>
          <cell r="BA4658">
            <v>118.95</v>
          </cell>
        </row>
        <row r="4659">
          <cell r="C4659" t="str">
            <v>4504 - HAND DRIVN FASTNR (NAILS,SCRW</v>
          </cell>
          <cell r="D4659" t="str">
            <v>SIFST55L09188O</v>
          </cell>
          <cell r="BA4659">
            <v>27.18</v>
          </cell>
        </row>
        <row r="4660">
          <cell r="C4660" t="str">
            <v>4504 - HAND DRIVN FASTNR (NAILS,SCRW</v>
          </cell>
          <cell r="D4660" t="str">
            <v>SIFST34L09188O</v>
          </cell>
          <cell r="BA4660">
            <v>27.65</v>
          </cell>
        </row>
        <row r="4661">
          <cell r="C4661" t="str">
            <v>4504 - HAND DRIVN FASTNR (NAILS,SCRW</v>
          </cell>
          <cell r="D4661" t="str">
            <v>SIFST53L09188O</v>
          </cell>
          <cell r="BA4661">
            <v>26.12</v>
          </cell>
        </row>
        <row r="4662">
          <cell r="C4662" t="str">
            <v>4504 - HAND DRIVN FASTNR (NAILS,SCRW</v>
          </cell>
          <cell r="D4662" t="str">
            <v>SIFST54L09188O</v>
          </cell>
          <cell r="BA4662">
            <v>24.1</v>
          </cell>
        </row>
        <row r="4663">
          <cell r="C4663" t="str">
            <v>4504 - HAND DRIVN FASTNR (NAILS,SCRW</v>
          </cell>
          <cell r="D4663" t="str">
            <v>SIFST65L09188O</v>
          </cell>
          <cell r="BA4663">
            <v>27.78</v>
          </cell>
        </row>
        <row r="4664">
          <cell r="C4664" t="str">
            <v>4504 - HAND DRIVN FASTNR (NAILS,SCRW</v>
          </cell>
          <cell r="D4664" t="str">
            <v>SIFST71L09188O</v>
          </cell>
          <cell r="BA4664">
            <v>27.18</v>
          </cell>
        </row>
        <row r="4665">
          <cell r="C4665" t="str">
            <v>4504 - HAND DRIVN FASTNR (NAILS,SCRW</v>
          </cell>
          <cell r="D4665" t="str">
            <v>SIFST73L09188O</v>
          </cell>
          <cell r="BA4665">
            <v>27.18</v>
          </cell>
        </row>
        <row r="4666">
          <cell r="C4666" t="str">
            <v>4504 - HAND DRIVN FASTNR (NAILS,SCRW</v>
          </cell>
          <cell r="D4666" t="str">
            <v>SIFSC34L10188</v>
          </cell>
          <cell r="BA4666">
            <v>27.18</v>
          </cell>
        </row>
        <row r="4667">
          <cell r="C4667" t="str">
            <v>4504 - HAND DRIVN FASTNR (NAILS,SCRW</v>
          </cell>
          <cell r="D4667" t="str">
            <v>SIFSC63L10188</v>
          </cell>
          <cell r="BA4667">
            <v>39.56</v>
          </cell>
        </row>
        <row r="4668">
          <cell r="C4668" t="str">
            <v>4504 - HAND DRIVN FASTNR (NAILS,SCRW</v>
          </cell>
          <cell r="D4668" t="str">
            <v>SIFSC71L10188</v>
          </cell>
          <cell r="BA4668">
            <v>41.54</v>
          </cell>
        </row>
        <row r="4669">
          <cell r="C4669" t="str">
            <v>4504 - HAND DRIVN FASTNR (NAILS,SCRW</v>
          </cell>
          <cell r="D4669" t="str">
            <v>SIFSC73L10188</v>
          </cell>
          <cell r="BA4669">
            <v>27.18</v>
          </cell>
        </row>
        <row r="4670">
          <cell r="C4670" t="str">
            <v>4504 - HAND DRIVN FASTNR (NAILS,SCRW</v>
          </cell>
          <cell r="D4670" t="str">
            <v>SIFSC37L10188</v>
          </cell>
          <cell r="BA4670">
            <v>39.56</v>
          </cell>
        </row>
        <row r="4671">
          <cell r="C4671" t="str">
            <v>4504 - HAND DRIVN FASTNR (NAILS,SCRW</v>
          </cell>
          <cell r="D4671" t="str">
            <v>FIBKTBRDCSTSP25</v>
          </cell>
          <cell r="BA4671">
            <v>26.44</v>
          </cell>
        </row>
        <row r="4672">
          <cell r="C4672" t="str">
            <v>4504 - HAND DRIVN FASTNR (NAILS,SCRW</v>
          </cell>
          <cell r="D4672" t="str">
            <v>THB2PK01</v>
          </cell>
          <cell r="BA4672">
            <v>9.85</v>
          </cell>
        </row>
        <row r="4673">
          <cell r="C4673" t="str">
            <v>4504 - HAND DRIVN FASTNR (NAILS,SCRW</v>
          </cell>
          <cell r="D4673" t="str">
            <v>TDDS1PK01</v>
          </cell>
          <cell r="BA4673">
            <v>11.86</v>
          </cell>
        </row>
        <row r="4674">
          <cell r="C4674" t="str">
            <v>4504 - HAND DRIVN FASTNR (NAILS,SCRW</v>
          </cell>
          <cell r="D4674" t="str">
            <v>8DUP</v>
          </cell>
          <cell r="BA4674">
            <v>118.04</v>
          </cell>
        </row>
        <row r="4675">
          <cell r="C4675" t="str">
            <v>4504 - HAND DRIVN FASTNR (NAILS,SCRW</v>
          </cell>
          <cell r="D4675" t="str">
            <v>16DUP</v>
          </cell>
          <cell r="BA4675">
            <v>58.63</v>
          </cell>
        </row>
        <row r="4676">
          <cell r="C4676" t="str">
            <v>4504 - HAND DRIVN FASTNR (NAILS,SCRW</v>
          </cell>
          <cell r="D4676" t="str">
            <v>GR6DUP</v>
          </cell>
          <cell r="BA4676">
            <v>63.19</v>
          </cell>
        </row>
        <row r="4677">
          <cell r="C4677" t="str">
            <v>4504 - HAND DRIVN FASTNR (NAILS,SCRW</v>
          </cell>
          <cell r="D4677" t="str">
            <v>134HGRF</v>
          </cell>
          <cell r="BA4677">
            <v>108.49</v>
          </cell>
        </row>
        <row r="4678">
          <cell r="C4678" t="str">
            <v>4504 - HAND DRIVN FASTNR (NAILS,SCRW</v>
          </cell>
          <cell r="D4678" t="str">
            <v>8CTDSKR</v>
          </cell>
          <cell r="BA4678">
            <v>57.63</v>
          </cell>
        </row>
        <row r="4679">
          <cell r="C4679" t="str">
            <v>4504 - HAND DRIVN FASTNR (NAILS,SCRW</v>
          </cell>
          <cell r="D4679" t="str">
            <v>12CTDSKR</v>
          </cell>
          <cell r="BA4679">
            <v>62.27</v>
          </cell>
        </row>
        <row r="4680">
          <cell r="C4680" t="str">
            <v>4504 - HAND DRIVN FASTNR (NAILS,SCRW</v>
          </cell>
          <cell r="D4680" t="str">
            <v>16CTDSKR</v>
          </cell>
          <cell r="BA4680">
            <v>57.63</v>
          </cell>
        </row>
        <row r="4681">
          <cell r="C4681" t="str">
            <v>4504 - HAND DRIVN FASTNR (NAILS,SCRW</v>
          </cell>
          <cell r="D4681" t="str">
            <v>7HDBB</v>
          </cell>
          <cell r="BA4681">
            <v>105.37</v>
          </cell>
        </row>
        <row r="4682">
          <cell r="C4682" t="str">
            <v>4504 - HAND DRIVN FASTNR (NAILS,SCRW</v>
          </cell>
          <cell r="D4682" t="str">
            <v>16HDBB</v>
          </cell>
          <cell r="BA4682">
            <v>78.650000000000006</v>
          </cell>
        </row>
        <row r="4683">
          <cell r="C4683" t="str">
            <v>4504 - HAND DRIVN FASTNR (NAILS,SCRW</v>
          </cell>
          <cell r="D4683" t="str">
            <v>GR12HGBX</v>
          </cell>
          <cell r="BA4683">
            <v>125.49</v>
          </cell>
        </row>
        <row r="4684">
          <cell r="C4684" t="str">
            <v>4504 - HAND DRIVN FASTNR (NAILS,SCRW</v>
          </cell>
          <cell r="D4684" t="str">
            <v>GR20HGBX</v>
          </cell>
          <cell r="BA4684">
            <v>105.37</v>
          </cell>
        </row>
        <row r="4685">
          <cell r="C4685" t="str">
            <v>4504 - HAND DRIVN FASTNR (NAILS,SCRW</v>
          </cell>
          <cell r="D4685" t="str">
            <v>GR8HGBX</v>
          </cell>
          <cell r="BA4685">
            <v>105.37</v>
          </cell>
        </row>
        <row r="4686">
          <cell r="C4686" t="str">
            <v>4504 - HAND DRIVN FASTNR (NAILS,SCRW</v>
          </cell>
          <cell r="D4686" t="str">
            <v>GR8HGBX5</v>
          </cell>
          <cell r="BA4686">
            <v>15.5</v>
          </cell>
        </row>
        <row r="4687">
          <cell r="C4687" t="str">
            <v>4504 - HAND DRIVN FASTNR (NAILS,SCRW</v>
          </cell>
          <cell r="D4687" t="str">
            <v>HGN16HGBX</v>
          </cell>
          <cell r="BA4687">
            <v>60.78</v>
          </cell>
        </row>
        <row r="4688">
          <cell r="C4688" t="str">
            <v>4504 - HAND DRIVN FASTNR (NAILS,SCRW</v>
          </cell>
          <cell r="D4688" t="str">
            <v>12SPIKE</v>
          </cell>
          <cell r="BA4688">
            <v>109.24</v>
          </cell>
        </row>
        <row r="4689">
          <cell r="C4689" t="str">
            <v>4504 - HAND DRIVN FASTNR (NAILS,SCRW</v>
          </cell>
          <cell r="D4689" t="str">
            <v>8DUP30BK</v>
          </cell>
          <cell r="BA4689">
            <v>55.21</v>
          </cell>
        </row>
        <row r="4690">
          <cell r="C4690" t="str">
            <v>4504 - HAND DRIVN FASTNR (NAILS,SCRW</v>
          </cell>
          <cell r="D4690" t="str">
            <v>GR10HGBX</v>
          </cell>
          <cell r="BA4690">
            <v>105.37</v>
          </cell>
        </row>
        <row r="4691">
          <cell r="C4691" t="str">
            <v>4504 - HAND DRIVN FASTNR (NAILS,SCRW</v>
          </cell>
          <cell r="D4691" t="str">
            <v>8CTDSKR30B</v>
          </cell>
          <cell r="BA4691">
            <v>51.4</v>
          </cell>
        </row>
        <row r="4692">
          <cell r="C4692" t="str">
            <v>4504 - HAND DRIVN FASTNR (NAILS,SCRW</v>
          </cell>
          <cell r="D4692" t="str">
            <v>GR16SKR30BK</v>
          </cell>
          <cell r="BA4692">
            <v>56.54</v>
          </cell>
        </row>
        <row r="4693">
          <cell r="C4693" t="str">
            <v>4504 - HAND DRIVN FASTNR (NAILS,SCRW</v>
          </cell>
          <cell r="D4693" t="str">
            <v>GR34HGRFG1</v>
          </cell>
          <cell r="BA4693">
            <v>4.95</v>
          </cell>
        </row>
        <row r="4694">
          <cell r="C4694" t="str">
            <v>4504 - HAND DRIVN FASTNR (NAILS,SCRW</v>
          </cell>
          <cell r="D4694" t="str">
            <v>114HDGR5</v>
          </cell>
          <cell r="BA4694">
            <v>19.809999999999999</v>
          </cell>
        </row>
        <row r="4695">
          <cell r="C4695" t="str">
            <v>4504 - HAND DRIVN FASTNR (NAILS,SCRW</v>
          </cell>
          <cell r="D4695" t="str">
            <v>GR112HGRFG5</v>
          </cell>
          <cell r="BA4695">
            <v>19.809999999999999</v>
          </cell>
        </row>
        <row r="4696">
          <cell r="C4696" t="str">
            <v>4504 - HAND DRIVN FASTNR (NAILS,SCRW</v>
          </cell>
          <cell r="D4696" t="str">
            <v>134HGRG5</v>
          </cell>
          <cell r="BA4696">
            <v>19.809999999999999</v>
          </cell>
        </row>
        <row r="4697">
          <cell r="C4697" t="str">
            <v>4504 - HAND DRIVN FASTNR (NAILS,SCRW</v>
          </cell>
          <cell r="D4697" t="str">
            <v>GRMAXN6RSSK3045</v>
          </cell>
          <cell r="BA4697">
            <v>77.150000000000006</v>
          </cell>
        </row>
        <row r="4698">
          <cell r="C4698" t="str">
            <v>4504 - HAND DRIVN FASTNR (NAILS,SCRW</v>
          </cell>
          <cell r="D4698" t="str">
            <v>GR20HGBX5</v>
          </cell>
          <cell r="BA4698">
            <v>15.5</v>
          </cell>
        </row>
        <row r="4699">
          <cell r="C4699" t="str">
            <v>4504 - HAND DRIVN FASTNR (NAILS,SCRW</v>
          </cell>
          <cell r="D4699" t="str">
            <v>GR8HGBX10BK</v>
          </cell>
          <cell r="BA4699">
            <v>35.71</v>
          </cell>
        </row>
        <row r="4700">
          <cell r="C4700" t="str">
            <v>4504 - HAND DRIVN FASTNR (NAILS,SCRW</v>
          </cell>
          <cell r="D4700" t="str">
            <v>GR16HGBX10BK</v>
          </cell>
          <cell r="BA4700">
            <v>35.71</v>
          </cell>
        </row>
        <row r="4701">
          <cell r="C4701" t="str">
            <v>4504 - HAND DRIVN FASTNR (NAILS,SCRW</v>
          </cell>
          <cell r="D4701" t="str">
            <v>HGN12HGBX5</v>
          </cell>
          <cell r="BA4701">
            <v>18.350000000000001</v>
          </cell>
        </row>
        <row r="4702">
          <cell r="C4702" t="str">
            <v>4504 - HAND DRIVN FASTNR (NAILS,SCRW</v>
          </cell>
          <cell r="D4702" t="str">
            <v>HGN20HGBX5</v>
          </cell>
          <cell r="BA4702">
            <v>14.94</v>
          </cell>
        </row>
        <row r="4703">
          <cell r="C4703" t="str">
            <v>4504 - HAND DRIVN FASTNR (NAILS,SCRW</v>
          </cell>
          <cell r="D4703" t="str">
            <v>HGN7HGBX5</v>
          </cell>
          <cell r="BA4703">
            <v>14.94</v>
          </cell>
        </row>
        <row r="4704">
          <cell r="C4704" t="str">
            <v>4504 - HAND DRIVN FASTNR (NAILS,SCRW</v>
          </cell>
          <cell r="D4704" t="str">
            <v>8CTDSKR5</v>
          </cell>
          <cell r="BA4704">
            <v>11.24</v>
          </cell>
        </row>
        <row r="4705">
          <cell r="C4705" t="str">
            <v>4504 - HAND DRIVN FASTNR (NAILS,SCRW</v>
          </cell>
          <cell r="D4705" t="str">
            <v>12CTDSKR5</v>
          </cell>
          <cell r="BA4705">
            <v>14.45</v>
          </cell>
        </row>
        <row r="4706">
          <cell r="C4706" t="str">
            <v>4504 - HAND DRIVN FASTNR (NAILS,SCRW</v>
          </cell>
          <cell r="D4706" t="str">
            <v>16CTDSKR5</v>
          </cell>
          <cell r="BA4706">
            <v>11.24</v>
          </cell>
        </row>
        <row r="4707">
          <cell r="C4707" t="str">
            <v>4504 - HAND DRIVN FASTNR (NAILS,SCRW</v>
          </cell>
          <cell r="D4707" t="str">
            <v>6HGBX5</v>
          </cell>
          <cell r="BA4707">
            <v>15.5</v>
          </cell>
        </row>
        <row r="4708">
          <cell r="C4708" t="str">
            <v>4504 - HAND DRIVN FASTNR (NAILS,SCRW</v>
          </cell>
          <cell r="D4708" t="str">
            <v>GR12HGBX5</v>
          </cell>
          <cell r="BA4708">
            <v>18.62</v>
          </cell>
        </row>
        <row r="4709">
          <cell r="C4709" t="str">
            <v>4504 - HAND DRIVN FASTNR (NAILS,SCRW</v>
          </cell>
          <cell r="D4709" t="str">
            <v>10HGBX5</v>
          </cell>
          <cell r="BA4709">
            <v>15.5</v>
          </cell>
        </row>
        <row r="4710">
          <cell r="C4710" t="str">
            <v>4504 - HAND DRIVN FASTNR (NAILS,SCRW</v>
          </cell>
          <cell r="D4710" t="str">
            <v>16HGBX5</v>
          </cell>
          <cell r="BA4710">
            <v>15.5</v>
          </cell>
        </row>
        <row r="4711">
          <cell r="C4711" t="str">
            <v>4504 - HAND DRIVN FASTNR (NAILS,SCRW</v>
          </cell>
          <cell r="D4711" t="str">
            <v>GRMAXN4RSSD3165</v>
          </cell>
          <cell r="BA4711">
            <v>113.65</v>
          </cell>
        </row>
        <row r="4712">
          <cell r="C4712" t="str">
            <v>4504 - HAND DRIVN FASTNR (NAILS,SCRW</v>
          </cell>
          <cell r="D4712" t="str">
            <v>GRMAXN5RSSD3165</v>
          </cell>
          <cell r="BA4712">
            <v>113.65</v>
          </cell>
        </row>
        <row r="4713">
          <cell r="C4713" t="str">
            <v>4504 - HAND DRIVN FASTNR (NAILS,SCRW</v>
          </cell>
          <cell r="D4713" t="str">
            <v>GRMAXN6RSSD3165</v>
          </cell>
          <cell r="BA4713">
            <v>113.65</v>
          </cell>
        </row>
        <row r="4714">
          <cell r="C4714" t="str">
            <v>4504 - HAND DRIVN FASTNR (NAILS,SCRW</v>
          </cell>
          <cell r="D4714" t="str">
            <v>GRMAXN7RSSD3165</v>
          </cell>
          <cell r="BA4714">
            <v>113.65</v>
          </cell>
        </row>
        <row r="4715">
          <cell r="C4715" t="str">
            <v>4504 - HAND DRIVN FASTNR (NAILS,SCRW</v>
          </cell>
          <cell r="D4715" t="str">
            <v>GRMAXN8RSSD3165</v>
          </cell>
          <cell r="BA4715">
            <v>113.65</v>
          </cell>
        </row>
        <row r="4716">
          <cell r="C4716" t="str">
            <v>4504 - HAND DRIVN FASTNR (NAILS,SCRW</v>
          </cell>
          <cell r="D4716" t="str">
            <v>GRMAXN10RSSD3165</v>
          </cell>
          <cell r="BA4716">
            <v>113.65</v>
          </cell>
        </row>
        <row r="4717">
          <cell r="C4717" t="str">
            <v>4504 - HAND DRIVN FASTNR (NAILS,SCRW</v>
          </cell>
          <cell r="D4717" t="str">
            <v>GRMAXN4RSSD3045</v>
          </cell>
          <cell r="BA4717">
            <v>70.41</v>
          </cell>
        </row>
        <row r="4718">
          <cell r="C4718" t="str">
            <v>4504 - HAND DRIVN FASTNR (NAILS,SCRW</v>
          </cell>
          <cell r="D4718" t="str">
            <v>GRMAXN7RSSD3045</v>
          </cell>
          <cell r="BA4718">
            <v>70.41</v>
          </cell>
        </row>
        <row r="4719">
          <cell r="C4719" t="str">
            <v>4504 - HAND DRIVN FASTNR (NAILS,SCRW</v>
          </cell>
          <cell r="D4719" t="str">
            <v>GRMAXN10RSSD3045</v>
          </cell>
          <cell r="BA4719">
            <v>70.41</v>
          </cell>
        </row>
        <row r="4720">
          <cell r="C4720" t="str">
            <v>4504 - HAND DRIVN FASTNR (NAILS,SCRW</v>
          </cell>
          <cell r="D4720" t="str">
            <v>MAXN8RSSD3045</v>
          </cell>
          <cell r="BA4720">
            <v>70.41</v>
          </cell>
        </row>
        <row r="4721">
          <cell r="C4721" t="str">
            <v>4504 - HAND DRIVN FASTNR (NAILS,SCRW</v>
          </cell>
          <cell r="D4721" t="str">
            <v>S10SND5</v>
          </cell>
          <cell r="BA4721">
            <v>58.91</v>
          </cell>
        </row>
        <row r="4722">
          <cell r="C4722" t="str">
            <v>4504 - HAND DRIVN FASTNR (NAILS,SCRW</v>
          </cell>
          <cell r="D4722" t="str">
            <v>S16SND5</v>
          </cell>
          <cell r="BA4722">
            <v>58.91</v>
          </cell>
        </row>
        <row r="4723">
          <cell r="C4723" t="str">
            <v>4504 - HAND DRIVN FASTNR (NAILS,SCRW</v>
          </cell>
          <cell r="D4723" t="str">
            <v>S5SND5</v>
          </cell>
          <cell r="BA4723">
            <v>58.91</v>
          </cell>
        </row>
        <row r="4724">
          <cell r="C4724" t="str">
            <v>4504 - HAND DRIVN FASTNR (NAILS,SCRW</v>
          </cell>
          <cell r="D4724" t="str">
            <v>S7SND5</v>
          </cell>
          <cell r="BA4724">
            <v>58.91</v>
          </cell>
        </row>
        <row r="4725">
          <cell r="C4725" t="str">
            <v>4504 - HAND DRIVN FASTNR (NAILS,SCRW</v>
          </cell>
          <cell r="D4725" t="str">
            <v>S8SND5</v>
          </cell>
          <cell r="BA4725">
            <v>58.91</v>
          </cell>
        </row>
        <row r="4726">
          <cell r="C4726" t="str">
            <v>4504 - HAND DRIVN FASTNR (NAILS,SCRW</v>
          </cell>
          <cell r="D4726" t="str">
            <v>GR3BLULATH5</v>
          </cell>
          <cell r="BA4726">
            <v>20.86</v>
          </cell>
        </row>
        <row r="4727">
          <cell r="C4727" t="str">
            <v>4504 - HAND DRIVN FASTNR (NAILS,SCRW</v>
          </cell>
          <cell r="D4727" t="str">
            <v>114HGJST5</v>
          </cell>
          <cell r="BA4727">
            <v>19.100000000000001</v>
          </cell>
        </row>
        <row r="4728">
          <cell r="C4728" t="str">
            <v>4504 - HAND DRIVN FASTNR (NAILS,SCRW</v>
          </cell>
          <cell r="D4728" t="str">
            <v>GR112HGJST5</v>
          </cell>
          <cell r="BA4728">
            <v>17.190000000000001</v>
          </cell>
        </row>
        <row r="4729">
          <cell r="C4729" t="str">
            <v>4504 - HAND DRIVN FASTNR (NAILS,SCRW</v>
          </cell>
          <cell r="D4729" t="str">
            <v>6DUP5</v>
          </cell>
          <cell r="BA4729">
            <v>12.33</v>
          </cell>
        </row>
        <row r="4730">
          <cell r="C4730" t="str">
            <v>4504 - HAND DRIVN FASTNR (NAILS,SCRW</v>
          </cell>
          <cell r="D4730" t="str">
            <v>8DUP5</v>
          </cell>
          <cell r="BA4730">
            <v>12.33</v>
          </cell>
        </row>
        <row r="4731">
          <cell r="C4731" t="str">
            <v>4504 - HAND DRIVN FASTNR (NAILS,SCRW</v>
          </cell>
          <cell r="D4731" t="str">
            <v>16DUP5</v>
          </cell>
          <cell r="BA4731">
            <v>12.33</v>
          </cell>
        </row>
        <row r="4732">
          <cell r="C4732" t="str">
            <v>4504 - HAND DRIVN FASTNR (NAILS,SCRW</v>
          </cell>
          <cell r="D4732" t="str">
            <v>MAXN6RSSD3045</v>
          </cell>
          <cell r="BA4732">
            <v>70.41</v>
          </cell>
        </row>
        <row r="4733">
          <cell r="C4733" t="str">
            <v>4504 - HAND DRIVN FASTNR (NAILS,SCRW</v>
          </cell>
          <cell r="D4733" t="str">
            <v>GRMAXN6RSPD3041</v>
          </cell>
          <cell r="BA4733">
            <v>19.18</v>
          </cell>
        </row>
        <row r="4734">
          <cell r="C4734" t="str">
            <v>4504 - HAND DRIVN FASTNR (NAILS,SCRW</v>
          </cell>
          <cell r="D4734" t="str">
            <v>GRMAXN10RSPD3041</v>
          </cell>
          <cell r="BA4734">
            <v>19.18</v>
          </cell>
        </row>
        <row r="4735">
          <cell r="C4735" t="str">
            <v>4504 - HAND DRIVN FASTNR (NAILS,SCRW</v>
          </cell>
          <cell r="D4735" t="str">
            <v>GRMAXN16RSPD3041</v>
          </cell>
          <cell r="BA4735">
            <v>19.18</v>
          </cell>
        </row>
        <row r="4736">
          <cell r="C4736" t="str">
            <v>4504 - HAND DRIVN FASTNR (NAILS,SCRW</v>
          </cell>
          <cell r="D4736" t="str">
            <v>12HGBX1</v>
          </cell>
          <cell r="BA4736">
            <v>4.28</v>
          </cell>
        </row>
        <row r="4737">
          <cell r="C4737" t="str">
            <v>4504 - HAND DRIVN FASTNR (NAILS,SCRW</v>
          </cell>
          <cell r="D4737" t="str">
            <v>4F6OZ</v>
          </cell>
          <cell r="BA4737">
            <v>2.17</v>
          </cell>
        </row>
        <row r="4738">
          <cell r="C4738" t="str">
            <v>4504 - HAND DRIVN FASTNR (NAILS,SCRW</v>
          </cell>
          <cell r="D4738" t="str">
            <v>GR3F6OZ</v>
          </cell>
          <cell r="BA4738">
            <v>2.17</v>
          </cell>
        </row>
        <row r="4739">
          <cell r="C4739" t="str">
            <v>4504 - HAND DRIVN FASTNR (NAILS,SCRW</v>
          </cell>
          <cell r="D4739" t="str">
            <v>GR6F6OZ</v>
          </cell>
          <cell r="BA4739">
            <v>2.17</v>
          </cell>
        </row>
        <row r="4740">
          <cell r="C4740" t="str">
            <v>4504 - HAND DRIVN FASTNR (NAILS,SCRW</v>
          </cell>
          <cell r="D4740" t="str">
            <v>GR8F6OZ</v>
          </cell>
          <cell r="BA4740">
            <v>2.17</v>
          </cell>
        </row>
        <row r="4741">
          <cell r="C4741" t="str">
            <v>4504 - HAND DRIVN FASTNR (NAILS,SCRW</v>
          </cell>
          <cell r="D4741" t="str">
            <v>4GF1</v>
          </cell>
          <cell r="BA4741">
            <v>4.63</v>
          </cell>
        </row>
        <row r="4742">
          <cell r="C4742" t="str">
            <v>4504 - HAND DRIVN FASTNR (NAILS,SCRW</v>
          </cell>
          <cell r="D4742" t="str">
            <v>8HGF1</v>
          </cell>
          <cell r="BA4742">
            <v>4.63</v>
          </cell>
        </row>
        <row r="4743">
          <cell r="C4743" t="str">
            <v>4504 - HAND DRIVN FASTNR (NAILS,SCRW</v>
          </cell>
          <cell r="D4743" t="str">
            <v>GR8HGF6OZ</v>
          </cell>
          <cell r="BA4743">
            <v>3.13</v>
          </cell>
        </row>
        <row r="4744">
          <cell r="C4744" t="str">
            <v>4504 - HAND DRIVN FASTNR (NAILS,SCRW</v>
          </cell>
          <cell r="D4744" t="str">
            <v>GR6HGF6OZ</v>
          </cell>
          <cell r="BA4744">
            <v>3.13</v>
          </cell>
        </row>
        <row r="4745">
          <cell r="C4745" t="str">
            <v>4504 - HAND DRIVN FASTNR (NAILS,SCRW</v>
          </cell>
          <cell r="D4745" t="str">
            <v>GR4HGF6OZ</v>
          </cell>
          <cell r="BA4745">
            <v>3.13</v>
          </cell>
        </row>
        <row r="4746">
          <cell r="C4746" t="str">
            <v>4504 - HAND DRIVN FASTNR (NAILS,SCRW</v>
          </cell>
          <cell r="D4746" t="str">
            <v>114HDGR1</v>
          </cell>
          <cell r="BA4746">
            <v>4.95</v>
          </cell>
        </row>
        <row r="4747">
          <cell r="C4747" t="str">
            <v>4504 - HAND DRIVN FASTNR (NAILS,SCRW</v>
          </cell>
          <cell r="D4747" t="str">
            <v>GRMAXN2RSRFG3041</v>
          </cell>
          <cell r="BA4747">
            <v>13.35</v>
          </cell>
        </row>
        <row r="4748">
          <cell r="C4748" t="str">
            <v>4504 - HAND DRIVN FASTNR (NAILS,SCRW</v>
          </cell>
          <cell r="D4748" t="str">
            <v>MAXN114RSRFG3041</v>
          </cell>
          <cell r="BA4748">
            <v>13.35</v>
          </cell>
        </row>
        <row r="4749">
          <cell r="C4749" t="str">
            <v>4504 - HAND DRIVN FASTNR (NAILS,SCRW</v>
          </cell>
          <cell r="D4749" t="str">
            <v>MAXN112RSRFG3041</v>
          </cell>
          <cell r="BA4749">
            <v>13.35</v>
          </cell>
        </row>
        <row r="4750">
          <cell r="C4750" t="str">
            <v>4504 - HAND DRIVN FASTNR (NAILS,SCRW</v>
          </cell>
          <cell r="D4750" t="str">
            <v>GRMAXN4RSSK3041</v>
          </cell>
          <cell r="BA4750">
            <v>13.35</v>
          </cell>
        </row>
        <row r="4751">
          <cell r="C4751" t="str">
            <v>4504 - HAND DRIVN FASTNR (NAILS,SCRW</v>
          </cell>
          <cell r="D4751" t="str">
            <v>GRMAXN6RSSK3041</v>
          </cell>
          <cell r="BA4751">
            <v>13.35</v>
          </cell>
        </row>
        <row r="4752">
          <cell r="C4752" t="str">
            <v>4504 - HAND DRIVN FASTNR (NAILS,SCRW</v>
          </cell>
          <cell r="D4752" t="str">
            <v>GR16HGBX1</v>
          </cell>
          <cell r="BA4752">
            <v>4.28</v>
          </cell>
        </row>
        <row r="4753">
          <cell r="C4753" t="str">
            <v>4504 - HAND DRIVN FASTNR (NAILS,SCRW</v>
          </cell>
          <cell r="D4753" t="str">
            <v>3DGB1</v>
          </cell>
          <cell r="BA4753">
            <v>4.28</v>
          </cell>
        </row>
        <row r="4754">
          <cell r="C4754" t="str">
            <v>4504 - HAND DRIVN FASTNR (NAILS,SCRW</v>
          </cell>
          <cell r="D4754" t="str">
            <v>GR20HGBX1</v>
          </cell>
          <cell r="BA4754">
            <v>4.28</v>
          </cell>
        </row>
        <row r="4755">
          <cell r="C4755" t="str">
            <v>4504 - HAND DRIVN FASTNR (NAILS,SCRW</v>
          </cell>
          <cell r="D4755" t="str">
            <v>4DGB1</v>
          </cell>
          <cell r="BA4755">
            <v>4.28</v>
          </cell>
        </row>
        <row r="4756">
          <cell r="C4756" t="str">
            <v>4504 - HAND DRIVN FASTNR (NAILS,SCRW</v>
          </cell>
          <cell r="D4756" t="str">
            <v>3HGBX1</v>
          </cell>
          <cell r="BA4756">
            <v>4.28</v>
          </cell>
        </row>
        <row r="4757">
          <cell r="C4757" t="str">
            <v>4504 - HAND DRIVN FASTNR (NAILS,SCRW</v>
          </cell>
          <cell r="D4757" t="str">
            <v>6HGBX1</v>
          </cell>
          <cell r="BA4757">
            <v>4.28</v>
          </cell>
        </row>
        <row r="4758">
          <cell r="C4758" t="str">
            <v>4504 - HAND DRIVN FASTNR (NAILS,SCRW</v>
          </cell>
          <cell r="D4758" t="str">
            <v>7HGBX1</v>
          </cell>
          <cell r="BA4758">
            <v>4.28</v>
          </cell>
        </row>
        <row r="4759">
          <cell r="C4759" t="str">
            <v>4504 - HAND DRIVN FASTNR (NAILS,SCRW</v>
          </cell>
          <cell r="D4759" t="str">
            <v>GR7HGBX5</v>
          </cell>
          <cell r="BA4759">
            <v>18.62</v>
          </cell>
        </row>
        <row r="4760">
          <cell r="C4760" t="str">
            <v>4504 - HAND DRIVN FASTNR (NAILS,SCRW</v>
          </cell>
          <cell r="D4760" t="str">
            <v>8HGBX1</v>
          </cell>
          <cell r="BA4760">
            <v>4.28</v>
          </cell>
        </row>
        <row r="4761">
          <cell r="C4761" t="str">
            <v>4504 - HAND DRIVN FASTNR (NAILS,SCRW</v>
          </cell>
          <cell r="D4761" t="str">
            <v>10HGBX1</v>
          </cell>
          <cell r="BA4761">
            <v>4.28</v>
          </cell>
        </row>
        <row r="4762">
          <cell r="C4762" t="str">
            <v>4504 - HAND DRIVN FASTNR (NAILS,SCRW</v>
          </cell>
          <cell r="D4762" t="str">
            <v>GR5HGBX1</v>
          </cell>
          <cell r="BA4762">
            <v>4.28</v>
          </cell>
        </row>
        <row r="4763">
          <cell r="C4763" t="str">
            <v>4504 - HAND DRIVN FASTNR (NAILS,SCRW</v>
          </cell>
          <cell r="D4763" t="str">
            <v>GR16HGCAS1</v>
          </cell>
          <cell r="BA4763">
            <v>4.28</v>
          </cell>
        </row>
        <row r="4764">
          <cell r="C4764" t="str">
            <v>4504 - HAND DRIVN FASTNR (NAILS,SCRW</v>
          </cell>
          <cell r="D4764" t="str">
            <v>GR12HGCAS1</v>
          </cell>
          <cell r="BA4764">
            <v>4.28</v>
          </cell>
        </row>
        <row r="4765">
          <cell r="C4765" t="str">
            <v>4504 - HAND DRIVN FASTNR (NAILS,SCRW</v>
          </cell>
          <cell r="D4765" t="str">
            <v>112TFMAS1</v>
          </cell>
          <cell r="BA4765">
            <v>4.72</v>
          </cell>
        </row>
        <row r="4766">
          <cell r="C4766" t="str">
            <v>4504 - HAND DRIVN FASTNR (NAILS,SCRW</v>
          </cell>
          <cell r="D4766" t="str">
            <v>212TFMAS1</v>
          </cell>
          <cell r="BA4766">
            <v>5.36</v>
          </cell>
        </row>
        <row r="4767">
          <cell r="C4767" t="str">
            <v>4504 - HAND DRIVN FASTNR (NAILS,SCRW</v>
          </cell>
          <cell r="D4767" t="str">
            <v>3TFMAS1</v>
          </cell>
          <cell r="BA4767">
            <v>7.65</v>
          </cell>
        </row>
        <row r="4768">
          <cell r="C4768" t="str">
            <v>4504 - HAND DRIVN FASTNR (NAILS,SCRW</v>
          </cell>
          <cell r="D4768" t="str">
            <v>8CTDSKR1</v>
          </cell>
          <cell r="BA4768">
            <v>2.79</v>
          </cell>
        </row>
        <row r="4769">
          <cell r="C4769" t="str">
            <v>4504 - HAND DRIVN FASTNR (NAILS,SCRW</v>
          </cell>
          <cell r="D4769" t="str">
            <v>TI1AJ16</v>
          </cell>
          <cell r="BA4769">
            <v>105.38</v>
          </cell>
        </row>
        <row r="4770">
          <cell r="C4770" t="str">
            <v>4504 - HAND DRIVN FASTNR (NAILS,SCRW</v>
          </cell>
          <cell r="D4770" t="str">
            <v>TI1AJ22</v>
          </cell>
          <cell r="BA4770">
            <v>118.04</v>
          </cell>
        </row>
        <row r="4771">
          <cell r="C4771" t="str">
            <v>4504 - HAND DRIVN FASTNR (NAILS,SCRW</v>
          </cell>
          <cell r="D4771" t="str">
            <v>TI1AJ30</v>
          </cell>
          <cell r="BA4771">
            <v>91.79</v>
          </cell>
        </row>
        <row r="4772">
          <cell r="C4772" t="str">
            <v>4504 - HAND DRIVN FASTNR (NAILS,SCRW</v>
          </cell>
          <cell r="D4772" t="str">
            <v>TI1C154</v>
          </cell>
          <cell r="BA4772">
            <v>126.36</v>
          </cell>
        </row>
        <row r="4773">
          <cell r="C4773" t="str">
            <v>4504 - HAND DRIVN FASTNR (NAILS,SCRW</v>
          </cell>
          <cell r="D4773" t="str">
            <v>TI1CB20</v>
          </cell>
          <cell r="BA4773">
            <v>135.31</v>
          </cell>
        </row>
        <row r="4774">
          <cell r="C4774" t="str">
            <v>4504 - HAND DRIVN FASTNR (NAILS,SCRW</v>
          </cell>
          <cell r="D4774" t="str">
            <v>TI1CB22</v>
          </cell>
          <cell r="BA4774">
            <v>135.31</v>
          </cell>
        </row>
        <row r="4775">
          <cell r="C4775" t="str">
            <v>4504 - HAND DRIVN FASTNR (NAILS,SCRW</v>
          </cell>
          <cell r="D4775" t="str">
            <v>TI1CB24</v>
          </cell>
          <cell r="BA4775">
            <v>130.76</v>
          </cell>
        </row>
        <row r="4776">
          <cell r="C4776" t="str">
            <v>4504 - HAND DRIVN FASTNR (NAILS,SCRW</v>
          </cell>
          <cell r="D4776" t="str">
            <v>TI1CB30</v>
          </cell>
          <cell r="BA4776">
            <v>126.74</v>
          </cell>
        </row>
        <row r="4777">
          <cell r="C4777" t="str">
            <v>4504 - HAND DRIVN FASTNR (NAILS,SCRW</v>
          </cell>
          <cell r="D4777" t="str">
            <v>TI1CB32</v>
          </cell>
          <cell r="BA4777">
            <v>135.31</v>
          </cell>
        </row>
        <row r="4778">
          <cell r="C4778" t="str">
            <v>4504 - HAND DRIVN FASTNR (NAILS,SCRW</v>
          </cell>
          <cell r="D4778" t="str">
            <v>TI1CB34</v>
          </cell>
          <cell r="BA4778">
            <v>131.32</v>
          </cell>
        </row>
        <row r="4779">
          <cell r="C4779" t="str">
            <v>4504 - HAND DRIVN FASTNR (NAILS,SCRW</v>
          </cell>
          <cell r="D4779" t="str">
            <v>TI1CB40</v>
          </cell>
          <cell r="BA4779">
            <v>133.22</v>
          </cell>
        </row>
        <row r="4780">
          <cell r="C4780" t="str">
            <v>4504 - HAND DRIVN FASTNR (NAILS,SCRW</v>
          </cell>
          <cell r="D4780" t="str">
            <v>TI1CD34</v>
          </cell>
          <cell r="BA4780">
            <v>89.85</v>
          </cell>
        </row>
        <row r="4781">
          <cell r="C4781" t="str">
            <v>4504 - HAND DRIVN FASTNR (NAILS,SCRW</v>
          </cell>
          <cell r="D4781" t="str">
            <v>TI1CI24</v>
          </cell>
          <cell r="BA4781">
            <v>83.46</v>
          </cell>
        </row>
        <row r="4782">
          <cell r="C4782" t="str">
            <v>4504 - HAND DRIVN FASTNR (NAILS,SCRW</v>
          </cell>
          <cell r="D4782" t="str">
            <v>TI1FA32</v>
          </cell>
          <cell r="BA4782">
            <v>121.5</v>
          </cell>
        </row>
        <row r="4783">
          <cell r="C4783" t="str">
            <v>4504 - HAND DRIVN FASTNR (NAILS,SCRW</v>
          </cell>
          <cell r="D4783" t="str">
            <v>TI1FD32</v>
          </cell>
          <cell r="BA4783">
            <v>135.69</v>
          </cell>
        </row>
        <row r="4784">
          <cell r="C4784" t="str">
            <v>4504 - HAND DRIVN FASTNR (NAILS,SCRW</v>
          </cell>
          <cell r="D4784" t="str">
            <v>TI1QR23</v>
          </cell>
          <cell r="BA4784">
            <v>82.38</v>
          </cell>
        </row>
        <row r="4785">
          <cell r="C4785" t="str">
            <v>4504 - HAND DRIVN FASTNR (NAILS,SCRW</v>
          </cell>
          <cell r="D4785" t="str">
            <v>TI1QR31</v>
          </cell>
          <cell r="BA4785">
            <v>100.1</v>
          </cell>
        </row>
        <row r="4786">
          <cell r="C4786" t="str">
            <v>4504 - HAND DRIVN FASTNR (NAILS,SCRW</v>
          </cell>
          <cell r="D4786" t="str">
            <v>TI1QR32</v>
          </cell>
          <cell r="BA4786">
            <v>77.930000000000007</v>
          </cell>
        </row>
        <row r="4787">
          <cell r="C4787" t="str">
            <v>4504 - HAND DRIVN FASTNR (NAILS,SCRW</v>
          </cell>
          <cell r="D4787" t="str">
            <v>TI66434</v>
          </cell>
          <cell r="BA4787">
            <v>16.329999999999998</v>
          </cell>
        </row>
        <row r="4788">
          <cell r="C4788" t="str">
            <v>4504 - HAND DRIVN FASTNR (NAILS,SCRW</v>
          </cell>
          <cell r="D4788" t="str">
            <v>TI66440</v>
          </cell>
          <cell r="BA4788">
            <v>16.329999999999998</v>
          </cell>
        </row>
        <row r="4789">
          <cell r="C4789" t="str">
            <v>4504 - HAND DRIVN FASTNR (NAILS,SCRW</v>
          </cell>
          <cell r="D4789" t="str">
            <v>TI71434</v>
          </cell>
          <cell r="BA4789">
            <v>4.3600000000000003</v>
          </cell>
        </row>
        <row r="4790">
          <cell r="C4790" t="str">
            <v>4504 - HAND DRIVN FASTNR (NAILS,SCRW</v>
          </cell>
          <cell r="D4790" t="str">
            <v>TI72016</v>
          </cell>
          <cell r="BA4790">
            <v>4.18</v>
          </cell>
        </row>
        <row r="4791">
          <cell r="C4791" t="str">
            <v>4504 - HAND DRIVN FASTNR (NAILS,SCRW</v>
          </cell>
          <cell r="D4791" t="str">
            <v>GRK12075</v>
          </cell>
          <cell r="BA4791">
            <v>9.1300000000000008</v>
          </cell>
        </row>
        <row r="4792">
          <cell r="C4792" t="str">
            <v>4504 - HAND DRIVN FASTNR (NAILS,SCRW</v>
          </cell>
          <cell r="D4792" t="str">
            <v>GRK96077</v>
          </cell>
          <cell r="BA4792">
            <v>36.619999999999997</v>
          </cell>
        </row>
        <row r="4793">
          <cell r="C4793" t="str">
            <v>4504 - HAND DRIVN FASTNR (NAILS,SCRW</v>
          </cell>
          <cell r="D4793" t="str">
            <v>GRK113081</v>
          </cell>
          <cell r="BA4793">
            <v>17.47</v>
          </cell>
        </row>
        <row r="4794">
          <cell r="C4794" t="str">
            <v>4504 - HAND DRIVN FASTNR (NAILS,SCRW</v>
          </cell>
          <cell r="D4794" t="str">
            <v>GRK114069</v>
          </cell>
          <cell r="BA4794">
            <v>8.0399999999999991</v>
          </cell>
        </row>
        <row r="4795">
          <cell r="C4795" t="str">
            <v>4504 - HAND DRIVN FASTNR (NAILS,SCRW</v>
          </cell>
          <cell r="D4795" t="str">
            <v>GRK114073</v>
          </cell>
          <cell r="BA4795">
            <v>9.24</v>
          </cell>
        </row>
        <row r="4796">
          <cell r="C4796" t="str">
            <v>4504 - HAND DRIVN FASTNR (NAILS,SCRW</v>
          </cell>
          <cell r="D4796" t="str">
            <v>GRK113077</v>
          </cell>
          <cell r="BA4796">
            <v>12.99</v>
          </cell>
        </row>
        <row r="4797">
          <cell r="C4797" t="str">
            <v>4504 - HAND DRIVN FASTNR (NAILS,SCRW</v>
          </cell>
          <cell r="D4797" t="str">
            <v>GRK113079</v>
          </cell>
          <cell r="BA4797">
            <v>15.08</v>
          </cell>
        </row>
        <row r="4798">
          <cell r="C4798" t="str">
            <v>4504 - HAND DRIVN FASTNR (NAILS,SCRW</v>
          </cell>
          <cell r="D4798" t="str">
            <v>GRK114083</v>
          </cell>
          <cell r="BA4798">
            <v>10.41</v>
          </cell>
        </row>
        <row r="4799">
          <cell r="C4799" t="str">
            <v>4504 - HAND DRIVN FASTNR (NAILS,SCRW</v>
          </cell>
          <cell r="D4799" t="str">
            <v>NN344354</v>
          </cell>
          <cell r="BA4799">
            <v>50.99</v>
          </cell>
        </row>
        <row r="4800">
          <cell r="C4800" t="str">
            <v>4504 - HAND DRIVN FASTNR (NAILS,SCRW</v>
          </cell>
          <cell r="D4800" t="str">
            <v>NN344356</v>
          </cell>
          <cell r="BA4800">
            <v>343.18</v>
          </cell>
        </row>
        <row r="4801">
          <cell r="C4801" t="str">
            <v>4504 - HAND DRIVN FASTNR (NAILS,SCRW</v>
          </cell>
          <cell r="D4801" t="str">
            <v>NN344359</v>
          </cell>
          <cell r="BA4801">
            <v>216.54</v>
          </cell>
        </row>
        <row r="4802">
          <cell r="C4802" t="str">
            <v>4504 - HAND DRIVN FASTNR (NAILS,SCRW</v>
          </cell>
          <cell r="D4802" t="str">
            <v>NN345060</v>
          </cell>
          <cell r="BA4802">
            <v>171.58</v>
          </cell>
        </row>
        <row r="4803">
          <cell r="C4803" t="str">
            <v>4504 - HAND DRIVN FASTNR (NAILS,SCRW</v>
          </cell>
          <cell r="D4803" t="str">
            <v>NN395010</v>
          </cell>
          <cell r="BA4803">
            <v>116.88</v>
          </cell>
        </row>
        <row r="4804">
          <cell r="C4804" t="str">
            <v>4504 - HAND DRIVN FASTNR (NAILS,SCRW</v>
          </cell>
          <cell r="D4804" t="str">
            <v>NN395040</v>
          </cell>
          <cell r="BA4804">
            <v>139.1</v>
          </cell>
        </row>
        <row r="4805">
          <cell r="C4805" t="str">
            <v>4504 - HAND DRIVN FASTNR (NAILS,SCRW</v>
          </cell>
          <cell r="D4805" t="str">
            <v>12CTDSKR1</v>
          </cell>
          <cell r="BA4805">
            <v>3.26</v>
          </cell>
        </row>
        <row r="4806">
          <cell r="C4806" t="str">
            <v>4504 - HAND DRIVN FASTNR (NAILS,SCRW</v>
          </cell>
          <cell r="D4806" t="str">
            <v>16CTDSKR1</v>
          </cell>
          <cell r="BA4806">
            <v>2.79</v>
          </cell>
        </row>
        <row r="4807">
          <cell r="C4807" t="str">
            <v>4504 - HAND DRIVN FASTNR (NAILS,SCRW</v>
          </cell>
          <cell r="D4807" t="str">
            <v>138PCDW1</v>
          </cell>
          <cell r="BA4807">
            <v>4.21</v>
          </cell>
        </row>
        <row r="4808">
          <cell r="C4808" t="str">
            <v>4504 - HAND DRIVN FASTNR (NAILS,SCRW</v>
          </cell>
          <cell r="D4808" t="str">
            <v>GR158PCDW1</v>
          </cell>
          <cell r="BA4808">
            <v>4.21</v>
          </cell>
        </row>
        <row r="4809">
          <cell r="C4809" t="str">
            <v>4504 - HAND DRIVN FASTNR (NAILS,SCRW</v>
          </cell>
          <cell r="D4809" t="str">
            <v>8HBS1</v>
          </cell>
          <cell r="BA4809">
            <v>5.19</v>
          </cell>
        </row>
        <row r="4810">
          <cell r="C4810" t="str">
            <v>4504 - HAND DRIVN FASTNR (NAILS,SCRW</v>
          </cell>
          <cell r="D4810" t="str">
            <v>GR7HGSTHS1</v>
          </cell>
          <cell r="BA4810">
            <v>5.19</v>
          </cell>
        </row>
        <row r="4811">
          <cell r="C4811" t="str">
            <v>4504 - HAND DRIVN FASTNR (NAILS,SCRW</v>
          </cell>
          <cell r="D4811" t="str">
            <v>6DUP1</v>
          </cell>
          <cell r="BA4811">
            <v>3.12</v>
          </cell>
        </row>
        <row r="4812">
          <cell r="C4812" t="str">
            <v>4504 - HAND DRIVN FASTNR (NAILS,SCRW</v>
          </cell>
          <cell r="D4812" t="str">
            <v>8DUP1</v>
          </cell>
          <cell r="BA4812">
            <v>3.12</v>
          </cell>
        </row>
        <row r="4813">
          <cell r="C4813" t="str">
            <v>4504 - HAND DRIVN FASTNR (NAILS,SCRW</v>
          </cell>
          <cell r="D4813" t="str">
            <v>16DUP1</v>
          </cell>
          <cell r="BA4813">
            <v>3.12</v>
          </cell>
        </row>
        <row r="4814">
          <cell r="C4814" t="str">
            <v>4504 - HAND DRIVN FASTNR (NAILS,SCRW</v>
          </cell>
          <cell r="D4814" t="str">
            <v>GR114HGJST1</v>
          </cell>
          <cell r="BA4814">
            <v>4.55</v>
          </cell>
        </row>
        <row r="4815">
          <cell r="C4815" t="str">
            <v>4504 - HAND DRIVN FASTNR (NAILS,SCRW</v>
          </cell>
          <cell r="D4815" t="str">
            <v>112ATUL1</v>
          </cell>
          <cell r="BA4815">
            <v>6.44</v>
          </cell>
        </row>
        <row r="4816">
          <cell r="C4816" t="str">
            <v>4504 - HAND DRIVN FASTNR (NAILS,SCRW</v>
          </cell>
          <cell r="D4816" t="str">
            <v>GRC6R90DHG</v>
          </cell>
          <cell r="BA4816">
            <v>40.65</v>
          </cell>
        </row>
        <row r="4817">
          <cell r="C4817" t="str">
            <v>4504 - HAND DRIVN FASTNR (NAILS,SCRW</v>
          </cell>
          <cell r="D4817" t="str">
            <v>GRF16212SS</v>
          </cell>
          <cell r="BA4817">
            <v>58.53</v>
          </cell>
        </row>
        <row r="4818">
          <cell r="C4818" t="str">
            <v>4504 - HAND DRIVN FASTNR (NAILS,SCRW</v>
          </cell>
          <cell r="D4818" t="str">
            <v>GRC7R90DHG</v>
          </cell>
          <cell r="BA4818">
            <v>44.36</v>
          </cell>
        </row>
        <row r="4819">
          <cell r="C4819" t="str">
            <v>4504 - HAND DRIVN FASTNR (NAILS,SCRW</v>
          </cell>
          <cell r="D4819" t="str">
            <v>GR10HGCAS1</v>
          </cell>
          <cell r="BA4819">
            <v>4.28</v>
          </cell>
        </row>
        <row r="4820">
          <cell r="C4820" t="str">
            <v>4504 - HAND DRIVN FASTNR (NAILS,SCRW</v>
          </cell>
          <cell r="D4820" t="str">
            <v>GRMAXN4RSSD3161</v>
          </cell>
          <cell r="BA4820">
            <v>26.51</v>
          </cell>
        </row>
        <row r="4821">
          <cell r="C4821" t="str">
            <v>4504 - HAND DRIVN FASTNR (NAILS,SCRW</v>
          </cell>
          <cell r="D4821" t="str">
            <v>GRMAXN5RSSD3161</v>
          </cell>
          <cell r="BA4821">
            <v>26.51</v>
          </cell>
        </row>
        <row r="4822">
          <cell r="C4822" t="str">
            <v>4504 - HAND DRIVN FASTNR (NAILS,SCRW</v>
          </cell>
          <cell r="D4822" t="str">
            <v>GRMAXN6RSSD3161</v>
          </cell>
          <cell r="BA4822">
            <v>26.51</v>
          </cell>
        </row>
        <row r="4823">
          <cell r="C4823" t="str">
            <v>4504 - HAND DRIVN FASTNR (NAILS,SCRW</v>
          </cell>
          <cell r="D4823" t="str">
            <v>GRMAXN7RSSD3161</v>
          </cell>
          <cell r="BA4823">
            <v>26.51</v>
          </cell>
        </row>
        <row r="4824">
          <cell r="C4824" t="str">
            <v>4504 - HAND DRIVN FASTNR (NAILS,SCRW</v>
          </cell>
          <cell r="D4824" t="str">
            <v>GRMAXN8RSSD3161</v>
          </cell>
          <cell r="BA4824">
            <v>26.51</v>
          </cell>
        </row>
        <row r="4825">
          <cell r="C4825" t="str">
            <v>4504 - HAND DRIVN FASTNR (NAILS,SCRW</v>
          </cell>
          <cell r="D4825" t="str">
            <v>MAXN8RSSD3041</v>
          </cell>
          <cell r="BA4825">
            <v>12.68</v>
          </cell>
        </row>
        <row r="4826">
          <cell r="C4826" t="str">
            <v>4504 - HAND DRIVN FASTNR (NAILS,SCRW</v>
          </cell>
          <cell r="D4826" t="str">
            <v>MAXN6RSSD3041</v>
          </cell>
          <cell r="BA4826">
            <v>12.68</v>
          </cell>
        </row>
        <row r="4827">
          <cell r="C4827" t="str">
            <v>4504 - HAND DRIVN FASTNR (NAILS,SCRW</v>
          </cell>
          <cell r="D4827" t="str">
            <v>S5SND1</v>
          </cell>
          <cell r="BA4827">
            <v>15.38</v>
          </cell>
        </row>
        <row r="4828">
          <cell r="C4828" t="str">
            <v>4504 - HAND DRIVN FASTNR (NAILS,SCRW</v>
          </cell>
          <cell r="D4828" t="str">
            <v>S7SND1</v>
          </cell>
          <cell r="BA4828">
            <v>12.27</v>
          </cell>
        </row>
        <row r="4829">
          <cell r="C4829" t="str">
            <v>4504 - HAND DRIVN FASTNR (NAILS,SCRW</v>
          </cell>
          <cell r="D4829" t="str">
            <v>S8SND1</v>
          </cell>
          <cell r="BA4829">
            <v>12.27</v>
          </cell>
        </row>
        <row r="4830">
          <cell r="C4830" t="str">
            <v>4504 - HAND DRIVN FASTNR (NAILS,SCRW</v>
          </cell>
          <cell r="D4830" t="str">
            <v>S10SND1</v>
          </cell>
          <cell r="BA4830">
            <v>12.27</v>
          </cell>
        </row>
        <row r="4831">
          <cell r="C4831" t="str">
            <v>4504 - HAND DRIVN FASTNR (NAILS,SCRW</v>
          </cell>
          <cell r="D4831" t="str">
            <v>1PRCAP1</v>
          </cell>
          <cell r="BA4831">
            <v>8.35</v>
          </cell>
        </row>
        <row r="4832">
          <cell r="C4832" t="str">
            <v>4504 - HAND DRIVN FASTNR (NAILS,SCRW</v>
          </cell>
          <cell r="D4832" t="str">
            <v>1PRCAP3M</v>
          </cell>
          <cell r="BA4832">
            <v>35.090000000000003</v>
          </cell>
        </row>
        <row r="4833">
          <cell r="C4833" t="str">
            <v>4504 - HAND DRIVN FASTNR (NAILS,SCRW</v>
          </cell>
          <cell r="D4833" t="str">
            <v>GRCR3TRC</v>
          </cell>
          <cell r="BA4833">
            <v>14.46</v>
          </cell>
        </row>
        <row r="4834">
          <cell r="C4834" t="str">
            <v>4504 - HAND DRIVN FASTNR (NAILS,SCRW</v>
          </cell>
          <cell r="D4834" t="str">
            <v>GRCR5TRC</v>
          </cell>
          <cell r="BA4834">
            <v>15.72</v>
          </cell>
        </row>
        <row r="4835">
          <cell r="C4835" t="str">
            <v>4504 - HAND DRIVN FASTNR (NAILS,SCRW</v>
          </cell>
          <cell r="D4835" t="str">
            <v>ARRMA316</v>
          </cell>
          <cell r="BA4835">
            <v>1.5</v>
          </cell>
        </row>
        <row r="4836">
          <cell r="C4836" t="str">
            <v>4504 - HAND DRIVN FASTNR (NAILS,SCRW</v>
          </cell>
          <cell r="D4836" t="str">
            <v>ARRLA316</v>
          </cell>
          <cell r="BA4836">
            <v>1.5</v>
          </cell>
        </row>
        <row r="4837">
          <cell r="C4837" t="str">
            <v>4504 - HAND DRIVN FASTNR (NAILS,SCRW</v>
          </cell>
          <cell r="D4837" t="str">
            <v>GRL11M</v>
          </cell>
          <cell r="BA4837">
            <v>3.42</v>
          </cell>
        </row>
        <row r="4838">
          <cell r="C4838" t="str">
            <v>4504 - HAND DRIVN FASTNR (NAILS,SCRW</v>
          </cell>
          <cell r="D4838" t="str">
            <v>GRL10M</v>
          </cell>
          <cell r="BA4838">
            <v>6.32</v>
          </cell>
        </row>
        <row r="4839">
          <cell r="C4839" t="str">
            <v>4504 - HAND DRIVN FASTNR (NAILS,SCRW</v>
          </cell>
          <cell r="D4839" t="str">
            <v>GRL13M</v>
          </cell>
          <cell r="BA4839">
            <v>4.59</v>
          </cell>
        </row>
        <row r="4840">
          <cell r="C4840" t="str">
            <v>4504 - HAND DRIVN FASTNR (NAILS,SCRW</v>
          </cell>
          <cell r="D4840" t="str">
            <v>GRL15M</v>
          </cell>
          <cell r="BA4840">
            <v>4.97</v>
          </cell>
        </row>
        <row r="4841">
          <cell r="C4841" t="str">
            <v>4504 - HAND DRIVN FASTNR (NAILS,SCRW</v>
          </cell>
          <cell r="D4841" t="str">
            <v>AR505IP</v>
          </cell>
          <cell r="BA4841">
            <v>9.2799999999999994</v>
          </cell>
        </row>
        <row r="4842">
          <cell r="C4842" t="str">
            <v>4504 - HAND DRIVN FASTNR (NAILS,SCRW</v>
          </cell>
          <cell r="D4842" t="str">
            <v>AR215</v>
          </cell>
          <cell r="BA4842">
            <v>1.74</v>
          </cell>
        </row>
        <row r="4843">
          <cell r="C4843" t="str">
            <v>4504 - HAND DRIVN FASTNR (NAILS,SCRW</v>
          </cell>
          <cell r="D4843" t="str">
            <v>AR276</v>
          </cell>
          <cell r="BA4843">
            <v>1.86</v>
          </cell>
        </row>
        <row r="4844">
          <cell r="C4844" t="str">
            <v>4504 - HAND DRIVN FASTNR (NAILS,SCRW</v>
          </cell>
          <cell r="D4844" t="str">
            <v>AR504IP</v>
          </cell>
          <cell r="BA4844">
            <v>8.75</v>
          </cell>
        </row>
        <row r="4845">
          <cell r="C4845" t="str">
            <v>4504 - HAND DRIVN FASTNR (NAILS,SCRW</v>
          </cell>
          <cell r="D4845" t="str">
            <v>AR506IP</v>
          </cell>
          <cell r="BA4845">
            <v>11.05</v>
          </cell>
        </row>
        <row r="4846">
          <cell r="C4846" t="str">
            <v>4504 - HAND DRIVN FASTNR (NAILS,SCRW</v>
          </cell>
          <cell r="D4846" t="str">
            <v>AR50924</v>
          </cell>
          <cell r="BA4846">
            <v>3.26</v>
          </cell>
        </row>
        <row r="4847">
          <cell r="C4847" t="str">
            <v>4504 - HAND DRIVN FASTNR (NAILS,SCRW</v>
          </cell>
          <cell r="D4847" t="str">
            <v>HGCDZLFOR5M</v>
          </cell>
          <cell r="BA4847">
            <v>2.56</v>
          </cell>
        </row>
        <row r="4848">
          <cell r="C4848" t="str">
            <v>4504 - HAND DRIVN FASTNR (NAILS,SCRW</v>
          </cell>
          <cell r="D4848" t="str">
            <v>AR214</v>
          </cell>
          <cell r="BA4848">
            <v>1.73</v>
          </cell>
        </row>
        <row r="4849">
          <cell r="C4849" t="str">
            <v>4504 - HAND DRIVN FASTNR (NAILS,SCRW</v>
          </cell>
          <cell r="D4849" t="str">
            <v>MS150</v>
          </cell>
          <cell r="BA4849">
            <v>1.33</v>
          </cell>
        </row>
        <row r="4850">
          <cell r="C4850" t="str">
            <v>4504 - HAND DRIVN FASTNR (NAILS,SCRW</v>
          </cell>
          <cell r="D4850" t="str">
            <v>CH38SP</v>
          </cell>
          <cell r="BA4850">
            <v>57.36</v>
          </cell>
        </row>
        <row r="4851">
          <cell r="C4851" t="str">
            <v>4504 - HAND DRIVN FASTNR (NAILS,SCRW</v>
          </cell>
          <cell r="D4851" t="str">
            <v>GRF16134M</v>
          </cell>
          <cell r="BA4851">
            <v>8.4700000000000006</v>
          </cell>
        </row>
        <row r="4852">
          <cell r="C4852" t="str">
            <v>4504 - HAND DRIVN FASTNR (NAILS,SCRW</v>
          </cell>
          <cell r="D4852" t="str">
            <v>112SSBRADS18GA</v>
          </cell>
          <cell r="BA4852">
            <v>17.010000000000002</v>
          </cell>
        </row>
        <row r="4853">
          <cell r="C4853" t="str">
            <v>4504 - HAND DRIVN FASTNR (NAILS,SCRW</v>
          </cell>
          <cell r="D4853" t="str">
            <v>112SSBRADS16GA</v>
          </cell>
          <cell r="BA4853">
            <v>28.77</v>
          </cell>
        </row>
        <row r="4854">
          <cell r="C4854" t="str">
            <v>4504 - HAND DRIVN FASTNR (NAILS,SCRW</v>
          </cell>
          <cell r="D4854" t="str">
            <v>2SSBRADS18GA</v>
          </cell>
          <cell r="BA4854">
            <v>15.4</v>
          </cell>
        </row>
        <row r="4855">
          <cell r="C4855" t="str">
            <v>4504 - HAND DRIVN FASTNR (NAILS,SCRW</v>
          </cell>
          <cell r="D4855" t="str">
            <v>2SSBRADS16GA</v>
          </cell>
          <cell r="BA4855">
            <v>24.44</v>
          </cell>
        </row>
        <row r="4856">
          <cell r="C4856" t="str">
            <v>4504 - HAND DRIVN FASTNR (NAILS,SCRW</v>
          </cell>
          <cell r="D4856" t="str">
            <v>212SSBRADS16GA</v>
          </cell>
          <cell r="BA4856">
            <v>29.95</v>
          </cell>
        </row>
        <row r="4857">
          <cell r="C4857" t="str">
            <v>4504 - HAND DRIVN FASTNR (NAILS,SCRW</v>
          </cell>
          <cell r="D4857" t="str">
            <v>FMF-5913-GNFS</v>
          </cell>
          <cell r="BA4857">
            <v>452.78</v>
          </cell>
        </row>
        <row r="4858">
          <cell r="C4858" t="str">
            <v>4504 - HAND DRIVN FASTNR (NAILS,SCRW</v>
          </cell>
          <cell r="D4858" t="str">
            <v>HGCCDTUWB36M</v>
          </cell>
          <cell r="BA4858">
            <v>114.96</v>
          </cell>
        </row>
        <row r="4859">
          <cell r="C4859" t="str">
            <v>4504 - HAND DRIVN FASTNR (NAILS,SCRW</v>
          </cell>
          <cell r="D4859" t="str">
            <v>GRC5R92HG1</v>
          </cell>
          <cell r="BA4859">
            <v>27.97</v>
          </cell>
        </row>
        <row r="4860">
          <cell r="C4860" t="str">
            <v>4504 - HAND DRIVN FASTNR (NAILS,SCRW</v>
          </cell>
          <cell r="D4860" t="str">
            <v>GRC8RDHG</v>
          </cell>
          <cell r="BA4860">
            <v>64</v>
          </cell>
        </row>
        <row r="4861">
          <cell r="C4861" t="str">
            <v>4504 - HAND DRIVN FASTNR (NAILS,SCRW</v>
          </cell>
          <cell r="D4861" t="str">
            <v>H47802</v>
          </cell>
          <cell r="BA4861">
            <v>13.14</v>
          </cell>
        </row>
        <row r="4862">
          <cell r="C4862" t="str">
            <v>4504 - HAND DRIVN FASTNR (NAILS,SCRW</v>
          </cell>
          <cell r="D4862" t="str">
            <v>H47803</v>
          </cell>
          <cell r="BA4862">
            <v>13.65</v>
          </cell>
        </row>
        <row r="4863">
          <cell r="C4863" t="str">
            <v>4504 - HAND DRIVN FASTNR (NAILS,SCRW</v>
          </cell>
          <cell r="D4863" t="str">
            <v>PSB-1650T</v>
          </cell>
          <cell r="BA4863">
            <v>1.92</v>
          </cell>
        </row>
        <row r="4864">
          <cell r="C4864" t="str">
            <v>4504 - HAND DRIVN FASTNR (NAILS,SCRW</v>
          </cell>
          <cell r="D4864" t="str">
            <v>GRC7P90DHG</v>
          </cell>
          <cell r="BA4864">
            <v>44.1</v>
          </cell>
        </row>
        <row r="4865">
          <cell r="C4865" t="str">
            <v>4504 - HAND DRIVN FASTNR (NAILS,SCRW</v>
          </cell>
          <cell r="D4865" t="str">
            <v>MF50740</v>
          </cell>
          <cell r="BA4865">
            <v>7.74</v>
          </cell>
        </row>
        <row r="4866">
          <cell r="C4866" t="str">
            <v>4504 - HAND DRIVN FASTNR (NAILS,SCRW</v>
          </cell>
          <cell r="D4866" t="str">
            <v>MF50741</v>
          </cell>
          <cell r="BA4866">
            <v>7.74</v>
          </cell>
        </row>
        <row r="4867">
          <cell r="C4867" t="str">
            <v>4504 - HAND DRIVN FASTNR (NAILS,SCRW</v>
          </cell>
          <cell r="D4867" t="str">
            <v>MF50742</v>
          </cell>
          <cell r="BA4867">
            <v>7.74</v>
          </cell>
        </row>
        <row r="4868">
          <cell r="C4868" t="str">
            <v>4504 - HAND DRIVN FASTNR (NAILS,SCRW</v>
          </cell>
          <cell r="D4868" t="str">
            <v>MF50743</v>
          </cell>
          <cell r="BA4868">
            <v>7.74</v>
          </cell>
        </row>
        <row r="4869">
          <cell r="C4869" t="str">
            <v>4504 - HAND DRIVN FASTNR (NAILS,SCRW</v>
          </cell>
          <cell r="D4869" t="str">
            <v>MF50745</v>
          </cell>
          <cell r="BA4869">
            <v>7.74</v>
          </cell>
        </row>
        <row r="4870">
          <cell r="C4870" t="str">
            <v>4504 - HAND DRIVN FASTNR (NAILS,SCRW</v>
          </cell>
          <cell r="D4870" t="str">
            <v>MF50746</v>
          </cell>
          <cell r="BA4870">
            <v>8.99</v>
          </cell>
        </row>
        <row r="4871">
          <cell r="C4871" t="str">
            <v>4504 - HAND DRIVN FASTNR (NAILS,SCRW</v>
          </cell>
          <cell r="D4871" t="str">
            <v>MF50747</v>
          </cell>
          <cell r="BA4871">
            <v>7.74</v>
          </cell>
        </row>
        <row r="4872">
          <cell r="C4872" t="str">
            <v>4504 - HAND DRIVN FASTNR (NAILS,SCRW</v>
          </cell>
          <cell r="D4872" t="str">
            <v>MF50748</v>
          </cell>
          <cell r="BA4872">
            <v>7.74</v>
          </cell>
        </row>
        <row r="4873">
          <cell r="C4873" t="str">
            <v>4504 - HAND DRIVN FASTNR (NAILS,SCRW</v>
          </cell>
          <cell r="D4873" t="str">
            <v>MF50749</v>
          </cell>
          <cell r="BA4873">
            <v>30.45</v>
          </cell>
        </row>
        <row r="4874">
          <cell r="C4874" t="str">
            <v>4504 - HAND DRIVN FASTNR (NAILS,SCRW</v>
          </cell>
          <cell r="D4874" t="str">
            <v>MF50750</v>
          </cell>
          <cell r="BA4874">
            <v>30.45</v>
          </cell>
        </row>
        <row r="4875">
          <cell r="C4875" t="str">
            <v>4504 - HAND DRIVN FASTNR (NAILS,SCRW</v>
          </cell>
          <cell r="D4875" t="str">
            <v>MF50751</v>
          </cell>
          <cell r="BA4875">
            <v>30.45</v>
          </cell>
        </row>
        <row r="4876">
          <cell r="C4876" t="str">
            <v>4504 - HAND DRIVN FASTNR (NAILS,SCRW</v>
          </cell>
          <cell r="D4876" t="str">
            <v>MF50752</v>
          </cell>
          <cell r="BA4876">
            <v>30.45</v>
          </cell>
        </row>
        <row r="4877">
          <cell r="C4877" t="str">
            <v>4504 - HAND DRIVN FASTNR (NAILS,SCRW</v>
          </cell>
          <cell r="D4877" t="str">
            <v>MF50754</v>
          </cell>
          <cell r="BA4877">
            <v>30.45</v>
          </cell>
        </row>
        <row r="4878">
          <cell r="C4878" t="str">
            <v>4504 - HAND DRIVN FASTNR (NAILS,SCRW</v>
          </cell>
          <cell r="D4878" t="str">
            <v>MF50755</v>
          </cell>
          <cell r="BA4878">
            <v>39.68</v>
          </cell>
        </row>
        <row r="4879">
          <cell r="C4879" t="str">
            <v>4504 - HAND DRIVN FASTNR (NAILS,SCRW</v>
          </cell>
          <cell r="D4879" t="str">
            <v>MF50756</v>
          </cell>
          <cell r="BA4879">
            <v>30.45</v>
          </cell>
        </row>
        <row r="4880">
          <cell r="C4880" t="str">
            <v>4504 - HAND DRIVN FASTNR (NAILS,SCRW</v>
          </cell>
          <cell r="D4880" t="str">
            <v>MF50757</v>
          </cell>
          <cell r="BA4880">
            <v>30.45</v>
          </cell>
        </row>
        <row r="4881">
          <cell r="C4881" t="str">
            <v>4504 - HAND DRIVN FASTNR (NAILS,SCRW</v>
          </cell>
          <cell r="D4881" t="str">
            <v>MF50758</v>
          </cell>
          <cell r="BA4881">
            <v>116.91</v>
          </cell>
        </row>
        <row r="4882">
          <cell r="C4882" t="str">
            <v>4504 - HAND DRIVN FASTNR (NAILS,SCRW</v>
          </cell>
          <cell r="D4882" t="str">
            <v>MF50759</v>
          </cell>
          <cell r="BA4882">
            <v>104.6</v>
          </cell>
        </row>
        <row r="4883">
          <cell r="C4883" t="str">
            <v>4504 - HAND DRIVN FASTNR (NAILS,SCRW</v>
          </cell>
          <cell r="D4883" t="str">
            <v>MF50760</v>
          </cell>
          <cell r="BA4883">
            <v>104.6</v>
          </cell>
        </row>
        <row r="4884">
          <cell r="C4884" t="str">
            <v>4504 - HAND DRIVN FASTNR (NAILS,SCRW</v>
          </cell>
          <cell r="D4884" t="str">
            <v>MF51667</v>
          </cell>
          <cell r="BA4884">
            <v>8.7200000000000006</v>
          </cell>
        </row>
        <row r="4885">
          <cell r="C4885" t="str">
            <v>4504 - HAND DRIVN FASTNR (NAILS,SCRW</v>
          </cell>
          <cell r="D4885" t="str">
            <v>MF51668</v>
          </cell>
          <cell r="BA4885">
            <v>8.7200000000000006</v>
          </cell>
        </row>
        <row r="4886">
          <cell r="C4886" t="str">
            <v>4504 - HAND DRIVN FASTNR (NAILS,SCRW</v>
          </cell>
          <cell r="D4886" t="str">
            <v>MF51669</v>
          </cell>
          <cell r="BA4886">
            <v>8.7200000000000006</v>
          </cell>
        </row>
        <row r="4887">
          <cell r="C4887" t="str">
            <v>4504 - HAND DRIVN FASTNR (NAILS,SCRW</v>
          </cell>
          <cell r="D4887" t="str">
            <v>MF51670</v>
          </cell>
          <cell r="BA4887">
            <v>8.7200000000000006</v>
          </cell>
        </row>
        <row r="4888">
          <cell r="C4888" t="str">
            <v>4504 - HAND DRIVN FASTNR (NAILS,SCRW</v>
          </cell>
          <cell r="D4888" t="str">
            <v>MF51671</v>
          </cell>
          <cell r="BA4888">
            <v>33.909999999999997</v>
          </cell>
        </row>
        <row r="4889">
          <cell r="C4889" t="str">
            <v>4504 - HAND DRIVN FASTNR (NAILS,SCRW</v>
          </cell>
          <cell r="D4889" t="str">
            <v>MF51672</v>
          </cell>
          <cell r="BA4889">
            <v>33.909999999999997</v>
          </cell>
        </row>
        <row r="4890">
          <cell r="C4890" t="str">
            <v>4504 - HAND DRIVN FASTNR (NAILS,SCRW</v>
          </cell>
          <cell r="D4890" t="str">
            <v>MF51673</v>
          </cell>
          <cell r="BA4890">
            <v>33.909999999999997</v>
          </cell>
        </row>
        <row r="4891">
          <cell r="C4891" t="str">
            <v>4504 - HAND DRIVN FASTNR (NAILS,SCRW</v>
          </cell>
          <cell r="D4891" t="str">
            <v>MF51674</v>
          </cell>
          <cell r="BA4891">
            <v>33.909999999999997</v>
          </cell>
        </row>
        <row r="4892">
          <cell r="C4892" t="str">
            <v>4504 - HAND DRIVN FASTNR (NAILS,SCRW</v>
          </cell>
          <cell r="D4892" t="str">
            <v>H40060</v>
          </cell>
          <cell r="BA4892">
            <v>3.15</v>
          </cell>
        </row>
        <row r="4893">
          <cell r="C4893" t="str">
            <v>4504 - HAND DRIVN FASTNR (NAILS,SCRW</v>
          </cell>
          <cell r="D4893" t="str">
            <v>H40069</v>
          </cell>
          <cell r="BA4893">
            <v>2.85</v>
          </cell>
        </row>
        <row r="4894">
          <cell r="C4894" t="str">
            <v>4504 - HAND DRIVN FASTNR (NAILS,SCRW</v>
          </cell>
          <cell r="D4894" t="str">
            <v>H80012</v>
          </cell>
          <cell r="BA4894">
            <v>3.21</v>
          </cell>
        </row>
        <row r="4895">
          <cell r="C4895" t="str">
            <v>4504 - HAND DRIVN FASTNR (NAILS,SCRW</v>
          </cell>
          <cell r="D4895" t="str">
            <v>H80021</v>
          </cell>
          <cell r="BA4895">
            <v>2.76</v>
          </cell>
        </row>
        <row r="4896">
          <cell r="C4896" t="str">
            <v>4504 - HAND DRIVN FASTNR (NAILS,SCRW</v>
          </cell>
          <cell r="D4896" t="str">
            <v>H80039</v>
          </cell>
          <cell r="BA4896">
            <v>2.82</v>
          </cell>
        </row>
        <row r="4897">
          <cell r="C4897" t="str">
            <v>4504 - HAND DRIVN FASTNR (NAILS,SCRW</v>
          </cell>
          <cell r="D4897" t="str">
            <v>H82200</v>
          </cell>
          <cell r="BA4897">
            <v>2.15</v>
          </cell>
        </row>
        <row r="4898">
          <cell r="C4898" t="str">
            <v>4504 - HAND DRIVN FASTNR (NAILS,SCRW</v>
          </cell>
          <cell r="D4898" t="str">
            <v>H82203</v>
          </cell>
          <cell r="BA4898">
            <v>2.1</v>
          </cell>
        </row>
        <row r="4899">
          <cell r="C4899" t="str">
            <v>4504 - HAND DRIVN FASTNR (NAILS,SCRW</v>
          </cell>
          <cell r="D4899" t="str">
            <v>H82206</v>
          </cell>
          <cell r="BA4899">
            <v>2.15</v>
          </cell>
        </row>
        <row r="4900">
          <cell r="C4900" t="str">
            <v>4504 - HAND DRIVN FASTNR (NAILS,SCRW</v>
          </cell>
          <cell r="D4900" t="str">
            <v>H230036EA</v>
          </cell>
          <cell r="BA4900">
            <v>0.49</v>
          </cell>
        </row>
        <row r="4901">
          <cell r="C4901" t="str">
            <v>4504 - HAND DRIVN FASTNR (NAILS,SCRW</v>
          </cell>
          <cell r="D4901" t="str">
            <v>H560316</v>
          </cell>
          <cell r="BA4901">
            <v>2.82</v>
          </cell>
        </row>
        <row r="4902">
          <cell r="C4902" t="str">
            <v>4504 - HAND DRIVN FASTNR (NAILS,SCRW</v>
          </cell>
          <cell r="D4902" t="str">
            <v>H560330</v>
          </cell>
          <cell r="BA4902">
            <v>3.53</v>
          </cell>
        </row>
        <row r="4903">
          <cell r="C4903" t="str">
            <v>4504 - HAND DRIVN FASTNR (NAILS,SCRW</v>
          </cell>
          <cell r="D4903" t="str">
            <v>H560332</v>
          </cell>
          <cell r="BA4903">
            <v>3.68</v>
          </cell>
        </row>
        <row r="4904">
          <cell r="C4904" t="str">
            <v>4504 - HAND DRIVN FASTNR (NAILS,SCRW</v>
          </cell>
          <cell r="D4904" t="str">
            <v>SP30013-29</v>
          </cell>
          <cell r="BA4904">
            <v>180.13</v>
          </cell>
        </row>
        <row r="4905">
          <cell r="C4905" t="str">
            <v>4504 - HAND DRIVN FASTNR (NAILS,SCRW</v>
          </cell>
          <cell r="D4905" t="str">
            <v>SP30104</v>
          </cell>
          <cell r="BA4905">
            <v>44.87</v>
          </cell>
        </row>
        <row r="4906">
          <cell r="C4906" t="str">
            <v>4504 - HAND DRIVN FASTNR (NAILS,SCRW</v>
          </cell>
          <cell r="D4906" t="str">
            <v>SP30107-12</v>
          </cell>
          <cell r="BA4906">
            <v>12.95</v>
          </cell>
        </row>
        <row r="4907">
          <cell r="C4907" t="str">
            <v>4504 - HAND DRIVN FASTNR (NAILS,SCRW</v>
          </cell>
          <cell r="D4907" t="str">
            <v>SP30123-29</v>
          </cell>
          <cell r="BA4907">
            <v>41.03</v>
          </cell>
        </row>
        <row r="4908">
          <cell r="C4908" t="str">
            <v>4504 - HAND DRIVN FASTNR (NAILS,SCRW</v>
          </cell>
          <cell r="D4908" t="str">
            <v>SP30130-29</v>
          </cell>
          <cell r="BA4908">
            <v>39.08</v>
          </cell>
        </row>
        <row r="4909">
          <cell r="C4909" t="str">
            <v>4504 - HAND DRIVN FASTNR (NAILS,SCRW</v>
          </cell>
          <cell r="D4909" t="str">
            <v>SP30131</v>
          </cell>
          <cell r="BA4909">
            <v>22.51</v>
          </cell>
        </row>
        <row r="4910">
          <cell r="C4910" t="str">
            <v>4504 - HAND DRIVN FASTNR (NAILS,SCRW</v>
          </cell>
          <cell r="D4910" t="str">
            <v>SP30132</v>
          </cell>
          <cell r="BA4910">
            <v>20.22</v>
          </cell>
        </row>
        <row r="4911">
          <cell r="C4911" t="str">
            <v>4504 - HAND DRIVN FASTNR (NAILS,SCRW</v>
          </cell>
          <cell r="D4911" t="str">
            <v>SP30133</v>
          </cell>
          <cell r="BA4911">
            <v>29.5</v>
          </cell>
        </row>
        <row r="4912">
          <cell r="C4912" t="str">
            <v>4504 - HAND DRIVN FASTNR (NAILS,SCRW</v>
          </cell>
          <cell r="D4912" t="str">
            <v>SP30134</v>
          </cell>
          <cell r="BA4912">
            <v>105.5</v>
          </cell>
        </row>
        <row r="4913">
          <cell r="C4913" t="str">
            <v>4504 - HAND DRIVN FASTNR (NAILS,SCRW</v>
          </cell>
          <cell r="D4913" t="str">
            <v>SP30135</v>
          </cell>
          <cell r="BA4913">
            <v>25.65</v>
          </cell>
        </row>
        <row r="4914">
          <cell r="C4914" t="str">
            <v>4504 - HAND DRIVN FASTNR (NAILS,SCRW</v>
          </cell>
          <cell r="D4914" t="str">
            <v>SP30136</v>
          </cell>
          <cell r="BA4914">
            <v>135.22</v>
          </cell>
        </row>
        <row r="4915">
          <cell r="C4915" t="str">
            <v>4504 - HAND DRIVN FASTNR (NAILS,SCRW</v>
          </cell>
          <cell r="D4915" t="str">
            <v>SP30137</v>
          </cell>
          <cell r="BA4915">
            <v>27.67</v>
          </cell>
        </row>
        <row r="4916">
          <cell r="C4916" t="str">
            <v>4504 - HAND DRIVN FASTNR (NAILS,SCRW</v>
          </cell>
          <cell r="D4916" t="str">
            <v>SP30139-29</v>
          </cell>
          <cell r="BA4916">
            <v>12.11</v>
          </cell>
        </row>
        <row r="4917">
          <cell r="C4917" t="str">
            <v>4504 - HAND DRIVN FASTNR (NAILS,SCRW</v>
          </cell>
          <cell r="D4917" t="str">
            <v>SP30140-29</v>
          </cell>
          <cell r="BA4917">
            <v>12.08</v>
          </cell>
        </row>
        <row r="4918">
          <cell r="C4918" t="str">
            <v>4504 - HAND DRIVN FASTNR (NAILS,SCRW</v>
          </cell>
          <cell r="D4918" t="str">
            <v>SP30141-29</v>
          </cell>
          <cell r="BA4918">
            <v>13.77</v>
          </cell>
        </row>
        <row r="4919">
          <cell r="C4919" t="str">
            <v>4504 - HAND DRIVN FASTNR (NAILS,SCRW</v>
          </cell>
          <cell r="D4919" t="str">
            <v>SP30142-29</v>
          </cell>
          <cell r="BA4919">
            <v>61.44</v>
          </cell>
        </row>
        <row r="4920">
          <cell r="C4920" t="str">
            <v>4504 - HAND DRIVN FASTNR (NAILS,SCRW</v>
          </cell>
          <cell r="D4920" t="str">
            <v>SP30143-29</v>
          </cell>
          <cell r="BA4920">
            <v>13.76</v>
          </cell>
        </row>
        <row r="4921">
          <cell r="C4921" t="str">
            <v>4504 - HAND DRIVN FASTNR (NAILS,SCRW</v>
          </cell>
          <cell r="D4921" t="str">
            <v>SP30144-29</v>
          </cell>
          <cell r="BA4921">
            <v>61.4</v>
          </cell>
        </row>
        <row r="4922">
          <cell r="C4922" t="str">
            <v>4504 - HAND DRIVN FASTNR (NAILS,SCRW</v>
          </cell>
          <cell r="D4922" t="str">
            <v>SP30412-29</v>
          </cell>
          <cell r="BA4922">
            <v>49.02</v>
          </cell>
        </row>
        <row r="4923">
          <cell r="C4923" t="str">
            <v>4504 - HAND DRIVN FASTNR (NAILS,SCRW</v>
          </cell>
          <cell r="D4923" t="str">
            <v>SP30418-29</v>
          </cell>
          <cell r="BA4923">
            <v>48.47</v>
          </cell>
        </row>
        <row r="4924">
          <cell r="C4924" t="str">
            <v>4504 - HAND DRIVN FASTNR (NAILS,SCRW</v>
          </cell>
          <cell r="D4924" t="str">
            <v>SP30427-29</v>
          </cell>
          <cell r="BA4924">
            <v>167.18</v>
          </cell>
        </row>
        <row r="4925">
          <cell r="C4925" t="str">
            <v>4504 - HAND DRIVN FASTNR (NAILS,SCRW</v>
          </cell>
          <cell r="D4925" t="str">
            <v>SP30436-29</v>
          </cell>
          <cell r="BA4925">
            <v>190.65</v>
          </cell>
        </row>
        <row r="4926">
          <cell r="C4926" t="str">
            <v>4504 - HAND DRIVN FASTNR (NAILS,SCRW</v>
          </cell>
          <cell r="D4926" t="str">
            <v>SP30443-29</v>
          </cell>
          <cell r="BA4926">
            <v>13.45</v>
          </cell>
        </row>
        <row r="4927">
          <cell r="C4927" t="str">
            <v>4504 - HAND DRIVN FASTNR (NAILS,SCRW</v>
          </cell>
          <cell r="D4927" t="str">
            <v>SP30444-29</v>
          </cell>
          <cell r="BA4927">
            <v>56.8</v>
          </cell>
        </row>
        <row r="4928">
          <cell r="C4928" t="str">
            <v>4504 - HAND DRIVN FASTNR (NAILS,SCRW</v>
          </cell>
          <cell r="D4928" t="str">
            <v>SP30149-12</v>
          </cell>
          <cell r="BA4928">
            <v>15.79</v>
          </cell>
        </row>
        <row r="4929">
          <cell r="C4929" t="str">
            <v>4504 - HAND DRIVN FASTNR (NAILS,SCRW</v>
          </cell>
          <cell r="D4929" t="str">
            <v>SP30150-12</v>
          </cell>
          <cell r="BA4929">
            <v>16.62</v>
          </cell>
        </row>
        <row r="4930">
          <cell r="C4930" t="str">
            <v>4504 - HAND DRIVN FASTNR (NAILS,SCRW</v>
          </cell>
          <cell r="D4930" t="str">
            <v>SP30151-12WHIT</v>
          </cell>
          <cell r="BA4930">
            <v>15.45</v>
          </cell>
        </row>
        <row r="4931">
          <cell r="C4931" t="str">
            <v>4504 - HAND DRIVN FASTNR (NAILS,SCRW</v>
          </cell>
          <cell r="D4931" t="str">
            <v>SP30151-12</v>
          </cell>
          <cell r="BA4931">
            <v>14.4</v>
          </cell>
        </row>
        <row r="4932">
          <cell r="C4932" t="str">
            <v>4504 - HAND DRIVN FASTNR (NAILS,SCRW</v>
          </cell>
          <cell r="D4932" t="str">
            <v>SP30152</v>
          </cell>
          <cell r="BA4932">
            <v>16.36</v>
          </cell>
        </row>
        <row r="4933">
          <cell r="C4933" t="str">
            <v>4504 - HAND DRIVN FASTNR (NAILS,SCRW</v>
          </cell>
          <cell r="D4933" t="str">
            <v>SP30153</v>
          </cell>
          <cell r="BA4933">
            <v>15.58</v>
          </cell>
        </row>
        <row r="4934">
          <cell r="C4934" t="str">
            <v>4504 - HAND DRIVN FASTNR (NAILS,SCRW</v>
          </cell>
          <cell r="D4934" t="str">
            <v>SP30154-12</v>
          </cell>
          <cell r="BA4934">
            <v>10.45</v>
          </cell>
        </row>
        <row r="4935">
          <cell r="C4935" t="str">
            <v>4504 - HAND DRIVN FASTNR (NAILS,SCRW</v>
          </cell>
          <cell r="D4935" t="str">
            <v>SP30155-12-WHIT</v>
          </cell>
          <cell r="BA4935">
            <v>11.31</v>
          </cell>
        </row>
        <row r="4936">
          <cell r="C4936" t="str">
            <v>4504 - HAND DRIVN FASTNR (NAILS,SCRW</v>
          </cell>
          <cell r="D4936" t="str">
            <v>SP30155-12</v>
          </cell>
          <cell r="BA4936">
            <v>13.21</v>
          </cell>
        </row>
        <row r="4937">
          <cell r="C4937" t="str">
            <v>4504 - HAND DRIVN FASTNR (NAILS,SCRW</v>
          </cell>
          <cell r="D4937" t="str">
            <v>SP30156</v>
          </cell>
          <cell r="BA4937">
            <v>15.07</v>
          </cell>
        </row>
        <row r="4938">
          <cell r="C4938" t="str">
            <v>4504 - HAND DRIVN FASTNR (NAILS,SCRW</v>
          </cell>
          <cell r="D4938" t="str">
            <v>SP30157</v>
          </cell>
          <cell r="BA4938">
            <v>15.85</v>
          </cell>
        </row>
        <row r="4939">
          <cell r="C4939" t="str">
            <v>4504 - HAND DRIVN FASTNR (NAILS,SCRW</v>
          </cell>
          <cell r="D4939" t="str">
            <v>SP30158</v>
          </cell>
          <cell r="BA4939">
            <v>23.45</v>
          </cell>
        </row>
        <row r="4940">
          <cell r="C4940" t="str">
            <v>4504 - HAND DRIVN FASTNR (NAILS,SCRW</v>
          </cell>
          <cell r="D4940" t="str">
            <v>SP30174</v>
          </cell>
          <cell r="BA4940">
            <v>83.33</v>
          </cell>
        </row>
        <row r="4941">
          <cell r="C4941" t="str">
            <v>4504 - HAND DRIVN FASTNR (NAILS,SCRW</v>
          </cell>
          <cell r="D4941" t="str">
            <v>SP30176</v>
          </cell>
          <cell r="BA4941">
            <v>15.25</v>
          </cell>
        </row>
        <row r="4942">
          <cell r="C4942" t="str">
            <v>4504 - HAND DRIVN FASTNR (NAILS,SCRW</v>
          </cell>
          <cell r="D4942" t="str">
            <v>SP30177</v>
          </cell>
          <cell r="BA4942">
            <v>75.61</v>
          </cell>
        </row>
        <row r="4943">
          <cell r="C4943" t="str">
            <v>4504 - HAND DRIVN FASTNR (NAILS,SCRW</v>
          </cell>
          <cell r="D4943" t="str">
            <v>SP30179</v>
          </cell>
          <cell r="BA4943">
            <v>65.28</v>
          </cell>
        </row>
        <row r="4944">
          <cell r="C4944" t="str">
            <v>4504 - HAND DRIVN FASTNR (NAILS,SCRW</v>
          </cell>
          <cell r="D4944" t="str">
            <v>SP30181</v>
          </cell>
          <cell r="BA4944">
            <v>17.690000000000001</v>
          </cell>
        </row>
        <row r="4945">
          <cell r="C4945" t="str">
            <v>4504 - HAND DRIVN FASTNR (NAILS,SCRW</v>
          </cell>
          <cell r="D4945" t="str">
            <v>SP30182</v>
          </cell>
          <cell r="BA4945">
            <v>59.58</v>
          </cell>
        </row>
        <row r="4946">
          <cell r="C4946" t="str">
            <v>4504 - HAND DRIVN FASTNR (NAILS,SCRW</v>
          </cell>
          <cell r="D4946" t="str">
            <v>SP30192</v>
          </cell>
          <cell r="BA4946">
            <v>26.33</v>
          </cell>
        </row>
        <row r="4947">
          <cell r="C4947" t="str">
            <v>4504 - HAND DRIVN FASTNR (NAILS,SCRW</v>
          </cell>
          <cell r="D4947" t="str">
            <v>SP30193</v>
          </cell>
          <cell r="BA4947">
            <v>54.35</v>
          </cell>
        </row>
        <row r="4948">
          <cell r="C4948" t="str">
            <v>4504 - HAND DRIVN FASTNR (NAILS,SCRW</v>
          </cell>
          <cell r="D4948" t="str">
            <v>SP30195-12</v>
          </cell>
          <cell r="BA4948">
            <v>43.27</v>
          </cell>
        </row>
        <row r="4949">
          <cell r="C4949" t="str">
            <v>4504 - HAND DRIVN FASTNR (NAILS,SCRW</v>
          </cell>
          <cell r="D4949" t="str">
            <v>SP30197-12</v>
          </cell>
          <cell r="BA4949">
            <v>45.29</v>
          </cell>
        </row>
        <row r="4950">
          <cell r="C4950" t="str">
            <v>4504 - HAND DRIVN FASTNR (NAILS,SCRW</v>
          </cell>
          <cell r="D4950" t="str">
            <v>SP30250</v>
          </cell>
          <cell r="BA4950">
            <v>122.77</v>
          </cell>
        </row>
        <row r="4951">
          <cell r="C4951" t="str">
            <v>4504 - HAND DRIVN FASTNR (NAILS,SCRW</v>
          </cell>
          <cell r="D4951" t="str">
            <v>SP30257-29</v>
          </cell>
          <cell r="BA4951">
            <v>148.32</v>
          </cell>
        </row>
        <row r="4952">
          <cell r="C4952" t="str">
            <v>4504 - HAND DRIVN FASTNR (NAILS,SCRW</v>
          </cell>
          <cell r="D4952" t="str">
            <v>SP30289</v>
          </cell>
          <cell r="BA4952">
            <v>22.71</v>
          </cell>
        </row>
        <row r="4953">
          <cell r="C4953" t="str">
            <v>4504 - HAND DRIVN FASTNR (NAILS,SCRW</v>
          </cell>
          <cell r="D4953" t="str">
            <v>SP30297</v>
          </cell>
          <cell r="BA4953">
            <v>107.76</v>
          </cell>
        </row>
        <row r="4954">
          <cell r="C4954" t="str">
            <v>4504 - HAND DRIVN FASTNR (NAILS,SCRW</v>
          </cell>
          <cell r="D4954" t="str">
            <v>SP30340</v>
          </cell>
          <cell r="BA4954">
            <v>29.03</v>
          </cell>
        </row>
        <row r="4955">
          <cell r="C4955" t="str">
            <v>4504 - HAND DRIVN FASTNR (NAILS,SCRW</v>
          </cell>
          <cell r="D4955" t="str">
            <v>SP30358-29</v>
          </cell>
          <cell r="BA4955">
            <v>71.739999999999995</v>
          </cell>
        </row>
        <row r="4956">
          <cell r="C4956" t="str">
            <v>4504 - HAND DRIVN FASTNR (NAILS,SCRW</v>
          </cell>
          <cell r="D4956" t="str">
            <v>SP30362-29</v>
          </cell>
          <cell r="BA4956">
            <v>60.37</v>
          </cell>
        </row>
        <row r="4957">
          <cell r="C4957" t="str">
            <v>4504 - HAND DRIVN FASTNR (NAILS,SCRW</v>
          </cell>
          <cell r="D4957" t="str">
            <v>SP30368</v>
          </cell>
          <cell r="BA4957">
            <v>0.64</v>
          </cell>
        </row>
        <row r="4958">
          <cell r="C4958" t="str">
            <v>4504 - HAND DRIVN FASTNR (NAILS,SCRW</v>
          </cell>
          <cell r="D4958" t="str">
            <v>SP30374</v>
          </cell>
          <cell r="BA4958">
            <v>0.72</v>
          </cell>
        </row>
        <row r="4959">
          <cell r="C4959" t="str">
            <v>4504 - HAND DRIVN FASTNR (NAILS,SCRW</v>
          </cell>
          <cell r="D4959" t="str">
            <v>SP30380</v>
          </cell>
          <cell r="BA4959">
            <v>0.78</v>
          </cell>
        </row>
        <row r="4960">
          <cell r="C4960" t="str">
            <v>4504 - HAND DRIVN FASTNR (NAILS,SCRW</v>
          </cell>
          <cell r="D4960" t="str">
            <v>SP30385</v>
          </cell>
          <cell r="BA4960">
            <v>37.770000000000003</v>
          </cell>
        </row>
        <row r="4961">
          <cell r="C4961" t="str">
            <v>4504 - HAND DRIVN FASTNR (NAILS,SCRW</v>
          </cell>
          <cell r="D4961" t="str">
            <v>SP30386</v>
          </cell>
          <cell r="BA4961">
            <v>0.91</v>
          </cell>
        </row>
        <row r="4962">
          <cell r="C4962" t="str">
            <v>4504 - HAND DRIVN FASTNR (NAILS,SCRW</v>
          </cell>
          <cell r="D4962" t="str">
            <v>SP30389</v>
          </cell>
          <cell r="BA4962">
            <v>13.51</v>
          </cell>
        </row>
        <row r="4963">
          <cell r="C4963" t="str">
            <v>4504 - HAND DRIVN FASTNR (NAILS,SCRW</v>
          </cell>
          <cell r="D4963" t="str">
            <v>SP30393</v>
          </cell>
          <cell r="BA4963">
            <v>13.96</v>
          </cell>
        </row>
        <row r="4964">
          <cell r="C4964" t="str">
            <v>4504 - HAND DRIVN FASTNR (NAILS,SCRW</v>
          </cell>
          <cell r="D4964" t="str">
            <v>SP30397</v>
          </cell>
          <cell r="BA4964">
            <v>13.53</v>
          </cell>
        </row>
        <row r="4965">
          <cell r="C4965" t="str">
            <v>4504 - HAND DRIVN FASTNR (NAILS,SCRW</v>
          </cell>
          <cell r="D4965" t="str">
            <v>SP30398</v>
          </cell>
          <cell r="BA4965">
            <v>60.27</v>
          </cell>
        </row>
        <row r="4966">
          <cell r="C4966" t="str">
            <v>4504 - HAND DRIVN FASTNR (NAILS,SCRW</v>
          </cell>
          <cell r="D4966" t="str">
            <v>SP30401</v>
          </cell>
          <cell r="BA4966">
            <v>11.1</v>
          </cell>
        </row>
        <row r="4967">
          <cell r="C4967" t="str">
            <v>4504 - HAND DRIVN FASTNR (NAILS,SCRW</v>
          </cell>
          <cell r="D4967" t="str">
            <v>SP30402</v>
          </cell>
          <cell r="BA4967">
            <v>39.299999999999997</v>
          </cell>
        </row>
        <row r="4968">
          <cell r="C4968" t="str">
            <v>4504 - HAND DRIVN FASTNR (NAILS,SCRW</v>
          </cell>
          <cell r="D4968" t="str">
            <v>SP30405</v>
          </cell>
          <cell r="BA4968">
            <v>12.71</v>
          </cell>
        </row>
        <row r="4969">
          <cell r="C4969" t="str">
            <v>4504 - HAND DRIVN FASTNR (NAILS,SCRW</v>
          </cell>
          <cell r="D4969" t="str">
            <v>SP30406</v>
          </cell>
          <cell r="BA4969">
            <v>41.79</v>
          </cell>
        </row>
        <row r="4970">
          <cell r="C4970" t="str">
            <v>4504 - HAND DRIVN FASTNR (NAILS,SCRW</v>
          </cell>
          <cell r="D4970" t="str">
            <v>SP30145</v>
          </cell>
          <cell r="BA4970">
            <v>22.68</v>
          </cell>
        </row>
        <row r="4971">
          <cell r="C4971" t="str">
            <v>4504 - HAND DRIVN FASTNR (NAILS,SCRW</v>
          </cell>
          <cell r="D4971" t="str">
            <v>SP30146</v>
          </cell>
          <cell r="BA4971">
            <v>25.35</v>
          </cell>
        </row>
        <row r="4972">
          <cell r="C4972" t="str">
            <v>4504 - HAND DRIVN FASTNR (NAILS,SCRW</v>
          </cell>
          <cell r="D4972" t="str">
            <v>SP30147</v>
          </cell>
          <cell r="BA4972">
            <v>22.82</v>
          </cell>
        </row>
        <row r="4973">
          <cell r="C4973" t="str">
            <v>4504 - HAND DRIVN FASTNR (NAILS,SCRW</v>
          </cell>
          <cell r="D4973" t="str">
            <v>SP30148</v>
          </cell>
          <cell r="BA4973">
            <v>26.15</v>
          </cell>
        </row>
        <row r="4974">
          <cell r="C4974" t="str">
            <v>4504 - HAND DRIVN FASTNR (NAILS,SCRW</v>
          </cell>
          <cell r="D4974" t="str">
            <v>SP30430</v>
          </cell>
          <cell r="BA4974">
            <v>139.36000000000001</v>
          </cell>
        </row>
        <row r="4975">
          <cell r="C4975" t="str">
            <v>4504 - HAND DRIVN FASTNR (NAILS,SCRW</v>
          </cell>
          <cell r="D4975" t="str">
            <v>SP30439</v>
          </cell>
          <cell r="BA4975">
            <v>23.77</v>
          </cell>
        </row>
        <row r="4976">
          <cell r="C4976" t="str">
            <v>4504 - HAND DRIVN FASTNR (NAILS,SCRW</v>
          </cell>
          <cell r="D4976" t="str">
            <v>SP30598</v>
          </cell>
          <cell r="BA4976">
            <v>1.26</v>
          </cell>
        </row>
        <row r="4977">
          <cell r="C4977" t="str">
            <v>4504 - HAND DRIVN FASTNR (NAILS,SCRW</v>
          </cell>
          <cell r="D4977" t="str">
            <v>SP30499</v>
          </cell>
          <cell r="BA4977">
            <v>18.23</v>
          </cell>
        </row>
        <row r="4978">
          <cell r="C4978" t="str">
            <v>4504 - HAND DRIVN FASTNR (NAILS,SCRW</v>
          </cell>
          <cell r="D4978" t="str">
            <v>SP30508</v>
          </cell>
          <cell r="BA4978">
            <v>12.54</v>
          </cell>
        </row>
        <row r="4979">
          <cell r="C4979" t="str">
            <v>4504 - HAND DRIVN FASTNR (NAILS,SCRW</v>
          </cell>
          <cell r="D4979" t="str">
            <v>SP30512</v>
          </cell>
          <cell r="BA4979">
            <v>15.15</v>
          </cell>
        </row>
        <row r="4980">
          <cell r="C4980" t="str">
            <v>4504 - HAND DRIVN FASTNR (NAILS,SCRW</v>
          </cell>
          <cell r="D4980" t="str">
            <v>SP30516</v>
          </cell>
          <cell r="BA4980">
            <v>18.920000000000002</v>
          </cell>
        </row>
        <row r="4981">
          <cell r="C4981" t="str">
            <v>4504 - HAND DRIVN FASTNR (NAILS,SCRW</v>
          </cell>
          <cell r="D4981" t="str">
            <v>SP30518</v>
          </cell>
          <cell r="BA4981">
            <v>184.71</v>
          </cell>
        </row>
        <row r="4982">
          <cell r="C4982" t="str">
            <v>4504 - HAND DRIVN FASTNR (NAILS,SCRW</v>
          </cell>
          <cell r="D4982" t="str">
            <v>SP30520</v>
          </cell>
          <cell r="BA4982">
            <v>16.91</v>
          </cell>
        </row>
        <row r="4983">
          <cell r="C4983" t="str">
            <v>4504 - HAND DRIVN FASTNR (NAILS,SCRW</v>
          </cell>
          <cell r="D4983" t="str">
            <v>SP30524</v>
          </cell>
          <cell r="BA4983">
            <v>19.52</v>
          </cell>
        </row>
        <row r="4984">
          <cell r="C4984" t="str">
            <v>4504 - HAND DRIVN FASTNR (NAILS,SCRW</v>
          </cell>
          <cell r="D4984" t="str">
            <v>SP30530</v>
          </cell>
          <cell r="BA4984">
            <v>29.18</v>
          </cell>
        </row>
        <row r="4985">
          <cell r="C4985" t="str">
            <v>4504 - HAND DRIVN FASTNR (NAILS,SCRW</v>
          </cell>
          <cell r="D4985" t="str">
            <v>SP30566</v>
          </cell>
          <cell r="BA4985">
            <v>24.26</v>
          </cell>
        </row>
        <row r="4986">
          <cell r="C4986" t="str">
            <v>4504 - HAND DRIVN FASTNR (NAILS,SCRW</v>
          </cell>
          <cell r="D4986" t="str">
            <v>SP30578</v>
          </cell>
          <cell r="BA4986">
            <v>41.53</v>
          </cell>
        </row>
        <row r="4987">
          <cell r="C4987" t="str">
            <v>4504 - HAND DRIVN FASTNR (NAILS,SCRW</v>
          </cell>
          <cell r="D4987" t="str">
            <v>SP30590</v>
          </cell>
          <cell r="BA4987">
            <v>40.29</v>
          </cell>
        </row>
        <row r="4988">
          <cell r="C4988" t="str">
            <v>4504 - HAND DRIVN FASTNR (NAILS,SCRW</v>
          </cell>
          <cell r="D4988" t="str">
            <v>SP30608</v>
          </cell>
          <cell r="BA4988">
            <v>43.4</v>
          </cell>
        </row>
        <row r="4989">
          <cell r="C4989" t="str">
            <v>4504 - HAND DRIVN FASTNR (NAILS,SCRW</v>
          </cell>
          <cell r="D4989" t="str">
            <v>SP30620</v>
          </cell>
          <cell r="BA4989">
            <v>58.82</v>
          </cell>
        </row>
        <row r="4990">
          <cell r="C4990" t="str">
            <v>4504 - HAND DRIVN FASTNR (NAILS,SCRW</v>
          </cell>
          <cell r="D4990" t="str">
            <v>SP30621</v>
          </cell>
          <cell r="BA4990">
            <v>69.22</v>
          </cell>
        </row>
        <row r="4991">
          <cell r="C4991" t="str">
            <v>4504 - HAND DRIVN FASTNR (NAILS,SCRW</v>
          </cell>
          <cell r="D4991" t="str">
            <v>SP30632</v>
          </cell>
          <cell r="BA4991">
            <v>38.479999999999997</v>
          </cell>
        </row>
        <row r="4992">
          <cell r="C4992" t="str">
            <v>4504 - HAND DRIVN FASTNR (NAILS,SCRW</v>
          </cell>
          <cell r="D4992" t="str">
            <v>SP30644</v>
          </cell>
          <cell r="BA4992">
            <v>51.32</v>
          </cell>
        </row>
        <row r="4993">
          <cell r="C4993" t="str">
            <v>4504 - HAND DRIVN FASTNR (NAILS,SCRW</v>
          </cell>
          <cell r="D4993" t="str">
            <v>SP30668</v>
          </cell>
          <cell r="BA4993">
            <v>90.96</v>
          </cell>
        </row>
        <row r="4994">
          <cell r="C4994" t="str">
            <v>4504 - HAND DRIVN FASTNR (NAILS,SCRW</v>
          </cell>
          <cell r="D4994" t="str">
            <v>SP30669</v>
          </cell>
          <cell r="BA4994">
            <v>137.06</v>
          </cell>
        </row>
        <row r="4995">
          <cell r="C4995" t="str">
            <v>4504 - HAND DRIVN FASTNR (NAILS,SCRW</v>
          </cell>
          <cell r="D4995" t="str">
            <v>SP30687</v>
          </cell>
          <cell r="BA4995">
            <v>139.59</v>
          </cell>
        </row>
        <row r="4996">
          <cell r="C4996" t="str">
            <v>4504 - HAND DRIVN FASTNR (NAILS,SCRW</v>
          </cell>
          <cell r="D4996" t="str">
            <v>SP30688</v>
          </cell>
          <cell r="BA4996">
            <v>3.74</v>
          </cell>
        </row>
        <row r="4997">
          <cell r="C4997" t="str">
            <v>4504 - HAND DRIVN FASTNR (NAILS,SCRW</v>
          </cell>
          <cell r="D4997" t="str">
            <v>SP30699</v>
          </cell>
          <cell r="BA4997">
            <v>4.67</v>
          </cell>
        </row>
        <row r="4998">
          <cell r="C4998" t="str">
            <v>4504 - HAND DRIVN FASTNR (NAILS,SCRW</v>
          </cell>
          <cell r="D4998" t="str">
            <v>SP30703</v>
          </cell>
          <cell r="BA4998">
            <v>33.28</v>
          </cell>
        </row>
        <row r="4999">
          <cell r="C4999" t="str">
            <v>4504 - HAND DRIVN FASTNR (NAILS,SCRW</v>
          </cell>
          <cell r="D4999" t="str">
            <v>SP30705</v>
          </cell>
          <cell r="BA4999">
            <v>0.48</v>
          </cell>
        </row>
        <row r="5000">
          <cell r="C5000" t="str">
            <v>4504 - HAND DRIVN FASTNR (NAILS,SCRW</v>
          </cell>
          <cell r="D5000" t="str">
            <v>SP30710</v>
          </cell>
          <cell r="BA5000">
            <v>0.91</v>
          </cell>
        </row>
        <row r="5001">
          <cell r="C5001" t="str">
            <v>4504 - HAND DRIVN FASTNR (NAILS,SCRW</v>
          </cell>
          <cell r="D5001" t="str">
            <v>SP30713</v>
          </cell>
          <cell r="BA5001">
            <v>46.35</v>
          </cell>
        </row>
        <row r="5002">
          <cell r="C5002" t="str">
            <v>4504 - HAND DRIVN FASTNR (NAILS,SCRW</v>
          </cell>
          <cell r="D5002" t="str">
            <v>SP30715</v>
          </cell>
          <cell r="BA5002">
            <v>1.41</v>
          </cell>
        </row>
        <row r="5003">
          <cell r="C5003" t="str">
            <v>4504 - HAND DRIVN FASTNR (NAILS,SCRW</v>
          </cell>
          <cell r="D5003" t="str">
            <v>SP30720</v>
          </cell>
          <cell r="BA5003">
            <v>1.45</v>
          </cell>
        </row>
        <row r="5004">
          <cell r="C5004" t="str">
            <v>4504 - HAND DRIVN FASTNR (NAILS,SCRW</v>
          </cell>
          <cell r="D5004" t="str">
            <v>SP30725</v>
          </cell>
          <cell r="BA5004">
            <v>1.88</v>
          </cell>
        </row>
        <row r="5005">
          <cell r="C5005" t="str">
            <v>4504 - HAND DRIVN FASTNR (NAILS,SCRW</v>
          </cell>
          <cell r="D5005" t="str">
            <v>SP30734</v>
          </cell>
          <cell r="BA5005">
            <v>30.79</v>
          </cell>
        </row>
        <row r="5006">
          <cell r="C5006" t="str">
            <v>4504 - HAND DRIVN FASTNR (NAILS,SCRW</v>
          </cell>
          <cell r="D5006" t="str">
            <v>SP30735</v>
          </cell>
          <cell r="BA5006">
            <v>0.74</v>
          </cell>
        </row>
        <row r="5007">
          <cell r="C5007" t="str">
            <v>4504 - HAND DRIVN FASTNR (NAILS,SCRW</v>
          </cell>
          <cell r="D5007" t="str">
            <v>SP30740</v>
          </cell>
          <cell r="BA5007">
            <v>0.87</v>
          </cell>
        </row>
        <row r="5008">
          <cell r="C5008" t="str">
            <v>4504 - HAND DRIVN FASTNR (NAILS,SCRW</v>
          </cell>
          <cell r="D5008" t="str">
            <v>SP30745</v>
          </cell>
          <cell r="BA5008">
            <v>1.22</v>
          </cell>
        </row>
        <row r="5009">
          <cell r="C5009" t="str">
            <v>4504 - HAND DRIVN FASTNR (NAILS,SCRW</v>
          </cell>
          <cell r="D5009" t="str">
            <v>SP30749</v>
          </cell>
          <cell r="BA5009">
            <v>63.82</v>
          </cell>
        </row>
        <row r="5010">
          <cell r="C5010" t="str">
            <v>4504 - HAND DRIVN FASTNR (NAILS,SCRW</v>
          </cell>
          <cell r="D5010" t="str">
            <v>SP30750</v>
          </cell>
          <cell r="BA5010">
            <v>1.39</v>
          </cell>
        </row>
        <row r="5011">
          <cell r="C5011" t="str">
            <v>4504 - HAND DRIVN FASTNR (NAILS,SCRW</v>
          </cell>
          <cell r="D5011" t="str">
            <v>SP30755</v>
          </cell>
          <cell r="BA5011">
            <v>1.95</v>
          </cell>
        </row>
        <row r="5012">
          <cell r="C5012" t="str">
            <v>4504 - HAND DRIVN FASTNR (NAILS,SCRW</v>
          </cell>
          <cell r="D5012" t="str">
            <v>SP30760</v>
          </cell>
          <cell r="BA5012">
            <v>2.48</v>
          </cell>
        </row>
        <row r="5013">
          <cell r="C5013" t="str">
            <v>4504 - HAND DRIVN FASTNR (NAILS,SCRW</v>
          </cell>
          <cell r="D5013" t="str">
            <v>SP30763</v>
          </cell>
          <cell r="BA5013">
            <v>18.23</v>
          </cell>
        </row>
        <row r="5014">
          <cell r="C5014" t="str">
            <v>4504 - HAND DRIVN FASTNR (NAILS,SCRW</v>
          </cell>
          <cell r="D5014" t="str">
            <v>SP30971</v>
          </cell>
          <cell r="BA5014">
            <v>33.64</v>
          </cell>
        </row>
        <row r="5015">
          <cell r="C5015" t="str">
            <v>4504 - HAND DRIVN FASTNR (NAILS,SCRW</v>
          </cell>
          <cell r="D5015" t="str">
            <v>SP30972</v>
          </cell>
          <cell r="BA5015">
            <v>33.64</v>
          </cell>
        </row>
        <row r="5016">
          <cell r="C5016" t="str">
            <v>4504 - HAND DRIVN FASTNR (NAILS,SCRW</v>
          </cell>
          <cell r="D5016" t="str">
            <v>SP30973</v>
          </cell>
          <cell r="BA5016">
            <v>33.64</v>
          </cell>
        </row>
        <row r="5017">
          <cell r="C5017" t="str">
            <v>4504 - HAND DRIVN FASTNR (NAILS,SCRW</v>
          </cell>
          <cell r="D5017" t="str">
            <v>SP30974</v>
          </cell>
          <cell r="BA5017">
            <v>33.64</v>
          </cell>
        </row>
        <row r="5018">
          <cell r="C5018" t="str">
            <v>4504 - HAND DRIVN FASTNR (NAILS,SCRW</v>
          </cell>
          <cell r="D5018" t="str">
            <v>SPBTX081141</v>
          </cell>
          <cell r="BA5018">
            <v>7.81</v>
          </cell>
        </row>
        <row r="5019">
          <cell r="C5019" t="str">
            <v>4504 - HAND DRIVN FASTNR (NAILS,SCRW</v>
          </cell>
          <cell r="D5019" t="str">
            <v>SPCB114D1</v>
          </cell>
          <cell r="BA5019">
            <v>8.27</v>
          </cell>
        </row>
        <row r="5020">
          <cell r="C5020" t="str">
            <v>4504 - HAND DRIVN FASTNR (NAILS,SCRW</v>
          </cell>
          <cell r="D5020" t="str">
            <v>SPCB114S1</v>
          </cell>
          <cell r="BA5020">
            <v>9.3699999999999992</v>
          </cell>
        </row>
        <row r="5021">
          <cell r="C5021" t="str">
            <v>4504 - HAND DRIVN FASTNR (NAILS,SCRW</v>
          </cell>
          <cell r="D5021" t="str">
            <v>SPCB114S5</v>
          </cell>
          <cell r="BA5021">
            <v>39.01</v>
          </cell>
        </row>
        <row r="5022">
          <cell r="C5022" t="str">
            <v>4504 - HAND DRIVN FASTNR (NAILS,SCRW</v>
          </cell>
          <cell r="D5022" t="str">
            <v>SPCB158D1</v>
          </cell>
          <cell r="BA5022">
            <v>7.88</v>
          </cell>
        </row>
        <row r="5023">
          <cell r="C5023" t="str">
            <v>4504 - HAND DRIVN FASTNR (NAILS,SCRW</v>
          </cell>
          <cell r="D5023" t="str">
            <v>SPCB158D5</v>
          </cell>
          <cell r="BA5023">
            <v>36.82</v>
          </cell>
        </row>
        <row r="5024">
          <cell r="C5024" t="str">
            <v>4504 - HAND DRIVN FASTNR (NAILS,SCRW</v>
          </cell>
          <cell r="D5024" t="str">
            <v>SPCB158S1</v>
          </cell>
          <cell r="BA5024">
            <v>10.07</v>
          </cell>
        </row>
        <row r="5025">
          <cell r="C5025" t="str">
            <v>4504 - HAND DRIVN FASTNR (NAILS,SCRW</v>
          </cell>
          <cell r="D5025" t="str">
            <v>SPCB158S5</v>
          </cell>
          <cell r="BA5025">
            <v>47.63</v>
          </cell>
        </row>
        <row r="5026">
          <cell r="C5026" t="str">
            <v>4504 - HAND DRIVN FASTNR (NAILS,SCRW</v>
          </cell>
          <cell r="D5026" t="str">
            <v>SPCCTX381200EA</v>
          </cell>
          <cell r="BA5026">
            <v>2.1800000000000002</v>
          </cell>
        </row>
        <row r="5027">
          <cell r="C5027" t="str">
            <v>4504 - HAND DRIVN FASTNR (NAILS,SCRW</v>
          </cell>
          <cell r="D5027" t="str">
            <v>SPCCTX3880050</v>
          </cell>
          <cell r="BA5027">
            <v>89.92</v>
          </cell>
        </row>
        <row r="5028">
          <cell r="C5028" t="str">
            <v>4504 - HAND DRIVN FASTNR (NAILS,SCRW</v>
          </cell>
          <cell r="D5028" t="str">
            <v>SPCD234DB350</v>
          </cell>
          <cell r="BA5028">
            <v>52.01</v>
          </cell>
        </row>
        <row r="5029">
          <cell r="C5029" t="str">
            <v>4504 - HAND DRIVN FASTNR (NAILS,SCRW</v>
          </cell>
          <cell r="D5029" t="str">
            <v>SPCD234DB75</v>
          </cell>
          <cell r="BA5029">
            <v>12.08</v>
          </cell>
        </row>
        <row r="5030">
          <cell r="C5030" t="str">
            <v>4504 - HAND DRIVN FASTNR (NAILS,SCRW</v>
          </cell>
          <cell r="D5030" t="str">
            <v>SPCD234FP350</v>
          </cell>
          <cell r="BA5030">
            <v>52.01</v>
          </cell>
        </row>
        <row r="5031">
          <cell r="C5031" t="str">
            <v>4504 - HAND DRIVN FASTNR (NAILS,SCRW</v>
          </cell>
          <cell r="D5031" t="str">
            <v>SPCD234FP75</v>
          </cell>
          <cell r="BA5031">
            <v>12.08</v>
          </cell>
        </row>
        <row r="5032">
          <cell r="C5032" t="str">
            <v>4504 - HAND DRIVN FASTNR (NAILS,SCRW</v>
          </cell>
          <cell r="D5032" t="str">
            <v>SPCD234FT350</v>
          </cell>
          <cell r="BA5032">
            <v>50.55</v>
          </cell>
        </row>
        <row r="5033">
          <cell r="C5033" t="str">
            <v>4504 - HAND DRIVN FASTNR (NAILS,SCRW</v>
          </cell>
          <cell r="D5033" t="str">
            <v>SPCD234FT75</v>
          </cell>
          <cell r="BA5033">
            <v>12.08</v>
          </cell>
        </row>
        <row r="5034">
          <cell r="C5034" t="str">
            <v>4504 - HAND DRIVN FASTNR (NAILS,SCRW</v>
          </cell>
          <cell r="D5034" t="str">
            <v>SPCD234GP350</v>
          </cell>
          <cell r="BA5034">
            <v>50.1</v>
          </cell>
        </row>
        <row r="5035">
          <cell r="C5035" t="str">
            <v>4504 - HAND DRIVN FASTNR (NAILS,SCRW</v>
          </cell>
          <cell r="D5035" t="str">
            <v>SPCD234GP75</v>
          </cell>
          <cell r="BA5035">
            <v>11.06</v>
          </cell>
        </row>
        <row r="5036">
          <cell r="C5036" t="str">
            <v>4504 - HAND DRIVN FASTNR (NAILS,SCRW</v>
          </cell>
          <cell r="D5036" t="str">
            <v>SPCD234RB350</v>
          </cell>
          <cell r="BA5036">
            <v>52.01</v>
          </cell>
        </row>
        <row r="5037">
          <cell r="C5037" t="str">
            <v>4504 - HAND DRIVN FASTNR (NAILS,SCRW</v>
          </cell>
          <cell r="D5037" t="str">
            <v>SPCD234RB75</v>
          </cell>
          <cell r="BA5037">
            <v>12.08</v>
          </cell>
        </row>
        <row r="5038">
          <cell r="C5038" t="str">
            <v>4504 - HAND DRIVN FASTNR (NAILS,SCRW</v>
          </cell>
          <cell r="D5038" t="str">
            <v>SPCD234RR350</v>
          </cell>
          <cell r="BA5038">
            <v>52.01</v>
          </cell>
        </row>
        <row r="5039">
          <cell r="C5039" t="str">
            <v>4504 - HAND DRIVN FASTNR (NAILS,SCRW</v>
          </cell>
          <cell r="D5039" t="str">
            <v>SPCD234RR75</v>
          </cell>
          <cell r="BA5039">
            <v>12.08</v>
          </cell>
        </row>
        <row r="5040">
          <cell r="C5040" t="str">
            <v>4504 - HAND DRIVN FASTNR (NAILS,SCRW</v>
          </cell>
          <cell r="D5040" t="str">
            <v>SPCD234RS350</v>
          </cell>
          <cell r="BA5040">
            <v>41.81</v>
          </cell>
        </row>
        <row r="5041">
          <cell r="C5041" t="str">
            <v>4504 - HAND DRIVN FASTNR (NAILS,SCRW</v>
          </cell>
          <cell r="D5041" t="str">
            <v>SPCD234RS75</v>
          </cell>
          <cell r="BA5041">
            <v>9.7100000000000009</v>
          </cell>
        </row>
        <row r="5042">
          <cell r="C5042" t="str">
            <v>4504 - HAND DRIVN FASTNR (NAILS,SCRW</v>
          </cell>
          <cell r="D5042" t="str">
            <v>SPCD234S350</v>
          </cell>
          <cell r="BA5042">
            <v>52.01</v>
          </cell>
        </row>
        <row r="5043">
          <cell r="C5043" t="str">
            <v>4504 - HAND DRIVN FASTNR (NAILS,SCRW</v>
          </cell>
          <cell r="D5043" t="str">
            <v>SPCD234S75</v>
          </cell>
          <cell r="BA5043">
            <v>12.08</v>
          </cell>
        </row>
        <row r="5044">
          <cell r="C5044" t="str">
            <v>4504 - HAND DRIVN FASTNR (NAILS,SCRW</v>
          </cell>
          <cell r="D5044" t="str">
            <v>SPCD234SR350</v>
          </cell>
          <cell r="BA5044">
            <v>52.01</v>
          </cell>
        </row>
        <row r="5045">
          <cell r="C5045" t="str">
            <v>4504 - HAND DRIVN FASTNR (NAILS,SCRW</v>
          </cell>
          <cell r="D5045" t="str">
            <v>SPCD234SR75</v>
          </cell>
          <cell r="BA5045">
            <v>12.08</v>
          </cell>
        </row>
        <row r="5046">
          <cell r="C5046" t="str">
            <v>4504 - HAND DRIVN FASTNR (NAILS,SCRW</v>
          </cell>
          <cell r="D5046" t="str">
            <v>SPCD234TH350</v>
          </cell>
          <cell r="BA5046">
            <v>52.01</v>
          </cell>
        </row>
        <row r="5047">
          <cell r="C5047" t="str">
            <v>4504 - HAND DRIVN FASTNR (NAILS,SCRW</v>
          </cell>
          <cell r="D5047" t="str">
            <v>SPCD234TH75</v>
          </cell>
          <cell r="BA5047">
            <v>12.08</v>
          </cell>
        </row>
        <row r="5048">
          <cell r="C5048" t="str">
            <v>4504 - HAND DRIVN FASTNR (NAILS,SCRW</v>
          </cell>
          <cell r="D5048" t="str">
            <v>SPCD234TK350</v>
          </cell>
          <cell r="BA5048">
            <v>52.01</v>
          </cell>
        </row>
        <row r="5049">
          <cell r="C5049" t="str">
            <v>4504 - HAND DRIVN FASTNR (NAILS,SCRW</v>
          </cell>
          <cell r="D5049" t="str">
            <v>SPCD234TK75</v>
          </cell>
          <cell r="BA5049">
            <v>12.08</v>
          </cell>
        </row>
        <row r="5050">
          <cell r="C5050" t="str">
            <v>4504 - HAND DRIVN FASTNR (NAILS,SCRW</v>
          </cell>
          <cell r="D5050" t="str">
            <v>SPCD234TTC350</v>
          </cell>
          <cell r="BA5050">
            <v>41.83</v>
          </cell>
        </row>
        <row r="5051">
          <cell r="C5051" t="str">
            <v>4504 - HAND DRIVN FASTNR (NAILS,SCRW</v>
          </cell>
          <cell r="D5051" t="str">
            <v>SPCD234TTC75</v>
          </cell>
          <cell r="BA5051">
            <v>12.08</v>
          </cell>
        </row>
        <row r="5052">
          <cell r="C5052" t="str">
            <v>4504 - HAND DRIVN FASTNR (NAILS,SCRW</v>
          </cell>
          <cell r="D5052" t="str">
            <v>SPCD234TTG75</v>
          </cell>
          <cell r="BA5052">
            <v>12.08</v>
          </cell>
        </row>
        <row r="5053">
          <cell r="C5053" t="str">
            <v>4504 - HAND DRIVN FASTNR (NAILS,SCRW</v>
          </cell>
          <cell r="D5053" t="str">
            <v>SPCD234VL350</v>
          </cell>
          <cell r="BA5053">
            <v>52.01</v>
          </cell>
        </row>
        <row r="5054">
          <cell r="C5054" t="str">
            <v>4504 - HAND DRIVN FASTNR (NAILS,SCRW</v>
          </cell>
          <cell r="D5054" t="str">
            <v>SPCD234VL75</v>
          </cell>
          <cell r="BA5054">
            <v>12.08</v>
          </cell>
        </row>
        <row r="5055">
          <cell r="C5055" t="str">
            <v>4504 - HAND DRIVN FASTNR (NAILS,SCRW</v>
          </cell>
          <cell r="D5055" t="str">
            <v>SPCD234WG350</v>
          </cell>
          <cell r="BA5055">
            <v>52.01</v>
          </cell>
        </row>
        <row r="5056">
          <cell r="C5056" t="str">
            <v>4504 - HAND DRIVN FASTNR (NAILS,SCRW</v>
          </cell>
          <cell r="D5056" t="str">
            <v>SPCD234WG75</v>
          </cell>
          <cell r="BA5056">
            <v>12.08</v>
          </cell>
        </row>
        <row r="5057">
          <cell r="C5057" t="str">
            <v>4504 - HAND DRIVN FASTNR (NAILS,SCRW</v>
          </cell>
          <cell r="D5057" t="str">
            <v>SPCD234WN350</v>
          </cell>
          <cell r="BA5057">
            <v>52.01</v>
          </cell>
        </row>
        <row r="5058">
          <cell r="C5058" t="str">
            <v>4504 - HAND DRIVN FASTNR (NAILS,SCRW</v>
          </cell>
          <cell r="D5058" t="str">
            <v>SPCD234WN75</v>
          </cell>
          <cell r="BA5058">
            <v>12.08</v>
          </cell>
        </row>
        <row r="5059">
          <cell r="C5059" t="str">
            <v>4504 - HAND DRIVN FASTNR (NAILS,SCRW</v>
          </cell>
          <cell r="D5059" t="str">
            <v>SPD2W58</v>
          </cell>
          <cell r="BA5059">
            <v>2.37</v>
          </cell>
        </row>
        <row r="5060">
          <cell r="C5060" t="str">
            <v>4504 - HAND DRIVN FASTNR (NAILS,SCRW</v>
          </cell>
          <cell r="D5060" t="str">
            <v>SPFHD122005</v>
          </cell>
          <cell r="BA5060">
            <v>41.01</v>
          </cell>
        </row>
        <row r="5061">
          <cell r="C5061" t="str">
            <v>4504 - HAND DRIVN FASTNR (NAILS,SCRW</v>
          </cell>
          <cell r="D5061" t="str">
            <v>SPFHD143141</v>
          </cell>
          <cell r="BA5061">
            <v>7.5</v>
          </cell>
        </row>
        <row r="5062">
          <cell r="C5062" t="str">
            <v>4504 - HAND DRIVN FASTNR (NAILS,SCRW</v>
          </cell>
          <cell r="D5062" t="str">
            <v>SPFSC71581</v>
          </cell>
          <cell r="BA5062">
            <v>9.2100000000000009</v>
          </cell>
        </row>
        <row r="5063">
          <cell r="C5063" t="str">
            <v>4504 - HAND DRIVN FASTNR (NAILS,SCRW</v>
          </cell>
          <cell r="D5063" t="str">
            <v>SPMT0812D1</v>
          </cell>
          <cell r="BA5063">
            <v>7.9</v>
          </cell>
        </row>
        <row r="5064">
          <cell r="C5064" t="str">
            <v>4504 - HAND DRIVN FASTNR (NAILS,SCRW</v>
          </cell>
          <cell r="D5064" t="str">
            <v>SPMT0834D1</v>
          </cell>
          <cell r="BA5064">
            <v>8.08</v>
          </cell>
        </row>
        <row r="5065">
          <cell r="C5065" t="str">
            <v>4504 - HAND DRIVN FASTNR (NAILS,SCRW</v>
          </cell>
          <cell r="D5065" t="str">
            <v>SPMT08114D1</v>
          </cell>
          <cell r="BA5065">
            <v>8.2200000000000006</v>
          </cell>
        </row>
        <row r="5066">
          <cell r="C5066" t="str">
            <v>4504 - HAND DRIVN FASTNR (NAILS,SCRW</v>
          </cell>
          <cell r="D5066" t="str">
            <v>SPMT08114S1</v>
          </cell>
          <cell r="BA5066">
            <v>8.59</v>
          </cell>
        </row>
        <row r="5067">
          <cell r="C5067" t="str">
            <v>4504 - HAND DRIVN FASTNR (NAILS,SCRW</v>
          </cell>
          <cell r="D5067" t="str">
            <v>SPMT-08114S-5</v>
          </cell>
          <cell r="BA5067">
            <v>37.83</v>
          </cell>
        </row>
        <row r="5068">
          <cell r="C5068" t="str">
            <v>4504 - HAND DRIVN FASTNR (NAILS,SCRW</v>
          </cell>
          <cell r="D5068" t="str">
            <v>SPMT-08200S-1</v>
          </cell>
          <cell r="BA5068">
            <v>8.6</v>
          </cell>
        </row>
        <row r="5069">
          <cell r="C5069" t="str">
            <v>4504 - HAND DRIVN FASTNR (NAILS,SCRW</v>
          </cell>
          <cell r="D5069" t="str">
            <v>SPMT-08200S-5</v>
          </cell>
          <cell r="BA5069">
            <v>35.33</v>
          </cell>
        </row>
        <row r="5070">
          <cell r="C5070" t="str">
            <v>4504 - HAND DRIVN FASTNR (NAILS,SCRW</v>
          </cell>
          <cell r="D5070" t="str">
            <v>SPSSCD234FT350</v>
          </cell>
          <cell r="BA5070">
            <v>118.63</v>
          </cell>
        </row>
        <row r="5071">
          <cell r="C5071" t="str">
            <v>4504 - HAND DRIVN FASTNR (NAILS,SCRW</v>
          </cell>
          <cell r="D5071" t="str">
            <v>SPTH450</v>
          </cell>
          <cell r="BA5071">
            <v>17.899999999999999</v>
          </cell>
        </row>
        <row r="5072">
          <cell r="C5072" t="str">
            <v>4504 - HAND DRIVN FASTNR (NAILS,SCRW</v>
          </cell>
          <cell r="D5072" t="str">
            <v>SPTH650</v>
          </cell>
          <cell r="BA5072">
            <v>25.82</v>
          </cell>
        </row>
        <row r="5073">
          <cell r="C5073" t="str">
            <v>4504 - HAND DRIVN FASTNR (NAILS,SCRW</v>
          </cell>
          <cell r="D5073" t="str">
            <v>SPTH850</v>
          </cell>
          <cell r="BA5073">
            <v>43.62</v>
          </cell>
        </row>
        <row r="5074">
          <cell r="C5074" t="str">
            <v>4504 - HAND DRIVN FASTNR (NAILS,SCRW</v>
          </cell>
          <cell r="D5074" t="str">
            <v>SPTHBTX09212</v>
          </cell>
          <cell r="BA5074">
            <v>167.19</v>
          </cell>
        </row>
        <row r="5075">
          <cell r="C5075" t="str">
            <v>4504 - HAND DRIVN FASTNR (NAILS,SCRW</v>
          </cell>
          <cell r="D5075" t="str">
            <v>SPYTX09212</v>
          </cell>
          <cell r="BA5075">
            <v>119.51</v>
          </cell>
        </row>
        <row r="5076">
          <cell r="C5076" t="str">
            <v>4504 - HAND DRIVN FASTNR (NAILS,SCRW</v>
          </cell>
          <cell r="D5076" t="str">
            <v>GRF182SS</v>
          </cell>
          <cell r="BA5076">
            <v>53.28</v>
          </cell>
        </row>
        <row r="5077">
          <cell r="C5077" t="str">
            <v>4504 - HAND DRIVN FASTNR (NAILS,SCRW</v>
          </cell>
          <cell r="D5077" t="str">
            <v>GRF18114SS</v>
          </cell>
          <cell r="BA5077">
            <v>37.04</v>
          </cell>
        </row>
        <row r="5078">
          <cell r="C5078" t="str">
            <v>4504 - HAND DRIVN FASTNR (NAILS,SCRW</v>
          </cell>
          <cell r="D5078" t="str">
            <v>HU612Z</v>
          </cell>
          <cell r="BA5078">
            <v>39.58</v>
          </cell>
        </row>
        <row r="5079">
          <cell r="C5079" t="str">
            <v>4504 - HAND DRIVN FASTNR (NAILS,SCRW</v>
          </cell>
          <cell r="D5079" t="str">
            <v>LB212AZ</v>
          </cell>
          <cell r="BA5079">
            <v>7.69</v>
          </cell>
        </row>
        <row r="5080">
          <cell r="C5080" t="str">
            <v>4504 - HAND DRIVN FASTNR (NAILS,SCRW</v>
          </cell>
          <cell r="D5080" t="str">
            <v>THDB62600HMGEA</v>
          </cell>
          <cell r="BA5080">
            <v>7.73</v>
          </cell>
        </row>
        <row r="5081">
          <cell r="C5081" t="str">
            <v>4504 - HAND DRIVN FASTNR (NAILS,SCRW</v>
          </cell>
          <cell r="D5081" t="str">
            <v>THDB62800HMGEA</v>
          </cell>
          <cell r="BA5081">
            <v>11.55</v>
          </cell>
        </row>
        <row r="5082">
          <cell r="C5082" t="str">
            <v>4504 - HAND DRIVN FASTNR (NAILS,SCRW</v>
          </cell>
          <cell r="D5082" t="str">
            <v>RMSSCR91MB</v>
          </cell>
          <cell r="BA5082">
            <v>8.0500000000000007</v>
          </cell>
        </row>
        <row r="5083">
          <cell r="C5083" t="str">
            <v>4504 - HAND DRIVN FASTNR (NAILS,SCRW</v>
          </cell>
          <cell r="D5083" t="str">
            <v>RMSSCR91ZEA</v>
          </cell>
          <cell r="BA5083">
            <v>0.06</v>
          </cell>
        </row>
        <row r="5084">
          <cell r="C5084" t="str">
            <v>4504 - HAND DRIVN FASTNR (NAILS,SCRW</v>
          </cell>
          <cell r="D5084" t="str">
            <v>RMSSCR9112MB</v>
          </cell>
          <cell r="BA5084">
            <v>9.07</v>
          </cell>
        </row>
        <row r="5085">
          <cell r="C5085" t="str">
            <v>4504 - HAND DRIVN FASTNR (NAILS,SCRW</v>
          </cell>
          <cell r="D5085" t="str">
            <v>RMSSCR9112RREA</v>
          </cell>
          <cell r="BA5085">
            <v>0.09</v>
          </cell>
        </row>
        <row r="5086">
          <cell r="C5086" t="str">
            <v>4504 - HAND DRIVN FASTNR (NAILS,SCRW</v>
          </cell>
          <cell r="D5086" t="str">
            <v>RMSSCR92Z</v>
          </cell>
          <cell r="BA5086">
            <v>9.4</v>
          </cell>
        </row>
        <row r="5087">
          <cell r="C5087" t="str">
            <v>4504 - HAND DRIVN FASTNR (NAILS,SCRW</v>
          </cell>
          <cell r="D5087" t="str">
            <v>RMSSCR92ZEA</v>
          </cell>
          <cell r="BA5087">
            <v>0.09</v>
          </cell>
        </row>
        <row r="5088">
          <cell r="C5088" t="str">
            <v>4504 - HAND DRIVN FASTNR (NAILS,SCRW</v>
          </cell>
          <cell r="D5088" t="str">
            <v>16DHDGSSLB</v>
          </cell>
          <cell r="BA5088">
            <v>1.78</v>
          </cell>
        </row>
        <row r="5089">
          <cell r="C5089" t="str">
            <v>4504 - HAND DRIVN FASTNR (NAILS,SCRW</v>
          </cell>
          <cell r="D5089" t="str">
            <v>TLOC350W</v>
          </cell>
          <cell r="BA5089">
            <v>75.55</v>
          </cell>
        </row>
        <row r="5090">
          <cell r="C5090" t="str">
            <v>4504 - HAND DRIVN FASTNR (NAILS,SCRW</v>
          </cell>
          <cell r="D5090" t="str">
            <v>MF02523EA</v>
          </cell>
          <cell r="BA5090">
            <v>0.03</v>
          </cell>
        </row>
        <row r="5091">
          <cell r="C5091" t="str">
            <v>4504 - HAND DRIVN FASTNR (NAILS,SCRW</v>
          </cell>
          <cell r="D5091" t="str">
            <v>MF02527EA</v>
          </cell>
          <cell r="BA5091">
            <v>0.04</v>
          </cell>
        </row>
        <row r="5092">
          <cell r="C5092" t="str">
            <v>4504 - HAND DRIVN FASTNR (NAILS,SCRW</v>
          </cell>
          <cell r="D5092" t="str">
            <v>MF02533EA</v>
          </cell>
          <cell r="BA5092">
            <v>0.03</v>
          </cell>
        </row>
        <row r="5093">
          <cell r="C5093" t="str">
            <v>4504 - HAND DRIVN FASTNR (NAILS,SCRW</v>
          </cell>
          <cell r="D5093" t="str">
            <v>MF02535EA</v>
          </cell>
          <cell r="BA5093">
            <v>0.03</v>
          </cell>
        </row>
        <row r="5094">
          <cell r="C5094" t="str">
            <v>4504 - HAND DRIVN FASTNR (NAILS,SCRW</v>
          </cell>
          <cell r="D5094" t="str">
            <v>MF02537EA</v>
          </cell>
          <cell r="BA5094">
            <v>0.03</v>
          </cell>
        </row>
        <row r="5095">
          <cell r="C5095" t="str">
            <v>4504 - HAND DRIVN FASTNR (NAILS,SCRW</v>
          </cell>
          <cell r="D5095" t="str">
            <v>MF02538EA</v>
          </cell>
          <cell r="BA5095">
            <v>0.04</v>
          </cell>
        </row>
        <row r="5096">
          <cell r="C5096" t="str">
            <v>4504 - HAND DRIVN FASTNR (NAILS,SCRW</v>
          </cell>
          <cell r="D5096" t="str">
            <v>MF02539EA</v>
          </cell>
          <cell r="BA5096">
            <v>0.04</v>
          </cell>
        </row>
        <row r="5097">
          <cell r="C5097" t="str">
            <v>4504 - HAND DRIVN FASTNR (NAILS,SCRW</v>
          </cell>
          <cell r="D5097" t="str">
            <v>MF02541EA</v>
          </cell>
          <cell r="BA5097">
            <v>0.06</v>
          </cell>
        </row>
        <row r="5098">
          <cell r="C5098" t="str">
            <v>4504 - HAND DRIVN FASTNR (NAILS,SCRW</v>
          </cell>
          <cell r="D5098" t="str">
            <v>MF02552EA</v>
          </cell>
          <cell r="BA5098">
            <v>0.03</v>
          </cell>
        </row>
        <row r="5099">
          <cell r="C5099" t="str">
            <v>4504 - HAND DRIVN FASTNR (NAILS,SCRW</v>
          </cell>
          <cell r="D5099" t="str">
            <v>MF02554EA</v>
          </cell>
          <cell r="BA5099">
            <v>0.03</v>
          </cell>
        </row>
        <row r="5100">
          <cell r="C5100" t="str">
            <v>4504 - HAND DRIVN FASTNR (NAILS,SCRW</v>
          </cell>
          <cell r="D5100" t="str">
            <v>MF02556EA</v>
          </cell>
          <cell r="BA5100">
            <v>0.04</v>
          </cell>
        </row>
        <row r="5101">
          <cell r="C5101" t="str">
            <v>4504 - HAND DRIVN FASTNR (NAILS,SCRW</v>
          </cell>
          <cell r="D5101" t="str">
            <v>MF02557EA</v>
          </cell>
          <cell r="BA5101">
            <v>0.04</v>
          </cell>
        </row>
        <row r="5102">
          <cell r="C5102" t="str">
            <v>4504 - HAND DRIVN FASTNR (NAILS,SCRW</v>
          </cell>
          <cell r="D5102" t="str">
            <v>MF02558EA</v>
          </cell>
          <cell r="BA5102">
            <v>0.04</v>
          </cell>
        </row>
        <row r="5103">
          <cell r="C5103" t="str">
            <v>4504 - HAND DRIVN FASTNR (NAILS,SCRW</v>
          </cell>
          <cell r="D5103" t="str">
            <v>MF02559EA</v>
          </cell>
          <cell r="BA5103">
            <v>0.05</v>
          </cell>
        </row>
        <row r="5104">
          <cell r="C5104" t="str">
            <v>4504 - HAND DRIVN FASTNR (NAILS,SCRW</v>
          </cell>
          <cell r="D5104" t="str">
            <v>MF02560EA</v>
          </cell>
          <cell r="BA5104">
            <v>0.05</v>
          </cell>
        </row>
        <row r="5105">
          <cell r="C5105" t="str">
            <v>4504 - HAND DRIVN FASTNR (NAILS,SCRW</v>
          </cell>
          <cell r="D5105" t="str">
            <v>MF02562EA</v>
          </cell>
          <cell r="BA5105">
            <v>0.06</v>
          </cell>
        </row>
        <row r="5106">
          <cell r="C5106" t="str">
            <v>4504 - HAND DRIVN FASTNR (NAILS,SCRW</v>
          </cell>
          <cell r="D5106" t="str">
            <v>MF02563EA</v>
          </cell>
          <cell r="BA5106">
            <v>0.1</v>
          </cell>
        </row>
        <row r="5107">
          <cell r="C5107" t="str">
            <v>4504 - HAND DRIVN FASTNR (NAILS,SCRW</v>
          </cell>
          <cell r="D5107" t="str">
            <v>MF02576EA</v>
          </cell>
          <cell r="BA5107">
            <v>0.04</v>
          </cell>
        </row>
        <row r="5108">
          <cell r="C5108" t="str">
            <v>4504 - HAND DRIVN FASTNR (NAILS,SCRW</v>
          </cell>
          <cell r="D5108" t="str">
            <v>MF02578EA</v>
          </cell>
          <cell r="BA5108">
            <v>0.04</v>
          </cell>
        </row>
        <row r="5109">
          <cell r="C5109" t="str">
            <v>4504 - HAND DRIVN FASTNR (NAILS,SCRW</v>
          </cell>
          <cell r="D5109" t="str">
            <v>MF02580EA</v>
          </cell>
          <cell r="BA5109">
            <v>0.05</v>
          </cell>
        </row>
        <row r="5110">
          <cell r="C5110" t="str">
            <v>4504 - HAND DRIVN FASTNR (NAILS,SCRW</v>
          </cell>
          <cell r="D5110" t="str">
            <v>MF02582EA</v>
          </cell>
          <cell r="BA5110">
            <v>0.06</v>
          </cell>
        </row>
        <row r="5111">
          <cell r="C5111" t="str">
            <v>4504 - HAND DRIVN FASTNR (NAILS,SCRW</v>
          </cell>
          <cell r="D5111" t="str">
            <v>MF02584EA</v>
          </cell>
          <cell r="BA5111">
            <v>0.08</v>
          </cell>
        </row>
        <row r="5112">
          <cell r="C5112" t="str">
            <v>4504 - HAND DRIVN FASTNR (NAILS,SCRW</v>
          </cell>
          <cell r="D5112" t="str">
            <v>MF02585EA</v>
          </cell>
          <cell r="BA5112">
            <v>0.09</v>
          </cell>
        </row>
        <row r="5113">
          <cell r="C5113" t="str">
            <v>4504 - HAND DRIVN FASTNR (NAILS,SCRW</v>
          </cell>
          <cell r="D5113" t="str">
            <v>MF02590EA</v>
          </cell>
          <cell r="BA5113">
            <v>0.05</v>
          </cell>
        </row>
        <row r="5114">
          <cell r="C5114" t="str">
            <v>4504 - HAND DRIVN FASTNR (NAILS,SCRW</v>
          </cell>
          <cell r="D5114" t="str">
            <v>MF02591EA</v>
          </cell>
          <cell r="BA5114">
            <v>0.05</v>
          </cell>
        </row>
        <row r="5115">
          <cell r="C5115" t="str">
            <v>4504 - HAND DRIVN FASTNR (NAILS,SCRW</v>
          </cell>
          <cell r="D5115" t="str">
            <v>MF02592EA</v>
          </cell>
          <cell r="BA5115">
            <v>0.05</v>
          </cell>
        </row>
        <row r="5116">
          <cell r="C5116" t="str">
            <v>4504 - HAND DRIVN FASTNR (NAILS,SCRW</v>
          </cell>
          <cell r="D5116" t="str">
            <v>MF02593EA</v>
          </cell>
          <cell r="BA5116">
            <v>0.06</v>
          </cell>
        </row>
        <row r="5117">
          <cell r="C5117" t="str">
            <v>4504 - HAND DRIVN FASTNR (NAILS,SCRW</v>
          </cell>
          <cell r="D5117" t="str">
            <v>MF02595EA</v>
          </cell>
          <cell r="BA5117">
            <v>0.09</v>
          </cell>
        </row>
        <row r="5118">
          <cell r="C5118" t="str">
            <v>4504 - HAND DRIVN FASTNR (NAILS,SCRW</v>
          </cell>
          <cell r="D5118" t="str">
            <v>MF02596EA</v>
          </cell>
          <cell r="BA5118">
            <v>0.1</v>
          </cell>
        </row>
        <row r="5119">
          <cell r="C5119" t="str">
            <v>4504 - HAND DRIVN FASTNR (NAILS,SCRW</v>
          </cell>
          <cell r="D5119" t="str">
            <v>MF02597EA</v>
          </cell>
          <cell r="BA5119">
            <v>0.1</v>
          </cell>
        </row>
        <row r="5120">
          <cell r="C5120" t="str">
            <v>4504 - HAND DRIVN FASTNR (NAILS,SCRW</v>
          </cell>
          <cell r="D5120" t="str">
            <v>MF02598EA</v>
          </cell>
          <cell r="BA5120">
            <v>0.12</v>
          </cell>
        </row>
        <row r="5121">
          <cell r="C5121" t="str">
            <v>4504 - HAND DRIVN FASTNR (NAILS,SCRW</v>
          </cell>
          <cell r="D5121" t="str">
            <v>MF02601EA</v>
          </cell>
          <cell r="BA5121">
            <v>0.06</v>
          </cell>
        </row>
        <row r="5122">
          <cell r="C5122" t="str">
            <v>4504 - HAND DRIVN FASTNR (NAILS,SCRW</v>
          </cell>
          <cell r="D5122" t="str">
            <v>MF02602EA</v>
          </cell>
          <cell r="BA5122">
            <v>0.06</v>
          </cell>
        </row>
        <row r="5123">
          <cell r="C5123" t="str">
            <v>4504 - HAND DRIVN FASTNR (NAILS,SCRW</v>
          </cell>
          <cell r="D5123" t="str">
            <v>MF02603EA</v>
          </cell>
          <cell r="BA5123">
            <v>0.08</v>
          </cell>
        </row>
        <row r="5124">
          <cell r="C5124" t="str">
            <v>4504 - HAND DRIVN FASTNR (NAILS,SCRW</v>
          </cell>
          <cell r="D5124" t="str">
            <v>MF02604EA</v>
          </cell>
          <cell r="BA5124">
            <v>0.09</v>
          </cell>
        </row>
        <row r="5125">
          <cell r="C5125" t="str">
            <v>4504 - HAND DRIVN FASTNR (NAILS,SCRW</v>
          </cell>
          <cell r="D5125" t="str">
            <v>MF02605EA</v>
          </cell>
          <cell r="BA5125">
            <v>0.1</v>
          </cell>
        </row>
        <row r="5126">
          <cell r="C5126" t="str">
            <v>4504 - HAND DRIVN FASTNR (NAILS,SCRW</v>
          </cell>
          <cell r="D5126" t="str">
            <v>MF02607EA</v>
          </cell>
          <cell r="BA5126">
            <v>0.13</v>
          </cell>
        </row>
        <row r="5127">
          <cell r="C5127" t="str">
            <v>4504 - HAND DRIVN FASTNR (NAILS,SCRW</v>
          </cell>
          <cell r="D5127" t="str">
            <v>MF02608EA</v>
          </cell>
          <cell r="BA5127">
            <v>0.15</v>
          </cell>
        </row>
        <row r="5128">
          <cell r="C5128" t="str">
            <v>4504 - HAND DRIVN FASTNR (NAILS,SCRW</v>
          </cell>
          <cell r="D5128" t="str">
            <v>MF02609EA</v>
          </cell>
          <cell r="BA5128">
            <v>0.17</v>
          </cell>
        </row>
        <row r="5129">
          <cell r="C5129" t="str">
            <v>4504 - HAND DRIVN FASTNR (NAILS,SCRW</v>
          </cell>
          <cell r="D5129" t="str">
            <v>MF02610EA</v>
          </cell>
          <cell r="BA5129">
            <v>0.18</v>
          </cell>
        </row>
        <row r="5130">
          <cell r="C5130" t="str">
            <v>4504 - HAND DRIVN FASTNR (NAILS,SCRW</v>
          </cell>
          <cell r="D5130" t="str">
            <v>MF02910EA</v>
          </cell>
          <cell r="BA5130">
            <v>0.03</v>
          </cell>
        </row>
        <row r="5131">
          <cell r="C5131" t="str">
            <v>4504 - HAND DRIVN FASTNR (NAILS,SCRW</v>
          </cell>
          <cell r="D5131" t="str">
            <v>MF02911EA</v>
          </cell>
          <cell r="BA5131">
            <v>0.03</v>
          </cell>
        </row>
        <row r="5132">
          <cell r="C5132" t="str">
            <v>4504 - HAND DRIVN FASTNR (NAILS,SCRW</v>
          </cell>
          <cell r="D5132" t="str">
            <v>MF02912EA</v>
          </cell>
          <cell r="BA5132">
            <v>0.03</v>
          </cell>
        </row>
        <row r="5133">
          <cell r="C5133" t="str">
            <v>4504 - HAND DRIVN FASTNR (NAILS,SCRW</v>
          </cell>
          <cell r="D5133" t="str">
            <v>MF02913EA</v>
          </cell>
          <cell r="BA5133">
            <v>0.04</v>
          </cell>
        </row>
        <row r="5134">
          <cell r="C5134" t="str">
            <v>4504 - HAND DRIVN FASTNR (NAILS,SCRW</v>
          </cell>
          <cell r="D5134" t="str">
            <v>MF02914EA</v>
          </cell>
          <cell r="BA5134">
            <v>0.04</v>
          </cell>
        </row>
        <row r="5135">
          <cell r="C5135" t="str">
            <v>4504 - HAND DRIVN FASTNR (NAILS,SCRW</v>
          </cell>
          <cell r="D5135" t="str">
            <v>MF02915EA</v>
          </cell>
          <cell r="BA5135">
            <v>0.05</v>
          </cell>
        </row>
        <row r="5136">
          <cell r="C5136" t="str">
            <v>4504 - HAND DRIVN FASTNR (NAILS,SCRW</v>
          </cell>
          <cell r="D5136" t="str">
            <v>MF02922EA</v>
          </cell>
          <cell r="BA5136">
            <v>0.04</v>
          </cell>
        </row>
        <row r="5137">
          <cell r="C5137" t="str">
            <v>4504 - HAND DRIVN FASTNR (NAILS,SCRW</v>
          </cell>
          <cell r="D5137" t="str">
            <v>MF02923EA</v>
          </cell>
          <cell r="BA5137">
            <v>0.03</v>
          </cell>
        </row>
        <row r="5138">
          <cell r="C5138" t="str">
            <v>4504 - HAND DRIVN FASTNR (NAILS,SCRW</v>
          </cell>
          <cell r="D5138" t="str">
            <v>MF02924EA</v>
          </cell>
          <cell r="BA5138">
            <v>0.04</v>
          </cell>
        </row>
        <row r="5139">
          <cell r="C5139" t="str">
            <v>4504 - HAND DRIVN FASTNR (NAILS,SCRW</v>
          </cell>
          <cell r="D5139" t="str">
            <v>MF02925EA</v>
          </cell>
          <cell r="BA5139">
            <v>0.04</v>
          </cell>
        </row>
        <row r="5140">
          <cell r="C5140" t="str">
            <v>4504 - HAND DRIVN FASTNR (NAILS,SCRW</v>
          </cell>
          <cell r="D5140" t="str">
            <v>MF02926EA</v>
          </cell>
          <cell r="BA5140">
            <v>0.04</v>
          </cell>
        </row>
        <row r="5141">
          <cell r="C5141" t="str">
            <v>4504 - HAND DRIVN FASTNR (NAILS,SCRW</v>
          </cell>
          <cell r="D5141" t="str">
            <v>MF02927EA</v>
          </cell>
          <cell r="BA5141">
            <v>0.05</v>
          </cell>
        </row>
        <row r="5142">
          <cell r="C5142" t="str">
            <v>4504 - HAND DRIVN FASTNR (NAILS,SCRW</v>
          </cell>
          <cell r="D5142" t="str">
            <v>MF02928EA</v>
          </cell>
          <cell r="BA5142">
            <v>0.06</v>
          </cell>
        </row>
        <row r="5143">
          <cell r="C5143" t="str">
            <v>4504 - HAND DRIVN FASTNR (NAILS,SCRW</v>
          </cell>
          <cell r="D5143" t="str">
            <v>MF02930EA</v>
          </cell>
          <cell r="BA5143">
            <v>0.08</v>
          </cell>
        </row>
        <row r="5144">
          <cell r="C5144" t="str">
            <v>4504 - HAND DRIVN FASTNR (NAILS,SCRW</v>
          </cell>
          <cell r="D5144" t="str">
            <v>MF02933EA</v>
          </cell>
          <cell r="BA5144">
            <v>0.04</v>
          </cell>
        </row>
        <row r="5145">
          <cell r="C5145" t="str">
            <v>4504 - HAND DRIVN FASTNR (NAILS,SCRW</v>
          </cell>
          <cell r="D5145" t="str">
            <v>MF02934EA</v>
          </cell>
          <cell r="BA5145">
            <v>0.04</v>
          </cell>
        </row>
        <row r="5146">
          <cell r="C5146" t="str">
            <v>4504 - HAND DRIVN FASTNR (NAILS,SCRW</v>
          </cell>
          <cell r="D5146" t="str">
            <v>MF02935EA</v>
          </cell>
          <cell r="BA5146">
            <v>0.04</v>
          </cell>
        </row>
        <row r="5147">
          <cell r="C5147" t="str">
            <v>4504 - HAND DRIVN FASTNR (NAILS,SCRW</v>
          </cell>
          <cell r="D5147" t="str">
            <v>MF02936EA</v>
          </cell>
          <cell r="BA5147">
            <v>0.04</v>
          </cell>
        </row>
        <row r="5148">
          <cell r="C5148" t="str">
            <v>4504 - HAND DRIVN FASTNR (NAILS,SCRW</v>
          </cell>
          <cell r="D5148" t="str">
            <v>MF02937EA</v>
          </cell>
          <cell r="BA5148">
            <v>0.05</v>
          </cell>
        </row>
        <row r="5149">
          <cell r="C5149" t="str">
            <v>4504 - HAND DRIVN FASTNR (NAILS,SCRW</v>
          </cell>
          <cell r="D5149" t="str">
            <v>MF02938EA</v>
          </cell>
          <cell r="BA5149">
            <v>0.06</v>
          </cell>
        </row>
        <row r="5150">
          <cell r="C5150" t="str">
            <v>4504 - HAND DRIVN FASTNR (NAILS,SCRW</v>
          </cell>
          <cell r="D5150" t="str">
            <v>MF02939EA</v>
          </cell>
          <cell r="BA5150">
            <v>7.0000000000000007E-2</v>
          </cell>
        </row>
        <row r="5151">
          <cell r="C5151" t="str">
            <v>4504 - HAND DRIVN FASTNR (NAILS,SCRW</v>
          </cell>
          <cell r="D5151" t="str">
            <v>MF02941EA</v>
          </cell>
          <cell r="BA5151">
            <v>0.09</v>
          </cell>
        </row>
        <row r="5152">
          <cell r="C5152" t="str">
            <v>4504 - HAND DRIVN FASTNR (NAILS,SCRW</v>
          </cell>
          <cell r="D5152" t="str">
            <v>MF02946EA</v>
          </cell>
          <cell r="BA5152">
            <v>7.0000000000000007E-2</v>
          </cell>
        </row>
        <row r="5153">
          <cell r="C5153" t="str">
            <v>4504 - HAND DRIVN FASTNR (NAILS,SCRW</v>
          </cell>
          <cell r="D5153" t="str">
            <v>MF02947EA</v>
          </cell>
          <cell r="BA5153">
            <v>0.08</v>
          </cell>
        </row>
        <row r="5154">
          <cell r="C5154" t="str">
            <v>4504 - HAND DRIVN FASTNR (NAILS,SCRW</v>
          </cell>
          <cell r="D5154" t="str">
            <v>MF02949EA</v>
          </cell>
          <cell r="BA5154">
            <v>0.09</v>
          </cell>
        </row>
        <row r="5155">
          <cell r="C5155" t="str">
            <v>4504 - HAND DRIVN FASTNR (NAILS,SCRW</v>
          </cell>
          <cell r="D5155" t="str">
            <v>MF02951EA</v>
          </cell>
          <cell r="BA5155">
            <v>0.12</v>
          </cell>
        </row>
        <row r="5156">
          <cell r="C5156" t="str">
            <v>4504 - HAND DRIVN FASTNR (NAILS,SCRW</v>
          </cell>
          <cell r="D5156" t="str">
            <v>MF02956EA</v>
          </cell>
          <cell r="BA5156">
            <v>0.08</v>
          </cell>
        </row>
        <row r="5157">
          <cell r="C5157" t="str">
            <v>4504 - HAND DRIVN FASTNR (NAILS,SCRW</v>
          </cell>
          <cell r="D5157" t="str">
            <v>MF02957EA</v>
          </cell>
          <cell r="BA5157">
            <v>0.09</v>
          </cell>
        </row>
        <row r="5158">
          <cell r="C5158" t="str">
            <v>4504 - HAND DRIVN FASTNR (NAILS,SCRW</v>
          </cell>
          <cell r="D5158" t="str">
            <v>MF02958EA</v>
          </cell>
          <cell r="BA5158">
            <v>0.1</v>
          </cell>
        </row>
        <row r="5159">
          <cell r="C5159" t="str">
            <v>4504 - HAND DRIVN FASTNR (NAILS,SCRW</v>
          </cell>
          <cell r="D5159" t="str">
            <v>MF02959EA</v>
          </cell>
          <cell r="BA5159">
            <v>0.12</v>
          </cell>
        </row>
        <row r="5160">
          <cell r="C5160" t="str">
            <v>4504 - HAND DRIVN FASTNR (NAILS,SCRW</v>
          </cell>
          <cell r="D5160" t="str">
            <v>MF02960EA</v>
          </cell>
          <cell r="BA5160">
            <v>0.14000000000000001</v>
          </cell>
        </row>
        <row r="5161">
          <cell r="C5161" t="str">
            <v>4504 - HAND DRIVN FASTNR (NAILS,SCRW</v>
          </cell>
          <cell r="D5161" t="str">
            <v>MF02996EA</v>
          </cell>
          <cell r="BA5161">
            <v>0.03</v>
          </cell>
        </row>
        <row r="5162">
          <cell r="C5162" t="str">
            <v>4504 - HAND DRIVN FASTNR (NAILS,SCRW</v>
          </cell>
          <cell r="D5162" t="str">
            <v>MF02998EA</v>
          </cell>
          <cell r="BA5162">
            <v>0.03</v>
          </cell>
        </row>
        <row r="5163">
          <cell r="C5163" t="str">
            <v>4504 - HAND DRIVN FASTNR (NAILS,SCRW</v>
          </cell>
          <cell r="D5163" t="str">
            <v>MF03001EA</v>
          </cell>
          <cell r="BA5163">
            <v>0.03</v>
          </cell>
        </row>
        <row r="5164">
          <cell r="C5164" t="str">
            <v>4504 - HAND DRIVN FASTNR (NAILS,SCRW</v>
          </cell>
          <cell r="D5164" t="str">
            <v>MF03002EA</v>
          </cell>
          <cell r="BA5164">
            <v>0.03</v>
          </cell>
        </row>
        <row r="5165">
          <cell r="C5165" t="str">
            <v>4504 - HAND DRIVN FASTNR (NAILS,SCRW</v>
          </cell>
          <cell r="D5165" t="str">
            <v>MF03004EA</v>
          </cell>
          <cell r="BA5165">
            <v>0.03</v>
          </cell>
        </row>
        <row r="5166">
          <cell r="C5166" t="str">
            <v>4504 - HAND DRIVN FASTNR (NAILS,SCRW</v>
          </cell>
          <cell r="D5166" t="str">
            <v>MF03005EA</v>
          </cell>
          <cell r="BA5166">
            <v>0.04</v>
          </cell>
        </row>
        <row r="5167">
          <cell r="C5167" t="str">
            <v>4504 - HAND DRIVN FASTNR (NAILS,SCRW</v>
          </cell>
          <cell r="D5167" t="str">
            <v>MF03006EA</v>
          </cell>
          <cell r="BA5167">
            <v>0.04</v>
          </cell>
        </row>
        <row r="5168">
          <cell r="C5168" t="str">
            <v>4504 - HAND DRIVN FASTNR (NAILS,SCRW</v>
          </cell>
          <cell r="D5168" t="str">
            <v>MF03007EA</v>
          </cell>
          <cell r="BA5168">
            <v>0.05</v>
          </cell>
        </row>
        <row r="5169">
          <cell r="C5169" t="str">
            <v>4504 - HAND DRIVN FASTNR (NAILS,SCRW</v>
          </cell>
          <cell r="D5169" t="str">
            <v>MF03010EA</v>
          </cell>
          <cell r="BA5169">
            <v>0.03</v>
          </cell>
        </row>
        <row r="5170">
          <cell r="C5170" t="str">
            <v>4504 - HAND DRIVN FASTNR (NAILS,SCRW</v>
          </cell>
          <cell r="D5170" t="str">
            <v>MF03012EA</v>
          </cell>
          <cell r="BA5170">
            <v>0.04</v>
          </cell>
        </row>
        <row r="5171">
          <cell r="C5171" t="str">
            <v>4504 - HAND DRIVN FASTNR (NAILS,SCRW</v>
          </cell>
          <cell r="D5171" t="str">
            <v>MF03013EA</v>
          </cell>
          <cell r="BA5171">
            <v>0.04</v>
          </cell>
        </row>
        <row r="5172">
          <cell r="C5172" t="str">
            <v>4504 - HAND DRIVN FASTNR (NAILS,SCRW</v>
          </cell>
          <cell r="D5172" t="str">
            <v>MF03014EA</v>
          </cell>
          <cell r="BA5172">
            <v>0.05</v>
          </cell>
        </row>
        <row r="5173">
          <cell r="C5173" t="str">
            <v>4504 - HAND DRIVN FASTNR (NAILS,SCRW</v>
          </cell>
          <cell r="D5173" t="str">
            <v>MF03015EA</v>
          </cell>
          <cell r="BA5173">
            <v>0.05</v>
          </cell>
        </row>
        <row r="5174">
          <cell r="C5174" t="str">
            <v>4504 - HAND DRIVN FASTNR (NAILS,SCRW</v>
          </cell>
          <cell r="D5174" t="str">
            <v>MF03017EA</v>
          </cell>
          <cell r="BA5174">
            <v>7.0000000000000007E-2</v>
          </cell>
        </row>
        <row r="5175">
          <cell r="C5175" t="str">
            <v>4504 - HAND DRIVN FASTNR (NAILS,SCRW</v>
          </cell>
          <cell r="D5175" t="str">
            <v>MF03019EA</v>
          </cell>
          <cell r="BA5175">
            <v>0.14000000000000001</v>
          </cell>
        </row>
        <row r="5176">
          <cell r="C5176" t="str">
            <v>4504 - HAND DRIVN FASTNR (NAILS,SCRW</v>
          </cell>
          <cell r="D5176" t="str">
            <v>MF03020EA</v>
          </cell>
          <cell r="BA5176">
            <v>0.04</v>
          </cell>
        </row>
        <row r="5177">
          <cell r="C5177" t="str">
            <v>4504 - HAND DRIVN FASTNR (NAILS,SCRW</v>
          </cell>
          <cell r="D5177" t="str">
            <v>MF03022EA</v>
          </cell>
          <cell r="BA5177">
            <v>0.05</v>
          </cell>
        </row>
        <row r="5178">
          <cell r="C5178" t="str">
            <v>4504 - HAND DRIVN FASTNR (NAILS,SCRW</v>
          </cell>
          <cell r="D5178" t="str">
            <v>MF03023EA</v>
          </cell>
          <cell r="BA5178">
            <v>0.05</v>
          </cell>
        </row>
        <row r="5179">
          <cell r="C5179" t="str">
            <v>4504 - HAND DRIVN FASTNR (NAILS,SCRW</v>
          </cell>
          <cell r="D5179" t="str">
            <v>MF03024EA</v>
          </cell>
          <cell r="BA5179">
            <v>0.05</v>
          </cell>
        </row>
        <row r="5180">
          <cell r="C5180" t="str">
            <v>4504 - HAND DRIVN FASTNR (NAILS,SCRW</v>
          </cell>
          <cell r="D5180" t="str">
            <v>MF03025EA</v>
          </cell>
          <cell r="BA5180">
            <v>0.06</v>
          </cell>
        </row>
        <row r="5181">
          <cell r="C5181" t="str">
            <v>4504 - HAND DRIVN FASTNR (NAILS,SCRW</v>
          </cell>
          <cell r="D5181" t="str">
            <v>MF03026EA</v>
          </cell>
          <cell r="BA5181">
            <v>0.08</v>
          </cell>
        </row>
        <row r="5182">
          <cell r="C5182" t="str">
            <v>4504 - HAND DRIVN FASTNR (NAILS,SCRW</v>
          </cell>
          <cell r="D5182" t="str">
            <v>MF03027EA</v>
          </cell>
          <cell r="BA5182">
            <v>0.1</v>
          </cell>
        </row>
        <row r="5183">
          <cell r="C5183" t="str">
            <v>4504 - HAND DRIVN FASTNR (NAILS,SCRW</v>
          </cell>
          <cell r="D5183" t="str">
            <v>MF03028EA</v>
          </cell>
          <cell r="BA5183">
            <v>0.15</v>
          </cell>
        </row>
        <row r="5184">
          <cell r="C5184" t="str">
            <v>4504 - HAND DRIVN FASTNR (NAILS,SCRW</v>
          </cell>
          <cell r="D5184" t="str">
            <v>MF03029EA</v>
          </cell>
          <cell r="BA5184">
            <v>0.05</v>
          </cell>
        </row>
        <row r="5185">
          <cell r="C5185" t="str">
            <v>4504 - HAND DRIVN FASTNR (NAILS,SCRW</v>
          </cell>
          <cell r="D5185" t="str">
            <v>MF03030EA</v>
          </cell>
          <cell r="BA5185">
            <v>0.06</v>
          </cell>
        </row>
        <row r="5186">
          <cell r="C5186" t="str">
            <v>4504 - HAND DRIVN FASTNR (NAILS,SCRW</v>
          </cell>
          <cell r="D5186" t="str">
            <v>MF03031EA</v>
          </cell>
          <cell r="BA5186">
            <v>7.0000000000000007E-2</v>
          </cell>
        </row>
        <row r="5187">
          <cell r="C5187" t="str">
            <v>4504 - HAND DRIVN FASTNR (NAILS,SCRW</v>
          </cell>
          <cell r="D5187" t="str">
            <v>MF03032EA</v>
          </cell>
          <cell r="BA5187">
            <v>0.08</v>
          </cell>
        </row>
        <row r="5188">
          <cell r="C5188" t="str">
            <v>4504 - HAND DRIVN FASTNR (NAILS,SCRW</v>
          </cell>
          <cell r="D5188" t="str">
            <v>MF03033EA</v>
          </cell>
          <cell r="BA5188">
            <v>0.08</v>
          </cell>
        </row>
        <row r="5189">
          <cell r="C5189" t="str">
            <v>4504 - HAND DRIVN FASTNR (NAILS,SCRW</v>
          </cell>
          <cell r="D5189" t="str">
            <v>MF03035EA</v>
          </cell>
          <cell r="BA5189">
            <v>0.11</v>
          </cell>
        </row>
        <row r="5190">
          <cell r="C5190" t="str">
            <v>4504 - HAND DRIVN FASTNR (NAILS,SCRW</v>
          </cell>
          <cell r="D5190" t="str">
            <v>MF03037EA</v>
          </cell>
          <cell r="BA5190">
            <v>0.19</v>
          </cell>
        </row>
        <row r="5191">
          <cell r="C5191" t="str">
            <v>4504 - HAND DRIVN FASTNR (NAILS,SCRW</v>
          </cell>
          <cell r="D5191" t="str">
            <v>MF03038EA</v>
          </cell>
          <cell r="BA5191">
            <v>0.08</v>
          </cell>
        </row>
        <row r="5192">
          <cell r="C5192" t="str">
            <v>4504 - HAND DRIVN FASTNR (NAILS,SCRW</v>
          </cell>
          <cell r="D5192" t="str">
            <v>MF03039EA</v>
          </cell>
          <cell r="BA5192">
            <v>0.09</v>
          </cell>
        </row>
        <row r="5193">
          <cell r="C5193" t="str">
            <v>4504 - HAND DRIVN FASTNR (NAILS,SCRW</v>
          </cell>
          <cell r="D5193" t="str">
            <v>MF03040EA</v>
          </cell>
          <cell r="BA5193">
            <v>0.1</v>
          </cell>
        </row>
        <row r="5194">
          <cell r="C5194" t="str">
            <v>4504 - HAND DRIVN FASTNR (NAILS,SCRW</v>
          </cell>
          <cell r="D5194" t="str">
            <v>MF03041EA</v>
          </cell>
          <cell r="BA5194">
            <v>0.1</v>
          </cell>
        </row>
        <row r="5195">
          <cell r="C5195" t="str">
            <v>4504 - HAND DRIVN FASTNR (NAILS,SCRW</v>
          </cell>
          <cell r="D5195" t="str">
            <v>MF03043EA</v>
          </cell>
          <cell r="BA5195">
            <v>0.17</v>
          </cell>
        </row>
        <row r="5196">
          <cell r="C5196" t="str">
            <v>4504 - HAND DRIVN FASTNR (NAILS,SCRW</v>
          </cell>
          <cell r="D5196" t="str">
            <v>MF03044EA</v>
          </cell>
          <cell r="BA5196">
            <v>0.19</v>
          </cell>
        </row>
        <row r="5197">
          <cell r="C5197" t="str">
            <v>4504 - HAND DRIVN FASTNR (NAILS,SCRW</v>
          </cell>
          <cell r="D5197" t="str">
            <v>MF03045EA</v>
          </cell>
          <cell r="BA5197">
            <v>0.22</v>
          </cell>
        </row>
        <row r="5198">
          <cell r="C5198" t="str">
            <v>4504 - HAND DRIVN FASTNR (NAILS,SCRW</v>
          </cell>
          <cell r="D5198" t="str">
            <v>MF03227EA</v>
          </cell>
          <cell r="BA5198">
            <v>0.03</v>
          </cell>
        </row>
        <row r="5199">
          <cell r="C5199" t="str">
            <v>4504 - HAND DRIVN FASTNR (NAILS,SCRW</v>
          </cell>
          <cell r="D5199" t="str">
            <v>MF03228EA</v>
          </cell>
          <cell r="BA5199">
            <v>0.03</v>
          </cell>
        </row>
        <row r="5200">
          <cell r="C5200" t="str">
            <v>4504 - HAND DRIVN FASTNR (NAILS,SCRW</v>
          </cell>
          <cell r="D5200" t="str">
            <v>MF03229EA</v>
          </cell>
          <cell r="BA5200">
            <v>0.03</v>
          </cell>
        </row>
        <row r="5201">
          <cell r="C5201" t="str">
            <v>4504 - HAND DRIVN FASTNR (NAILS,SCRW</v>
          </cell>
          <cell r="D5201" t="str">
            <v>MF03230EA</v>
          </cell>
          <cell r="BA5201">
            <v>0.03</v>
          </cell>
        </row>
        <row r="5202">
          <cell r="C5202" t="str">
            <v>4504 - HAND DRIVN FASTNR (NAILS,SCRW</v>
          </cell>
          <cell r="D5202" t="str">
            <v>MF03232EA</v>
          </cell>
          <cell r="BA5202">
            <v>0.03</v>
          </cell>
        </row>
        <row r="5203">
          <cell r="C5203" t="str">
            <v>4504 - HAND DRIVN FASTNR (NAILS,SCRW</v>
          </cell>
          <cell r="D5203" t="str">
            <v>MF03233EA</v>
          </cell>
          <cell r="BA5203">
            <v>0.04</v>
          </cell>
        </row>
        <row r="5204">
          <cell r="C5204" t="str">
            <v>4504 - HAND DRIVN FASTNR (NAILS,SCRW</v>
          </cell>
          <cell r="D5204" t="str">
            <v>MF03234EA</v>
          </cell>
          <cell r="BA5204">
            <v>0.05</v>
          </cell>
        </row>
        <row r="5205">
          <cell r="C5205" t="str">
            <v>4504 - HAND DRIVN FASTNR (NAILS,SCRW</v>
          </cell>
          <cell r="D5205" t="str">
            <v>MF03237EA</v>
          </cell>
          <cell r="BA5205">
            <v>0.03</v>
          </cell>
        </row>
        <row r="5206">
          <cell r="C5206" t="str">
            <v>4504 - HAND DRIVN FASTNR (NAILS,SCRW</v>
          </cell>
          <cell r="D5206" t="str">
            <v>MF03238EA</v>
          </cell>
          <cell r="BA5206">
            <v>0.03</v>
          </cell>
        </row>
        <row r="5207">
          <cell r="C5207" t="str">
            <v>4504 - HAND DRIVN FASTNR (NAILS,SCRW</v>
          </cell>
          <cell r="D5207" t="str">
            <v>MF03239EA</v>
          </cell>
          <cell r="BA5207">
            <v>0.03</v>
          </cell>
        </row>
        <row r="5208">
          <cell r="C5208" t="str">
            <v>4504 - HAND DRIVN FASTNR (NAILS,SCRW</v>
          </cell>
          <cell r="D5208" t="str">
            <v>MF03240EA</v>
          </cell>
          <cell r="BA5208">
            <v>0.04</v>
          </cell>
        </row>
        <row r="5209">
          <cell r="C5209" t="str">
            <v>4504 - HAND DRIVN FASTNR (NAILS,SCRW</v>
          </cell>
          <cell r="D5209" t="str">
            <v>MF03242EA</v>
          </cell>
          <cell r="BA5209">
            <v>0.04</v>
          </cell>
        </row>
        <row r="5210">
          <cell r="C5210" t="str">
            <v>4504 - HAND DRIVN FASTNR (NAILS,SCRW</v>
          </cell>
          <cell r="D5210" t="str">
            <v>MF03243EA</v>
          </cell>
          <cell r="BA5210">
            <v>0.05</v>
          </cell>
        </row>
        <row r="5211">
          <cell r="C5211" t="str">
            <v>4504 - HAND DRIVN FASTNR (NAILS,SCRW</v>
          </cell>
          <cell r="D5211" t="str">
            <v>MF03244EA</v>
          </cell>
          <cell r="BA5211">
            <v>0.05</v>
          </cell>
        </row>
        <row r="5212">
          <cell r="C5212" t="str">
            <v>4504 - HAND DRIVN FASTNR (NAILS,SCRW</v>
          </cell>
          <cell r="D5212" t="str">
            <v>MF03245EA</v>
          </cell>
          <cell r="BA5212">
            <v>7.0000000000000007E-2</v>
          </cell>
        </row>
        <row r="5213">
          <cell r="C5213" t="str">
            <v>4504 - HAND DRIVN FASTNR (NAILS,SCRW</v>
          </cell>
          <cell r="D5213" t="str">
            <v>MF03246EA</v>
          </cell>
          <cell r="BA5213">
            <v>0.04</v>
          </cell>
        </row>
        <row r="5214">
          <cell r="C5214" t="str">
            <v>4504 - HAND DRIVN FASTNR (NAILS,SCRW</v>
          </cell>
          <cell r="D5214" t="str">
            <v>MF03247EA</v>
          </cell>
          <cell r="BA5214">
            <v>0.04</v>
          </cell>
        </row>
        <row r="5215">
          <cell r="C5215" t="str">
            <v>4504 - HAND DRIVN FASTNR (NAILS,SCRW</v>
          </cell>
          <cell r="D5215" t="str">
            <v>MF03248EA</v>
          </cell>
          <cell r="BA5215">
            <v>0.04</v>
          </cell>
        </row>
        <row r="5216">
          <cell r="C5216" t="str">
            <v>4504 - HAND DRIVN FASTNR (NAILS,SCRW</v>
          </cell>
          <cell r="D5216" t="str">
            <v>MF03249EA</v>
          </cell>
          <cell r="BA5216">
            <v>0.04</v>
          </cell>
        </row>
        <row r="5217">
          <cell r="C5217" t="str">
            <v>4504 - HAND DRIVN FASTNR (NAILS,SCRW</v>
          </cell>
          <cell r="D5217" t="str">
            <v>MF03250EA</v>
          </cell>
          <cell r="BA5217">
            <v>0.05</v>
          </cell>
        </row>
        <row r="5218">
          <cell r="C5218" t="str">
            <v>4504 - HAND DRIVN FASTNR (NAILS,SCRW</v>
          </cell>
          <cell r="D5218" t="str">
            <v>MF03251EA</v>
          </cell>
          <cell r="BA5218">
            <v>0.05</v>
          </cell>
        </row>
        <row r="5219">
          <cell r="C5219" t="str">
            <v>4504 - HAND DRIVN FASTNR (NAILS,SCRW</v>
          </cell>
          <cell r="D5219" t="str">
            <v>MF03252EA</v>
          </cell>
          <cell r="BA5219">
            <v>0.06</v>
          </cell>
        </row>
        <row r="5220">
          <cell r="C5220" t="str">
            <v>4504 - HAND DRIVN FASTNR (NAILS,SCRW</v>
          </cell>
          <cell r="D5220" t="str">
            <v>MF03253EA</v>
          </cell>
          <cell r="BA5220">
            <v>0.08</v>
          </cell>
        </row>
        <row r="5221">
          <cell r="C5221" t="str">
            <v>4504 - HAND DRIVN FASTNR (NAILS,SCRW</v>
          </cell>
          <cell r="D5221" t="str">
            <v>MF03255EA</v>
          </cell>
          <cell r="BA5221">
            <v>0.05</v>
          </cell>
        </row>
        <row r="5222">
          <cell r="C5222" t="str">
            <v>4504 - HAND DRIVN FASTNR (NAILS,SCRW</v>
          </cell>
          <cell r="D5222" t="str">
            <v>MF03256EA</v>
          </cell>
          <cell r="BA5222">
            <v>7.0000000000000007E-2</v>
          </cell>
        </row>
        <row r="5223">
          <cell r="C5223" t="str">
            <v>4504 - HAND DRIVN FASTNR (NAILS,SCRW</v>
          </cell>
          <cell r="D5223" t="str">
            <v>MF03257EA</v>
          </cell>
          <cell r="BA5223">
            <v>0.06</v>
          </cell>
        </row>
        <row r="5224">
          <cell r="C5224" t="str">
            <v>4504 - HAND DRIVN FASTNR (NAILS,SCRW</v>
          </cell>
          <cell r="D5224" t="str">
            <v>MF03258EA</v>
          </cell>
          <cell r="BA5224">
            <v>0.08</v>
          </cell>
        </row>
        <row r="5225">
          <cell r="C5225" t="str">
            <v>4504 - HAND DRIVN FASTNR (NAILS,SCRW</v>
          </cell>
          <cell r="D5225" t="str">
            <v>MF03259EA</v>
          </cell>
          <cell r="BA5225">
            <v>0.08</v>
          </cell>
        </row>
        <row r="5226">
          <cell r="C5226" t="str">
            <v>4504 - HAND DRIVN FASTNR (NAILS,SCRW</v>
          </cell>
          <cell r="D5226" t="str">
            <v>MF03260EA</v>
          </cell>
          <cell r="BA5226">
            <v>0.1</v>
          </cell>
        </row>
        <row r="5227">
          <cell r="C5227" t="str">
            <v>4504 - HAND DRIVN FASTNR (NAILS,SCRW</v>
          </cell>
          <cell r="D5227" t="str">
            <v>MF03261EA</v>
          </cell>
          <cell r="BA5227">
            <v>0.15</v>
          </cell>
        </row>
        <row r="5228">
          <cell r="C5228" t="str">
            <v>4504 - HAND DRIVN FASTNR (NAILS,SCRW</v>
          </cell>
          <cell r="D5228" t="str">
            <v>MF03262EA</v>
          </cell>
          <cell r="BA5228">
            <v>0.17</v>
          </cell>
        </row>
        <row r="5229">
          <cell r="C5229" t="str">
            <v>4504 - HAND DRIVN FASTNR (NAILS,SCRW</v>
          </cell>
          <cell r="D5229" t="str">
            <v>MF03263EA</v>
          </cell>
          <cell r="BA5229">
            <v>0.08</v>
          </cell>
        </row>
        <row r="5230">
          <cell r="C5230" t="str">
            <v>4504 - HAND DRIVN FASTNR (NAILS,SCRW</v>
          </cell>
          <cell r="D5230" t="str">
            <v>MF03264EA</v>
          </cell>
          <cell r="BA5230">
            <v>0.09</v>
          </cell>
        </row>
        <row r="5231">
          <cell r="C5231" t="str">
            <v>4504 - HAND DRIVN FASTNR (NAILS,SCRW</v>
          </cell>
          <cell r="D5231" t="str">
            <v>MF03265EA</v>
          </cell>
          <cell r="BA5231">
            <v>0.09</v>
          </cell>
        </row>
        <row r="5232">
          <cell r="C5232" t="str">
            <v>4504 - HAND DRIVN FASTNR (NAILS,SCRW</v>
          </cell>
          <cell r="D5232" t="str">
            <v>MF03266EA</v>
          </cell>
          <cell r="BA5232">
            <v>0.1</v>
          </cell>
        </row>
        <row r="5233">
          <cell r="C5233" t="str">
            <v>4504 - HAND DRIVN FASTNR (NAILS,SCRW</v>
          </cell>
          <cell r="D5233" t="str">
            <v>MF03267EA</v>
          </cell>
          <cell r="BA5233">
            <v>0.13</v>
          </cell>
        </row>
        <row r="5234">
          <cell r="C5234" t="str">
            <v>4504 - HAND DRIVN FASTNR (NAILS,SCRW</v>
          </cell>
          <cell r="D5234" t="str">
            <v>MF03276EA</v>
          </cell>
          <cell r="BA5234">
            <v>0.11</v>
          </cell>
        </row>
        <row r="5235">
          <cell r="C5235" t="str">
            <v>4504 - HAND DRIVN FASTNR (NAILS,SCRW</v>
          </cell>
          <cell r="D5235" t="str">
            <v>MF03277EA</v>
          </cell>
          <cell r="BA5235">
            <v>0.15</v>
          </cell>
        </row>
        <row r="5236">
          <cell r="C5236" t="str">
            <v>4504 - HAND DRIVN FASTNR (NAILS,SCRW</v>
          </cell>
          <cell r="D5236" t="str">
            <v>MF03279EA</v>
          </cell>
          <cell r="BA5236">
            <v>0.16</v>
          </cell>
        </row>
        <row r="5237">
          <cell r="C5237" t="str">
            <v>4504 - HAND DRIVN FASTNR (NAILS,SCRW</v>
          </cell>
          <cell r="D5237" t="str">
            <v>MF03280EA</v>
          </cell>
          <cell r="BA5237">
            <v>0.05</v>
          </cell>
        </row>
        <row r="5238">
          <cell r="C5238" t="str">
            <v>4504 - HAND DRIVN FASTNR (NAILS,SCRW</v>
          </cell>
          <cell r="D5238" t="str">
            <v>MF03281EA</v>
          </cell>
          <cell r="BA5238">
            <v>0.06</v>
          </cell>
        </row>
        <row r="5239">
          <cell r="C5239" t="str">
            <v>4504 - HAND DRIVN FASTNR (NAILS,SCRW</v>
          </cell>
          <cell r="D5239" t="str">
            <v>MF03282EA</v>
          </cell>
          <cell r="BA5239">
            <v>0.06</v>
          </cell>
        </row>
        <row r="5240">
          <cell r="C5240" t="str">
            <v>4504 - HAND DRIVN FASTNR (NAILS,SCRW</v>
          </cell>
          <cell r="D5240" t="str">
            <v>MF03283EA</v>
          </cell>
          <cell r="BA5240">
            <v>0.06</v>
          </cell>
        </row>
        <row r="5241">
          <cell r="C5241" t="str">
            <v>4504 - HAND DRIVN FASTNR (NAILS,SCRW</v>
          </cell>
          <cell r="D5241" t="str">
            <v>MF03284EA</v>
          </cell>
          <cell r="BA5241">
            <v>0.08</v>
          </cell>
        </row>
        <row r="5242">
          <cell r="C5242" t="str">
            <v>4504 - HAND DRIVN FASTNR (NAILS,SCRW</v>
          </cell>
          <cell r="D5242" t="str">
            <v>MF03285EA</v>
          </cell>
          <cell r="BA5242">
            <v>0.08</v>
          </cell>
        </row>
        <row r="5243">
          <cell r="C5243" t="str">
            <v>4504 - HAND DRIVN FASTNR (NAILS,SCRW</v>
          </cell>
          <cell r="D5243" t="str">
            <v>MF03286EA</v>
          </cell>
          <cell r="BA5243">
            <v>0.08</v>
          </cell>
        </row>
        <row r="5244">
          <cell r="C5244" t="str">
            <v>4504 - HAND DRIVN FASTNR (NAILS,SCRW</v>
          </cell>
          <cell r="D5244" t="str">
            <v>MF03287EA</v>
          </cell>
          <cell r="BA5244">
            <v>0.08</v>
          </cell>
        </row>
        <row r="5245">
          <cell r="C5245" t="str">
            <v>4504 - HAND DRIVN FASTNR (NAILS,SCRW</v>
          </cell>
          <cell r="D5245" t="str">
            <v>MF03288EA</v>
          </cell>
          <cell r="BA5245">
            <v>0.08</v>
          </cell>
        </row>
        <row r="5246">
          <cell r="C5246" t="str">
            <v>4504 - HAND DRIVN FASTNR (NAILS,SCRW</v>
          </cell>
          <cell r="D5246" t="str">
            <v>MF03289EA</v>
          </cell>
          <cell r="BA5246">
            <v>0.08</v>
          </cell>
        </row>
        <row r="5247">
          <cell r="C5247" t="str">
            <v>4504 - HAND DRIVN FASTNR (NAILS,SCRW</v>
          </cell>
          <cell r="D5247" t="str">
            <v>MF03290EA</v>
          </cell>
          <cell r="BA5247">
            <v>0.09</v>
          </cell>
        </row>
        <row r="5248">
          <cell r="C5248" t="str">
            <v>4504 - HAND DRIVN FASTNR (NAILS,SCRW</v>
          </cell>
          <cell r="D5248" t="str">
            <v>MF03291EA</v>
          </cell>
          <cell r="BA5248">
            <v>0.1</v>
          </cell>
        </row>
        <row r="5249">
          <cell r="C5249" t="str">
            <v>4504 - HAND DRIVN FASTNR (NAILS,SCRW</v>
          </cell>
          <cell r="D5249" t="str">
            <v>MF03292EA</v>
          </cell>
          <cell r="BA5249">
            <v>0.12</v>
          </cell>
        </row>
        <row r="5250">
          <cell r="C5250" t="str">
            <v>4504 - HAND DRIVN FASTNR (NAILS,SCRW</v>
          </cell>
          <cell r="D5250" t="str">
            <v>MF03293EA</v>
          </cell>
          <cell r="BA5250">
            <v>0.12</v>
          </cell>
        </row>
        <row r="5251">
          <cell r="C5251" t="str">
            <v>4504 - HAND DRIVN FASTNR (NAILS,SCRW</v>
          </cell>
          <cell r="D5251" t="str">
            <v>MF03294EA</v>
          </cell>
          <cell r="BA5251">
            <v>0.13</v>
          </cell>
        </row>
        <row r="5252">
          <cell r="C5252" t="str">
            <v>4504 - HAND DRIVN FASTNR (NAILS,SCRW</v>
          </cell>
          <cell r="D5252" t="str">
            <v>MF03295EA</v>
          </cell>
          <cell r="BA5252">
            <v>0.17</v>
          </cell>
        </row>
        <row r="5253">
          <cell r="C5253" t="str">
            <v>4504 - HAND DRIVN FASTNR (NAILS,SCRW</v>
          </cell>
          <cell r="D5253" t="str">
            <v>MF03296EA</v>
          </cell>
          <cell r="BA5253">
            <v>0.14000000000000001</v>
          </cell>
        </row>
        <row r="5254">
          <cell r="C5254" t="str">
            <v>4504 - HAND DRIVN FASTNR (NAILS,SCRW</v>
          </cell>
          <cell r="D5254" t="str">
            <v>MF03297EA</v>
          </cell>
          <cell r="BA5254">
            <v>0.18</v>
          </cell>
        </row>
        <row r="5255">
          <cell r="C5255" t="str">
            <v>4504 - HAND DRIVN FASTNR (NAILS,SCRW</v>
          </cell>
          <cell r="D5255" t="str">
            <v>MF03298EA</v>
          </cell>
          <cell r="BA5255">
            <v>0.19</v>
          </cell>
        </row>
        <row r="5256">
          <cell r="C5256" t="str">
            <v>4504 - HAND DRIVN FASTNR (NAILS,SCRW</v>
          </cell>
          <cell r="D5256" t="str">
            <v>MF03299EA</v>
          </cell>
          <cell r="BA5256">
            <v>0.28000000000000003</v>
          </cell>
        </row>
        <row r="5257">
          <cell r="C5257" t="str">
            <v>4504 - HAND DRIVN FASTNR (NAILS,SCRW</v>
          </cell>
          <cell r="D5257" t="str">
            <v>MF03301EA</v>
          </cell>
          <cell r="BA5257">
            <v>0.32</v>
          </cell>
        </row>
        <row r="5258">
          <cell r="C5258" t="str">
            <v>4504 - HAND DRIVN FASTNR (NAILS,SCRW</v>
          </cell>
          <cell r="D5258" t="str">
            <v>MF03302EA</v>
          </cell>
          <cell r="BA5258">
            <v>0.21</v>
          </cell>
        </row>
        <row r="5259">
          <cell r="C5259" t="str">
            <v>4504 - HAND DRIVN FASTNR (NAILS,SCRW</v>
          </cell>
          <cell r="D5259" t="str">
            <v>MF03305EA</v>
          </cell>
          <cell r="BA5259">
            <v>0.15</v>
          </cell>
        </row>
        <row r="5260">
          <cell r="C5260" t="str">
            <v>4504 - HAND DRIVN FASTNR (NAILS,SCRW</v>
          </cell>
          <cell r="D5260" t="str">
            <v>MF03306EA</v>
          </cell>
          <cell r="BA5260">
            <v>0.18</v>
          </cell>
        </row>
        <row r="5261">
          <cell r="C5261" t="str">
            <v>4504 - HAND DRIVN FASTNR (NAILS,SCRW</v>
          </cell>
          <cell r="D5261" t="str">
            <v>MF04066EA</v>
          </cell>
          <cell r="BA5261">
            <v>0.23</v>
          </cell>
        </row>
        <row r="5262">
          <cell r="C5262" t="str">
            <v>4504 - HAND DRIVN FASTNR (NAILS,SCRW</v>
          </cell>
          <cell r="D5262" t="str">
            <v>MF04067EA</v>
          </cell>
          <cell r="BA5262">
            <v>0.24</v>
          </cell>
        </row>
        <row r="5263">
          <cell r="C5263" t="str">
            <v>4504 - HAND DRIVN FASTNR (NAILS,SCRW</v>
          </cell>
          <cell r="D5263" t="str">
            <v>MF04068EA</v>
          </cell>
          <cell r="BA5263">
            <v>0.27</v>
          </cell>
        </row>
        <row r="5264">
          <cell r="C5264" t="str">
            <v>4504 - HAND DRIVN FASTNR (NAILS,SCRW</v>
          </cell>
          <cell r="D5264" t="str">
            <v>MF04069EA</v>
          </cell>
          <cell r="BA5264">
            <v>0.33</v>
          </cell>
        </row>
        <row r="5265">
          <cell r="C5265" t="str">
            <v>4504 - HAND DRIVN FASTNR (NAILS,SCRW</v>
          </cell>
          <cell r="D5265" t="str">
            <v>MF04076EA</v>
          </cell>
          <cell r="BA5265">
            <v>0.09</v>
          </cell>
        </row>
        <row r="5266">
          <cell r="C5266" t="str">
            <v>4504 - HAND DRIVN FASTNR (NAILS,SCRW</v>
          </cell>
          <cell r="D5266" t="str">
            <v>MF04077EA</v>
          </cell>
          <cell r="BA5266">
            <v>0.11</v>
          </cell>
        </row>
        <row r="5267">
          <cell r="C5267" t="str">
            <v>4504 - HAND DRIVN FASTNR (NAILS,SCRW</v>
          </cell>
          <cell r="D5267" t="str">
            <v>MF04078EA</v>
          </cell>
          <cell r="BA5267">
            <v>0.12</v>
          </cell>
        </row>
        <row r="5268">
          <cell r="C5268" t="str">
            <v>4504 - HAND DRIVN FASTNR (NAILS,SCRW</v>
          </cell>
          <cell r="D5268" t="str">
            <v>MF04079EA</v>
          </cell>
          <cell r="BA5268">
            <v>0.17</v>
          </cell>
        </row>
        <row r="5269">
          <cell r="C5269" t="str">
            <v>4504 - HAND DRIVN FASTNR (NAILS,SCRW</v>
          </cell>
          <cell r="D5269" t="str">
            <v>MF04080EA</v>
          </cell>
          <cell r="BA5269">
            <v>0.22</v>
          </cell>
        </row>
        <row r="5270">
          <cell r="C5270" t="str">
            <v>4504 - HAND DRIVN FASTNR (NAILS,SCRW</v>
          </cell>
          <cell r="D5270" t="str">
            <v>MF62721</v>
          </cell>
          <cell r="BA5270">
            <v>0.12</v>
          </cell>
        </row>
        <row r="5271">
          <cell r="C5271" t="str">
            <v>4504 - HAND DRIVN FASTNR (NAILS,SCRW</v>
          </cell>
          <cell r="D5271" t="str">
            <v>MF05355EA</v>
          </cell>
          <cell r="BA5271">
            <v>0.14000000000000001</v>
          </cell>
        </row>
        <row r="5272">
          <cell r="C5272" t="str">
            <v>4504 - HAND DRIVN FASTNR (NAILS,SCRW</v>
          </cell>
          <cell r="D5272" t="str">
            <v>MF05356EA</v>
          </cell>
          <cell r="BA5272">
            <v>0.13</v>
          </cell>
        </row>
        <row r="5273">
          <cell r="C5273" t="str">
            <v>4504 - HAND DRIVN FASTNR (NAILS,SCRW</v>
          </cell>
          <cell r="D5273" t="str">
            <v>MF05357EA</v>
          </cell>
          <cell r="BA5273">
            <v>0.15</v>
          </cell>
        </row>
        <row r="5274">
          <cell r="C5274" t="str">
            <v>4504 - HAND DRIVN FASTNR (NAILS,SCRW</v>
          </cell>
          <cell r="D5274" t="str">
            <v>MF05358EA</v>
          </cell>
          <cell r="BA5274">
            <v>0.22</v>
          </cell>
        </row>
        <row r="5275">
          <cell r="C5275" t="str">
            <v>4504 - HAND DRIVN FASTNR (NAILS,SCRW</v>
          </cell>
          <cell r="D5275" t="str">
            <v>MF05359EA</v>
          </cell>
          <cell r="BA5275">
            <v>0.24</v>
          </cell>
        </row>
        <row r="5276">
          <cell r="C5276" t="str">
            <v>4504 - HAND DRIVN FASTNR (NAILS,SCRW</v>
          </cell>
          <cell r="D5276" t="str">
            <v>MF05360EA</v>
          </cell>
          <cell r="BA5276">
            <v>0.28000000000000003</v>
          </cell>
        </row>
        <row r="5277">
          <cell r="C5277" t="str">
            <v>4504 - HAND DRIVN FASTNR (NAILS,SCRW</v>
          </cell>
          <cell r="D5277" t="str">
            <v>MF05361EA</v>
          </cell>
          <cell r="BA5277">
            <v>0.31</v>
          </cell>
        </row>
        <row r="5278">
          <cell r="C5278" t="str">
            <v>4504 - HAND DRIVN FASTNR (NAILS,SCRW</v>
          </cell>
          <cell r="D5278" t="str">
            <v>MF05362EA</v>
          </cell>
          <cell r="BA5278">
            <v>0.38</v>
          </cell>
        </row>
        <row r="5279">
          <cell r="C5279" t="str">
            <v>4504 - HAND DRIVN FASTNR (NAILS,SCRW</v>
          </cell>
          <cell r="D5279" t="str">
            <v>MF05363EA</v>
          </cell>
          <cell r="BA5279">
            <v>0.37</v>
          </cell>
        </row>
        <row r="5280">
          <cell r="C5280" t="str">
            <v>4504 - HAND DRIVN FASTNR (NAILS,SCRW</v>
          </cell>
          <cell r="D5280" t="str">
            <v>MF05364EA</v>
          </cell>
          <cell r="BA5280">
            <v>0.47</v>
          </cell>
        </row>
        <row r="5281">
          <cell r="C5281" t="str">
            <v>4504 - HAND DRIVN FASTNR (NAILS,SCRW</v>
          </cell>
          <cell r="D5281" t="str">
            <v>MF05365EA</v>
          </cell>
          <cell r="BA5281">
            <v>0.5</v>
          </cell>
        </row>
        <row r="5282">
          <cell r="C5282" t="str">
            <v>4504 - HAND DRIVN FASTNR (NAILS,SCRW</v>
          </cell>
          <cell r="D5282" t="str">
            <v>MF05368EA</v>
          </cell>
          <cell r="BA5282">
            <v>0.17</v>
          </cell>
        </row>
        <row r="5283">
          <cell r="C5283" t="str">
            <v>4504 - HAND DRIVN FASTNR (NAILS,SCRW</v>
          </cell>
          <cell r="D5283" t="str">
            <v>MF05369EA</v>
          </cell>
          <cell r="BA5283">
            <v>0.19</v>
          </cell>
        </row>
        <row r="5284">
          <cell r="C5284" t="str">
            <v>4504 - HAND DRIVN FASTNR (NAILS,SCRW</v>
          </cell>
          <cell r="D5284" t="str">
            <v>MF05370EA</v>
          </cell>
          <cell r="BA5284">
            <v>0.24</v>
          </cell>
        </row>
        <row r="5285">
          <cell r="C5285" t="str">
            <v>4504 - HAND DRIVN FASTNR (NAILS,SCRW</v>
          </cell>
          <cell r="D5285" t="str">
            <v>MF05371EA</v>
          </cell>
          <cell r="BA5285">
            <v>0.28999999999999998</v>
          </cell>
        </row>
        <row r="5286">
          <cell r="C5286" t="str">
            <v>4504 - HAND DRIVN FASTNR (NAILS,SCRW</v>
          </cell>
          <cell r="D5286" t="str">
            <v>MF05372EA</v>
          </cell>
          <cell r="BA5286">
            <v>0.33</v>
          </cell>
        </row>
        <row r="5287">
          <cell r="C5287" t="str">
            <v>4504 - HAND DRIVN FASTNR (NAILS,SCRW</v>
          </cell>
          <cell r="D5287" t="str">
            <v>MF05373EA</v>
          </cell>
          <cell r="BA5287">
            <v>0.4</v>
          </cell>
        </row>
        <row r="5288">
          <cell r="C5288" t="str">
            <v>4504 - HAND DRIVN FASTNR (NAILS,SCRW</v>
          </cell>
          <cell r="D5288" t="str">
            <v>MF05374EA</v>
          </cell>
          <cell r="BA5288">
            <v>0.55000000000000004</v>
          </cell>
        </row>
        <row r="5289">
          <cell r="C5289" t="str">
            <v>4504 - HAND DRIVN FASTNR (NAILS,SCRW</v>
          </cell>
          <cell r="D5289" t="str">
            <v>MF05375EA</v>
          </cell>
          <cell r="BA5289">
            <v>0.53</v>
          </cell>
        </row>
        <row r="5290">
          <cell r="C5290" t="str">
            <v>4504 - HAND DRIVN FASTNR (NAILS,SCRW</v>
          </cell>
          <cell r="D5290" t="str">
            <v>MF05376EA</v>
          </cell>
          <cell r="BA5290">
            <v>0.6</v>
          </cell>
        </row>
        <row r="5291">
          <cell r="C5291" t="str">
            <v>4504 - HAND DRIVN FASTNR (NAILS,SCRW</v>
          </cell>
          <cell r="D5291" t="str">
            <v>MF05377EA</v>
          </cell>
          <cell r="BA5291">
            <v>0.66</v>
          </cell>
        </row>
        <row r="5292">
          <cell r="C5292" t="str">
            <v>4504 - HAND DRIVN FASTNR (NAILS,SCRW</v>
          </cell>
          <cell r="D5292" t="str">
            <v>MF05378EA</v>
          </cell>
          <cell r="BA5292">
            <v>0.71</v>
          </cell>
        </row>
        <row r="5293">
          <cell r="C5293" t="str">
            <v>4504 - HAND DRIVN FASTNR (NAILS,SCRW</v>
          </cell>
          <cell r="D5293" t="str">
            <v>MF05381EA</v>
          </cell>
          <cell r="BA5293">
            <v>0.22</v>
          </cell>
        </row>
        <row r="5294">
          <cell r="C5294" t="str">
            <v>4504 - HAND DRIVN FASTNR (NAILS,SCRW</v>
          </cell>
          <cell r="D5294" t="str">
            <v>MF05382EA</v>
          </cell>
          <cell r="BA5294">
            <v>0.27</v>
          </cell>
        </row>
        <row r="5295">
          <cell r="C5295" t="str">
            <v>4504 - HAND DRIVN FASTNR (NAILS,SCRW</v>
          </cell>
          <cell r="D5295" t="str">
            <v>MF05383EA</v>
          </cell>
          <cell r="BA5295">
            <v>0.32</v>
          </cell>
        </row>
        <row r="5296">
          <cell r="C5296" t="str">
            <v>4504 - HAND DRIVN FASTNR (NAILS,SCRW</v>
          </cell>
          <cell r="D5296" t="str">
            <v>MF05384EA</v>
          </cell>
          <cell r="BA5296">
            <v>0.4</v>
          </cell>
        </row>
        <row r="5297">
          <cell r="C5297" t="str">
            <v>4504 - HAND DRIVN FASTNR (NAILS,SCRW</v>
          </cell>
          <cell r="D5297" t="str">
            <v>MF05385EA</v>
          </cell>
          <cell r="BA5297">
            <v>0.45</v>
          </cell>
        </row>
        <row r="5298">
          <cell r="C5298" t="str">
            <v>4504 - HAND DRIVN FASTNR (NAILS,SCRW</v>
          </cell>
          <cell r="D5298" t="str">
            <v>MF05386EA</v>
          </cell>
          <cell r="BA5298">
            <v>0.51</v>
          </cell>
        </row>
        <row r="5299">
          <cell r="C5299" t="str">
            <v>4504 - HAND DRIVN FASTNR (NAILS,SCRW</v>
          </cell>
          <cell r="D5299" t="str">
            <v>MF05387EA</v>
          </cell>
          <cell r="BA5299">
            <v>0.72</v>
          </cell>
        </row>
        <row r="5300">
          <cell r="C5300" t="str">
            <v>4504 - HAND DRIVN FASTNR (NAILS,SCRW</v>
          </cell>
          <cell r="D5300" t="str">
            <v>MF05388EA</v>
          </cell>
          <cell r="BA5300">
            <v>0.72</v>
          </cell>
        </row>
        <row r="5301">
          <cell r="C5301" t="str">
            <v>4504 - HAND DRIVN FASTNR (NAILS,SCRW</v>
          </cell>
          <cell r="D5301" t="str">
            <v>MF05389EA</v>
          </cell>
          <cell r="BA5301">
            <v>0.79</v>
          </cell>
        </row>
        <row r="5302">
          <cell r="C5302" t="str">
            <v>4504 - HAND DRIVN FASTNR (NAILS,SCRW</v>
          </cell>
          <cell r="D5302" t="str">
            <v>MF05390EA</v>
          </cell>
          <cell r="BA5302">
            <v>0.8</v>
          </cell>
        </row>
        <row r="5303">
          <cell r="C5303" t="str">
            <v>4504 - HAND DRIVN FASTNR (NAILS,SCRW</v>
          </cell>
          <cell r="D5303" t="str">
            <v>MF05391EA</v>
          </cell>
          <cell r="BA5303">
            <v>0.91</v>
          </cell>
        </row>
        <row r="5304">
          <cell r="C5304" t="str">
            <v>4504 - HAND DRIVN FASTNR (NAILS,SCRW</v>
          </cell>
          <cell r="D5304" t="str">
            <v>MF05393EA</v>
          </cell>
          <cell r="BA5304">
            <v>1.44</v>
          </cell>
        </row>
        <row r="5305">
          <cell r="C5305" t="str">
            <v>4504 - HAND DRIVN FASTNR (NAILS,SCRW</v>
          </cell>
          <cell r="D5305" t="str">
            <v>MF05394EA</v>
          </cell>
          <cell r="BA5305">
            <v>1.58</v>
          </cell>
        </row>
        <row r="5306">
          <cell r="C5306" t="str">
            <v>4504 - HAND DRIVN FASTNR (NAILS,SCRW</v>
          </cell>
          <cell r="D5306" t="str">
            <v>MF05395EA</v>
          </cell>
          <cell r="BA5306">
            <v>1.81</v>
          </cell>
        </row>
        <row r="5307">
          <cell r="C5307" t="str">
            <v>4504 - HAND DRIVN FASTNR (NAILS,SCRW</v>
          </cell>
          <cell r="D5307" t="str">
            <v>MF05396EA</v>
          </cell>
          <cell r="BA5307">
            <v>1.88</v>
          </cell>
        </row>
        <row r="5308">
          <cell r="C5308" t="str">
            <v>4504 - HAND DRIVN FASTNR (NAILS,SCRW</v>
          </cell>
          <cell r="D5308" t="str">
            <v>MF05399EA</v>
          </cell>
          <cell r="BA5308">
            <v>0.43</v>
          </cell>
        </row>
        <row r="5309">
          <cell r="C5309" t="str">
            <v>4504 - HAND DRIVN FASTNR (NAILS,SCRW</v>
          </cell>
          <cell r="D5309" t="str">
            <v>MF05400EA</v>
          </cell>
          <cell r="BA5309">
            <v>0.54</v>
          </cell>
        </row>
        <row r="5310">
          <cell r="C5310" t="str">
            <v>4504 - HAND DRIVN FASTNR (NAILS,SCRW</v>
          </cell>
          <cell r="D5310" t="str">
            <v>MF05401EA</v>
          </cell>
          <cell r="BA5310">
            <v>0.64</v>
          </cell>
        </row>
        <row r="5311">
          <cell r="C5311" t="str">
            <v>4504 - HAND DRIVN FASTNR (NAILS,SCRW</v>
          </cell>
          <cell r="D5311" t="str">
            <v>MF05403EA</v>
          </cell>
          <cell r="BA5311">
            <v>0.9</v>
          </cell>
        </row>
        <row r="5312">
          <cell r="C5312" t="str">
            <v>4504 - HAND DRIVN FASTNR (NAILS,SCRW</v>
          </cell>
          <cell r="D5312" t="str">
            <v>MF05404EA</v>
          </cell>
          <cell r="BA5312">
            <v>1.17</v>
          </cell>
        </row>
        <row r="5313">
          <cell r="C5313" t="str">
            <v>4504 - HAND DRIVN FASTNR (NAILS,SCRW</v>
          </cell>
          <cell r="D5313" t="str">
            <v>MF05405EA</v>
          </cell>
          <cell r="BA5313">
            <v>1.1000000000000001</v>
          </cell>
        </row>
        <row r="5314">
          <cell r="C5314" t="str">
            <v>4504 - HAND DRIVN FASTNR (NAILS,SCRW</v>
          </cell>
          <cell r="D5314" t="str">
            <v>MF05406EA</v>
          </cell>
          <cell r="BA5314">
            <v>1.42</v>
          </cell>
        </row>
        <row r="5315">
          <cell r="C5315" t="str">
            <v>4504 - HAND DRIVN FASTNR (NAILS,SCRW</v>
          </cell>
          <cell r="D5315" t="str">
            <v>MF05407EA</v>
          </cell>
          <cell r="BA5315">
            <v>1.4</v>
          </cell>
        </row>
        <row r="5316">
          <cell r="C5316" t="str">
            <v>4504 - HAND DRIVN FASTNR (NAILS,SCRW</v>
          </cell>
          <cell r="D5316" t="str">
            <v>MF05411EA</v>
          </cell>
          <cell r="BA5316">
            <v>2.06</v>
          </cell>
        </row>
        <row r="5317">
          <cell r="C5317" t="str">
            <v>4504 - HAND DRIVN FASTNR (NAILS,SCRW</v>
          </cell>
          <cell r="D5317" t="str">
            <v>MF05412EA</v>
          </cell>
          <cell r="BA5317">
            <v>1.95</v>
          </cell>
        </row>
        <row r="5318">
          <cell r="C5318" t="str">
            <v>4504 - HAND DRIVN FASTNR (NAILS,SCRW</v>
          </cell>
          <cell r="D5318" t="str">
            <v>MF05413EA</v>
          </cell>
          <cell r="BA5318">
            <v>2.2000000000000002</v>
          </cell>
        </row>
        <row r="5319">
          <cell r="C5319" t="str">
            <v>4504 - HAND DRIVN FASTNR (NAILS,SCRW</v>
          </cell>
          <cell r="D5319" t="str">
            <v>MF05414EA</v>
          </cell>
          <cell r="BA5319">
            <v>2.4700000000000002</v>
          </cell>
        </row>
        <row r="5320">
          <cell r="C5320" t="str">
            <v>4504 - HAND DRIVN FASTNR (NAILS,SCRW</v>
          </cell>
          <cell r="D5320" t="str">
            <v>MF05446EA</v>
          </cell>
          <cell r="BA5320">
            <v>2.5</v>
          </cell>
        </row>
        <row r="5321">
          <cell r="C5321" t="str">
            <v>4504 - HAND DRIVN FASTNR (NAILS,SCRW</v>
          </cell>
          <cell r="D5321" t="str">
            <v>MF05455EA</v>
          </cell>
          <cell r="BA5321">
            <v>3.76</v>
          </cell>
        </row>
        <row r="5322">
          <cell r="C5322" t="str">
            <v>4504 - HAND DRIVN FASTNR (NAILS,SCRW</v>
          </cell>
          <cell r="D5322" t="str">
            <v>MF05456EA</v>
          </cell>
          <cell r="BA5322">
            <v>8.23</v>
          </cell>
        </row>
        <row r="5323">
          <cell r="C5323" t="str">
            <v>4504 - HAND DRIVN FASTNR (NAILS,SCRW</v>
          </cell>
          <cell r="D5323" t="str">
            <v>MF05555EA</v>
          </cell>
          <cell r="BA5323">
            <v>0.12</v>
          </cell>
        </row>
        <row r="5324">
          <cell r="C5324" t="str">
            <v>4504 - HAND DRIVN FASTNR (NAILS,SCRW</v>
          </cell>
          <cell r="D5324" t="str">
            <v>MF05556EA</v>
          </cell>
          <cell r="BA5324">
            <v>0.15</v>
          </cell>
        </row>
        <row r="5325">
          <cell r="C5325" t="str">
            <v>4504 - HAND DRIVN FASTNR (NAILS,SCRW</v>
          </cell>
          <cell r="D5325" t="str">
            <v>MF05557EA</v>
          </cell>
          <cell r="BA5325">
            <v>0.17</v>
          </cell>
        </row>
        <row r="5326">
          <cell r="C5326" t="str">
            <v>4504 - HAND DRIVN FASTNR (NAILS,SCRW</v>
          </cell>
          <cell r="D5326" t="str">
            <v>MF05558EA</v>
          </cell>
          <cell r="BA5326">
            <v>0.19</v>
          </cell>
        </row>
        <row r="5327">
          <cell r="C5327" t="str">
            <v>4504 - HAND DRIVN FASTNR (NAILS,SCRW</v>
          </cell>
          <cell r="D5327" t="str">
            <v>MF05559EA</v>
          </cell>
          <cell r="BA5327">
            <v>0.26</v>
          </cell>
        </row>
        <row r="5328">
          <cell r="C5328" t="str">
            <v>4504 - HAND DRIVN FASTNR (NAILS,SCRW</v>
          </cell>
          <cell r="D5328" t="str">
            <v>MF05560EA</v>
          </cell>
          <cell r="BA5328">
            <v>0.26</v>
          </cell>
        </row>
        <row r="5329">
          <cell r="C5329" t="str">
            <v>4504 - HAND DRIVN FASTNR (NAILS,SCRW</v>
          </cell>
          <cell r="D5329" t="str">
            <v>MF05561EA</v>
          </cell>
          <cell r="BA5329">
            <v>0.28000000000000003</v>
          </cell>
        </row>
        <row r="5330">
          <cell r="C5330" t="str">
            <v>4504 - HAND DRIVN FASTNR (NAILS,SCRW</v>
          </cell>
          <cell r="D5330" t="str">
            <v>MF05562EA</v>
          </cell>
          <cell r="BA5330">
            <v>0.32</v>
          </cell>
        </row>
        <row r="5331">
          <cell r="C5331" t="str">
            <v>4504 - HAND DRIVN FASTNR (NAILS,SCRW</v>
          </cell>
          <cell r="D5331" t="str">
            <v>MF05563EA</v>
          </cell>
          <cell r="BA5331">
            <v>0.37</v>
          </cell>
        </row>
        <row r="5332">
          <cell r="C5332" t="str">
            <v>4504 - HAND DRIVN FASTNR (NAILS,SCRW</v>
          </cell>
          <cell r="D5332" t="str">
            <v>MF05564EA</v>
          </cell>
          <cell r="BA5332">
            <v>0.43</v>
          </cell>
        </row>
        <row r="5333">
          <cell r="C5333" t="str">
            <v>4504 - HAND DRIVN FASTNR (NAILS,SCRW</v>
          </cell>
          <cell r="D5333" t="str">
            <v>MF05565EA</v>
          </cell>
          <cell r="BA5333">
            <v>0.48</v>
          </cell>
        </row>
        <row r="5334">
          <cell r="C5334" t="str">
            <v>4504 - HAND DRIVN FASTNR (NAILS,SCRW</v>
          </cell>
          <cell r="D5334" t="str">
            <v>MF05566EA</v>
          </cell>
          <cell r="BA5334">
            <v>0.15</v>
          </cell>
        </row>
        <row r="5335">
          <cell r="C5335" t="str">
            <v>4504 - HAND DRIVN FASTNR (NAILS,SCRW</v>
          </cell>
          <cell r="D5335" t="str">
            <v>MF05567EA</v>
          </cell>
          <cell r="BA5335">
            <v>0.19</v>
          </cell>
        </row>
        <row r="5336">
          <cell r="C5336" t="str">
            <v>4504 - HAND DRIVN FASTNR (NAILS,SCRW</v>
          </cell>
          <cell r="D5336" t="str">
            <v>MF05568EA</v>
          </cell>
          <cell r="BA5336">
            <v>0.28000000000000003</v>
          </cell>
        </row>
        <row r="5337">
          <cell r="C5337" t="str">
            <v>4504 - HAND DRIVN FASTNR (NAILS,SCRW</v>
          </cell>
          <cell r="D5337" t="str">
            <v>MF05569EA</v>
          </cell>
          <cell r="BA5337">
            <v>0.28999999999999998</v>
          </cell>
        </row>
        <row r="5338">
          <cell r="C5338" t="str">
            <v>4504 - HAND DRIVN FASTNR (NAILS,SCRW</v>
          </cell>
          <cell r="D5338" t="str">
            <v>MF05570EA</v>
          </cell>
          <cell r="BA5338">
            <v>0.35</v>
          </cell>
        </row>
        <row r="5339">
          <cell r="C5339" t="str">
            <v>4504 - HAND DRIVN FASTNR (NAILS,SCRW</v>
          </cell>
          <cell r="D5339" t="str">
            <v>MF05571EA</v>
          </cell>
          <cell r="BA5339">
            <v>0.38</v>
          </cell>
        </row>
        <row r="5340">
          <cell r="C5340" t="str">
            <v>4504 - HAND DRIVN FASTNR (NAILS,SCRW</v>
          </cell>
          <cell r="D5340" t="str">
            <v>MF05572EA</v>
          </cell>
          <cell r="BA5340">
            <v>0.45</v>
          </cell>
        </row>
        <row r="5341">
          <cell r="C5341" t="str">
            <v>4504 - HAND DRIVN FASTNR (NAILS,SCRW</v>
          </cell>
          <cell r="D5341" t="str">
            <v>MF05573EA</v>
          </cell>
          <cell r="BA5341">
            <v>0.51</v>
          </cell>
        </row>
        <row r="5342">
          <cell r="C5342" t="str">
            <v>4504 - HAND DRIVN FASTNR (NAILS,SCRW</v>
          </cell>
          <cell r="D5342" t="str">
            <v>MF05574EA</v>
          </cell>
          <cell r="BA5342">
            <v>0.54</v>
          </cell>
        </row>
        <row r="5343">
          <cell r="C5343" t="str">
            <v>4504 - HAND DRIVN FASTNR (NAILS,SCRW</v>
          </cell>
          <cell r="D5343" t="str">
            <v>MF05575EA</v>
          </cell>
          <cell r="BA5343">
            <v>0.66</v>
          </cell>
        </row>
        <row r="5344">
          <cell r="C5344" t="str">
            <v>4504 - HAND DRIVN FASTNR (NAILS,SCRW</v>
          </cell>
          <cell r="D5344" t="str">
            <v>MF05576EA</v>
          </cell>
          <cell r="BA5344">
            <v>0.7</v>
          </cell>
        </row>
        <row r="5345">
          <cell r="C5345" t="str">
            <v>4504 - HAND DRIVN FASTNR (NAILS,SCRW</v>
          </cell>
          <cell r="D5345" t="str">
            <v>MF05577EA</v>
          </cell>
          <cell r="BA5345">
            <v>0.27</v>
          </cell>
        </row>
        <row r="5346">
          <cell r="C5346" t="str">
            <v>4504 - HAND DRIVN FASTNR (NAILS,SCRW</v>
          </cell>
          <cell r="D5346" t="str">
            <v>MF05578EA</v>
          </cell>
          <cell r="BA5346">
            <v>0.32</v>
          </cell>
        </row>
        <row r="5347">
          <cell r="C5347" t="str">
            <v>4504 - HAND DRIVN FASTNR (NAILS,SCRW</v>
          </cell>
          <cell r="D5347" t="str">
            <v>MF05579EA</v>
          </cell>
          <cell r="BA5347">
            <v>0.41</v>
          </cell>
        </row>
        <row r="5348">
          <cell r="C5348" t="str">
            <v>4504 - HAND DRIVN FASTNR (NAILS,SCRW</v>
          </cell>
          <cell r="D5348" t="str">
            <v>MF05580EA</v>
          </cell>
          <cell r="BA5348">
            <v>0.42</v>
          </cell>
        </row>
        <row r="5349">
          <cell r="C5349" t="str">
            <v>4504 - HAND DRIVN FASTNR (NAILS,SCRW</v>
          </cell>
          <cell r="D5349" t="str">
            <v>MF05581EA</v>
          </cell>
          <cell r="BA5349">
            <v>0.54</v>
          </cell>
        </row>
        <row r="5350">
          <cell r="C5350" t="str">
            <v>4504 - HAND DRIVN FASTNR (NAILS,SCRW</v>
          </cell>
          <cell r="D5350" t="str">
            <v>MF05582EA</v>
          </cell>
          <cell r="BA5350">
            <v>0.53</v>
          </cell>
        </row>
        <row r="5351">
          <cell r="C5351" t="str">
            <v>4504 - HAND DRIVN FASTNR (NAILS,SCRW</v>
          </cell>
          <cell r="D5351" t="str">
            <v>MF05583EA</v>
          </cell>
          <cell r="BA5351">
            <v>0.68</v>
          </cell>
        </row>
        <row r="5352">
          <cell r="C5352" t="str">
            <v>4504 - HAND DRIVN FASTNR (NAILS,SCRW</v>
          </cell>
          <cell r="D5352" t="str">
            <v>MF05584EA</v>
          </cell>
          <cell r="BA5352">
            <v>0.64</v>
          </cell>
        </row>
        <row r="5353">
          <cell r="C5353" t="str">
            <v>4504 - HAND DRIVN FASTNR (NAILS,SCRW</v>
          </cell>
          <cell r="D5353" t="str">
            <v>MF05585EA</v>
          </cell>
          <cell r="BA5353">
            <v>0.73</v>
          </cell>
        </row>
        <row r="5354">
          <cell r="C5354" t="str">
            <v>4504 - HAND DRIVN FASTNR (NAILS,SCRW</v>
          </cell>
          <cell r="D5354" t="str">
            <v>MF05586EA</v>
          </cell>
          <cell r="BA5354">
            <v>0.76</v>
          </cell>
        </row>
        <row r="5355">
          <cell r="C5355" t="str">
            <v>4504 - HAND DRIVN FASTNR (NAILS,SCRW</v>
          </cell>
          <cell r="D5355" t="str">
            <v>MF05587EA</v>
          </cell>
          <cell r="BA5355">
            <v>0.89</v>
          </cell>
        </row>
        <row r="5356">
          <cell r="C5356" t="str">
            <v>4504 - HAND DRIVN FASTNR (NAILS,SCRW</v>
          </cell>
          <cell r="D5356" t="str">
            <v>MF05588EA</v>
          </cell>
          <cell r="BA5356">
            <v>1.17</v>
          </cell>
        </row>
        <row r="5357">
          <cell r="C5357" t="str">
            <v>4504 - HAND DRIVN FASTNR (NAILS,SCRW</v>
          </cell>
          <cell r="D5357" t="str">
            <v>MF05589EA</v>
          </cell>
          <cell r="BA5357">
            <v>1.19</v>
          </cell>
        </row>
        <row r="5358">
          <cell r="C5358" t="str">
            <v>4504 - HAND DRIVN FASTNR (NAILS,SCRW</v>
          </cell>
          <cell r="D5358" t="str">
            <v>MF05590EA</v>
          </cell>
          <cell r="BA5358">
            <v>1.73</v>
          </cell>
        </row>
        <row r="5359">
          <cell r="C5359" t="str">
            <v>4504 - HAND DRIVN FASTNR (NAILS,SCRW</v>
          </cell>
          <cell r="D5359" t="str">
            <v>MF05591EA</v>
          </cell>
          <cell r="BA5359">
            <v>0.59</v>
          </cell>
        </row>
        <row r="5360">
          <cell r="C5360" t="str">
            <v>4504 - HAND DRIVN FASTNR (NAILS,SCRW</v>
          </cell>
          <cell r="D5360" t="str">
            <v>MF05592EA</v>
          </cell>
          <cell r="BA5360">
            <v>0.65</v>
          </cell>
        </row>
        <row r="5361">
          <cell r="C5361" t="str">
            <v>4504 - HAND DRIVN FASTNR (NAILS,SCRW</v>
          </cell>
          <cell r="D5361" t="str">
            <v>MF05593EA</v>
          </cell>
          <cell r="BA5361">
            <v>0.76</v>
          </cell>
        </row>
        <row r="5362">
          <cell r="C5362" t="str">
            <v>4504 - HAND DRIVN FASTNR (NAILS,SCRW</v>
          </cell>
          <cell r="D5362" t="str">
            <v>MF05594EA</v>
          </cell>
          <cell r="BA5362">
            <v>0.78</v>
          </cell>
        </row>
        <row r="5363">
          <cell r="C5363" t="str">
            <v>4504 - HAND DRIVN FASTNR (NAILS,SCRW</v>
          </cell>
          <cell r="D5363" t="str">
            <v>MF05595EA</v>
          </cell>
          <cell r="BA5363">
            <v>0.9</v>
          </cell>
        </row>
        <row r="5364">
          <cell r="C5364" t="str">
            <v>4504 - HAND DRIVN FASTNR (NAILS,SCRW</v>
          </cell>
          <cell r="D5364" t="str">
            <v>MF05596EA</v>
          </cell>
          <cell r="BA5364">
            <v>0.85</v>
          </cell>
        </row>
        <row r="5365">
          <cell r="C5365" t="str">
            <v>4504 - HAND DRIVN FASTNR (NAILS,SCRW</v>
          </cell>
          <cell r="D5365" t="str">
            <v>MF05597EA</v>
          </cell>
          <cell r="BA5365">
            <v>1.1599999999999999</v>
          </cell>
        </row>
        <row r="5366">
          <cell r="C5366" t="str">
            <v>4504 - HAND DRIVN FASTNR (NAILS,SCRW</v>
          </cell>
          <cell r="D5366" t="str">
            <v>MF05598EA</v>
          </cell>
          <cell r="BA5366">
            <v>1.06</v>
          </cell>
        </row>
        <row r="5367">
          <cell r="C5367" t="str">
            <v>4504 - HAND DRIVN FASTNR (NAILS,SCRW</v>
          </cell>
          <cell r="D5367" t="str">
            <v>MF05599EA</v>
          </cell>
          <cell r="BA5367">
            <v>1.31</v>
          </cell>
        </row>
        <row r="5368">
          <cell r="C5368" t="str">
            <v>4504 - HAND DRIVN FASTNR (NAILS,SCRW</v>
          </cell>
          <cell r="D5368" t="str">
            <v>MF05600EA</v>
          </cell>
          <cell r="BA5368">
            <v>1.32</v>
          </cell>
        </row>
        <row r="5369">
          <cell r="C5369" t="str">
            <v>4504 - HAND DRIVN FASTNR (NAILS,SCRW</v>
          </cell>
          <cell r="D5369" t="str">
            <v>MF05601EA</v>
          </cell>
          <cell r="BA5369">
            <v>1.74</v>
          </cell>
        </row>
        <row r="5370">
          <cell r="C5370" t="str">
            <v>4504 - HAND DRIVN FASTNR (NAILS,SCRW</v>
          </cell>
          <cell r="D5370" t="str">
            <v>MF05602EA</v>
          </cell>
          <cell r="BA5370">
            <v>2.2599999999999998</v>
          </cell>
        </row>
        <row r="5371">
          <cell r="C5371" t="str">
            <v>4504 - HAND DRIVN FASTNR (NAILS,SCRW</v>
          </cell>
          <cell r="D5371" t="str">
            <v>MF05603EA</v>
          </cell>
          <cell r="BA5371">
            <v>2.41</v>
          </cell>
        </row>
        <row r="5372">
          <cell r="C5372" t="str">
            <v>4504 - HAND DRIVN FASTNR (NAILS,SCRW</v>
          </cell>
          <cell r="D5372" t="str">
            <v>MF05604EA</v>
          </cell>
          <cell r="BA5372">
            <v>2.94</v>
          </cell>
        </row>
        <row r="5373">
          <cell r="C5373" t="str">
            <v>4504 - HAND DRIVN FASTNR (NAILS,SCRW</v>
          </cell>
          <cell r="D5373" t="str">
            <v>MF05605EA</v>
          </cell>
          <cell r="BA5373">
            <v>2.08</v>
          </cell>
        </row>
        <row r="5374">
          <cell r="C5374" t="str">
            <v>4504 - HAND DRIVN FASTNR (NAILS,SCRW</v>
          </cell>
          <cell r="D5374" t="str">
            <v>MF05606EA</v>
          </cell>
          <cell r="BA5374">
            <v>3.11</v>
          </cell>
        </row>
        <row r="5375">
          <cell r="C5375" t="str">
            <v>4504 - HAND DRIVN FASTNR (NAILS,SCRW</v>
          </cell>
          <cell r="D5375" t="str">
            <v>MF05607EA</v>
          </cell>
          <cell r="BA5375">
            <v>3.84</v>
          </cell>
        </row>
        <row r="5376">
          <cell r="C5376" t="str">
            <v>4504 - HAND DRIVN FASTNR (NAILS,SCRW</v>
          </cell>
          <cell r="D5376" t="str">
            <v>MF07865EA</v>
          </cell>
          <cell r="BA5376">
            <v>0.23</v>
          </cell>
        </row>
        <row r="5377">
          <cell r="C5377" t="str">
            <v>4504 - HAND DRIVN FASTNR (NAILS,SCRW</v>
          </cell>
          <cell r="D5377" t="str">
            <v>MF08232EA</v>
          </cell>
          <cell r="BA5377">
            <v>1.79</v>
          </cell>
        </row>
        <row r="5378">
          <cell r="C5378" t="str">
            <v>4504 - HAND DRIVN FASTNR (NAILS,SCRW</v>
          </cell>
          <cell r="D5378" t="str">
            <v>MF08233EA</v>
          </cell>
          <cell r="BA5378">
            <v>1.89</v>
          </cell>
        </row>
        <row r="5379">
          <cell r="C5379" t="str">
            <v>4504 - HAND DRIVN FASTNR (NAILS,SCRW</v>
          </cell>
          <cell r="D5379" t="str">
            <v>MF08234EA</v>
          </cell>
          <cell r="BA5379">
            <v>2.12</v>
          </cell>
        </row>
        <row r="5380">
          <cell r="C5380" t="str">
            <v>4504 - HAND DRIVN FASTNR (NAILS,SCRW</v>
          </cell>
          <cell r="D5380" t="str">
            <v>MF08235EA</v>
          </cell>
          <cell r="BA5380">
            <v>2.7</v>
          </cell>
        </row>
        <row r="5381">
          <cell r="C5381" t="str">
            <v>4504 - HAND DRIVN FASTNR (NAILS,SCRW</v>
          </cell>
          <cell r="D5381" t="str">
            <v>MF08236EA</v>
          </cell>
          <cell r="BA5381">
            <v>3.45</v>
          </cell>
        </row>
        <row r="5382">
          <cell r="C5382" t="str">
            <v>4504 - HAND DRIVN FASTNR (NAILS,SCRW</v>
          </cell>
          <cell r="D5382" t="str">
            <v>MF08237EA</v>
          </cell>
          <cell r="BA5382">
            <v>4.3499999999999996</v>
          </cell>
        </row>
        <row r="5383">
          <cell r="C5383" t="str">
            <v>4504 - HAND DRIVN FASTNR (NAILS,SCRW</v>
          </cell>
          <cell r="D5383" t="str">
            <v>MF09393EA</v>
          </cell>
          <cell r="BA5383">
            <v>5.46</v>
          </cell>
        </row>
        <row r="5384">
          <cell r="C5384" t="str">
            <v>4504 - HAND DRIVN FASTNR (NAILS,SCRW</v>
          </cell>
          <cell r="D5384" t="str">
            <v>MF09394EA</v>
          </cell>
          <cell r="BA5384">
            <v>4.88</v>
          </cell>
        </row>
        <row r="5385">
          <cell r="C5385" t="str">
            <v>4504 - HAND DRIVN FASTNR (NAILS,SCRW</v>
          </cell>
          <cell r="D5385" t="str">
            <v>MF09396EA</v>
          </cell>
          <cell r="BA5385">
            <v>7.62</v>
          </cell>
        </row>
        <row r="5386">
          <cell r="C5386" t="str">
            <v>4504 - HAND DRIVN FASTNR (NAILS,SCRW</v>
          </cell>
          <cell r="D5386" t="str">
            <v>MF09398EA</v>
          </cell>
          <cell r="BA5386">
            <v>6.55</v>
          </cell>
        </row>
        <row r="5387">
          <cell r="C5387" t="str">
            <v>4504 - HAND DRIVN FASTNR (NAILS,SCRW</v>
          </cell>
          <cell r="D5387" t="str">
            <v>MF09399EA</v>
          </cell>
          <cell r="BA5387">
            <v>7.59</v>
          </cell>
        </row>
        <row r="5388">
          <cell r="C5388" t="str">
            <v>4504 - HAND DRIVN FASTNR (NAILS,SCRW</v>
          </cell>
          <cell r="D5388" t="str">
            <v>MF09664EA</v>
          </cell>
          <cell r="BA5388">
            <v>0.42</v>
          </cell>
        </row>
        <row r="5389">
          <cell r="C5389" t="str">
            <v>4504 - HAND DRIVN FASTNR (NAILS,SCRW</v>
          </cell>
          <cell r="D5389" t="str">
            <v>MF09810EA</v>
          </cell>
          <cell r="BA5389">
            <v>0.13</v>
          </cell>
        </row>
        <row r="5390">
          <cell r="C5390" t="str">
            <v>4504 - HAND DRIVN FASTNR (NAILS,SCRW</v>
          </cell>
          <cell r="D5390" t="str">
            <v>MF36001</v>
          </cell>
          <cell r="BA5390">
            <v>0.11</v>
          </cell>
        </row>
        <row r="5391">
          <cell r="C5391" t="str">
            <v>4504 - HAND DRIVN FASTNR (NAILS,SCRW</v>
          </cell>
          <cell r="D5391" t="str">
            <v>MF36002</v>
          </cell>
          <cell r="BA5391">
            <v>0.12</v>
          </cell>
        </row>
        <row r="5392">
          <cell r="C5392" t="str">
            <v>4504 - HAND DRIVN FASTNR (NAILS,SCRW</v>
          </cell>
          <cell r="D5392" t="str">
            <v>MF36003</v>
          </cell>
          <cell r="BA5392">
            <v>0.13</v>
          </cell>
        </row>
        <row r="5393">
          <cell r="C5393" t="str">
            <v>4504 - HAND DRIVN FASTNR (NAILS,SCRW</v>
          </cell>
          <cell r="D5393" t="str">
            <v>MF36004</v>
          </cell>
          <cell r="BA5393">
            <v>0.14000000000000001</v>
          </cell>
        </row>
        <row r="5394">
          <cell r="C5394" t="str">
            <v>4504 - HAND DRIVN FASTNR (NAILS,SCRW</v>
          </cell>
          <cell r="D5394" t="str">
            <v>MF36005</v>
          </cell>
          <cell r="BA5394">
            <v>0.16</v>
          </cell>
        </row>
        <row r="5395">
          <cell r="C5395" t="str">
            <v>4504 - HAND DRIVN FASTNR (NAILS,SCRW</v>
          </cell>
          <cell r="D5395" t="str">
            <v>MF36006</v>
          </cell>
          <cell r="BA5395">
            <v>0.13</v>
          </cell>
        </row>
        <row r="5396">
          <cell r="C5396" t="str">
            <v>4504 - HAND DRIVN FASTNR (NAILS,SCRW</v>
          </cell>
          <cell r="D5396" t="str">
            <v>MF36007</v>
          </cell>
          <cell r="BA5396">
            <v>0.14000000000000001</v>
          </cell>
        </row>
        <row r="5397">
          <cell r="C5397" t="str">
            <v>4504 - HAND DRIVN FASTNR (NAILS,SCRW</v>
          </cell>
          <cell r="D5397" t="str">
            <v>MF36008</v>
          </cell>
          <cell r="BA5397">
            <v>0.17</v>
          </cell>
        </row>
        <row r="5398">
          <cell r="C5398" t="str">
            <v>4504 - HAND DRIVN FASTNR (NAILS,SCRW</v>
          </cell>
          <cell r="D5398" t="str">
            <v>MF36011</v>
          </cell>
          <cell r="BA5398">
            <v>0.18</v>
          </cell>
        </row>
        <row r="5399">
          <cell r="C5399" t="str">
            <v>4504 - HAND DRIVN FASTNR (NAILS,SCRW</v>
          </cell>
          <cell r="D5399" t="str">
            <v>MF36012</v>
          </cell>
          <cell r="BA5399">
            <v>0.19</v>
          </cell>
        </row>
        <row r="5400">
          <cell r="C5400" t="str">
            <v>4504 - HAND DRIVN FASTNR (NAILS,SCRW</v>
          </cell>
          <cell r="D5400" t="str">
            <v>MF36013</v>
          </cell>
          <cell r="BA5400">
            <v>0.24</v>
          </cell>
        </row>
        <row r="5401">
          <cell r="C5401" t="str">
            <v>4504 - HAND DRIVN FASTNR (NAILS,SCRW</v>
          </cell>
          <cell r="D5401" t="str">
            <v>MF36014</v>
          </cell>
          <cell r="BA5401">
            <v>0.24</v>
          </cell>
        </row>
        <row r="5402">
          <cell r="C5402" t="str">
            <v>4504 - HAND DRIVN FASTNR (NAILS,SCRW</v>
          </cell>
          <cell r="D5402" t="str">
            <v>MF36015</v>
          </cell>
          <cell r="BA5402">
            <v>0.28999999999999998</v>
          </cell>
        </row>
        <row r="5403">
          <cell r="C5403" t="str">
            <v>4504 - HAND DRIVN FASTNR (NAILS,SCRW</v>
          </cell>
          <cell r="D5403" t="str">
            <v>MF36016</v>
          </cell>
          <cell r="BA5403">
            <v>0.3</v>
          </cell>
        </row>
        <row r="5404">
          <cell r="C5404" t="str">
            <v>4504 - HAND DRIVN FASTNR (NAILS,SCRW</v>
          </cell>
          <cell r="D5404" t="str">
            <v>MF39561</v>
          </cell>
          <cell r="BA5404">
            <v>0.09</v>
          </cell>
        </row>
        <row r="5405">
          <cell r="C5405" t="str">
            <v>4504 - HAND DRIVN FASTNR (NAILS,SCRW</v>
          </cell>
          <cell r="D5405" t="str">
            <v>MF39562</v>
          </cell>
          <cell r="BA5405">
            <v>0.1</v>
          </cell>
        </row>
        <row r="5406">
          <cell r="C5406" t="str">
            <v>4504 - HAND DRIVN FASTNR (NAILS,SCRW</v>
          </cell>
          <cell r="D5406" t="str">
            <v>MF39563</v>
          </cell>
          <cell r="BA5406">
            <v>0.12</v>
          </cell>
        </row>
        <row r="5407">
          <cell r="C5407" t="str">
            <v>4504 - HAND DRIVN FASTNR (NAILS,SCRW</v>
          </cell>
          <cell r="D5407" t="str">
            <v>MF39564</v>
          </cell>
          <cell r="BA5407">
            <v>0.12</v>
          </cell>
        </row>
        <row r="5408">
          <cell r="C5408" t="str">
            <v>4504 - HAND DRIVN FASTNR (NAILS,SCRW</v>
          </cell>
          <cell r="D5408" t="str">
            <v>MF39565</v>
          </cell>
          <cell r="BA5408">
            <v>0.13</v>
          </cell>
        </row>
        <row r="5409">
          <cell r="C5409" t="str">
            <v>4504 - HAND DRIVN FASTNR (NAILS,SCRW</v>
          </cell>
          <cell r="D5409" t="str">
            <v>MF39566</v>
          </cell>
          <cell r="BA5409">
            <v>0.12</v>
          </cell>
        </row>
        <row r="5410">
          <cell r="C5410" t="str">
            <v>4504 - HAND DRIVN FASTNR (NAILS,SCRW</v>
          </cell>
          <cell r="D5410" t="str">
            <v>MF39567</v>
          </cell>
          <cell r="BA5410">
            <v>0.14000000000000001</v>
          </cell>
        </row>
        <row r="5411">
          <cell r="C5411" t="str">
            <v>4504 - HAND DRIVN FASTNR (NAILS,SCRW</v>
          </cell>
          <cell r="D5411" t="str">
            <v>MF39568</v>
          </cell>
          <cell r="BA5411">
            <v>0.16</v>
          </cell>
        </row>
        <row r="5412">
          <cell r="C5412" t="str">
            <v>4504 - HAND DRIVN FASTNR (NAILS,SCRW</v>
          </cell>
          <cell r="D5412" t="str">
            <v>MF39571</v>
          </cell>
          <cell r="BA5412">
            <v>0.21</v>
          </cell>
        </row>
        <row r="5413">
          <cell r="C5413" t="str">
            <v>4504 - HAND DRIVN FASTNR (NAILS,SCRW</v>
          </cell>
          <cell r="D5413" t="str">
            <v>MF39572</v>
          </cell>
          <cell r="BA5413">
            <v>0.16</v>
          </cell>
        </row>
        <row r="5414">
          <cell r="C5414" t="str">
            <v>4504 - HAND DRIVN FASTNR (NAILS,SCRW</v>
          </cell>
          <cell r="D5414" t="str">
            <v>MF39573</v>
          </cell>
          <cell r="BA5414">
            <v>0.21</v>
          </cell>
        </row>
        <row r="5415">
          <cell r="C5415" t="str">
            <v>4504 - HAND DRIVN FASTNR (NAILS,SCRW</v>
          </cell>
          <cell r="D5415" t="str">
            <v>MF39574</v>
          </cell>
          <cell r="BA5415">
            <v>0.22</v>
          </cell>
        </row>
        <row r="5416">
          <cell r="C5416" t="str">
            <v>4504 - HAND DRIVN FASTNR (NAILS,SCRW</v>
          </cell>
          <cell r="D5416" t="str">
            <v>MF39575</v>
          </cell>
          <cell r="BA5416">
            <v>0.27</v>
          </cell>
        </row>
        <row r="5417">
          <cell r="C5417" t="str">
            <v>4504 - HAND DRIVN FASTNR (NAILS,SCRW</v>
          </cell>
          <cell r="D5417" t="str">
            <v>MF39576</v>
          </cell>
          <cell r="BA5417">
            <v>0.24</v>
          </cell>
        </row>
        <row r="5418">
          <cell r="C5418" t="str">
            <v>4504 - HAND DRIVN FASTNR (NAILS,SCRW</v>
          </cell>
          <cell r="D5418" t="str">
            <v>MF39577</v>
          </cell>
          <cell r="BA5418">
            <v>0.33</v>
          </cell>
        </row>
        <row r="5419">
          <cell r="C5419" t="str">
            <v>4504 - HAND DRIVN FASTNR (NAILS,SCRW</v>
          </cell>
          <cell r="D5419" t="str">
            <v>MF39578</v>
          </cell>
          <cell r="BA5419">
            <v>0.36</v>
          </cell>
        </row>
        <row r="5420">
          <cell r="C5420" t="str">
            <v>4504 - HAND DRIVN FASTNR (NAILS,SCRW</v>
          </cell>
          <cell r="D5420" t="str">
            <v>MF50268EA</v>
          </cell>
          <cell r="BA5420">
            <v>0.13</v>
          </cell>
        </row>
        <row r="5421">
          <cell r="C5421" t="str">
            <v>4504 - HAND DRIVN FASTNR (NAILS,SCRW</v>
          </cell>
          <cell r="D5421" t="str">
            <v>MF50519EA</v>
          </cell>
          <cell r="BA5421">
            <v>0.13</v>
          </cell>
        </row>
        <row r="5422">
          <cell r="C5422" t="str">
            <v>4504 - HAND DRIVN FASTNR (NAILS,SCRW</v>
          </cell>
          <cell r="D5422" t="str">
            <v>MF50521EA</v>
          </cell>
          <cell r="BA5422">
            <v>0.14000000000000001</v>
          </cell>
        </row>
        <row r="5423">
          <cell r="C5423" t="str">
            <v>4504 - HAND DRIVN FASTNR (NAILS,SCRW</v>
          </cell>
          <cell r="D5423" t="str">
            <v>MF50522EA</v>
          </cell>
          <cell r="BA5423">
            <v>0.15</v>
          </cell>
        </row>
        <row r="5424">
          <cell r="C5424" t="str">
            <v>4504 - HAND DRIVN FASTNR (NAILS,SCRW</v>
          </cell>
          <cell r="D5424" t="str">
            <v>MF50523EA</v>
          </cell>
          <cell r="BA5424">
            <v>0.19</v>
          </cell>
        </row>
        <row r="5425">
          <cell r="C5425" t="str">
            <v>4504 - HAND DRIVN FASTNR (NAILS,SCRW</v>
          </cell>
          <cell r="D5425" t="str">
            <v>MF50526EA</v>
          </cell>
          <cell r="BA5425">
            <v>0.36</v>
          </cell>
        </row>
        <row r="5426">
          <cell r="C5426" t="str">
            <v>4504 - HAND DRIVN FASTNR (NAILS,SCRW</v>
          </cell>
          <cell r="D5426" t="str">
            <v>MF50527EA</v>
          </cell>
          <cell r="BA5426">
            <v>0.44</v>
          </cell>
        </row>
        <row r="5427">
          <cell r="C5427" t="str">
            <v>4504 - HAND DRIVN FASTNR (NAILS,SCRW</v>
          </cell>
          <cell r="D5427" t="str">
            <v>MF50528EA</v>
          </cell>
          <cell r="BA5427">
            <v>0.51</v>
          </cell>
        </row>
        <row r="5428">
          <cell r="C5428" t="str">
            <v>4504 - HAND DRIVN FASTNR (NAILS,SCRW</v>
          </cell>
          <cell r="D5428" t="str">
            <v>MF50529EA</v>
          </cell>
          <cell r="BA5428">
            <v>0.55000000000000004</v>
          </cell>
        </row>
        <row r="5429">
          <cell r="C5429" t="str">
            <v>4504 - HAND DRIVN FASTNR (NAILS,SCRW</v>
          </cell>
          <cell r="D5429" t="str">
            <v>MF50531EA</v>
          </cell>
          <cell r="BA5429">
            <v>0.83</v>
          </cell>
        </row>
        <row r="5430">
          <cell r="C5430" t="str">
            <v>4504 - HAND DRIVN FASTNR (NAILS,SCRW</v>
          </cell>
          <cell r="D5430" t="str">
            <v>MF50532EA</v>
          </cell>
          <cell r="BA5430">
            <v>0.96</v>
          </cell>
        </row>
        <row r="5431">
          <cell r="C5431" t="str">
            <v>4504 - HAND DRIVN FASTNR (NAILS,SCRW</v>
          </cell>
          <cell r="D5431" t="str">
            <v>MF50536EA</v>
          </cell>
          <cell r="BA5431">
            <v>0.26</v>
          </cell>
        </row>
        <row r="5432">
          <cell r="C5432" t="str">
            <v>4504 - HAND DRIVN FASTNR (NAILS,SCRW</v>
          </cell>
          <cell r="D5432" t="str">
            <v>MF50537EA</v>
          </cell>
          <cell r="BA5432">
            <v>0.27</v>
          </cell>
        </row>
        <row r="5433">
          <cell r="C5433" t="str">
            <v>4504 - HAND DRIVN FASTNR (NAILS,SCRW</v>
          </cell>
          <cell r="D5433" t="str">
            <v>MF50538EA</v>
          </cell>
          <cell r="BA5433">
            <v>0.31</v>
          </cell>
        </row>
        <row r="5434">
          <cell r="C5434" t="str">
            <v>4504 - HAND DRIVN FASTNR (NAILS,SCRW</v>
          </cell>
          <cell r="D5434" t="str">
            <v>MF50539EA</v>
          </cell>
          <cell r="BA5434">
            <v>0.36</v>
          </cell>
        </row>
        <row r="5435">
          <cell r="C5435" t="str">
            <v>4504 - HAND DRIVN FASTNR (NAILS,SCRW</v>
          </cell>
          <cell r="D5435" t="str">
            <v>MF50540EA</v>
          </cell>
          <cell r="BA5435">
            <v>0.45</v>
          </cell>
        </row>
        <row r="5436">
          <cell r="C5436" t="str">
            <v>4504 - HAND DRIVN FASTNR (NAILS,SCRW</v>
          </cell>
          <cell r="D5436" t="str">
            <v>MF50541EA</v>
          </cell>
          <cell r="BA5436">
            <v>0.57999999999999996</v>
          </cell>
        </row>
        <row r="5437">
          <cell r="C5437" t="str">
            <v>4504 - HAND DRIVN FASTNR (NAILS,SCRW</v>
          </cell>
          <cell r="D5437" t="str">
            <v>MF50542EA</v>
          </cell>
          <cell r="BA5437">
            <v>0.63</v>
          </cell>
        </row>
        <row r="5438">
          <cell r="C5438" t="str">
            <v>4504 - HAND DRIVN FASTNR (NAILS,SCRW</v>
          </cell>
          <cell r="D5438" t="str">
            <v>MF50543EA</v>
          </cell>
          <cell r="BA5438">
            <v>0.74</v>
          </cell>
        </row>
        <row r="5439">
          <cell r="C5439" t="str">
            <v>4504 - HAND DRIVN FASTNR (NAILS,SCRW</v>
          </cell>
          <cell r="D5439" t="str">
            <v>MF50544EA</v>
          </cell>
          <cell r="BA5439">
            <v>0.83</v>
          </cell>
        </row>
        <row r="5440">
          <cell r="C5440" t="str">
            <v>4504 - HAND DRIVN FASTNR (NAILS,SCRW</v>
          </cell>
          <cell r="D5440" t="str">
            <v>MF50545EA</v>
          </cell>
          <cell r="BA5440">
            <v>1.03</v>
          </cell>
        </row>
        <row r="5441">
          <cell r="C5441" t="str">
            <v>4504 - HAND DRIVN FASTNR (NAILS,SCRW</v>
          </cell>
          <cell r="D5441" t="str">
            <v>MF50546EA</v>
          </cell>
          <cell r="BA5441">
            <v>1.17</v>
          </cell>
        </row>
        <row r="5442">
          <cell r="C5442" t="str">
            <v>4504 - HAND DRIVN FASTNR (NAILS,SCRW</v>
          </cell>
          <cell r="D5442" t="str">
            <v>MF50547EA</v>
          </cell>
          <cell r="BA5442">
            <v>1.38</v>
          </cell>
        </row>
        <row r="5443">
          <cell r="C5443" t="str">
            <v>4504 - HAND DRIVN FASTNR (NAILS,SCRW</v>
          </cell>
          <cell r="D5443" t="str">
            <v>MF50551EA</v>
          </cell>
          <cell r="BA5443">
            <v>0.37</v>
          </cell>
        </row>
        <row r="5444">
          <cell r="C5444" t="str">
            <v>4504 - HAND DRIVN FASTNR (NAILS,SCRW</v>
          </cell>
          <cell r="D5444" t="str">
            <v>MF50552EA</v>
          </cell>
          <cell r="BA5444">
            <v>0.4</v>
          </cell>
        </row>
        <row r="5445">
          <cell r="C5445" t="str">
            <v>4504 - HAND DRIVN FASTNR (NAILS,SCRW</v>
          </cell>
          <cell r="D5445" t="str">
            <v>MF50553EA</v>
          </cell>
          <cell r="BA5445">
            <v>0.47</v>
          </cell>
        </row>
        <row r="5446">
          <cell r="C5446" t="str">
            <v>4504 - HAND DRIVN FASTNR (NAILS,SCRW</v>
          </cell>
          <cell r="D5446" t="str">
            <v>MF50554EA</v>
          </cell>
          <cell r="BA5446">
            <v>0.62</v>
          </cell>
        </row>
        <row r="5447">
          <cell r="C5447" t="str">
            <v>4504 - HAND DRIVN FASTNR (NAILS,SCRW</v>
          </cell>
          <cell r="D5447" t="str">
            <v>MF50556EA</v>
          </cell>
          <cell r="BA5447">
            <v>0.74</v>
          </cell>
        </row>
        <row r="5448">
          <cell r="C5448" t="str">
            <v>4504 - HAND DRIVN FASTNR (NAILS,SCRW</v>
          </cell>
          <cell r="D5448" t="str">
            <v>MF50557EA</v>
          </cell>
          <cell r="BA5448">
            <v>0.86</v>
          </cell>
        </row>
        <row r="5449">
          <cell r="C5449" t="str">
            <v>4504 - HAND DRIVN FASTNR (NAILS,SCRW</v>
          </cell>
          <cell r="D5449" t="str">
            <v>MF50558EA</v>
          </cell>
          <cell r="BA5449">
            <v>1.03</v>
          </cell>
        </row>
        <row r="5450">
          <cell r="C5450" t="str">
            <v>4504 - HAND DRIVN FASTNR (NAILS,SCRW</v>
          </cell>
          <cell r="D5450" t="str">
            <v>MF50559EA</v>
          </cell>
          <cell r="BA5450">
            <v>1.19</v>
          </cell>
        </row>
        <row r="5451">
          <cell r="C5451" t="str">
            <v>4504 - HAND DRIVN FASTNR (NAILS,SCRW</v>
          </cell>
          <cell r="D5451" t="str">
            <v>MF50560EA</v>
          </cell>
          <cell r="BA5451">
            <v>1.41</v>
          </cell>
        </row>
        <row r="5452">
          <cell r="C5452" t="str">
            <v>4504 - HAND DRIVN FASTNR (NAILS,SCRW</v>
          </cell>
          <cell r="D5452" t="str">
            <v>MF50561EA</v>
          </cell>
          <cell r="BA5452">
            <v>1.63</v>
          </cell>
        </row>
        <row r="5453">
          <cell r="C5453" t="str">
            <v>4504 - HAND DRIVN FASTNR (NAILS,SCRW</v>
          </cell>
          <cell r="D5453" t="str">
            <v>MF50563EA</v>
          </cell>
          <cell r="BA5453">
            <v>0.64</v>
          </cell>
        </row>
        <row r="5454">
          <cell r="C5454" t="str">
            <v>4504 - HAND DRIVN FASTNR (NAILS,SCRW</v>
          </cell>
          <cell r="D5454" t="str">
            <v>MF50564EA</v>
          </cell>
          <cell r="BA5454">
            <v>0.72</v>
          </cell>
        </row>
        <row r="5455">
          <cell r="C5455" t="str">
            <v>4504 - HAND DRIVN FASTNR (NAILS,SCRW</v>
          </cell>
          <cell r="D5455" t="str">
            <v>MF50566EA</v>
          </cell>
          <cell r="BA5455">
            <v>0.88</v>
          </cell>
        </row>
        <row r="5456">
          <cell r="C5456" t="str">
            <v>4504 - HAND DRIVN FASTNR (NAILS,SCRW</v>
          </cell>
          <cell r="D5456" t="str">
            <v>MF50567EA</v>
          </cell>
          <cell r="BA5456">
            <v>1.08</v>
          </cell>
        </row>
        <row r="5457">
          <cell r="C5457" t="str">
            <v>4504 - HAND DRIVN FASTNR (NAILS,SCRW</v>
          </cell>
          <cell r="D5457" t="str">
            <v>MF50568EA</v>
          </cell>
          <cell r="BA5457">
            <v>1.24</v>
          </cell>
        </row>
        <row r="5458">
          <cell r="C5458" t="str">
            <v>4504 - HAND DRIVN FASTNR (NAILS,SCRW</v>
          </cell>
          <cell r="D5458" t="str">
            <v>MF50569EA</v>
          </cell>
          <cell r="BA5458">
            <v>1.49</v>
          </cell>
        </row>
        <row r="5459">
          <cell r="C5459" t="str">
            <v>4504 - HAND DRIVN FASTNR (NAILS,SCRW</v>
          </cell>
          <cell r="D5459" t="str">
            <v>MF50570EA</v>
          </cell>
          <cell r="BA5459">
            <v>1.86</v>
          </cell>
        </row>
        <row r="5460">
          <cell r="C5460" t="str">
            <v>4504 - HAND DRIVN FASTNR (NAILS,SCRW</v>
          </cell>
          <cell r="D5460" t="str">
            <v>MF50571EA</v>
          </cell>
          <cell r="BA5460">
            <v>2.0499999999999998</v>
          </cell>
        </row>
        <row r="5461">
          <cell r="C5461" t="str">
            <v>4504 - HAND DRIVN FASTNR (NAILS,SCRW</v>
          </cell>
          <cell r="D5461" t="str">
            <v>MF50572EA</v>
          </cell>
          <cell r="BA5461">
            <v>2.67</v>
          </cell>
        </row>
        <row r="5462">
          <cell r="C5462" t="str">
            <v>4504 - HAND DRIVN FASTNR (NAILS,SCRW</v>
          </cell>
          <cell r="D5462" t="str">
            <v>MF50573EA</v>
          </cell>
          <cell r="BA5462">
            <v>3.03</v>
          </cell>
        </row>
        <row r="5463">
          <cell r="C5463" t="str">
            <v>4504 - HAND DRIVN FASTNR (NAILS,SCRW</v>
          </cell>
          <cell r="D5463" t="str">
            <v>MF50574EA</v>
          </cell>
          <cell r="BA5463">
            <v>3.35</v>
          </cell>
        </row>
        <row r="5464">
          <cell r="C5464" t="str">
            <v>4504 - HAND DRIVN FASTNR (NAILS,SCRW</v>
          </cell>
          <cell r="D5464" t="str">
            <v>MF50580EA</v>
          </cell>
          <cell r="BA5464">
            <v>3.04</v>
          </cell>
        </row>
        <row r="5465">
          <cell r="C5465" t="str">
            <v>4504 - HAND DRIVN FASTNR (NAILS,SCRW</v>
          </cell>
          <cell r="D5465" t="str">
            <v>MF50581EA</v>
          </cell>
          <cell r="BA5465">
            <v>3.33</v>
          </cell>
        </row>
        <row r="5466">
          <cell r="C5466" t="str">
            <v>4504 - HAND DRIVN FASTNR (NAILS,SCRW</v>
          </cell>
          <cell r="D5466" t="str">
            <v>MF50583EA</v>
          </cell>
          <cell r="BA5466">
            <v>4.26</v>
          </cell>
        </row>
        <row r="5467">
          <cell r="C5467" t="str">
            <v>4504 - HAND DRIVN FASTNR (NAILS,SCRW</v>
          </cell>
          <cell r="D5467" t="str">
            <v>MF50585EA</v>
          </cell>
          <cell r="BA5467">
            <v>5.05</v>
          </cell>
        </row>
        <row r="5468">
          <cell r="C5468" t="str">
            <v>4504 - HAND DRIVN FASTNR (NAILS,SCRW</v>
          </cell>
          <cell r="D5468" t="str">
            <v>MF50625EA</v>
          </cell>
          <cell r="BA5468">
            <v>0.31</v>
          </cell>
        </row>
        <row r="5469">
          <cell r="C5469" t="str">
            <v>4504 - HAND DRIVN FASTNR (NAILS,SCRW</v>
          </cell>
          <cell r="D5469" t="str">
            <v>MF50627EA</v>
          </cell>
          <cell r="BA5469">
            <v>0.37</v>
          </cell>
        </row>
        <row r="5470">
          <cell r="C5470" t="str">
            <v>4504 - HAND DRIVN FASTNR (NAILS,SCRW</v>
          </cell>
          <cell r="D5470" t="str">
            <v>MF50628EA</v>
          </cell>
          <cell r="BA5470">
            <v>0.42</v>
          </cell>
        </row>
        <row r="5471">
          <cell r="C5471" t="str">
            <v>4504 - HAND DRIVN FASTNR (NAILS,SCRW</v>
          </cell>
          <cell r="D5471" t="str">
            <v>MF50629EA</v>
          </cell>
          <cell r="BA5471">
            <v>0.47</v>
          </cell>
        </row>
        <row r="5472">
          <cell r="C5472" t="str">
            <v>4504 - HAND DRIVN FASTNR (NAILS,SCRW</v>
          </cell>
          <cell r="D5472" t="str">
            <v>MF50630EA</v>
          </cell>
          <cell r="BA5472">
            <v>0.56000000000000005</v>
          </cell>
        </row>
        <row r="5473">
          <cell r="C5473" t="str">
            <v>4504 - HAND DRIVN FASTNR (NAILS,SCRW</v>
          </cell>
          <cell r="D5473" t="str">
            <v>MF50631EA</v>
          </cell>
          <cell r="BA5473">
            <v>0.65</v>
          </cell>
        </row>
        <row r="5474">
          <cell r="C5474" t="str">
            <v>4504 - HAND DRIVN FASTNR (NAILS,SCRW</v>
          </cell>
          <cell r="D5474" t="str">
            <v>MF50632EA</v>
          </cell>
          <cell r="BA5474">
            <v>0.73</v>
          </cell>
        </row>
        <row r="5475">
          <cell r="C5475" t="str">
            <v>4504 - HAND DRIVN FASTNR (NAILS,SCRW</v>
          </cell>
          <cell r="D5475" t="str">
            <v>MF50634EA</v>
          </cell>
          <cell r="BA5475">
            <v>0.38</v>
          </cell>
        </row>
        <row r="5476">
          <cell r="C5476" t="str">
            <v>4504 - HAND DRIVN FASTNR (NAILS,SCRW</v>
          </cell>
          <cell r="D5476" t="str">
            <v>MF50635EA</v>
          </cell>
          <cell r="BA5476">
            <v>0.54</v>
          </cell>
        </row>
        <row r="5477">
          <cell r="C5477" t="str">
            <v>4504 - HAND DRIVN FASTNR (NAILS,SCRW</v>
          </cell>
          <cell r="D5477" t="str">
            <v>MF50636EA</v>
          </cell>
          <cell r="BA5477">
            <v>0.62</v>
          </cell>
        </row>
        <row r="5478">
          <cell r="C5478" t="str">
            <v>4504 - HAND DRIVN FASTNR (NAILS,SCRW</v>
          </cell>
          <cell r="D5478" t="str">
            <v>MF50637EA</v>
          </cell>
          <cell r="BA5478">
            <v>0.71</v>
          </cell>
        </row>
        <row r="5479">
          <cell r="C5479" t="str">
            <v>4504 - HAND DRIVN FASTNR (NAILS,SCRW</v>
          </cell>
          <cell r="D5479" t="str">
            <v>MF50638EA</v>
          </cell>
          <cell r="BA5479">
            <v>0.79</v>
          </cell>
        </row>
        <row r="5480">
          <cell r="C5480" t="str">
            <v>4504 - HAND DRIVN FASTNR (NAILS,SCRW</v>
          </cell>
          <cell r="D5480" t="str">
            <v>MF50639EA</v>
          </cell>
          <cell r="BA5480">
            <v>1</v>
          </cell>
        </row>
        <row r="5481">
          <cell r="C5481" t="str">
            <v>4504 - HAND DRIVN FASTNR (NAILS,SCRW</v>
          </cell>
          <cell r="D5481" t="str">
            <v>MF50640EA</v>
          </cell>
          <cell r="BA5481">
            <v>1.44</v>
          </cell>
        </row>
        <row r="5482">
          <cell r="C5482" t="str">
            <v>4504 - HAND DRIVN FASTNR (NAILS,SCRW</v>
          </cell>
          <cell r="D5482" t="str">
            <v>MF50641EA</v>
          </cell>
          <cell r="BA5482">
            <v>0.73</v>
          </cell>
        </row>
        <row r="5483">
          <cell r="C5483" t="str">
            <v>4504 - HAND DRIVN FASTNR (NAILS,SCRW</v>
          </cell>
          <cell r="D5483" t="str">
            <v>MF50642EA</v>
          </cell>
          <cell r="BA5483">
            <v>0.86</v>
          </cell>
        </row>
        <row r="5484">
          <cell r="C5484" t="str">
            <v>4504 - HAND DRIVN FASTNR (NAILS,SCRW</v>
          </cell>
          <cell r="D5484" t="str">
            <v>MF50643EA</v>
          </cell>
          <cell r="BA5484">
            <v>1.06</v>
          </cell>
        </row>
        <row r="5485">
          <cell r="C5485" t="str">
            <v>4504 - HAND DRIVN FASTNR (NAILS,SCRW</v>
          </cell>
          <cell r="D5485" t="str">
            <v>MF50644EA</v>
          </cell>
          <cell r="BA5485">
            <v>1.26</v>
          </cell>
        </row>
        <row r="5486">
          <cell r="C5486" t="str">
            <v>4504 - HAND DRIVN FASTNR (NAILS,SCRW</v>
          </cell>
          <cell r="D5486" t="str">
            <v>MF50646EA</v>
          </cell>
          <cell r="BA5486">
            <v>1.63</v>
          </cell>
        </row>
        <row r="5487">
          <cell r="C5487" t="str">
            <v>4504 - HAND DRIVN FASTNR (NAILS,SCRW</v>
          </cell>
          <cell r="D5487" t="str">
            <v>MF50647EA</v>
          </cell>
          <cell r="BA5487">
            <v>2.0099999999999998</v>
          </cell>
        </row>
        <row r="5488">
          <cell r="C5488" t="str">
            <v>4504 - HAND DRIVN FASTNR (NAILS,SCRW</v>
          </cell>
          <cell r="D5488" t="str">
            <v>MF50648EA</v>
          </cell>
          <cell r="BA5488">
            <v>2.17</v>
          </cell>
        </row>
        <row r="5489">
          <cell r="C5489" t="str">
            <v>4504 - HAND DRIVN FASTNR (NAILS,SCRW</v>
          </cell>
          <cell r="D5489" t="str">
            <v>MF50649EA</v>
          </cell>
          <cell r="BA5489">
            <v>1.53</v>
          </cell>
        </row>
        <row r="5490">
          <cell r="C5490" t="str">
            <v>4504 - HAND DRIVN FASTNR (NAILS,SCRW</v>
          </cell>
          <cell r="D5490" t="str">
            <v>MF50650EA</v>
          </cell>
          <cell r="BA5490">
            <v>1.77</v>
          </cell>
        </row>
        <row r="5491">
          <cell r="C5491" t="str">
            <v>4504 - HAND DRIVN FASTNR (NAILS,SCRW</v>
          </cell>
          <cell r="D5491" t="str">
            <v>MF50651EA</v>
          </cell>
          <cell r="BA5491">
            <v>2.2799999999999998</v>
          </cell>
        </row>
        <row r="5492">
          <cell r="C5492" t="str">
            <v>4504 - HAND DRIVN FASTNR (NAILS,SCRW</v>
          </cell>
          <cell r="D5492" t="str">
            <v>MF50652EA</v>
          </cell>
          <cell r="BA5492">
            <v>2.71</v>
          </cell>
        </row>
        <row r="5493">
          <cell r="C5493" t="str">
            <v>4504 - HAND DRIVN FASTNR (NAILS,SCRW</v>
          </cell>
          <cell r="D5493" t="str">
            <v>MF50653EA</v>
          </cell>
          <cell r="BA5493">
            <v>2.92</v>
          </cell>
        </row>
        <row r="5494">
          <cell r="C5494" t="str">
            <v>4504 - HAND DRIVN FASTNR (NAILS,SCRW</v>
          </cell>
          <cell r="D5494" t="str">
            <v>MF50654EA</v>
          </cell>
          <cell r="BA5494">
            <v>3.62</v>
          </cell>
        </row>
        <row r="5495">
          <cell r="C5495" t="str">
            <v>4504 - HAND DRIVN FASTNR (NAILS,SCRW</v>
          </cell>
          <cell r="D5495" t="str">
            <v>MF50655EA</v>
          </cell>
          <cell r="BA5495">
            <v>4.4400000000000004</v>
          </cell>
        </row>
        <row r="5496">
          <cell r="C5496" t="str">
            <v>4504 - HAND DRIVN FASTNR (NAILS,SCRW</v>
          </cell>
          <cell r="D5496" t="str">
            <v>MF50744</v>
          </cell>
          <cell r="BA5496">
            <v>7.74</v>
          </cell>
        </row>
        <row r="5497">
          <cell r="C5497" t="str">
            <v>4504 - HAND DRIVN FASTNR (NAILS,SCRW</v>
          </cell>
          <cell r="D5497" t="str">
            <v>MF50753</v>
          </cell>
          <cell r="BA5497">
            <v>30.45</v>
          </cell>
        </row>
        <row r="5498">
          <cell r="C5498" t="str">
            <v>4504 - HAND DRIVN FASTNR (NAILS,SCRW</v>
          </cell>
          <cell r="D5498" t="str">
            <v>MF50840EA</v>
          </cell>
          <cell r="BA5498">
            <v>0.03</v>
          </cell>
        </row>
        <row r="5499">
          <cell r="C5499" t="str">
            <v>4504 - HAND DRIVN FASTNR (NAILS,SCRW</v>
          </cell>
          <cell r="D5499" t="str">
            <v>MF50841EA</v>
          </cell>
          <cell r="BA5499">
            <v>0.03</v>
          </cell>
        </row>
        <row r="5500">
          <cell r="C5500" t="str">
            <v>4504 - HAND DRIVN FASTNR (NAILS,SCRW</v>
          </cell>
          <cell r="D5500" t="str">
            <v>MF50846EA</v>
          </cell>
          <cell r="BA5500">
            <v>0.24</v>
          </cell>
        </row>
        <row r="5501">
          <cell r="C5501" t="str">
            <v>4504 - HAND DRIVN FASTNR (NAILS,SCRW</v>
          </cell>
          <cell r="D5501" t="str">
            <v>MF50850EA</v>
          </cell>
          <cell r="BA5501">
            <v>0.28999999999999998</v>
          </cell>
        </row>
        <row r="5502">
          <cell r="C5502" t="str">
            <v>4504 - HAND DRIVN FASTNR (NAILS,SCRW</v>
          </cell>
          <cell r="D5502" t="str">
            <v>MF50863EA</v>
          </cell>
          <cell r="BA5502">
            <v>0.06</v>
          </cell>
        </row>
        <row r="5503">
          <cell r="C5503" t="str">
            <v>4504 - HAND DRIVN FASTNR (NAILS,SCRW</v>
          </cell>
          <cell r="D5503" t="str">
            <v>MF50864EA</v>
          </cell>
          <cell r="BA5503">
            <v>0.06</v>
          </cell>
        </row>
        <row r="5504">
          <cell r="C5504" t="str">
            <v>4504 - HAND DRIVN FASTNR (NAILS,SCRW</v>
          </cell>
          <cell r="D5504" t="str">
            <v>MF50867EA</v>
          </cell>
          <cell r="BA5504">
            <v>0.04</v>
          </cell>
        </row>
        <row r="5505">
          <cell r="C5505" t="str">
            <v>4504 - HAND DRIVN FASTNR (NAILS,SCRW</v>
          </cell>
          <cell r="D5505" t="str">
            <v>MF50869EA</v>
          </cell>
          <cell r="BA5505">
            <v>0.05</v>
          </cell>
        </row>
        <row r="5506">
          <cell r="C5506" t="str">
            <v>4504 - HAND DRIVN FASTNR (NAILS,SCRW</v>
          </cell>
          <cell r="D5506" t="str">
            <v>MF50870EA</v>
          </cell>
          <cell r="BA5506">
            <v>0.08</v>
          </cell>
        </row>
        <row r="5507">
          <cell r="C5507" t="str">
            <v>4504 - HAND DRIVN FASTNR (NAILS,SCRW</v>
          </cell>
          <cell r="D5507" t="str">
            <v>MF50874EA</v>
          </cell>
          <cell r="BA5507">
            <v>0.09</v>
          </cell>
        </row>
        <row r="5508">
          <cell r="C5508" t="str">
            <v>4504 - HAND DRIVN FASTNR (NAILS,SCRW</v>
          </cell>
          <cell r="D5508" t="str">
            <v>MF50880EA</v>
          </cell>
          <cell r="BA5508">
            <v>0.13</v>
          </cell>
        </row>
        <row r="5509">
          <cell r="C5509" t="str">
            <v>4504 - HAND DRIVN FASTNR (NAILS,SCRW</v>
          </cell>
          <cell r="D5509" t="str">
            <v>MF50885EA</v>
          </cell>
          <cell r="BA5509">
            <v>0.05</v>
          </cell>
        </row>
        <row r="5510">
          <cell r="C5510" t="str">
            <v>4504 - HAND DRIVN FASTNR (NAILS,SCRW</v>
          </cell>
          <cell r="D5510" t="str">
            <v>MF51164</v>
          </cell>
          <cell r="BA5510">
            <v>8.99</v>
          </cell>
        </row>
        <row r="5511">
          <cell r="C5511" t="str">
            <v>4504 - HAND DRIVN FASTNR (NAILS,SCRW</v>
          </cell>
          <cell r="D5511" t="str">
            <v>MF51167</v>
          </cell>
          <cell r="BA5511">
            <v>8.99</v>
          </cell>
        </row>
        <row r="5512">
          <cell r="C5512" t="str">
            <v>4504 - HAND DRIVN FASTNR (NAILS,SCRW</v>
          </cell>
          <cell r="D5512" t="str">
            <v>MF51178</v>
          </cell>
          <cell r="BA5512">
            <v>7.61</v>
          </cell>
        </row>
        <row r="5513">
          <cell r="C5513" t="str">
            <v>4504 - HAND DRIVN FASTNR (NAILS,SCRW</v>
          </cell>
          <cell r="D5513" t="str">
            <v>MF51179</v>
          </cell>
          <cell r="BA5513">
            <v>7.95</v>
          </cell>
        </row>
        <row r="5514">
          <cell r="C5514" t="str">
            <v>4504 - HAND DRIVN FASTNR (NAILS,SCRW</v>
          </cell>
          <cell r="D5514" t="str">
            <v>MF51206EA</v>
          </cell>
          <cell r="BA5514">
            <v>0.15</v>
          </cell>
        </row>
        <row r="5515">
          <cell r="C5515" t="str">
            <v>4504 - HAND DRIVN FASTNR (NAILS,SCRW</v>
          </cell>
          <cell r="D5515" t="str">
            <v>MF51207EA</v>
          </cell>
          <cell r="BA5515">
            <v>0.17</v>
          </cell>
        </row>
        <row r="5516">
          <cell r="C5516" t="str">
            <v>4504 - HAND DRIVN FASTNR (NAILS,SCRW</v>
          </cell>
          <cell r="D5516" t="str">
            <v>MF51208EA</v>
          </cell>
          <cell r="BA5516">
            <v>0.19</v>
          </cell>
        </row>
        <row r="5517">
          <cell r="C5517" t="str">
            <v>4504 - HAND DRIVN FASTNR (NAILS,SCRW</v>
          </cell>
          <cell r="D5517" t="str">
            <v>MF51209EA</v>
          </cell>
          <cell r="BA5517">
            <v>0.19</v>
          </cell>
        </row>
        <row r="5518">
          <cell r="C5518" t="str">
            <v>4504 - HAND DRIVN FASTNR (NAILS,SCRW</v>
          </cell>
          <cell r="D5518" t="str">
            <v>MF51210EA</v>
          </cell>
          <cell r="BA5518">
            <v>0.24</v>
          </cell>
        </row>
        <row r="5519">
          <cell r="C5519" t="str">
            <v>4504 - HAND DRIVN FASTNR (NAILS,SCRW</v>
          </cell>
          <cell r="D5519" t="str">
            <v>MF51211EA</v>
          </cell>
          <cell r="BA5519">
            <v>0.33</v>
          </cell>
        </row>
        <row r="5520">
          <cell r="C5520" t="str">
            <v>4504 - HAND DRIVN FASTNR (NAILS,SCRW</v>
          </cell>
          <cell r="D5520" t="str">
            <v>MF51212EA</v>
          </cell>
          <cell r="BA5520">
            <v>0.18</v>
          </cell>
        </row>
        <row r="5521">
          <cell r="C5521" t="str">
            <v>4504 - HAND DRIVN FASTNR (NAILS,SCRW</v>
          </cell>
          <cell r="D5521" t="str">
            <v>MF51213EA</v>
          </cell>
          <cell r="BA5521">
            <v>0.23</v>
          </cell>
        </row>
        <row r="5522">
          <cell r="C5522" t="str">
            <v>4504 - HAND DRIVN FASTNR (NAILS,SCRW</v>
          </cell>
          <cell r="D5522" t="str">
            <v>MF51214EA</v>
          </cell>
          <cell r="BA5522">
            <v>0.23</v>
          </cell>
        </row>
        <row r="5523">
          <cell r="C5523" t="str">
            <v>4504 - HAND DRIVN FASTNR (NAILS,SCRW</v>
          </cell>
          <cell r="D5523" t="str">
            <v>MF51215EA</v>
          </cell>
          <cell r="BA5523">
            <v>0.28999999999999998</v>
          </cell>
        </row>
        <row r="5524">
          <cell r="C5524" t="str">
            <v>4504 - HAND DRIVN FASTNR (NAILS,SCRW</v>
          </cell>
          <cell r="D5524" t="str">
            <v>MF51216EA</v>
          </cell>
          <cell r="BA5524">
            <v>0.37</v>
          </cell>
        </row>
        <row r="5525">
          <cell r="C5525" t="str">
            <v>4504 - HAND DRIVN FASTNR (NAILS,SCRW</v>
          </cell>
          <cell r="D5525" t="str">
            <v>MF51217EA</v>
          </cell>
          <cell r="BA5525">
            <v>0.4</v>
          </cell>
        </row>
        <row r="5526">
          <cell r="C5526" t="str">
            <v>4504 - HAND DRIVN FASTNR (NAILS,SCRW</v>
          </cell>
          <cell r="D5526" t="str">
            <v>MF51218EA</v>
          </cell>
          <cell r="BA5526">
            <v>0.37</v>
          </cell>
        </row>
        <row r="5527">
          <cell r="C5527" t="str">
            <v>4504 - HAND DRIVN FASTNR (NAILS,SCRW</v>
          </cell>
          <cell r="D5527" t="str">
            <v>MF51219EA</v>
          </cell>
          <cell r="BA5527">
            <v>0.42</v>
          </cell>
        </row>
        <row r="5528">
          <cell r="C5528" t="str">
            <v>4504 - HAND DRIVN FASTNR (NAILS,SCRW</v>
          </cell>
          <cell r="D5528" t="str">
            <v>MF51220EA</v>
          </cell>
          <cell r="BA5528">
            <v>0.59</v>
          </cell>
        </row>
        <row r="5529">
          <cell r="C5529" t="str">
            <v>4504 - HAND DRIVN FASTNR (NAILS,SCRW</v>
          </cell>
          <cell r="D5529" t="str">
            <v>MF51221EA</v>
          </cell>
          <cell r="BA5529">
            <v>0.14000000000000001</v>
          </cell>
        </row>
        <row r="5530">
          <cell r="C5530" t="str">
            <v>4504 - HAND DRIVN FASTNR (NAILS,SCRW</v>
          </cell>
          <cell r="D5530" t="str">
            <v>MF51222EA</v>
          </cell>
          <cell r="BA5530">
            <v>0.15</v>
          </cell>
        </row>
        <row r="5531">
          <cell r="C5531" t="str">
            <v>4504 - HAND DRIVN FASTNR (NAILS,SCRW</v>
          </cell>
          <cell r="D5531" t="str">
            <v>MF51223EA</v>
          </cell>
          <cell r="BA5531">
            <v>0.19</v>
          </cell>
        </row>
        <row r="5532">
          <cell r="C5532" t="str">
            <v>4504 - HAND DRIVN FASTNR (NAILS,SCRW</v>
          </cell>
          <cell r="D5532" t="str">
            <v>MF51224EA</v>
          </cell>
          <cell r="BA5532">
            <v>0.19</v>
          </cell>
        </row>
        <row r="5533">
          <cell r="C5533" t="str">
            <v>4504 - HAND DRIVN FASTNR (NAILS,SCRW</v>
          </cell>
          <cell r="D5533" t="str">
            <v>MF51225EA</v>
          </cell>
          <cell r="BA5533">
            <v>0.27</v>
          </cell>
        </row>
        <row r="5534">
          <cell r="C5534" t="str">
            <v>4504 - HAND DRIVN FASTNR (NAILS,SCRW</v>
          </cell>
          <cell r="D5534" t="str">
            <v>MF51226EA</v>
          </cell>
          <cell r="BA5534">
            <v>0.28999999999999998</v>
          </cell>
        </row>
        <row r="5535">
          <cell r="C5535" t="str">
            <v>4504 - HAND DRIVN FASTNR (NAILS,SCRW</v>
          </cell>
          <cell r="D5535" t="str">
            <v>MF51227EA</v>
          </cell>
          <cell r="BA5535">
            <v>0.18</v>
          </cell>
        </row>
        <row r="5536">
          <cell r="C5536" t="str">
            <v>4504 - HAND DRIVN FASTNR (NAILS,SCRW</v>
          </cell>
          <cell r="D5536" t="str">
            <v>MF51228EA</v>
          </cell>
          <cell r="BA5536">
            <v>0.21</v>
          </cell>
        </row>
        <row r="5537">
          <cell r="C5537" t="str">
            <v>4504 - HAND DRIVN FASTNR (NAILS,SCRW</v>
          </cell>
          <cell r="D5537" t="str">
            <v>MF51229EA</v>
          </cell>
          <cell r="BA5537">
            <v>0.27</v>
          </cell>
        </row>
        <row r="5538">
          <cell r="C5538" t="str">
            <v>4504 - HAND DRIVN FASTNR (NAILS,SCRW</v>
          </cell>
          <cell r="D5538" t="str">
            <v>MF51230EA</v>
          </cell>
          <cell r="BA5538">
            <v>0.28999999999999998</v>
          </cell>
        </row>
        <row r="5539">
          <cell r="C5539" t="str">
            <v>4504 - HAND DRIVN FASTNR (NAILS,SCRW</v>
          </cell>
          <cell r="D5539" t="str">
            <v>MF51231EA</v>
          </cell>
          <cell r="BA5539">
            <v>0.33</v>
          </cell>
        </row>
        <row r="5540">
          <cell r="C5540" t="str">
            <v>4504 - HAND DRIVN FASTNR (NAILS,SCRW</v>
          </cell>
          <cell r="D5540" t="str">
            <v>MF51232EA</v>
          </cell>
          <cell r="BA5540">
            <v>0.4</v>
          </cell>
        </row>
        <row r="5541">
          <cell r="C5541" t="str">
            <v>4504 - HAND DRIVN FASTNR (NAILS,SCRW</v>
          </cell>
          <cell r="D5541" t="str">
            <v>MF51233EA</v>
          </cell>
          <cell r="BA5541">
            <v>0.33</v>
          </cell>
        </row>
        <row r="5542">
          <cell r="C5542" t="str">
            <v>4504 - HAND DRIVN FASTNR (NAILS,SCRW</v>
          </cell>
          <cell r="D5542" t="str">
            <v>MF51234EA</v>
          </cell>
          <cell r="BA5542">
            <v>0.42</v>
          </cell>
        </row>
        <row r="5543">
          <cell r="C5543" t="str">
            <v>4504 - HAND DRIVN FASTNR (NAILS,SCRW</v>
          </cell>
          <cell r="D5543" t="str">
            <v>MF51235EA</v>
          </cell>
          <cell r="BA5543">
            <v>0.53</v>
          </cell>
        </row>
        <row r="5544">
          <cell r="C5544" t="str">
            <v>4504 - HAND DRIVN FASTNR (NAILS,SCRW</v>
          </cell>
          <cell r="D5544" t="str">
            <v>MF51242</v>
          </cell>
          <cell r="BA5544">
            <v>7.6</v>
          </cell>
        </row>
        <row r="5545">
          <cell r="C5545" t="str">
            <v>4504 - HAND DRIVN FASTNR (NAILS,SCRW</v>
          </cell>
          <cell r="D5545" t="str">
            <v>MF51242EA</v>
          </cell>
          <cell r="BA5545">
            <v>0.14000000000000001</v>
          </cell>
        </row>
        <row r="5546">
          <cell r="C5546" t="str">
            <v>4504 - HAND DRIVN FASTNR (NAILS,SCRW</v>
          </cell>
          <cell r="D5546" t="str">
            <v>MF51243</v>
          </cell>
          <cell r="BA5546">
            <v>7.6</v>
          </cell>
        </row>
        <row r="5547">
          <cell r="C5547" t="str">
            <v>4504 - HAND DRIVN FASTNR (NAILS,SCRW</v>
          </cell>
          <cell r="D5547" t="str">
            <v>MF51243EA</v>
          </cell>
          <cell r="BA5547">
            <v>0.14000000000000001</v>
          </cell>
        </row>
        <row r="5548">
          <cell r="C5548" t="str">
            <v>4504 - HAND DRIVN FASTNR (NAILS,SCRW</v>
          </cell>
          <cell r="D5548" t="str">
            <v>MF51889EA</v>
          </cell>
          <cell r="BA5548">
            <v>1.01</v>
          </cell>
        </row>
        <row r="5549">
          <cell r="C5549" t="str">
            <v>4504 - HAND DRIVN FASTNR (NAILS,SCRW</v>
          </cell>
          <cell r="D5549" t="str">
            <v>MF51890EA</v>
          </cell>
          <cell r="BA5549">
            <v>1.23</v>
          </cell>
        </row>
        <row r="5550">
          <cell r="C5550" t="str">
            <v>4504 - HAND DRIVN FASTNR (NAILS,SCRW</v>
          </cell>
          <cell r="D5550" t="str">
            <v>MF51891EA</v>
          </cell>
          <cell r="BA5550">
            <v>1.56</v>
          </cell>
        </row>
        <row r="5551">
          <cell r="C5551" t="str">
            <v>4504 - HAND DRIVN FASTNR (NAILS,SCRW</v>
          </cell>
          <cell r="D5551" t="str">
            <v>MF51892EA</v>
          </cell>
          <cell r="BA5551">
            <v>1.74</v>
          </cell>
        </row>
        <row r="5552">
          <cell r="C5552" t="str">
            <v>4504 - HAND DRIVN FASTNR (NAILS,SCRW</v>
          </cell>
          <cell r="D5552" t="str">
            <v>MF51895EA</v>
          </cell>
          <cell r="BA5552">
            <v>3.27</v>
          </cell>
        </row>
        <row r="5553">
          <cell r="C5553" t="str">
            <v>4504 - HAND DRIVN FASTNR (NAILS,SCRW</v>
          </cell>
          <cell r="D5553" t="str">
            <v>MF51931EA</v>
          </cell>
          <cell r="BA5553">
            <v>0.77</v>
          </cell>
        </row>
        <row r="5554">
          <cell r="C5554" t="str">
            <v>4504 - HAND DRIVN FASTNR (NAILS,SCRW</v>
          </cell>
          <cell r="D5554" t="str">
            <v>MF51950EA</v>
          </cell>
          <cell r="BA5554">
            <v>0.12</v>
          </cell>
        </row>
        <row r="5555">
          <cell r="C5555" t="str">
            <v>4504 - HAND DRIVN FASTNR (NAILS,SCRW</v>
          </cell>
          <cell r="D5555" t="str">
            <v>MF51951EA</v>
          </cell>
          <cell r="BA5555">
            <v>0.18</v>
          </cell>
        </row>
        <row r="5556">
          <cell r="C5556" t="str">
            <v>4504 - HAND DRIVN FASTNR (NAILS,SCRW</v>
          </cell>
          <cell r="D5556" t="str">
            <v>MF51957EA</v>
          </cell>
          <cell r="BA5556">
            <v>0.77</v>
          </cell>
        </row>
        <row r="5557">
          <cell r="C5557" t="str">
            <v>4504 - HAND DRIVN FASTNR (NAILS,SCRW</v>
          </cell>
          <cell r="D5557" t="str">
            <v>MF51959EA</v>
          </cell>
          <cell r="BA5557">
            <v>0.76</v>
          </cell>
        </row>
        <row r="5558">
          <cell r="C5558" t="str">
            <v>4504 - HAND DRIVN FASTNR (NAILS,SCRW</v>
          </cell>
          <cell r="D5558" t="str">
            <v>MF51960EA</v>
          </cell>
          <cell r="BA5558">
            <v>0.87</v>
          </cell>
        </row>
        <row r="5559">
          <cell r="C5559" t="str">
            <v>4504 - HAND DRIVN FASTNR (NAILS,SCRW</v>
          </cell>
          <cell r="D5559" t="str">
            <v>MF51961EA</v>
          </cell>
          <cell r="BA5559">
            <v>1.22</v>
          </cell>
        </row>
        <row r="5560">
          <cell r="C5560" t="str">
            <v>4504 - HAND DRIVN FASTNR (NAILS,SCRW</v>
          </cell>
          <cell r="D5560" t="str">
            <v>MF51971EA</v>
          </cell>
          <cell r="BA5560">
            <v>0.32</v>
          </cell>
        </row>
        <row r="5561">
          <cell r="C5561" t="str">
            <v>4504 - HAND DRIVN FASTNR (NAILS,SCRW</v>
          </cell>
          <cell r="D5561" t="str">
            <v>MF51972EA</v>
          </cell>
          <cell r="BA5561">
            <v>0.47</v>
          </cell>
        </row>
        <row r="5562">
          <cell r="C5562" t="str">
            <v>4504 - HAND DRIVN FASTNR (NAILS,SCRW</v>
          </cell>
          <cell r="D5562" t="str">
            <v>MF51973EA</v>
          </cell>
          <cell r="BA5562">
            <v>0.64</v>
          </cell>
        </row>
        <row r="5563">
          <cell r="C5563" t="str">
            <v>4504 - HAND DRIVN FASTNR (NAILS,SCRW</v>
          </cell>
          <cell r="D5563" t="str">
            <v>MF51974EA</v>
          </cell>
          <cell r="BA5563">
            <v>0.96</v>
          </cell>
        </row>
        <row r="5564">
          <cell r="C5564" t="str">
            <v>4504 - HAND DRIVN FASTNR (NAILS,SCRW</v>
          </cell>
          <cell r="D5564" t="str">
            <v>MF51975EA</v>
          </cell>
          <cell r="BA5564">
            <v>1.31</v>
          </cell>
        </row>
        <row r="5565">
          <cell r="C5565" t="str">
            <v>4504 - HAND DRIVN FASTNR (NAILS,SCRW</v>
          </cell>
          <cell r="D5565" t="str">
            <v>MF52009EA</v>
          </cell>
          <cell r="BA5565">
            <v>0.4</v>
          </cell>
        </row>
        <row r="5566">
          <cell r="C5566" t="str">
            <v>4504 - HAND DRIVN FASTNR (NAILS,SCRW</v>
          </cell>
          <cell r="D5566" t="str">
            <v>MF52010EA</v>
          </cell>
          <cell r="BA5566">
            <v>0.45</v>
          </cell>
        </row>
        <row r="5567">
          <cell r="C5567" t="str">
            <v>4504 - HAND DRIVN FASTNR (NAILS,SCRW</v>
          </cell>
          <cell r="D5567" t="str">
            <v>MF52011EA</v>
          </cell>
          <cell r="BA5567">
            <v>0.69</v>
          </cell>
        </row>
        <row r="5568">
          <cell r="C5568" t="str">
            <v>4504 - HAND DRIVN FASTNR (NAILS,SCRW</v>
          </cell>
          <cell r="D5568" t="str">
            <v>MF52012EA</v>
          </cell>
          <cell r="BA5568">
            <v>0.77</v>
          </cell>
        </row>
        <row r="5569">
          <cell r="C5569" t="str">
            <v>4504 - HAND DRIVN FASTNR (NAILS,SCRW</v>
          </cell>
          <cell r="D5569" t="str">
            <v>MF52013EA</v>
          </cell>
          <cell r="BA5569">
            <v>1.26</v>
          </cell>
        </row>
        <row r="5570">
          <cell r="C5570" t="str">
            <v>4504 - HAND DRIVN FASTNR (NAILS,SCRW</v>
          </cell>
          <cell r="D5570" t="str">
            <v>MF52014EA</v>
          </cell>
          <cell r="BA5570">
            <v>1.22</v>
          </cell>
        </row>
        <row r="5571">
          <cell r="C5571" t="str">
            <v>4504 - HAND DRIVN FASTNR (NAILS,SCRW</v>
          </cell>
          <cell r="D5571" t="str">
            <v>MF52015EA</v>
          </cell>
          <cell r="BA5571">
            <v>1.99</v>
          </cell>
        </row>
        <row r="5572">
          <cell r="C5572" t="str">
            <v>4504 - HAND DRIVN FASTNR (NAILS,SCRW</v>
          </cell>
          <cell r="D5572" t="str">
            <v>MF52016EA</v>
          </cell>
          <cell r="BA5572">
            <v>2.08</v>
          </cell>
        </row>
        <row r="5573">
          <cell r="C5573" t="str">
            <v>4504 - HAND DRIVN FASTNR (NAILS,SCRW</v>
          </cell>
          <cell r="D5573" t="str">
            <v>MF53189EA</v>
          </cell>
          <cell r="BA5573">
            <v>0.44</v>
          </cell>
        </row>
        <row r="5574">
          <cell r="C5574" t="str">
            <v>4504 - HAND DRIVN FASTNR (NAILS,SCRW</v>
          </cell>
          <cell r="D5574" t="str">
            <v>MF53190EA</v>
          </cell>
          <cell r="BA5574">
            <v>0.68</v>
          </cell>
        </row>
        <row r="5575">
          <cell r="C5575" t="str">
            <v>4504 - HAND DRIVN FASTNR (NAILS,SCRW</v>
          </cell>
          <cell r="D5575" t="str">
            <v>MF53192EA</v>
          </cell>
          <cell r="BA5575">
            <v>0.62</v>
          </cell>
        </row>
        <row r="5576">
          <cell r="C5576" t="str">
            <v>4504 - HAND DRIVN FASTNR (NAILS,SCRW</v>
          </cell>
          <cell r="D5576" t="str">
            <v>MF53193EA</v>
          </cell>
          <cell r="BA5576">
            <v>0.74</v>
          </cell>
        </row>
        <row r="5577">
          <cell r="C5577" t="str">
            <v>4504 - HAND DRIVN FASTNR (NAILS,SCRW</v>
          </cell>
          <cell r="D5577" t="str">
            <v>MF53194EA</v>
          </cell>
          <cell r="BA5577">
            <v>0.9</v>
          </cell>
        </row>
        <row r="5578">
          <cell r="C5578" t="str">
            <v>4504 - HAND DRIVN FASTNR (NAILS,SCRW</v>
          </cell>
          <cell r="D5578" t="str">
            <v>MF53195EA</v>
          </cell>
          <cell r="BA5578">
            <v>0.96</v>
          </cell>
        </row>
        <row r="5579">
          <cell r="C5579" t="str">
            <v>4504 - HAND DRIVN FASTNR (NAILS,SCRW</v>
          </cell>
          <cell r="D5579" t="str">
            <v>MF53196EA</v>
          </cell>
          <cell r="BA5579">
            <v>1.35</v>
          </cell>
        </row>
        <row r="5580">
          <cell r="C5580" t="str">
            <v>4504 - HAND DRIVN FASTNR (NAILS,SCRW</v>
          </cell>
          <cell r="D5580" t="str">
            <v>MF53246EA</v>
          </cell>
          <cell r="BA5580">
            <v>0.6</v>
          </cell>
        </row>
        <row r="5581">
          <cell r="C5581" t="str">
            <v>4504 - HAND DRIVN FASTNR (NAILS,SCRW</v>
          </cell>
          <cell r="D5581" t="str">
            <v>MF53247EA</v>
          </cell>
          <cell r="BA5581">
            <v>0.76</v>
          </cell>
        </row>
        <row r="5582">
          <cell r="C5582" t="str">
            <v>4504 - HAND DRIVN FASTNR (NAILS,SCRW</v>
          </cell>
          <cell r="D5582" t="str">
            <v>MF53248EA</v>
          </cell>
          <cell r="BA5582">
            <v>0.88</v>
          </cell>
        </row>
        <row r="5583">
          <cell r="C5583" t="str">
            <v>4504 - HAND DRIVN FASTNR (NAILS,SCRW</v>
          </cell>
          <cell r="D5583" t="str">
            <v>MF53249EA</v>
          </cell>
          <cell r="BA5583">
            <v>1.59</v>
          </cell>
        </row>
        <row r="5584">
          <cell r="C5584" t="str">
            <v>4504 - HAND DRIVN FASTNR (NAILS,SCRW</v>
          </cell>
          <cell r="D5584" t="str">
            <v>MF53250EA</v>
          </cell>
          <cell r="BA5584">
            <v>1.42</v>
          </cell>
        </row>
        <row r="5585">
          <cell r="C5585" t="str">
            <v>4504 - HAND DRIVN FASTNR (NAILS,SCRW</v>
          </cell>
          <cell r="D5585" t="str">
            <v>MF53251EA</v>
          </cell>
          <cell r="BA5585">
            <v>1.58</v>
          </cell>
        </row>
        <row r="5586">
          <cell r="C5586" t="str">
            <v>4504 - HAND DRIVN FASTNR (NAILS,SCRW</v>
          </cell>
          <cell r="D5586" t="str">
            <v>MF53252EA</v>
          </cell>
          <cell r="BA5586">
            <v>1.79</v>
          </cell>
        </row>
        <row r="5587">
          <cell r="C5587" t="str">
            <v>4504 - HAND DRIVN FASTNR (NAILS,SCRW</v>
          </cell>
          <cell r="D5587" t="str">
            <v>MF53253EA</v>
          </cell>
          <cell r="BA5587">
            <v>2.4500000000000002</v>
          </cell>
        </row>
        <row r="5588">
          <cell r="C5588" t="str">
            <v>4504 - HAND DRIVN FASTNR (NAILS,SCRW</v>
          </cell>
          <cell r="D5588" t="str">
            <v>MF53254EA</v>
          </cell>
          <cell r="BA5588">
            <v>3.07</v>
          </cell>
        </row>
        <row r="5589">
          <cell r="C5589" t="str">
            <v>4504 - HAND DRIVN FASTNR (NAILS,SCRW</v>
          </cell>
          <cell r="D5589" t="str">
            <v>MF53255EA</v>
          </cell>
          <cell r="BA5589">
            <v>3.42</v>
          </cell>
        </row>
        <row r="5590">
          <cell r="C5590" t="str">
            <v>4504 - HAND DRIVN FASTNR (NAILS,SCRW</v>
          </cell>
          <cell r="D5590" t="str">
            <v>MF53256EA</v>
          </cell>
          <cell r="BA5590">
            <v>3.81</v>
          </cell>
        </row>
        <row r="5591">
          <cell r="C5591" t="str">
            <v>4504 - HAND DRIVN FASTNR (NAILS,SCRW</v>
          </cell>
          <cell r="D5591" t="str">
            <v>MF53257EA</v>
          </cell>
          <cell r="BA5591">
            <v>4.42</v>
          </cell>
        </row>
        <row r="5592">
          <cell r="C5592" t="str">
            <v>4504 - HAND DRIVN FASTNR (NAILS,SCRW</v>
          </cell>
          <cell r="D5592" t="str">
            <v>MF53258EA</v>
          </cell>
          <cell r="BA5592">
            <v>4.43</v>
          </cell>
        </row>
        <row r="5593">
          <cell r="C5593" t="str">
            <v>4504 - HAND DRIVN FASTNR (NAILS,SCRW</v>
          </cell>
          <cell r="D5593" t="str">
            <v>MF53259EA</v>
          </cell>
          <cell r="BA5593">
            <v>4.88</v>
          </cell>
        </row>
        <row r="5594">
          <cell r="C5594" t="str">
            <v>4504 - HAND DRIVN FASTNR (NAILS,SCRW</v>
          </cell>
          <cell r="D5594" t="str">
            <v>MF53260EA</v>
          </cell>
          <cell r="BA5594">
            <v>5.91</v>
          </cell>
        </row>
        <row r="5595">
          <cell r="C5595" t="str">
            <v>4504 - HAND DRIVN FASTNR (NAILS,SCRW</v>
          </cell>
          <cell r="D5595" t="str">
            <v>MF53271EA</v>
          </cell>
          <cell r="BA5595">
            <v>0.49</v>
          </cell>
        </row>
        <row r="5596">
          <cell r="C5596" t="str">
            <v>4504 - HAND DRIVN FASTNR (NAILS,SCRW</v>
          </cell>
          <cell r="D5596" t="str">
            <v>MF53478EA</v>
          </cell>
          <cell r="BA5596">
            <v>2.1800000000000002</v>
          </cell>
        </row>
        <row r="5597">
          <cell r="C5597" t="str">
            <v>4504 - HAND DRIVN FASTNR (NAILS,SCRW</v>
          </cell>
          <cell r="D5597" t="str">
            <v>MF53479EA</v>
          </cell>
          <cell r="BA5597">
            <v>3.88</v>
          </cell>
        </row>
        <row r="5598">
          <cell r="C5598" t="str">
            <v>4504 - HAND DRIVN FASTNR (NAILS,SCRW</v>
          </cell>
          <cell r="D5598" t="str">
            <v>MF53480EA</v>
          </cell>
          <cell r="BA5598">
            <v>3.4</v>
          </cell>
        </row>
        <row r="5599">
          <cell r="C5599" t="str">
            <v>4504 - HAND DRIVN FASTNR (NAILS,SCRW</v>
          </cell>
          <cell r="D5599" t="str">
            <v>MF53481EA</v>
          </cell>
          <cell r="BA5599">
            <v>3.62</v>
          </cell>
        </row>
        <row r="5600">
          <cell r="C5600" t="str">
            <v>4504 - HAND DRIVN FASTNR (NAILS,SCRW</v>
          </cell>
          <cell r="D5600" t="str">
            <v>MF53482EA</v>
          </cell>
          <cell r="BA5600">
            <v>4.01</v>
          </cell>
        </row>
        <row r="5601">
          <cell r="C5601" t="str">
            <v>4504 - HAND DRIVN FASTNR (NAILS,SCRW</v>
          </cell>
          <cell r="D5601" t="str">
            <v>MF53483EA</v>
          </cell>
          <cell r="BA5601">
            <v>4.49</v>
          </cell>
        </row>
        <row r="5602">
          <cell r="C5602" t="str">
            <v>4504 - HAND DRIVN FASTNR (NAILS,SCRW</v>
          </cell>
          <cell r="D5602" t="str">
            <v>MF53559EA</v>
          </cell>
          <cell r="BA5602">
            <v>4.1399999999999997</v>
          </cell>
        </row>
        <row r="5603">
          <cell r="C5603" t="str">
            <v>4504 - HAND DRIVN FASTNR (NAILS,SCRW</v>
          </cell>
          <cell r="D5603" t="str">
            <v>MF53814EA</v>
          </cell>
          <cell r="BA5603">
            <v>0.06</v>
          </cell>
        </row>
        <row r="5604">
          <cell r="C5604" t="str">
            <v>4504 - HAND DRIVN FASTNR (NAILS,SCRW</v>
          </cell>
          <cell r="D5604" t="str">
            <v>MF53833</v>
          </cell>
          <cell r="BA5604">
            <v>8.64</v>
          </cell>
        </row>
        <row r="5605">
          <cell r="C5605" t="str">
            <v>4504 - HAND DRIVN FASTNR (NAILS,SCRW</v>
          </cell>
          <cell r="D5605" t="str">
            <v>MF53833EA</v>
          </cell>
          <cell r="BA5605">
            <v>0.02</v>
          </cell>
        </row>
        <row r="5606">
          <cell r="C5606" t="str">
            <v>4504 - HAND DRIVN FASTNR (NAILS,SCRW</v>
          </cell>
          <cell r="D5606" t="str">
            <v>MF53839EA</v>
          </cell>
          <cell r="BA5606">
            <v>0.05</v>
          </cell>
        </row>
        <row r="5607">
          <cell r="C5607" t="str">
            <v>4504 - HAND DRIVN FASTNR (NAILS,SCRW</v>
          </cell>
          <cell r="D5607" t="str">
            <v>MF54804</v>
          </cell>
          <cell r="BA5607">
            <v>8.64</v>
          </cell>
        </row>
        <row r="5608">
          <cell r="C5608" t="str">
            <v>4504 - HAND DRIVN FASTNR (NAILS,SCRW</v>
          </cell>
          <cell r="D5608" t="str">
            <v>MF54806</v>
          </cell>
          <cell r="BA5608">
            <v>7.6</v>
          </cell>
        </row>
        <row r="5609">
          <cell r="C5609" t="str">
            <v>4504 - HAND DRIVN FASTNR (NAILS,SCRW</v>
          </cell>
          <cell r="D5609" t="str">
            <v>MF54807</v>
          </cell>
          <cell r="BA5609">
            <v>7.6</v>
          </cell>
        </row>
        <row r="5610">
          <cell r="C5610" t="str">
            <v>4504 - HAND DRIVN FASTNR (NAILS,SCRW</v>
          </cell>
          <cell r="D5610" t="str">
            <v>MF54808</v>
          </cell>
          <cell r="BA5610">
            <v>8.64</v>
          </cell>
        </row>
        <row r="5611">
          <cell r="C5611" t="str">
            <v>4504 - HAND DRIVN FASTNR (NAILS,SCRW</v>
          </cell>
          <cell r="D5611" t="str">
            <v>MF54810</v>
          </cell>
          <cell r="BA5611">
            <v>38.76</v>
          </cell>
        </row>
        <row r="5612">
          <cell r="C5612" t="str">
            <v>4504 - HAND DRIVN FASTNR (NAILS,SCRW</v>
          </cell>
          <cell r="D5612" t="str">
            <v>MF54812</v>
          </cell>
          <cell r="BA5612">
            <v>38.76</v>
          </cell>
        </row>
        <row r="5613">
          <cell r="C5613" t="str">
            <v>4504 - HAND DRIVN FASTNR (NAILS,SCRW</v>
          </cell>
          <cell r="D5613" t="str">
            <v>MF54814</v>
          </cell>
          <cell r="BA5613">
            <v>38.76</v>
          </cell>
        </row>
        <row r="5614">
          <cell r="C5614" t="str">
            <v>4504 - HAND DRIVN FASTNR (NAILS,SCRW</v>
          </cell>
          <cell r="D5614" t="str">
            <v>MF54825EA</v>
          </cell>
          <cell r="BA5614">
            <v>1.59</v>
          </cell>
        </row>
        <row r="5615">
          <cell r="C5615" t="str">
            <v>4504 - HAND DRIVN FASTNR (NAILS,SCRW</v>
          </cell>
          <cell r="D5615" t="str">
            <v>MF54826EA</v>
          </cell>
          <cell r="BA5615">
            <v>1.99</v>
          </cell>
        </row>
        <row r="5616">
          <cell r="C5616" t="str">
            <v>4504 - HAND DRIVN FASTNR (NAILS,SCRW</v>
          </cell>
          <cell r="D5616" t="str">
            <v>MF54856EA</v>
          </cell>
          <cell r="BA5616">
            <v>0.03</v>
          </cell>
        </row>
        <row r="5617">
          <cell r="C5617" t="str">
            <v>4504 - HAND DRIVN FASTNR (NAILS,SCRW</v>
          </cell>
          <cell r="D5617" t="str">
            <v>MF54859EA</v>
          </cell>
          <cell r="BA5617">
            <v>0.09</v>
          </cell>
        </row>
        <row r="5618">
          <cell r="C5618" t="str">
            <v>4504 - HAND DRIVN FASTNR (NAILS,SCRW</v>
          </cell>
          <cell r="D5618" t="str">
            <v>MF54860EA</v>
          </cell>
          <cell r="BA5618">
            <v>0.12</v>
          </cell>
        </row>
        <row r="5619">
          <cell r="C5619" t="str">
            <v>4504 - HAND DRIVN FASTNR (NAILS,SCRW</v>
          </cell>
          <cell r="D5619" t="str">
            <v>MF54861EA</v>
          </cell>
          <cell r="BA5619">
            <v>0.08</v>
          </cell>
        </row>
        <row r="5620">
          <cell r="C5620" t="str">
            <v>4504 - HAND DRIVN FASTNR (NAILS,SCRW</v>
          </cell>
          <cell r="D5620" t="str">
            <v>MF54893</v>
          </cell>
          <cell r="BA5620">
            <v>8.2100000000000009</v>
          </cell>
        </row>
        <row r="5621">
          <cell r="C5621" t="str">
            <v>4504 - HAND DRIVN FASTNR (NAILS,SCRW</v>
          </cell>
          <cell r="D5621" t="str">
            <v>MF54893EA</v>
          </cell>
          <cell r="BA5621">
            <v>0.06</v>
          </cell>
        </row>
        <row r="5622">
          <cell r="C5622" t="str">
            <v>4504 - HAND DRIVN FASTNR (NAILS,SCRW</v>
          </cell>
          <cell r="D5622" t="str">
            <v>MF54894</v>
          </cell>
          <cell r="BA5622">
            <v>8.2100000000000009</v>
          </cell>
        </row>
        <row r="5623">
          <cell r="C5623" t="str">
            <v>4504 - HAND DRIVN FASTNR (NAILS,SCRW</v>
          </cell>
          <cell r="D5623" t="str">
            <v>MF54894EA</v>
          </cell>
          <cell r="BA5623">
            <v>0.08</v>
          </cell>
        </row>
        <row r="5624">
          <cell r="C5624" t="str">
            <v>4504 - HAND DRIVN FASTNR (NAILS,SCRW</v>
          </cell>
          <cell r="D5624" t="str">
            <v>MF54901</v>
          </cell>
          <cell r="BA5624">
            <v>8.5399999999999991</v>
          </cell>
        </row>
        <row r="5625">
          <cell r="C5625" t="str">
            <v>4504 - HAND DRIVN FASTNR (NAILS,SCRW</v>
          </cell>
          <cell r="D5625" t="str">
            <v>MF54901EA</v>
          </cell>
          <cell r="BA5625">
            <v>7.0000000000000007E-2</v>
          </cell>
        </row>
        <row r="5626">
          <cell r="C5626" t="str">
            <v>4504 - HAND DRIVN FASTNR (NAILS,SCRW</v>
          </cell>
          <cell r="D5626" t="str">
            <v>MF54902</v>
          </cell>
          <cell r="BA5626">
            <v>8.99</v>
          </cell>
        </row>
        <row r="5627">
          <cell r="C5627" t="str">
            <v>4504 - HAND DRIVN FASTNR (NAILS,SCRW</v>
          </cell>
          <cell r="D5627" t="str">
            <v>MF54902EA</v>
          </cell>
          <cell r="BA5627">
            <v>0.08</v>
          </cell>
        </row>
        <row r="5628">
          <cell r="C5628" t="str">
            <v>4504 - HAND DRIVN FASTNR (NAILS,SCRW</v>
          </cell>
          <cell r="D5628" t="str">
            <v>MF54917EA</v>
          </cell>
          <cell r="BA5628">
            <v>7.05</v>
          </cell>
        </row>
        <row r="5629">
          <cell r="C5629" t="str">
            <v>4504 - HAND DRIVN FASTNR (NAILS,SCRW</v>
          </cell>
          <cell r="D5629" t="str">
            <v>MF54918EA</v>
          </cell>
          <cell r="BA5629">
            <v>6.68</v>
          </cell>
        </row>
        <row r="5630">
          <cell r="C5630" t="str">
            <v>4504 - HAND DRIVN FASTNR (NAILS,SCRW</v>
          </cell>
          <cell r="D5630" t="str">
            <v>MF54919EA</v>
          </cell>
          <cell r="BA5630">
            <v>8.6300000000000008</v>
          </cell>
        </row>
        <row r="5631">
          <cell r="C5631" t="str">
            <v>4504 - HAND DRIVN FASTNR (NAILS,SCRW</v>
          </cell>
          <cell r="D5631" t="str">
            <v>MF54992</v>
          </cell>
          <cell r="BA5631">
            <v>8.7200000000000006</v>
          </cell>
        </row>
        <row r="5632">
          <cell r="C5632" t="str">
            <v>4504 - HAND DRIVN FASTNR (NAILS,SCRW</v>
          </cell>
          <cell r="D5632" t="str">
            <v>MF54995</v>
          </cell>
          <cell r="BA5632">
            <v>33.909999999999997</v>
          </cell>
        </row>
        <row r="5633">
          <cell r="C5633" t="str">
            <v>4504 - HAND DRIVN FASTNR (NAILS,SCRW</v>
          </cell>
          <cell r="D5633" t="str">
            <v>MF54995EA</v>
          </cell>
          <cell r="BA5633">
            <v>0.03</v>
          </cell>
        </row>
        <row r="5634">
          <cell r="C5634" t="str">
            <v>4504 - HAND DRIVN FASTNR (NAILS,SCRW</v>
          </cell>
          <cell r="D5634" t="str">
            <v>MF55393</v>
          </cell>
          <cell r="BA5634">
            <v>8.64</v>
          </cell>
        </row>
        <row r="5635">
          <cell r="C5635" t="str">
            <v>4504 - HAND DRIVN FASTNR (NAILS,SCRW</v>
          </cell>
          <cell r="D5635" t="str">
            <v>MF55394</v>
          </cell>
          <cell r="BA5635">
            <v>8.64</v>
          </cell>
        </row>
        <row r="5636">
          <cell r="C5636" t="str">
            <v>4504 - HAND DRIVN FASTNR (NAILS,SCRW</v>
          </cell>
          <cell r="D5636" t="str">
            <v>MF55395</v>
          </cell>
          <cell r="BA5636">
            <v>8.64</v>
          </cell>
        </row>
        <row r="5637">
          <cell r="C5637" t="str">
            <v>4504 - HAND DRIVN FASTNR (NAILS,SCRW</v>
          </cell>
          <cell r="D5637" t="str">
            <v>MF55395EA</v>
          </cell>
          <cell r="BA5637">
            <v>0.1</v>
          </cell>
        </row>
        <row r="5638">
          <cell r="C5638" t="str">
            <v>4504 - HAND DRIVN FASTNR (NAILS,SCRW</v>
          </cell>
          <cell r="D5638" t="str">
            <v>MF55398</v>
          </cell>
          <cell r="BA5638">
            <v>36.82</v>
          </cell>
        </row>
        <row r="5639">
          <cell r="C5639" t="str">
            <v>4504 - HAND DRIVN FASTNR (NAILS,SCRW</v>
          </cell>
          <cell r="D5639" t="str">
            <v>MF55399</v>
          </cell>
          <cell r="BA5639">
            <v>36.82</v>
          </cell>
        </row>
        <row r="5640">
          <cell r="C5640" t="str">
            <v>4504 - HAND DRIVN FASTNR (NAILS,SCRW</v>
          </cell>
          <cell r="D5640" t="str">
            <v>MF55400</v>
          </cell>
          <cell r="BA5640">
            <v>36.82</v>
          </cell>
        </row>
        <row r="5641">
          <cell r="C5641" t="str">
            <v>4504 - HAND DRIVN FASTNR (NAILS,SCRW</v>
          </cell>
          <cell r="D5641" t="str">
            <v>MF56018</v>
          </cell>
          <cell r="BA5641">
            <v>6.31</v>
          </cell>
        </row>
        <row r="5642">
          <cell r="C5642" t="str">
            <v>4504 - HAND DRIVN FASTNR (NAILS,SCRW</v>
          </cell>
          <cell r="D5642" t="str">
            <v>MF56019</v>
          </cell>
          <cell r="BA5642">
            <v>6.31</v>
          </cell>
        </row>
        <row r="5643">
          <cell r="C5643" t="str">
            <v>4504 - HAND DRIVN FASTNR (NAILS,SCRW</v>
          </cell>
          <cell r="D5643" t="str">
            <v>MF56020</v>
          </cell>
          <cell r="BA5643">
            <v>6.64</v>
          </cell>
        </row>
        <row r="5644">
          <cell r="C5644" t="str">
            <v>4504 - HAND DRIVN FASTNR (NAILS,SCRW</v>
          </cell>
          <cell r="D5644" t="str">
            <v>MF56021</v>
          </cell>
          <cell r="BA5644">
            <v>6.64</v>
          </cell>
        </row>
        <row r="5645">
          <cell r="C5645" t="str">
            <v>4504 - HAND DRIVN FASTNR (NAILS,SCRW</v>
          </cell>
          <cell r="D5645" t="str">
            <v>MF56022</v>
          </cell>
          <cell r="BA5645">
            <v>6.64</v>
          </cell>
        </row>
        <row r="5646">
          <cell r="C5646" t="str">
            <v>4504 - HAND DRIVN FASTNR (NAILS,SCRW</v>
          </cell>
          <cell r="D5646" t="str">
            <v>MF56023</v>
          </cell>
          <cell r="BA5646">
            <v>35.08</v>
          </cell>
        </row>
        <row r="5647">
          <cell r="C5647" t="str">
            <v>4504 - HAND DRIVN FASTNR (NAILS,SCRW</v>
          </cell>
          <cell r="D5647" t="str">
            <v>MF56024</v>
          </cell>
          <cell r="BA5647">
            <v>32.25</v>
          </cell>
        </row>
        <row r="5648">
          <cell r="C5648" t="str">
            <v>4504 - HAND DRIVN FASTNR (NAILS,SCRW</v>
          </cell>
          <cell r="D5648" t="str">
            <v>MF56025</v>
          </cell>
          <cell r="BA5648">
            <v>31.83</v>
          </cell>
        </row>
        <row r="5649">
          <cell r="C5649" t="str">
            <v>4504 - HAND DRIVN FASTNR (NAILS,SCRW</v>
          </cell>
          <cell r="D5649" t="str">
            <v>MF56026</v>
          </cell>
          <cell r="BA5649">
            <v>32.65</v>
          </cell>
        </row>
        <row r="5650">
          <cell r="C5650" t="str">
            <v>4504 - HAND DRIVN FASTNR (NAILS,SCRW</v>
          </cell>
          <cell r="D5650" t="str">
            <v>MF56027</v>
          </cell>
          <cell r="BA5650">
            <v>35.090000000000003</v>
          </cell>
        </row>
        <row r="5651">
          <cell r="C5651" t="str">
            <v>4504 - HAND DRIVN FASTNR (NAILS,SCRW</v>
          </cell>
          <cell r="D5651" t="str">
            <v>MF56063EA</v>
          </cell>
          <cell r="BA5651">
            <v>0.14000000000000001</v>
          </cell>
        </row>
        <row r="5652">
          <cell r="C5652" t="str">
            <v>4504 - HAND DRIVN FASTNR (NAILS,SCRW</v>
          </cell>
          <cell r="D5652" t="str">
            <v>MF56064EA</v>
          </cell>
          <cell r="BA5652">
            <v>0.23</v>
          </cell>
        </row>
        <row r="5653">
          <cell r="C5653" t="str">
            <v>4504 - HAND DRIVN FASTNR (NAILS,SCRW</v>
          </cell>
          <cell r="D5653" t="str">
            <v>MF56065EA</v>
          </cell>
          <cell r="BA5653">
            <v>0.26</v>
          </cell>
        </row>
        <row r="5654">
          <cell r="C5654" t="str">
            <v>4504 - HAND DRIVN FASTNR (NAILS,SCRW</v>
          </cell>
          <cell r="D5654" t="str">
            <v>MF56349</v>
          </cell>
          <cell r="BA5654">
            <v>11.06</v>
          </cell>
        </row>
        <row r="5655">
          <cell r="C5655" t="str">
            <v>4504 - HAND DRIVN FASTNR (NAILS,SCRW</v>
          </cell>
          <cell r="D5655" t="str">
            <v>MF56349EA</v>
          </cell>
          <cell r="BA5655">
            <v>0.17</v>
          </cell>
        </row>
        <row r="5656">
          <cell r="C5656" t="str">
            <v>4504 - HAND DRIVN FASTNR (NAILS,SCRW</v>
          </cell>
          <cell r="D5656" t="str">
            <v>MF56350</v>
          </cell>
          <cell r="BA5656">
            <v>11.06</v>
          </cell>
        </row>
        <row r="5657">
          <cell r="C5657" t="str">
            <v>4504 - HAND DRIVN FASTNR (NAILS,SCRW</v>
          </cell>
          <cell r="D5657" t="str">
            <v>MF56350EA</v>
          </cell>
          <cell r="BA5657">
            <v>0.28000000000000003</v>
          </cell>
        </row>
        <row r="5658">
          <cell r="C5658" t="str">
            <v>4504 - HAND DRIVN FASTNR (NAILS,SCRW</v>
          </cell>
          <cell r="D5658" t="str">
            <v>MF56351</v>
          </cell>
          <cell r="BA5658">
            <v>11.06</v>
          </cell>
        </row>
        <row r="5659">
          <cell r="C5659" t="str">
            <v>4504 - HAND DRIVN FASTNR (NAILS,SCRW</v>
          </cell>
          <cell r="D5659" t="str">
            <v>MF56351EA</v>
          </cell>
          <cell r="BA5659">
            <v>0.32</v>
          </cell>
        </row>
        <row r="5660">
          <cell r="C5660" t="str">
            <v>4504 - HAND DRIVN FASTNR (NAILS,SCRW</v>
          </cell>
          <cell r="D5660" t="str">
            <v>MF56352</v>
          </cell>
          <cell r="BA5660">
            <v>45.68</v>
          </cell>
        </row>
        <row r="5661">
          <cell r="C5661" t="str">
            <v>4504 - HAND DRIVN FASTNR (NAILS,SCRW</v>
          </cell>
          <cell r="D5661" t="str">
            <v>MF56353</v>
          </cell>
          <cell r="BA5661">
            <v>45.68</v>
          </cell>
        </row>
        <row r="5662">
          <cell r="C5662" t="str">
            <v>4504 - HAND DRIVN FASTNR (NAILS,SCRW</v>
          </cell>
          <cell r="D5662" t="str">
            <v>MF56354</v>
          </cell>
          <cell r="BA5662">
            <v>45.68</v>
          </cell>
        </row>
        <row r="5663">
          <cell r="C5663" t="str">
            <v>4504 - HAND DRIVN FASTNR (NAILS,SCRW</v>
          </cell>
          <cell r="D5663" t="str">
            <v>MF56355</v>
          </cell>
          <cell r="BA5663">
            <v>6.38</v>
          </cell>
        </row>
        <row r="5664">
          <cell r="C5664" t="str">
            <v>4504 - HAND DRIVN FASTNR (NAILS,SCRW</v>
          </cell>
          <cell r="D5664" t="str">
            <v>MF56356</v>
          </cell>
          <cell r="BA5664">
            <v>8.94</v>
          </cell>
        </row>
        <row r="5665">
          <cell r="C5665" t="str">
            <v>4504 - HAND DRIVN FASTNR (NAILS,SCRW</v>
          </cell>
          <cell r="D5665" t="str">
            <v>MF62723</v>
          </cell>
          <cell r="BA5665">
            <v>0.13</v>
          </cell>
        </row>
        <row r="5666">
          <cell r="C5666" t="str">
            <v>4504 - HAND DRIVN FASTNR (NAILS,SCRW</v>
          </cell>
          <cell r="D5666" t="str">
            <v>MF62724</v>
          </cell>
          <cell r="BA5666">
            <v>0.15</v>
          </cell>
        </row>
        <row r="5667">
          <cell r="C5667" t="str">
            <v>4504 - HAND DRIVN FASTNR (NAILS,SCRW</v>
          </cell>
          <cell r="D5667" t="str">
            <v>MF62725</v>
          </cell>
          <cell r="BA5667">
            <v>0.18</v>
          </cell>
        </row>
        <row r="5668">
          <cell r="C5668" t="str">
            <v>4504 - HAND DRIVN FASTNR (NAILS,SCRW</v>
          </cell>
          <cell r="D5668" t="str">
            <v>MF62726</v>
          </cell>
          <cell r="BA5668">
            <v>0.18</v>
          </cell>
        </row>
        <row r="5669">
          <cell r="C5669" t="str">
            <v>4504 - HAND DRIVN FASTNR (NAILS,SCRW</v>
          </cell>
          <cell r="D5669" t="str">
            <v>MF62727</v>
          </cell>
          <cell r="BA5669">
            <v>0.19</v>
          </cell>
        </row>
        <row r="5670">
          <cell r="C5670" t="str">
            <v>4504 - HAND DRIVN FASTNR (NAILS,SCRW</v>
          </cell>
          <cell r="D5670" t="str">
            <v>MF62728</v>
          </cell>
          <cell r="BA5670">
            <v>0.24</v>
          </cell>
        </row>
        <row r="5671">
          <cell r="C5671" t="str">
            <v>4504 - HAND DRIVN FASTNR (NAILS,SCRW</v>
          </cell>
          <cell r="D5671" t="str">
            <v>MF62731</v>
          </cell>
          <cell r="BA5671">
            <v>0.28000000000000003</v>
          </cell>
        </row>
        <row r="5672">
          <cell r="C5672" t="str">
            <v>4504 - HAND DRIVN FASTNR (NAILS,SCRW</v>
          </cell>
          <cell r="D5672" t="str">
            <v>MF62732</v>
          </cell>
          <cell r="BA5672">
            <v>0.25</v>
          </cell>
        </row>
        <row r="5673">
          <cell r="C5673" t="str">
            <v>4504 - HAND DRIVN FASTNR (NAILS,SCRW</v>
          </cell>
          <cell r="D5673" t="str">
            <v>MF62733</v>
          </cell>
          <cell r="BA5673">
            <v>0.27</v>
          </cell>
        </row>
        <row r="5674">
          <cell r="C5674" t="str">
            <v>4504 - HAND DRIVN FASTNR (NAILS,SCRW</v>
          </cell>
          <cell r="D5674" t="str">
            <v>MF62734</v>
          </cell>
          <cell r="BA5674">
            <v>0.3</v>
          </cell>
        </row>
        <row r="5675">
          <cell r="C5675" t="str">
            <v>4504 - HAND DRIVN FASTNR (NAILS,SCRW</v>
          </cell>
          <cell r="D5675" t="str">
            <v>MF62735</v>
          </cell>
          <cell r="BA5675">
            <v>0.32</v>
          </cell>
        </row>
        <row r="5676">
          <cell r="C5676" t="str">
            <v>4504 - HAND DRIVN FASTNR (NAILS,SCRW</v>
          </cell>
          <cell r="D5676" t="str">
            <v>MF62736</v>
          </cell>
          <cell r="BA5676">
            <v>0.35</v>
          </cell>
        </row>
        <row r="5677">
          <cell r="C5677" t="str">
            <v>4504 - HAND DRIVN FASTNR (NAILS,SCRW</v>
          </cell>
          <cell r="D5677" t="str">
            <v>MF69861</v>
          </cell>
          <cell r="BA5677">
            <v>0.08</v>
          </cell>
        </row>
        <row r="5678">
          <cell r="C5678" t="str">
            <v>4504 - HAND DRIVN FASTNR (NAILS,SCRW</v>
          </cell>
          <cell r="D5678" t="str">
            <v>MF69862</v>
          </cell>
          <cell r="BA5678">
            <v>0.09</v>
          </cell>
        </row>
        <row r="5679">
          <cell r="C5679" t="str">
            <v>4504 - HAND DRIVN FASTNR (NAILS,SCRW</v>
          </cell>
          <cell r="D5679" t="str">
            <v>MF69864</v>
          </cell>
          <cell r="BA5679">
            <v>0.09</v>
          </cell>
        </row>
        <row r="5680">
          <cell r="C5680" t="str">
            <v>4504 - HAND DRIVN FASTNR (NAILS,SCRW</v>
          </cell>
          <cell r="D5680" t="str">
            <v>MF69865</v>
          </cell>
          <cell r="BA5680">
            <v>0.12</v>
          </cell>
        </row>
        <row r="5681">
          <cell r="C5681" t="str">
            <v>4504 - HAND DRIVN FASTNR (NAILS,SCRW</v>
          </cell>
          <cell r="D5681" t="str">
            <v>MF69866</v>
          </cell>
          <cell r="BA5681">
            <v>0.12</v>
          </cell>
        </row>
        <row r="5682">
          <cell r="C5682" t="str">
            <v>4504 - HAND DRIVN FASTNR (NAILS,SCRW</v>
          </cell>
          <cell r="D5682" t="str">
            <v>MF69867</v>
          </cell>
          <cell r="BA5682">
            <v>0.14000000000000001</v>
          </cell>
        </row>
        <row r="5683">
          <cell r="C5683" t="str">
            <v>4504 - HAND DRIVN FASTNR (NAILS,SCRW</v>
          </cell>
          <cell r="D5683" t="str">
            <v>MF69868</v>
          </cell>
          <cell r="BA5683">
            <v>0.15</v>
          </cell>
        </row>
        <row r="5684">
          <cell r="C5684" t="str">
            <v>4504 - HAND DRIVN FASTNR (NAILS,SCRW</v>
          </cell>
          <cell r="D5684" t="str">
            <v>MF69871</v>
          </cell>
          <cell r="BA5684">
            <v>0.15</v>
          </cell>
        </row>
        <row r="5685">
          <cell r="C5685" t="str">
            <v>4504 - HAND DRIVN FASTNR (NAILS,SCRW</v>
          </cell>
          <cell r="D5685" t="str">
            <v>MF69872</v>
          </cell>
          <cell r="BA5685">
            <v>0.17</v>
          </cell>
        </row>
        <row r="5686">
          <cell r="C5686" t="str">
            <v>4504 - HAND DRIVN FASTNR (NAILS,SCRW</v>
          </cell>
          <cell r="D5686" t="str">
            <v>MF69873</v>
          </cell>
          <cell r="BA5686">
            <v>0.08</v>
          </cell>
        </row>
        <row r="5687">
          <cell r="C5687" t="str">
            <v>4504 - HAND DRIVN FASTNR (NAILS,SCRW</v>
          </cell>
          <cell r="D5687" t="str">
            <v>MF69874</v>
          </cell>
          <cell r="BA5687">
            <v>0.17</v>
          </cell>
        </row>
        <row r="5688">
          <cell r="C5688" t="str">
            <v>4504 - HAND DRIVN FASTNR (NAILS,SCRW</v>
          </cell>
          <cell r="D5688" t="str">
            <v>MF69874EA</v>
          </cell>
          <cell r="BA5688">
            <v>0.17</v>
          </cell>
        </row>
        <row r="5689">
          <cell r="C5689" t="str">
            <v>4504 - HAND DRIVN FASTNR (NAILS,SCRW</v>
          </cell>
          <cell r="D5689" t="str">
            <v>MF69875</v>
          </cell>
          <cell r="BA5689">
            <v>0.2</v>
          </cell>
        </row>
        <row r="5690">
          <cell r="C5690" t="str">
            <v>4504 - HAND DRIVN FASTNR (NAILS,SCRW</v>
          </cell>
          <cell r="D5690" t="str">
            <v>MF69876</v>
          </cell>
          <cell r="BA5690">
            <v>0.21</v>
          </cell>
        </row>
        <row r="5691">
          <cell r="C5691" t="str">
            <v>4504 - HAND DRIVN FASTNR (NAILS,SCRW</v>
          </cell>
          <cell r="D5691" t="str">
            <v>MF69877</v>
          </cell>
          <cell r="BA5691">
            <v>0.23</v>
          </cell>
        </row>
        <row r="5692">
          <cell r="C5692" t="str">
            <v>4504 - HAND DRIVN FASTNR (NAILS,SCRW</v>
          </cell>
          <cell r="D5692" t="str">
            <v>MF69878</v>
          </cell>
          <cell r="BA5692">
            <v>0.26</v>
          </cell>
        </row>
        <row r="5693">
          <cell r="C5693" t="str">
            <v>4504 - HAND DRIVN FASTNR (NAILS,SCRW</v>
          </cell>
          <cell r="D5693" t="str">
            <v>MF79401</v>
          </cell>
          <cell r="BA5693">
            <v>0.1</v>
          </cell>
        </row>
        <row r="5694">
          <cell r="C5694" t="str">
            <v>4504 - HAND DRIVN FASTNR (NAILS,SCRW</v>
          </cell>
          <cell r="D5694" t="str">
            <v>MF79402</v>
          </cell>
          <cell r="BA5694">
            <v>0.12</v>
          </cell>
        </row>
        <row r="5695">
          <cell r="C5695" t="str">
            <v>4504 - HAND DRIVN FASTNR (NAILS,SCRW</v>
          </cell>
          <cell r="D5695" t="str">
            <v>MF79403</v>
          </cell>
          <cell r="BA5695">
            <v>0.12</v>
          </cell>
        </row>
        <row r="5696">
          <cell r="C5696" t="str">
            <v>4504 - HAND DRIVN FASTNR (NAILS,SCRW</v>
          </cell>
          <cell r="D5696" t="str">
            <v>MF79404</v>
          </cell>
          <cell r="BA5696">
            <v>0.13</v>
          </cell>
        </row>
        <row r="5697">
          <cell r="C5697" t="str">
            <v>4504 - HAND DRIVN FASTNR (NAILS,SCRW</v>
          </cell>
          <cell r="D5697" t="str">
            <v>MF79405</v>
          </cell>
          <cell r="BA5697">
            <v>0.12</v>
          </cell>
        </row>
        <row r="5698">
          <cell r="C5698" t="str">
            <v>4504 - HAND DRIVN FASTNR (NAILS,SCRW</v>
          </cell>
          <cell r="D5698" t="str">
            <v>MF79406</v>
          </cell>
          <cell r="BA5698">
            <v>0.14000000000000001</v>
          </cell>
        </row>
        <row r="5699">
          <cell r="C5699" t="str">
            <v>4504 - HAND DRIVN FASTNR (NAILS,SCRW</v>
          </cell>
          <cell r="D5699" t="str">
            <v>MF79407</v>
          </cell>
          <cell r="BA5699">
            <v>0.14000000000000001</v>
          </cell>
        </row>
        <row r="5700">
          <cell r="C5700" t="str">
            <v>4504 - HAND DRIVN FASTNR (NAILS,SCRW</v>
          </cell>
          <cell r="D5700" t="str">
            <v>MF79408</v>
          </cell>
          <cell r="BA5700">
            <v>0.16</v>
          </cell>
        </row>
        <row r="5701">
          <cell r="C5701" t="str">
            <v>4504 - HAND DRIVN FASTNR (NAILS,SCRW</v>
          </cell>
          <cell r="D5701" t="str">
            <v>MF79411</v>
          </cell>
          <cell r="BA5701">
            <v>0.18</v>
          </cell>
        </row>
        <row r="5702">
          <cell r="C5702" t="str">
            <v>4504 - HAND DRIVN FASTNR (NAILS,SCRW</v>
          </cell>
          <cell r="D5702" t="str">
            <v>MF79412</v>
          </cell>
          <cell r="BA5702">
            <v>0.21</v>
          </cell>
        </row>
        <row r="5703">
          <cell r="C5703" t="str">
            <v>4504 - HAND DRIVN FASTNR (NAILS,SCRW</v>
          </cell>
          <cell r="D5703" t="str">
            <v>MF79413</v>
          </cell>
          <cell r="BA5703">
            <v>0.23</v>
          </cell>
        </row>
        <row r="5704">
          <cell r="C5704" t="str">
            <v>4504 - HAND DRIVN FASTNR (NAILS,SCRW</v>
          </cell>
          <cell r="D5704" t="str">
            <v>MF79414</v>
          </cell>
          <cell r="BA5704">
            <v>0.18</v>
          </cell>
        </row>
        <row r="5705">
          <cell r="C5705" t="str">
            <v>4504 - HAND DRIVN FASTNR (NAILS,SCRW</v>
          </cell>
          <cell r="D5705" t="str">
            <v>MF79415</v>
          </cell>
          <cell r="BA5705">
            <v>0.21</v>
          </cell>
        </row>
        <row r="5706">
          <cell r="C5706" t="str">
            <v>4504 - HAND DRIVN FASTNR (NAILS,SCRW</v>
          </cell>
          <cell r="D5706" t="str">
            <v>MF79416</v>
          </cell>
          <cell r="BA5706">
            <v>0.25</v>
          </cell>
        </row>
        <row r="5707">
          <cell r="C5707" t="str">
            <v>4504 - HAND DRIVN FASTNR (NAILS,SCRW</v>
          </cell>
          <cell r="D5707" t="str">
            <v>MF79417</v>
          </cell>
          <cell r="BA5707">
            <v>0.28999999999999998</v>
          </cell>
        </row>
        <row r="5708">
          <cell r="C5708" t="str">
            <v>4504 - HAND DRIVN FASTNR (NAILS,SCRW</v>
          </cell>
          <cell r="D5708" t="str">
            <v>MF79418</v>
          </cell>
          <cell r="BA5708">
            <v>0.33</v>
          </cell>
        </row>
        <row r="5709">
          <cell r="C5709" t="str">
            <v>4504 - HAND DRIVN FASTNR (NAILS,SCRW</v>
          </cell>
          <cell r="D5709" t="str">
            <v>MF79421</v>
          </cell>
          <cell r="BA5709">
            <v>0.22</v>
          </cell>
        </row>
        <row r="5710">
          <cell r="C5710" t="str">
            <v>4504 - HAND DRIVN FASTNR (NAILS,SCRW</v>
          </cell>
          <cell r="D5710" t="str">
            <v>MF79422</v>
          </cell>
          <cell r="BA5710">
            <v>0.24</v>
          </cell>
        </row>
        <row r="5711">
          <cell r="C5711" t="str">
            <v>4504 - HAND DRIVN FASTNR (NAILS,SCRW</v>
          </cell>
          <cell r="D5711" t="str">
            <v>MF79423</v>
          </cell>
          <cell r="BA5711">
            <v>0.28999999999999998</v>
          </cell>
        </row>
        <row r="5712">
          <cell r="C5712" t="str">
            <v>4504 - HAND DRIVN FASTNR (NAILS,SCRW</v>
          </cell>
          <cell r="D5712" t="str">
            <v>MF79424</v>
          </cell>
          <cell r="BA5712">
            <v>0.35</v>
          </cell>
        </row>
        <row r="5713">
          <cell r="C5713" t="str">
            <v>4504 - HAND DRIVN FASTNR (NAILS,SCRW</v>
          </cell>
          <cell r="D5713" t="str">
            <v>MF79425</v>
          </cell>
          <cell r="BA5713">
            <v>0.45</v>
          </cell>
        </row>
        <row r="5714">
          <cell r="C5714" t="str">
            <v>4504 - HAND DRIVN FASTNR (NAILS,SCRW</v>
          </cell>
          <cell r="D5714" t="str">
            <v>MF79426</v>
          </cell>
          <cell r="BA5714">
            <v>0.33</v>
          </cell>
        </row>
        <row r="5715">
          <cell r="C5715" t="str">
            <v>4504 - HAND DRIVN FASTNR (NAILS,SCRW</v>
          </cell>
          <cell r="D5715" t="str">
            <v>MF79427</v>
          </cell>
          <cell r="BA5715">
            <v>0.37</v>
          </cell>
        </row>
        <row r="5716">
          <cell r="C5716" t="str">
            <v>4504 - HAND DRIVN FASTNR (NAILS,SCRW</v>
          </cell>
          <cell r="D5716" t="str">
            <v>MF79428</v>
          </cell>
          <cell r="BA5716">
            <v>0.42</v>
          </cell>
        </row>
        <row r="5717">
          <cell r="C5717" t="str">
            <v>4504 - HAND DRIVN FASTNR (NAILS,SCRW</v>
          </cell>
          <cell r="D5717" t="str">
            <v>MF79431</v>
          </cell>
          <cell r="BA5717">
            <v>0.47</v>
          </cell>
        </row>
        <row r="5718">
          <cell r="C5718" t="str">
            <v>4504 - HAND DRIVN FASTNR (NAILS,SCRW</v>
          </cell>
          <cell r="D5718" t="str">
            <v>MF79432</v>
          </cell>
          <cell r="BA5718">
            <v>0.54</v>
          </cell>
        </row>
        <row r="5719">
          <cell r="C5719" t="str">
            <v>4504 - HAND DRIVN FASTNR (NAILS,SCRW</v>
          </cell>
          <cell r="D5719" t="str">
            <v>MF79441</v>
          </cell>
          <cell r="BA5719">
            <v>0.1</v>
          </cell>
        </row>
        <row r="5720">
          <cell r="C5720" t="str">
            <v>4504 - HAND DRIVN FASTNR (NAILS,SCRW</v>
          </cell>
          <cell r="D5720" t="str">
            <v>MF79442</v>
          </cell>
          <cell r="BA5720">
            <v>0.12</v>
          </cell>
        </row>
        <row r="5721">
          <cell r="C5721" t="str">
            <v>4504 - HAND DRIVN FASTNR (NAILS,SCRW</v>
          </cell>
          <cell r="D5721" t="str">
            <v>MF79443</v>
          </cell>
          <cell r="BA5721">
            <v>0.12</v>
          </cell>
        </row>
        <row r="5722">
          <cell r="C5722" t="str">
            <v>4504 - HAND DRIVN FASTNR (NAILS,SCRW</v>
          </cell>
          <cell r="D5722" t="str">
            <v>MF79444</v>
          </cell>
          <cell r="BA5722">
            <v>0.13</v>
          </cell>
        </row>
        <row r="5723">
          <cell r="C5723" t="str">
            <v>4504 - HAND DRIVN FASTNR (NAILS,SCRW</v>
          </cell>
          <cell r="D5723" t="str">
            <v>MF79445</v>
          </cell>
          <cell r="BA5723">
            <v>0.12</v>
          </cell>
        </row>
        <row r="5724">
          <cell r="C5724" t="str">
            <v>4504 - HAND DRIVN FASTNR (NAILS,SCRW</v>
          </cell>
          <cell r="D5724" t="str">
            <v>MF79446</v>
          </cell>
          <cell r="BA5724">
            <v>0.13</v>
          </cell>
        </row>
        <row r="5725">
          <cell r="C5725" t="str">
            <v>4504 - HAND DRIVN FASTNR (NAILS,SCRW</v>
          </cell>
          <cell r="D5725" t="str">
            <v>MF79447</v>
          </cell>
          <cell r="BA5725">
            <v>0.13</v>
          </cell>
        </row>
        <row r="5726">
          <cell r="C5726" t="str">
            <v>4504 - HAND DRIVN FASTNR (NAILS,SCRW</v>
          </cell>
          <cell r="D5726" t="str">
            <v>MF79448</v>
          </cell>
          <cell r="BA5726">
            <v>0.14000000000000001</v>
          </cell>
        </row>
        <row r="5727">
          <cell r="C5727" t="str">
            <v>4504 - HAND DRIVN FASTNR (NAILS,SCRW</v>
          </cell>
          <cell r="D5727" t="str">
            <v>MF79451</v>
          </cell>
          <cell r="BA5727">
            <v>0.16</v>
          </cell>
        </row>
        <row r="5728">
          <cell r="C5728" t="str">
            <v>4504 - HAND DRIVN FASTNR (NAILS,SCRW</v>
          </cell>
          <cell r="D5728" t="str">
            <v>MF79452</v>
          </cell>
          <cell r="BA5728">
            <v>0.21</v>
          </cell>
        </row>
        <row r="5729">
          <cell r="C5729" t="str">
            <v>4504 - HAND DRIVN FASTNR (NAILS,SCRW</v>
          </cell>
          <cell r="D5729" t="str">
            <v>MF79453</v>
          </cell>
          <cell r="BA5729">
            <v>0.21</v>
          </cell>
        </row>
        <row r="5730">
          <cell r="C5730" t="str">
            <v>4504 - HAND DRIVN FASTNR (NAILS,SCRW</v>
          </cell>
          <cell r="D5730" t="str">
            <v>MF79454</v>
          </cell>
          <cell r="BA5730">
            <v>0.21</v>
          </cell>
        </row>
        <row r="5731">
          <cell r="C5731" t="str">
            <v>4504 - HAND DRIVN FASTNR (NAILS,SCRW</v>
          </cell>
          <cell r="D5731" t="str">
            <v>MF79455</v>
          </cell>
          <cell r="BA5731">
            <v>0.23</v>
          </cell>
        </row>
        <row r="5732">
          <cell r="C5732" t="str">
            <v>4504 - HAND DRIVN FASTNR (NAILS,SCRW</v>
          </cell>
          <cell r="D5732" t="str">
            <v>MF79456</v>
          </cell>
          <cell r="BA5732">
            <v>0.24</v>
          </cell>
        </row>
        <row r="5733">
          <cell r="C5733" t="str">
            <v>4504 - HAND DRIVN FASTNR (NAILS,SCRW</v>
          </cell>
          <cell r="D5733" t="str">
            <v>MF79457</v>
          </cell>
          <cell r="BA5733">
            <v>0.33</v>
          </cell>
        </row>
        <row r="5734">
          <cell r="C5734" t="str">
            <v>4504 - HAND DRIVN FASTNR (NAILS,SCRW</v>
          </cell>
          <cell r="D5734" t="str">
            <v>MF79458</v>
          </cell>
          <cell r="BA5734">
            <v>0.37</v>
          </cell>
        </row>
        <row r="5735">
          <cell r="C5735" t="str">
            <v>4504 - HAND DRIVN FASTNR (NAILS,SCRW</v>
          </cell>
          <cell r="D5735" t="str">
            <v>MF79461</v>
          </cell>
          <cell r="BA5735">
            <v>0.23</v>
          </cell>
        </row>
        <row r="5736">
          <cell r="C5736" t="str">
            <v>4504 - HAND DRIVN FASTNR (NAILS,SCRW</v>
          </cell>
          <cell r="D5736" t="str">
            <v>MF79462</v>
          </cell>
          <cell r="BA5736">
            <v>0.27</v>
          </cell>
        </row>
        <row r="5737">
          <cell r="C5737" t="str">
            <v>4504 - HAND DRIVN FASTNR (NAILS,SCRW</v>
          </cell>
          <cell r="D5737" t="str">
            <v>MF79463</v>
          </cell>
          <cell r="BA5737">
            <v>0.28999999999999998</v>
          </cell>
        </row>
        <row r="5738">
          <cell r="C5738" t="str">
            <v>4504 - HAND DRIVN FASTNR (NAILS,SCRW</v>
          </cell>
          <cell r="D5738" t="str">
            <v>MF79464</v>
          </cell>
          <cell r="BA5738">
            <v>0.34</v>
          </cell>
        </row>
        <row r="5739">
          <cell r="C5739" t="str">
            <v>4504 - HAND DRIVN FASTNR (NAILS,SCRW</v>
          </cell>
          <cell r="D5739" t="str">
            <v>MF79465</v>
          </cell>
          <cell r="BA5739">
            <v>0.43</v>
          </cell>
        </row>
        <row r="5740">
          <cell r="C5740" t="str">
            <v>4504 - HAND DRIVN FASTNR (NAILS,SCRW</v>
          </cell>
          <cell r="D5740" t="str">
            <v>MF79466</v>
          </cell>
          <cell r="BA5740">
            <v>0.31</v>
          </cell>
        </row>
        <row r="5741">
          <cell r="C5741" t="str">
            <v>4504 - HAND DRIVN FASTNR (NAILS,SCRW</v>
          </cell>
          <cell r="D5741" t="str">
            <v>MF79467</v>
          </cell>
          <cell r="BA5741">
            <v>0.38</v>
          </cell>
        </row>
        <row r="5742">
          <cell r="C5742" t="str">
            <v>4504 - HAND DRIVN FASTNR (NAILS,SCRW</v>
          </cell>
          <cell r="D5742" t="str">
            <v>MF79468</v>
          </cell>
          <cell r="BA5742">
            <v>0.38</v>
          </cell>
        </row>
        <row r="5743">
          <cell r="C5743" t="str">
            <v>4504 - HAND DRIVN FASTNR (NAILS,SCRW</v>
          </cell>
          <cell r="D5743" t="str">
            <v>MF79471</v>
          </cell>
          <cell r="BA5743">
            <v>0.42</v>
          </cell>
        </row>
        <row r="5744">
          <cell r="C5744" t="str">
            <v>4504 - HAND DRIVN FASTNR (NAILS,SCRW</v>
          </cell>
          <cell r="D5744" t="str">
            <v>MF79472</v>
          </cell>
          <cell r="BA5744">
            <v>0.53</v>
          </cell>
        </row>
        <row r="5745">
          <cell r="C5745" t="str">
            <v>4504 - HAND DRIVN FASTNR (NAILS,SCRW</v>
          </cell>
          <cell r="D5745" t="str">
            <v>MF930981</v>
          </cell>
          <cell r="BA5745">
            <v>0.17</v>
          </cell>
        </row>
        <row r="5746">
          <cell r="C5746" t="str">
            <v>4504 - HAND DRIVN FASTNR (NAILS,SCRW</v>
          </cell>
          <cell r="D5746" t="str">
            <v>MF930981EA</v>
          </cell>
          <cell r="BA5746">
            <v>0.17</v>
          </cell>
        </row>
        <row r="5747">
          <cell r="C5747" t="str">
            <v>4504 - HAND DRIVN FASTNR (NAILS,SCRW</v>
          </cell>
          <cell r="D5747" t="str">
            <v>MF930982</v>
          </cell>
          <cell r="BA5747">
            <v>9.5299999999999994</v>
          </cell>
        </row>
        <row r="5748">
          <cell r="C5748" t="str">
            <v>4504 - HAND DRIVN FASTNR (NAILS,SCRW</v>
          </cell>
          <cell r="D5748" t="str">
            <v>MF930982EA</v>
          </cell>
          <cell r="BA5748">
            <v>0.17</v>
          </cell>
        </row>
        <row r="5749">
          <cell r="C5749" t="str">
            <v>4504 - HAND DRIVN FASTNR (NAILS,SCRW</v>
          </cell>
          <cell r="D5749" t="str">
            <v>MF930983</v>
          </cell>
          <cell r="BA5749">
            <v>9.5299999999999994</v>
          </cell>
        </row>
        <row r="5750">
          <cell r="C5750" t="str">
            <v>4504 - HAND DRIVN FASTNR (NAILS,SCRW</v>
          </cell>
          <cell r="D5750" t="str">
            <v>MF930983EA</v>
          </cell>
          <cell r="BA5750">
            <v>0.19</v>
          </cell>
        </row>
        <row r="5751">
          <cell r="C5751" t="str">
            <v>4504 - HAND DRIVN FASTNR (NAILS,SCRW</v>
          </cell>
          <cell r="D5751" t="str">
            <v>MF930984</v>
          </cell>
          <cell r="BA5751">
            <v>7.62</v>
          </cell>
        </row>
        <row r="5752">
          <cell r="C5752" t="str">
            <v>4504 - HAND DRIVN FASTNR (NAILS,SCRW</v>
          </cell>
          <cell r="D5752" t="str">
            <v>MF930984EA</v>
          </cell>
          <cell r="BA5752">
            <v>0.17</v>
          </cell>
        </row>
        <row r="5753">
          <cell r="C5753" t="str">
            <v>4504 - HAND DRIVN FASTNR (NAILS,SCRW</v>
          </cell>
          <cell r="D5753" t="str">
            <v>MF930985</v>
          </cell>
          <cell r="BA5753">
            <v>7.95</v>
          </cell>
        </row>
        <row r="5754">
          <cell r="C5754" t="str">
            <v>4504 - HAND DRIVN FASTNR (NAILS,SCRW</v>
          </cell>
          <cell r="D5754" t="str">
            <v>MF930985EA</v>
          </cell>
          <cell r="BA5754">
            <v>0.23</v>
          </cell>
        </row>
        <row r="5755">
          <cell r="C5755" t="str">
            <v>4504 - HAND DRIVN FASTNR (NAILS,SCRW</v>
          </cell>
          <cell r="D5755" t="str">
            <v>MF930986</v>
          </cell>
          <cell r="BA5755">
            <v>7.95</v>
          </cell>
        </row>
        <row r="5756">
          <cell r="C5756" t="str">
            <v>4504 - HAND DRIVN FASTNR (NAILS,SCRW</v>
          </cell>
          <cell r="D5756" t="str">
            <v>MF930986EA</v>
          </cell>
          <cell r="BA5756">
            <v>0.21</v>
          </cell>
        </row>
        <row r="5757">
          <cell r="C5757" t="str">
            <v>4504 - HAND DRIVN FASTNR (NAILS,SCRW</v>
          </cell>
          <cell r="D5757" t="str">
            <v>MF930987</v>
          </cell>
          <cell r="BA5757">
            <v>5.68</v>
          </cell>
        </row>
        <row r="5758">
          <cell r="C5758" t="str">
            <v>4504 - HAND DRIVN FASTNR (NAILS,SCRW</v>
          </cell>
          <cell r="D5758" t="str">
            <v>MF930987EA</v>
          </cell>
          <cell r="BA5758">
            <v>0.21</v>
          </cell>
        </row>
        <row r="5759">
          <cell r="C5759" t="str">
            <v>4504 - HAND DRIVN FASTNR (NAILS,SCRW</v>
          </cell>
          <cell r="D5759" t="str">
            <v>MF930988</v>
          </cell>
          <cell r="BA5759">
            <v>10.26</v>
          </cell>
        </row>
        <row r="5760">
          <cell r="C5760" t="str">
            <v>4504 - HAND DRIVN FASTNR (NAILS,SCRW</v>
          </cell>
          <cell r="D5760" t="str">
            <v>MF930988EA</v>
          </cell>
          <cell r="BA5760">
            <v>0.23</v>
          </cell>
        </row>
        <row r="5761">
          <cell r="C5761" t="str">
            <v>4504 - HAND DRIVN FASTNR (NAILS,SCRW</v>
          </cell>
          <cell r="D5761" t="str">
            <v>MF930991</v>
          </cell>
          <cell r="BA5761">
            <v>10.79</v>
          </cell>
        </row>
        <row r="5762">
          <cell r="C5762" t="str">
            <v>4504 - HAND DRIVN FASTNR (NAILS,SCRW</v>
          </cell>
          <cell r="D5762" t="str">
            <v>MF930991EA</v>
          </cell>
          <cell r="BA5762">
            <v>0.28000000000000003</v>
          </cell>
        </row>
        <row r="5763">
          <cell r="C5763" t="str">
            <v>4504 - HAND DRIVN FASTNR (NAILS,SCRW</v>
          </cell>
          <cell r="D5763" t="str">
            <v>MF930992</v>
          </cell>
          <cell r="BA5763">
            <v>7.71</v>
          </cell>
        </row>
        <row r="5764">
          <cell r="C5764" t="str">
            <v>4504 - HAND DRIVN FASTNR (NAILS,SCRW</v>
          </cell>
          <cell r="D5764" t="str">
            <v>MF930992EA</v>
          </cell>
          <cell r="BA5764">
            <v>0.28000000000000003</v>
          </cell>
        </row>
        <row r="5765">
          <cell r="C5765" t="str">
            <v>4504 - HAND DRIVN FASTNR (NAILS,SCRW</v>
          </cell>
          <cell r="D5765" t="str">
            <v>MF930993</v>
          </cell>
          <cell r="BA5765">
            <v>6.17</v>
          </cell>
        </row>
        <row r="5766">
          <cell r="C5766" t="str">
            <v>4504 - HAND DRIVN FASTNR (NAILS,SCRW</v>
          </cell>
          <cell r="D5766" t="str">
            <v>MF930993EA</v>
          </cell>
          <cell r="BA5766">
            <v>0.31</v>
          </cell>
        </row>
        <row r="5767">
          <cell r="C5767" t="str">
            <v>4504 - HAND DRIVN FASTNR (NAILS,SCRW</v>
          </cell>
          <cell r="D5767" t="str">
            <v>MF930994</v>
          </cell>
          <cell r="BA5767">
            <v>5.78</v>
          </cell>
        </row>
        <row r="5768">
          <cell r="C5768" t="str">
            <v>4504 - HAND DRIVN FASTNR (NAILS,SCRW</v>
          </cell>
          <cell r="D5768" t="str">
            <v>MF930994EA</v>
          </cell>
          <cell r="BA5768">
            <v>0.35</v>
          </cell>
        </row>
        <row r="5769">
          <cell r="C5769" t="str">
            <v>4504 - HAND DRIVN FASTNR (NAILS,SCRW</v>
          </cell>
          <cell r="D5769" t="str">
            <v>MF930995</v>
          </cell>
          <cell r="BA5769">
            <v>4.63</v>
          </cell>
        </row>
        <row r="5770">
          <cell r="C5770" t="str">
            <v>4504 - HAND DRIVN FASTNR (NAILS,SCRW</v>
          </cell>
          <cell r="D5770" t="str">
            <v>MF930995EA</v>
          </cell>
          <cell r="BA5770">
            <v>0.35</v>
          </cell>
        </row>
        <row r="5771">
          <cell r="C5771" t="str">
            <v>4504 - HAND DRIVN FASTNR (NAILS,SCRW</v>
          </cell>
          <cell r="D5771" t="str">
            <v>MF930996</v>
          </cell>
          <cell r="BA5771">
            <v>4.17</v>
          </cell>
        </row>
        <row r="5772">
          <cell r="C5772" t="str">
            <v>4504 - HAND DRIVN FASTNR (NAILS,SCRW</v>
          </cell>
          <cell r="D5772" t="str">
            <v>MF930996EA</v>
          </cell>
          <cell r="BA5772">
            <v>0.37</v>
          </cell>
        </row>
        <row r="5773">
          <cell r="C5773" t="str">
            <v>4504 - HAND DRIVN FASTNR (NAILS,SCRW</v>
          </cell>
          <cell r="D5773" t="str">
            <v>MF930997</v>
          </cell>
          <cell r="BA5773">
            <v>3.64</v>
          </cell>
        </row>
        <row r="5774">
          <cell r="C5774" t="str">
            <v>4504 - HAND DRIVN FASTNR (NAILS,SCRW</v>
          </cell>
          <cell r="D5774" t="str">
            <v>MF930997EA</v>
          </cell>
          <cell r="BA5774">
            <v>0.46</v>
          </cell>
        </row>
        <row r="5775">
          <cell r="C5775" t="str">
            <v>4504 - HAND DRIVN FASTNR (NAILS,SCRW</v>
          </cell>
          <cell r="D5775" t="str">
            <v>MF932681</v>
          </cell>
          <cell r="BA5775">
            <v>0.14000000000000001</v>
          </cell>
        </row>
        <row r="5776">
          <cell r="C5776" t="str">
            <v>4504 - HAND DRIVN FASTNR (NAILS,SCRW</v>
          </cell>
          <cell r="D5776" t="str">
            <v>MF932682</v>
          </cell>
          <cell r="BA5776">
            <v>0.15</v>
          </cell>
        </row>
        <row r="5777">
          <cell r="C5777" t="str">
            <v>4504 - HAND DRIVN FASTNR (NAILS,SCRW</v>
          </cell>
          <cell r="D5777" t="str">
            <v>MF932683</v>
          </cell>
          <cell r="BA5777">
            <v>0.17</v>
          </cell>
        </row>
        <row r="5778">
          <cell r="C5778" t="str">
            <v>4504 - HAND DRIVN FASTNR (NAILS,SCRW</v>
          </cell>
          <cell r="D5778" t="str">
            <v>MF932684</v>
          </cell>
          <cell r="BA5778">
            <v>0.18</v>
          </cell>
        </row>
        <row r="5779">
          <cell r="C5779" t="str">
            <v>4504 - HAND DRIVN FASTNR (NAILS,SCRW</v>
          </cell>
          <cell r="D5779" t="str">
            <v>MF932685</v>
          </cell>
          <cell r="BA5779">
            <v>0.21</v>
          </cell>
        </row>
        <row r="5780">
          <cell r="C5780" t="str">
            <v>4504 - HAND DRIVN FASTNR (NAILS,SCRW</v>
          </cell>
          <cell r="D5780" t="str">
            <v>MF932686</v>
          </cell>
          <cell r="BA5780">
            <v>0.23</v>
          </cell>
        </row>
        <row r="5781">
          <cell r="C5781" t="str">
            <v>4504 - HAND DRIVN FASTNR (NAILS,SCRW</v>
          </cell>
          <cell r="D5781" t="str">
            <v>MF932687</v>
          </cell>
          <cell r="BA5781">
            <v>1.53</v>
          </cell>
        </row>
        <row r="5782">
          <cell r="C5782" t="str">
            <v>4504 - HAND DRIVN FASTNR (NAILS,SCRW</v>
          </cell>
          <cell r="D5782" t="str">
            <v>MF932688</v>
          </cell>
          <cell r="BA5782">
            <v>0.37</v>
          </cell>
        </row>
        <row r="5783">
          <cell r="C5783" t="str">
            <v>4504 - HAND DRIVN FASTNR (NAILS,SCRW</v>
          </cell>
          <cell r="D5783" t="str">
            <v>MF932701</v>
          </cell>
          <cell r="BA5783">
            <v>0.37</v>
          </cell>
        </row>
        <row r="5784">
          <cell r="C5784" t="str">
            <v>4504 - HAND DRIVN FASTNR (NAILS,SCRW</v>
          </cell>
          <cell r="D5784" t="str">
            <v>MF932702</v>
          </cell>
          <cell r="BA5784">
            <v>0.28999999999999998</v>
          </cell>
        </row>
        <row r="5785">
          <cell r="C5785" t="str">
            <v>4504 - HAND DRIVN FASTNR (NAILS,SCRW</v>
          </cell>
          <cell r="D5785" t="str">
            <v>MF932703</v>
          </cell>
          <cell r="BA5785">
            <v>0.28999999999999998</v>
          </cell>
        </row>
        <row r="5786">
          <cell r="C5786" t="str">
            <v>4504 - HAND DRIVN FASTNR (NAILS,SCRW</v>
          </cell>
          <cell r="D5786" t="str">
            <v>MF932704</v>
          </cell>
          <cell r="BA5786">
            <v>0.28999999999999998</v>
          </cell>
        </row>
        <row r="5787">
          <cell r="C5787" t="str">
            <v>4504 - HAND DRIVN FASTNR (NAILS,SCRW</v>
          </cell>
          <cell r="D5787" t="str">
            <v>MF932705</v>
          </cell>
          <cell r="BA5787">
            <v>0.36</v>
          </cell>
        </row>
        <row r="5788">
          <cell r="C5788" t="str">
            <v>4504 - HAND DRIVN FASTNR (NAILS,SCRW</v>
          </cell>
          <cell r="D5788" t="str">
            <v>MF932706</v>
          </cell>
          <cell r="BA5788">
            <v>0.38</v>
          </cell>
        </row>
        <row r="5789">
          <cell r="C5789" t="str">
            <v>4504 - HAND DRIVN FASTNR (NAILS,SCRW</v>
          </cell>
          <cell r="D5789" t="str">
            <v>MF932707</v>
          </cell>
          <cell r="BA5789">
            <v>0.45</v>
          </cell>
        </row>
        <row r="5790">
          <cell r="C5790" t="str">
            <v>4504 - HAND DRIVN FASTNR (NAILS,SCRW</v>
          </cell>
          <cell r="D5790" t="str">
            <v>MF932708</v>
          </cell>
          <cell r="BA5790">
            <v>0.56999999999999995</v>
          </cell>
        </row>
        <row r="5791">
          <cell r="C5791" t="str">
            <v>4504 - HAND DRIVN FASTNR (NAILS,SCRW</v>
          </cell>
          <cell r="D5791" t="str">
            <v>MF932721</v>
          </cell>
          <cell r="BA5791">
            <v>0.31</v>
          </cell>
        </row>
        <row r="5792">
          <cell r="C5792" t="str">
            <v>4504 - HAND DRIVN FASTNR (NAILS,SCRW</v>
          </cell>
          <cell r="D5792" t="str">
            <v>MF932722</v>
          </cell>
          <cell r="BA5792">
            <v>0.42</v>
          </cell>
        </row>
        <row r="5793">
          <cell r="C5793" t="str">
            <v>4504 - HAND DRIVN FASTNR (NAILS,SCRW</v>
          </cell>
          <cell r="D5793" t="str">
            <v>MF932723</v>
          </cell>
          <cell r="BA5793">
            <v>0.49</v>
          </cell>
        </row>
        <row r="5794">
          <cell r="C5794" t="str">
            <v>4504 - HAND DRIVN FASTNR (NAILS,SCRW</v>
          </cell>
          <cell r="D5794" t="str">
            <v>MF932724</v>
          </cell>
          <cell r="BA5794">
            <v>0.56000000000000005</v>
          </cell>
        </row>
        <row r="5795">
          <cell r="C5795" t="str">
            <v>4504 - HAND DRIVN FASTNR (NAILS,SCRW</v>
          </cell>
          <cell r="D5795" t="str">
            <v>MF932725</v>
          </cell>
          <cell r="BA5795">
            <v>0.63</v>
          </cell>
        </row>
        <row r="5796">
          <cell r="C5796" t="str">
            <v>4504 - HAND DRIVN FASTNR (NAILS,SCRW</v>
          </cell>
          <cell r="D5796" t="str">
            <v>MF932726</v>
          </cell>
          <cell r="BA5796">
            <v>0.73</v>
          </cell>
        </row>
        <row r="5797">
          <cell r="C5797" t="str">
            <v>4504 - HAND DRIVN FASTNR (NAILS,SCRW</v>
          </cell>
          <cell r="D5797" t="str">
            <v>MF09663EA</v>
          </cell>
          <cell r="BA5797">
            <v>0.38</v>
          </cell>
        </row>
        <row r="5798">
          <cell r="C5798" t="str">
            <v>4504 - HAND DRIVN FASTNR (NAILS,SCRW</v>
          </cell>
          <cell r="D5798" t="str">
            <v>NN345070</v>
          </cell>
          <cell r="BA5798">
            <v>108.97</v>
          </cell>
        </row>
        <row r="5799">
          <cell r="C5799" t="str">
            <v>4504 - HAND DRIVN FASTNR (NAILS,SCRW</v>
          </cell>
          <cell r="D5799" t="str">
            <v>POW50113MG</v>
          </cell>
          <cell r="BA5799">
            <v>18.690000000000001</v>
          </cell>
        </row>
        <row r="5800">
          <cell r="C5800" t="str">
            <v>4504 - HAND DRIVN FASTNR (NAILS,SCRW</v>
          </cell>
          <cell r="D5800" t="str">
            <v>ITW1508</v>
          </cell>
          <cell r="BA5800">
            <v>4.8600000000000003</v>
          </cell>
        </row>
        <row r="5801">
          <cell r="C5801" t="str">
            <v>4504 - HAND DRIVN FASTNR (NAILS,SCRW</v>
          </cell>
          <cell r="D5801" t="str">
            <v>ITW00774</v>
          </cell>
          <cell r="BA5801">
            <v>8.14</v>
          </cell>
        </row>
        <row r="5802">
          <cell r="C5802" t="str">
            <v>4504 - HAND DRIVN FASTNR (NAILS,SCRW</v>
          </cell>
          <cell r="D5802" t="str">
            <v>ITW1524</v>
          </cell>
          <cell r="BA5802">
            <v>11.72</v>
          </cell>
        </row>
        <row r="5803">
          <cell r="C5803" t="str">
            <v>4504 - HAND DRIVN FASTNR (NAILS,SCRW</v>
          </cell>
          <cell r="D5803" t="str">
            <v>ITW00786</v>
          </cell>
          <cell r="BA5803">
            <v>9.92</v>
          </cell>
        </row>
        <row r="5804">
          <cell r="C5804" t="str">
            <v>4504 - HAND DRIVN FASTNR (NAILS,SCRW</v>
          </cell>
          <cell r="D5804" t="str">
            <v>H812009EA</v>
          </cell>
          <cell r="BA5804">
            <v>0.14000000000000001</v>
          </cell>
        </row>
        <row r="5805">
          <cell r="C5805" t="str">
            <v>4504 - HAND DRIVN FASTNR (NAILS,SCRW</v>
          </cell>
          <cell r="D5805" t="str">
            <v>H812033EA</v>
          </cell>
          <cell r="BA5805">
            <v>0.18</v>
          </cell>
        </row>
        <row r="5806">
          <cell r="C5806" t="str">
            <v>4504 - HAND DRIVN FASTNR (NAILS,SCRW</v>
          </cell>
          <cell r="D5806" t="str">
            <v>H812042EA</v>
          </cell>
          <cell r="BA5806">
            <v>0.38</v>
          </cell>
        </row>
        <row r="5807">
          <cell r="C5807" t="str">
            <v>4504 - HAND DRIVN FASTNR (NAILS,SCRW</v>
          </cell>
          <cell r="D5807" t="str">
            <v>H812065EA</v>
          </cell>
          <cell r="BA5807">
            <v>0.32</v>
          </cell>
        </row>
        <row r="5808">
          <cell r="C5808" t="str">
            <v>4504 - HAND DRIVN FASTNR (NAILS,SCRW</v>
          </cell>
          <cell r="D5808" t="str">
            <v>H812068EA</v>
          </cell>
          <cell r="BA5808">
            <v>0.26</v>
          </cell>
        </row>
        <row r="5809">
          <cell r="C5809" t="str">
            <v>4504 - HAND DRIVN FASTNR (NAILS,SCRW</v>
          </cell>
          <cell r="D5809" t="str">
            <v>H812074EA</v>
          </cell>
          <cell r="BA5809">
            <v>0.46</v>
          </cell>
        </row>
        <row r="5810">
          <cell r="C5810" t="str">
            <v>4504 - HAND DRIVN FASTNR (NAILS,SCRW</v>
          </cell>
          <cell r="D5810" t="str">
            <v>H812077EA</v>
          </cell>
          <cell r="BA5810">
            <v>0.48</v>
          </cell>
        </row>
        <row r="5811">
          <cell r="C5811" t="str">
            <v>4504 - HAND DRIVN FASTNR (NAILS,SCRW</v>
          </cell>
          <cell r="D5811" t="str">
            <v>H812080EA</v>
          </cell>
          <cell r="BA5811">
            <v>0.56999999999999995</v>
          </cell>
        </row>
        <row r="5812">
          <cell r="C5812" t="str">
            <v>4504 - HAND DRIVN FASTNR (NAILS,SCRW</v>
          </cell>
          <cell r="D5812" t="str">
            <v>H812082EA</v>
          </cell>
          <cell r="BA5812">
            <v>0.55000000000000004</v>
          </cell>
        </row>
        <row r="5813">
          <cell r="C5813" t="str">
            <v>4504 - HAND DRIVN FASTNR (NAILS,SCRW</v>
          </cell>
          <cell r="D5813" t="str">
            <v>H812095EA</v>
          </cell>
          <cell r="BA5813">
            <v>0.78</v>
          </cell>
        </row>
        <row r="5814">
          <cell r="C5814" t="str">
            <v>4504 - HAND DRIVN FASTNR (NAILS,SCRW</v>
          </cell>
          <cell r="D5814" t="str">
            <v>H812098EA</v>
          </cell>
          <cell r="BA5814">
            <v>0.74</v>
          </cell>
        </row>
        <row r="5815">
          <cell r="C5815" t="str">
            <v>4504 - HAND DRIVN FASTNR (NAILS,SCRW</v>
          </cell>
          <cell r="D5815" t="str">
            <v>H812099EA</v>
          </cell>
          <cell r="BA5815">
            <v>0.77</v>
          </cell>
        </row>
        <row r="5816">
          <cell r="C5816" t="str">
            <v>4504 - HAND DRIVN FASTNR (NAILS,SCRW</v>
          </cell>
          <cell r="D5816" t="str">
            <v>H812101EA</v>
          </cell>
          <cell r="BA5816">
            <v>1.1200000000000001</v>
          </cell>
        </row>
        <row r="5817">
          <cell r="C5817" t="str">
            <v>4504 - HAND DRIVN FASTNR (NAILS,SCRW</v>
          </cell>
          <cell r="D5817" t="str">
            <v>H812104EA</v>
          </cell>
          <cell r="BA5817">
            <v>1.0900000000000001</v>
          </cell>
        </row>
        <row r="5818">
          <cell r="C5818" t="str">
            <v>4504 - HAND DRIVN FASTNR (NAILS,SCRW</v>
          </cell>
          <cell r="D5818" t="str">
            <v>H812110EA</v>
          </cell>
          <cell r="BA5818">
            <v>1.99</v>
          </cell>
        </row>
        <row r="5819">
          <cell r="C5819" t="str">
            <v>4505 - PNEUMATIC FASTENERS, ACCESSORI</v>
          </cell>
          <cell r="D5819" t="str">
            <v>WSV212S</v>
          </cell>
          <cell r="BA5819">
            <v>126.92</v>
          </cell>
        </row>
        <row r="5820">
          <cell r="C5820" t="str">
            <v>4505 - PNEUMATIC FASTENERS, ACCESSORI</v>
          </cell>
          <cell r="D5820" t="str">
            <v>WSV3S</v>
          </cell>
          <cell r="BA5820">
            <v>94.69</v>
          </cell>
        </row>
        <row r="5821">
          <cell r="C5821" t="str">
            <v>4505 - PNEUMATIC FASTENERS, ACCESSORI</v>
          </cell>
          <cell r="D5821" t="str">
            <v>GRL14M</v>
          </cell>
          <cell r="BA5821">
            <v>7.65</v>
          </cell>
        </row>
        <row r="5822">
          <cell r="C5822" t="str">
            <v>4505 - PNEUMATIC FASTENERS, ACCESSORI</v>
          </cell>
          <cell r="D5822" t="str">
            <v>GR3148HG1M</v>
          </cell>
          <cell r="BA5822">
            <v>46.51</v>
          </cell>
        </row>
        <row r="5823">
          <cell r="C5823" t="str">
            <v>4505 - PNEUMATIC FASTENERS, ACCESSORI</v>
          </cell>
          <cell r="D5823" t="str">
            <v>GR31481M</v>
          </cell>
          <cell r="BA5823">
            <v>33.76</v>
          </cell>
        </row>
        <row r="5824">
          <cell r="C5824" t="str">
            <v>4505 - PNEUMATIC FASTENERS, ACCESSORI</v>
          </cell>
          <cell r="D5824" t="str">
            <v>GRC5R90DHG</v>
          </cell>
          <cell r="BA5824">
            <v>37.79</v>
          </cell>
        </row>
        <row r="5825">
          <cell r="C5825" t="str">
            <v>4505 - PNEUMATIC FASTENERS, ACCESSORI</v>
          </cell>
          <cell r="D5825" t="str">
            <v>GR312131HG</v>
          </cell>
          <cell r="BA5825">
            <v>162.35</v>
          </cell>
        </row>
        <row r="5826">
          <cell r="C5826" t="str">
            <v>4505 - PNEUMATIC FASTENERS, ACCESSORI</v>
          </cell>
          <cell r="D5826" t="str">
            <v>GR3141483M</v>
          </cell>
          <cell r="BA5826">
            <v>64.03</v>
          </cell>
        </row>
        <row r="5827">
          <cell r="C5827" t="str">
            <v>4505 - PNEUMATIC FASTENERS, ACCESSORI</v>
          </cell>
          <cell r="D5827" t="str">
            <v>GR31448HG3</v>
          </cell>
          <cell r="BA5827">
            <v>98.18</v>
          </cell>
        </row>
        <row r="5828">
          <cell r="C5828" t="str">
            <v>4505 - PNEUMATIC FASTENERS, ACCESSORI</v>
          </cell>
          <cell r="D5828" t="str">
            <v>GR3148HG</v>
          </cell>
          <cell r="BA5828">
            <v>122.21</v>
          </cell>
        </row>
        <row r="5829">
          <cell r="C5829" t="str">
            <v>4505 - PNEUMATIC FASTENERS, ACCESSORI</v>
          </cell>
          <cell r="D5829" t="str">
            <v>SP07Q125PBQ</v>
          </cell>
          <cell r="BA5829">
            <v>70.98</v>
          </cell>
        </row>
        <row r="5830">
          <cell r="C5830" t="str">
            <v>4505 - PNEUMATIC FASTENERS, ACCESSORI</v>
          </cell>
          <cell r="D5830" t="str">
            <v>SP0F250Y</v>
          </cell>
          <cell r="BA5830">
            <v>39.82</v>
          </cell>
        </row>
        <row r="5831">
          <cell r="C5831" t="str">
            <v>4505 - PNEUMATIC FASTENERS, ACCESSORI</v>
          </cell>
          <cell r="D5831" t="str">
            <v>GRMAXC62885</v>
          </cell>
          <cell r="BA5831">
            <v>71.37</v>
          </cell>
        </row>
        <row r="5832">
          <cell r="C5832" t="str">
            <v>4505 - PNEUMATIC FASTENERS, ACCESSORI</v>
          </cell>
          <cell r="D5832" t="str">
            <v>NN0013185</v>
          </cell>
          <cell r="BA5832">
            <v>3.58</v>
          </cell>
        </row>
        <row r="5833">
          <cell r="C5833" t="str">
            <v>4505 - PNEUMATIC FASTENERS, ACCESSORI</v>
          </cell>
          <cell r="D5833" t="str">
            <v>GR033HG1M</v>
          </cell>
          <cell r="BA5833">
            <v>39.68</v>
          </cell>
        </row>
        <row r="5834">
          <cell r="C5834" t="str">
            <v>4505 - PNEUMATIC FASTENERS, ACCESSORI</v>
          </cell>
          <cell r="D5834" t="str">
            <v>A102009</v>
          </cell>
          <cell r="BA5834">
            <v>13</v>
          </cell>
        </row>
        <row r="5835">
          <cell r="C5835" t="str">
            <v>4505 - PNEUMATIC FASTENERS, ACCESSORI</v>
          </cell>
          <cell r="D5835" t="str">
            <v>M003101</v>
          </cell>
          <cell r="BA5835">
            <v>65.12</v>
          </cell>
        </row>
        <row r="5836">
          <cell r="C5836" t="str">
            <v>4505 - PNEUMATIC FASTENERS, ACCESSORI</v>
          </cell>
          <cell r="D5836" t="str">
            <v>DPBWTYVSTSP</v>
          </cell>
          <cell r="BA5836">
            <v>52.92</v>
          </cell>
        </row>
        <row r="5837">
          <cell r="C5837" t="str">
            <v>4505 - PNEUMATIC FASTENERS, ACCESSORI</v>
          </cell>
          <cell r="D5837" t="str">
            <v>SPGC25ASBX</v>
          </cell>
          <cell r="BA5837">
            <v>96.14</v>
          </cell>
        </row>
        <row r="5838">
          <cell r="C5838" t="str">
            <v>4505 - PNEUMATIC FASTENERS, ACCESSORI</v>
          </cell>
          <cell r="D5838" t="str">
            <v>GD25AABF</v>
          </cell>
          <cell r="BA5838">
            <v>185.99</v>
          </cell>
        </row>
        <row r="5839">
          <cell r="C5839" t="str">
            <v>4505 - PNEUMATIC FASTENERS, ACCESSORI</v>
          </cell>
          <cell r="D5839" t="str">
            <v>FMF-5906-GNSC</v>
          </cell>
          <cell r="BA5839">
            <v>129.99</v>
          </cell>
        </row>
        <row r="5840">
          <cell r="C5840" t="str">
            <v>4505 - PNEUMATIC FASTENERS, ACCESSORI</v>
          </cell>
          <cell r="D5840" t="str">
            <v>GRF18112M</v>
          </cell>
          <cell r="BA5840">
            <v>3.8</v>
          </cell>
        </row>
        <row r="5841">
          <cell r="C5841" t="str">
            <v>4505 - PNEUMATIC FASTENERS, ACCESSORI</v>
          </cell>
          <cell r="D5841" t="str">
            <v>ITW00810</v>
          </cell>
          <cell r="BA5841">
            <v>6.12</v>
          </cell>
        </row>
        <row r="5842">
          <cell r="C5842" t="str">
            <v>4505 - PNEUMATIC FASTENERS, ACCESSORI</v>
          </cell>
          <cell r="D5842" t="str">
            <v>ITW1512SD</v>
          </cell>
          <cell r="BA5842">
            <v>10.71</v>
          </cell>
        </row>
        <row r="5843">
          <cell r="C5843" t="str">
            <v>4505 - PNEUMATIC FASTENERS, ACCESSORI</v>
          </cell>
          <cell r="D5843" t="str">
            <v>ITW1516SDE</v>
          </cell>
          <cell r="BA5843">
            <v>14.1</v>
          </cell>
        </row>
        <row r="5844">
          <cell r="C5844" t="str">
            <v>4505 - PNEUMATIC FASTENERS, ACCESSORI</v>
          </cell>
          <cell r="D5844" t="str">
            <v>ITW1524SDE</v>
          </cell>
          <cell r="BA5844">
            <v>29.92</v>
          </cell>
        </row>
        <row r="5845">
          <cell r="C5845" t="str">
            <v>4505 - PNEUMATIC FASTENERS, ACCESSORI</v>
          </cell>
          <cell r="D5845" t="str">
            <v>GR112HGJST1</v>
          </cell>
          <cell r="BA5845">
            <v>4.55</v>
          </cell>
        </row>
        <row r="5846">
          <cell r="C5846" t="str">
            <v>4505 - PNEUMATIC FASTENERS, ACCESSORI</v>
          </cell>
          <cell r="D5846" t="str">
            <v>MAXC62827</v>
          </cell>
          <cell r="BA5846">
            <v>147.97</v>
          </cell>
        </row>
        <row r="5847">
          <cell r="C5847" t="str">
            <v>4505 - PNEUMATIC FASTENERS, ACCESSORI</v>
          </cell>
          <cell r="D5847" t="str">
            <v>ARRSA316</v>
          </cell>
          <cell r="BA5847">
            <v>1.27</v>
          </cell>
        </row>
        <row r="5848">
          <cell r="C5848" t="str">
            <v>4505 - PNEUMATIC FASTENERS, ACCESSORI</v>
          </cell>
          <cell r="D5848" t="str">
            <v>AR50424</v>
          </cell>
          <cell r="BA5848">
            <v>2.25</v>
          </cell>
        </row>
        <row r="5849">
          <cell r="C5849" t="str">
            <v>4505 - PNEUMATIC FASTENERS, ACCESSORI</v>
          </cell>
          <cell r="D5849" t="str">
            <v>AR50524</v>
          </cell>
          <cell r="BA5849">
            <v>2.33</v>
          </cell>
        </row>
        <row r="5850">
          <cell r="C5850" t="str">
            <v>4505 - PNEUMATIC FASTENERS, ACCESSORI</v>
          </cell>
          <cell r="D5850" t="str">
            <v>AR50624</v>
          </cell>
          <cell r="BA5850">
            <v>2.71</v>
          </cell>
        </row>
        <row r="5851">
          <cell r="C5851" t="str">
            <v>4505 - PNEUMATIC FASTENERS, ACCESSORI</v>
          </cell>
          <cell r="D5851" t="str">
            <v>AR506SS1</v>
          </cell>
          <cell r="BA5851">
            <v>10.11</v>
          </cell>
        </row>
        <row r="5852">
          <cell r="C5852" t="str">
            <v>4505 - PNEUMATIC FASTENERS, ACCESSORI</v>
          </cell>
          <cell r="D5852" t="str">
            <v>AR50824</v>
          </cell>
          <cell r="BA5852">
            <v>2.86</v>
          </cell>
        </row>
        <row r="5853">
          <cell r="C5853" t="str">
            <v>4505 - PNEUMATIC FASTENERS, ACCESSORI</v>
          </cell>
          <cell r="D5853" t="str">
            <v>AR50CT24</v>
          </cell>
          <cell r="BA5853">
            <v>3.41</v>
          </cell>
        </row>
        <row r="5854">
          <cell r="C5854" t="str">
            <v>4505 - PNEUMATIC FASTENERS, ACCESSORI</v>
          </cell>
          <cell r="D5854" t="str">
            <v>NN0136044</v>
          </cell>
          <cell r="BA5854">
            <v>57.88</v>
          </cell>
        </row>
        <row r="5855">
          <cell r="C5855" t="str">
            <v>4505 - PNEUMATIC FASTENERS, ACCESSORI</v>
          </cell>
          <cell r="D5855" t="str">
            <v>GRA1138</v>
          </cell>
          <cell r="BA5855">
            <v>3.54</v>
          </cell>
        </row>
        <row r="5856">
          <cell r="C5856" t="str">
            <v>4505 - PNEUMATIC FASTENERS, ACCESSORI</v>
          </cell>
          <cell r="D5856" t="str">
            <v>A101009</v>
          </cell>
          <cell r="BA5856">
            <v>10.01</v>
          </cell>
        </row>
        <row r="5857">
          <cell r="C5857" t="str">
            <v>4505 - PNEUMATIC FASTENERS, ACCESSORI</v>
          </cell>
          <cell r="D5857" t="str">
            <v>A109809</v>
          </cell>
          <cell r="BA5857">
            <v>15.41</v>
          </cell>
        </row>
        <row r="5858">
          <cell r="C5858" t="str">
            <v>4505 - PNEUMATIC FASTENERS, ACCESSORI</v>
          </cell>
          <cell r="D5858" t="str">
            <v>A101509</v>
          </cell>
          <cell r="BA5858">
            <v>11.67</v>
          </cell>
        </row>
        <row r="5859">
          <cell r="C5859" t="str">
            <v>4505 - PNEUMATIC FASTENERS, ACCESSORI</v>
          </cell>
          <cell r="D5859" t="str">
            <v>MAXB64911</v>
          </cell>
          <cell r="BA5859">
            <v>12.95</v>
          </cell>
        </row>
        <row r="5860">
          <cell r="C5860" t="str">
            <v>4505 - PNEUMATIC FASTENERS, ACCESSORI</v>
          </cell>
          <cell r="D5860" t="str">
            <v>MAXB64912</v>
          </cell>
          <cell r="BA5860">
            <v>14.68</v>
          </cell>
        </row>
        <row r="5861">
          <cell r="C5861" t="str">
            <v>4505 - PNEUMATIC FASTENERS, ACCESSORI</v>
          </cell>
          <cell r="D5861" t="str">
            <v>MAXB64881</v>
          </cell>
          <cell r="BA5861">
            <v>42.67</v>
          </cell>
        </row>
        <row r="5862">
          <cell r="C5862" t="str">
            <v>4505 - PNEUMATIC FASTENERS, ACCESSORI</v>
          </cell>
          <cell r="D5862" t="str">
            <v>MAXB64880</v>
          </cell>
          <cell r="BA5862">
            <v>31.5</v>
          </cell>
        </row>
        <row r="5863">
          <cell r="C5863" t="str">
            <v>4505 - PNEUMATIC FASTENERS, ACCESSORI</v>
          </cell>
          <cell r="D5863" t="str">
            <v>GRMAXB64891</v>
          </cell>
          <cell r="BA5863">
            <v>34.590000000000003</v>
          </cell>
        </row>
        <row r="5864">
          <cell r="C5864" t="str">
            <v>4505 - PNEUMATIC FASTENERS, ACCESSORI</v>
          </cell>
          <cell r="D5864" t="str">
            <v>NN136260</v>
          </cell>
          <cell r="BA5864">
            <v>69.38</v>
          </cell>
        </row>
        <row r="5865">
          <cell r="C5865" t="str">
            <v>4505 - PNEUMATIC FASTENERS, ACCESSORI</v>
          </cell>
          <cell r="D5865" t="str">
            <v>GRF1834M</v>
          </cell>
          <cell r="BA5865">
            <v>3.79</v>
          </cell>
        </row>
        <row r="5866">
          <cell r="C5866" t="str">
            <v>4505 - PNEUMATIC FASTENERS, ACCESSORI</v>
          </cell>
          <cell r="D5866" t="str">
            <v>GRF181</v>
          </cell>
          <cell r="BA5866">
            <v>8.2200000000000006</v>
          </cell>
        </row>
        <row r="5867">
          <cell r="C5867" t="str">
            <v>4505 - PNEUMATIC FASTENERS, ACCESSORI</v>
          </cell>
          <cell r="D5867" t="str">
            <v>GRF181M</v>
          </cell>
          <cell r="BA5867">
            <v>3.31</v>
          </cell>
        </row>
        <row r="5868">
          <cell r="C5868" t="str">
            <v>4505 - PNEUMATIC FASTENERS, ACCESSORI</v>
          </cell>
          <cell r="D5868" t="str">
            <v>GRF18114</v>
          </cell>
          <cell r="BA5868">
            <v>9.5</v>
          </cell>
        </row>
        <row r="5869">
          <cell r="C5869" t="str">
            <v>4505 - PNEUMATIC FASTENERS, ACCESSORI</v>
          </cell>
          <cell r="D5869" t="str">
            <v>GRF182M</v>
          </cell>
          <cell r="BA5869">
            <v>5.9</v>
          </cell>
        </row>
        <row r="5870">
          <cell r="C5870" t="str">
            <v>4505 - PNEUMATIC FASTENERS, ACCESSORI</v>
          </cell>
          <cell r="D5870" t="str">
            <v>GRF18112</v>
          </cell>
          <cell r="BA5870">
            <v>11.12</v>
          </cell>
        </row>
        <row r="5871">
          <cell r="C5871" t="str">
            <v>4505 - PNEUMATIC FASTENERS, ACCESSORI</v>
          </cell>
          <cell r="D5871" t="str">
            <v>GRF161M</v>
          </cell>
          <cell r="BA5871">
            <v>6.65</v>
          </cell>
        </row>
        <row r="5872">
          <cell r="C5872" t="str">
            <v>4505 - PNEUMATIC FASTENERS, ACCESSORI</v>
          </cell>
          <cell r="D5872" t="str">
            <v>GRF16114M</v>
          </cell>
          <cell r="BA5872">
            <v>7.08</v>
          </cell>
        </row>
        <row r="5873">
          <cell r="C5873" t="str">
            <v>4505 - PNEUMATIC FASTENERS, ACCESSORI</v>
          </cell>
          <cell r="D5873" t="str">
            <v>GRF16112M</v>
          </cell>
          <cell r="BA5873">
            <v>6.85</v>
          </cell>
        </row>
        <row r="5874">
          <cell r="C5874" t="str">
            <v>4505 - PNEUMATIC FASTENERS, ACCESSORI</v>
          </cell>
          <cell r="D5874" t="str">
            <v>GRF16114</v>
          </cell>
          <cell r="BA5874">
            <v>11.83</v>
          </cell>
        </row>
        <row r="5875">
          <cell r="C5875" t="str">
            <v>4505 - PNEUMATIC FASTENERS, ACCESSORI</v>
          </cell>
          <cell r="D5875" t="str">
            <v>GRF18114M</v>
          </cell>
          <cell r="BA5875">
            <v>3.71</v>
          </cell>
        </row>
        <row r="5876">
          <cell r="C5876" t="str">
            <v>4505 - PNEUMATIC FASTENERS, ACCESSORI</v>
          </cell>
          <cell r="D5876" t="str">
            <v>GRF18134M</v>
          </cell>
          <cell r="BA5876">
            <v>4.3099999999999996</v>
          </cell>
        </row>
        <row r="5877">
          <cell r="C5877" t="str">
            <v>4505 - PNEUMATIC FASTENERS, ACCESSORI</v>
          </cell>
          <cell r="D5877" t="str">
            <v>GRF18134</v>
          </cell>
          <cell r="BA5877">
            <v>12.53</v>
          </cell>
        </row>
        <row r="5878">
          <cell r="C5878" t="str">
            <v>4505 - PNEUMATIC FASTENERS, ACCESSORI</v>
          </cell>
          <cell r="D5878" t="str">
            <v>GRF182</v>
          </cell>
          <cell r="BA5878">
            <v>14</v>
          </cell>
        </row>
        <row r="5879">
          <cell r="C5879" t="str">
            <v>4505 - PNEUMATIC FASTENERS, ACCESSORI</v>
          </cell>
          <cell r="D5879" t="str">
            <v>ITWC5RS27</v>
          </cell>
          <cell r="BA5879">
            <v>13.59</v>
          </cell>
        </row>
        <row r="5880">
          <cell r="C5880" t="str">
            <v>4505 - PNEUMATIC FASTENERS, ACCESSORI</v>
          </cell>
          <cell r="D5880" t="str">
            <v>ITW42CW</v>
          </cell>
          <cell r="BA5880">
            <v>8.1</v>
          </cell>
        </row>
        <row r="5881">
          <cell r="C5881" t="str">
            <v>4505 - PNEUMATIC FASTENERS, ACCESSORI</v>
          </cell>
          <cell r="D5881" t="str">
            <v>ITW1516SDC</v>
          </cell>
          <cell r="BA5881">
            <v>13.46</v>
          </cell>
        </row>
        <row r="5882">
          <cell r="C5882" t="str">
            <v>4505 - PNEUMATIC FASTENERS, ACCESSORI</v>
          </cell>
          <cell r="D5882" t="str">
            <v>ITW1524SDP</v>
          </cell>
          <cell r="BA5882">
            <v>14.04</v>
          </cell>
        </row>
        <row r="5883">
          <cell r="C5883" t="str">
            <v>4505 - PNEUMATIC FASTENERS, ACCESSORI</v>
          </cell>
          <cell r="D5883" t="str">
            <v>PGP200C1MBK</v>
          </cell>
          <cell r="BA5883">
            <v>45.99</v>
          </cell>
        </row>
        <row r="5884">
          <cell r="C5884" t="str">
            <v>4505 - PNEUMATIC FASTENERS, ACCESSORI</v>
          </cell>
          <cell r="D5884" t="str">
            <v>GRDA17GL</v>
          </cell>
          <cell r="BA5884">
            <v>30.9</v>
          </cell>
        </row>
        <row r="5885">
          <cell r="C5885" t="str">
            <v>4505 - PNEUMATIC FASTENERS, ACCESSORI</v>
          </cell>
          <cell r="D5885" t="str">
            <v>GD21APBF</v>
          </cell>
          <cell r="BA5885">
            <v>121.26</v>
          </cell>
        </row>
        <row r="5886">
          <cell r="C5886" t="str">
            <v>4505 - PNEUMATIC FASTENERS, ACCESSORI</v>
          </cell>
          <cell r="D5886" t="str">
            <v>GD21AABF</v>
          </cell>
          <cell r="BA5886">
            <v>140.54</v>
          </cell>
        </row>
        <row r="5887">
          <cell r="C5887" t="str">
            <v>4505 - PNEUMATIC FASTENERS, ACCESSORI</v>
          </cell>
          <cell r="D5887" t="str">
            <v>GRDA19GL</v>
          </cell>
          <cell r="BA5887">
            <v>41.26</v>
          </cell>
        </row>
        <row r="5888">
          <cell r="C5888" t="str">
            <v>4505 - PNEUMATIC FASTENERS, ACCESSORI</v>
          </cell>
          <cell r="D5888" t="str">
            <v>SP9S0001N</v>
          </cell>
          <cell r="BA5888">
            <v>189.76</v>
          </cell>
        </row>
        <row r="5889">
          <cell r="C5889" t="str">
            <v>4505 - PNEUMATIC FASTENERS, ACCESSORI</v>
          </cell>
          <cell r="D5889" t="str">
            <v>GRDA15GLM</v>
          </cell>
          <cell r="BA5889">
            <v>17.23</v>
          </cell>
        </row>
        <row r="5890">
          <cell r="C5890" t="str">
            <v>4505 - PNEUMATIC FASTENERS, ACCESSORI</v>
          </cell>
          <cell r="D5890" t="str">
            <v>GRDA19GLM</v>
          </cell>
          <cell r="BA5890">
            <v>14.65</v>
          </cell>
        </row>
        <row r="5891">
          <cell r="C5891" t="str">
            <v>4505 - PNEUMATIC FASTENERS, ACCESSORI</v>
          </cell>
          <cell r="D5891" t="str">
            <v>GRDA23GLM</v>
          </cell>
          <cell r="BA5891">
            <v>20.95</v>
          </cell>
        </row>
        <row r="5892">
          <cell r="C5892" t="str">
            <v>4505 - PNEUMATIC FASTENERS, ACCESSORI</v>
          </cell>
          <cell r="D5892" t="str">
            <v>HPNV45AB2S</v>
          </cell>
          <cell r="BA5892">
            <v>347.69</v>
          </cell>
        </row>
        <row r="5893">
          <cell r="C5893" t="str">
            <v>4505 - PNEUMATIC FASTENERS, ACCESSORI</v>
          </cell>
          <cell r="D5893" t="str">
            <v>07247MM</v>
          </cell>
          <cell r="BA5893">
            <v>18.579999999999998</v>
          </cell>
        </row>
        <row r="5894">
          <cell r="C5894" t="str">
            <v>4505 - PNEUMATIC FASTENERS, ACCESSORI</v>
          </cell>
          <cell r="D5894" t="str">
            <v>FMFFTT006B-250</v>
          </cell>
          <cell r="BA5894">
            <v>152.31</v>
          </cell>
        </row>
        <row r="5895">
          <cell r="C5895" t="str">
            <v>4505 - PNEUMATIC FASTENERS, ACCESSORI</v>
          </cell>
          <cell r="D5895" t="str">
            <v>PAS650605</v>
          </cell>
          <cell r="BA5895">
            <v>290.73</v>
          </cell>
        </row>
        <row r="5896">
          <cell r="C5896" t="str">
            <v>4505 - PNEUMATIC FASTENERS, ACCESSORI</v>
          </cell>
          <cell r="D5896" t="str">
            <v>HGCDJVRXB5M</v>
          </cell>
          <cell r="BA5896">
            <v>40.130000000000003</v>
          </cell>
        </row>
        <row r="5897">
          <cell r="C5897" t="str">
            <v>4505 - PNEUMATIC FASTENERS, ACCESSORI</v>
          </cell>
          <cell r="D5897" t="str">
            <v>HGCDJVTXB5M</v>
          </cell>
          <cell r="BA5897">
            <v>67.92</v>
          </cell>
        </row>
        <row r="5898">
          <cell r="C5898" t="str">
            <v>4505 - PNEUMATIC FASTENERS, ACCESSORI</v>
          </cell>
          <cell r="D5898" t="str">
            <v>HGCDKXTXB5M</v>
          </cell>
          <cell r="BA5898">
            <v>93.41</v>
          </cell>
        </row>
        <row r="5899">
          <cell r="C5899" t="str">
            <v>4505 - PNEUMATIC FASTENERS, ACCESSORI</v>
          </cell>
          <cell r="D5899" t="str">
            <v>HGCCJVRXB3M</v>
          </cell>
          <cell r="BA5899">
            <v>31.64</v>
          </cell>
        </row>
        <row r="5900">
          <cell r="C5900" t="str">
            <v>4505 - PNEUMATIC FASTENERS, ACCESSORI</v>
          </cell>
          <cell r="D5900" t="str">
            <v>HGCCITUWB36M</v>
          </cell>
          <cell r="BA5900">
            <v>141.56</v>
          </cell>
        </row>
        <row r="5901">
          <cell r="C5901" t="str">
            <v>4505 - PNEUMATIC FASTENERS, ACCESSORI</v>
          </cell>
          <cell r="D5901" t="str">
            <v>HGCCJVTXB3M</v>
          </cell>
          <cell r="BA5901">
            <v>44.24</v>
          </cell>
        </row>
        <row r="5902">
          <cell r="C5902" t="str">
            <v>4505 - PNEUMATIC FASTENERS, ACCESSORI</v>
          </cell>
          <cell r="D5902" t="str">
            <v>GRC8RD</v>
          </cell>
          <cell r="BA5902">
            <v>41.01</v>
          </cell>
        </row>
        <row r="5903">
          <cell r="C5903" t="str">
            <v>4505 - PNEUMATIC FASTENERS, ACCESSORI</v>
          </cell>
          <cell r="D5903" t="str">
            <v>N19BAB</v>
          </cell>
          <cell r="BA5903">
            <v>102.46</v>
          </cell>
        </row>
        <row r="5904">
          <cell r="C5904" t="str">
            <v>4505 - PNEUMATIC FASTENERS, ACCESSORI</v>
          </cell>
          <cell r="D5904" t="str">
            <v>STCR50193/8-1M</v>
          </cell>
          <cell r="BA5904">
            <v>5.41</v>
          </cell>
        </row>
        <row r="5905">
          <cell r="C5905" t="str">
            <v>4505 - PNEUMATIC FASTENERS, ACCESSORI</v>
          </cell>
          <cell r="D5905" t="str">
            <v>KD27APBF</v>
          </cell>
          <cell r="BA5905">
            <v>127.58</v>
          </cell>
        </row>
        <row r="5906">
          <cell r="C5906" t="str">
            <v>4505 - PNEUMATIC FASTENERS, ACCESSORI</v>
          </cell>
          <cell r="D5906" t="str">
            <v>KD28APBF</v>
          </cell>
          <cell r="BA5906">
            <v>127.65</v>
          </cell>
        </row>
        <row r="5907">
          <cell r="C5907" t="str">
            <v>4505 - PNEUMATIC FASTENERS, ACCESSORI</v>
          </cell>
          <cell r="D5907" t="str">
            <v>GL24ASBF</v>
          </cell>
          <cell r="BA5907">
            <v>75.94</v>
          </cell>
        </row>
        <row r="5908">
          <cell r="C5908" t="str">
            <v>4505 - PNEUMATIC FASTENERS, ACCESSORI</v>
          </cell>
          <cell r="D5908" t="str">
            <v>GL24APBF</v>
          </cell>
          <cell r="BA5908">
            <v>134.63999999999999</v>
          </cell>
        </row>
        <row r="5909">
          <cell r="C5909" t="str">
            <v>4505 - PNEUMATIC FASTENERS, ACCESSORI</v>
          </cell>
          <cell r="D5909" t="str">
            <v>DA21EABN</v>
          </cell>
          <cell r="BA5909">
            <v>103.5</v>
          </cell>
        </row>
        <row r="5910">
          <cell r="C5910" t="str">
            <v>4505 - PNEUMATIC FASTENERS, ACCESSORI</v>
          </cell>
          <cell r="D5910" t="str">
            <v>SPKC27APBX</v>
          </cell>
          <cell r="BA5910">
            <v>61.51</v>
          </cell>
        </row>
        <row r="5911">
          <cell r="C5911" t="str">
            <v>4505 - PNEUMATIC FASTENERS, ACCESSORI</v>
          </cell>
          <cell r="D5911" t="str">
            <v>KC27ASBX</v>
          </cell>
          <cell r="BA5911">
            <v>77.38</v>
          </cell>
        </row>
        <row r="5912">
          <cell r="C5912" t="str">
            <v>4505 - PNEUMATIC FASTENERS, ACCESSORI</v>
          </cell>
          <cell r="D5912" t="str">
            <v>GC24APBX</v>
          </cell>
          <cell r="BA5912">
            <v>43.23</v>
          </cell>
        </row>
        <row r="5913">
          <cell r="C5913" t="str">
            <v>4505 - PNEUMATIC FASTENERS, ACCESSORI</v>
          </cell>
          <cell r="D5913" t="str">
            <v>GRF16112</v>
          </cell>
          <cell r="BA5913">
            <v>7.76</v>
          </cell>
        </row>
        <row r="5914">
          <cell r="C5914" t="str">
            <v>4505 - PNEUMATIC FASTENERS, ACCESSORI</v>
          </cell>
          <cell r="D5914" t="str">
            <v>GRF16112SS</v>
          </cell>
          <cell r="BA5914">
            <v>37.04</v>
          </cell>
        </row>
        <row r="5915">
          <cell r="C5915" t="str">
            <v>4505 - PNEUMATIC FASTENERS, ACCESSORI</v>
          </cell>
          <cell r="D5915" t="str">
            <v>GRF162M</v>
          </cell>
          <cell r="BA5915">
            <v>8.77</v>
          </cell>
        </row>
        <row r="5916">
          <cell r="C5916" t="str">
            <v>4505 - PNEUMATIC FASTENERS, ACCESSORI</v>
          </cell>
          <cell r="D5916" t="str">
            <v>GRF162</v>
          </cell>
          <cell r="BA5916">
            <v>10.119999999999999</v>
          </cell>
        </row>
        <row r="5917">
          <cell r="C5917" t="str">
            <v>4505 - PNEUMATIC FASTENERS, ACCESSORI</v>
          </cell>
          <cell r="D5917" t="str">
            <v>GRF16212</v>
          </cell>
          <cell r="BA5917">
            <v>11.79</v>
          </cell>
        </row>
        <row r="5918">
          <cell r="C5918" t="str">
            <v>4505 - PNEUMATIC FASTENERS, ACCESSORI</v>
          </cell>
          <cell r="D5918" t="str">
            <v>GRF16212M</v>
          </cell>
          <cell r="BA5918">
            <v>10.38</v>
          </cell>
        </row>
        <row r="5919">
          <cell r="C5919" t="str">
            <v>4505 - PNEUMATIC FASTENERS, ACCESSORI</v>
          </cell>
          <cell r="D5919" t="str">
            <v>GRC8PD</v>
          </cell>
          <cell r="BA5919">
            <v>33.76</v>
          </cell>
        </row>
        <row r="5920">
          <cell r="C5920" t="str">
            <v>4505 - PNEUMATIC FASTENERS, ACCESSORI</v>
          </cell>
          <cell r="D5920" t="str">
            <v>08D300W</v>
          </cell>
          <cell r="BA5920">
            <v>54.94</v>
          </cell>
        </row>
        <row r="5921">
          <cell r="C5921" t="str">
            <v>4505 - PNEUMATIC FASTENERS, ACCESSORI</v>
          </cell>
          <cell r="D5921" t="str">
            <v>SPCZ21EAAR</v>
          </cell>
          <cell r="BA5921">
            <v>10.68</v>
          </cell>
        </row>
        <row r="5922">
          <cell r="C5922" t="str">
            <v>4505 - PNEUMATIC FASTENERS, ACCESSORI</v>
          </cell>
          <cell r="D5922" t="str">
            <v>AS404</v>
          </cell>
          <cell r="BA5922">
            <v>1.53</v>
          </cell>
        </row>
        <row r="5923">
          <cell r="C5923" t="str">
            <v>4505 - PNEUMATIC FASTENERS, ACCESSORI</v>
          </cell>
          <cell r="D5923" t="str">
            <v>MAXC62875</v>
          </cell>
          <cell r="BA5923">
            <v>57.86</v>
          </cell>
        </row>
        <row r="5924">
          <cell r="C5924" t="str">
            <v>4505 - PNEUMATIC FASTENERS, ACCESSORI</v>
          </cell>
          <cell r="D5924" t="str">
            <v>134SS15CN36</v>
          </cell>
          <cell r="BA5924">
            <v>132.6</v>
          </cell>
        </row>
        <row r="5925">
          <cell r="C5925" t="str">
            <v>4505 - PNEUMATIC FASTENERS, ACCESSORI</v>
          </cell>
          <cell r="D5925" t="str">
            <v>GRMAXC62876</v>
          </cell>
          <cell r="BA5925">
            <v>59.68</v>
          </cell>
        </row>
        <row r="5926">
          <cell r="C5926" t="str">
            <v>4505 - PNEUMATIC FASTENERS, ACCESSORI</v>
          </cell>
          <cell r="D5926" t="str">
            <v>GRJH4DHG1M</v>
          </cell>
          <cell r="BA5926">
            <v>38.619999999999997</v>
          </cell>
        </row>
        <row r="5927">
          <cell r="C5927" t="str">
            <v>4505 - PNEUMATIC FASTENERS, ACCESSORI</v>
          </cell>
          <cell r="D5927" t="str">
            <v>GR033HG</v>
          </cell>
          <cell r="BA5927">
            <v>110.6</v>
          </cell>
        </row>
        <row r="5928">
          <cell r="C5928" t="str">
            <v>4505 - PNEUMATIC FASTENERS, ACCESSORI</v>
          </cell>
          <cell r="D5928" t="str">
            <v>AR60930</v>
          </cell>
          <cell r="BA5928">
            <v>2.63</v>
          </cell>
        </row>
        <row r="5929">
          <cell r="C5929" t="str">
            <v>4505 - PNEUMATIC FASTENERS, ACCESSORI</v>
          </cell>
          <cell r="D5929" t="str">
            <v>GRDA21SSL</v>
          </cell>
          <cell r="BA5929">
            <v>102.88</v>
          </cell>
        </row>
        <row r="5930">
          <cell r="C5930" t="str">
            <v>4505 - PNEUMATIC FASTENERS, ACCESSORI</v>
          </cell>
          <cell r="D5930" t="str">
            <v>GRF162SS</v>
          </cell>
          <cell r="BA5930">
            <v>45.68</v>
          </cell>
        </row>
        <row r="5931">
          <cell r="C5931" t="str">
            <v>4505 - PNEUMATIC FASTENERS, ACCESSORI</v>
          </cell>
          <cell r="D5931" t="str">
            <v>GRC10PDHG</v>
          </cell>
          <cell r="BA5931">
            <v>49.04</v>
          </cell>
        </row>
        <row r="5932">
          <cell r="C5932" t="str">
            <v>4505 - PNEUMATIC FASTENERS, ACCESSORI</v>
          </cell>
          <cell r="D5932" t="str">
            <v>GRC10RDHG</v>
          </cell>
          <cell r="BA5932">
            <v>69.06</v>
          </cell>
        </row>
        <row r="5933">
          <cell r="C5933" t="str">
            <v>4505 - PNEUMATIC FASTENERS, ACCESSORI</v>
          </cell>
          <cell r="D5933" t="str">
            <v>GR034HG</v>
          </cell>
          <cell r="BA5933">
            <v>116.3</v>
          </cell>
        </row>
        <row r="5934">
          <cell r="C5934" t="str">
            <v>4505 - PNEUMATIC FASTENERS, ACCESSORI</v>
          </cell>
          <cell r="D5934" t="str">
            <v>GR09HG1M</v>
          </cell>
          <cell r="BA5934">
            <v>27.28</v>
          </cell>
        </row>
        <row r="5935">
          <cell r="C5935" t="str">
            <v>4505 - PNEUMATIC FASTENERS, ACCESSORI</v>
          </cell>
          <cell r="D5935" t="str">
            <v>GR408HG</v>
          </cell>
          <cell r="BA5935">
            <v>102.09</v>
          </cell>
        </row>
        <row r="5936">
          <cell r="C5936" t="str">
            <v>4505 - PNEUMATIC FASTENERS, ACCESSORI</v>
          </cell>
          <cell r="D5936" t="str">
            <v>GRDA25SSL</v>
          </cell>
          <cell r="BA5936">
            <v>128.79</v>
          </cell>
        </row>
        <row r="5937">
          <cell r="C5937" t="str">
            <v>4505 - PNEUMATIC FASTENERS, ACCESSORI</v>
          </cell>
          <cell r="D5937" t="str">
            <v>GR08RHG</v>
          </cell>
          <cell r="BA5937">
            <v>90.33</v>
          </cell>
        </row>
        <row r="5938">
          <cell r="C5938" t="str">
            <v>4505 - PNEUMATIC FASTENERS, ACCESSORI</v>
          </cell>
          <cell r="D5938" t="str">
            <v>GRC8R90DHG</v>
          </cell>
          <cell r="BA5938">
            <v>50.69</v>
          </cell>
        </row>
        <row r="5939">
          <cell r="C5939" t="str">
            <v>4505 - PNEUMATIC FASTENERS, ACCESSORI</v>
          </cell>
          <cell r="D5939" t="str">
            <v>GRC8PDHG</v>
          </cell>
          <cell r="BA5939">
            <v>65.64</v>
          </cell>
        </row>
        <row r="5940">
          <cell r="C5940" t="str">
            <v>4505 - PNEUMATIC FASTENERS, ACCESSORI</v>
          </cell>
          <cell r="D5940" t="str">
            <v>GRL11</v>
          </cell>
          <cell r="BA5940">
            <v>7</v>
          </cell>
        </row>
        <row r="5941">
          <cell r="C5941" t="str">
            <v>4505 - PNEUMATIC FASTENERS, ACCESSORI</v>
          </cell>
          <cell r="D5941" t="str">
            <v>GRL13</v>
          </cell>
          <cell r="BA5941">
            <v>8.91</v>
          </cell>
        </row>
        <row r="5942">
          <cell r="C5942" t="str">
            <v>4505 - PNEUMATIC FASTENERS, ACCESSORI</v>
          </cell>
          <cell r="D5942" t="str">
            <v>GRL14</v>
          </cell>
          <cell r="BA5942">
            <v>15.01</v>
          </cell>
        </row>
        <row r="5943">
          <cell r="C5943" t="str">
            <v>4505 - PNEUMATIC FASTENERS, ACCESSORI</v>
          </cell>
          <cell r="D5943" t="str">
            <v>GRL15</v>
          </cell>
          <cell r="BA5943">
            <v>10.68</v>
          </cell>
        </row>
        <row r="5944">
          <cell r="C5944" t="str">
            <v>4505 - PNEUMATIC FASTENERS, ACCESSORI</v>
          </cell>
          <cell r="D5944" t="str">
            <v>GRL17</v>
          </cell>
          <cell r="BA5944">
            <v>12.9</v>
          </cell>
        </row>
        <row r="5945">
          <cell r="C5945" t="str">
            <v>4505 - PNEUMATIC FASTENERS, ACCESSORI</v>
          </cell>
          <cell r="D5945" t="str">
            <v>GRL17M</v>
          </cell>
          <cell r="BA5945">
            <v>4.9000000000000004</v>
          </cell>
        </row>
        <row r="5946">
          <cell r="C5946" t="str">
            <v>4505 - PNEUMATIC FASTENERS, ACCESSORI</v>
          </cell>
          <cell r="D5946" t="str">
            <v>GRL17SS</v>
          </cell>
          <cell r="BA5946">
            <v>90.45</v>
          </cell>
        </row>
        <row r="5947">
          <cell r="C5947" t="str">
            <v>4505 - PNEUMATIC FASTENERS, ACCESSORI</v>
          </cell>
          <cell r="D5947" t="str">
            <v>GRN17</v>
          </cell>
          <cell r="BA5947">
            <v>35.51</v>
          </cell>
        </row>
        <row r="5948">
          <cell r="C5948" t="str">
            <v>4505 - PNEUMATIC FASTENERS, ACCESSORI</v>
          </cell>
          <cell r="D5948" t="str">
            <v>GRN15</v>
          </cell>
          <cell r="BA5948">
            <v>33.9</v>
          </cell>
        </row>
        <row r="5949">
          <cell r="C5949" t="str">
            <v>4505 - PNEUMATIC FASTENERS, ACCESSORI</v>
          </cell>
          <cell r="D5949" t="str">
            <v>GRN19</v>
          </cell>
          <cell r="BA5949">
            <v>41.18</v>
          </cell>
        </row>
        <row r="5950">
          <cell r="C5950" t="str">
            <v>4505 - PNEUMATIC FASTENERS, ACCESSORI</v>
          </cell>
          <cell r="D5950" t="str">
            <v>GRN21</v>
          </cell>
          <cell r="BA5950">
            <v>51.55</v>
          </cell>
        </row>
        <row r="5951">
          <cell r="C5951" t="str">
            <v>4505 - PNEUMATIC FASTENERS, ACCESSORI</v>
          </cell>
          <cell r="D5951" t="str">
            <v>GRP13</v>
          </cell>
          <cell r="BA5951">
            <v>39.68</v>
          </cell>
        </row>
        <row r="5952">
          <cell r="C5952" t="str">
            <v>4505 - PNEUMATIC FASTENERS, ACCESSORI</v>
          </cell>
          <cell r="D5952" t="str">
            <v>GRP15</v>
          </cell>
          <cell r="BA5952">
            <v>41.35</v>
          </cell>
        </row>
        <row r="5953">
          <cell r="C5953" t="str">
            <v>4505 - PNEUMATIC FASTENERS, ACCESSORI</v>
          </cell>
          <cell r="D5953" t="str">
            <v>GRP11</v>
          </cell>
          <cell r="BA5953">
            <v>34.58</v>
          </cell>
        </row>
        <row r="5954">
          <cell r="C5954" t="str">
            <v>4505 - PNEUMATIC FASTENERS, ACCESSORI</v>
          </cell>
          <cell r="D5954" t="str">
            <v>GRP10</v>
          </cell>
          <cell r="BA5954">
            <v>27.24</v>
          </cell>
        </row>
        <row r="5955">
          <cell r="C5955" t="str">
            <v>4505 - PNEUMATIC FASTENERS, ACCESSORI</v>
          </cell>
          <cell r="D5955" t="str">
            <v>GR07</v>
          </cell>
          <cell r="BA5955">
            <v>44.1</v>
          </cell>
        </row>
        <row r="5956">
          <cell r="C5956" t="str">
            <v>4505 - PNEUMATIC FASTENERS, ACCESSORI</v>
          </cell>
          <cell r="D5956" t="str">
            <v>GR014</v>
          </cell>
          <cell r="BA5956">
            <v>67.83</v>
          </cell>
        </row>
        <row r="5957">
          <cell r="C5957" t="str">
            <v>4505 - PNEUMATIC FASTENERS, ACCESSORI</v>
          </cell>
          <cell r="D5957" t="str">
            <v>GR071M</v>
          </cell>
          <cell r="BA5957">
            <v>19.22</v>
          </cell>
        </row>
        <row r="5958">
          <cell r="C5958" t="str">
            <v>4505 - PNEUMATIC FASTENERS, ACCESSORI</v>
          </cell>
          <cell r="D5958" t="str">
            <v>GR024</v>
          </cell>
          <cell r="BA5958">
            <v>78.14</v>
          </cell>
        </row>
        <row r="5959">
          <cell r="C5959" t="str">
            <v>4505 - PNEUMATIC FASTENERS, ACCESSORI</v>
          </cell>
          <cell r="D5959" t="str">
            <v>GR0241M</v>
          </cell>
          <cell r="BA5959">
            <v>29.68</v>
          </cell>
        </row>
        <row r="5960">
          <cell r="C5960" t="str">
            <v>4505 - PNEUMATIC FASTENERS, ACCESSORI</v>
          </cell>
          <cell r="D5960" t="str">
            <v>GR212131HG</v>
          </cell>
          <cell r="BA5960">
            <v>100.08</v>
          </cell>
        </row>
        <row r="5961">
          <cell r="C5961" t="str">
            <v>4505 - PNEUMATIC FASTENERS, ACCESSORI</v>
          </cell>
          <cell r="D5961" t="str">
            <v>GR212131</v>
          </cell>
          <cell r="BA5961">
            <v>71.180000000000007</v>
          </cell>
        </row>
        <row r="5962">
          <cell r="C5962" t="str">
            <v>4505 - PNEUMATIC FASTENERS, ACCESSORI</v>
          </cell>
          <cell r="D5962" t="str">
            <v>GR08RHG1M</v>
          </cell>
          <cell r="BA5962">
            <v>27.82</v>
          </cell>
        </row>
        <row r="5963">
          <cell r="C5963" t="str">
            <v>4505 - PNEUMATIC FASTENERS, ACCESSORI</v>
          </cell>
          <cell r="D5963" t="str">
            <v>GR08R1M</v>
          </cell>
          <cell r="BA5963">
            <v>19.920000000000002</v>
          </cell>
        </row>
        <row r="5964">
          <cell r="C5964" t="str">
            <v>4505 - PNEUMATIC FASTENERS, ACCESSORI</v>
          </cell>
          <cell r="D5964" t="str">
            <v>GR04HG1M</v>
          </cell>
          <cell r="BA5964">
            <v>25.94</v>
          </cell>
        </row>
        <row r="5965">
          <cell r="C5965" t="str">
            <v>4505 - PNEUMATIC FASTENERS, ACCESSORI</v>
          </cell>
          <cell r="D5965" t="str">
            <v>GR0141M</v>
          </cell>
          <cell r="BA5965">
            <v>28.19</v>
          </cell>
        </row>
        <row r="5966">
          <cell r="C5966" t="str">
            <v>4505 - PNEUMATIC FASTENERS, ACCESSORI</v>
          </cell>
          <cell r="D5966" t="str">
            <v>GR034HG1M</v>
          </cell>
          <cell r="BA5966">
            <v>37.85</v>
          </cell>
        </row>
        <row r="5967">
          <cell r="C5967" t="str">
            <v>4505 - PNEUMATIC FASTENERS, ACCESSORI</v>
          </cell>
          <cell r="D5967" t="str">
            <v>GR08R</v>
          </cell>
          <cell r="BA5967">
            <v>53.73</v>
          </cell>
        </row>
        <row r="5968">
          <cell r="C5968" t="str">
            <v>4505 - PNEUMATIC FASTENERS, ACCESSORI</v>
          </cell>
          <cell r="D5968" t="str">
            <v>GRCR2DGAL</v>
          </cell>
          <cell r="BA5968">
            <v>31.74</v>
          </cell>
        </row>
        <row r="5969">
          <cell r="C5969" t="str">
            <v>4505 - PNEUMATIC FASTENERS, ACCESSORI</v>
          </cell>
          <cell r="D5969" t="str">
            <v>GRCR2DCGAL</v>
          </cell>
          <cell r="BA5969">
            <v>40.71</v>
          </cell>
        </row>
        <row r="5970">
          <cell r="C5970" t="str">
            <v>4505 - PNEUMATIC FASTENERS, ACCESSORI</v>
          </cell>
          <cell r="D5970" t="str">
            <v>GRCR2DCHDG</v>
          </cell>
          <cell r="BA5970">
            <v>73.400000000000006</v>
          </cell>
        </row>
        <row r="5971">
          <cell r="C5971" t="str">
            <v>4505 - PNEUMATIC FASTENERS, ACCESSORI</v>
          </cell>
          <cell r="D5971" t="str">
            <v>GRCR19GAL</v>
          </cell>
          <cell r="BA5971">
            <v>39.31</v>
          </cell>
        </row>
        <row r="5972">
          <cell r="C5972" t="str">
            <v>4505 - PNEUMATIC FASTENERS, ACCESSORI</v>
          </cell>
          <cell r="D5972" t="str">
            <v>GRCR3DGAL</v>
          </cell>
          <cell r="BA5972">
            <v>32.86</v>
          </cell>
        </row>
        <row r="5973">
          <cell r="C5973" t="str">
            <v>4505 - PNEUMATIC FASTENERS, ACCESSORI</v>
          </cell>
          <cell r="D5973" t="str">
            <v>GRCR4DGAL</v>
          </cell>
          <cell r="BA5973">
            <v>49.23</v>
          </cell>
        </row>
        <row r="5974">
          <cell r="C5974" t="str">
            <v>4505 - PNEUMATIC FASTENERS, ACCESSORI</v>
          </cell>
          <cell r="D5974" t="str">
            <v>GRCR5DGAL</v>
          </cell>
          <cell r="BA5974">
            <v>51</v>
          </cell>
        </row>
        <row r="5975">
          <cell r="C5975" t="str">
            <v>4505 - PNEUMATIC FASTENERS, ACCESSORI</v>
          </cell>
          <cell r="D5975" t="str">
            <v>GRDA25GLM</v>
          </cell>
          <cell r="BA5975">
            <v>16.309999999999999</v>
          </cell>
        </row>
        <row r="5976">
          <cell r="C5976" t="str">
            <v>4505 - PNEUMATIC FASTENERS, ACCESSORI</v>
          </cell>
          <cell r="D5976" t="str">
            <v>GRC12PZD</v>
          </cell>
          <cell r="BA5976">
            <v>52.53</v>
          </cell>
        </row>
        <row r="5977">
          <cell r="C5977" t="str">
            <v>4505 - PNEUMATIC FASTENERS, ACCESSORI</v>
          </cell>
          <cell r="D5977" t="str">
            <v>GRDA21GL</v>
          </cell>
          <cell r="BA5977">
            <v>40.869999999999997</v>
          </cell>
        </row>
        <row r="5978">
          <cell r="C5978" t="str">
            <v>4505 - PNEUMATIC FASTENERS, ACCESSORI</v>
          </cell>
          <cell r="D5978" t="str">
            <v>GRDA21GLM</v>
          </cell>
          <cell r="BA5978">
            <v>13.21</v>
          </cell>
        </row>
        <row r="5979">
          <cell r="C5979" t="str">
            <v>4505 - PNEUMATIC FASTENERS, ACCESSORI</v>
          </cell>
          <cell r="D5979" t="str">
            <v>GRDA25GL</v>
          </cell>
          <cell r="BA5979">
            <v>49.6</v>
          </cell>
        </row>
        <row r="5980">
          <cell r="C5980" t="str">
            <v>4505 - PNEUMATIC FASTENERS, ACCESSORI</v>
          </cell>
          <cell r="D5980" t="str">
            <v>GRJH4DHT3</v>
          </cell>
          <cell r="BA5980">
            <v>60.23</v>
          </cell>
        </row>
        <row r="5981">
          <cell r="C5981" t="str">
            <v>4505 - PNEUMATIC FASTENERS, ACCESSORI</v>
          </cell>
          <cell r="D5981" t="str">
            <v>GRJH4D1M</v>
          </cell>
          <cell r="BA5981">
            <v>30.05</v>
          </cell>
        </row>
        <row r="5982">
          <cell r="C5982" t="str">
            <v>4505 - PNEUMATIC FASTENERS, ACCESSORI</v>
          </cell>
          <cell r="D5982" t="str">
            <v>MAXC62820</v>
          </cell>
          <cell r="BA5982">
            <v>132.1</v>
          </cell>
        </row>
        <row r="5983">
          <cell r="C5983" t="str">
            <v>4505 - PNEUMATIC FASTENERS, ACCESSORI</v>
          </cell>
          <cell r="D5983" t="str">
            <v>GRC10PZD</v>
          </cell>
          <cell r="BA5983">
            <v>49.53</v>
          </cell>
        </row>
        <row r="5984">
          <cell r="C5984" t="str">
            <v>4505 - PNEUMATIC FASTENERS, ACCESSORI</v>
          </cell>
          <cell r="D5984" t="str">
            <v>A100759</v>
          </cell>
          <cell r="BA5984">
            <v>23.27</v>
          </cell>
        </row>
        <row r="5985">
          <cell r="C5985" t="str">
            <v>4505 - PNEUMATIC FASTENERS, ACCESSORI</v>
          </cell>
          <cell r="D5985" t="str">
            <v>GR04HG</v>
          </cell>
          <cell r="BA5985">
            <v>90.56</v>
          </cell>
        </row>
        <row r="5986">
          <cell r="C5986" t="str">
            <v>4505 - PNEUMATIC FASTENERS, ACCESSORI</v>
          </cell>
          <cell r="D5986" t="str">
            <v>GRJH4DCHG</v>
          </cell>
          <cell r="BA5986">
            <v>82.12</v>
          </cell>
        </row>
        <row r="5987">
          <cell r="C5987" t="str">
            <v>4505 - PNEUMATIC FASTENERS, ACCESSORI</v>
          </cell>
          <cell r="D5987" t="str">
            <v>GRJH8DCHG</v>
          </cell>
          <cell r="BA5987">
            <v>85.72</v>
          </cell>
        </row>
        <row r="5988">
          <cell r="C5988" t="str">
            <v>4505 - PNEUMATIC FASTENERS, ACCESSORI</v>
          </cell>
          <cell r="D5988" t="str">
            <v>GRJH8DCHG1M</v>
          </cell>
          <cell r="BA5988">
            <v>54.99</v>
          </cell>
        </row>
        <row r="5989">
          <cell r="C5989" t="str">
            <v>4505 - PNEUMATIC FASTENERS, ACCESSORI</v>
          </cell>
          <cell r="D5989" t="str">
            <v>GRJH8162HG</v>
          </cell>
          <cell r="BA5989">
            <v>97.47</v>
          </cell>
        </row>
        <row r="5990">
          <cell r="C5990" t="str">
            <v>4505 - PNEUMATIC FASTENERS, ACCESSORI</v>
          </cell>
          <cell r="D5990" t="str">
            <v>GRJH8DHT25</v>
          </cell>
          <cell r="BA5990">
            <v>65.03</v>
          </cell>
        </row>
        <row r="5991">
          <cell r="C5991" t="str">
            <v>4505 - PNEUMATIC FASTENERS, ACCESSORI</v>
          </cell>
          <cell r="D5991" t="str">
            <v>GR3148</v>
          </cell>
          <cell r="BA5991">
            <v>77.849999999999994</v>
          </cell>
        </row>
        <row r="5992">
          <cell r="C5992" t="str">
            <v>4505 - PNEUMATIC FASTENERS, ACCESSORI</v>
          </cell>
          <cell r="D5992" t="str">
            <v>FAN314131</v>
          </cell>
          <cell r="BA5992">
            <v>95.67</v>
          </cell>
        </row>
        <row r="5993">
          <cell r="C5993" t="str">
            <v>4505 - PNEUMATIC FASTENERS, ACCESSORI</v>
          </cell>
          <cell r="D5993" t="str">
            <v>FAN34112148HTBX</v>
          </cell>
          <cell r="BA5993">
            <v>97.99</v>
          </cell>
        </row>
        <row r="5994">
          <cell r="C5994" t="str">
            <v>4505 - PNEUMATIC FASTENERS, ACCESSORI</v>
          </cell>
          <cell r="D5994" t="str">
            <v>FAN238113BX</v>
          </cell>
          <cell r="BA5994">
            <v>34.25</v>
          </cell>
        </row>
        <row r="5995">
          <cell r="C5995" t="str">
            <v>4505 - PNEUMATIC FASTENERS, ACCESSORI</v>
          </cell>
          <cell r="D5995" t="str">
            <v>FAN212131RHDC</v>
          </cell>
          <cell r="BA5995">
            <v>181.64</v>
          </cell>
        </row>
        <row r="5996">
          <cell r="C5996" t="str">
            <v>4506 - PLUMBING</v>
          </cell>
          <cell r="D5996" t="str">
            <v>IPEX027354</v>
          </cell>
          <cell r="BA5996">
            <v>4.99</v>
          </cell>
        </row>
        <row r="5997">
          <cell r="C5997" t="str">
            <v>4506 - PLUMBING</v>
          </cell>
          <cell r="D5997" t="str">
            <v>PP20201</v>
          </cell>
          <cell r="BA5997">
            <v>18.989999999999998</v>
          </cell>
        </row>
        <row r="5998">
          <cell r="C5998" t="str">
            <v>4506 - PLUMBING</v>
          </cell>
          <cell r="D5998" t="str">
            <v>PP20200</v>
          </cell>
          <cell r="BA5998">
            <v>22.99</v>
          </cell>
        </row>
        <row r="5999">
          <cell r="C5999" t="str">
            <v>4506 - PLUMBING</v>
          </cell>
          <cell r="D5999" t="str">
            <v>IPEX435519</v>
          </cell>
          <cell r="BA5999">
            <v>0.69</v>
          </cell>
        </row>
        <row r="6000">
          <cell r="C6000" t="str">
            <v>4506 - PLUMBING</v>
          </cell>
          <cell r="D6000" t="str">
            <v>OA31911</v>
          </cell>
          <cell r="BA6000">
            <v>9.99</v>
          </cell>
        </row>
        <row r="6001">
          <cell r="C6001" t="str">
            <v>4506 - PLUMBING</v>
          </cell>
          <cell r="D6001" t="str">
            <v>PP820-39</v>
          </cell>
          <cell r="BA6001">
            <v>3.99</v>
          </cell>
        </row>
        <row r="6002">
          <cell r="C6002" t="str">
            <v>4506 - PLUMBING</v>
          </cell>
          <cell r="D6002" t="str">
            <v>IPEX102851ABC</v>
          </cell>
          <cell r="BA6002">
            <v>4.99</v>
          </cell>
        </row>
        <row r="6003">
          <cell r="C6003" t="str">
            <v>4506 - PLUMBING</v>
          </cell>
          <cell r="D6003" t="str">
            <v>GENM32705</v>
          </cell>
          <cell r="BA6003">
            <v>2.79</v>
          </cell>
        </row>
        <row r="6004">
          <cell r="C6004" t="str">
            <v>4506 - PLUMBING</v>
          </cell>
          <cell r="D6004" t="str">
            <v>738116-12</v>
          </cell>
          <cell r="BA6004">
            <v>16.989999999999998</v>
          </cell>
        </row>
        <row r="6005">
          <cell r="C6005" t="str">
            <v>4506 - PLUMBING</v>
          </cell>
          <cell r="D6005" t="str">
            <v>IPEX102553BC</v>
          </cell>
          <cell r="BA6005">
            <v>21.99</v>
          </cell>
        </row>
        <row r="6006">
          <cell r="C6006" t="str">
            <v>4506 - PLUMBING</v>
          </cell>
          <cell r="D6006" t="str">
            <v>IPEX102126LBC</v>
          </cell>
          <cell r="BA6006">
            <v>4.99</v>
          </cell>
        </row>
        <row r="6007">
          <cell r="C6007" t="str">
            <v>4506 - PLUMBING</v>
          </cell>
          <cell r="D6007" t="str">
            <v>FCT0B030000</v>
          </cell>
          <cell r="BA6007">
            <v>10.99</v>
          </cell>
        </row>
        <row r="6008">
          <cell r="C6008" t="str">
            <v>4506 - PLUMBING</v>
          </cell>
          <cell r="D6008" t="str">
            <v>GEN80720</v>
          </cell>
          <cell r="BA6008">
            <v>6.99</v>
          </cell>
        </row>
        <row r="6009">
          <cell r="C6009" t="str">
            <v>4506 - PLUMBING</v>
          </cell>
          <cell r="D6009" t="str">
            <v>DAN88883</v>
          </cell>
          <cell r="BA6009">
            <v>9.99</v>
          </cell>
        </row>
        <row r="6010">
          <cell r="C6010" t="str">
            <v>4506 - PLUMBING</v>
          </cell>
          <cell r="D6010" t="str">
            <v>03040010</v>
          </cell>
          <cell r="BA6010">
            <v>14.99</v>
          </cell>
        </row>
        <row r="6011">
          <cell r="C6011" t="str">
            <v>4506 - PLUMBING</v>
          </cell>
          <cell r="D6011" t="str">
            <v>GEN81140</v>
          </cell>
          <cell r="BA6011">
            <v>29.99</v>
          </cell>
        </row>
        <row r="6012">
          <cell r="C6012" t="str">
            <v>4506 - PLUMBING</v>
          </cell>
          <cell r="D6012" t="str">
            <v>OA30902</v>
          </cell>
          <cell r="BA6012">
            <v>21.99</v>
          </cell>
        </row>
        <row r="6013">
          <cell r="C6013" t="str">
            <v>4506 - PLUMBING</v>
          </cell>
          <cell r="D6013" t="str">
            <v>GEN80243</v>
          </cell>
          <cell r="BA6013">
            <v>9.99</v>
          </cell>
        </row>
        <row r="6014">
          <cell r="C6014" t="str">
            <v>4506 - PLUMBING</v>
          </cell>
          <cell r="D6014" t="str">
            <v>PP800-2</v>
          </cell>
          <cell r="BA6014">
            <v>5.99</v>
          </cell>
        </row>
        <row r="6015">
          <cell r="C6015" t="str">
            <v>4506 - PLUMBING</v>
          </cell>
          <cell r="D6015" t="str">
            <v>PP23804</v>
          </cell>
          <cell r="BA6015">
            <v>5.39</v>
          </cell>
        </row>
        <row r="6016">
          <cell r="C6016" t="str">
            <v>4506 - PLUMBING</v>
          </cell>
          <cell r="D6016" t="str">
            <v>PS9323536</v>
          </cell>
          <cell r="BA6016">
            <v>2.79</v>
          </cell>
        </row>
        <row r="6017">
          <cell r="C6017" t="str">
            <v>4506 - PLUMBING</v>
          </cell>
          <cell r="D6017" t="str">
            <v>GEN80132</v>
          </cell>
          <cell r="BA6017">
            <v>15.99</v>
          </cell>
        </row>
        <row r="6018">
          <cell r="C6018" t="str">
            <v>4506 - PLUMBING</v>
          </cell>
          <cell r="D6018" t="str">
            <v>IPEX103083SBC</v>
          </cell>
          <cell r="BA6018">
            <v>18.989999999999998</v>
          </cell>
        </row>
        <row r="6019">
          <cell r="C6019" t="str">
            <v>4506 - PLUMBING</v>
          </cell>
          <cell r="D6019" t="str">
            <v>425-12LF</v>
          </cell>
          <cell r="BA6019">
            <v>49.99</v>
          </cell>
        </row>
        <row r="6020">
          <cell r="C6020" t="str">
            <v>4506 - PLUMBING</v>
          </cell>
          <cell r="D6020" t="str">
            <v>IPEX104302BC</v>
          </cell>
          <cell r="BA6020">
            <v>13.99</v>
          </cell>
        </row>
        <row r="6021">
          <cell r="C6021" t="str">
            <v>4506 - PLUMBING</v>
          </cell>
          <cell r="D6021" t="str">
            <v>GEN81639</v>
          </cell>
          <cell r="BA6021">
            <v>13.99</v>
          </cell>
        </row>
        <row r="6022">
          <cell r="C6022" t="str">
            <v>4506 - PLUMBING</v>
          </cell>
          <cell r="D6022" t="str">
            <v>PP820-73</v>
          </cell>
          <cell r="BA6022">
            <v>7.99</v>
          </cell>
        </row>
        <row r="6023">
          <cell r="C6023" t="str">
            <v>4506 - PLUMBING</v>
          </cell>
          <cell r="D6023" t="str">
            <v>IPEX102301LBC</v>
          </cell>
          <cell r="BA6023">
            <v>7.99</v>
          </cell>
        </row>
        <row r="6024">
          <cell r="C6024" t="str">
            <v>4506 - PLUMBING</v>
          </cell>
          <cell r="D6024" t="str">
            <v>PP820-16</v>
          </cell>
          <cell r="BA6024">
            <v>6.49</v>
          </cell>
        </row>
        <row r="6025">
          <cell r="C6025" t="str">
            <v>4506 - PLUMBING</v>
          </cell>
          <cell r="D6025" t="str">
            <v>GEN82715</v>
          </cell>
          <cell r="BA6025">
            <v>1.79</v>
          </cell>
        </row>
        <row r="6026">
          <cell r="C6026" t="str">
            <v>4506 - PLUMBING</v>
          </cell>
          <cell r="D6026" t="str">
            <v>GEN80730</v>
          </cell>
          <cell r="BA6026">
            <v>14.99</v>
          </cell>
        </row>
        <row r="6027">
          <cell r="C6027" t="str">
            <v>4506 - PLUMBING</v>
          </cell>
          <cell r="D6027" t="str">
            <v>DAN88884</v>
          </cell>
          <cell r="BA6027">
            <v>9.99</v>
          </cell>
        </row>
        <row r="6028">
          <cell r="C6028" t="str">
            <v>4506 - PLUMBING</v>
          </cell>
          <cell r="D6028" t="str">
            <v>IPEX102252LBC</v>
          </cell>
          <cell r="BA6028">
            <v>3.99</v>
          </cell>
        </row>
        <row r="6029">
          <cell r="C6029" t="str">
            <v>4506 - PLUMBING</v>
          </cell>
          <cell r="D6029" t="str">
            <v>MINHCRSS56</v>
          </cell>
          <cell r="BA6029">
            <v>3.79</v>
          </cell>
        </row>
        <row r="6030">
          <cell r="C6030" t="str">
            <v>4506 - PLUMBING</v>
          </cell>
          <cell r="D6030" t="str">
            <v>IPEX103026BC</v>
          </cell>
          <cell r="BA6030">
            <v>19.989999999999998</v>
          </cell>
        </row>
        <row r="6031">
          <cell r="C6031" t="str">
            <v>4506 - PLUMBING</v>
          </cell>
          <cell r="D6031" t="str">
            <v>GEN82926</v>
          </cell>
          <cell r="BA6031">
            <v>6.99</v>
          </cell>
        </row>
        <row r="6032">
          <cell r="C6032" t="str">
            <v>4506 - PLUMBING</v>
          </cell>
          <cell r="D6032" t="str">
            <v>IPEX102871BC</v>
          </cell>
          <cell r="BA6032">
            <v>3.49</v>
          </cell>
        </row>
        <row r="6033">
          <cell r="C6033" t="str">
            <v>4506 - PLUMBING</v>
          </cell>
          <cell r="D6033" t="str">
            <v>100-205NL</v>
          </cell>
          <cell r="BA6033">
            <v>42.99</v>
          </cell>
        </row>
        <row r="6034">
          <cell r="C6034" t="str">
            <v>4506 - PLUMBING</v>
          </cell>
          <cell r="D6034" t="str">
            <v>NDS201</v>
          </cell>
          <cell r="BA6034">
            <v>15.99</v>
          </cell>
        </row>
        <row r="6035">
          <cell r="C6035" t="str">
            <v>4506 - PLUMBING</v>
          </cell>
          <cell r="D6035" t="str">
            <v>FCE0B030000</v>
          </cell>
          <cell r="BA6035">
            <v>2.79</v>
          </cell>
        </row>
        <row r="6036">
          <cell r="C6036" t="str">
            <v>4506 - PLUMBING</v>
          </cell>
          <cell r="D6036" t="str">
            <v>DAN89225</v>
          </cell>
          <cell r="BA6036">
            <v>9.99</v>
          </cell>
        </row>
        <row r="6037">
          <cell r="C6037" t="str">
            <v>4506 - PLUMBING</v>
          </cell>
          <cell r="D6037" t="str">
            <v>IPEX102554BC</v>
          </cell>
          <cell r="BA6037">
            <v>22.99</v>
          </cell>
        </row>
        <row r="6038">
          <cell r="C6038" t="str">
            <v>4506 - PLUMBING</v>
          </cell>
          <cell r="D6038" t="str">
            <v>IPEX103201SBC</v>
          </cell>
          <cell r="BA6038">
            <v>7.99</v>
          </cell>
        </row>
        <row r="6039">
          <cell r="C6039" t="str">
            <v>4506 - PLUMBING</v>
          </cell>
          <cell r="D6039" t="str">
            <v>PP23808</v>
          </cell>
          <cell r="BA6039">
            <v>9.99</v>
          </cell>
        </row>
        <row r="6040">
          <cell r="C6040" t="str">
            <v>4506 - PLUMBING</v>
          </cell>
          <cell r="D6040" t="str">
            <v>FCY0B030000</v>
          </cell>
          <cell r="BA6040">
            <v>10.99</v>
          </cell>
        </row>
        <row r="6041">
          <cell r="C6041" t="str">
            <v>4506 - PLUMBING</v>
          </cell>
          <cell r="D6041" t="str">
            <v>IPEX102502BC</v>
          </cell>
          <cell r="BA6041">
            <v>6.99</v>
          </cell>
        </row>
        <row r="6042">
          <cell r="C6042" t="str">
            <v>4506 - PLUMBING</v>
          </cell>
          <cell r="D6042" t="str">
            <v>738119-1208</v>
          </cell>
          <cell r="BA6042">
            <v>11.99</v>
          </cell>
        </row>
        <row r="6043">
          <cell r="C6043" t="str">
            <v>4506 - PLUMBING</v>
          </cell>
          <cell r="D6043" t="str">
            <v>GEN81644</v>
          </cell>
          <cell r="BA6043">
            <v>49.99</v>
          </cell>
        </row>
        <row r="6044">
          <cell r="C6044" t="str">
            <v>4506 - PLUMBING</v>
          </cell>
          <cell r="D6044" t="str">
            <v>GEN83530</v>
          </cell>
          <cell r="BA6044">
            <v>22.99</v>
          </cell>
        </row>
        <row r="6045">
          <cell r="C6045" t="str">
            <v>4506 - PLUMBING</v>
          </cell>
          <cell r="D6045" t="str">
            <v>ELK30330CP</v>
          </cell>
          <cell r="BA6045">
            <v>35.99</v>
          </cell>
        </row>
        <row r="6046">
          <cell r="C6046" t="str">
            <v>4506 - PLUMBING</v>
          </cell>
          <cell r="D6046" t="str">
            <v>GEN82530</v>
          </cell>
          <cell r="BA6046">
            <v>29.99</v>
          </cell>
        </row>
        <row r="6047">
          <cell r="C6047" t="str">
            <v>4506 - PLUMBING</v>
          </cell>
          <cell r="D6047" t="str">
            <v>PP23836</v>
          </cell>
          <cell r="BA6047">
            <v>19.989999999999998</v>
          </cell>
        </row>
        <row r="6048">
          <cell r="C6048" t="str">
            <v>4506 - PLUMBING</v>
          </cell>
          <cell r="D6048" t="str">
            <v>IPEX103202BC</v>
          </cell>
          <cell r="BA6048">
            <v>15.99</v>
          </cell>
        </row>
        <row r="6049">
          <cell r="C6049" t="str">
            <v>4506 - PLUMBING</v>
          </cell>
          <cell r="D6049" t="str">
            <v>IPEX027279</v>
          </cell>
          <cell r="BA6049">
            <v>3.49</v>
          </cell>
        </row>
        <row r="6050">
          <cell r="C6050" t="str">
            <v>4506 - PLUMBING</v>
          </cell>
          <cell r="D6050" t="str">
            <v>IPEX035656</v>
          </cell>
          <cell r="BA6050">
            <v>0.89</v>
          </cell>
        </row>
        <row r="6051">
          <cell r="C6051" t="str">
            <v>4506 - PLUMBING</v>
          </cell>
          <cell r="D6051" t="str">
            <v>IPEX040923</v>
          </cell>
          <cell r="BA6051">
            <v>2.99</v>
          </cell>
        </row>
        <row r="6052">
          <cell r="C6052" t="str">
            <v>4506 - PLUMBING</v>
          </cell>
          <cell r="D6052" t="str">
            <v>OA33401</v>
          </cell>
          <cell r="BA6052">
            <v>7.99</v>
          </cell>
        </row>
        <row r="6053">
          <cell r="C6053" t="str">
            <v>4506 - PLUMBING</v>
          </cell>
          <cell r="D6053" t="str">
            <v>BN34X72-S</v>
          </cell>
          <cell r="BA6053">
            <v>22.99</v>
          </cell>
        </row>
        <row r="6054">
          <cell r="C6054" t="str">
            <v>4506 - PLUMBING</v>
          </cell>
          <cell r="D6054" t="str">
            <v>IPEX103084SBC</v>
          </cell>
          <cell r="BA6054">
            <v>21.99</v>
          </cell>
        </row>
        <row r="6055">
          <cell r="C6055" t="str">
            <v>4506 - PLUMBING</v>
          </cell>
          <cell r="D6055" t="str">
            <v>IPEX103081BC</v>
          </cell>
          <cell r="BA6055">
            <v>7.59</v>
          </cell>
        </row>
        <row r="6056">
          <cell r="C6056" t="str">
            <v>4506 - PLUMBING</v>
          </cell>
          <cell r="D6056" t="str">
            <v>IPEX102504BC</v>
          </cell>
          <cell r="BA6056">
            <v>21.99</v>
          </cell>
        </row>
        <row r="6057">
          <cell r="C6057" t="str">
            <v>4506 - PLUMBING</v>
          </cell>
          <cell r="D6057" t="str">
            <v>PP23801LF</v>
          </cell>
          <cell r="BA6057">
            <v>6.99</v>
          </cell>
        </row>
        <row r="6058">
          <cell r="C6058" t="str">
            <v>4506 - PLUMBING</v>
          </cell>
          <cell r="D6058" t="str">
            <v>IPEX102276BC</v>
          </cell>
          <cell r="BA6058">
            <v>5.99</v>
          </cell>
        </row>
        <row r="6059">
          <cell r="C6059" t="str">
            <v>4506 - PLUMBING</v>
          </cell>
          <cell r="D6059" t="str">
            <v>ELK80002</v>
          </cell>
          <cell r="BA6059">
            <v>15.99</v>
          </cell>
        </row>
        <row r="6060">
          <cell r="C6060" t="str">
            <v>4506 - PLUMBING</v>
          </cell>
          <cell r="D6060" t="str">
            <v>IPEX102253LBC</v>
          </cell>
          <cell r="BA6060">
            <v>10.99</v>
          </cell>
        </row>
        <row r="6061">
          <cell r="C6061" t="str">
            <v>4506 - PLUMBING</v>
          </cell>
          <cell r="D6061" t="str">
            <v>IPEX102872BC</v>
          </cell>
          <cell r="BA6061">
            <v>5.69</v>
          </cell>
        </row>
        <row r="6062">
          <cell r="C6062" t="str">
            <v>4506 - PLUMBING</v>
          </cell>
          <cell r="D6062" t="str">
            <v>IPEX102891BC</v>
          </cell>
          <cell r="BA6062">
            <v>4.29</v>
          </cell>
        </row>
        <row r="6063">
          <cell r="C6063" t="str">
            <v>4506 - PLUMBING</v>
          </cell>
          <cell r="D6063" t="str">
            <v>IPEX105151LBC</v>
          </cell>
          <cell r="BA6063">
            <v>4.59</v>
          </cell>
        </row>
        <row r="6064">
          <cell r="C6064" t="str">
            <v>4506 - PLUMBING</v>
          </cell>
          <cell r="D6064" t="str">
            <v>IPEX102551BC</v>
          </cell>
          <cell r="BA6064">
            <v>5.39</v>
          </cell>
        </row>
        <row r="6065">
          <cell r="C6065" t="str">
            <v>4506 - PLUMBING</v>
          </cell>
          <cell r="D6065" t="str">
            <v>GEN82936</v>
          </cell>
          <cell r="BA6065">
            <v>7.09</v>
          </cell>
        </row>
        <row r="6066">
          <cell r="C6066" t="str">
            <v>4506 - PLUMBING</v>
          </cell>
          <cell r="D6066" t="str">
            <v>03510100</v>
          </cell>
          <cell r="BA6066">
            <v>119.99</v>
          </cell>
        </row>
        <row r="6067">
          <cell r="C6067" t="str">
            <v>4506 - PLUMBING</v>
          </cell>
          <cell r="D6067" t="str">
            <v>GEN81043</v>
          </cell>
          <cell r="BA6067">
            <v>25.99</v>
          </cell>
        </row>
        <row r="6068">
          <cell r="C6068" t="str">
            <v>4506 - PLUMBING</v>
          </cell>
          <cell r="D6068" t="str">
            <v>GEN82315</v>
          </cell>
          <cell r="BA6068">
            <v>6.49</v>
          </cell>
        </row>
        <row r="6069">
          <cell r="C6069" t="str">
            <v>4506 - PLUMBING</v>
          </cell>
          <cell r="D6069" t="str">
            <v>738110-1208</v>
          </cell>
          <cell r="BA6069">
            <v>7.99</v>
          </cell>
        </row>
        <row r="6070">
          <cell r="C6070" t="str">
            <v>4506 - PLUMBING</v>
          </cell>
          <cell r="D6070" t="str">
            <v>0390AA</v>
          </cell>
          <cell r="BA6070">
            <v>9.99</v>
          </cell>
        </row>
        <row r="6071">
          <cell r="C6071" t="str">
            <v>4506 - PLUMBING</v>
          </cell>
          <cell r="D6071" t="str">
            <v>GEN80221</v>
          </cell>
          <cell r="BA6071">
            <v>2.99</v>
          </cell>
        </row>
        <row r="6072">
          <cell r="C6072" t="str">
            <v>4506 - PLUMBING</v>
          </cell>
          <cell r="D6072" t="str">
            <v>SBUR24983A</v>
          </cell>
          <cell r="BA6072">
            <v>25.99</v>
          </cell>
        </row>
        <row r="6073">
          <cell r="C6073" t="str">
            <v>4506 - PLUMBING</v>
          </cell>
          <cell r="D6073" t="str">
            <v>SBUR3008A</v>
          </cell>
          <cell r="BA6073">
            <v>17.989999999999998</v>
          </cell>
        </row>
        <row r="6074">
          <cell r="C6074" t="str">
            <v>4506 - PLUMBING</v>
          </cell>
          <cell r="D6074" t="str">
            <v>IPEX103052SBC</v>
          </cell>
          <cell r="BA6074">
            <v>3.99</v>
          </cell>
        </row>
        <row r="6075">
          <cell r="C6075" t="str">
            <v>4506 - PLUMBING</v>
          </cell>
          <cell r="D6075" t="str">
            <v>35-1X12G</v>
          </cell>
          <cell r="BA6075">
            <v>4.79</v>
          </cell>
        </row>
        <row r="6076">
          <cell r="C6076" t="str">
            <v>4506 - PLUMBING</v>
          </cell>
          <cell r="D6076" t="str">
            <v>WWSPPG130R201520</v>
          </cell>
          <cell r="BA6076">
            <v>6.99</v>
          </cell>
        </row>
        <row r="6077">
          <cell r="C6077" t="str">
            <v>4506 - PLUMBING</v>
          </cell>
          <cell r="D6077" t="str">
            <v>12XCB</v>
          </cell>
          <cell r="BA6077">
            <v>0.99</v>
          </cell>
        </row>
        <row r="6078">
          <cell r="C6078" t="str">
            <v>4506 - PLUMBING</v>
          </cell>
          <cell r="D6078" t="str">
            <v>12X112B</v>
          </cell>
          <cell r="BA6078">
            <v>1.39</v>
          </cell>
        </row>
        <row r="6079">
          <cell r="C6079" t="str">
            <v>4506 - PLUMBING</v>
          </cell>
          <cell r="D6079" t="str">
            <v>12X6B</v>
          </cell>
          <cell r="BA6079">
            <v>3.49</v>
          </cell>
        </row>
        <row r="6080">
          <cell r="C6080" t="str">
            <v>4506 - PLUMBING</v>
          </cell>
          <cell r="D6080" t="str">
            <v>12X8B</v>
          </cell>
          <cell r="BA6080">
            <v>4.99</v>
          </cell>
        </row>
        <row r="6081">
          <cell r="C6081" t="str">
            <v>4506 - PLUMBING</v>
          </cell>
          <cell r="D6081" t="str">
            <v>GEN34221</v>
          </cell>
          <cell r="BA6081">
            <v>4.29</v>
          </cell>
        </row>
        <row r="6082">
          <cell r="C6082" t="str">
            <v>4506 - PLUMBING</v>
          </cell>
          <cell r="D6082" t="str">
            <v>PP23814</v>
          </cell>
          <cell r="BA6082">
            <v>8.99</v>
          </cell>
        </row>
        <row r="6083">
          <cell r="C6083" t="str">
            <v>4506 - PLUMBING</v>
          </cell>
          <cell r="D6083" t="str">
            <v>GEN60153</v>
          </cell>
          <cell r="BA6083">
            <v>3.39</v>
          </cell>
        </row>
        <row r="6084">
          <cell r="C6084" t="str">
            <v>4506 - PLUMBING</v>
          </cell>
          <cell r="D6084" t="str">
            <v>PP23816LF</v>
          </cell>
          <cell r="BA6084">
            <v>5.99</v>
          </cell>
        </row>
        <row r="6085">
          <cell r="C6085" t="str">
            <v>4506 - PLUMBING</v>
          </cell>
          <cell r="D6085" t="str">
            <v>GENS41140</v>
          </cell>
          <cell r="BA6085">
            <v>3.99</v>
          </cell>
        </row>
        <row r="6086">
          <cell r="C6086" t="str">
            <v>4506 - PLUMBING</v>
          </cell>
          <cell r="D6086" t="str">
            <v>34X312G</v>
          </cell>
          <cell r="BA6086">
            <v>2.79</v>
          </cell>
        </row>
        <row r="6087">
          <cell r="C6087" t="str">
            <v>4506 - PLUMBING</v>
          </cell>
          <cell r="D6087" t="str">
            <v>34X412G</v>
          </cell>
          <cell r="BA6087">
            <v>2.99</v>
          </cell>
        </row>
        <row r="6088">
          <cell r="C6088" t="str">
            <v>4506 - PLUMBING</v>
          </cell>
          <cell r="D6088" t="str">
            <v>12X412G</v>
          </cell>
          <cell r="BA6088">
            <v>2.59</v>
          </cell>
        </row>
        <row r="6089">
          <cell r="C6089" t="str">
            <v>4506 - PLUMBING</v>
          </cell>
          <cell r="D6089" t="str">
            <v>LAV4010PK</v>
          </cell>
          <cell r="BA6089">
            <v>25.99</v>
          </cell>
        </row>
        <row r="6090">
          <cell r="C6090" t="str">
            <v>4506 - PLUMBING</v>
          </cell>
          <cell r="D6090" t="str">
            <v>ELK80010</v>
          </cell>
          <cell r="BA6090">
            <v>39.99</v>
          </cell>
        </row>
        <row r="6091">
          <cell r="C6091" t="str">
            <v>4506 - PLUMBING</v>
          </cell>
          <cell r="D6091" t="str">
            <v>IPEX750083</v>
          </cell>
          <cell r="BA6091">
            <v>22.99</v>
          </cell>
        </row>
        <row r="6092">
          <cell r="C6092" t="str">
            <v>4506 - PLUMBING</v>
          </cell>
          <cell r="D6092" t="str">
            <v>IPEX103001BC</v>
          </cell>
          <cell r="BA6092">
            <v>1.49</v>
          </cell>
        </row>
        <row r="6093">
          <cell r="C6093" t="str">
            <v>4506 - PLUMBING</v>
          </cell>
          <cell r="D6093" t="str">
            <v>GEN80715</v>
          </cell>
          <cell r="BA6093">
            <v>5.69</v>
          </cell>
        </row>
        <row r="6094">
          <cell r="C6094" t="str">
            <v>4506 - PLUMBING</v>
          </cell>
          <cell r="D6094" t="str">
            <v>OA30917</v>
          </cell>
          <cell r="BA6094">
            <v>8.99</v>
          </cell>
        </row>
        <row r="6095">
          <cell r="C6095" t="str">
            <v>4506 - PLUMBING</v>
          </cell>
          <cell r="D6095" t="str">
            <v>GEN83820</v>
          </cell>
          <cell r="BA6095">
            <v>7.99</v>
          </cell>
        </row>
        <row r="6096">
          <cell r="C6096" t="str">
            <v>4506 - PLUMBING</v>
          </cell>
          <cell r="D6096" t="str">
            <v>PP808-53</v>
          </cell>
          <cell r="BA6096">
            <v>5.99</v>
          </cell>
        </row>
        <row r="6097">
          <cell r="C6097" t="str">
            <v>4506 - PLUMBING</v>
          </cell>
          <cell r="D6097" t="str">
            <v>PP836-55</v>
          </cell>
          <cell r="BA6097">
            <v>6.99</v>
          </cell>
        </row>
        <row r="6098">
          <cell r="C6098" t="str">
            <v>4506 - PLUMBING</v>
          </cell>
          <cell r="D6098" t="str">
            <v>IPEX750200</v>
          </cell>
          <cell r="BA6098">
            <v>4.59</v>
          </cell>
        </row>
        <row r="6099">
          <cell r="C6099" t="str">
            <v>4506 - PLUMBING</v>
          </cell>
          <cell r="D6099" t="str">
            <v>IPEX102254LBC</v>
          </cell>
          <cell r="BA6099">
            <v>22.99</v>
          </cell>
        </row>
        <row r="6100">
          <cell r="C6100" t="str">
            <v>4506 - PLUMBING</v>
          </cell>
          <cell r="D6100" t="str">
            <v>0315AA</v>
          </cell>
          <cell r="BA6100">
            <v>10.99</v>
          </cell>
        </row>
        <row r="6101">
          <cell r="C6101" t="str">
            <v>4506 - PLUMBING</v>
          </cell>
          <cell r="D6101" t="str">
            <v>IPEX750110</v>
          </cell>
          <cell r="BA6101">
            <v>7.99</v>
          </cell>
        </row>
        <row r="6102">
          <cell r="C6102" t="str">
            <v>4506 - PLUMBING</v>
          </cell>
          <cell r="D6102" t="str">
            <v>IPEX102762BC</v>
          </cell>
          <cell r="BA6102">
            <v>8.99</v>
          </cell>
        </row>
        <row r="6103">
          <cell r="C6103" t="str">
            <v>4506 - PLUMBING</v>
          </cell>
          <cell r="D6103" t="str">
            <v>GEN88315</v>
          </cell>
          <cell r="BA6103">
            <v>9.99</v>
          </cell>
        </row>
        <row r="6104">
          <cell r="C6104" t="str">
            <v>4506 - PLUMBING</v>
          </cell>
          <cell r="D6104" t="str">
            <v>GEN80152</v>
          </cell>
          <cell r="BA6104">
            <v>10.99</v>
          </cell>
        </row>
        <row r="6105">
          <cell r="C6105" t="str">
            <v>4506 - PLUMBING</v>
          </cell>
          <cell r="D6105" t="str">
            <v>GEN81830</v>
          </cell>
          <cell r="BA6105">
            <v>6.49</v>
          </cell>
        </row>
        <row r="6106">
          <cell r="C6106" t="str">
            <v>4506 - PLUMBING</v>
          </cell>
          <cell r="D6106" t="str">
            <v>IPEX102303LBC</v>
          </cell>
          <cell r="BA6106">
            <v>19.989999999999998</v>
          </cell>
        </row>
        <row r="6107">
          <cell r="C6107" t="str">
            <v>4506 - PLUMBING</v>
          </cell>
          <cell r="D6107" t="str">
            <v>IPEX102453LBC</v>
          </cell>
          <cell r="BA6107">
            <v>14.99</v>
          </cell>
        </row>
        <row r="6108">
          <cell r="C6108" t="str">
            <v>4506 - PLUMBING</v>
          </cell>
          <cell r="D6108" t="str">
            <v>IPEX102552BC</v>
          </cell>
          <cell r="BA6108">
            <v>6.49</v>
          </cell>
        </row>
        <row r="6109">
          <cell r="C6109" t="str">
            <v>4506 - PLUMBING</v>
          </cell>
          <cell r="D6109" t="str">
            <v>IPEX102404BC</v>
          </cell>
          <cell r="BA6109">
            <v>19.989999999999998</v>
          </cell>
        </row>
        <row r="6110">
          <cell r="C6110" t="str">
            <v>4506 - PLUMBING</v>
          </cell>
          <cell r="D6110" t="str">
            <v>IPEX102278BC</v>
          </cell>
          <cell r="BA6110">
            <v>13.99</v>
          </cell>
        </row>
        <row r="6111">
          <cell r="C6111" t="str">
            <v>4506 - PLUMBING</v>
          </cell>
          <cell r="D6111" t="str">
            <v>NDS1200</v>
          </cell>
          <cell r="BA6111">
            <v>37.99</v>
          </cell>
        </row>
        <row r="6112">
          <cell r="C6112" t="str">
            <v>4506 - PLUMBING</v>
          </cell>
          <cell r="D6112" t="str">
            <v>GEN3404240</v>
          </cell>
          <cell r="BA6112">
            <v>5.99</v>
          </cell>
        </row>
        <row r="6113">
          <cell r="C6113" t="str">
            <v>4506 - PLUMBING</v>
          </cell>
          <cell r="D6113" t="str">
            <v>NDS0660SDB</v>
          </cell>
          <cell r="BA6113">
            <v>9.99</v>
          </cell>
        </row>
        <row r="6114">
          <cell r="C6114" t="str">
            <v>4506 - PLUMBING</v>
          </cell>
          <cell r="D6114" t="str">
            <v>OA30892</v>
          </cell>
          <cell r="BA6114">
            <v>15.99</v>
          </cell>
        </row>
        <row r="6115">
          <cell r="C6115" t="str">
            <v>4506 - PLUMBING</v>
          </cell>
          <cell r="D6115" t="str">
            <v>GEN40031</v>
          </cell>
          <cell r="BA6115">
            <v>18.989999999999998</v>
          </cell>
        </row>
        <row r="6116">
          <cell r="C6116" t="str">
            <v>4506 - PLUMBING</v>
          </cell>
          <cell r="D6116" t="str">
            <v>GEN82540</v>
          </cell>
          <cell r="BA6116">
            <v>39.99</v>
          </cell>
        </row>
        <row r="6117">
          <cell r="C6117" t="str">
            <v>4506 - PLUMBING</v>
          </cell>
          <cell r="D6117" t="str">
            <v>GEN81120</v>
          </cell>
          <cell r="BA6117">
            <v>5.69</v>
          </cell>
        </row>
        <row r="6118">
          <cell r="C6118" t="str">
            <v>4506 - PLUMBING</v>
          </cell>
          <cell r="D6118" t="str">
            <v>GEN81040</v>
          </cell>
          <cell r="BA6118">
            <v>34.99</v>
          </cell>
        </row>
        <row r="6119">
          <cell r="C6119" t="str">
            <v>4506 - PLUMBING</v>
          </cell>
          <cell r="D6119" t="str">
            <v>738119-1612</v>
          </cell>
          <cell r="BA6119">
            <v>19.989999999999998</v>
          </cell>
        </row>
        <row r="6120">
          <cell r="C6120" t="str">
            <v>4506 - PLUMBING</v>
          </cell>
          <cell r="D6120" t="str">
            <v>IPEX102893BC</v>
          </cell>
          <cell r="BA6120">
            <v>11.99</v>
          </cell>
        </row>
        <row r="6121">
          <cell r="C6121" t="str">
            <v>4506 - PLUMBING</v>
          </cell>
          <cell r="D6121" t="str">
            <v>FLU683</v>
          </cell>
          <cell r="BA6121">
            <v>10.99</v>
          </cell>
        </row>
        <row r="6122">
          <cell r="C6122" t="str">
            <v>4506 - PLUMBING</v>
          </cell>
          <cell r="D6122" t="str">
            <v>ELK10180008</v>
          </cell>
          <cell r="BA6122">
            <v>22.99</v>
          </cell>
        </row>
        <row r="6123">
          <cell r="C6123" t="str">
            <v>4506 - PLUMBING</v>
          </cell>
          <cell r="D6123" t="str">
            <v>IPEX102451L</v>
          </cell>
          <cell r="BA6123">
            <v>5.99</v>
          </cell>
        </row>
        <row r="6124">
          <cell r="C6124" t="str">
            <v>4506 - PLUMBING</v>
          </cell>
          <cell r="D6124" t="str">
            <v>IPEX102401BC</v>
          </cell>
          <cell r="BA6124">
            <v>3.79</v>
          </cell>
        </row>
        <row r="6125">
          <cell r="C6125" t="str">
            <v>4506 - PLUMBING</v>
          </cell>
          <cell r="D6125" t="str">
            <v>GEN81633</v>
          </cell>
          <cell r="BA6125">
            <v>34.99</v>
          </cell>
        </row>
        <row r="6126">
          <cell r="C6126" t="str">
            <v>4506 - PLUMBING</v>
          </cell>
          <cell r="D6126" t="str">
            <v>IPEX102454LBC</v>
          </cell>
          <cell r="BA6126">
            <v>29.99</v>
          </cell>
        </row>
        <row r="6127">
          <cell r="C6127" t="str">
            <v>4506 - PLUMBING</v>
          </cell>
          <cell r="D6127" t="str">
            <v>IPEX102251LBC</v>
          </cell>
          <cell r="BA6127">
            <v>2.79</v>
          </cell>
        </row>
        <row r="6128">
          <cell r="C6128" t="str">
            <v>4506 - PLUMBING</v>
          </cell>
          <cell r="D6128" t="str">
            <v>GEN88320</v>
          </cell>
          <cell r="BA6128">
            <v>25.99</v>
          </cell>
        </row>
        <row r="6129">
          <cell r="C6129" t="str">
            <v>4506 - PLUMBING</v>
          </cell>
          <cell r="D6129" t="str">
            <v>38300-1220</v>
          </cell>
          <cell r="BA6129">
            <v>10.99</v>
          </cell>
        </row>
        <row r="6130">
          <cell r="C6130" t="str">
            <v>4506 - PLUMBING</v>
          </cell>
          <cell r="D6130" t="str">
            <v>38300-1260</v>
          </cell>
          <cell r="BA6130">
            <v>16.989999999999998</v>
          </cell>
        </row>
        <row r="6131">
          <cell r="C6131" t="str">
            <v>4506 - PLUMBING</v>
          </cell>
          <cell r="D6131" t="str">
            <v>38300-1240</v>
          </cell>
          <cell r="BA6131">
            <v>14.99</v>
          </cell>
        </row>
        <row r="6132">
          <cell r="C6132" t="str">
            <v>4506 - PLUMBING</v>
          </cell>
          <cell r="D6132" t="str">
            <v>38300-1230</v>
          </cell>
          <cell r="BA6132">
            <v>14.99</v>
          </cell>
        </row>
        <row r="6133">
          <cell r="C6133" t="str">
            <v>4506 - PLUMBING</v>
          </cell>
          <cell r="D6133" t="str">
            <v>PP850-50</v>
          </cell>
          <cell r="BA6133">
            <v>6.99</v>
          </cell>
        </row>
        <row r="6134">
          <cell r="C6134" t="str">
            <v>4506 - PLUMBING</v>
          </cell>
          <cell r="D6134" t="str">
            <v>FLU687</v>
          </cell>
          <cell r="BA6134">
            <v>13.99</v>
          </cell>
        </row>
        <row r="6135">
          <cell r="C6135" t="str">
            <v>4506 - PLUMBING</v>
          </cell>
          <cell r="D6135" t="str">
            <v>12X512G</v>
          </cell>
          <cell r="BA6135">
            <v>3.49</v>
          </cell>
        </row>
        <row r="6136">
          <cell r="C6136" t="str">
            <v>4506 - PLUMBING</v>
          </cell>
          <cell r="D6136" t="str">
            <v>FLU7510</v>
          </cell>
          <cell r="BA6136">
            <v>2.59</v>
          </cell>
        </row>
        <row r="6137">
          <cell r="C6137" t="str">
            <v>4506 - PLUMBING</v>
          </cell>
          <cell r="D6137" t="str">
            <v>PP835-30WHL</v>
          </cell>
          <cell r="BA6137">
            <v>3.99</v>
          </cell>
        </row>
        <row r="6138">
          <cell r="C6138" t="str">
            <v>4506 - PLUMBING</v>
          </cell>
          <cell r="D6138" t="str">
            <v>GEN3404030</v>
          </cell>
          <cell r="BA6138">
            <v>0.79</v>
          </cell>
        </row>
        <row r="6139">
          <cell r="C6139" t="str">
            <v>4506 - PLUMBING</v>
          </cell>
          <cell r="D6139" t="str">
            <v>GEN384040D</v>
          </cell>
          <cell r="BA6139">
            <v>0.89</v>
          </cell>
        </row>
        <row r="6140">
          <cell r="C6140" t="str">
            <v>4506 - PLUMBING</v>
          </cell>
          <cell r="D6140" t="str">
            <v>GEN384050</v>
          </cell>
          <cell r="BA6140">
            <v>0.99</v>
          </cell>
        </row>
        <row r="6141">
          <cell r="C6141" t="str">
            <v>4506 - PLUMBING</v>
          </cell>
          <cell r="D6141" t="str">
            <v>NDSU-1250-S</v>
          </cell>
          <cell r="BA6141">
            <v>5.69</v>
          </cell>
        </row>
        <row r="6142">
          <cell r="C6142" t="str">
            <v>4506 - PLUMBING</v>
          </cell>
          <cell r="D6142" t="str">
            <v>GEN40630</v>
          </cell>
          <cell r="BA6142">
            <v>6.99</v>
          </cell>
        </row>
        <row r="6143">
          <cell r="C6143" t="str">
            <v>4506 - PLUMBING</v>
          </cell>
          <cell r="D6143" t="str">
            <v>GEN77630</v>
          </cell>
          <cell r="BA6143">
            <v>35.99</v>
          </cell>
        </row>
        <row r="6144">
          <cell r="C6144" t="str">
            <v>4506 - PLUMBING</v>
          </cell>
          <cell r="D6144" t="str">
            <v>GEN80140</v>
          </cell>
          <cell r="BA6144">
            <v>8.99</v>
          </cell>
        </row>
        <row r="6145">
          <cell r="C6145" t="str">
            <v>4506 - PLUMBING</v>
          </cell>
          <cell r="D6145" t="str">
            <v>GEN80320</v>
          </cell>
          <cell r="BA6145">
            <v>7.59</v>
          </cell>
        </row>
        <row r="6146">
          <cell r="C6146" t="str">
            <v>4506 - PLUMBING</v>
          </cell>
          <cell r="D6146" t="str">
            <v>GEN81840</v>
          </cell>
          <cell r="BA6146">
            <v>5.99</v>
          </cell>
        </row>
        <row r="6147">
          <cell r="C6147" t="str">
            <v>4506 - PLUMBING</v>
          </cell>
          <cell r="D6147" t="str">
            <v>GEN82314</v>
          </cell>
          <cell r="BA6147">
            <v>5.99</v>
          </cell>
        </row>
        <row r="6148">
          <cell r="C6148" t="str">
            <v>4506 - PLUMBING</v>
          </cell>
          <cell r="D6148" t="str">
            <v>GEN82730</v>
          </cell>
          <cell r="BA6148">
            <v>11.99</v>
          </cell>
        </row>
        <row r="6149">
          <cell r="C6149" t="str">
            <v>4506 - PLUMBING</v>
          </cell>
          <cell r="D6149" t="str">
            <v>GEN57905S</v>
          </cell>
          <cell r="BA6149">
            <v>2.4900000000000002</v>
          </cell>
        </row>
        <row r="6150">
          <cell r="C6150" t="str">
            <v>4506 - PLUMBING</v>
          </cell>
          <cell r="D6150" t="str">
            <v>GEN384120D</v>
          </cell>
          <cell r="BA6150">
            <v>1.99</v>
          </cell>
        </row>
        <row r="6151">
          <cell r="C6151" t="str">
            <v>4506 - PLUMBING</v>
          </cell>
          <cell r="D6151" t="str">
            <v>GENAW200</v>
          </cell>
          <cell r="BA6151">
            <v>8.99</v>
          </cell>
        </row>
        <row r="6152">
          <cell r="C6152" t="str">
            <v>4506 - PLUMBING</v>
          </cell>
          <cell r="D6152" t="str">
            <v>P20-100HC</v>
          </cell>
          <cell r="BA6152">
            <v>2.59</v>
          </cell>
        </row>
        <row r="6153">
          <cell r="C6153" t="str">
            <v>4506 - PLUMBING</v>
          </cell>
          <cell r="D6153" t="str">
            <v>PP23860LF</v>
          </cell>
          <cell r="BA6153">
            <v>8.69</v>
          </cell>
        </row>
        <row r="6154">
          <cell r="C6154" t="str">
            <v>4506 - PLUMBING</v>
          </cell>
          <cell r="D6154" t="str">
            <v>G13-075HC</v>
          </cell>
          <cell r="BA6154">
            <v>5.39</v>
          </cell>
        </row>
        <row r="6155">
          <cell r="C6155" t="str">
            <v>4506 - PLUMBING</v>
          </cell>
          <cell r="D6155" t="str">
            <v>G13-100HC</v>
          </cell>
          <cell r="BA6155">
            <v>2.99</v>
          </cell>
        </row>
        <row r="6156">
          <cell r="C6156" t="str">
            <v>4506 - PLUMBING</v>
          </cell>
          <cell r="D6156" t="str">
            <v>SBU334LFA</v>
          </cell>
          <cell r="BA6156">
            <v>8.49</v>
          </cell>
        </row>
        <row r="6157">
          <cell r="C6157" t="str">
            <v>4506 - PLUMBING</v>
          </cell>
          <cell r="D6157" t="str">
            <v>SBUR248A4</v>
          </cell>
          <cell r="BA6157">
            <v>34.99</v>
          </cell>
        </row>
        <row r="6158">
          <cell r="C6158" t="str">
            <v>4506 - PLUMBING</v>
          </cell>
          <cell r="D6158" t="str">
            <v>SBUR249A</v>
          </cell>
          <cell r="BA6158">
            <v>11.99</v>
          </cell>
        </row>
        <row r="6159">
          <cell r="C6159" t="str">
            <v>4506 - PLUMBING</v>
          </cell>
          <cell r="D6159" t="str">
            <v>SBUR256A4</v>
          </cell>
          <cell r="BA6159">
            <v>39.99</v>
          </cell>
        </row>
        <row r="6160">
          <cell r="C6160" t="str">
            <v>4506 - PLUMBING</v>
          </cell>
          <cell r="D6160" t="str">
            <v>SBUR4008A</v>
          </cell>
          <cell r="BA6160">
            <v>11.99</v>
          </cell>
        </row>
        <row r="6161">
          <cell r="C6161" t="str">
            <v>4506 - PLUMBING</v>
          </cell>
          <cell r="D6161" t="str">
            <v>U009LFA</v>
          </cell>
          <cell r="BA6161">
            <v>8.99</v>
          </cell>
        </row>
        <row r="6162">
          <cell r="C6162" t="str">
            <v>4506 - PLUMBING</v>
          </cell>
          <cell r="D6162" t="str">
            <v>100-404NL</v>
          </cell>
          <cell r="BA6162">
            <v>13.99</v>
          </cell>
        </row>
        <row r="6163">
          <cell r="C6163" t="str">
            <v>4506 - PLUMBING</v>
          </cell>
          <cell r="D6163" t="str">
            <v>LAV450BP</v>
          </cell>
          <cell r="BA6163">
            <v>7.99</v>
          </cell>
        </row>
        <row r="6164">
          <cell r="C6164" t="str">
            <v>4506 - PLUMBING</v>
          </cell>
          <cell r="D6164" t="str">
            <v>LAV464BP</v>
          </cell>
          <cell r="BA6164">
            <v>8.99</v>
          </cell>
        </row>
        <row r="6165">
          <cell r="C6165" t="str">
            <v>4506 - PLUMBING</v>
          </cell>
          <cell r="D6165" t="str">
            <v>LAV528MP</v>
          </cell>
          <cell r="BA6165">
            <v>9.99</v>
          </cell>
        </row>
        <row r="6166">
          <cell r="C6166" t="str">
            <v>4506 - PLUMBING</v>
          </cell>
          <cell r="D6166" t="str">
            <v>GUF8020002CPLF</v>
          </cell>
          <cell r="BA6166">
            <v>29.99</v>
          </cell>
        </row>
        <row r="6167">
          <cell r="C6167" t="str">
            <v>4506 - PLUMBING</v>
          </cell>
          <cell r="D6167" t="str">
            <v>DAN10501</v>
          </cell>
          <cell r="BA6167">
            <v>12.99</v>
          </cell>
        </row>
        <row r="6168">
          <cell r="C6168" t="str">
            <v>4506 - PLUMBING</v>
          </cell>
          <cell r="D6168" t="str">
            <v>LAV3060BP</v>
          </cell>
          <cell r="BA6168">
            <v>11.99</v>
          </cell>
        </row>
        <row r="6169">
          <cell r="C6169" t="str">
            <v>4506 - PLUMBING</v>
          </cell>
          <cell r="D6169" t="str">
            <v>FLU5403P4</v>
          </cell>
          <cell r="BA6169">
            <v>13.99</v>
          </cell>
        </row>
        <row r="6170">
          <cell r="C6170" t="str">
            <v>4506 - PLUMBING</v>
          </cell>
          <cell r="D6170" t="str">
            <v>FLUB1H24</v>
          </cell>
          <cell r="BA6170">
            <v>19.989999999999998</v>
          </cell>
        </row>
        <row r="6171">
          <cell r="C6171" t="str">
            <v>4506 - PLUMBING</v>
          </cell>
          <cell r="D6171" t="str">
            <v>CAM07023</v>
          </cell>
          <cell r="BA6171">
            <v>54.99</v>
          </cell>
        </row>
        <row r="6172">
          <cell r="C6172" t="str">
            <v>4506 - PLUMBING</v>
          </cell>
          <cell r="D6172" t="str">
            <v>CAM08123</v>
          </cell>
          <cell r="BA6172">
            <v>13.99</v>
          </cell>
        </row>
        <row r="6173">
          <cell r="C6173" t="str">
            <v>4506 - PLUMBING</v>
          </cell>
          <cell r="D6173" t="str">
            <v>HFF138C60</v>
          </cell>
          <cell r="BA6173">
            <v>12.59</v>
          </cell>
        </row>
        <row r="6174">
          <cell r="C6174" t="str">
            <v>4506 - PLUMBING</v>
          </cell>
          <cell r="D6174" t="str">
            <v>MINHCMSS08</v>
          </cell>
          <cell r="BA6174">
            <v>1.99</v>
          </cell>
        </row>
        <row r="6175">
          <cell r="C6175" t="str">
            <v>4506 - PLUMBING</v>
          </cell>
          <cell r="D6175" t="str">
            <v>OA43538</v>
          </cell>
          <cell r="BA6175">
            <v>47.99</v>
          </cell>
        </row>
        <row r="6176">
          <cell r="C6176" t="str">
            <v>4506 - PLUMBING</v>
          </cell>
          <cell r="D6176" t="str">
            <v>THFC3</v>
          </cell>
          <cell r="BA6176">
            <v>5.39</v>
          </cell>
        </row>
        <row r="6177">
          <cell r="C6177" t="str">
            <v>4506 - PLUMBING</v>
          </cell>
          <cell r="D6177" t="str">
            <v>OA43905</v>
          </cell>
          <cell r="BA6177">
            <v>42.99</v>
          </cell>
        </row>
        <row r="6178">
          <cell r="C6178" t="str">
            <v>4506 - PLUMBING</v>
          </cell>
          <cell r="D6178" t="str">
            <v>FLU400H002P10</v>
          </cell>
          <cell r="BA6178">
            <v>15.99</v>
          </cell>
        </row>
        <row r="6179">
          <cell r="C6179" t="str">
            <v>4506 - PLUMBING</v>
          </cell>
          <cell r="D6179" t="str">
            <v>FLU7530P8</v>
          </cell>
          <cell r="BA6179">
            <v>8.99</v>
          </cell>
        </row>
        <row r="6180">
          <cell r="C6180" t="str">
            <v>4506 - PLUMBING</v>
          </cell>
          <cell r="D6180" t="str">
            <v>APPW1034</v>
          </cell>
          <cell r="BA6180">
            <v>8.69</v>
          </cell>
        </row>
        <row r="6181">
          <cell r="C6181" t="str">
            <v>4506 - PLUMBING</v>
          </cell>
          <cell r="D6181" t="str">
            <v>LAV2023BP</v>
          </cell>
          <cell r="BA6181">
            <v>16.989999999999998</v>
          </cell>
        </row>
        <row r="6182">
          <cell r="C6182" t="str">
            <v>4506 - PLUMBING</v>
          </cell>
          <cell r="D6182" t="str">
            <v>OA43901</v>
          </cell>
          <cell r="BA6182">
            <v>29.99</v>
          </cell>
        </row>
        <row r="6183">
          <cell r="C6183" t="str">
            <v>4506 - PLUMBING</v>
          </cell>
          <cell r="D6183" t="str">
            <v>FLU5103</v>
          </cell>
          <cell r="BA6183">
            <v>4.99</v>
          </cell>
        </row>
        <row r="6184">
          <cell r="C6184" t="str">
            <v>4506 - PLUMBING</v>
          </cell>
          <cell r="D6184" t="str">
            <v>FLU6105</v>
          </cell>
          <cell r="BA6184">
            <v>9.99</v>
          </cell>
        </row>
        <row r="6185">
          <cell r="C6185" t="str">
            <v>4506 - PLUMBING</v>
          </cell>
          <cell r="D6185" t="str">
            <v>FLU6106</v>
          </cell>
          <cell r="BA6185">
            <v>8.99</v>
          </cell>
        </row>
        <row r="6186">
          <cell r="C6186" t="str">
            <v>4506 - PLUMBING</v>
          </cell>
          <cell r="D6186" t="str">
            <v>FLU6100</v>
          </cell>
          <cell r="BA6186">
            <v>3.99</v>
          </cell>
        </row>
        <row r="6187">
          <cell r="C6187" t="str">
            <v>4506 - PLUMBING</v>
          </cell>
          <cell r="D6187" t="str">
            <v>FLU7115</v>
          </cell>
          <cell r="BA6187">
            <v>3.99</v>
          </cell>
        </row>
        <row r="6188">
          <cell r="C6188" t="str">
            <v>4506 - PLUMBING</v>
          </cell>
          <cell r="D6188" t="str">
            <v>FLU7111</v>
          </cell>
          <cell r="BA6188">
            <v>4.99</v>
          </cell>
        </row>
        <row r="6189">
          <cell r="C6189" t="str">
            <v>4506 - PLUMBING</v>
          </cell>
          <cell r="D6189" t="str">
            <v>LAV100BP</v>
          </cell>
          <cell r="BA6189">
            <v>7.59</v>
          </cell>
        </row>
        <row r="6190">
          <cell r="C6190" t="str">
            <v>4506 - PLUMBING</v>
          </cell>
          <cell r="D6190" t="str">
            <v>F5120005CP</v>
          </cell>
          <cell r="BA6190">
            <v>34.99</v>
          </cell>
        </row>
        <row r="6191">
          <cell r="C6191" t="str">
            <v>4506 - PLUMBING</v>
          </cell>
          <cell r="D6191" t="str">
            <v>BK107-635HC</v>
          </cell>
          <cell r="BA6191">
            <v>5.99</v>
          </cell>
        </row>
        <row r="6192">
          <cell r="C6192" t="str">
            <v>4506 - PLUMBING</v>
          </cell>
          <cell r="D6192" t="str">
            <v>GEN30117</v>
          </cell>
          <cell r="BA6192">
            <v>1.99</v>
          </cell>
        </row>
        <row r="6193">
          <cell r="C6193" t="str">
            <v>4506 - PLUMBING</v>
          </cell>
          <cell r="D6193" t="str">
            <v>GEN30376</v>
          </cell>
          <cell r="BA6193">
            <v>2.19</v>
          </cell>
        </row>
        <row r="6194">
          <cell r="C6194" t="str">
            <v>4506 - PLUMBING</v>
          </cell>
          <cell r="D6194" t="str">
            <v>IPEX435792</v>
          </cell>
          <cell r="BA6194">
            <v>1.69</v>
          </cell>
        </row>
        <row r="6195">
          <cell r="C6195" t="str">
            <v>4506 - PLUMBING</v>
          </cell>
          <cell r="D6195" t="str">
            <v>PL21-505</v>
          </cell>
          <cell r="BA6195">
            <v>4.79</v>
          </cell>
        </row>
        <row r="6196">
          <cell r="C6196" t="str">
            <v>4506 - PLUMBING</v>
          </cell>
          <cell r="D6196" t="str">
            <v>GEN40040</v>
          </cell>
          <cell r="BA6196">
            <v>22.99</v>
          </cell>
        </row>
        <row r="6197">
          <cell r="C6197" t="str">
            <v>4506 - PLUMBING</v>
          </cell>
          <cell r="D6197" t="str">
            <v>IPEX750127</v>
          </cell>
          <cell r="BA6197">
            <v>10.99</v>
          </cell>
        </row>
        <row r="6198">
          <cell r="C6198" t="str">
            <v>4506 - PLUMBING</v>
          </cell>
          <cell r="D6198" t="str">
            <v>IPEX102153LBC</v>
          </cell>
          <cell r="BA6198">
            <v>16.989999999999998</v>
          </cell>
        </row>
        <row r="6199">
          <cell r="C6199" t="str">
            <v>4506 - PLUMBING</v>
          </cell>
          <cell r="D6199" t="str">
            <v>IPEX027083</v>
          </cell>
          <cell r="BA6199">
            <v>7.99</v>
          </cell>
        </row>
        <row r="6200">
          <cell r="C6200" t="str">
            <v>4506 - PLUMBING</v>
          </cell>
          <cell r="D6200" t="str">
            <v>GEN81030</v>
          </cell>
          <cell r="BA6200">
            <v>19.989999999999998</v>
          </cell>
        </row>
        <row r="6201">
          <cell r="C6201" t="str">
            <v>4506 - PLUMBING</v>
          </cell>
          <cell r="D6201" t="str">
            <v>IPEX102325LBC</v>
          </cell>
          <cell r="BA6201">
            <v>10.99</v>
          </cell>
        </row>
        <row r="6202">
          <cell r="C6202" t="str">
            <v>4506 - PLUMBING</v>
          </cell>
          <cell r="D6202" t="str">
            <v>IPEX102302LBC</v>
          </cell>
          <cell r="BA6202">
            <v>11.99</v>
          </cell>
        </row>
        <row r="6203">
          <cell r="C6203" t="str">
            <v>4506 - PLUMBING</v>
          </cell>
          <cell r="D6203" t="str">
            <v>IPEX102503BC</v>
          </cell>
          <cell r="BA6203">
            <v>12.99</v>
          </cell>
        </row>
        <row r="6204">
          <cell r="C6204" t="str">
            <v>4506 - PLUMBING</v>
          </cell>
          <cell r="D6204" t="str">
            <v>HAD0421AA</v>
          </cell>
          <cell r="BA6204">
            <v>12.99</v>
          </cell>
        </row>
        <row r="6205">
          <cell r="C6205" t="str">
            <v>4506 - PLUMBING</v>
          </cell>
          <cell r="D6205" t="str">
            <v>AH70414</v>
          </cell>
          <cell r="BA6205">
            <v>22.99</v>
          </cell>
        </row>
        <row r="6206">
          <cell r="C6206" t="str">
            <v>4506 - PLUMBING</v>
          </cell>
          <cell r="D6206" t="str">
            <v>GEN40041</v>
          </cell>
          <cell r="BA6206">
            <v>22.99</v>
          </cell>
        </row>
        <row r="6207">
          <cell r="C6207" t="str">
            <v>4506 - PLUMBING</v>
          </cell>
          <cell r="D6207" t="str">
            <v>FM502P21</v>
          </cell>
          <cell r="BA6207">
            <v>6.99</v>
          </cell>
        </row>
        <row r="6208">
          <cell r="C6208" t="str">
            <v>4506 - PLUMBING</v>
          </cell>
          <cell r="D6208" t="str">
            <v>PPK701CP</v>
          </cell>
          <cell r="BA6208">
            <v>19.989999999999998</v>
          </cell>
        </row>
        <row r="6209">
          <cell r="C6209" t="str">
            <v>4506 - PLUMBING</v>
          </cell>
          <cell r="D6209" t="str">
            <v>WWS12X12G</v>
          </cell>
          <cell r="BA6209">
            <v>6.99</v>
          </cell>
        </row>
        <row r="6210">
          <cell r="C6210" t="str">
            <v>4506 - PLUMBING</v>
          </cell>
          <cell r="D6210" t="str">
            <v>GEN70172</v>
          </cell>
          <cell r="BA6210">
            <v>2.29</v>
          </cell>
        </row>
        <row r="6211">
          <cell r="C6211" t="str">
            <v>4506 - PLUMBING</v>
          </cell>
          <cell r="D6211" t="str">
            <v>CA24635LF</v>
          </cell>
          <cell r="BA6211">
            <v>16.989999999999998</v>
          </cell>
        </row>
        <row r="6212">
          <cell r="C6212" t="str">
            <v>4506 - PLUMBING</v>
          </cell>
          <cell r="D6212" t="str">
            <v>CA24631LF</v>
          </cell>
          <cell r="BA6212">
            <v>15.99</v>
          </cell>
        </row>
        <row r="6213">
          <cell r="C6213" t="str">
            <v>4506 - PLUMBING</v>
          </cell>
          <cell r="D6213" t="str">
            <v>CA24633LF</v>
          </cell>
          <cell r="BA6213">
            <v>15.99</v>
          </cell>
        </row>
        <row r="6214">
          <cell r="C6214" t="str">
            <v>4506 - PLUMBING</v>
          </cell>
          <cell r="D6214" t="str">
            <v>CA24634LF</v>
          </cell>
          <cell r="BA6214">
            <v>14.99</v>
          </cell>
        </row>
        <row r="6215">
          <cell r="C6215" t="str">
            <v>4506 - PLUMBING</v>
          </cell>
          <cell r="D6215" t="str">
            <v>CA24630LF</v>
          </cell>
          <cell r="BA6215">
            <v>14.99</v>
          </cell>
        </row>
        <row r="6216">
          <cell r="C6216" t="str">
            <v>4506 - PLUMBING</v>
          </cell>
          <cell r="D6216" t="str">
            <v>CA24632LF</v>
          </cell>
          <cell r="BA6216">
            <v>13.99</v>
          </cell>
        </row>
        <row r="6217">
          <cell r="C6217" t="str">
            <v>4506 - PLUMBING</v>
          </cell>
          <cell r="D6217" t="str">
            <v>AM7381101612</v>
          </cell>
          <cell r="BA6217">
            <v>10.99</v>
          </cell>
        </row>
        <row r="6218">
          <cell r="C6218" t="str">
            <v>4506 - PLUMBING</v>
          </cell>
          <cell r="D6218" t="str">
            <v>FM6102</v>
          </cell>
          <cell r="BA6218">
            <v>7.99</v>
          </cell>
        </row>
        <row r="6219">
          <cell r="C6219" t="str">
            <v>4506 - PLUMBING</v>
          </cell>
          <cell r="D6219" t="str">
            <v>HC03010100</v>
          </cell>
          <cell r="BA6219">
            <v>119.99</v>
          </cell>
        </row>
        <row r="6220">
          <cell r="C6220" t="str">
            <v>4506 - PLUMBING</v>
          </cell>
          <cell r="D6220" t="str">
            <v>CBAPXJH3410PK</v>
          </cell>
          <cell r="BA6220">
            <v>3.79</v>
          </cell>
        </row>
        <row r="6221">
          <cell r="C6221" t="str">
            <v>4506 - PLUMBING</v>
          </cell>
          <cell r="D6221" t="str">
            <v>CBPXPAP345PK</v>
          </cell>
          <cell r="BA6221">
            <v>5.69</v>
          </cell>
        </row>
        <row r="6222">
          <cell r="C6222" t="str">
            <v>4506 - PLUMBING</v>
          </cell>
          <cell r="D6222" t="str">
            <v>CBAPXE3410PK</v>
          </cell>
          <cell r="BA6222">
            <v>27.99</v>
          </cell>
        </row>
        <row r="6223">
          <cell r="C6223" t="str">
            <v>4506 - PLUMBING</v>
          </cell>
          <cell r="D6223" t="str">
            <v>APXT3410PK</v>
          </cell>
          <cell r="BA6223">
            <v>37.99</v>
          </cell>
        </row>
        <row r="6224">
          <cell r="C6224" t="str">
            <v>4506 - PLUMBING</v>
          </cell>
          <cell r="D6224" t="str">
            <v>VC1971969</v>
          </cell>
          <cell r="BA6224">
            <v>1.49</v>
          </cell>
        </row>
        <row r="6225">
          <cell r="C6225" t="str">
            <v>4506 - PLUMBING</v>
          </cell>
          <cell r="D6225" t="str">
            <v>AM757401-1208</v>
          </cell>
          <cell r="BA6225">
            <v>13.99</v>
          </cell>
        </row>
        <row r="6226">
          <cell r="C6226" t="str">
            <v>4506 - PLUMBING</v>
          </cell>
          <cell r="D6226" t="str">
            <v>APXJH12-10PK</v>
          </cell>
          <cell r="BA6226">
            <v>3.29</v>
          </cell>
        </row>
        <row r="6227">
          <cell r="C6227" t="str">
            <v>4506 - PLUMBING</v>
          </cell>
          <cell r="D6227" t="str">
            <v>2ABSPLF</v>
          </cell>
          <cell r="BA6227">
            <v>1.19</v>
          </cell>
        </row>
        <row r="6228">
          <cell r="C6228" t="str">
            <v>4506 - PLUMBING</v>
          </cell>
          <cell r="D6228" t="str">
            <v>112ABSPLF</v>
          </cell>
          <cell r="BA6228">
            <v>1.0900000000000001</v>
          </cell>
        </row>
        <row r="6229">
          <cell r="C6229" t="str">
            <v>4506 - PLUMBING</v>
          </cell>
          <cell r="D6229" t="str">
            <v>3ABSPLF</v>
          </cell>
          <cell r="BA6229">
            <v>2.09</v>
          </cell>
        </row>
        <row r="6230">
          <cell r="C6230" t="str">
            <v>4506 - PLUMBING</v>
          </cell>
          <cell r="D6230" t="str">
            <v>4ABSPLF</v>
          </cell>
          <cell r="BA6230">
            <v>3.99</v>
          </cell>
        </row>
        <row r="6231">
          <cell r="C6231" t="str">
            <v>4506 - PLUMBING</v>
          </cell>
          <cell r="D6231" t="str">
            <v>U711A</v>
          </cell>
          <cell r="BA6231">
            <v>9.99</v>
          </cell>
        </row>
        <row r="6232">
          <cell r="C6232" t="str">
            <v>4506 - PLUMBING</v>
          </cell>
          <cell r="D6232" t="str">
            <v>SB25406A</v>
          </cell>
          <cell r="BA6232">
            <v>17.989999999999998</v>
          </cell>
        </row>
        <row r="6233">
          <cell r="C6233" t="str">
            <v>4506 - PLUMBING</v>
          </cell>
          <cell r="D6233" t="str">
            <v>U713A</v>
          </cell>
          <cell r="BA6233">
            <v>9.99</v>
          </cell>
        </row>
        <row r="6234">
          <cell r="C6234" t="str">
            <v>4506 - PLUMBING</v>
          </cell>
          <cell r="D6234" t="str">
            <v>FLU7516</v>
          </cell>
          <cell r="BA6234">
            <v>2.79</v>
          </cell>
        </row>
        <row r="6235">
          <cell r="C6235" t="str">
            <v>4506 - PLUMBING</v>
          </cell>
          <cell r="D6235" t="str">
            <v>CAM09293</v>
          </cell>
          <cell r="BA6235">
            <v>12.99</v>
          </cell>
        </row>
        <row r="6236">
          <cell r="C6236" t="str">
            <v>4506 - PLUMBING</v>
          </cell>
          <cell r="D6236" t="str">
            <v>APXBC1212</v>
          </cell>
          <cell r="BA6236">
            <v>3.79</v>
          </cell>
        </row>
        <row r="6237">
          <cell r="C6237" t="str">
            <v>4506 - PLUMBING</v>
          </cell>
          <cell r="D6237" t="str">
            <v>APXBC3434</v>
          </cell>
          <cell r="BA6237">
            <v>3.79</v>
          </cell>
        </row>
        <row r="6238">
          <cell r="C6238" t="str">
            <v>4506 - PLUMBING</v>
          </cell>
          <cell r="D6238" t="str">
            <v>APXC1212</v>
          </cell>
          <cell r="BA6238">
            <v>1.99</v>
          </cell>
        </row>
        <row r="6239">
          <cell r="C6239" t="str">
            <v>4506 - PLUMBING</v>
          </cell>
          <cell r="D6239" t="str">
            <v>APXC121210PK</v>
          </cell>
          <cell r="BA6239">
            <v>17.989999999999998</v>
          </cell>
        </row>
        <row r="6240">
          <cell r="C6240" t="str">
            <v>4506 - PLUMBING</v>
          </cell>
          <cell r="D6240" t="str">
            <v>APXC1234</v>
          </cell>
          <cell r="BA6240">
            <v>2.59</v>
          </cell>
        </row>
        <row r="6241">
          <cell r="C6241" t="str">
            <v>4506 - PLUMBING</v>
          </cell>
          <cell r="D6241" t="str">
            <v>APXC3434</v>
          </cell>
          <cell r="BA6241">
            <v>2.59</v>
          </cell>
        </row>
        <row r="6242">
          <cell r="C6242" t="str">
            <v>4506 - PLUMBING</v>
          </cell>
          <cell r="D6242" t="str">
            <v>APXCR1210PK</v>
          </cell>
          <cell r="BA6242">
            <v>4.59</v>
          </cell>
        </row>
        <row r="6243">
          <cell r="C6243" t="str">
            <v>4506 - PLUMBING</v>
          </cell>
          <cell r="D6243" t="str">
            <v>APXCR1250PK</v>
          </cell>
          <cell r="BA6243">
            <v>14.99</v>
          </cell>
        </row>
        <row r="6244">
          <cell r="C6244" t="str">
            <v>4506 - PLUMBING</v>
          </cell>
          <cell r="D6244" t="str">
            <v>APXCR3410PK</v>
          </cell>
          <cell r="BA6244">
            <v>5.99</v>
          </cell>
        </row>
        <row r="6245">
          <cell r="C6245" t="str">
            <v>4506 - PLUMBING</v>
          </cell>
          <cell r="D6245" t="str">
            <v>APXCR3425PK</v>
          </cell>
          <cell r="BA6245">
            <v>9.99</v>
          </cell>
        </row>
        <row r="6246">
          <cell r="C6246" t="str">
            <v>4506 - PLUMBING</v>
          </cell>
          <cell r="D6246" t="str">
            <v>APXDEE12</v>
          </cell>
          <cell r="BA6246">
            <v>7.99</v>
          </cell>
        </row>
        <row r="6247">
          <cell r="C6247" t="str">
            <v>4506 - PLUMBING</v>
          </cell>
          <cell r="D6247" t="str">
            <v>APXE12</v>
          </cell>
          <cell r="BA6247">
            <v>2.59</v>
          </cell>
        </row>
        <row r="6248">
          <cell r="C6248" t="str">
            <v>4506 - PLUMBING</v>
          </cell>
          <cell r="D6248" t="str">
            <v>APXE121210PK</v>
          </cell>
          <cell r="BA6248">
            <v>17.989999999999998</v>
          </cell>
        </row>
        <row r="6249">
          <cell r="C6249" t="str">
            <v>4506 - PLUMBING</v>
          </cell>
          <cell r="D6249" t="str">
            <v>APXE1234</v>
          </cell>
          <cell r="BA6249">
            <v>2.99</v>
          </cell>
        </row>
        <row r="6250">
          <cell r="C6250" t="str">
            <v>4506 - PLUMBING</v>
          </cell>
          <cell r="D6250" t="str">
            <v>APXE3434</v>
          </cell>
          <cell r="BA6250">
            <v>3.29</v>
          </cell>
        </row>
        <row r="6251">
          <cell r="C6251" t="str">
            <v>4506 - PLUMBING</v>
          </cell>
          <cell r="D6251" t="str">
            <v>APXFA1212</v>
          </cell>
          <cell r="BA6251">
            <v>3.49</v>
          </cell>
        </row>
        <row r="6252">
          <cell r="C6252" t="str">
            <v>4506 - PLUMBING</v>
          </cell>
          <cell r="D6252" t="str">
            <v>APXFA3434</v>
          </cell>
          <cell r="BA6252">
            <v>3.79</v>
          </cell>
        </row>
        <row r="6253">
          <cell r="C6253" t="str">
            <v>4506 - PLUMBING</v>
          </cell>
          <cell r="D6253" t="str">
            <v>APXFAE1212</v>
          </cell>
          <cell r="BA6253">
            <v>5.69</v>
          </cell>
        </row>
        <row r="6254">
          <cell r="C6254" t="str">
            <v>4506 - PLUMBING</v>
          </cell>
          <cell r="D6254" t="str">
            <v>APXFB1212S</v>
          </cell>
          <cell r="BA6254">
            <v>3.49</v>
          </cell>
        </row>
        <row r="6255">
          <cell r="C6255" t="str">
            <v>4506 - PLUMBING</v>
          </cell>
          <cell r="D6255" t="str">
            <v>APXFS1212</v>
          </cell>
          <cell r="BA6255">
            <v>3.79</v>
          </cell>
        </row>
        <row r="6256">
          <cell r="C6256" t="str">
            <v>4506 - PLUMBING</v>
          </cell>
          <cell r="D6256" t="str">
            <v>APXMA1212</v>
          </cell>
          <cell r="BA6256">
            <v>3.49</v>
          </cell>
        </row>
        <row r="6257">
          <cell r="C6257" t="str">
            <v>4506 - PLUMBING</v>
          </cell>
          <cell r="D6257" t="str">
            <v>APXCR12LT</v>
          </cell>
          <cell r="BA6257">
            <v>7.99</v>
          </cell>
        </row>
        <row r="6258">
          <cell r="C6258" t="str">
            <v>4506 - PLUMBING</v>
          </cell>
          <cell r="D6258" t="str">
            <v>APXCR34LT</v>
          </cell>
          <cell r="BA6258">
            <v>8.99</v>
          </cell>
        </row>
        <row r="6259">
          <cell r="C6259" t="str">
            <v>4506 - PLUMBING</v>
          </cell>
          <cell r="D6259" t="str">
            <v>APXMA1234</v>
          </cell>
          <cell r="BA6259">
            <v>3.99</v>
          </cell>
        </row>
        <row r="6260">
          <cell r="C6260" t="str">
            <v>4506 - PLUMBING</v>
          </cell>
          <cell r="D6260" t="str">
            <v>APXPV1238A</v>
          </cell>
          <cell r="BA6260">
            <v>12.99</v>
          </cell>
        </row>
        <row r="6261">
          <cell r="C6261" t="str">
            <v>4506 - PLUMBING</v>
          </cell>
          <cell r="D6261" t="str">
            <v>APXPV1238S</v>
          </cell>
          <cell r="BA6261">
            <v>14.99</v>
          </cell>
        </row>
        <row r="6262">
          <cell r="C6262" t="str">
            <v>4506 - PLUMBING</v>
          </cell>
          <cell r="D6262" t="str">
            <v>APXMA3434</v>
          </cell>
          <cell r="BA6262">
            <v>3.99</v>
          </cell>
        </row>
        <row r="6263">
          <cell r="C6263" t="str">
            <v>4506 - PLUMBING</v>
          </cell>
          <cell r="D6263" t="str">
            <v>APXMS1212</v>
          </cell>
          <cell r="BA6263">
            <v>3.79</v>
          </cell>
        </row>
        <row r="6264">
          <cell r="C6264" t="str">
            <v>4506 - PLUMBING</v>
          </cell>
          <cell r="D6264" t="str">
            <v>APXP12</v>
          </cell>
          <cell r="BA6264">
            <v>1.99</v>
          </cell>
        </row>
        <row r="6265">
          <cell r="C6265" t="str">
            <v>4506 - PLUMBING</v>
          </cell>
          <cell r="D6265" t="str">
            <v>APXP34</v>
          </cell>
          <cell r="BA6265">
            <v>1.99</v>
          </cell>
        </row>
        <row r="6266">
          <cell r="C6266" t="str">
            <v>4506 - PLUMBING</v>
          </cell>
          <cell r="D6266" t="str">
            <v>APXT12</v>
          </cell>
          <cell r="BA6266">
            <v>3.99</v>
          </cell>
        </row>
        <row r="6267">
          <cell r="C6267" t="str">
            <v>4506 - PLUMBING</v>
          </cell>
          <cell r="D6267" t="str">
            <v>APXT1210PK</v>
          </cell>
          <cell r="BA6267">
            <v>34.99</v>
          </cell>
        </row>
        <row r="6268">
          <cell r="C6268" t="str">
            <v>4506 - PLUMBING</v>
          </cell>
          <cell r="D6268" t="str">
            <v>APXT34</v>
          </cell>
          <cell r="BA6268">
            <v>4.59</v>
          </cell>
        </row>
        <row r="6269">
          <cell r="C6269" t="str">
            <v>4506 - PLUMBING</v>
          </cell>
          <cell r="D6269" t="str">
            <v>APXT343412</v>
          </cell>
          <cell r="BA6269">
            <v>4.59</v>
          </cell>
        </row>
        <row r="6270">
          <cell r="C6270" t="str">
            <v>4506 - PLUMBING</v>
          </cell>
          <cell r="D6270" t="str">
            <v>APXV1212</v>
          </cell>
          <cell r="BA6270">
            <v>8.99</v>
          </cell>
        </row>
        <row r="6271">
          <cell r="C6271" t="str">
            <v>4506 - PLUMBING</v>
          </cell>
          <cell r="D6271" t="str">
            <v>APXV3434</v>
          </cell>
          <cell r="BA6271">
            <v>12.99</v>
          </cell>
        </row>
        <row r="6272">
          <cell r="C6272" t="str">
            <v>4506 - PLUMBING</v>
          </cell>
          <cell r="D6272" t="str">
            <v>APXVA1238C</v>
          </cell>
          <cell r="BA6272">
            <v>9.99</v>
          </cell>
        </row>
        <row r="6273">
          <cell r="C6273" t="str">
            <v>4506 - PLUMBING</v>
          </cell>
          <cell r="D6273" t="str">
            <v>APXVS1238C</v>
          </cell>
          <cell r="BA6273">
            <v>8.99</v>
          </cell>
        </row>
        <row r="6274">
          <cell r="C6274" t="str">
            <v>4506 - PLUMBING</v>
          </cell>
          <cell r="D6274" t="str">
            <v>CBPXPAE125PK</v>
          </cell>
          <cell r="BA6274">
            <v>5.99</v>
          </cell>
        </row>
        <row r="6275">
          <cell r="C6275" t="str">
            <v>4506 - PLUMBING</v>
          </cell>
          <cell r="D6275" t="str">
            <v>CBPXPAT125PK</v>
          </cell>
          <cell r="BA6275">
            <v>8.99</v>
          </cell>
        </row>
        <row r="6276">
          <cell r="C6276" t="str">
            <v>4506 - PLUMBING</v>
          </cell>
          <cell r="D6276" t="str">
            <v>PXPAC125PK</v>
          </cell>
          <cell r="BA6276">
            <v>4.79</v>
          </cell>
        </row>
        <row r="6277">
          <cell r="C6277" t="str">
            <v>4506 - PLUMBING</v>
          </cell>
          <cell r="D6277" t="str">
            <v>PXPC1210PK</v>
          </cell>
          <cell r="BA6277">
            <v>6.99</v>
          </cell>
        </row>
        <row r="6278">
          <cell r="C6278" t="str">
            <v>4506 - PLUMBING</v>
          </cell>
          <cell r="D6278" t="str">
            <v>PXPC3410PK</v>
          </cell>
          <cell r="BA6278">
            <v>8.69</v>
          </cell>
        </row>
        <row r="6279">
          <cell r="C6279" t="str">
            <v>4506 - PLUMBING</v>
          </cell>
          <cell r="D6279" t="str">
            <v>640LEVERWH</v>
          </cell>
          <cell r="BA6279">
            <v>9.99</v>
          </cell>
        </row>
        <row r="6280">
          <cell r="C6280" t="str">
            <v>4506 - PLUMBING</v>
          </cell>
          <cell r="D6280" t="str">
            <v>642LEVERBN</v>
          </cell>
          <cell r="BA6280">
            <v>11.99</v>
          </cell>
        </row>
        <row r="6281">
          <cell r="C6281" t="str">
            <v>4506 - PLUMBING</v>
          </cell>
          <cell r="D6281" t="str">
            <v>PP23872</v>
          </cell>
          <cell r="BA6281">
            <v>8.69</v>
          </cell>
        </row>
        <row r="6282">
          <cell r="C6282" t="str">
            <v>4506 - PLUMBING</v>
          </cell>
          <cell r="D6282" t="str">
            <v>43503</v>
          </cell>
          <cell r="BA6282">
            <v>6.49</v>
          </cell>
        </row>
        <row r="6283">
          <cell r="C6283" t="str">
            <v>4506 - PLUMBING</v>
          </cell>
          <cell r="D6283" t="str">
            <v>PP80001</v>
          </cell>
          <cell r="BA6283">
            <v>6.99</v>
          </cell>
        </row>
        <row r="6284">
          <cell r="C6284" t="str">
            <v>4506 - PLUMBING</v>
          </cell>
          <cell r="D6284" t="str">
            <v>PP23834</v>
          </cell>
          <cell r="BA6284">
            <v>29.99</v>
          </cell>
        </row>
        <row r="6285">
          <cell r="C6285" t="str">
            <v>4506 - PLUMBING</v>
          </cell>
          <cell r="D6285" t="str">
            <v>CAM08163</v>
          </cell>
          <cell r="BA6285">
            <v>29.99</v>
          </cell>
        </row>
        <row r="6286">
          <cell r="C6286" t="str">
            <v>4506 - PLUMBING</v>
          </cell>
          <cell r="D6286" t="str">
            <v>CAM02363</v>
          </cell>
          <cell r="BA6286">
            <v>17.989999999999998</v>
          </cell>
        </row>
        <row r="6287">
          <cell r="C6287" t="str">
            <v>4506 - PLUMBING</v>
          </cell>
          <cell r="D6287" t="str">
            <v>E02143</v>
          </cell>
          <cell r="BA6287">
            <v>8.99</v>
          </cell>
        </row>
        <row r="6288">
          <cell r="C6288" t="str">
            <v>4506 - PLUMBING</v>
          </cell>
          <cell r="D6288" t="str">
            <v>12SCH40LF</v>
          </cell>
          <cell r="BA6288">
            <v>0.57999999999999996</v>
          </cell>
        </row>
        <row r="6289">
          <cell r="C6289" t="str">
            <v>4506 - PLUMBING</v>
          </cell>
          <cell r="D6289" t="str">
            <v>1SCH40LF</v>
          </cell>
          <cell r="BA6289">
            <v>0.7</v>
          </cell>
        </row>
        <row r="6290">
          <cell r="C6290" t="str">
            <v>4506 - PLUMBING</v>
          </cell>
          <cell r="D6290" t="str">
            <v>2SCH40LF</v>
          </cell>
          <cell r="BA6290">
            <v>2.79</v>
          </cell>
        </row>
        <row r="6291">
          <cell r="C6291" t="str">
            <v>4506 - PLUMBING</v>
          </cell>
          <cell r="D6291" t="str">
            <v>320DWV</v>
          </cell>
          <cell r="BA6291">
            <v>84.99</v>
          </cell>
        </row>
        <row r="6292">
          <cell r="C6292" t="str">
            <v>4506 - PLUMBING</v>
          </cell>
          <cell r="D6292" t="str">
            <v>34SCH40LF</v>
          </cell>
          <cell r="BA6292">
            <v>0.38</v>
          </cell>
        </row>
        <row r="6293">
          <cell r="C6293" t="str">
            <v>4506 - PLUMBING</v>
          </cell>
          <cell r="D6293" t="str">
            <v>3SCH40DWVLF</v>
          </cell>
          <cell r="BA6293">
            <v>2.39</v>
          </cell>
        </row>
        <row r="6294">
          <cell r="C6294" t="str">
            <v>4506 - PLUMBING</v>
          </cell>
          <cell r="D6294" t="str">
            <v>4100PCDP</v>
          </cell>
          <cell r="BA6294">
            <v>129.99</v>
          </cell>
        </row>
        <row r="6295">
          <cell r="C6295" t="str">
            <v>4506 - PLUMBING</v>
          </cell>
          <cell r="D6295" t="str">
            <v>HAN04040010</v>
          </cell>
          <cell r="BA6295">
            <v>13.99</v>
          </cell>
        </row>
        <row r="6296">
          <cell r="C6296" t="str">
            <v>4506 - PLUMBING</v>
          </cell>
          <cell r="D6296" t="str">
            <v>410SCDP</v>
          </cell>
          <cell r="BA6296">
            <v>13.99</v>
          </cell>
        </row>
        <row r="6297">
          <cell r="C6297" t="str">
            <v>4506 - PLUMBING</v>
          </cell>
          <cell r="D6297" t="str">
            <v>GEN40030</v>
          </cell>
          <cell r="BA6297">
            <v>18.989999999999998</v>
          </cell>
        </row>
        <row r="6298">
          <cell r="C6298" t="str">
            <v>4506 - PLUMBING</v>
          </cell>
          <cell r="D6298" t="str">
            <v>GEN50007</v>
          </cell>
          <cell r="BA6298">
            <v>8.99</v>
          </cell>
        </row>
        <row r="6299">
          <cell r="C6299" t="str">
            <v>4506 - PLUMBING</v>
          </cell>
          <cell r="D6299" t="str">
            <v>HC04510100</v>
          </cell>
          <cell r="BA6299">
            <v>129.99</v>
          </cell>
        </row>
        <row r="6300">
          <cell r="C6300" t="str">
            <v>4506 - PLUMBING</v>
          </cell>
          <cell r="D6300" t="str">
            <v>HC0417AA</v>
          </cell>
          <cell r="BA6300">
            <v>10.99</v>
          </cell>
        </row>
        <row r="6301">
          <cell r="C6301" t="str">
            <v>4506 - PLUMBING</v>
          </cell>
          <cell r="D6301" t="str">
            <v>4CP90</v>
          </cell>
          <cell r="BA6301">
            <v>11.99</v>
          </cell>
        </row>
        <row r="6302">
          <cell r="C6302" t="str">
            <v>4506 - PLUMBING</v>
          </cell>
          <cell r="D6302" t="str">
            <v>4CPY</v>
          </cell>
          <cell r="BA6302">
            <v>16.989999999999998</v>
          </cell>
        </row>
        <row r="6303">
          <cell r="C6303" t="str">
            <v>4506 - PLUMBING</v>
          </cell>
          <cell r="D6303" t="str">
            <v>4CPCAP</v>
          </cell>
          <cell r="BA6303">
            <v>6.99</v>
          </cell>
        </row>
        <row r="6304">
          <cell r="C6304" t="str">
            <v>4506 - PLUMBING</v>
          </cell>
          <cell r="D6304" t="str">
            <v>AVP600U34</v>
          </cell>
          <cell r="BA6304">
            <v>5.99</v>
          </cell>
        </row>
        <row r="6305">
          <cell r="C6305" t="str">
            <v>4506 - PLUMBING</v>
          </cell>
          <cell r="D6305" t="str">
            <v>LASCO406012BC</v>
          </cell>
          <cell r="BA6305">
            <v>2.79</v>
          </cell>
        </row>
        <row r="6306">
          <cell r="C6306" t="str">
            <v>4506 - PLUMBING</v>
          </cell>
          <cell r="D6306" t="str">
            <v>LASCO406015BC</v>
          </cell>
          <cell r="BA6306">
            <v>2.99</v>
          </cell>
        </row>
        <row r="6307">
          <cell r="C6307" t="str">
            <v>4506 - PLUMBING</v>
          </cell>
          <cell r="D6307" t="str">
            <v>LASCO406020BC</v>
          </cell>
          <cell r="BA6307">
            <v>4.59</v>
          </cell>
        </row>
        <row r="6308">
          <cell r="C6308" t="str">
            <v>4506 - PLUMBING</v>
          </cell>
          <cell r="D6308" t="str">
            <v>LASCO408005BC</v>
          </cell>
          <cell r="BA6308">
            <v>1.99</v>
          </cell>
        </row>
        <row r="6309">
          <cell r="C6309" t="str">
            <v>4506 - PLUMBING</v>
          </cell>
          <cell r="D6309" t="str">
            <v>LASCO409012BC</v>
          </cell>
          <cell r="BA6309">
            <v>4.59</v>
          </cell>
        </row>
        <row r="6310">
          <cell r="C6310" t="str">
            <v>4506 - PLUMBING</v>
          </cell>
          <cell r="D6310" t="str">
            <v>LASCO417005BC</v>
          </cell>
          <cell r="BA6310">
            <v>1.49</v>
          </cell>
        </row>
        <row r="6311">
          <cell r="C6311" t="str">
            <v>4506 - PLUMBING</v>
          </cell>
          <cell r="D6311" t="str">
            <v>LASCO417007BC</v>
          </cell>
          <cell r="BA6311">
            <v>1.69</v>
          </cell>
        </row>
        <row r="6312">
          <cell r="C6312" t="str">
            <v>4506 - PLUMBING</v>
          </cell>
          <cell r="D6312" t="str">
            <v>LASCO417010BC</v>
          </cell>
          <cell r="BA6312">
            <v>1.99</v>
          </cell>
        </row>
        <row r="6313">
          <cell r="C6313" t="str">
            <v>4506 - PLUMBING</v>
          </cell>
          <cell r="D6313" t="str">
            <v>LASCO417012BC</v>
          </cell>
          <cell r="BA6313">
            <v>2.99</v>
          </cell>
        </row>
        <row r="6314">
          <cell r="C6314" t="str">
            <v>4506 - PLUMBING</v>
          </cell>
          <cell r="D6314" t="str">
            <v>LASCO417015BC</v>
          </cell>
          <cell r="BA6314">
            <v>2.99</v>
          </cell>
        </row>
        <row r="6315">
          <cell r="C6315" t="str">
            <v>4506 - PLUMBING</v>
          </cell>
          <cell r="D6315" t="str">
            <v>LASCO417020BC</v>
          </cell>
          <cell r="BA6315">
            <v>4.59</v>
          </cell>
        </row>
        <row r="6316">
          <cell r="C6316" t="str">
            <v>4506 - PLUMBING</v>
          </cell>
          <cell r="D6316" t="str">
            <v>LASCO401007BC</v>
          </cell>
          <cell r="BA6316">
            <v>0.89</v>
          </cell>
        </row>
        <row r="6317">
          <cell r="C6317" t="str">
            <v>4506 - PLUMBING</v>
          </cell>
          <cell r="D6317" t="str">
            <v>LASCO401012BC</v>
          </cell>
          <cell r="BA6317">
            <v>3.79</v>
          </cell>
        </row>
        <row r="6318">
          <cell r="C6318" t="str">
            <v>4506 - PLUMBING</v>
          </cell>
          <cell r="D6318" t="str">
            <v>LASCO401015BC</v>
          </cell>
          <cell r="BA6318">
            <v>3.99</v>
          </cell>
        </row>
        <row r="6319">
          <cell r="C6319" t="str">
            <v>4506 - PLUMBING</v>
          </cell>
          <cell r="D6319" t="str">
            <v>LASCO402005BC</v>
          </cell>
          <cell r="BA6319">
            <v>1.49</v>
          </cell>
        </row>
        <row r="6320">
          <cell r="C6320" t="str">
            <v>4506 - PLUMBING</v>
          </cell>
          <cell r="D6320" t="str">
            <v>LASCO405005BC</v>
          </cell>
          <cell r="BA6320">
            <v>1.99</v>
          </cell>
        </row>
        <row r="6321">
          <cell r="C6321" t="str">
            <v>4506 - PLUMBING</v>
          </cell>
          <cell r="D6321" t="str">
            <v>LASCO405007BC</v>
          </cell>
          <cell r="BA6321">
            <v>4.79</v>
          </cell>
        </row>
        <row r="6322">
          <cell r="C6322" t="str">
            <v>4506 - PLUMBING</v>
          </cell>
          <cell r="D6322" t="str">
            <v>LASCO429005BC</v>
          </cell>
          <cell r="BA6322">
            <v>0.89</v>
          </cell>
        </row>
        <row r="6323">
          <cell r="C6323" t="str">
            <v>4506 - PLUMBING</v>
          </cell>
          <cell r="D6323" t="str">
            <v>LASCO429007BC</v>
          </cell>
          <cell r="BA6323">
            <v>0.59</v>
          </cell>
        </row>
        <row r="6324">
          <cell r="C6324" t="str">
            <v>4506 - PLUMBING</v>
          </cell>
          <cell r="D6324" t="str">
            <v>LASCO429012BC</v>
          </cell>
          <cell r="BA6324">
            <v>1.39</v>
          </cell>
        </row>
        <row r="6325">
          <cell r="C6325" t="str">
            <v>4506 - PLUMBING</v>
          </cell>
          <cell r="D6325" t="str">
            <v>LASCO437101BC</v>
          </cell>
          <cell r="BA6325">
            <v>0.99</v>
          </cell>
        </row>
        <row r="6326">
          <cell r="C6326" t="str">
            <v>4506 - PLUMBING</v>
          </cell>
          <cell r="D6326" t="str">
            <v>LASCO437210BC</v>
          </cell>
          <cell r="BA6326">
            <v>2.19</v>
          </cell>
        </row>
        <row r="6327">
          <cell r="C6327" t="str">
            <v>4506 - PLUMBING</v>
          </cell>
          <cell r="D6327" t="str">
            <v>LASCO437211BC</v>
          </cell>
          <cell r="BA6327">
            <v>0.99</v>
          </cell>
        </row>
        <row r="6328">
          <cell r="C6328" t="str">
            <v>4506 - PLUMBING</v>
          </cell>
          <cell r="D6328" t="str">
            <v>LASCO437212BC</v>
          </cell>
          <cell r="BA6328">
            <v>2.39</v>
          </cell>
        </row>
        <row r="6329">
          <cell r="C6329" t="str">
            <v>4506 - PLUMBING</v>
          </cell>
          <cell r="D6329" t="str">
            <v>LASCO437251BC</v>
          </cell>
          <cell r="BA6329">
            <v>1.79</v>
          </cell>
        </row>
        <row r="6330">
          <cell r="C6330" t="str">
            <v>4506 - PLUMBING</v>
          </cell>
          <cell r="D6330" t="str">
            <v>LASCO438168BC</v>
          </cell>
          <cell r="BA6330">
            <v>2.79</v>
          </cell>
        </row>
        <row r="6331">
          <cell r="C6331" t="str">
            <v>4506 - PLUMBING</v>
          </cell>
          <cell r="D6331" t="str">
            <v>LASCO438250BC</v>
          </cell>
          <cell r="BA6331">
            <v>3.79</v>
          </cell>
        </row>
        <row r="6332">
          <cell r="C6332" t="str">
            <v>4506 - PLUMBING</v>
          </cell>
          <cell r="D6332" t="str">
            <v>LASCO435007BC</v>
          </cell>
          <cell r="BA6332">
            <v>0.99</v>
          </cell>
        </row>
        <row r="6333">
          <cell r="C6333" t="str">
            <v>4506 - PLUMBING</v>
          </cell>
          <cell r="D6333" t="str">
            <v>LASCO435010BC</v>
          </cell>
          <cell r="BA6333">
            <v>1.69</v>
          </cell>
        </row>
        <row r="6334">
          <cell r="C6334" t="str">
            <v>4506 - PLUMBING</v>
          </cell>
          <cell r="D6334" t="str">
            <v>LASCO435012BC</v>
          </cell>
          <cell r="BA6334">
            <v>1.0900000000000001</v>
          </cell>
        </row>
        <row r="6335">
          <cell r="C6335" t="str">
            <v>4506 - PLUMBING</v>
          </cell>
          <cell r="D6335" t="str">
            <v>LASCO435020BC</v>
          </cell>
          <cell r="BA6335">
            <v>3.99</v>
          </cell>
        </row>
        <row r="6336">
          <cell r="C6336" t="str">
            <v>4506 - PLUMBING</v>
          </cell>
          <cell r="D6336" t="str">
            <v>LASCO436005BC</v>
          </cell>
          <cell r="BA6336">
            <v>0.89</v>
          </cell>
        </row>
        <row r="6337">
          <cell r="C6337" t="str">
            <v>4506 - PLUMBING</v>
          </cell>
          <cell r="D6337" t="str">
            <v>LASCO436007BC</v>
          </cell>
          <cell r="BA6337">
            <v>0.79</v>
          </cell>
        </row>
        <row r="6338">
          <cell r="C6338" t="str">
            <v>4506 - PLUMBING</v>
          </cell>
          <cell r="D6338" t="str">
            <v>LASCO436015BC</v>
          </cell>
          <cell r="BA6338">
            <v>2.59</v>
          </cell>
        </row>
        <row r="6339">
          <cell r="C6339" t="str">
            <v>4506 - PLUMBING</v>
          </cell>
          <cell r="D6339" t="str">
            <v>LASCO436020BC</v>
          </cell>
          <cell r="BA6339">
            <v>2.79</v>
          </cell>
        </row>
        <row r="6340">
          <cell r="C6340" t="str">
            <v>4506 - PLUMBING</v>
          </cell>
          <cell r="D6340" t="str">
            <v>LASCO436074BC</v>
          </cell>
          <cell r="BA6340">
            <v>1.79</v>
          </cell>
        </row>
        <row r="6341">
          <cell r="C6341" t="str">
            <v>4506 - PLUMBING</v>
          </cell>
          <cell r="D6341" t="str">
            <v>LASCO436102BC</v>
          </cell>
          <cell r="BA6341">
            <v>1.99</v>
          </cell>
        </row>
        <row r="6342">
          <cell r="C6342" t="str">
            <v>4506 - PLUMBING</v>
          </cell>
          <cell r="D6342" t="str">
            <v>IPEX435622</v>
          </cell>
          <cell r="BA6342">
            <v>1.79</v>
          </cell>
        </row>
        <row r="6343">
          <cell r="C6343" t="str">
            <v>4506 - PLUMBING</v>
          </cell>
          <cell r="D6343" t="str">
            <v>LASCO450005BC</v>
          </cell>
          <cell r="BA6343">
            <v>1.79</v>
          </cell>
        </row>
        <row r="6344">
          <cell r="C6344" t="str">
            <v>4506 - PLUMBING</v>
          </cell>
          <cell r="D6344" t="str">
            <v>LASCO450007BC</v>
          </cell>
          <cell r="BA6344">
            <v>2.39</v>
          </cell>
        </row>
        <row r="6345">
          <cell r="C6345" t="str">
            <v>4506 - PLUMBING</v>
          </cell>
          <cell r="D6345" t="str">
            <v>LASCO450010BC</v>
          </cell>
          <cell r="BA6345">
            <v>3.99</v>
          </cell>
        </row>
        <row r="6346">
          <cell r="C6346" t="str">
            <v>4506 - PLUMBING</v>
          </cell>
          <cell r="D6346" t="str">
            <v>LASCO447007BC</v>
          </cell>
          <cell r="BA6346">
            <v>0.89</v>
          </cell>
        </row>
        <row r="6347">
          <cell r="C6347" t="str">
            <v>4506 - PLUMBING</v>
          </cell>
          <cell r="D6347" t="str">
            <v>LASCO447015BC</v>
          </cell>
          <cell r="BA6347">
            <v>2.19</v>
          </cell>
        </row>
        <row r="6348">
          <cell r="C6348" t="str">
            <v>4506 - PLUMBING</v>
          </cell>
          <cell r="D6348" t="str">
            <v>LASCO447020BC</v>
          </cell>
          <cell r="BA6348">
            <v>2.79</v>
          </cell>
        </row>
        <row r="6349">
          <cell r="C6349" t="str">
            <v>4506 - PLUMBING</v>
          </cell>
          <cell r="D6349" t="str">
            <v>LASCO448007BC</v>
          </cell>
          <cell r="BA6349">
            <v>1.79</v>
          </cell>
        </row>
        <row r="6350">
          <cell r="C6350" t="str">
            <v>4506 - PLUMBING</v>
          </cell>
          <cell r="D6350" t="str">
            <v>LASCO448010BC</v>
          </cell>
          <cell r="BA6350">
            <v>2.79</v>
          </cell>
        </row>
        <row r="6351">
          <cell r="C6351" t="str">
            <v>4506 - PLUMBING</v>
          </cell>
          <cell r="D6351" t="str">
            <v>PP2901VLF</v>
          </cell>
          <cell r="BA6351">
            <v>18.989999999999998</v>
          </cell>
        </row>
        <row r="6352">
          <cell r="C6352" t="str">
            <v>4506 - PLUMBING</v>
          </cell>
          <cell r="D6352" t="str">
            <v>IPEX103002BC</v>
          </cell>
          <cell r="BA6352">
            <v>2.19</v>
          </cell>
        </row>
        <row r="6353">
          <cell r="C6353" t="str">
            <v>4506 - PLUMBING</v>
          </cell>
          <cell r="D6353" t="str">
            <v>IPEX435411</v>
          </cell>
          <cell r="BA6353">
            <v>2.19</v>
          </cell>
        </row>
        <row r="6354">
          <cell r="C6354" t="str">
            <v>4506 - PLUMBING</v>
          </cell>
          <cell r="D6354" t="str">
            <v>IPEX435410</v>
          </cell>
          <cell r="BA6354">
            <v>1.79</v>
          </cell>
        </row>
        <row r="6355">
          <cell r="C6355" t="str">
            <v>4506 - PLUMBING</v>
          </cell>
          <cell r="D6355" t="str">
            <v>IPEX435448</v>
          </cell>
          <cell r="BA6355">
            <v>0.89</v>
          </cell>
        </row>
        <row r="6356">
          <cell r="C6356" t="str">
            <v>4506 - PLUMBING</v>
          </cell>
          <cell r="D6356" t="str">
            <v>IPEX435450</v>
          </cell>
          <cell r="BA6356">
            <v>0.99</v>
          </cell>
        </row>
        <row r="6357">
          <cell r="C6357" t="str">
            <v>4506 - PLUMBING</v>
          </cell>
          <cell r="D6357" t="str">
            <v>IPEX435451</v>
          </cell>
          <cell r="BA6357">
            <v>1.39</v>
          </cell>
        </row>
        <row r="6358">
          <cell r="C6358" t="str">
            <v>4506 - PLUMBING</v>
          </cell>
          <cell r="D6358" t="str">
            <v>IPEX435452</v>
          </cell>
          <cell r="BA6358">
            <v>1.49</v>
          </cell>
        </row>
        <row r="6359">
          <cell r="C6359" t="str">
            <v>4506 - PLUMBING</v>
          </cell>
          <cell r="D6359" t="str">
            <v>IPEX435449</v>
          </cell>
          <cell r="BA6359">
            <v>0.59</v>
          </cell>
        </row>
        <row r="6360">
          <cell r="C6360" t="str">
            <v>4506 - PLUMBING</v>
          </cell>
          <cell r="D6360" t="str">
            <v>IPEX435467</v>
          </cell>
          <cell r="BA6360">
            <v>1.99</v>
          </cell>
        </row>
        <row r="6361">
          <cell r="C6361" t="str">
            <v>4506 - PLUMBING</v>
          </cell>
          <cell r="D6361" t="str">
            <v>IPEX435483</v>
          </cell>
          <cell r="BA6361">
            <v>1.99</v>
          </cell>
        </row>
        <row r="6362">
          <cell r="C6362" t="str">
            <v>4506 - PLUMBING</v>
          </cell>
          <cell r="D6362" t="str">
            <v>IPEX435486</v>
          </cell>
          <cell r="BA6362">
            <v>4.59</v>
          </cell>
        </row>
        <row r="6363">
          <cell r="C6363" t="str">
            <v>4506 - PLUMBING</v>
          </cell>
          <cell r="D6363" t="str">
            <v>IPEX435482</v>
          </cell>
          <cell r="BA6363">
            <v>1.69</v>
          </cell>
        </row>
        <row r="6364">
          <cell r="C6364" t="str">
            <v>4506 - PLUMBING</v>
          </cell>
          <cell r="D6364" t="str">
            <v>IPEX435485</v>
          </cell>
          <cell r="BA6364">
            <v>2.99</v>
          </cell>
        </row>
        <row r="6365">
          <cell r="C6365" t="str">
            <v>4506 - PLUMBING</v>
          </cell>
          <cell r="D6365" t="str">
            <v>IPEX435521</v>
          </cell>
          <cell r="BA6365">
            <v>1.69</v>
          </cell>
        </row>
        <row r="6366">
          <cell r="C6366" t="str">
            <v>4506 - PLUMBING</v>
          </cell>
          <cell r="D6366" t="str">
            <v>IPEX435522</v>
          </cell>
          <cell r="BA6366">
            <v>2.79</v>
          </cell>
        </row>
        <row r="6367">
          <cell r="C6367" t="str">
            <v>4506 - PLUMBING</v>
          </cell>
          <cell r="D6367" t="str">
            <v>IPEX435523</v>
          </cell>
          <cell r="BA6367">
            <v>2.99</v>
          </cell>
        </row>
        <row r="6368">
          <cell r="C6368" t="str">
            <v>4506 - PLUMBING</v>
          </cell>
          <cell r="D6368" t="str">
            <v>IPEX435560</v>
          </cell>
          <cell r="BA6368">
            <v>0.99</v>
          </cell>
        </row>
        <row r="6369">
          <cell r="C6369" t="str">
            <v>4506 - PLUMBING</v>
          </cell>
          <cell r="D6369" t="str">
            <v>IPEX435624</v>
          </cell>
          <cell r="BA6369">
            <v>3.99</v>
          </cell>
        </row>
        <row r="6370">
          <cell r="C6370" t="str">
            <v>4506 - PLUMBING</v>
          </cell>
          <cell r="D6370" t="str">
            <v>IPEX435632</v>
          </cell>
          <cell r="BA6370">
            <v>2.19</v>
          </cell>
        </row>
        <row r="6371">
          <cell r="C6371" t="str">
            <v>4506 - PLUMBING</v>
          </cell>
          <cell r="D6371" t="str">
            <v>IPEX435648</v>
          </cell>
          <cell r="BA6371">
            <v>1.79</v>
          </cell>
        </row>
        <row r="6372">
          <cell r="C6372" t="str">
            <v>4506 - PLUMBING</v>
          </cell>
          <cell r="D6372" t="str">
            <v>IPEX435562</v>
          </cell>
          <cell r="BA6372">
            <v>2.39</v>
          </cell>
        </row>
        <row r="6373">
          <cell r="C6373" t="str">
            <v>4506 - PLUMBING</v>
          </cell>
          <cell r="D6373" t="str">
            <v>IPEX435468</v>
          </cell>
          <cell r="BA6373">
            <v>1.99</v>
          </cell>
        </row>
        <row r="6374">
          <cell r="C6374" t="str">
            <v>4506 - PLUMBING</v>
          </cell>
          <cell r="D6374" t="str">
            <v>IPEX435606</v>
          </cell>
          <cell r="BA6374">
            <v>2.59</v>
          </cell>
        </row>
        <row r="6375">
          <cell r="C6375" t="str">
            <v>4506 - PLUMBING</v>
          </cell>
          <cell r="D6375" t="str">
            <v>IPEX435845</v>
          </cell>
          <cell r="BA6375">
            <v>4.79</v>
          </cell>
        </row>
        <row r="6376">
          <cell r="C6376" t="str">
            <v>4506 - PLUMBING</v>
          </cell>
          <cell r="D6376" t="str">
            <v>IPEX435852</v>
          </cell>
          <cell r="BA6376">
            <v>2.39</v>
          </cell>
        </row>
        <row r="6377">
          <cell r="C6377" t="str">
            <v>4506 - PLUMBING</v>
          </cell>
          <cell r="D6377" t="str">
            <v>IPEX435958</v>
          </cell>
          <cell r="BA6377">
            <v>2.19</v>
          </cell>
        </row>
        <row r="6378">
          <cell r="C6378" t="str">
            <v>4506 - PLUMBING</v>
          </cell>
          <cell r="D6378" t="str">
            <v>IPEX435701</v>
          </cell>
          <cell r="BA6378">
            <v>2.79</v>
          </cell>
        </row>
        <row r="6379">
          <cell r="C6379" t="str">
            <v>4506 - PLUMBING</v>
          </cell>
          <cell r="D6379" t="str">
            <v>IPEX435760</v>
          </cell>
          <cell r="BA6379">
            <v>1.99</v>
          </cell>
        </row>
        <row r="6380">
          <cell r="C6380" t="str">
            <v>4506 - PLUMBING</v>
          </cell>
          <cell r="D6380" t="str">
            <v>IPEX435484</v>
          </cell>
          <cell r="BA6380">
            <v>2.99</v>
          </cell>
        </row>
        <row r="6381">
          <cell r="C6381" t="str">
            <v>4506 - PLUMBING</v>
          </cell>
          <cell r="D6381" t="str">
            <v>IPEX435481</v>
          </cell>
          <cell r="BA6381">
            <v>1.49</v>
          </cell>
        </row>
        <row r="6382">
          <cell r="C6382" t="str">
            <v>4506 - PLUMBING</v>
          </cell>
          <cell r="D6382" t="str">
            <v>IPEX435866</v>
          </cell>
          <cell r="BA6382">
            <v>2.99</v>
          </cell>
        </row>
        <row r="6383">
          <cell r="C6383" t="str">
            <v>4506 - PLUMBING</v>
          </cell>
          <cell r="D6383" t="str">
            <v>IPEX435035</v>
          </cell>
          <cell r="BA6383">
            <v>4.59</v>
          </cell>
        </row>
        <row r="6384">
          <cell r="C6384" t="str">
            <v>4506 - PLUMBING</v>
          </cell>
          <cell r="D6384" t="str">
            <v>IPEX435501</v>
          </cell>
          <cell r="BA6384">
            <v>1.99</v>
          </cell>
        </row>
        <row r="6385">
          <cell r="C6385" t="str">
            <v>4506 - PLUMBING</v>
          </cell>
          <cell r="D6385" t="str">
            <v>IPEX435407</v>
          </cell>
          <cell r="BA6385">
            <v>0.79</v>
          </cell>
        </row>
        <row r="6386">
          <cell r="C6386" t="str">
            <v>4506 - PLUMBING</v>
          </cell>
          <cell r="D6386" t="str">
            <v>IPEX435408</v>
          </cell>
          <cell r="BA6386">
            <v>0.89</v>
          </cell>
        </row>
        <row r="6387">
          <cell r="C6387" t="str">
            <v>4506 - PLUMBING</v>
          </cell>
          <cell r="D6387" t="str">
            <v>IPEX435409</v>
          </cell>
          <cell r="BA6387">
            <v>1.39</v>
          </cell>
        </row>
        <row r="6388">
          <cell r="C6388" t="str">
            <v>4506 - PLUMBING</v>
          </cell>
          <cell r="D6388" t="str">
            <v>IPEX435423</v>
          </cell>
          <cell r="BA6388">
            <v>1.49</v>
          </cell>
        </row>
        <row r="6389">
          <cell r="C6389" t="str">
            <v>4506 - PLUMBING</v>
          </cell>
          <cell r="D6389" t="str">
            <v>IPEX435424</v>
          </cell>
          <cell r="BA6389">
            <v>1.79</v>
          </cell>
        </row>
        <row r="6390">
          <cell r="C6390" t="str">
            <v>4506 - PLUMBING</v>
          </cell>
          <cell r="D6390" t="str">
            <v>IPEX435466</v>
          </cell>
          <cell r="BA6390">
            <v>1.39</v>
          </cell>
        </row>
        <row r="6391">
          <cell r="C6391" t="str">
            <v>4506 - PLUMBING</v>
          </cell>
          <cell r="D6391" t="str">
            <v>IPEX435471</v>
          </cell>
          <cell r="BA6391">
            <v>5.69</v>
          </cell>
        </row>
        <row r="6392">
          <cell r="C6392" t="str">
            <v>4506 - PLUMBING</v>
          </cell>
          <cell r="D6392" t="str">
            <v>IPEX435472</v>
          </cell>
          <cell r="BA6392">
            <v>5.99</v>
          </cell>
        </row>
        <row r="6393">
          <cell r="C6393" t="str">
            <v>4506 - PLUMBING</v>
          </cell>
          <cell r="D6393" t="str">
            <v>IPEX435473</v>
          </cell>
          <cell r="BA6393">
            <v>9.99</v>
          </cell>
        </row>
        <row r="6394">
          <cell r="C6394" t="str">
            <v>4506 - PLUMBING</v>
          </cell>
          <cell r="D6394" t="str">
            <v>IPEX435500</v>
          </cell>
          <cell r="BA6394">
            <v>1.99</v>
          </cell>
        </row>
        <row r="6395">
          <cell r="C6395" t="str">
            <v>4506 - PLUMBING</v>
          </cell>
          <cell r="D6395" t="str">
            <v>IPEX435502</v>
          </cell>
          <cell r="BA6395">
            <v>2.99</v>
          </cell>
        </row>
        <row r="6396">
          <cell r="C6396" t="str">
            <v>4506 - PLUMBING</v>
          </cell>
          <cell r="D6396" t="str">
            <v>IPEX435503</v>
          </cell>
          <cell r="BA6396">
            <v>3.99</v>
          </cell>
        </row>
        <row r="6397">
          <cell r="C6397" t="str">
            <v>4506 - PLUMBING</v>
          </cell>
          <cell r="D6397" t="str">
            <v>IPEX435504</v>
          </cell>
          <cell r="BA6397">
            <v>4.99</v>
          </cell>
        </row>
        <row r="6398">
          <cell r="C6398" t="str">
            <v>4506 - PLUMBING</v>
          </cell>
          <cell r="D6398" t="str">
            <v>IPEX435507</v>
          </cell>
          <cell r="BA6398">
            <v>1.69</v>
          </cell>
        </row>
        <row r="6399">
          <cell r="C6399" t="str">
            <v>4506 - PLUMBING</v>
          </cell>
          <cell r="D6399" t="str">
            <v>IPEX435515</v>
          </cell>
          <cell r="BA6399">
            <v>1.39</v>
          </cell>
        </row>
        <row r="6400">
          <cell r="C6400" t="str">
            <v>4506 - PLUMBING</v>
          </cell>
          <cell r="D6400" t="str">
            <v>IPEX435517</v>
          </cell>
          <cell r="BA6400">
            <v>2.99</v>
          </cell>
        </row>
        <row r="6401">
          <cell r="C6401" t="str">
            <v>4506 - PLUMBING</v>
          </cell>
          <cell r="D6401" t="str">
            <v>IPEX435535</v>
          </cell>
          <cell r="BA6401">
            <v>2.19</v>
          </cell>
        </row>
        <row r="6402">
          <cell r="C6402" t="str">
            <v>4506 - PLUMBING</v>
          </cell>
          <cell r="D6402" t="str">
            <v>IPEX435552</v>
          </cell>
          <cell r="BA6402">
            <v>1.99</v>
          </cell>
        </row>
        <row r="6403">
          <cell r="C6403" t="str">
            <v>4506 - PLUMBING</v>
          </cell>
          <cell r="D6403" t="str">
            <v>IPEX435553</v>
          </cell>
          <cell r="BA6403">
            <v>2.39</v>
          </cell>
        </row>
        <row r="6404">
          <cell r="C6404" t="str">
            <v>4506 - PLUMBING</v>
          </cell>
          <cell r="D6404" t="str">
            <v>IPEX435559</v>
          </cell>
          <cell r="BA6404">
            <v>1.39</v>
          </cell>
        </row>
        <row r="6405">
          <cell r="C6405" t="str">
            <v>4506 - PLUMBING</v>
          </cell>
          <cell r="D6405" t="str">
            <v>IPEX435561</v>
          </cell>
          <cell r="BA6405">
            <v>1.69</v>
          </cell>
        </row>
        <row r="6406">
          <cell r="C6406" t="str">
            <v>4506 - PLUMBING</v>
          </cell>
          <cell r="D6406" t="str">
            <v>IPEX435563</v>
          </cell>
          <cell r="BA6406">
            <v>2.39</v>
          </cell>
        </row>
        <row r="6407">
          <cell r="C6407" t="str">
            <v>4506 - PLUMBING</v>
          </cell>
          <cell r="D6407" t="str">
            <v>IPEX435602</v>
          </cell>
          <cell r="BA6407">
            <v>0.89</v>
          </cell>
        </row>
        <row r="6408">
          <cell r="C6408" t="str">
            <v>4506 - PLUMBING</v>
          </cell>
          <cell r="D6408" t="str">
            <v>IPEX435603</v>
          </cell>
          <cell r="BA6408">
            <v>0.79</v>
          </cell>
        </row>
        <row r="6409">
          <cell r="C6409" t="str">
            <v>4506 - PLUMBING</v>
          </cell>
          <cell r="D6409" t="str">
            <v>IPEX435604</v>
          </cell>
          <cell r="BA6409">
            <v>1.39</v>
          </cell>
        </row>
        <row r="6410">
          <cell r="C6410" t="str">
            <v>4506 - PLUMBING</v>
          </cell>
          <cell r="D6410" t="str">
            <v>IPEX435605</v>
          </cell>
          <cell r="BA6410">
            <v>1.99</v>
          </cell>
        </row>
        <row r="6411">
          <cell r="C6411" t="str">
            <v>4506 - PLUMBING</v>
          </cell>
          <cell r="D6411" t="str">
            <v>IPEX435614</v>
          </cell>
          <cell r="BA6411">
            <v>1.79</v>
          </cell>
        </row>
        <row r="6412">
          <cell r="C6412" t="str">
            <v>4506 - PLUMBING</v>
          </cell>
          <cell r="D6412" t="str">
            <v>IPEX435615</v>
          </cell>
          <cell r="BA6412">
            <v>1.69</v>
          </cell>
        </row>
        <row r="6413">
          <cell r="C6413" t="str">
            <v>4506 - PLUMBING</v>
          </cell>
          <cell r="D6413" t="str">
            <v>IPEX435616</v>
          </cell>
          <cell r="BA6413">
            <v>1.99</v>
          </cell>
        </row>
        <row r="6414">
          <cell r="C6414" t="str">
            <v>4506 - PLUMBING</v>
          </cell>
          <cell r="D6414" t="str">
            <v>IPEX435617</v>
          </cell>
          <cell r="BA6414">
            <v>2.19</v>
          </cell>
        </row>
        <row r="6415">
          <cell r="C6415" t="str">
            <v>4506 - PLUMBING</v>
          </cell>
          <cell r="D6415" t="str">
            <v>IPEX435623</v>
          </cell>
          <cell r="BA6415">
            <v>2.39</v>
          </cell>
        </row>
        <row r="6416">
          <cell r="C6416" t="str">
            <v>4506 - PLUMBING</v>
          </cell>
          <cell r="D6416" t="str">
            <v>IPEX435625</v>
          </cell>
          <cell r="BA6416">
            <v>3.99</v>
          </cell>
        </row>
        <row r="6417">
          <cell r="C6417" t="str">
            <v>4506 - PLUMBING</v>
          </cell>
          <cell r="D6417" t="str">
            <v>IPEX435626</v>
          </cell>
          <cell r="BA6417">
            <v>3.99</v>
          </cell>
        </row>
        <row r="6418">
          <cell r="C6418" t="str">
            <v>4506 - PLUMBING</v>
          </cell>
          <cell r="D6418" t="str">
            <v>IPEX435646</v>
          </cell>
          <cell r="BA6418">
            <v>0.99</v>
          </cell>
        </row>
        <row r="6419">
          <cell r="C6419" t="str">
            <v>4506 - PLUMBING</v>
          </cell>
          <cell r="D6419" t="str">
            <v>IPEX435649</v>
          </cell>
          <cell r="BA6419">
            <v>1.79</v>
          </cell>
        </row>
        <row r="6420">
          <cell r="C6420" t="str">
            <v>4506 - PLUMBING</v>
          </cell>
          <cell r="D6420" t="str">
            <v>IPEX435650</v>
          </cell>
          <cell r="BA6420">
            <v>1.99</v>
          </cell>
        </row>
        <row r="6421">
          <cell r="C6421" t="str">
            <v>4506 - PLUMBING</v>
          </cell>
          <cell r="D6421" t="str">
            <v>IPEX435654</v>
          </cell>
          <cell r="BA6421">
            <v>2.19</v>
          </cell>
        </row>
        <row r="6422">
          <cell r="C6422" t="str">
            <v>4506 - PLUMBING</v>
          </cell>
          <cell r="D6422" t="str">
            <v>IPEX435655</v>
          </cell>
          <cell r="BA6422">
            <v>2.39</v>
          </cell>
        </row>
        <row r="6423">
          <cell r="C6423" t="str">
            <v>4506 - PLUMBING</v>
          </cell>
          <cell r="D6423" t="str">
            <v>IPEX435700</v>
          </cell>
          <cell r="BA6423">
            <v>1.99</v>
          </cell>
        </row>
        <row r="6424">
          <cell r="C6424" t="str">
            <v>4506 - PLUMBING</v>
          </cell>
          <cell r="D6424" t="str">
            <v>IPEX435702</v>
          </cell>
          <cell r="BA6424">
            <v>2.99</v>
          </cell>
        </row>
        <row r="6425">
          <cell r="C6425" t="str">
            <v>4506 - PLUMBING</v>
          </cell>
          <cell r="D6425" t="str">
            <v>IPEX435705</v>
          </cell>
          <cell r="BA6425">
            <v>2.99</v>
          </cell>
        </row>
        <row r="6426">
          <cell r="C6426" t="str">
            <v>4506 - PLUMBING</v>
          </cell>
          <cell r="D6426" t="str">
            <v>IPEX435722</v>
          </cell>
          <cell r="BA6426">
            <v>1.39</v>
          </cell>
        </row>
        <row r="6427">
          <cell r="C6427" t="str">
            <v>4506 - PLUMBING</v>
          </cell>
          <cell r="D6427" t="str">
            <v>IPEX435724</v>
          </cell>
          <cell r="BA6427">
            <v>2.39</v>
          </cell>
        </row>
        <row r="6428">
          <cell r="C6428" t="str">
            <v>4506 - PLUMBING</v>
          </cell>
          <cell r="D6428" t="str">
            <v>IPEX435725</v>
          </cell>
          <cell r="BA6428">
            <v>2.19</v>
          </cell>
        </row>
        <row r="6429">
          <cell r="C6429" t="str">
            <v>4506 - PLUMBING</v>
          </cell>
          <cell r="D6429" t="str">
            <v>IPEX435726</v>
          </cell>
          <cell r="BA6429">
            <v>2.79</v>
          </cell>
        </row>
        <row r="6430">
          <cell r="C6430" t="str">
            <v>4506 - PLUMBING</v>
          </cell>
          <cell r="D6430" t="str">
            <v>IPEX435727</v>
          </cell>
          <cell r="BA6430">
            <v>2.79</v>
          </cell>
        </row>
        <row r="6431">
          <cell r="C6431" t="str">
            <v>4506 - PLUMBING</v>
          </cell>
          <cell r="D6431" t="str">
            <v>IPEX435730</v>
          </cell>
          <cell r="BA6431">
            <v>2.99</v>
          </cell>
        </row>
        <row r="6432">
          <cell r="C6432" t="str">
            <v>4506 - PLUMBING</v>
          </cell>
          <cell r="D6432" t="str">
            <v>IPEX435775</v>
          </cell>
          <cell r="BA6432">
            <v>0.79</v>
          </cell>
        </row>
        <row r="6433">
          <cell r="C6433" t="str">
            <v>4506 - PLUMBING</v>
          </cell>
          <cell r="D6433" t="str">
            <v>IPEX435731</v>
          </cell>
          <cell r="BA6433">
            <v>2.99</v>
          </cell>
        </row>
        <row r="6434">
          <cell r="C6434" t="str">
            <v>4506 - PLUMBING</v>
          </cell>
          <cell r="D6434" t="str">
            <v>IPEX435777</v>
          </cell>
          <cell r="BA6434">
            <v>2.19</v>
          </cell>
        </row>
        <row r="6435">
          <cell r="C6435" t="str">
            <v>4506 - PLUMBING</v>
          </cell>
          <cell r="D6435" t="str">
            <v>IPEX435737</v>
          </cell>
          <cell r="BA6435">
            <v>4.29</v>
          </cell>
        </row>
        <row r="6436">
          <cell r="C6436" t="str">
            <v>4506 - PLUMBING</v>
          </cell>
          <cell r="D6436" t="str">
            <v>IPEX435732</v>
          </cell>
          <cell r="BA6436">
            <v>3.79</v>
          </cell>
        </row>
        <row r="6437">
          <cell r="C6437" t="str">
            <v>4506 - PLUMBING</v>
          </cell>
          <cell r="D6437" t="str">
            <v>IPEX435728</v>
          </cell>
          <cell r="BA6437">
            <v>2.79</v>
          </cell>
        </row>
        <row r="6438">
          <cell r="C6438" t="str">
            <v>4506 - PLUMBING</v>
          </cell>
          <cell r="D6438" t="str">
            <v>IPEX435794</v>
          </cell>
          <cell r="BA6438">
            <v>2.79</v>
          </cell>
        </row>
        <row r="6439">
          <cell r="C6439" t="str">
            <v>4506 - PLUMBING</v>
          </cell>
          <cell r="D6439" t="str">
            <v>IPEX435800</v>
          </cell>
          <cell r="BA6439">
            <v>5.99</v>
          </cell>
        </row>
        <row r="6440">
          <cell r="C6440" t="str">
            <v>4506 - PLUMBING</v>
          </cell>
          <cell r="D6440" t="str">
            <v>IPEX435801</v>
          </cell>
          <cell r="BA6440">
            <v>5.99</v>
          </cell>
        </row>
        <row r="6441">
          <cell r="C6441" t="str">
            <v>4506 - PLUMBING</v>
          </cell>
          <cell r="D6441" t="str">
            <v>IPEX435853</v>
          </cell>
          <cell r="BA6441">
            <v>3.79</v>
          </cell>
        </row>
        <row r="6442">
          <cell r="C6442" t="str">
            <v>4506 - PLUMBING</v>
          </cell>
          <cell r="D6442" t="str">
            <v>IPEX435978</v>
          </cell>
          <cell r="BA6442">
            <v>2.79</v>
          </cell>
        </row>
        <row r="6443">
          <cell r="C6443" t="str">
            <v>4506 - PLUMBING</v>
          </cell>
          <cell r="D6443" t="str">
            <v>IPEX435412</v>
          </cell>
          <cell r="BA6443">
            <v>2.79</v>
          </cell>
        </row>
        <row r="6444">
          <cell r="C6444" t="str">
            <v>4506 - PLUMBING</v>
          </cell>
          <cell r="D6444" t="str">
            <v>IPEX027708</v>
          </cell>
          <cell r="BA6444">
            <v>6.99</v>
          </cell>
        </row>
        <row r="6445">
          <cell r="C6445" t="str">
            <v>4506 - PLUMBING</v>
          </cell>
          <cell r="D6445" t="str">
            <v>IPEX435425</v>
          </cell>
          <cell r="BA6445">
            <v>2.79</v>
          </cell>
        </row>
        <row r="6446">
          <cell r="C6446" t="str">
            <v>4506 - PLUMBING</v>
          </cell>
          <cell r="D6446" t="str">
            <v>IPEX435426</v>
          </cell>
          <cell r="BA6446">
            <v>3.29</v>
          </cell>
        </row>
        <row r="6447">
          <cell r="C6447" t="str">
            <v>4506 - PLUMBING</v>
          </cell>
          <cell r="D6447" t="str">
            <v>IPEX435427</v>
          </cell>
          <cell r="BA6447">
            <v>3.49</v>
          </cell>
        </row>
        <row r="6448">
          <cell r="C6448" t="str">
            <v>4506 - PLUMBING</v>
          </cell>
          <cell r="D6448" t="str">
            <v>IPEX435469</v>
          </cell>
          <cell r="BA6448">
            <v>2.79</v>
          </cell>
        </row>
        <row r="6449">
          <cell r="C6449" t="str">
            <v>4506 - PLUMBING</v>
          </cell>
          <cell r="D6449" t="str">
            <v>IPEX435470</v>
          </cell>
          <cell r="BA6449">
            <v>4.99</v>
          </cell>
        </row>
        <row r="6450">
          <cell r="C6450" t="str">
            <v>4506 - PLUMBING</v>
          </cell>
          <cell r="D6450" t="str">
            <v>IPEX435506</v>
          </cell>
          <cell r="BA6450">
            <v>1.49</v>
          </cell>
        </row>
        <row r="6451">
          <cell r="C6451" t="str">
            <v>4506 - PLUMBING</v>
          </cell>
          <cell r="D6451" t="str">
            <v>IPEX435508</v>
          </cell>
          <cell r="BA6451">
            <v>2.79</v>
          </cell>
        </row>
        <row r="6452">
          <cell r="C6452" t="str">
            <v>4506 - PLUMBING</v>
          </cell>
          <cell r="D6452" t="str">
            <v>IPEX435509</v>
          </cell>
          <cell r="BA6452">
            <v>4.99</v>
          </cell>
        </row>
        <row r="6453">
          <cell r="C6453" t="str">
            <v>4506 - PLUMBING</v>
          </cell>
          <cell r="D6453" t="str">
            <v>IPEX435510</v>
          </cell>
          <cell r="BA6453">
            <v>3.99</v>
          </cell>
        </row>
        <row r="6454">
          <cell r="C6454" t="str">
            <v>4506 - PLUMBING</v>
          </cell>
          <cell r="D6454" t="str">
            <v>IPEX435778</v>
          </cell>
          <cell r="BA6454">
            <v>3.79</v>
          </cell>
        </row>
        <row r="6455">
          <cell r="C6455" t="str">
            <v>4506 - PLUMBING</v>
          </cell>
          <cell r="D6455" t="str">
            <v>IPEX435795</v>
          </cell>
          <cell r="BA6455">
            <v>2.59</v>
          </cell>
        </row>
        <row r="6456">
          <cell r="C6456" t="str">
            <v>4506 - PLUMBING</v>
          </cell>
          <cell r="D6456" t="str">
            <v>IPEX435851</v>
          </cell>
          <cell r="BA6456">
            <v>1.49</v>
          </cell>
        </row>
        <row r="6457">
          <cell r="C6457" t="str">
            <v>4506 - PLUMBING</v>
          </cell>
          <cell r="D6457" t="str">
            <v>IPEX435854</v>
          </cell>
          <cell r="BA6457">
            <v>3.29</v>
          </cell>
        </row>
        <row r="6458">
          <cell r="C6458" t="str">
            <v>4506 - PLUMBING</v>
          </cell>
          <cell r="D6458" t="str">
            <v>IPEX435992</v>
          </cell>
          <cell r="BA6458">
            <v>1.49</v>
          </cell>
        </row>
        <row r="6459">
          <cell r="C6459" t="str">
            <v>4506 - PLUMBING</v>
          </cell>
          <cell r="D6459" t="str">
            <v>IPEX435709</v>
          </cell>
          <cell r="BA6459">
            <v>3.99</v>
          </cell>
        </row>
        <row r="6460">
          <cell r="C6460" t="str">
            <v>4506 - PLUMBING</v>
          </cell>
          <cell r="D6460" t="str">
            <v>IPEX035869</v>
          </cell>
          <cell r="BA6460">
            <v>4.59</v>
          </cell>
        </row>
        <row r="6461">
          <cell r="C6461" t="str">
            <v>4506 - PLUMBING</v>
          </cell>
          <cell r="D6461" t="str">
            <v>IPEX035870</v>
          </cell>
          <cell r="BA6461">
            <v>3.79</v>
          </cell>
        </row>
        <row r="6462">
          <cell r="C6462" t="str">
            <v>4506 - PLUMBING</v>
          </cell>
          <cell r="D6462" t="str">
            <v>IPEX036820</v>
          </cell>
          <cell r="BA6462">
            <v>4.79</v>
          </cell>
        </row>
        <row r="6463">
          <cell r="C6463" t="str">
            <v>4506 - PLUMBING</v>
          </cell>
          <cell r="D6463" t="str">
            <v>IPEX435538</v>
          </cell>
          <cell r="BA6463">
            <v>1.99</v>
          </cell>
        </row>
        <row r="6464">
          <cell r="C6464" t="str">
            <v>4506 - PLUMBING</v>
          </cell>
          <cell r="D6464" t="str">
            <v>IPEX435539</v>
          </cell>
          <cell r="BA6464">
            <v>2.19</v>
          </cell>
        </row>
        <row r="6465">
          <cell r="C6465" t="str">
            <v>4506 - PLUMBING</v>
          </cell>
          <cell r="D6465" t="str">
            <v>IPEX435544</v>
          </cell>
          <cell r="BA6465">
            <v>2.39</v>
          </cell>
        </row>
        <row r="6466">
          <cell r="C6466" t="str">
            <v>4506 - PLUMBING</v>
          </cell>
          <cell r="D6466" t="str">
            <v>IPEX435545</v>
          </cell>
          <cell r="BA6466">
            <v>3.79</v>
          </cell>
        </row>
        <row r="6467">
          <cell r="C6467" t="str">
            <v>4506 - PLUMBING</v>
          </cell>
          <cell r="D6467" t="str">
            <v>IPEX435546</v>
          </cell>
          <cell r="BA6467">
            <v>3.99</v>
          </cell>
        </row>
        <row r="6468">
          <cell r="C6468" t="str">
            <v>4506 - PLUMBING</v>
          </cell>
          <cell r="D6468" t="str">
            <v>IPEX435547</v>
          </cell>
          <cell r="BA6468">
            <v>4.59</v>
          </cell>
        </row>
        <row r="6469">
          <cell r="C6469" t="str">
            <v>4506 - PLUMBING</v>
          </cell>
          <cell r="D6469" t="str">
            <v>IPEX435548</v>
          </cell>
          <cell r="BA6469">
            <v>4.79</v>
          </cell>
        </row>
        <row r="6470">
          <cell r="C6470" t="str">
            <v>4506 - PLUMBING</v>
          </cell>
          <cell r="D6470" t="str">
            <v>IPEX435631</v>
          </cell>
          <cell r="BA6470">
            <v>1.99</v>
          </cell>
        </row>
        <row r="6471">
          <cell r="C6471" t="str">
            <v>4506 - PLUMBING</v>
          </cell>
          <cell r="D6471" t="str">
            <v>IPEX435633</v>
          </cell>
          <cell r="BA6471">
            <v>2.19</v>
          </cell>
        </row>
        <row r="6472">
          <cell r="C6472" t="str">
            <v>4506 - PLUMBING</v>
          </cell>
          <cell r="D6472" t="str">
            <v>IPEX435634</v>
          </cell>
          <cell r="BA6472">
            <v>2.79</v>
          </cell>
        </row>
        <row r="6473">
          <cell r="C6473" t="str">
            <v>4506 - PLUMBING</v>
          </cell>
          <cell r="D6473" t="str">
            <v>IPEX435635</v>
          </cell>
          <cell r="BA6473">
            <v>4.29</v>
          </cell>
        </row>
        <row r="6474">
          <cell r="C6474" t="str">
            <v>4506 - PLUMBING</v>
          </cell>
          <cell r="D6474" t="str">
            <v>IPEX435651</v>
          </cell>
          <cell r="BA6474">
            <v>2.19</v>
          </cell>
        </row>
        <row r="6475">
          <cell r="C6475" t="str">
            <v>4506 - PLUMBING</v>
          </cell>
          <cell r="D6475" t="str">
            <v>IPEX435652</v>
          </cell>
          <cell r="BA6475">
            <v>2.59</v>
          </cell>
        </row>
        <row r="6476">
          <cell r="C6476" t="str">
            <v>4506 - PLUMBING</v>
          </cell>
          <cell r="D6476" t="str">
            <v>IPEX435653</v>
          </cell>
          <cell r="BA6476">
            <v>2.39</v>
          </cell>
        </row>
        <row r="6477">
          <cell r="C6477" t="str">
            <v>4506 - PLUMBING</v>
          </cell>
          <cell r="D6477" t="str">
            <v>IPEX435704</v>
          </cell>
          <cell r="BA6477">
            <v>3.79</v>
          </cell>
        </row>
        <row r="6478">
          <cell r="C6478" t="str">
            <v>4506 - PLUMBING</v>
          </cell>
          <cell r="D6478" t="str">
            <v>IPEX435729</v>
          </cell>
          <cell r="BA6478">
            <v>3.49</v>
          </cell>
        </row>
        <row r="6479">
          <cell r="C6479" t="str">
            <v>4506 - PLUMBING</v>
          </cell>
          <cell r="D6479" t="str">
            <v>IPEX435759</v>
          </cell>
          <cell r="BA6479">
            <v>1.69</v>
          </cell>
        </row>
        <row r="6480">
          <cell r="C6480" t="str">
            <v>4506 - PLUMBING</v>
          </cell>
          <cell r="D6480" t="str">
            <v>IPEX435779</v>
          </cell>
          <cell r="BA6480">
            <v>3.99</v>
          </cell>
        </row>
        <row r="6481">
          <cell r="C6481" t="str">
            <v>4506 - PLUMBING</v>
          </cell>
          <cell r="D6481" t="str">
            <v>IPEX435865</v>
          </cell>
          <cell r="BA6481">
            <v>3.29</v>
          </cell>
        </row>
        <row r="6482">
          <cell r="C6482" t="str">
            <v>4506 - PLUMBING</v>
          </cell>
          <cell r="D6482" t="str">
            <v>IPEX435871</v>
          </cell>
          <cell r="BA6482">
            <v>4.99</v>
          </cell>
        </row>
        <row r="6483">
          <cell r="C6483" t="str">
            <v>4506 - PLUMBING</v>
          </cell>
          <cell r="D6483" t="str">
            <v>IPEX435990</v>
          </cell>
          <cell r="BA6483">
            <v>2.19</v>
          </cell>
        </row>
        <row r="6484">
          <cell r="C6484" t="str">
            <v>4506 - PLUMBING</v>
          </cell>
          <cell r="D6484" t="str">
            <v>12260TT</v>
          </cell>
          <cell r="BA6484">
            <v>1.19</v>
          </cell>
        </row>
        <row r="6485">
          <cell r="C6485" t="str">
            <v>4506 - PLUMBING</v>
          </cell>
          <cell r="D6485" t="str">
            <v>12520TT</v>
          </cell>
          <cell r="BA6485">
            <v>1.39</v>
          </cell>
        </row>
        <row r="6486">
          <cell r="C6486" t="str">
            <v>4506 - PLUMBING</v>
          </cell>
          <cell r="D6486" t="str">
            <v>HAR004305-24</v>
          </cell>
          <cell r="BA6486">
            <v>4.99</v>
          </cell>
        </row>
        <row r="6487">
          <cell r="C6487" t="str">
            <v>4506 - PLUMBING</v>
          </cell>
          <cell r="D6487" t="str">
            <v>SBUR068A</v>
          </cell>
          <cell r="BA6487">
            <v>9.99</v>
          </cell>
        </row>
        <row r="6488">
          <cell r="C6488" t="str">
            <v>4506 - PLUMBING</v>
          </cell>
          <cell r="D6488" t="str">
            <v>SBU4256LFA</v>
          </cell>
          <cell r="BA6488">
            <v>14.99</v>
          </cell>
        </row>
        <row r="6489">
          <cell r="C6489" t="str">
            <v>4506 - PLUMBING</v>
          </cell>
          <cell r="D6489" t="str">
            <v>U256LFA4</v>
          </cell>
          <cell r="BA6489">
            <v>39.99</v>
          </cell>
        </row>
        <row r="6490">
          <cell r="C6490" t="str">
            <v>4506 - PLUMBING</v>
          </cell>
          <cell r="D6490" t="str">
            <v>PXPAC345PK</v>
          </cell>
          <cell r="BA6490">
            <v>5.69</v>
          </cell>
        </row>
        <row r="6491">
          <cell r="C6491" t="str">
            <v>4506 - PLUMBING</v>
          </cell>
          <cell r="D6491" t="str">
            <v>PXPAE345PK</v>
          </cell>
          <cell r="BA6491">
            <v>6.99</v>
          </cell>
        </row>
        <row r="6492">
          <cell r="C6492" t="str">
            <v>4506 - PLUMBING</v>
          </cell>
          <cell r="D6492" t="str">
            <v>PXPAP125PK</v>
          </cell>
          <cell r="BA6492">
            <v>4.59</v>
          </cell>
        </row>
        <row r="6493">
          <cell r="C6493" t="str">
            <v>4506 - PLUMBING</v>
          </cell>
          <cell r="D6493" t="str">
            <v>PXPAT345PL</v>
          </cell>
          <cell r="BA6493">
            <v>8.99</v>
          </cell>
        </row>
        <row r="6494">
          <cell r="C6494" t="str">
            <v>4506 - PLUMBING</v>
          </cell>
          <cell r="D6494" t="str">
            <v>AAPC0057</v>
          </cell>
          <cell r="BA6494">
            <v>9.69</v>
          </cell>
        </row>
        <row r="6495">
          <cell r="C6495" t="str">
            <v>4506 - PLUMBING</v>
          </cell>
          <cell r="D6495" t="str">
            <v>BK108-003HC</v>
          </cell>
          <cell r="BA6495">
            <v>10.99</v>
          </cell>
        </row>
        <row r="6496">
          <cell r="C6496" t="str">
            <v>4506 - PLUMBING</v>
          </cell>
          <cell r="D6496" t="str">
            <v>CAM02263</v>
          </cell>
          <cell r="BA6496">
            <v>15.99</v>
          </cell>
        </row>
        <row r="6497">
          <cell r="C6497" t="str">
            <v>4506 - PLUMBING</v>
          </cell>
          <cell r="D6497" t="str">
            <v>PP62PC</v>
          </cell>
          <cell r="BA6497">
            <v>0.01</v>
          </cell>
        </row>
        <row r="6498">
          <cell r="C6498" t="str">
            <v>4506 - PLUMBING</v>
          </cell>
          <cell r="D6498" t="str">
            <v>BK104517</v>
          </cell>
          <cell r="BA6498">
            <v>37.99</v>
          </cell>
        </row>
        <row r="6499">
          <cell r="C6499" t="str">
            <v>4506 - PLUMBING</v>
          </cell>
          <cell r="D6499" t="str">
            <v>SBUR22222A</v>
          </cell>
          <cell r="BA6499">
            <v>21.99</v>
          </cell>
        </row>
        <row r="6500">
          <cell r="C6500" t="str">
            <v>4506 - PLUMBING</v>
          </cell>
          <cell r="D6500" t="str">
            <v>SBUR23036</v>
          </cell>
          <cell r="BA6500">
            <v>12.99</v>
          </cell>
        </row>
        <row r="6501">
          <cell r="C6501" t="str">
            <v>4506 - PLUMBING</v>
          </cell>
          <cell r="D6501" t="str">
            <v>IPEX764286</v>
          </cell>
          <cell r="BA6501">
            <v>4.99</v>
          </cell>
        </row>
        <row r="6502">
          <cell r="C6502" t="str">
            <v>4506 - PLUMBING</v>
          </cell>
          <cell r="D6502" t="str">
            <v>TPP4OZ</v>
          </cell>
          <cell r="BA6502">
            <v>6.99</v>
          </cell>
        </row>
        <row r="6503">
          <cell r="C6503" t="str">
            <v>4506 - PLUMBING</v>
          </cell>
          <cell r="D6503" t="str">
            <v>WR24</v>
          </cell>
          <cell r="BA6503">
            <v>2.99</v>
          </cell>
        </row>
        <row r="6504">
          <cell r="C6504" t="str">
            <v>4506 - PLUMBING</v>
          </cell>
          <cell r="D6504" t="str">
            <v>OA34056</v>
          </cell>
          <cell r="BA6504">
            <v>17.989999999999998</v>
          </cell>
        </row>
        <row r="6505">
          <cell r="C6505" t="str">
            <v>4507 - KITCHEN/BATH HARDWARE</v>
          </cell>
          <cell r="D6505" t="str">
            <v>N104-471</v>
          </cell>
          <cell r="BA6505">
            <v>62.99</v>
          </cell>
        </row>
        <row r="6506">
          <cell r="C6506" t="str">
            <v>4507 - KITCHEN/BATH HARDWARE</v>
          </cell>
          <cell r="D6506" t="str">
            <v>AMRBP53470G10</v>
          </cell>
          <cell r="BA6506">
            <v>4.29</v>
          </cell>
        </row>
        <row r="6507">
          <cell r="C6507" t="str">
            <v>4507 - KITCHEN/BATH HARDWARE</v>
          </cell>
          <cell r="D6507" t="str">
            <v>AMRBP53010G10</v>
          </cell>
          <cell r="BA6507">
            <v>5.69</v>
          </cell>
        </row>
        <row r="6508">
          <cell r="C6508" t="str">
            <v>4507 - KITCHEN/BATH HARDWARE</v>
          </cell>
          <cell r="D6508" t="str">
            <v>AMRBP53471G10</v>
          </cell>
          <cell r="BA6508">
            <v>3.79</v>
          </cell>
        </row>
        <row r="6509">
          <cell r="C6509" t="str">
            <v>4507 - KITCHEN/BATH HARDWARE</v>
          </cell>
          <cell r="D6509" t="str">
            <v>HOLQS50</v>
          </cell>
          <cell r="BA6509">
            <v>32.99</v>
          </cell>
        </row>
        <row r="6510">
          <cell r="C6510" t="str">
            <v>4507 - KITCHEN/BATH HARDWARE</v>
          </cell>
          <cell r="D6510" t="str">
            <v>30NISL000</v>
          </cell>
          <cell r="BA6510">
            <v>38.29</v>
          </cell>
        </row>
        <row r="6511">
          <cell r="C6511" t="str">
            <v>4507 - KITCHEN/BATH HARDWARE</v>
          </cell>
          <cell r="D6511" t="str">
            <v>AV1303</v>
          </cell>
          <cell r="BA6511">
            <v>92.99</v>
          </cell>
        </row>
        <row r="6512">
          <cell r="C6512" t="str">
            <v>4507 - KITCHEN/BATH HARDWARE</v>
          </cell>
          <cell r="D6512" t="str">
            <v>AMRBP53470ORB</v>
          </cell>
          <cell r="BA6512">
            <v>4.99</v>
          </cell>
        </row>
        <row r="6513">
          <cell r="C6513" t="str">
            <v>4507 - KITCHEN/BATH HARDWARE</v>
          </cell>
          <cell r="D6513" t="str">
            <v>AMRBP1586ORB</v>
          </cell>
          <cell r="BA6513">
            <v>5.99</v>
          </cell>
        </row>
        <row r="6514">
          <cell r="C6514" t="str">
            <v>4507 - KITCHEN/BATH HARDWARE</v>
          </cell>
          <cell r="D6514" t="str">
            <v>AMRBP26201G10</v>
          </cell>
          <cell r="BA6514">
            <v>5.69</v>
          </cell>
        </row>
        <row r="6515">
          <cell r="C6515" t="str">
            <v>4507 - KITCHEN/BATH HARDWARE</v>
          </cell>
          <cell r="D6515" t="str">
            <v>76004</v>
          </cell>
          <cell r="BA6515">
            <v>281.99</v>
          </cell>
        </row>
        <row r="6516">
          <cell r="C6516" t="str">
            <v>4507 - KITCHEN/BATH HARDWARE</v>
          </cell>
          <cell r="D6516" t="str">
            <v>AMRBP52994G10</v>
          </cell>
          <cell r="BA6516">
            <v>1.89</v>
          </cell>
        </row>
        <row r="6517">
          <cell r="C6517" t="str">
            <v>4507 - KITCHEN/BATH HARDWARE</v>
          </cell>
          <cell r="D6517" t="str">
            <v>AMRTEN53005G10</v>
          </cell>
          <cell r="BA6517">
            <v>22.99</v>
          </cell>
        </row>
        <row r="6518">
          <cell r="C6518" t="str">
            <v>4507 - KITCHEN/BATH HARDWARE</v>
          </cell>
          <cell r="D6518" t="str">
            <v>AMRTEN53005ORB</v>
          </cell>
          <cell r="BA6518">
            <v>25.99</v>
          </cell>
        </row>
        <row r="6519">
          <cell r="C6519" t="str">
            <v>4507 - KITCHEN/BATH HARDWARE</v>
          </cell>
          <cell r="D6519" t="str">
            <v>GBR12-844CH</v>
          </cell>
          <cell r="BA6519">
            <v>42.79</v>
          </cell>
        </row>
        <row r="6520">
          <cell r="C6520" t="str">
            <v>4507 - KITCHEN/BATH HARDWARE</v>
          </cell>
          <cell r="D6520" t="str">
            <v>AMRTEN26201G10</v>
          </cell>
          <cell r="BA6520">
            <v>32.99</v>
          </cell>
        </row>
        <row r="6521">
          <cell r="C6521" t="str">
            <v>4507 - KITCHEN/BATH HARDWARE</v>
          </cell>
          <cell r="D6521" t="str">
            <v>41EC-000</v>
          </cell>
          <cell r="BA6521">
            <v>21.99</v>
          </cell>
        </row>
        <row r="6522">
          <cell r="C6522" t="str">
            <v>4507 - KITCHEN/BATH HARDWARE</v>
          </cell>
          <cell r="D6522" t="str">
            <v>OA42099</v>
          </cell>
          <cell r="BA6522">
            <v>11.99</v>
          </cell>
        </row>
        <row r="6523">
          <cell r="C6523" t="str">
            <v>4507 - KITCHEN/BATH HARDWARE</v>
          </cell>
          <cell r="D6523" t="str">
            <v>501BESF</v>
          </cell>
          <cell r="BA6523">
            <v>5.99</v>
          </cell>
        </row>
        <row r="6524">
          <cell r="C6524" t="str">
            <v>4507 - KITCHEN/BATH HARDWARE</v>
          </cell>
          <cell r="D6524" t="str">
            <v>WBR</v>
          </cell>
          <cell r="BA6524">
            <v>4.59</v>
          </cell>
        </row>
        <row r="6525">
          <cell r="C6525" t="str">
            <v>4507 - KITCHEN/BATH HARDWARE</v>
          </cell>
          <cell r="D6525" t="str">
            <v>34CF43505</v>
          </cell>
          <cell r="BA6525">
            <v>5.99</v>
          </cell>
        </row>
        <row r="6526">
          <cell r="C6526" t="str">
            <v>4507 - KITCHEN/BATH HARDWARE</v>
          </cell>
          <cell r="D6526" t="str">
            <v>FM641</v>
          </cell>
          <cell r="BA6526">
            <v>10.99</v>
          </cell>
        </row>
        <row r="6527">
          <cell r="C6527" t="str">
            <v>4507 - KITCHEN/BATH HARDWARE</v>
          </cell>
          <cell r="D6527" t="str">
            <v>FM555</v>
          </cell>
          <cell r="BA6527">
            <v>8.69</v>
          </cell>
        </row>
        <row r="6528">
          <cell r="C6528" t="str">
            <v>4507 - KITCHEN/BATH HARDWARE</v>
          </cell>
          <cell r="D6528" t="str">
            <v>FMK-400H-021-P8</v>
          </cell>
          <cell r="BA6528">
            <v>27.99</v>
          </cell>
        </row>
        <row r="6529">
          <cell r="C6529" t="str">
            <v>4507 - KITCHEN/BATH HARDWARE</v>
          </cell>
          <cell r="D6529" t="str">
            <v>FMK-400H-040-T5</v>
          </cell>
          <cell r="BA6529">
            <v>21.99</v>
          </cell>
        </row>
        <row r="6530">
          <cell r="C6530" t="str">
            <v>4507 - KITCHEN/BATH HARDWARE</v>
          </cell>
          <cell r="D6530" t="str">
            <v>FMK-400H-039-T14</v>
          </cell>
          <cell r="BA6530">
            <v>16.989999999999998</v>
          </cell>
        </row>
        <row r="6531">
          <cell r="C6531" t="str">
            <v>4507 - KITCHEN/BATH HARDWARE</v>
          </cell>
          <cell r="D6531" t="str">
            <v>FMK-507A-008-P10</v>
          </cell>
          <cell r="BA6531">
            <v>17.989999999999998</v>
          </cell>
        </row>
        <row r="6532">
          <cell r="C6532" t="str">
            <v>4507 - KITCHEN/BATH HARDWARE</v>
          </cell>
          <cell r="D6532" t="str">
            <v>FMK-540A-015-T5</v>
          </cell>
          <cell r="BA6532">
            <v>17.989999999999998</v>
          </cell>
        </row>
        <row r="6533">
          <cell r="C6533" t="str">
            <v>4507 - KITCHEN/BATH HARDWARE</v>
          </cell>
          <cell r="D6533" t="str">
            <v>FM513A-016-P4</v>
          </cell>
          <cell r="BA6533">
            <v>13.99</v>
          </cell>
        </row>
        <row r="6534">
          <cell r="C6534" t="str">
            <v>4507 - KITCHEN/BATH HARDWARE</v>
          </cell>
          <cell r="D6534" t="str">
            <v>FMRK242</v>
          </cell>
          <cell r="BA6534">
            <v>3.99</v>
          </cell>
        </row>
        <row r="6535">
          <cell r="C6535" t="str">
            <v>4507 - KITCHEN/BATH HARDWARE</v>
          </cell>
          <cell r="D6535" t="str">
            <v>FM2602G-008-P10</v>
          </cell>
          <cell r="BA6535">
            <v>13.99</v>
          </cell>
        </row>
        <row r="6536">
          <cell r="C6536" t="str">
            <v>4507 - KITCHEN/BATH HARDWARE</v>
          </cell>
          <cell r="D6536" t="str">
            <v>FM510K-001-P10</v>
          </cell>
          <cell r="BA6536">
            <v>7.59</v>
          </cell>
        </row>
        <row r="6537">
          <cell r="C6537" t="str">
            <v>4507 - KITCHEN/BATH HARDWARE</v>
          </cell>
          <cell r="D6537" t="str">
            <v>FM510M-001-P10</v>
          </cell>
          <cell r="BA6537">
            <v>5.99</v>
          </cell>
        </row>
        <row r="6538">
          <cell r="C6538" t="str">
            <v>4507 - KITCHEN/BATH HARDWARE</v>
          </cell>
          <cell r="D6538" t="str">
            <v>FM7110A-001-P10</v>
          </cell>
          <cell r="BA6538">
            <v>7.59</v>
          </cell>
        </row>
        <row r="6539">
          <cell r="C6539" t="str">
            <v>4507 - KITCHEN/BATH HARDWARE</v>
          </cell>
          <cell r="D6539" t="str">
            <v>PP83516</v>
          </cell>
          <cell r="BA6539">
            <v>4.99</v>
          </cell>
        </row>
        <row r="6540">
          <cell r="C6540" t="str">
            <v>4507 - KITCHEN/BATH HARDWARE</v>
          </cell>
          <cell r="D6540" t="str">
            <v>PP835165</v>
          </cell>
          <cell r="BA6540">
            <v>6.99</v>
          </cell>
        </row>
        <row r="6541">
          <cell r="C6541" t="str">
            <v>4507 - KITCHEN/BATH HARDWARE</v>
          </cell>
          <cell r="D6541" t="str">
            <v>PP83517</v>
          </cell>
          <cell r="BA6541">
            <v>6.49</v>
          </cell>
        </row>
        <row r="6542">
          <cell r="C6542" t="str">
            <v>4507 - KITCHEN/BATH HARDWARE</v>
          </cell>
          <cell r="D6542" t="str">
            <v>PP83531</v>
          </cell>
          <cell r="BA6542">
            <v>4.59</v>
          </cell>
        </row>
        <row r="6543">
          <cell r="C6543" t="str">
            <v>4507 - KITCHEN/BATH HARDWARE</v>
          </cell>
          <cell r="D6543" t="str">
            <v>PP83539</v>
          </cell>
          <cell r="BA6543">
            <v>3.79</v>
          </cell>
        </row>
        <row r="6544">
          <cell r="C6544" t="str">
            <v>4507 - KITCHEN/BATH HARDWARE</v>
          </cell>
          <cell r="D6544" t="str">
            <v>PP83558</v>
          </cell>
          <cell r="BA6544">
            <v>11.99</v>
          </cell>
        </row>
        <row r="6545">
          <cell r="C6545" t="str">
            <v>4507 - KITCHEN/BATH HARDWARE</v>
          </cell>
          <cell r="D6545" t="str">
            <v>PP8356</v>
          </cell>
          <cell r="BA6545">
            <v>9.99</v>
          </cell>
        </row>
        <row r="6546">
          <cell r="C6546" t="str">
            <v>4507 - KITCHEN/BATH HARDWARE</v>
          </cell>
          <cell r="D6546" t="str">
            <v>PP8358</v>
          </cell>
          <cell r="BA6546">
            <v>11.99</v>
          </cell>
        </row>
        <row r="6547">
          <cell r="C6547" t="str">
            <v>4507 - KITCHEN/BATH HARDWARE</v>
          </cell>
          <cell r="D6547" t="str">
            <v>CTL</v>
          </cell>
          <cell r="BA6547">
            <v>5.99</v>
          </cell>
        </row>
        <row r="6548">
          <cell r="C6548" t="str">
            <v>4507 - KITCHEN/BATH HARDWARE</v>
          </cell>
          <cell r="D6548" t="str">
            <v>FTBALL</v>
          </cell>
          <cell r="BA6548">
            <v>4.99</v>
          </cell>
        </row>
        <row r="6549">
          <cell r="C6549" t="str">
            <v>4507 - KITCHEN/BATH HARDWARE</v>
          </cell>
          <cell r="D6549" t="str">
            <v>FR10BRASS</v>
          </cell>
          <cell r="BA6549">
            <v>6.49</v>
          </cell>
        </row>
        <row r="6550">
          <cell r="C6550" t="str">
            <v>4507 - KITCHEN/BATH HARDWARE</v>
          </cell>
          <cell r="D6550" t="str">
            <v>FVF</v>
          </cell>
          <cell r="BA6550">
            <v>4.99</v>
          </cell>
        </row>
        <row r="6551">
          <cell r="C6551" t="str">
            <v>4507 - KITCHEN/BATH HARDWARE</v>
          </cell>
          <cell r="D6551" t="str">
            <v>SFFR</v>
          </cell>
          <cell r="BA6551">
            <v>5.39</v>
          </cell>
        </row>
        <row r="6552">
          <cell r="C6552" t="str">
            <v>4507 - KITCHEN/BATH HARDWARE</v>
          </cell>
          <cell r="D6552" t="str">
            <v>TB14214</v>
          </cell>
          <cell r="BA6552">
            <v>7.99</v>
          </cell>
        </row>
        <row r="6553">
          <cell r="C6553" t="str">
            <v>4507 - KITCHEN/BATH HARDWARE</v>
          </cell>
          <cell r="D6553" t="str">
            <v>TB1420</v>
          </cell>
          <cell r="BA6553">
            <v>7.59</v>
          </cell>
        </row>
        <row r="6554">
          <cell r="C6554" t="str">
            <v>4507 - KITCHEN/BATH HARDWARE</v>
          </cell>
          <cell r="D6554" t="str">
            <v>FLC9</v>
          </cell>
          <cell r="BA6554">
            <v>4.29</v>
          </cell>
        </row>
        <row r="6555">
          <cell r="C6555" t="str">
            <v>4507 - KITCHEN/BATH HARDWARE</v>
          </cell>
          <cell r="D6555" t="str">
            <v>AFV</v>
          </cell>
          <cell r="BA6555">
            <v>9.99</v>
          </cell>
        </row>
        <row r="6556">
          <cell r="C6556" t="str">
            <v>4507 - KITCHEN/BATH HARDWARE</v>
          </cell>
          <cell r="D6556" t="str">
            <v>400LSRP4</v>
          </cell>
          <cell r="BA6556">
            <v>14.99</v>
          </cell>
        </row>
        <row r="6557">
          <cell r="C6557" t="str">
            <v>4507 - KITCHEN/BATH HARDWARE</v>
          </cell>
          <cell r="D6557" t="str">
            <v>AS0355012020</v>
          </cell>
          <cell r="BA6557">
            <v>84.99</v>
          </cell>
        </row>
        <row r="6558">
          <cell r="C6558" t="str">
            <v>4507 - KITCHEN/BATH HARDWARE</v>
          </cell>
          <cell r="D6558" t="str">
            <v>PP8PC</v>
          </cell>
          <cell r="BA6558">
            <v>17.989999999999998</v>
          </cell>
        </row>
        <row r="6559">
          <cell r="C6559" t="str">
            <v>4507 - KITCHEN/BATH HARDWARE</v>
          </cell>
          <cell r="D6559" t="str">
            <v>PP80852</v>
          </cell>
          <cell r="BA6559">
            <v>7.59</v>
          </cell>
        </row>
        <row r="6560">
          <cell r="C6560" t="str">
            <v>4507 - KITCHEN/BATH HARDWARE</v>
          </cell>
          <cell r="D6560" t="str">
            <v>AA4008561</v>
          </cell>
          <cell r="BA6560">
            <v>9.99</v>
          </cell>
        </row>
        <row r="6561">
          <cell r="C6561" t="str">
            <v>4507 - KITCHEN/BATH HARDWARE</v>
          </cell>
          <cell r="D6561" t="str">
            <v>AA4050605</v>
          </cell>
          <cell r="BA6561">
            <v>6.99</v>
          </cell>
        </row>
        <row r="6562">
          <cell r="C6562" t="str">
            <v>4507 - KITCHEN/BATH HARDWARE</v>
          </cell>
          <cell r="D6562" t="str">
            <v>AA43824</v>
          </cell>
          <cell r="BA6562">
            <v>16.989999999999998</v>
          </cell>
        </row>
        <row r="6563">
          <cell r="C6563" t="str">
            <v>4507 - KITCHEN/BATH HARDWARE</v>
          </cell>
          <cell r="D6563" t="str">
            <v>AA44094</v>
          </cell>
          <cell r="BA6563">
            <v>5.69</v>
          </cell>
        </row>
        <row r="6564">
          <cell r="C6564" t="str">
            <v>4507 - KITCHEN/BATH HARDWARE</v>
          </cell>
          <cell r="D6564" t="str">
            <v>AA46359</v>
          </cell>
          <cell r="BA6564">
            <v>25.99</v>
          </cell>
        </row>
        <row r="6565">
          <cell r="C6565" t="str">
            <v>4507 - KITCHEN/BATH HARDWARE</v>
          </cell>
          <cell r="D6565" t="str">
            <v>FCOVER</v>
          </cell>
          <cell r="BA6565">
            <v>3.99</v>
          </cell>
        </row>
        <row r="6566">
          <cell r="C6566" t="str">
            <v>4507 - KITCHEN/BATH HARDWARE</v>
          </cell>
          <cell r="D6566" t="str">
            <v>PP8204</v>
          </cell>
          <cell r="BA6566">
            <v>6.49</v>
          </cell>
        </row>
        <row r="6567">
          <cell r="C6567" t="str">
            <v>4507 - KITCHEN/BATH HARDWARE</v>
          </cell>
          <cell r="D6567" t="str">
            <v>ECFH</v>
          </cell>
          <cell r="BA6567">
            <v>11.99</v>
          </cell>
        </row>
        <row r="6568">
          <cell r="C6568" t="str">
            <v>4507 - KITCHEN/BATH HARDWARE</v>
          </cell>
          <cell r="D6568" t="str">
            <v>GBR21-752</v>
          </cell>
          <cell r="BA6568">
            <v>135.99</v>
          </cell>
        </row>
        <row r="6569">
          <cell r="C6569" t="str">
            <v>4508 - BITS/BLADES</v>
          </cell>
          <cell r="D6569" t="str">
            <v>SPEA0140</v>
          </cell>
          <cell r="BA6569">
            <v>7.99</v>
          </cell>
        </row>
        <row r="6570">
          <cell r="C6570" t="str">
            <v>4508 - BITS/BLADES</v>
          </cell>
          <cell r="D6570" t="str">
            <v>NIBBI135</v>
          </cell>
          <cell r="BA6570">
            <v>4.3899999999999997</v>
          </cell>
        </row>
        <row r="6571">
          <cell r="C6571" t="str">
            <v>4508 - BITS/BLADES</v>
          </cell>
          <cell r="D6571" t="str">
            <v>NIBCI362</v>
          </cell>
          <cell r="BA6571">
            <v>3.49</v>
          </cell>
        </row>
        <row r="6572">
          <cell r="C6572" t="str">
            <v>4508 - BITS/BLADES</v>
          </cell>
          <cell r="D6572" t="str">
            <v>NIBBI054</v>
          </cell>
          <cell r="BA6572">
            <v>1.69</v>
          </cell>
        </row>
        <row r="6573">
          <cell r="C6573" t="str">
            <v>4508 - BITS/BLADES</v>
          </cell>
          <cell r="D6573" t="str">
            <v>NIBBI053</v>
          </cell>
          <cell r="BA6573">
            <v>1.69</v>
          </cell>
        </row>
        <row r="6574">
          <cell r="C6574" t="str">
            <v>4508 - BITS/BLADES</v>
          </cell>
          <cell r="D6574" t="str">
            <v>NIBBI052</v>
          </cell>
          <cell r="BA6574">
            <v>1.69</v>
          </cell>
        </row>
        <row r="6575">
          <cell r="C6575" t="str">
            <v>4508 - BITS/BLADES</v>
          </cell>
          <cell r="D6575" t="str">
            <v>NIBBI007</v>
          </cell>
          <cell r="BA6575">
            <v>2.29</v>
          </cell>
        </row>
        <row r="6576">
          <cell r="C6576" t="str">
            <v>4508 - BITS/BLADES</v>
          </cell>
          <cell r="D6576" t="str">
            <v>DW2054</v>
          </cell>
          <cell r="BA6576">
            <v>5.99</v>
          </cell>
        </row>
        <row r="6577">
          <cell r="C6577" t="str">
            <v>4508 - BITS/BLADES</v>
          </cell>
          <cell r="D6577" t="str">
            <v>VC7192776</v>
          </cell>
          <cell r="BA6577">
            <v>2.99</v>
          </cell>
        </row>
        <row r="6578">
          <cell r="C6578" t="str">
            <v>4508 - BITS/BLADES</v>
          </cell>
          <cell r="D6578" t="str">
            <v>NIABP230</v>
          </cell>
          <cell r="BA6578">
            <v>8.59</v>
          </cell>
        </row>
        <row r="6579">
          <cell r="C6579" t="str">
            <v>4508 - BITS/BLADES</v>
          </cell>
          <cell r="D6579" t="str">
            <v>NIABP231</v>
          </cell>
          <cell r="BA6579">
            <v>12.79</v>
          </cell>
        </row>
        <row r="6580">
          <cell r="C6580" t="str">
            <v>4508 - BITS/BLADES</v>
          </cell>
          <cell r="D6580" t="str">
            <v>NIABP232</v>
          </cell>
          <cell r="BA6580">
            <v>9.7899999999999991</v>
          </cell>
        </row>
        <row r="6581">
          <cell r="C6581" t="str">
            <v>4508 - BITS/BLADES</v>
          </cell>
          <cell r="D6581" t="str">
            <v>NIABP233</v>
          </cell>
          <cell r="BA6581">
            <v>9.7899999999999991</v>
          </cell>
        </row>
        <row r="6582">
          <cell r="C6582" t="str">
            <v>4508 - BITS/BLADES</v>
          </cell>
          <cell r="D6582" t="str">
            <v>NIABP234</v>
          </cell>
          <cell r="BA6582">
            <v>10.89</v>
          </cell>
        </row>
        <row r="6583">
          <cell r="C6583" t="str">
            <v>4508 - BITS/BLADES</v>
          </cell>
          <cell r="D6583" t="str">
            <v>NIABP235</v>
          </cell>
          <cell r="BA6583">
            <v>17.09</v>
          </cell>
        </row>
        <row r="6584">
          <cell r="C6584" t="str">
            <v>4508 - BITS/BLADES</v>
          </cell>
          <cell r="D6584" t="str">
            <v>NIABP236</v>
          </cell>
          <cell r="BA6584">
            <v>17.09</v>
          </cell>
        </row>
        <row r="6585">
          <cell r="C6585" t="str">
            <v>4508 - BITS/BLADES</v>
          </cell>
          <cell r="D6585" t="str">
            <v>NIABP237</v>
          </cell>
          <cell r="BA6585">
            <v>17.09</v>
          </cell>
        </row>
        <row r="6586">
          <cell r="C6586" t="str">
            <v>4508 - BITS/BLADES</v>
          </cell>
          <cell r="D6586" t="str">
            <v>NIABP238</v>
          </cell>
          <cell r="BA6586">
            <v>19.59</v>
          </cell>
        </row>
        <row r="6587">
          <cell r="C6587" t="str">
            <v>4508 - BITS/BLADES</v>
          </cell>
          <cell r="D6587" t="str">
            <v>NIABP245</v>
          </cell>
          <cell r="BA6587">
            <v>28.69</v>
          </cell>
        </row>
        <row r="6588">
          <cell r="C6588" t="str">
            <v>4508 - BITS/BLADES</v>
          </cell>
          <cell r="D6588" t="str">
            <v>NIABP246</v>
          </cell>
          <cell r="BA6588">
            <v>20.09</v>
          </cell>
        </row>
        <row r="6589">
          <cell r="C6589" t="str">
            <v>4508 - BITS/BLADES</v>
          </cell>
          <cell r="D6589" t="str">
            <v>EA0315</v>
          </cell>
          <cell r="BA6589">
            <v>13.99</v>
          </cell>
        </row>
        <row r="6590">
          <cell r="C6590" t="str">
            <v>4508 - BITS/BLADES</v>
          </cell>
          <cell r="D6590" t="str">
            <v>EA0314</v>
          </cell>
          <cell r="BA6590">
            <v>13.99</v>
          </cell>
        </row>
        <row r="6591">
          <cell r="C6591" t="str">
            <v>4508 - BITS/BLADES</v>
          </cell>
          <cell r="D6591" t="str">
            <v>GRK187459</v>
          </cell>
          <cell r="BA6591">
            <v>6.99</v>
          </cell>
        </row>
        <row r="6592">
          <cell r="C6592" t="str">
            <v>4508 - BITS/BLADES</v>
          </cell>
          <cell r="D6592" t="str">
            <v>MIL48-89-4605</v>
          </cell>
          <cell r="BA6592">
            <v>7.99</v>
          </cell>
        </row>
        <row r="6593">
          <cell r="C6593" t="str">
            <v>4508 - BITS/BLADES</v>
          </cell>
          <cell r="D6593" t="str">
            <v>MIL48-89-4607</v>
          </cell>
          <cell r="BA6593">
            <v>5.99</v>
          </cell>
        </row>
        <row r="6594">
          <cell r="C6594" t="str">
            <v>4508 - BITS/BLADES</v>
          </cell>
          <cell r="D6594" t="str">
            <v>MIL48-89-4609</v>
          </cell>
          <cell r="BA6594">
            <v>6.99</v>
          </cell>
        </row>
        <row r="6595">
          <cell r="C6595" t="str">
            <v>4508 - BITS/BLADES</v>
          </cell>
          <cell r="D6595" t="str">
            <v>MIL48-89-4611</v>
          </cell>
          <cell r="BA6595">
            <v>8.69</v>
          </cell>
        </row>
        <row r="6596">
          <cell r="C6596" t="str">
            <v>4508 - BITS/BLADES</v>
          </cell>
          <cell r="D6596" t="str">
            <v>MIL48-89-4613</v>
          </cell>
          <cell r="BA6596">
            <v>8.69</v>
          </cell>
        </row>
        <row r="6597">
          <cell r="C6597" t="str">
            <v>4508 - BITS/BLADES</v>
          </cell>
          <cell r="D6597" t="str">
            <v>MIL48-89-4617</v>
          </cell>
          <cell r="BA6597">
            <v>11.99</v>
          </cell>
        </row>
        <row r="6598">
          <cell r="C6598" t="str">
            <v>4508 - BITS/BLADES</v>
          </cell>
          <cell r="D6598" t="str">
            <v>MIL48-89-4621</v>
          </cell>
          <cell r="BA6598">
            <v>15.99</v>
          </cell>
        </row>
        <row r="6599">
          <cell r="C6599" t="str">
            <v>4508 - BITS/BLADES</v>
          </cell>
          <cell r="D6599" t="str">
            <v>MIL48-89-4625</v>
          </cell>
          <cell r="BA6599">
            <v>18.989999999999998</v>
          </cell>
        </row>
        <row r="6600">
          <cell r="C6600" t="str">
            <v>4508 - BITS/BLADES</v>
          </cell>
          <cell r="D6600" t="str">
            <v>MIL48-89-4629</v>
          </cell>
          <cell r="BA6600">
            <v>22.99</v>
          </cell>
        </row>
        <row r="6601">
          <cell r="C6601" t="str">
            <v>4508 - BITS/BLADES</v>
          </cell>
          <cell r="D6601" t="str">
            <v>MIL48-89-4670</v>
          </cell>
          <cell r="BA6601">
            <v>31.99</v>
          </cell>
        </row>
        <row r="6602">
          <cell r="C6602" t="str">
            <v>4508 - BITS/BLADES</v>
          </cell>
          <cell r="D6602" t="str">
            <v>MIL48-27-0871</v>
          </cell>
          <cell r="BA6602">
            <v>8.69</v>
          </cell>
        </row>
        <row r="6603">
          <cell r="C6603" t="str">
            <v>4508 - BITS/BLADES</v>
          </cell>
          <cell r="D6603" t="str">
            <v>MIL48-89-2712</v>
          </cell>
          <cell r="BA6603">
            <v>3.79</v>
          </cell>
        </row>
        <row r="6604">
          <cell r="C6604" t="str">
            <v>4508 - BITS/BLADES</v>
          </cell>
          <cell r="D6604" t="str">
            <v>MIL48-89-2716</v>
          </cell>
          <cell r="BA6604">
            <v>2.39</v>
          </cell>
        </row>
        <row r="6605">
          <cell r="C6605" t="str">
            <v>4508 - BITS/BLADES</v>
          </cell>
          <cell r="D6605" t="str">
            <v>MIL48-89-2720</v>
          </cell>
          <cell r="BA6605">
            <v>3.49</v>
          </cell>
        </row>
        <row r="6606">
          <cell r="C6606" t="str">
            <v>4508 - BITS/BLADES</v>
          </cell>
          <cell r="D6606" t="str">
            <v>MIL48-89-2724</v>
          </cell>
          <cell r="BA6606">
            <v>4.79</v>
          </cell>
        </row>
        <row r="6607">
          <cell r="C6607" t="str">
            <v>4508 - BITS/BLADES</v>
          </cell>
          <cell r="D6607" t="str">
            <v>MIL48-89-2728</v>
          </cell>
          <cell r="BA6607">
            <v>5.99</v>
          </cell>
        </row>
        <row r="6608">
          <cell r="C6608" t="str">
            <v>4508 - BITS/BLADES</v>
          </cell>
          <cell r="D6608" t="str">
            <v>MIL48-89-2732</v>
          </cell>
          <cell r="BA6608">
            <v>8.99</v>
          </cell>
        </row>
        <row r="6609">
          <cell r="C6609" t="str">
            <v>4508 - BITS/BLADES</v>
          </cell>
          <cell r="D6609" t="str">
            <v>MIL48-89-2736</v>
          </cell>
          <cell r="BA6609">
            <v>10.99</v>
          </cell>
        </row>
        <row r="6610">
          <cell r="C6610" t="str">
            <v>4508 - BITS/BLADES</v>
          </cell>
          <cell r="D6610" t="str">
            <v>MIL48-20-7604</v>
          </cell>
          <cell r="BA6610">
            <v>25.99</v>
          </cell>
        </row>
        <row r="6611">
          <cell r="C6611" t="str">
            <v>4508 - BITS/BLADES</v>
          </cell>
          <cell r="D6611" t="str">
            <v>MIL48-20-7474</v>
          </cell>
          <cell r="BA6611">
            <v>18.989999999999998</v>
          </cell>
        </row>
        <row r="6612">
          <cell r="C6612" t="str">
            <v>4508 - BITS/BLADES</v>
          </cell>
          <cell r="D6612" t="str">
            <v>MIL48-89-4602</v>
          </cell>
          <cell r="BA6612">
            <v>5.99</v>
          </cell>
        </row>
        <row r="6613">
          <cell r="C6613" t="str">
            <v>4508 - BITS/BLADES</v>
          </cell>
          <cell r="D6613" t="str">
            <v>MIL48-89-4604</v>
          </cell>
          <cell r="BA6613">
            <v>6.99</v>
          </cell>
        </row>
        <row r="6614">
          <cell r="C6614" t="str">
            <v>4508 - BITS/BLADES</v>
          </cell>
          <cell r="D6614" t="str">
            <v>MIL48-89-4606</v>
          </cell>
          <cell r="BA6614">
            <v>5.39</v>
          </cell>
        </row>
        <row r="6615">
          <cell r="C6615" t="str">
            <v>4508 - BITS/BLADES</v>
          </cell>
          <cell r="D6615" t="str">
            <v>MIL48-89-4608</v>
          </cell>
          <cell r="BA6615">
            <v>5.99</v>
          </cell>
        </row>
        <row r="6616">
          <cell r="C6616" t="str">
            <v>4508 - BITS/BLADES</v>
          </cell>
          <cell r="D6616" t="str">
            <v>MIL48-89-4610</v>
          </cell>
          <cell r="BA6616">
            <v>7.99</v>
          </cell>
        </row>
        <row r="6617">
          <cell r="C6617" t="str">
            <v>4508 - BITS/BLADES</v>
          </cell>
          <cell r="D6617" t="str">
            <v>MIL48-89-4612</v>
          </cell>
          <cell r="BA6617">
            <v>8.69</v>
          </cell>
        </row>
        <row r="6618">
          <cell r="C6618" t="str">
            <v>4508 - BITS/BLADES</v>
          </cell>
          <cell r="D6618" t="str">
            <v>MIL48-89-4614</v>
          </cell>
          <cell r="BA6618">
            <v>8.99</v>
          </cell>
        </row>
        <row r="6619">
          <cell r="C6619" t="str">
            <v>4508 - BITS/BLADES</v>
          </cell>
          <cell r="D6619" t="str">
            <v>MIL48-89-4615</v>
          </cell>
          <cell r="BA6619">
            <v>9.99</v>
          </cell>
        </row>
        <row r="6620">
          <cell r="C6620" t="str">
            <v>4508 - BITS/BLADES</v>
          </cell>
          <cell r="D6620" t="str">
            <v>MIL48-89-4616</v>
          </cell>
          <cell r="BA6620">
            <v>10.99</v>
          </cell>
        </row>
        <row r="6621">
          <cell r="C6621" t="str">
            <v>4508 - BITS/BLADES</v>
          </cell>
          <cell r="D6621" t="str">
            <v>MIL48-89-4618</v>
          </cell>
          <cell r="BA6621">
            <v>11.99</v>
          </cell>
        </row>
        <row r="6622">
          <cell r="C6622" t="str">
            <v>4508 - BITS/BLADES</v>
          </cell>
          <cell r="D6622" t="str">
            <v>MIL48-89-4619</v>
          </cell>
          <cell r="BA6622">
            <v>12.99</v>
          </cell>
        </row>
        <row r="6623">
          <cell r="C6623" t="str">
            <v>4508 - BITS/BLADES</v>
          </cell>
          <cell r="D6623" t="str">
            <v>MIL48-89-4620</v>
          </cell>
          <cell r="BA6623">
            <v>15.99</v>
          </cell>
        </row>
        <row r="6624">
          <cell r="C6624" t="str">
            <v>4508 - BITS/BLADES</v>
          </cell>
          <cell r="D6624" t="str">
            <v>MIL48-89-4622</v>
          </cell>
          <cell r="BA6624">
            <v>16.989999999999998</v>
          </cell>
        </row>
        <row r="6625">
          <cell r="C6625" t="str">
            <v>4508 - BITS/BLADES</v>
          </cell>
          <cell r="D6625" t="str">
            <v>MIL48-89-4623</v>
          </cell>
          <cell r="BA6625">
            <v>17.989999999999998</v>
          </cell>
        </row>
        <row r="6626">
          <cell r="C6626" t="str">
            <v>4508 - BITS/BLADES</v>
          </cell>
          <cell r="D6626" t="str">
            <v>MIL48-89-4624</v>
          </cell>
          <cell r="BA6626">
            <v>17.989999999999998</v>
          </cell>
        </row>
        <row r="6627">
          <cell r="C6627" t="str">
            <v>4508 - BITS/BLADES</v>
          </cell>
          <cell r="D6627" t="str">
            <v>MIL48-89-4627</v>
          </cell>
          <cell r="BA6627">
            <v>19.989999999999998</v>
          </cell>
        </row>
        <row r="6628">
          <cell r="C6628" t="str">
            <v>4508 - BITS/BLADES</v>
          </cell>
          <cell r="D6628" t="str">
            <v>MIL48-89-2301</v>
          </cell>
          <cell r="BA6628">
            <v>4.29</v>
          </cell>
        </row>
        <row r="6629">
          <cell r="C6629" t="str">
            <v>4508 - BITS/BLADES</v>
          </cell>
          <cell r="D6629" t="str">
            <v>MIL48-89-2370</v>
          </cell>
          <cell r="BA6629">
            <v>39.99</v>
          </cell>
        </row>
        <row r="6630">
          <cell r="C6630" t="str">
            <v>4508 - BITS/BLADES</v>
          </cell>
          <cell r="D6630" t="str">
            <v>DRFB-003</v>
          </cell>
          <cell r="BA6630">
            <v>8.49</v>
          </cell>
        </row>
        <row r="6631">
          <cell r="C6631" t="str">
            <v>4508 - BITS/BLADES</v>
          </cell>
          <cell r="D6631" t="str">
            <v>DRFB-004</v>
          </cell>
          <cell r="BA6631">
            <v>10.09</v>
          </cell>
        </row>
        <row r="6632">
          <cell r="C6632" t="str">
            <v>4508 - BITS/BLADES</v>
          </cell>
          <cell r="D6632" t="str">
            <v>DRFB-005</v>
          </cell>
          <cell r="BA6632">
            <v>11.19</v>
          </cell>
        </row>
        <row r="6633">
          <cell r="C6633" t="str">
            <v>4508 - BITS/BLADES</v>
          </cell>
          <cell r="D6633" t="str">
            <v>DRFB-006</v>
          </cell>
          <cell r="BA6633">
            <v>12.79</v>
          </cell>
        </row>
        <row r="6634">
          <cell r="C6634" t="str">
            <v>4508 - BITS/BLADES</v>
          </cell>
          <cell r="D6634" t="str">
            <v>DRFB-009</v>
          </cell>
          <cell r="BA6634">
            <v>15.89</v>
          </cell>
        </row>
        <row r="6635">
          <cell r="C6635" t="str">
            <v>4508 - BITS/BLADES</v>
          </cell>
          <cell r="D6635" t="str">
            <v>DRFB-010</v>
          </cell>
          <cell r="BA6635">
            <v>17.39</v>
          </cell>
        </row>
        <row r="6636">
          <cell r="C6636" t="str">
            <v>4508 - BITS/BLADES</v>
          </cell>
          <cell r="D6636" t="str">
            <v>DRFB-011</v>
          </cell>
          <cell r="BA6636">
            <v>20.69</v>
          </cell>
        </row>
        <row r="6637">
          <cell r="C6637" t="str">
            <v>4508 - BITS/BLADES</v>
          </cell>
          <cell r="D6637" t="str">
            <v>DRFB-013</v>
          </cell>
          <cell r="BA6637">
            <v>26.29</v>
          </cell>
        </row>
        <row r="6638">
          <cell r="C6638" t="str">
            <v>4508 - BITS/BLADES</v>
          </cell>
          <cell r="D6638" t="str">
            <v>FRFB-014</v>
          </cell>
          <cell r="BA6638">
            <v>27.89</v>
          </cell>
        </row>
        <row r="6639">
          <cell r="C6639" t="str">
            <v>4508 - BITS/BLADES</v>
          </cell>
          <cell r="D6639" t="str">
            <v>FRDFB-015</v>
          </cell>
          <cell r="BA6639">
            <v>30.19</v>
          </cell>
        </row>
        <row r="6640">
          <cell r="C6640" t="str">
            <v>4508 - BITS/BLADES</v>
          </cell>
          <cell r="D6640" t="str">
            <v>FRFB-016</v>
          </cell>
          <cell r="BA6640">
            <v>34.49</v>
          </cell>
        </row>
        <row r="6641">
          <cell r="C6641" t="str">
            <v>4508 - BITS/BLADES</v>
          </cell>
          <cell r="D6641" t="str">
            <v>FRFB-002</v>
          </cell>
          <cell r="BA6641">
            <v>7.89</v>
          </cell>
        </row>
        <row r="6642">
          <cell r="C6642" t="str">
            <v>4508 - BITS/BLADES</v>
          </cell>
          <cell r="D6642" t="str">
            <v>DRFB-001</v>
          </cell>
          <cell r="BA6642">
            <v>7.99</v>
          </cell>
        </row>
        <row r="6643">
          <cell r="C6643" t="str">
            <v>4508 - BITS/BLADES</v>
          </cell>
          <cell r="D6643" t="str">
            <v>DRFB-007</v>
          </cell>
          <cell r="BA6643">
            <v>13.79</v>
          </cell>
        </row>
        <row r="6644">
          <cell r="C6644" t="str">
            <v>4508 - BITS/BLADES</v>
          </cell>
          <cell r="D6644" t="str">
            <v>DRFB-008</v>
          </cell>
          <cell r="BA6644">
            <v>14.89</v>
          </cell>
        </row>
        <row r="6645">
          <cell r="C6645" t="str">
            <v>4508 - BITS/BLADES</v>
          </cell>
          <cell r="D6645" t="str">
            <v>DMAPL4185</v>
          </cell>
          <cell r="BA6645">
            <v>17.989999999999998</v>
          </cell>
        </row>
        <row r="6646">
          <cell r="C6646" t="str">
            <v>4508 - BITS/BLADES</v>
          </cell>
          <cell r="D6646" t="str">
            <v>FRFB-104</v>
          </cell>
          <cell r="BA6646">
            <v>42.59</v>
          </cell>
        </row>
        <row r="6647">
          <cell r="C6647" t="str">
            <v>4508 - BITS/BLADES</v>
          </cell>
          <cell r="D6647" t="str">
            <v>EAB1070132</v>
          </cell>
          <cell r="BA6647">
            <v>6.29</v>
          </cell>
        </row>
        <row r="6648">
          <cell r="C6648" t="str">
            <v>4508 - BITS/BLADES</v>
          </cell>
          <cell r="D6648" t="str">
            <v>EAB1070152</v>
          </cell>
          <cell r="BA6648">
            <v>6.29</v>
          </cell>
        </row>
        <row r="6649">
          <cell r="C6649" t="str">
            <v>4508 - BITS/BLADES</v>
          </cell>
          <cell r="D6649" t="str">
            <v>MIL48-89-4633</v>
          </cell>
          <cell r="BA6649">
            <v>29.99</v>
          </cell>
        </row>
        <row r="6650">
          <cell r="C6650" t="str">
            <v>4508 - BITS/BLADES</v>
          </cell>
          <cell r="D6650" t="str">
            <v>NIBPI650</v>
          </cell>
          <cell r="BA6650">
            <v>26.99</v>
          </cell>
        </row>
        <row r="6651">
          <cell r="C6651" t="str">
            <v>4508 - BITS/BLADES</v>
          </cell>
          <cell r="D6651" t="str">
            <v>NIBPI614</v>
          </cell>
          <cell r="BA6651">
            <v>19.190000000000001</v>
          </cell>
        </row>
        <row r="6652">
          <cell r="C6652" t="str">
            <v>4508 - BITS/BLADES</v>
          </cell>
          <cell r="D6652" t="str">
            <v>NIBPI613</v>
          </cell>
          <cell r="BA6652">
            <v>19.190000000000001</v>
          </cell>
        </row>
        <row r="6653">
          <cell r="C6653" t="str">
            <v>4508 - BITS/BLADES</v>
          </cell>
          <cell r="D6653" t="str">
            <v>NIBPI632</v>
          </cell>
          <cell r="BA6653">
            <v>17.09</v>
          </cell>
        </row>
        <row r="6654">
          <cell r="C6654" t="str">
            <v>4508 - BITS/BLADES</v>
          </cell>
          <cell r="D6654" t="str">
            <v>NIBPI630</v>
          </cell>
          <cell r="BA6654">
            <v>17.09</v>
          </cell>
        </row>
        <row r="6655">
          <cell r="C6655" t="str">
            <v>4508 - BITS/BLADES</v>
          </cell>
          <cell r="D6655" t="str">
            <v>NIBBI252</v>
          </cell>
          <cell r="BA6655">
            <v>4.79</v>
          </cell>
        </row>
        <row r="6656">
          <cell r="C6656" t="str">
            <v>4508 - BITS/BLADES</v>
          </cell>
          <cell r="D6656" t="str">
            <v>NIBBI251</v>
          </cell>
          <cell r="BA6656">
            <v>4.29</v>
          </cell>
        </row>
        <row r="6657">
          <cell r="C6657" t="str">
            <v>4508 - BITS/BLADES</v>
          </cell>
          <cell r="D6657" t="str">
            <v>NIBBI250</v>
          </cell>
          <cell r="BA6657">
            <v>4.09</v>
          </cell>
        </row>
        <row r="6658">
          <cell r="C6658" t="str">
            <v>4508 - BITS/BLADES</v>
          </cell>
          <cell r="D6658" t="str">
            <v>NIBBI242</v>
          </cell>
          <cell r="BA6658">
            <v>5.69</v>
          </cell>
        </row>
        <row r="6659">
          <cell r="C6659" t="str">
            <v>4508 - BITS/BLADES</v>
          </cell>
          <cell r="D6659" t="str">
            <v>NIBBI237</v>
          </cell>
          <cell r="BA6659">
            <v>7.89</v>
          </cell>
        </row>
        <row r="6660">
          <cell r="C6660" t="str">
            <v>4508 - BITS/BLADES</v>
          </cell>
          <cell r="D6660" t="str">
            <v>NIBBI236</v>
          </cell>
          <cell r="BA6660">
            <v>9.99</v>
          </cell>
        </row>
        <row r="6661">
          <cell r="C6661" t="str">
            <v>4508 - BITS/BLADES</v>
          </cell>
          <cell r="D6661" t="str">
            <v>NIBBI235</v>
          </cell>
          <cell r="BA6661">
            <v>9.2899999999999991</v>
          </cell>
        </row>
        <row r="6662">
          <cell r="C6662" t="str">
            <v>4508 - BITS/BLADES</v>
          </cell>
          <cell r="D6662" t="str">
            <v>NIBBI225</v>
          </cell>
          <cell r="BA6662">
            <v>8.89</v>
          </cell>
        </row>
        <row r="6663">
          <cell r="C6663" t="str">
            <v>4508 - BITS/BLADES</v>
          </cell>
          <cell r="D6663" t="str">
            <v>NIBBI224</v>
          </cell>
          <cell r="BA6663">
            <v>7.89</v>
          </cell>
        </row>
        <row r="6664">
          <cell r="C6664" t="str">
            <v>4508 - BITS/BLADES</v>
          </cell>
          <cell r="D6664" t="str">
            <v>NIBBI223</v>
          </cell>
          <cell r="BA6664">
            <v>7.89</v>
          </cell>
        </row>
        <row r="6665">
          <cell r="C6665" t="str">
            <v>4508 - BITS/BLADES</v>
          </cell>
          <cell r="D6665" t="str">
            <v>NIBBI222</v>
          </cell>
          <cell r="BA6665">
            <v>7.39</v>
          </cell>
        </row>
        <row r="6666">
          <cell r="C6666" t="str">
            <v>4508 - BITS/BLADES</v>
          </cell>
          <cell r="D6666" t="str">
            <v>NIBBI221</v>
          </cell>
          <cell r="BA6666">
            <v>6.69</v>
          </cell>
        </row>
        <row r="6667">
          <cell r="C6667" t="str">
            <v>4508 - BITS/BLADES</v>
          </cell>
          <cell r="D6667" t="str">
            <v>NIBBI220</v>
          </cell>
          <cell r="BA6667">
            <v>6.39</v>
          </cell>
        </row>
        <row r="6668">
          <cell r="C6668" t="str">
            <v>4508 - BITS/BLADES</v>
          </cell>
          <cell r="D6668" t="str">
            <v>NIBBI144</v>
          </cell>
          <cell r="BA6668">
            <v>14.29</v>
          </cell>
        </row>
        <row r="6669">
          <cell r="C6669" t="str">
            <v>4508 - BITS/BLADES</v>
          </cell>
          <cell r="D6669" t="str">
            <v>NIBBI134</v>
          </cell>
          <cell r="BA6669">
            <v>5.69</v>
          </cell>
        </row>
        <row r="6670">
          <cell r="C6670" t="str">
            <v>4508 - BITS/BLADES</v>
          </cell>
          <cell r="D6670" t="str">
            <v>NIBBI133</v>
          </cell>
          <cell r="BA6670">
            <v>5.69</v>
          </cell>
        </row>
        <row r="6671">
          <cell r="C6671" t="str">
            <v>4508 - BITS/BLADES</v>
          </cell>
          <cell r="D6671" t="str">
            <v>NIBBI125</v>
          </cell>
          <cell r="BA6671">
            <v>3.79</v>
          </cell>
        </row>
        <row r="6672">
          <cell r="C6672" t="str">
            <v>4508 - BITS/BLADES</v>
          </cell>
          <cell r="D6672" t="str">
            <v>NIBBI124</v>
          </cell>
          <cell r="BA6672">
            <v>3.79</v>
          </cell>
        </row>
        <row r="6673">
          <cell r="C6673" t="str">
            <v>4508 - BITS/BLADES</v>
          </cell>
          <cell r="D6673" t="str">
            <v>NIBBI123</v>
          </cell>
          <cell r="BA6673">
            <v>3.79</v>
          </cell>
        </row>
        <row r="6674">
          <cell r="C6674" t="str">
            <v>4508 - BITS/BLADES</v>
          </cell>
          <cell r="D6674" t="str">
            <v>NIBBI116</v>
          </cell>
          <cell r="BA6674">
            <v>2.29</v>
          </cell>
        </row>
        <row r="6675">
          <cell r="C6675" t="str">
            <v>4508 - BITS/BLADES</v>
          </cell>
          <cell r="D6675" t="str">
            <v>NIBBI115</v>
          </cell>
          <cell r="BA6675">
            <v>2.29</v>
          </cell>
        </row>
        <row r="6676">
          <cell r="C6676" t="str">
            <v>4508 - BITS/BLADES</v>
          </cell>
          <cell r="D6676" t="str">
            <v>NIBBI114</v>
          </cell>
          <cell r="BA6676">
            <v>2.29</v>
          </cell>
        </row>
        <row r="6677">
          <cell r="C6677" t="str">
            <v>4508 - BITS/BLADES</v>
          </cell>
          <cell r="D6677" t="str">
            <v>NIBBI113</v>
          </cell>
          <cell r="BA6677">
            <v>2.29</v>
          </cell>
        </row>
        <row r="6678">
          <cell r="C6678" t="str">
            <v>4508 - BITS/BLADES</v>
          </cell>
          <cell r="D6678" t="str">
            <v>NIBBI112</v>
          </cell>
          <cell r="BA6678">
            <v>2.29</v>
          </cell>
        </row>
        <row r="6679">
          <cell r="C6679" t="str">
            <v>4508 - BITS/BLADES</v>
          </cell>
          <cell r="D6679" t="str">
            <v>NIBBI111</v>
          </cell>
          <cell r="BA6679">
            <v>2.29</v>
          </cell>
        </row>
        <row r="6680">
          <cell r="C6680" t="str">
            <v>4508 - BITS/BLADES</v>
          </cell>
          <cell r="D6680" t="str">
            <v>NIBBI090</v>
          </cell>
          <cell r="BA6680">
            <v>1.99</v>
          </cell>
        </row>
        <row r="6681">
          <cell r="C6681" t="str">
            <v>4508 - BITS/BLADES</v>
          </cell>
          <cell r="D6681" t="str">
            <v>NIBBI085</v>
          </cell>
          <cell r="BA6681">
            <v>14.29</v>
          </cell>
        </row>
        <row r="6682">
          <cell r="C6682" t="str">
            <v>4508 - BITS/BLADES</v>
          </cell>
          <cell r="D6682" t="str">
            <v>NIBBI077</v>
          </cell>
          <cell r="BA6682">
            <v>5.69</v>
          </cell>
        </row>
        <row r="6683">
          <cell r="C6683" t="str">
            <v>4508 - BITS/BLADES</v>
          </cell>
          <cell r="D6683" t="str">
            <v>NIBBI069</v>
          </cell>
          <cell r="BA6683">
            <v>3.79</v>
          </cell>
        </row>
        <row r="6684">
          <cell r="C6684" t="str">
            <v>4508 - BITS/BLADES</v>
          </cell>
          <cell r="D6684" t="str">
            <v>NIBBI061</v>
          </cell>
          <cell r="BA6684">
            <v>2.29</v>
          </cell>
        </row>
        <row r="6685">
          <cell r="C6685" t="str">
            <v>4508 - BITS/BLADES</v>
          </cell>
          <cell r="D6685" t="str">
            <v>NIBBI060</v>
          </cell>
          <cell r="BA6685">
            <v>2.29</v>
          </cell>
        </row>
        <row r="6686">
          <cell r="C6686" t="str">
            <v>4508 - BITS/BLADES</v>
          </cell>
          <cell r="D6686" t="str">
            <v>NIBBI059</v>
          </cell>
          <cell r="BA6686">
            <v>2.29</v>
          </cell>
        </row>
        <row r="6687">
          <cell r="C6687" t="str">
            <v>4508 - BITS/BLADES</v>
          </cell>
          <cell r="D6687" t="str">
            <v>NIBBI058</v>
          </cell>
          <cell r="BA6687">
            <v>2.29</v>
          </cell>
        </row>
        <row r="6688">
          <cell r="C6688" t="str">
            <v>4508 - BITS/BLADES</v>
          </cell>
          <cell r="D6688" t="str">
            <v>NIBBI055</v>
          </cell>
          <cell r="BA6688">
            <v>1.69</v>
          </cell>
        </row>
        <row r="6689">
          <cell r="C6689" t="str">
            <v>4508 - BITS/BLADES</v>
          </cell>
          <cell r="D6689" t="str">
            <v>NIBCI373</v>
          </cell>
          <cell r="BA6689">
            <v>4.59</v>
          </cell>
        </row>
        <row r="6690">
          <cell r="C6690" t="str">
            <v>4508 - BITS/BLADES</v>
          </cell>
          <cell r="D6690" t="str">
            <v>NIBCI372</v>
          </cell>
          <cell r="BA6690">
            <v>4.59</v>
          </cell>
        </row>
        <row r="6691">
          <cell r="C6691" t="str">
            <v>4508 - BITS/BLADES</v>
          </cell>
          <cell r="D6691" t="str">
            <v>NIBCI361</v>
          </cell>
          <cell r="BA6691">
            <v>4.6900000000000004</v>
          </cell>
        </row>
        <row r="6692">
          <cell r="C6692" t="str">
            <v>4508 - BITS/BLADES</v>
          </cell>
          <cell r="D6692" t="str">
            <v>NIBBI132</v>
          </cell>
          <cell r="BA6692">
            <v>5.69</v>
          </cell>
        </row>
        <row r="6693">
          <cell r="C6693" t="str">
            <v>4508 - BITS/BLADES</v>
          </cell>
          <cell r="D6693" t="str">
            <v>NIBBI143</v>
          </cell>
          <cell r="BA6693">
            <v>14.29</v>
          </cell>
        </row>
        <row r="6694">
          <cell r="C6694" t="str">
            <v>4508 - BITS/BLADES</v>
          </cell>
          <cell r="D6694" t="str">
            <v>NIBCI321</v>
          </cell>
          <cell r="BA6694">
            <v>7.19</v>
          </cell>
        </row>
        <row r="6695">
          <cell r="C6695" t="str">
            <v>4508 - BITS/BLADES</v>
          </cell>
          <cell r="D6695" t="str">
            <v>NIBBI095</v>
          </cell>
          <cell r="BA6695">
            <v>3.59</v>
          </cell>
        </row>
        <row r="6696">
          <cell r="C6696" t="str">
            <v>4508 - BITS/BLADES</v>
          </cell>
          <cell r="D6696" t="str">
            <v>NIBBI093</v>
          </cell>
          <cell r="BA6696">
            <v>2.59</v>
          </cell>
        </row>
        <row r="6697">
          <cell r="C6697" t="str">
            <v>4508 - BITS/BLADES</v>
          </cell>
          <cell r="D6697" t="str">
            <v>NIBBI068</v>
          </cell>
          <cell r="BA6697">
            <v>3.79</v>
          </cell>
        </row>
        <row r="6698">
          <cell r="C6698" t="str">
            <v>4508 - BITS/BLADES</v>
          </cell>
          <cell r="D6698" t="str">
            <v>NIBBI070</v>
          </cell>
          <cell r="BA6698">
            <v>3.79</v>
          </cell>
        </row>
        <row r="6699">
          <cell r="C6699" t="str">
            <v>4508 - BITS/BLADES</v>
          </cell>
          <cell r="D6699" t="str">
            <v>NIBBI076</v>
          </cell>
          <cell r="BA6699">
            <v>5.69</v>
          </cell>
        </row>
        <row r="6700">
          <cell r="C6700" t="str">
            <v>4508 - BITS/BLADES</v>
          </cell>
          <cell r="D6700" t="str">
            <v>NIBBI078</v>
          </cell>
          <cell r="BA6700">
            <v>5.69</v>
          </cell>
        </row>
        <row r="6701">
          <cell r="C6701" t="str">
            <v>4508 - BITS/BLADES</v>
          </cell>
          <cell r="D6701" t="str">
            <v>NIBBI122</v>
          </cell>
          <cell r="BA6701">
            <v>3.79</v>
          </cell>
        </row>
        <row r="6702">
          <cell r="C6702" t="str">
            <v>4508 - BITS/BLADES</v>
          </cell>
          <cell r="D6702" t="str">
            <v>NIBBI126</v>
          </cell>
          <cell r="BA6702">
            <v>3.79</v>
          </cell>
        </row>
        <row r="6703">
          <cell r="C6703" t="str">
            <v>4508 - BITS/BLADES</v>
          </cell>
          <cell r="D6703" t="str">
            <v>NIBBI121</v>
          </cell>
          <cell r="BA6703">
            <v>3.79</v>
          </cell>
        </row>
        <row r="6704">
          <cell r="C6704" t="str">
            <v>4508 - BITS/BLADES</v>
          </cell>
          <cell r="D6704" t="str">
            <v>NIBPI702</v>
          </cell>
          <cell r="BA6704">
            <v>28.19</v>
          </cell>
        </row>
        <row r="6705">
          <cell r="C6705" t="str">
            <v>4508 - BITS/BLADES</v>
          </cell>
          <cell r="D6705" t="str">
            <v>NIBPI720</v>
          </cell>
          <cell r="BA6705">
            <v>45.79</v>
          </cell>
        </row>
        <row r="6706">
          <cell r="C6706" t="str">
            <v>4508 - BITS/BLADES</v>
          </cell>
          <cell r="D6706" t="str">
            <v>NIBPI721</v>
          </cell>
          <cell r="BA6706">
            <v>52.99</v>
          </cell>
        </row>
        <row r="6707">
          <cell r="C6707" t="str">
            <v>4508 - BITS/BLADES</v>
          </cell>
          <cell r="D6707" t="str">
            <v>NCSBP282</v>
          </cell>
          <cell r="BA6707">
            <v>55.49</v>
          </cell>
        </row>
        <row r="6708">
          <cell r="C6708" t="str">
            <v>4508 - BITS/BLADES</v>
          </cell>
          <cell r="D6708" t="str">
            <v>NCSBT011MP</v>
          </cell>
          <cell r="BA6708">
            <v>102.99</v>
          </cell>
        </row>
        <row r="6709">
          <cell r="C6709" t="str">
            <v>4508 - BITS/BLADES</v>
          </cell>
          <cell r="D6709" t="str">
            <v>NIBCI567</v>
          </cell>
          <cell r="BA6709">
            <v>7.89</v>
          </cell>
        </row>
        <row r="6710">
          <cell r="C6710" t="str">
            <v>4508 - BITS/BLADES</v>
          </cell>
          <cell r="D6710" t="str">
            <v>NIBCI566</v>
          </cell>
          <cell r="BA6710">
            <v>7.19</v>
          </cell>
        </row>
        <row r="6711">
          <cell r="C6711" t="str">
            <v>4508 - BITS/BLADES</v>
          </cell>
          <cell r="D6711" t="str">
            <v>NIBCI328</v>
          </cell>
          <cell r="BA6711">
            <v>35.590000000000003</v>
          </cell>
        </row>
        <row r="6712">
          <cell r="C6712" t="str">
            <v>4508 - BITS/BLADES</v>
          </cell>
          <cell r="D6712" t="str">
            <v>NCSBT007</v>
          </cell>
          <cell r="BA6712">
            <v>11.99</v>
          </cell>
        </row>
        <row r="6713">
          <cell r="C6713" t="str">
            <v>4508 - BITS/BLADES</v>
          </cell>
          <cell r="D6713" t="str">
            <v>NCSBT007T</v>
          </cell>
          <cell r="BA6713">
            <v>16.89</v>
          </cell>
        </row>
        <row r="6714">
          <cell r="C6714" t="str">
            <v>4508 - BITS/BLADES</v>
          </cell>
          <cell r="D6714" t="str">
            <v>NCSBT008</v>
          </cell>
          <cell r="BA6714">
            <v>13.69</v>
          </cell>
        </row>
        <row r="6715">
          <cell r="C6715" t="str">
            <v>4508 - BITS/BLADES</v>
          </cell>
          <cell r="D6715" t="str">
            <v>NCSBT004</v>
          </cell>
          <cell r="BA6715">
            <v>16.190000000000001</v>
          </cell>
        </row>
        <row r="6716">
          <cell r="C6716" t="str">
            <v>4508 - BITS/BLADES</v>
          </cell>
          <cell r="D6716" t="str">
            <v>NCSBT005</v>
          </cell>
          <cell r="BA6716">
            <v>11.99</v>
          </cell>
        </row>
        <row r="6717">
          <cell r="C6717" t="str">
            <v>4508 - BITS/BLADES</v>
          </cell>
          <cell r="D6717" t="str">
            <v>NCSBT014</v>
          </cell>
          <cell r="BA6717">
            <v>17.09</v>
          </cell>
        </row>
        <row r="6718">
          <cell r="C6718" t="str">
            <v>4508 - BITS/BLADES</v>
          </cell>
          <cell r="D6718" t="str">
            <v>NCSBT023</v>
          </cell>
          <cell r="BA6718">
            <v>25.59</v>
          </cell>
        </row>
        <row r="6719">
          <cell r="C6719" t="str">
            <v>4508 - BITS/BLADES</v>
          </cell>
          <cell r="D6719" t="str">
            <v>NCSBT026</v>
          </cell>
          <cell r="BA6719">
            <v>30.69</v>
          </cell>
        </row>
        <row r="6720">
          <cell r="C6720" t="str">
            <v>4508 - BITS/BLADES</v>
          </cell>
          <cell r="D6720" t="str">
            <v>NCSBT029</v>
          </cell>
          <cell r="BA6720">
            <v>41.79</v>
          </cell>
        </row>
        <row r="6721">
          <cell r="C6721" t="str">
            <v>4508 - BITS/BLADES</v>
          </cell>
          <cell r="D6721" t="str">
            <v>NCSBT011P</v>
          </cell>
          <cell r="BA6721">
            <v>13.09</v>
          </cell>
        </row>
        <row r="6722">
          <cell r="C6722" t="str">
            <v>4508 - BITS/BLADES</v>
          </cell>
          <cell r="D6722" t="str">
            <v>NCSBT011T</v>
          </cell>
          <cell r="BA6722">
            <v>23.59</v>
          </cell>
        </row>
        <row r="6723">
          <cell r="C6723" t="str">
            <v>4508 - BITS/BLADES</v>
          </cell>
          <cell r="D6723" t="str">
            <v>NIBBI259</v>
          </cell>
          <cell r="BA6723">
            <v>12.79</v>
          </cell>
        </row>
        <row r="6724">
          <cell r="C6724" t="str">
            <v>4508 - BITS/BLADES</v>
          </cell>
          <cell r="D6724" t="str">
            <v>NOTP203</v>
          </cell>
          <cell r="BA6724">
            <v>14.49</v>
          </cell>
        </row>
        <row r="6725">
          <cell r="C6725" t="str">
            <v>4508 - BITS/BLADES</v>
          </cell>
          <cell r="D6725" t="str">
            <v>NOTP204</v>
          </cell>
          <cell r="BA6725">
            <v>14.49</v>
          </cell>
        </row>
        <row r="6726">
          <cell r="C6726" t="str">
            <v>4508 - BITS/BLADES</v>
          </cell>
          <cell r="D6726" t="str">
            <v>NOTP208</v>
          </cell>
          <cell r="BA6726">
            <v>14.89</v>
          </cell>
        </row>
        <row r="6727">
          <cell r="C6727" t="str">
            <v>4508 - BITS/BLADES</v>
          </cell>
          <cell r="D6727" t="str">
            <v>NIBPI709</v>
          </cell>
          <cell r="BA6727">
            <v>18.39</v>
          </cell>
        </row>
        <row r="6728">
          <cell r="C6728" t="str">
            <v>4508 - BITS/BLADES</v>
          </cell>
          <cell r="D6728" t="str">
            <v>NIBPI611</v>
          </cell>
          <cell r="BA6728">
            <v>19.190000000000001</v>
          </cell>
        </row>
        <row r="6729">
          <cell r="C6729" t="str">
            <v>4508 - BITS/BLADES</v>
          </cell>
          <cell r="D6729" t="str">
            <v>NRBP260</v>
          </cell>
          <cell r="BA6729">
            <v>8.7899999999999991</v>
          </cell>
        </row>
        <row r="6730">
          <cell r="C6730" t="str">
            <v>4508 - BITS/BLADES</v>
          </cell>
          <cell r="D6730" t="str">
            <v>NRBP262</v>
          </cell>
          <cell r="BA6730">
            <v>12.79</v>
          </cell>
        </row>
        <row r="6731">
          <cell r="C6731" t="str">
            <v>4508 - BITS/BLADES</v>
          </cell>
          <cell r="D6731" t="str">
            <v>NRBP264</v>
          </cell>
          <cell r="BA6731">
            <v>14.19</v>
          </cell>
        </row>
        <row r="6732">
          <cell r="C6732" t="str">
            <v>4508 - BITS/BLADES</v>
          </cell>
          <cell r="D6732" t="str">
            <v>SPEA0142</v>
          </cell>
          <cell r="BA6732">
            <v>4.29</v>
          </cell>
        </row>
        <row r="6733">
          <cell r="C6733" t="str">
            <v>4508 - BITS/BLADES</v>
          </cell>
          <cell r="D6733" t="str">
            <v>MIL49-22-1129</v>
          </cell>
          <cell r="BA6733">
            <v>31.99</v>
          </cell>
        </row>
        <row r="6734">
          <cell r="C6734" t="str">
            <v>4508 - BITS/BLADES</v>
          </cell>
          <cell r="D6734" t="str">
            <v>FRD1040W</v>
          </cell>
          <cell r="BA6734">
            <v>32.99</v>
          </cell>
        </row>
        <row r="6735">
          <cell r="C6735" t="str">
            <v>4508 - BITS/BLADES</v>
          </cell>
          <cell r="D6735" t="str">
            <v>MIL48-40-1220</v>
          </cell>
          <cell r="BA6735">
            <v>42.99</v>
          </cell>
        </row>
        <row r="6736">
          <cell r="C6736" t="str">
            <v>4508 - BITS/BLADES</v>
          </cell>
          <cell r="D6736" t="str">
            <v>TNT25314TFEA</v>
          </cell>
          <cell r="BA6736">
            <v>0.26</v>
          </cell>
        </row>
        <row r="6737">
          <cell r="C6737" t="str">
            <v>4508 - BITS/BLADES</v>
          </cell>
          <cell r="D6737" t="str">
            <v>TNT25134HEA</v>
          </cell>
          <cell r="BA6737">
            <v>0.26</v>
          </cell>
        </row>
        <row r="6738">
          <cell r="C6738" t="str">
            <v>4508 - BITS/BLADES</v>
          </cell>
          <cell r="D6738" t="str">
            <v>GRK187435</v>
          </cell>
          <cell r="BA6738">
            <v>6.99</v>
          </cell>
        </row>
        <row r="6739">
          <cell r="C6739" t="str">
            <v>4508 - BITS/BLADES</v>
          </cell>
          <cell r="D6739" t="str">
            <v>GRK187419</v>
          </cell>
          <cell r="BA6739">
            <v>6.99</v>
          </cell>
        </row>
        <row r="6740">
          <cell r="C6740" t="str">
            <v>4508 - BITS/BLADES</v>
          </cell>
          <cell r="D6740" t="str">
            <v>GRK187427</v>
          </cell>
          <cell r="BA6740">
            <v>6.99</v>
          </cell>
        </row>
        <row r="6741">
          <cell r="C6741" t="str">
            <v>4508 - BITS/BLADES</v>
          </cell>
          <cell r="D6741" t="str">
            <v>GRK187443</v>
          </cell>
          <cell r="BA6741">
            <v>6.99</v>
          </cell>
        </row>
        <row r="6742">
          <cell r="C6742" t="str">
            <v>4508 - BITS/BLADES</v>
          </cell>
          <cell r="D6742" t="str">
            <v>GRK187451</v>
          </cell>
          <cell r="BA6742">
            <v>6.99</v>
          </cell>
        </row>
        <row r="6743">
          <cell r="C6743" t="str">
            <v>4508 - BITS/BLADES</v>
          </cell>
          <cell r="D6743" t="str">
            <v>NN0395715</v>
          </cell>
          <cell r="BA6743">
            <v>10.99</v>
          </cell>
        </row>
        <row r="6744">
          <cell r="C6744" t="str">
            <v>4508 - BITS/BLADES</v>
          </cell>
          <cell r="D6744" t="str">
            <v>TLOCFASBIT</v>
          </cell>
          <cell r="BA6744">
            <v>18.989999999999998</v>
          </cell>
        </row>
        <row r="6745">
          <cell r="C6745" t="str">
            <v>4508 - BITS/BLADES</v>
          </cell>
          <cell r="D6745" t="str">
            <v>MIL49-22-1105</v>
          </cell>
          <cell r="BA6745">
            <v>17.989999999999998</v>
          </cell>
        </row>
        <row r="6746">
          <cell r="C6746" t="str">
            <v>4508 - BITS/BLADES</v>
          </cell>
          <cell r="D6746" t="str">
            <v>MET18108M</v>
          </cell>
          <cell r="BA6746">
            <v>99.99</v>
          </cell>
        </row>
        <row r="6747">
          <cell r="C6747" t="str">
            <v>4508 - BITS/BLADES</v>
          </cell>
          <cell r="D6747" t="str">
            <v>FMSPIDER3-2PK</v>
          </cell>
          <cell r="BA6747">
            <v>6.19</v>
          </cell>
        </row>
        <row r="6748">
          <cell r="C6748" t="str">
            <v>4508 - BITS/BLADES</v>
          </cell>
          <cell r="D6748" t="str">
            <v>SBUR008A</v>
          </cell>
          <cell r="BA6748">
            <v>9.99</v>
          </cell>
        </row>
        <row r="6749">
          <cell r="C6749" t="str">
            <v>4508 - BITS/BLADES</v>
          </cell>
          <cell r="D6749" t="str">
            <v>SBUR016A</v>
          </cell>
          <cell r="BA6749">
            <v>9.99</v>
          </cell>
        </row>
        <row r="6750">
          <cell r="C6750" t="str">
            <v>4508 - BITS/BLADES</v>
          </cell>
          <cell r="D6750" t="str">
            <v>RB34126</v>
          </cell>
          <cell r="BA6750">
            <v>57.99</v>
          </cell>
        </row>
        <row r="6751">
          <cell r="C6751" t="str">
            <v>4508 - BITS/BLADES</v>
          </cell>
          <cell r="D6751" t="str">
            <v>RB40104</v>
          </cell>
          <cell r="BA6751">
            <v>37.99</v>
          </cell>
        </row>
        <row r="6752">
          <cell r="C6752" t="str">
            <v>4508 - BITS/BLADES</v>
          </cell>
          <cell r="D6752" t="str">
            <v>RB30106</v>
          </cell>
          <cell r="BA6752">
            <v>49.99</v>
          </cell>
        </row>
        <row r="6753">
          <cell r="C6753" t="str">
            <v>4508 - BITS/BLADES</v>
          </cell>
          <cell r="D6753" t="str">
            <v>RB42100</v>
          </cell>
          <cell r="BA6753">
            <v>27.99</v>
          </cell>
        </row>
        <row r="6754">
          <cell r="C6754" t="str">
            <v>4508 - BITS/BLADES</v>
          </cell>
          <cell r="D6754" t="str">
            <v>RB42104</v>
          </cell>
          <cell r="BA6754">
            <v>32.99</v>
          </cell>
        </row>
        <row r="6755">
          <cell r="C6755" t="str">
            <v>4508 - BITS/BLADES</v>
          </cell>
          <cell r="D6755" t="str">
            <v>RB42110</v>
          </cell>
          <cell r="BA6755">
            <v>39.99</v>
          </cell>
        </row>
        <row r="6756">
          <cell r="C6756" t="str">
            <v>4508 - BITS/BLADES</v>
          </cell>
          <cell r="D6756" t="str">
            <v>RB32100</v>
          </cell>
          <cell r="BA6756">
            <v>49.99</v>
          </cell>
        </row>
        <row r="6757">
          <cell r="C6757" t="str">
            <v>4508 - BITS/BLADES</v>
          </cell>
          <cell r="D6757" t="str">
            <v>RB34104</v>
          </cell>
          <cell r="BA6757">
            <v>47.99</v>
          </cell>
        </row>
        <row r="6758">
          <cell r="C6758" t="str">
            <v>4508 - BITS/BLADES</v>
          </cell>
          <cell r="D6758" t="str">
            <v>RB34108</v>
          </cell>
          <cell r="BA6758">
            <v>47.99</v>
          </cell>
        </row>
        <row r="6759">
          <cell r="C6759" t="str">
            <v>4508 - BITS/BLADES</v>
          </cell>
          <cell r="D6759" t="str">
            <v>RB34110</v>
          </cell>
          <cell r="BA6759">
            <v>44.99</v>
          </cell>
        </row>
        <row r="6760">
          <cell r="C6760" t="str">
            <v>4508 - BITS/BLADES</v>
          </cell>
          <cell r="D6760" t="str">
            <v>RB34114</v>
          </cell>
          <cell r="BA6760">
            <v>45.99</v>
          </cell>
        </row>
        <row r="6761">
          <cell r="C6761" t="str">
            <v>4508 - BITS/BLADES</v>
          </cell>
          <cell r="D6761" t="str">
            <v>RB34116</v>
          </cell>
          <cell r="BA6761">
            <v>49.99</v>
          </cell>
        </row>
        <row r="6762">
          <cell r="C6762" t="str">
            <v>4508 - BITS/BLADES</v>
          </cell>
          <cell r="D6762" t="str">
            <v>RB04100</v>
          </cell>
          <cell r="BA6762">
            <v>21.99</v>
          </cell>
        </row>
        <row r="6763">
          <cell r="C6763" t="str">
            <v>4508 - BITS/BLADES</v>
          </cell>
          <cell r="D6763" t="str">
            <v>RB04102</v>
          </cell>
          <cell r="BA6763">
            <v>22.99</v>
          </cell>
        </row>
        <row r="6764">
          <cell r="C6764" t="str">
            <v>4508 - BITS/BLADES</v>
          </cell>
          <cell r="D6764" t="str">
            <v>RB04108</v>
          </cell>
          <cell r="BA6764">
            <v>29.99</v>
          </cell>
        </row>
        <row r="6765">
          <cell r="C6765" t="str">
            <v>4508 - BITS/BLADES</v>
          </cell>
          <cell r="D6765" t="str">
            <v>RB04118</v>
          </cell>
          <cell r="BA6765">
            <v>24.99</v>
          </cell>
        </row>
        <row r="6766">
          <cell r="C6766" t="str">
            <v>4508 - BITS/BLADES</v>
          </cell>
          <cell r="D6766" t="str">
            <v>RB04124</v>
          </cell>
          <cell r="BA6766">
            <v>24.99</v>
          </cell>
        </row>
        <row r="6767">
          <cell r="C6767" t="str">
            <v>4508 - BITS/BLADES</v>
          </cell>
          <cell r="D6767" t="str">
            <v>RB04132</v>
          </cell>
          <cell r="BA6767">
            <v>29.99</v>
          </cell>
        </row>
        <row r="6768">
          <cell r="C6768" t="str">
            <v>4508 - BITS/BLADES</v>
          </cell>
          <cell r="D6768" t="str">
            <v>RB04140</v>
          </cell>
          <cell r="BA6768">
            <v>32.99</v>
          </cell>
        </row>
        <row r="6769">
          <cell r="C6769" t="str">
            <v>4508 - BITS/BLADES</v>
          </cell>
          <cell r="D6769" t="str">
            <v>RB12116</v>
          </cell>
          <cell r="BA6769">
            <v>27.99</v>
          </cell>
        </row>
        <row r="6770">
          <cell r="C6770" t="str">
            <v>4508 - BITS/BLADES</v>
          </cell>
          <cell r="D6770" t="str">
            <v>RB12136</v>
          </cell>
          <cell r="BA6770">
            <v>31.99</v>
          </cell>
        </row>
        <row r="6771">
          <cell r="C6771" t="str">
            <v>4508 - BITS/BLADES</v>
          </cell>
          <cell r="D6771" t="str">
            <v>RB18106</v>
          </cell>
          <cell r="BA6771">
            <v>34.99</v>
          </cell>
        </row>
        <row r="6772">
          <cell r="C6772" t="str">
            <v>4508 - BITS/BLADES</v>
          </cell>
          <cell r="D6772" t="str">
            <v>RB22104</v>
          </cell>
          <cell r="BA6772">
            <v>22.99</v>
          </cell>
        </row>
        <row r="6773">
          <cell r="C6773" t="str">
            <v>4508 - BITS/BLADES</v>
          </cell>
          <cell r="D6773" t="str">
            <v>RB26100</v>
          </cell>
          <cell r="BA6773">
            <v>16.989999999999998</v>
          </cell>
        </row>
        <row r="6774">
          <cell r="C6774" t="str">
            <v>4508 - BITS/BLADES</v>
          </cell>
          <cell r="D6774" t="str">
            <v>RB28100</v>
          </cell>
          <cell r="BA6774">
            <v>39.99</v>
          </cell>
        </row>
        <row r="6775">
          <cell r="C6775" t="str">
            <v>4508 - BITS/BLADES</v>
          </cell>
          <cell r="D6775" t="str">
            <v>RB38100</v>
          </cell>
          <cell r="BA6775">
            <v>52.99</v>
          </cell>
        </row>
        <row r="6776">
          <cell r="C6776" t="str">
            <v>4508 - BITS/BLADES</v>
          </cell>
          <cell r="D6776" t="str">
            <v>RB38352</v>
          </cell>
          <cell r="BA6776">
            <v>59.99</v>
          </cell>
        </row>
        <row r="6777">
          <cell r="C6777" t="str">
            <v>4508 - BITS/BLADES</v>
          </cell>
          <cell r="D6777" t="str">
            <v>RB50102</v>
          </cell>
          <cell r="BA6777">
            <v>29.99</v>
          </cell>
        </row>
        <row r="6778">
          <cell r="C6778" t="str">
            <v>4508 - BITS/BLADES</v>
          </cell>
          <cell r="D6778" t="str">
            <v>RB56112</v>
          </cell>
          <cell r="BA6778">
            <v>25.99</v>
          </cell>
        </row>
        <row r="6779">
          <cell r="C6779" t="str">
            <v>4508 - BITS/BLADES</v>
          </cell>
          <cell r="D6779" t="str">
            <v>RB60100</v>
          </cell>
          <cell r="BA6779">
            <v>11.99</v>
          </cell>
        </row>
        <row r="6780">
          <cell r="C6780" t="str">
            <v>4508 - BITS/BLADES</v>
          </cell>
          <cell r="D6780" t="str">
            <v>FR04-129</v>
          </cell>
          <cell r="BA6780">
            <v>25.99</v>
          </cell>
        </row>
        <row r="6781">
          <cell r="C6781" t="str">
            <v>4508 - BITS/BLADES</v>
          </cell>
          <cell r="D6781" t="str">
            <v>FR12-158</v>
          </cell>
          <cell r="BA6781">
            <v>39.99</v>
          </cell>
        </row>
        <row r="6782">
          <cell r="C6782" t="str">
            <v>4508 - BITS/BLADES</v>
          </cell>
          <cell r="D6782" t="str">
            <v>FR16-100</v>
          </cell>
          <cell r="BA6782">
            <v>29.99</v>
          </cell>
        </row>
        <row r="6783">
          <cell r="C6783" t="str">
            <v>4508 - BITS/BLADES</v>
          </cell>
          <cell r="D6783" t="str">
            <v>FR16-104</v>
          </cell>
          <cell r="BA6783">
            <v>34.99</v>
          </cell>
        </row>
        <row r="6784">
          <cell r="C6784" t="str">
            <v>4508 - BITS/BLADES</v>
          </cell>
          <cell r="D6784" t="str">
            <v>TRGRB</v>
          </cell>
          <cell r="BA6784">
            <v>58.99</v>
          </cell>
        </row>
        <row r="6785">
          <cell r="C6785" t="str">
            <v>4508 - BITS/BLADES</v>
          </cell>
          <cell r="D6785" t="str">
            <v>MIL48-32-4444</v>
          </cell>
          <cell r="BA6785">
            <v>4.59</v>
          </cell>
        </row>
        <row r="6786">
          <cell r="C6786" t="str">
            <v>4508 - BITS/BLADES</v>
          </cell>
          <cell r="D6786" t="str">
            <v>MIL48-32-4411</v>
          </cell>
          <cell r="BA6786">
            <v>3.99</v>
          </cell>
        </row>
        <row r="6787">
          <cell r="C6787" t="str">
            <v>4508 - BITS/BLADES</v>
          </cell>
          <cell r="D6787" t="str">
            <v>MIL48-32-4412</v>
          </cell>
          <cell r="BA6787">
            <v>3.99</v>
          </cell>
        </row>
        <row r="6788">
          <cell r="C6788" t="str">
            <v>4508 - BITS/BLADES</v>
          </cell>
          <cell r="D6788" t="str">
            <v>MIL48-32-4421</v>
          </cell>
          <cell r="BA6788">
            <v>3.49</v>
          </cell>
        </row>
        <row r="6789">
          <cell r="C6789" t="str">
            <v>4508 - BITS/BLADES</v>
          </cell>
          <cell r="D6789" t="str">
            <v>MIL48-32-4422</v>
          </cell>
          <cell r="BA6789">
            <v>3.49</v>
          </cell>
        </row>
        <row r="6790">
          <cell r="C6790" t="str">
            <v>4508 - BITS/BLADES</v>
          </cell>
          <cell r="D6790" t="str">
            <v>MIL48-32-4601</v>
          </cell>
          <cell r="BA6790">
            <v>7.59</v>
          </cell>
        </row>
        <row r="6791">
          <cell r="C6791" t="str">
            <v>4508 - BITS/BLADES</v>
          </cell>
          <cell r="D6791" t="str">
            <v>MIL48-32-4605</v>
          </cell>
          <cell r="BA6791">
            <v>7.99</v>
          </cell>
        </row>
        <row r="6792">
          <cell r="C6792" t="str">
            <v>4508 - BITS/BLADES</v>
          </cell>
          <cell r="D6792" t="str">
            <v>MIL48-32-4615</v>
          </cell>
          <cell r="BA6792">
            <v>10.99</v>
          </cell>
        </row>
        <row r="6793">
          <cell r="C6793" t="str">
            <v>4508 - BITS/BLADES</v>
          </cell>
          <cell r="D6793" t="str">
            <v>MIL48-32-4436</v>
          </cell>
          <cell r="BA6793">
            <v>3.99</v>
          </cell>
        </row>
        <row r="6794">
          <cell r="C6794" t="str">
            <v>4508 - BITS/BLADES</v>
          </cell>
          <cell r="D6794" t="str">
            <v>EA0143</v>
          </cell>
          <cell r="BA6794">
            <v>5.59</v>
          </cell>
        </row>
        <row r="6795">
          <cell r="C6795" t="str">
            <v>4508 - BITS/BLADES</v>
          </cell>
          <cell r="D6795" t="str">
            <v>FRDIB1050</v>
          </cell>
          <cell r="BA6795">
            <v>11.99</v>
          </cell>
        </row>
        <row r="6796">
          <cell r="C6796" t="str">
            <v>4508 - BITS/BLADES</v>
          </cell>
          <cell r="D6796" t="str">
            <v>FRDIB1060</v>
          </cell>
          <cell r="BA6796">
            <v>13.99</v>
          </cell>
        </row>
        <row r="6797">
          <cell r="C6797" t="str">
            <v>4508 - BITS/BLADES</v>
          </cell>
          <cell r="D6797" t="str">
            <v>FRDIB1070</v>
          </cell>
          <cell r="BA6797">
            <v>14.99</v>
          </cell>
        </row>
        <row r="6798">
          <cell r="C6798" t="str">
            <v>4508 - BITS/BLADES</v>
          </cell>
          <cell r="D6798" t="str">
            <v>FRDIB1080</v>
          </cell>
          <cell r="BA6798">
            <v>14.99</v>
          </cell>
        </row>
        <row r="6799">
          <cell r="C6799" t="str">
            <v>4508 - BITS/BLADES</v>
          </cell>
          <cell r="D6799" t="str">
            <v>FRDXT1010</v>
          </cell>
          <cell r="BA6799">
            <v>9.99</v>
          </cell>
        </row>
        <row r="6800">
          <cell r="C6800" t="str">
            <v>4508 - BITS/BLADES</v>
          </cell>
          <cell r="D6800" t="str">
            <v>FRDXT1020</v>
          </cell>
          <cell r="BA6800">
            <v>12.99</v>
          </cell>
        </row>
        <row r="6801">
          <cell r="C6801" t="str">
            <v>4508 - BITS/BLADES</v>
          </cell>
          <cell r="D6801" t="str">
            <v>IRWIWAX128PC</v>
          </cell>
          <cell r="BA6801">
            <v>27.99</v>
          </cell>
        </row>
        <row r="6802">
          <cell r="C6802" t="str">
            <v>4508 - BITS/BLADES</v>
          </cell>
          <cell r="D6802" t="str">
            <v>FRDSP1910-S3</v>
          </cell>
          <cell r="BA6802">
            <v>9.99</v>
          </cell>
        </row>
        <row r="6803">
          <cell r="C6803" t="str">
            <v>4508 - BITS/BLADES</v>
          </cell>
          <cell r="D6803" t="str">
            <v>FRDSP2010</v>
          </cell>
          <cell r="BA6803">
            <v>4.59</v>
          </cell>
        </row>
        <row r="6804">
          <cell r="C6804" t="str">
            <v>4508 - BITS/BLADES</v>
          </cell>
          <cell r="D6804" t="str">
            <v>FRDSP2020</v>
          </cell>
          <cell r="BA6804">
            <v>4.99</v>
          </cell>
        </row>
        <row r="6805">
          <cell r="C6805" t="str">
            <v>4508 - BITS/BLADES</v>
          </cell>
          <cell r="D6805" t="str">
            <v>FRDSP2030</v>
          </cell>
          <cell r="BA6805">
            <v>4.99</v>
          </cell>
        </row>
        <row r="6806">
          <cell r="C6806" t="str">
            <v>4508 - BITS/BLADES</v>
          </cell>
          <cell r="D6806" t="str">
            <v>FRDSP2040</v>
          </cell>
          <cell r="BA6806">
            <v>4.99</v>
          </cell>
        </row>
        <row r="6807">
          <cell r="C6807" t="str">
            <v>4508 - BITS/BLADES</v>
          </cell>
          <cell r="D6807" t="str">
            <v>FRDSP2050</v>
          </cell>
          <cell r="BA6807">
            <v>5.39</v>
          </cell>
        </row>
        <row r="6808">
          <cell r="C6808" t="str">
            <v>4508 - BITS/BLADES</v>
          </cell>
          <cell r="D6808" t="str">
            <v>FRDSP2050-P2</v>
          </cell>
          <cell r="BA6808">
            <v>8.99</v>
          </cell>
        </row>
        <row r="6809">
          <cell r="C6809" t="str">
            <v>4508 - BITS/BLADES</v>
          </cell>
          <cell r="D6809" t="str">
            <v>FRDSP2060</v>
          </cell>
          <cell r="BA6809">
            <v>4.99</v>
          </cell>
        </row>
        <row r="6810">
          <cell r="C6810" t="str">
            <v>4508 - BITS/BLADES</v>
          </cell>
          <cell r="D6810" t="str">
            <v>FRDSP2070</v>
          </cell>
          <cell r="BA6810">
            <v>5.69</v>
          </cell>
        </row>
        <row r="6811">
          <cell r="C6811" t="str">
            <v>4508 - BITS/BLADES</v>
          </cell>
          <cell r="D6811" t="str">
            <v>FRDSP2070-P2</v>
          </cell>
          <cell r="BA6811">
            <v>9.99</v>
          </cell>
        </row>
        <row r="6812">
          <cell r="C6812" t="str">
            <v>4508 - BITS/BLADES</v>
          </cell>
          <cell r="D6812" t="str">
            <v>FRDSP2080</v>
          </cell>
          <cell r="BA6812">
            <v>5.99</v>
          </cell>
        </row>
        <row r="6813">
          <cell r="C6813" t="str">
            <v>4508 - BITS/BLADES</v>
          </cell>
          <cell r="D6813" t="str">
            <v>FRDSP2090</v>
          </cell>
          <cell r="BA6813">
            <v>5.99</v>
          </cell>
        </row>
        <row r="6814">
          <cell r="C6814" t="str">
            <v>4508 - BITS/BLADES</v>
          </cell>
          <cell r="D6814" t="str">
            <v>FRDSP2090-P2</v>
          </cell>
          <cell r="BA6814">
            <v>9.99</v>
          </cell>
        </row>
        <row r="6815">
          <cell r="C6815" t="str">
            <v>4508 - BITS/BLADES</v>
          </cell>
          <cell r="D6815" t="str">
            <v>FRDSP2100</v>
          </cell>
          <cell r="BA6815">
            <v>5.99</v>
          </cell>
        </row>
        <row r="6816">
          <cell r="C6816" t="str">
            <v>4508 - BITS/BLADES</v>
          </cell>
          <cell r="D6816" t="str">
            <v>FRDSP2110</v>
          </cell>
          <cell r="BA6816">
            <v>5.99</v>
          </cell>
        </row>
        <row r="6817">
          <cell r="C6817" t="str">
            <v>4508 - BITS/BLADES</v>
          </cell>
          <cell r="D6817" t="str">
            <v>FRDSP2110-P2</v>
          </cell>
          <cell r="BA6817">
            <v>9.99</v>
          </cell>
        </row>
        <row r="6818">
          <cell r="C6818" t="str">
            <v>4508 - BITS/BLADES</v>
          </cell>
          <cell r="D6818" t="str">
            <v>FRDSP2120</v>
          </cell>
          <cell r="BA6818">
            <v>5.99</v>
          </cell>
        </row>
        <row r="6819">
          <cell r="C6819" t="str">
            <v>4508 - BITS/BLADES</v>
          </cell>
          <cell r="D6819" t="str">
            <v>FRDSP2130</v>
          </cell>
          <cell r="BA6819">
            <v>6.99</v>
          </cell>
        </row>
        <row r="6820">
          <cell r="C6820" t="str">
            <v>4508 - BITS/BLADES</v>
          </cell>
          <cell r="D6820" t="str">
            <v>FRDSP2130-P2</v>
          </cell>
          <cell r="BA6820">
            <v>10.99</v>
          </cell>
        </row>
        <row r="6821">
          <cell r="C6821" t="str">
            <v>4508 - BITS/BLADES</v>
          </cell>
          <cell r="D6821" t="str">
            <v>FRDSP2140</v>
          </cell>
          <cell r="BA6821">
            <v>6.99</v>
          </cell>
        </row>
        <row r="6822">
          <cell r="C6822" t="str">
            <v>4508 - BITS/BLADES</v>
          </cell>
          <cell r="D6822" t="str">
            <v>FRDSP2150</v>
          </cell>
          <cell r="BA6822">
            <v>6.99</v>
          </cell>
        </row>
        <row r="6823">
          <cell r="C6823" t="str">
            <v>4508 - BITS/BLADES</v>
          </cell>
          <cell r="D6823" t="str">
            <v>FRDSP2150-P2</v>
          </cell>
          <cell r="BA6823">
            <v>11.99</v>
          </cell>
        </row>
        <row r="6824">
          <cell r="C6824" t="str">
            <v>4508 - BITS/BLADES</v>
          </cell>
          <cell r="D6824" t="str">
            <v>FRDSP2160</v>
          </cell>
          <cell r="BA6824">
            <v>7.99</v>
          </cell>
        </row>
        <row r="6825">
          <cell r="C6825" t="str">
            <v>4508 - BITS/BLADES</v>
          </cell>
          <cell r="D6825" t="str">
            <v>FRDSP2170</v>
          </cell>
          <cell r="BA6825">
            <v>7.99</v>
          </cell>
        </row>
        <row r="6826">
          <cell r="C6826" t="str">
            <v>4508 - BITS/BLADES</v>
          </cell>
          <cell r="D6826" t="str">
            <v>FRDSPD4020</v>
          </cell>
          <cell r="BA6826">
            <v>11.99</v>
          </cell>
        </row>
        <row r="6827">
          <cell r="C6827" t="str">
            <v>4508 - BITS/BLADES</v>
          </cell>
          <cell r="D6827" t="str">
            <v>FRDSPD4030</v>
          </cell>
          <cell r="BA6827">
            <v>12.99</v>
          </cell>
        </row>
        <row r="6828">
          <cell r="C6828" t="str">
            <v>4508 - BITS/BLADES</v>
          </cell>
          <cell r="D6828" t="str">
            <v>FRDSPD4040</v>
          </cell>
          <cell r="BA6828">
            <v>12.99</v>
          </cell>
        </row>
        <row r="6829">
          <cell r="C6829" t="str">
            <v>4508 - BITS/BLADES</v>
          </cell>
          <cell r="D6829" t="str">
            <v>FRDSPD4050</v>
          </cell>
          <cell r="BA6829">
            <v>12.99</v>
          </cell>
        </row>
        <row r="6830">
          <cell r="C6830" t="str">
            <v>4508 - BITS/BLADES</v>
          </cell>
          <cell r="D6830" t="str">
            <v>FRDSPD4060</v>
          </cell>
          <cell r="BA6830">
            <v>13.99</v>
          </cell>
        </row>
        <row r="6831">
          <cell r="C6831" t="str">
            <v>4508 - BITS/BLADES</v>
          </cell>
          <cell r="D6831" t="str">
            <v>FRDSPD4070</v>
          </cell>
          <cell r="BA6831">
            <v>14.99</v>
          </cell>
        </row>
        <row r="6832">
          <cell r="C6832" t="str">
            <v>4508 - BITS/BLADES</v>
          </cell>
          <cell r="D6832" t="str">
            <v>FRDSPD4910-S3</v>
          </cell>
          <cell r="BA6832">
            <v>22.99</v>
          </cell>
        </row>
        <row r="6833">
          <cell r="C6833" t="str">
            <v>4508 - BITS/BLADES</v>
          </cell>
          <cell r="D6833" t="str">
            <v>FRDSPD4920-S6</v>
          </cell>
          <cell r="BA6833">
            <v>42.99</v>
          </cell>
        </row>
        <row r="6834">
          <cell r="C6834" t="str">
            <v>4508 - BITS/BLADES</v>
          </cell>
          <cell r="D6834" t="str">
            <v>FRDSPD4010</v>
          </cell>
          <cell r="BA6834">
            <v>10.99</v>
          </cell>
        </row>
        <row r="6835">
          <cell r="C6835" t="str">
            <v>4508 - BITS/BLADES</v>
          </cell>
          <cell r="D6835" t="str">
            <v>FRDSP2920-S6</v>
          </cell>
          <cell r="BA6835">
            <v>12.99</v>
          </cell>
        </row>
        <row r="6836">
          <cell r="C6836" t="str">
            <v>4508 - BITS/BLADES</v>
          </cell>
          <cell r="D6836" t="str">
            <v>FRDSP2930-S9</v>
          </cell>
          <cell r="BA6836">
            <v>15.99</v>
          </cell>
        </row>
        <row r="6837">
          <cell r="C6837" t="str">
            <v>4508 - BITS/BLADES</v>
          </cell>
          <cell r="D6837" t="str">
            <v>FRDSP2950-S12</v>
          </cell>
          <cell r="BA6837">
            <v>24.99</v>
          </cell>
        </row>
        <row r="6838">
          <cell r="C6838" t="str">
            <v>4508 - BITS/BLADES</v>
          </cell>
          <cell r="D6838" t="str">
            <v>FRDSP2980-S16</v>
          </cell>
          <cell r="BA6838">
            <v>27.99</v>
          </cell>
        </row>
        <row r="6839">
          <cell r="C6839" t="str">
            <v>4508 - BITS/BLADES</v>
          </cell>
          <cell r="D6839" t="str">
            <v>FRDSP3010</v>
          </cell>
          <cell r="BA6839">
            <v>10.99</v>
          </cell>
        </row>
        <row r="6840">
          <cell r="C6840" t="str">
            <v>4508 - BITS/BLADES</v>
          </cell>
          <cell r="D6840" t="str">
            <v>FRDSP3020</v>
          </cell>
          <cell r="BA6840">
            <v>10.99</v>
          </cell>
        </row>
        <row r="6841">
          <cell r="C6841" t="str">
            <v>4508 - BITS/BLADES</v>
          </cell>
          <cell r="D6841" t="str">
            <v>FRDSP3030</v>
          </cell>
          <cell r="BA6841">
            <v>10.99</v>
          </cell>
        </row>
        <row r="6842">
          <cell r="C6842" t="str">
            <v>4508 - BITS/BLADES</v>
          </cell>
          <cell r="D6842" t="str">
            <v>FRDSP3040</v>
          </cell>
          <cell r="BA6842">
            <v>10.99</v>
          </cell>
        </row>
        <row r="6843">
          <cell r="C6843" t="str">
            <v>4508 - BITS/BLADES</v>
          </cell>
          <cell r="D6843" t="str">
            <v>FRDSP3050</v>
          </cell>
          <cell r="BA6843">
            <v>11.99</v>
          </cell>
        </row>
        <row r="6844">
          <cell r="C6844" t="str">
            <v>4508 - BITS/BLADES</v>
          </cell>
          <cell r="D6844" t="str">
            <v>FRDSP3060</v>
          </cell>
          <cell r="BA6844">
            <v>11.99</v>
          </cell>
        </row>
        <row r="6845">
          <cell r="C6845" t="str">
            <v>4508 - BITS/BLADES</v>
          </cell>
          <cell r="D6845" t="str">
            <v>FRDSP1010</v>
          </cell>
          <cell r="BA6845">
            <v>4.79</v>
          </cell>
        </row>
        <row r="6846">
          <cell r="C6846" t="str">
            <v>4508 - BITS/BLADES</v>
          </cell>
          <cell r="D6846" t="str">
            <v>FRDSP1020</v>
          </cell>
          <cell r="BA6846">
            <v>4.79</v>
          </cell>
        </row>
        <row r="6847">
          <cell r="C6847" t="str">
            <v>4508 - BITS/BLADES</v>
          </cell>
          <cell r="D6847" t="str">
            <v>FRDSP1030</v>
          </cell>
          <cell r="BA6847">
            <v>4.79</v>
          </cell>
        </row>
        <row r="6848">
          <cell r="C6848" t="str">
            <v>4508 - BITS/BLADES</v>
          </cell>
          <cell r="D6848" t="str">
            <v>FRDSP1040</v>
          </cell>
          <cell r="BA6848">
            <v>4.79</v>
          </cell>
        </row>
        <row r="6849">
          <cell r="C6849" t="str">
            <v>4508 - BITS/BLADES</v>
          </cell>
          <cell r="D6849" t="str">
            <v>FRDSP1050</v>
          </cell>
          <cell r="BA6849">
            <v>4.99</v>
          </cell>
        </row>
        <row r="6850">
          <cell r="C6850" t="str">
            <v>4508 - BITS/BLADES</v>
          </cell>
          <cell r="D6850" t="str">
            <v>FRDSP1060</v>
          </cell>
          <cell r="BA6850">
            <v>4.99</v>
          </cell>
        </row>
        <row r="6851">
          <cell r="C6851" t="str">
            <v>4508 - BITS/BLADES</v>
          </cell>
          <cell r="D6851" t="str">
            <v>FRDSP1070</v>
          </cell>
          <cell r="BA6851">
            <v>4.99</v>
          </cell>
        </row>
        <row r="6852">
          <cell r="C6852" t="str">
            <v>4508 - BITS/BLADES</v>
          </cell>
          <cell r="D6852" t="str">
            <v>FRDSP1080</v>
          </cell>
          <cell r="BA6852">
            <v>5.69</v>
          </cell>
        </row>
        <row r="6853">
          <cell r="C6853" t="str">
            <v>4508 - BITS/BLADES</v>
          </cell>
          <cell r="D6853" t="str">
            <v>FRDSP1090</v>
          </cell>
          <cell r="BA6853">
            <v>5.69</v>
          </cell>
        </row>
        <row r="6854">
          <cell r="C6854" t="str">
            <v>4508 - BITS/BLADES</v>
          </cell>
          <cell r="D6854" t="str">
            <v>FRDSP2170-P2</v>
          </cell>
          <cell r="BA6854">
            <v>12.99</v>
          </cell>
        </row>
        <row r="6855">
          <cell r="C6855" t="str">
            <v>4508 - BITS/BLADES</v>
          </cell>
          <cell r="D6855" t="str">
            <v>MIL48-27-0501</v>
          </cell>
          <cell r="BA6855">
            <v>6.99</v>
          </cell>
        </row>
        <row r="6856">
          <cell r="C6856" t="str">
            <v>4508 - BITS/BLADES</v>
          </cell>
          <cell r="D6856" t="str">
            <v>MIL48-27-0621</v>
          </cell>
          <cell r="BA6856">
            <v>7.99</v>
          </cell>
        </row>
        <row r="6857">
          <cell r="C6857" t="str">
            <v>4508 - BITS/BLADES</v>
          </cell>
          <cell r="D6857" t="str">
            <v>MIL48-27-0751</v>
          </cell>
          <cell r="BA6857">
            <v>7.99</v>
          </cell>
        </row>
        <row r="6858">
          <cell r="C6858" t="str">
            <v>4508 - BITS/BLADES</v>
          </cell>
          <cell r="D6858" t="str">
            <v>MIL48-27-1001</v>
          </cell>
          <cell r="BA6858">
            <v>8.69</v>
          </cell>
        </row>
        <row r="6859">
          <cell r="C6859" t="str">
            <v>4508 - BITS/BLADES</v>
          </cell>
          <cell r="D6859" t="str">
            <v>MIL48-27-1251</v>
          </cell>
          <cell r="BA6859">
            <v>10.99</v>
          </cell>
        </row>
        <row r="6860">
          <cell r="C6860" t="str">
            <v>4508 - BITS/BLADES</v>
          </cell>
          <cell r="D6860" t="str">
            <v>MIL48-27-1501</v>
          </cell>
          <cell r="BA6860">
            <v>11.99</v>
          </cell>
        </row>
        <row r="6861">
          <cell r="C6861" t="str">
            <v>4508 - BITS/BLADES</v>
          </cell>
          <cell r="D6861" t="str">
            <v>DW1608</v>
          </cell>
          <cell r="BA6861">
            <v>15.99</v>
          </cell>
        </row>
        <row r="6862">
          <cell r="C6862" t="str">
            <v>4508 - BITS/BLADES</v>
          </cell>
          <cell r="D6862" t="str">
            <v>DW1610</v>
          </cell>
          <cell r="BA6862">
            <v>17.989999999999998</v>
          </cell>
        </row>
        <row r="6863">
          <cell r="C6863" t="str">
            <v>4508 - BITS/BLADES</v>
          </cell>
          <cell r="D6863" t="str">
            <v>DW1614</v>
          </cell>
          <cell r="BA6863">
            <v>21.99</v>
          </cell>
        </row>
        <row r="6864">
          <cell r="C6864" t="str">
            <v>4508 - BITS/BLADES</v>
          </cell>
          <cell r="D6864" t="str">
            <v>DW1620</v>
          </cell>
          <cell r="BA6864">
            <v>19.989999999999998</v>
          </cell>
        </row>
        <row r="6865">
          <cell r="C6865" t="str">
            <v>4508 - BITS/BLADES</v>
          </cell>
          <cell r="D6865" t="str">
            <v>DW1908</v>
          </cell>
          <cell r="BA6865">
            <v>6.99</v>
          </cell>
        </row>
        <row r="6866">
          <cell r="C6866" t="str">
            <v>4508 - BITS/BLADES</v>
          </cell>
          <cell r="D6866" t="str">
            <v>IRW60507</v>
          </cell>
          <cell r="BA6866">
            <v>3.99</v>
          </cell>
        </row>
        <row r="6867">
          <cell r="C6867" t="str">
            <v>4508 - BITS/BLADES</v>
          </cell>
          <cell r="D6867" t="str">
            <v>IRW60508</v>
          </cell>
          <cell r="BA6867">
            <v>3.99</v>
          </cell>
        </row>
        <row r="6868">
          <cell r="C6868" t="str">
            <v>4508 - BITS/BLADES</v>
          </cell>
          <cell r="D6868" t="str">
            <v>IRW60510</v>
          </cell>
          <cell r="BA6868">
            <v>3.79</v>
          </cell>
        </row>
        <row r="6869">
          <cell r="C6869" t="str">
            <v>4508 - BITS/BLADES</v>
          </cell>
          <cell r="D6869" t="str">
            <v>IRW60512</v>
          </cell>
          <cell r="BA6869">
            <v>4.59</v>
          </cell>
        </row>
        <row r="6870">
          <cell r="C6870" t="str">
            <v>4508 - BITS/BLADES</v>
          </cell>
          <cell r="D6870" t="str">
            <v>IRW60516</v>
          </cell>
          <cell r="BA6870">
            <v>5.99</v>
          </cell>
        </row>
        <row r="6871">
          <cell r="C6871" t="str">
            <v>4508 - BITS/BLADES</v>
          </cell>
          <cell r="D6871" t="str">
            <v>DW5222</v>
          </cell>
          <cell r="BA6871">
            <v>3.99</v>
          </cell>
        </row>
        <row r="6872">
          <cell r="C6872" t="str">
            <v>4508 - BITS/BLADES</v>
          </cell>
          <cell r="D6872" t="str">
            <v>DW5224</v>
          </cell>
          <cell r="BA6872">
            <v>3.49</v>
          </cell>
        </row>
        <row r="6873">
          <cell r="C6873" t="str">
            <v>4508 - BITS/BLADES</v>
          </cell>
          <cell r="D6873" t="str">
            <v>DW5225</v>
          </cell>
          <cell r="BA6873">
            <v>3.99</v>
          </cell>
        </row>
        <row r="6874">
          <cell r="C6874" t="str">
            <v>4508 - BITS/BLADES</v>
          </cell>
          <cell r="D6874" t="str">
            <v>DW5230</v>
          </cell>
          <cell r="BA6874">
            <v>6.49</v>
          </cell>
        </row>
        <row r="6875">
          <cell r="C6875" t="str">
            <v>4508 - BITS/BLADES</v>
          </cell>
          <cell r="D6875" t="str">
            <v>DW5235</v>
          </cell>
          <cell r="BA6875">
            <v>8.99</v>
          </cell>
        </row>
        <row r="6876">
          <cell r="C6876" t="str">
            <v>4508 - BITS/BLADES</v>
          </cell>
          <cell r="D6876" t="str">
            <v>DW5417</v>
          </cell>
          <cell r="BA6876">
            <v>6.99</v>
          </cell>
        </row>
        <row r="6877">
          <cell r="C6877" t="str">
            <v>4508 - BITS/BLADES</v>
          </cell>
          <cell r="D6877" t="str">
            <v>DW5427</v>
          </cell>
          <cell r="BA6877">
            <v>8.69</v>
          </cell>
        </row>
        <row r="6878">
          <cell r="C6878" t="str">
            <v>4508 - BITS/BLADES</v>
          </cell>
          <cell r="D6878" t="str">
            <v>DW5403</v>
          </cell>
          <cell r="BA6878">
            <v>6.49</v>
          </cell>
        </row>
        <row r="6879">
          <cell r="C6879" t="str">
            <v>4508 - BITS/BLADES</v>
          </cell>
          <cell r="D6879" t="str">
            <v>DW5430</v>
          </cell>
          <cell r="BA6879">
            <v>15.99</v>
          </cell>
        </row>
        <row r="6880">
          <cell r="C6880" t="str">
            <v>4508 - BITS/BLADES</v>
          </cell>
          <cell r="D6880" t="str">
            <v>DW5437</v>
          </cell>
          <cell r="BA6880">
            <v>9.99</v>
          </cell>
        </row>
        <row r="6881">
          <cell r="C6881" t="str">
            <v>4508 - BITS/BLADES</v>
          </cell>
          <cell r="D6881" t="str">
            <v>DW5439</v>
          </cell>
          <cell r="BA6881">
            <v>16.989999999999998</v>
          </cell>
        </row>
        <row r="6882">
          <cell r="C6882" t="str">
            <v>4508 - BITS/BLADES</v>
          </cell>
          <cell r="D6882" t="str">
            <v>DW5447</v>
          </cell>
          <cell r="BA6882">
            <v>24.99</v>
          </cell>
        </row>
        <row r="6883">
          <cell r="C6883" t="str">
            <v>4508 - BITS/BLADES</v>
          </cell>
          <cell r="D6883" t="str">
            <v>IRW322002</v>
          </cell>
          <cell r="BA6883">
            <v>8.99</v>
          </cell>
        </row>
        <row r="6884">
          <cell r="C6884" t="str">
            <v>4508 - BITS/BLADES</v>
          </cell>
          <cell r="D6884" t="str">
            <v>IRW322017</v>
          </cell>
          <cell r="BA6884">
            <v>8.99</v>
          </cell>
        </row>
        <row r="6885">
          <cell r="C6885" t="str">
            <v>4508 - BITS/BLADES</v>
          </cell>
          <cell r="D6885" t="str">
            <v>IRW322024</v>
          </cell>
          <cell r="BA6885">
            <v>10.99</v>
          </cell>
        </row>
        <row r="6886">
          <cell r="C6886" t="str">
            <v>4508 - BITS/BLADES</v>
          </cell>
          <cell r="D6886" t="str">
            <v>IRW322026</v>
          </cell>
          <cell r="BA6886">
            <v>21.99</v>
          </cell>
        </row>
        <row r="6887">
          <cell r="C6887" t="str">
            <v>4508 - BITS/BLADES</v>
          </cell>
          <cell r="D6887" t="str">
            <v>IRW322031</v>
          </cell>
          <cell r="BA6887">
            <v>12.99</v>
          </cell>
        </row>
        <row r="6888">
          <cell r="C6888" t="str">
            <v>4508 - BITS/BLADES</v>
          </cell>
          <cell r="D6888" t="str">
            <v>IRW322033</v>
          </cell>
          <cell r="BA6888">
            <v>24.99</v>
          </cell>
        </row>
        <row r="6889">
          <cell r="C6889" t="str">
            <v>4508 - BITS/BLADES</v>
          </cell>
          <cell r="D6889" t="str">
            <v>IRW322041</v>
          </cell>
          <cell r="BA6889">
            <v>22.99</v>
          </cell>
        </row>
        <row r="6890">
          <cell r="C6890" t="str">
            <v>4508 - BITS/BLADES</v>
          </cell>
          <cell r="D6890" t="str">
            <v>IRW322043</v>
          </cell>
          <cell r="BA6890">
            <v>27.99</v>
          </cell>
        </row>
        <row r="6891">
          <cell r="C6891" t="str">
            <v>4508 - BITS/BLADES</v>
          </cell>
          <cell r="D6891" t="str">
            <v>IRW322047</v>
          </cell>
          <cell r="BA6891">
            <v>34.99</v>
          </cell>
        </row>
        <row r="6892">
          <cell r="C6892" t="str">
            <v>4508 - BITS/BLADES</v>
          </cell>
          <cell r="D6892" t="str">
            <v>IRW326001</v>
          </cell>
          <cell r="BA6892">
            <v>6.99</v>
          </cell>
        </row>
        <row r="6893">
          <cell r="C6893" t="str">
            <v>4508 - BITS/BLADES</v>
          </cell>
          <cell r="D6893" t="str">
            <v>IRW326003</v>
          </cell>
          <cell r="BA6893">
            <v>6.99</v>
          </cell>
        </row>
        <row r="6894">
          <cell r="C6894" t="str">
            <v>4508 - BITS/BLADES</v>
          </cell>
          <cell r="D6894" t="str">
            <v>IRW326015</v>
          </cell>
          <cell r="BA6894">
            <v>12.99</v>
          </cell>
        </row>
        <row r="6895">
          <cell r="C6895" t="str">
            <v>4508 - BITS/BLADES</v>
          </cell>
          <cell r="D6895" t="str">
            <v>IRW326016</v>
          </cell>
          <cell r="BA6895">
            <v>19.989999999999998</v>
          </cell>
        </row>
        <row r="6896">
          <cell r="C6896" t="str">
            <v>4508 - BITS/BLADES</v>
          </cell>
          <cell r="D6896" t="str">
            <v>IRW326020</v>
          </cell>
          <cell r="BA6896">
            <v>19.989999999999998</v>
          </cell>
        </row>
        <row r="6897">
          <cell r="C6897" t="str">
            <v>4508 - BITS/BLADES</v>
          </cell>
          <cell r="D6897" t="str">
            <v>IRW5026000</v>
          </cell>
          <cell r="BA6897">
            <v>3.79</v>
          </cell>
        </row>
        <row r="6898">
          <cell r="C6898" t="str">
            <v>4508 - BITS/BLADES</v>
          </cell>
          <cell r="D6898" t="str">
            <v>IRW5026001</v>
          </cell>
          <cell r="BA6898">
            <v>3.79</v>
          </cell>
        </row>
        <row r="6899">
          <cell r="C6899" t="str">
            <v>4508 - BITS/BLADES</v>
          </cell>
          <cell r="D6899" t="str">
            <v>IRW5026002</v>
          </cell>
          <cell r="BA6899">
            <v>3.99</v>
          </cell>
        </row>
        <row r="6900">
          <cell r="C6900" t="str">
            <v>4508 - BITS/BLADES</v>
          </cell>
          <cell r="D6900" t="str">
            <v>IRW5026003</v>
          </cell>
          <cell r="BA6900">
            <v>4.29</v>
          </cell>
        </row>
        <row r="6901">
          <cell r="C6901" t="str">
            <v>4508 - BITS/BLADES</v>
          </cell>
          <cell r="D6901" t="str">
            <v>IRW5026006</v>
          </cell>
          <cell r="BA6901">
            <v>5.69</v>
          </cell>
        </row>
        <row r="6902">
          <cell r="C6902" t="str">
            <v>4508 - BITS/BLADES</v>
          </cell>
          <cell r="D6902" t="str">
            <v>IRW5026009</v>
          </cell>
          <cell r="BA6902">
            <v>7.99</v>
          </cell>
        </row>
        <row r="6903">
          <cell r="C6903" t="str">
            <v>4508 - BITS/BLADES</v>
          </cell>
          <cell r="D6903" t="str">
            <v>IRW5026015</v>
          </cell>
          <cell r="BA6903">
            <v>10.99</v>
          </cell>
        </row>
        <row r="6904">
          <cell r="C6904" t="str">
            <v>4508 - BITS/BLADES</v>
          </cell>
          <cell r="D6904" t="str">
            <v>IRW5026019</v>
          </cell>
          <cell r="BA6904">
            <v>12.99</v>
          </cell>
        </row>
        <row r="6905">
          <cell r="C6905" t="str">
            <v>4508 - BITS/BLADES</v>
          </cell>
          <cell r="D6905" t="str">
            <v>BIT3SURC10</v>
          </cell>
          <cell r="BA6905">
            <v>9.7899999999999991</v>
          </cell>
        </row>
        <row r="6906">
          <cell r="C6906" t="str">
            <v>4508 - BITS/BLADES</v>
          </cell>
          <cell r="D6906" t="str">
            <v>ARTU01020</v>
          </cell>
          <cell r="BA6906">
            <v>9.99</v>
          </cell>
        </row>
        <row r="6907">
          <cell r="C6907" t="str">
            <v>4508 - BITS/BLADES</v>
          </cell>
          <cell r="D6907" t="str">
            <v>MIL48-89-2710</v>
          </cell>
          <cell r="BA6907">
            <v>3.79</v>
          </cell>
        </row>
        <row r="6908">
          <cell r="C6908" t="str">
            <v>4508 - BITS/BLADES</v>
          </cell>
          <cell r="D6908" t="str">
            <v>MIL48-89-2714</v>
          </cell>
          <cell r="BA6908">
            <v>3.79</v>
          </cell>
        </row>
        <row r="6909">
          <cell r="C6909" t="str">
            <v>4508 - BITS/BLADES</v>
          </cell>
          <cell r="D6909" t="str">
            <v>MIL48-89-2718</v>
          </cell>
          <cell r="BA6909">
            <v>2.99</v>
          </cell>
        </row>
        <row r="6910">
          <cell r="C6910" t="str">
            <v>4508 - BITS/BLADES</v>
          </cell>
          <cell r="D6910" t="str">
            <v>MIL48-89-2722</v>
          </cell>
          <cell r="BA6910">
            <v>3.79</v>
          </cell>
        </row>
        <row r="6911">
          <cell r="C6911" t="str">
            <v>4508 - BITS/BLADES</v>
          </cell>
          <cell r="D6911" t="str">
            <v>MIL48-89-2726</v>
          </cell>
          <cell r="BA6911">
            <v>4.99</v>
          </cell>
        </row>
        <row r="6912">
          <cell r="C6912" t="str">
            <v>4508 - BITS/BLADES</v>
          </cell>
          <cell r="D6912" t="str">
            <v>MIL48-89-2730</v>
          </cell>
          <cell r="BA6912">
            <v>6.99</v>
          </cell>
        </row>
        <row r="6913">
          <cell r="C6913" t="str">
            <v>4508 - BITS/BLADES</v>
          </cell>
          <cell r="D6913" t="str">
            <v>MIL48-89-2734</v>
          </cell>
          <cell r="BA6913">
            <v>9.99</v>
          </cell>
        </row>
        <row r="6914">
          <cell r="C6914" t="str">
            <v>4508 - BITS/BLADES</v>
          </cell>
          <cell r="D6914" t="str">
            <v>MIL48-89-2738</v>
          </cell>
          <cell r="BA6914">
            <v>10.99</v>
          </cell>
        </row>
        <row r="6915">
          <cell r="C6915" t="str">
            <v>4508 - BITS/BLADES</v>
          </cell>
          <cell r="D6915" t="str">
            <v>MIL48-89-2803</v>
          </cell>
          <cell r="BA6915">
            <v>29.99</v>
          </cell>
        </row>
        <row r="6916">
          <cell r="C6916" t="str">
            <v>4508 - BITS/BLADES</v>
          </cell>
          <cell r="D6916" t="str">
            <v>DW1574</v>
          </cell>
          <cell r="BA6916">
            <v>4.79</v>
          </cell>
        </row>
        <row r="6917">
          <cell r="C6917" t="str">
            <v>4508 - BITS/BLADES</v>
          </cell>
          <cell r="D6917" t="str">
            <v>DW1576</v>
          </cell>
          <cell r="BA6917">
            <v>4.79</v>
          </cell>
        </row>
        <row r="6918">
          <cell r="C6918" t="str">
            <v>4508 - BITS/BLADES</v>
          </cell>
          <cell r="D6918" t="str">
            <v>DW1578</v>
          </cell>
          <cell r="BA6918">
            <v>4.79</v>
          </cell>
        </row>
        <row r="6919">
          <cell r="C6919" t="str">
            <v>4508 - BITS/BLADES</v>
          </cell>
          <cell r="D6919" t="str">
            <v>DW1582</v>
          </cell>
          <cell r="BA6919">
            <v>5.39</v>
          </cell>
        </row>
        <row r="6920">
          <cell r="C6920" t="str">
            <v>4508 - BITS/BLADES</v>
          </cell>
          <cell r="D6920" t="str">
            <v>DW1584</v>
          </cell>
          <cell r="BA6920">
            <v>6.99</v>
          </cell>
        </row>
        <row r="6921">
          <cell r="C6921" t="str">
            <v>4508 - BITS/BLADES</v>
          </cell>
          <cell r="D6921" t="str">
            <v>DW1586</v>
          </cell>
          <cell r="BA6921">
            <v>6.99</v>
          </cell>
        </row>
        <row r="6922">
          <cell r="C6922" t="str">
            <v>4508 - BITS/BLADES</v>
          </cell>
          <cell r="D6922" t="str">
            <v>DW1304</v>
          </cell>
          <cell r="BA6922">
            <v>4.99</v>
          </cell>
        </row>
        <row r="6923">
          <cell r="C6923" t="str">
            <v>4508 - BITS/BLADES</v>
          </cell>
          <cell r="D6923" t="str">
            <v>DW1306</v>
          </cell>
          <cell r="BA6923">
            <v>5.39</v>
          </cell>
        </row>
        <row r="6924">
          <cell r="C6924" t="str">
            <v>4508 - BITS/BLADES</v>
          </cell>
          <cell r="D6924" t="str">
            <v>DW1308</v>
          </cell>
          <cell r="BA6924">
            <v>5.99</v>
          </cell>
        </row>
        <row r="6925">
          <cell r="C6925" t="str">
            <v>4508 - BITS/BLADES</v>
          </cell>
          <cell r="D6925" t="str">
            <v>DW1311</v>
          </cell>
          <cell r="BA6925">
            <v>5.99</v>
          </cell>
        </row>
        <row r="6926">
          <cell r="C6926" t="str">
            <v>4508 - BITS/BLADES</v>
          </cell>
          <cell r="D6926" t="str">
            <v>DW1312</v>
          </cell>
          <cell r="BA6926">
            <v>5.99</v>
          </cell>
        </row>
        <row r="6927">
          <cell r="C6927" t="str">
            <v>4508 - BITS/BLADES</v>
          </cell>
          <cell r="D6927" t="str">
            <v>DW1316</v>
          </cell>
          <cell r="BA6927">
            <v>8.69</v>
          </cell>
        </row>
        <row r="6928">
          <cell r="C6928" t="str">
            <v>4508 - BITS/BLADES</v>
          </cell>
          <cell r="D6928" t="str">
            <v>DW1320</v>
          </cell>
          <cell r="BA6928">
            <v>10.99</v>
          </cell>
        </row>
        <row r="6929">
          <cell r="C6929" t="str">
            <v>4508 - BITS/BLADES</v>
          </cell>
          <cell r="D6929" t="str">
            <v>DW1324</v>
          </cell>
          <cell r="BA6929">
            <v>14.99</v>
          </cell>
        </row>
        <row r="6930">
          <cell r="C6930" t="str">
            <v>4508 - BITS/BLADES</v>
          </cell>
          <cell r="D6930" t="str">
            <v>IRW87908</v>
          </cell>
          <cell r="BA6930">
            <v>4.59</v>
          </cell>
        </row>
        <row r="6931">
          <cell r="C6931" t="str">
            <v>4508 - BITS/BLADES</v>
          </cell>
          <cell r="D6931" t="str">
            <v>IRW87916</v>
          </cell>
          <cell r="BA6931">
            <v>5.39</v>
          </cell>
        </row>
        <row r="6932">
          <cell r="C6932" t="str">
            <v>4508 - BITS/BLADES</v>
          </cell>
          <cell r="D6932" t="str">
            <v>IRW88708</v>
          </cell>
          <cell r="BA6932">
            <v>11.99</v>
          </cell>
        </row>
        <row r="6933">
          <cell r="C6933" t="str">
            <v>4508 - BITS/BLADES</v>
          </cell>
          <cell r="D6933" t="str">
            <v>IRW88712</v>
          </cell>
          <cell r="BA6933">
            <v>12.99</v>
          </cell>
        </row>
        <row r="6934">
          <cell r="C6934" t="str">
            <v>4508 - BITS/BLADES</v>
          </cell>
          <cell r="D6934" t="str">
            <v>IRW88806</v>
          </cell>
          <cell r="BA6934">
            <v>4.99</v>
          </cell>
        </row>
        <row r="6935">
          <cell r="C6935" t="str">
            <v>4508 - BITS/BLADES</v>
          </cell>
          <cell r="D6935" t="str">
            <v>IRW88808</v>
          </cell>
          <cell r="BA6935">
            <v>5.99</v>
          </cell>
        </row>
        <row r="6936">
          <cell r="C6936" t="str">
            <v>4508 - BITS/BLADES</v>
          </cell>
          <cell r="D6936" t="str">
            <v>IRW88810</v>
          </cell>
          <cell r="BA6936">
            <v>5.69</v>
          </cell>
        </row>
        <row r="6937">
          <cell r="C6937" t="str">
            <v>4508 - BITS/BLADES</v>
          </cell>
          <cell r="D6937" t="str">
            <v>IRW88812</v>
          </cell>
          <cell r="BA6937">
            <v>6.49</v>
          </cell>
        </row>
        <row r="6938">
          <cell r="C6938" t="str">
            <v>4508 - BITS/BLADES</v>
          </cell>
          <cell r="D6938" t="str">
            <v>IRW88814</v>
          </cell>
          <cell r="BA6938">
            <v>6.99</v>
          </cell>
        </row>
        <row r="6939">
          <cell r="C6939" t="str">
            <v>4508 - BITS/BLADES</v>
          </cell>
          <cell r="D6939" t="str">
            <v>IRW88816</v>
          </cell>
          <cell r="BA6939">
            <v>6.99</v>
          </cell>
        </row>
        <row r="6940">
          <cell r="C6940" t="str">
            <v>4508 - BITS/BLADES</v>
          </cell>
          <cell r="D6940" t="str">
            <v>IRW88818</v>
          </cell>
          <cell r="BA6940">
            <v>7.59</v>
          </cell>
        </row>
        <row r="6941">
          <cell r="C6941" t="str">
            <v>4508 - BITS/BLADES</v>
          </cell>
          <cell r="D6941" t="str">
            <v>IRW88820</v>
          </cell>
          <cell r="BA6941">
            <v>7.59</v>
          </cell>
        </row>
        <row r="6942">
          <cell r="C6942" t="str">
            <v>4508 - BITS/BLADES</v>
          </cell>
          <cell r="D6942" t="str">
            <v>IRW88822</v>
          </cell>
          <cell r="BA6942">
            <v>8.69</v>
          </cell>
        </row>
        <row r="6943">
          <cell r="C6943" t="str">
            <v>4508 - BITS/BLADES</v>
          </cell>
          <cell r="D6943" t="str">
            <v>IRW88824</v>
          </cell>
          <cell r="BA6943">
            <v>8.69</v>
          </cell>
        </row>
        <row r="6944">
          <cell r="C6944" t="str">
            <v>4508 - BITS/BLADES</v>
          </cell>
          <cell r="D6944" t="str">
            <v>IRW88899</v>
          </cell>
          <cell r="BA6944">
            <v>21.99</v>
          </cell>
        </row>
        <row r="6945">
          <cell r="C6945" t="str">
            <v>4508 - BITS/BLADES</v>
          </cell>
          <cell r="D6945" t="str">
            <v>IRW3016007</v>
          </cell>
          <cell r="BA6945">
            <v>1.69</v>
          </cell>
        </row>
        <row r="6946">
          <cell r="C6946" t="str">
            <v>4508 - BITS/BLADES</v>
          </cell>
          <cell r="D6946" t="str">
            <v>IRW3016009</v>
          </cell>
          <cell r="BA6946">
            <v>1.99</v>
          </cell>
        </row>
        <row r="6947">
          <cell r="C6947" t="str">
            <v>4508 - BITS/BLADES</v>
          </cell>
          <cell r="D6947" t="str">
            <v>IRW3016010</v>
          </cell>
          <cell r="BA6947">
            <v>2.39</v>
          </cell>
        </row>
        <row r="6948">
          <cell r="C6948" t="str">
            <v>4508 - BITS/BLADES</v>
          </cell>
          <cell r="D6948" t="str">
            <v>IRW3016020</v>
          </cell>
          <cell r="BA6948">
            <v>5.99</v>
          </cell>
        </row>
        <row r="6949">
          <cell r="C6949" t="str">
            <v>4508 - BITS/BLADES</v>
          </cell>
          <cell r="D6949" t="str">
            <v>IRW8638</v>
          </cell>
          <cell r="BA6949">
            <v>1.99</v>
          </cell>
        </row>
        <row r="6950">
          <cell r="C6950" t="str">
            <v>4508 - BITS/BLADES</v>
          </cell>
          <cell r="D6950" t="str">
            <v>DWA1216</v>
          </cell>
          <cell r="BA6950">
            <v>11.99</v>
          </cell>
        </row>
        <row r="6951">
          <cell r="C6951" t="str">
            <v>4508 - BITS/BLADES</v>
          </cell>
          <cell r="D6951" t="str">
            <v>DWA1220</v>
          </cell>
          <cell r="BA6951">
            <v>14.99</v>
          </cell>
        </row>
        <row r="6952">
          <cell r="C6952" t="str">
            <v>4508 - BITS/BLADES</v>
          </cell>
          <cell r="D6952" t="str">
            <v>DWA1224</v>
          </cell>
          <cell r="BA6952">
            <v>18.989999999999998</v>
          </cell>
        </row>
        <row r="6953">
          <cell r="C6953" t="str">
            <v>4508 - BITS/BLADES</v>
          </cell>
          <cell r="D6953" t="str">
            <v>IRW63332</v>
          </cell>
          <cell r="BA6953">
            <v>12.99</v>
          </cell>
        </row>
        <row r="6954">
          <cell r="C6954" t="str">
            <v>4508 - BITS/BLADES</v>
          </cell>
          <cell r="D6954" t="str">
            <v>IRW3016012</v>
          </cell>
          <cell r="BA6954">
            <v>2.59</v>
          </cell>
        </row>
        <row r="6955">
          <cell r="C6955" t="str">
            <v>4508 - BITS/BLADES</v>
          </cell>
          <cell r="D6955" t="str">
            <v>DW2022</v>
          </cell>
          <cell r="BA6955">
            <v>2.79</v>
          </cell>
        </row>
        <row r="6956">
          <cell r="C6956" t="str">
            <v>4508 - BITS/BLADES</v>
          </cell>
          <cell r="D6956" t="str">
            <v>DW2023</v>
          </cell>
          <cell r="BA6956">
            <v>2.59</v>
          </cell>
        </row>
        <row r="6957">
          <cell r="C6957" t="str">
            <v>4508 - BITS/BLADES</v>
          </cell>
          <cell r="D6957" t="str">
            <v>MIL48-32-4463</v>
          </cell>
          <cell r="BA6957">
            <v>4.29</v>
          </cell>
        </row>
        <row r="6958">
          <cell r="C6958" t="str">
            <v>4508 - BITS/BLADES</v>
          </cell>
          <cell r="D6958" t="str">
            <v>MIL48-32-4471</v>
          </cell>
          <cell r="BA6958">
            <v>3.79</v>
          </cell>
        </row>
        <row r="6959">
          <cell r="C6959" t="str">
            <v>4508 - BITS/BLADES</v>
          </cell>
          <cell r="D6959" t="str">
            <v>MIL48-32-4606</v>
          </cell>
          <cell r="BA6959">
            <v>9.99</v>
          </cell>
        </row>
        <row r="6960">
          <cell r="C6960" t="str">
            <v>4508 - BITS/BLADES</v>
          </cell>
          <cell r="D6960" t="str">
            <v>MIL48-32-4784</v>
          </cell>
          <cell r="BA6960">
            <v>2.99</v>
          </cell>
        </row>
        <row r="6961">
          <cell r="C6961" t="str">
            <v>4508 - BITS/BLADES</v>
          </cell>
          <cell r="D6961" t="str">
            <v>MIL48-32-4785</v>
          </cell>
          <cell r="BA6961">
            <v>2.99</v>
          </cell>
        </row>
        <row r="6962">
          <cell r="C6962" t="str">
            <v>4508 - BITS/BLADES</v>
          </cell>
          <cell r="D6962" t="str">
            <v>MIL48-20-9011</v>
          </cell>
          <cell r="BA6962">
            <v>7.99</v>
          </cell>
        </row>
        <row r="6963">
          <cell r="C6963" t="str">
            <v>4508 - BITS/BLADES</v>
          </cell>
          <cell r="D6963" t="str">
            <v>MIL48-20-9030</v>
          </cell>
          <cell r="BA6963">
            <v>12.99</v>
          </cell>
        </row>
        <row r="6964">
          <cell r="C6964" t="str">
            <v>4508 - BITS/BLADES</v>
          </cell>
          <cell r="D6964" t="str">
            <v>DW1120</v>
          </cell>
          <cell r="BA6964">
            <v>7.59</v>
          </cell>
        </row>
        <row r="6965">
          <cell r="C6965" t="str">
            <v>4508 - BITS/BLADES</v>
          </cell>
          <cell r="D6965" t="str">
            <v>DW1132</v>
          </cell>
          <cell r="BA6965">
            <v>15.99</v>
          </cell>
        </row>
        <row r="6966">
          <cell r="C6966" t="str">
            <v>4508 - BITS/BLADES</v>
          </cell>
          <cell r="D6966" t="str">
            <v>DWHT67530</v>
          </cell>
          <cell r="BA6966">
            <v>13.99</v>
          </cell>
        </row>
        <row r="6967">
          <cell r="C6967" t="str">
            <v>4508 - BITS/BLADES</v>
          </cell>
          <cell r="D6967" t="str">
            <v>FRDMAMM1190-S5</v>
          </cell>
          <cell r="BA6967">
            <v>24.99</v>
          </cell>
        </row>
        <row r="6968">
          <cell r="C6968" t="str">
            <v>4508 - BITS/BLADES</v>
          </cell>
          <cell r="D6968" t="str">
            <v>FRDMAMM1120</v>
          </cell>
          <cell r="BA6968">
            <v>12.99</v>
          </cell>
        </row>
        <row r="6969">
          <cell r="C6969" t="str">
            <v>4508 - BITS/BLADES</v>
          </cell>
          <cell r="D6969" t="str">
            <v>FRDMAMM1090</v>
          </cell>
          <cell r="BA6969">
            <v>11.99</v>
          </cell>
        </row>
        <row r="6970">
          <cell r="C6970" t="str">
            <v>4508 - BITS/BLADES</v>
          </cell>
          <cell r="D6970" t="str">
            <v>FRDMAMM1070</v>
          </cell>
          <cell r="BA6970">
            <v>10.99</v>
          </cell>
        </row>
        <row r="6971">
          <cell r="C6971" t="str">
            <v>4508 - BITS/BLADES</v>
          </cell>
          <cell r="D6971" t="str">
            <v>FRDMAMM1050</v>
          </cell>
          <cell r="BA6971">
            <v>9.99</v>
          </cell>
        </row>
        <row r="6972">
          <cell r="C6972" t="str">
            <v>4508 - BITS/BLADES</v>
          </cell>
          <cell r="D6972" t="str">
            <v>FRDMAMM1030</v>
          </cell>
          <cell r="BA6972">
            <v>8.99</v>
          </cell>
        </row>
        <row r="6973">
          <cell r="C6973" t="str">
            <v>4508 - BITS/BLADES</v>
          </cell>
          <cell r="D6973" t="str">
            <v>FRDMAMM1020</v>
          </cell>
          <cell r="BA6973">
            <v>7.99</v>
          </cell>
        </row>
        <row r="6974">
          <cell r="C6974" t="str">
            <v>4508 - BITS/BLADES</v>
          </cell>
          <cell r="D6974" t="str">
            <v>FRDMAMM1010</v>
          </cell>
          <cell r="BA6974">
            <v>6.99</v>
          </cell>
        </row>
        <row r="6975">
          <cell r="C6975" t="str">
            <v>4508 - BITS/BLADES</v>
          </cell>
          <cell r="D6975" t="str">
            <v>FRDMARG1210</v>
          </cell>
          <cell r="BA6975">
            <v>29.99</v>
          </cell>
        </row>
        <row r="6976">
          <cell r="C6976" t="str">
            <v>4508 - BITS/BLADES</v>
          </cell>
          <cell r="D6976" t="str">
            <v>FRDMARG1200</v>
          </cell>
          <cell r="BA6976">
            <v>27.99</v>
          </cell>
        </row>
        <row r="6977">
          <cell r="C6977" t="str">
            <v>4508 - BITS/BLADES</v>
          </cell>
          <cell r="D6977" t="str">
            <v>FRDMARG1180</v>
          </cell>
          <cell r="BA6977">
            <v>19.989999999999998</v>
          </cell>
        </row>
        <row r="6978">
          <cell r="C6978" t="str">
            <v>4508 - BITS/BLADES</v>
          </cell>
          <cell r="D6978" t="str">
            <v>FRDMARG1160</v>
          </cell>
          <cell r="BA6978">
            <v>15.99</v>
          </cell>
        </row>
        <row r="6979">
          <cell r="C6979" t="str">
            <v>4508 - BITS/BLADES</v>
          </cell>
          <cell r="D6979" t="str">
            <v>FRDMARG1130</v>
          </cell>
          <cell r="BA6979">
            <v>15.99</v>
          </cell>
        </row>
        <row r="6980">
          <cell r="C6980" t="str">
            <v>4508 - BITS/BLADES</v>
          </cell>
          <cell r="D6980" t="str">
            <v>FRDMARG1090</v>
          </cell>
          <cell r="BA6980">
            <v>13.99</v>
          </cell>
        </row>
        <row r="6981">
          <cell r="C6981" t="str">
            <v>4508 - BITS/BLADES</v>
          </cell>
          <cell r="D6981" t="str">
            <v>FRDMARG1220-S5</v>
          </cell>
          <cell r="BA6981">
            <v>22.99</v>
          </cell>
        </row>
        <row r="6982">
          <cell r="C6982" t="str">
            <v>4508 - BITS/BLADES</v>
          </cell>
          <cell r="D6982" t="str">
            <v>FRDMARG1190</v>
          </cell>
          <cell r="BA6982">
            <v>17.989999999999998</v>
          </cell>
        </row>
        <row r="6983">
          <cell r="C6983" t="str">
            <v>4508 - BITS/BLADES</v>
          </cell>
          <cell r="D6983" t="str">
            <v>FRDMARG1170</v>
          </cell>
          <cell r="BA6983">
            <v>15.99</v>
          </cell>
        </row>
        <row r="6984">
          <cell r="C6984" t="str">
            <v>4508 - BITS/BLADES</v>
          </cell>
          <cell r="D6984" t="str">
            <v>FRDMARG1150</v>
          </cell>
          <cell r="BA6984">
            <v>11.99</v>
          </cell>
        </row>
        <row r="6985">
          <cell r="C6985" t="str">
            <v>4508 - BITS/BLADES</v>
          </cell>
          <cell r="D6985" t="str">
            <v>FRDMARG1140</v>
          </cell>
          <cell r="BA6985">
            <v>10.99</v>
          </cell>
        </row>
        <row r="6986">
          <cell r="C6986" t="str">
            <v>4508 - BITS/BLADES</v>
          </cell>
          <cell r="D6986" t="str">
            <v>FRDMARG1120</v>
          </cell>
          <cell r="BA6986">
            <v>9.99</v>
          </cell>
        </row>
        <row r="6987">
          <cell r="C6987" t="str">
            <v>4508 - BITS/BLADES</v>
          </cell>
          <cell r="D6987" t="str">
            <v>FRDMARG1100</v>
          </cell>
          <cell r="BA6987">
            <v>7.99</v>
          </cell>
        </row>
        <row r="6988">
          <cell r="C6988" t="str">
            <v>4508 - BITS/BLADES</v>
          </cell>
          <cell r="D6988" t="str">
            <v>FRDMARG1110</v>
          </cell>
          <cell r="BA6988">
            <v>10.99</v>
          </cell>
        </row>
        <row r="6989">
          <cell r="C6989" t="str">
            <v>4508 - BITS/BLADES</v>
          </cell>
          <cell r="D6989" t="str">
            <v>FRDMARG1070-P5</v>
          </cell>
          <cell r="BA6989">
            <v>29.99</v>
          </cell>
        </row>
        <row r="6990">
          <cell r="C6990" t="str">
            <v>4508 - BITS/BLADES</v>
          </cell>
          <cell r="D6990" t="str">
            <v>FRDMARG1070</v>
          </cell>
          <cell r="BA6990">
            <v>7.59</v>
          </cell>
        </row>
        <row r="6991">
          <cell r="C6991" t="str">
            <v>4508 - BITS/BLADES</v>
          </cell>
          <cell r="D6991" t="str">
            <v>FRDMARG1060</v>
          </cell>
          <cell r="BA6991">
            <v>7.99</v>
          </cell>
        </row>
        <row r="6992">
          <cell r="C6992" t="str">
            <v>4508 - BITS/BLADES</v>
          </cell>
          <cell r="D6992" t="str">
            <v>FRDMARG1030-P5</v>
          </cell>
          <cell r="BA6992">
            <v>24.99</v>
          </cell>
        </row>
        <row r="6993">
          <cell r="C6993" t="str">
            <v>4508 - BITS/BLADES</v>
          </cell>
          <cell r="D6993" t="str">
            <v>FRDMARG1030</v>
          </cell>
          <cell r="BA6993">
            <v>6.99</v>
          </cell>
        </row>
        <row r="6994">
          <cell r="C6994" t="str">
            <v>4508 - BITS/BLADES</v>
          </cell>
          <cell r="D6994" t="str">
            <v>FRDMARG1020-P5</v>
          </cell>
          <cell r="BA6994">
            <v>24.99</v>
          </cell>
        </row>
        <row r="6995">
          <cell r="C6995" t="str">
            <v>4508 - BITS/BLADES</v>
          </cell>
          <cell r="D6995" t="str">
            <v>FRDMARG1020</v>
          </cell>
          <cell r="BA6995">
            <v>6.49</v>
          </cell>
        </row>
        <row r="6996">
          <cell r="C6996" t="str">
            <v>4508 - BITS/BLADES</v>
          </cell>
          <cell r="D6996" t="str">
            <v>FRDMARG1010</v>
          </cell>
          <cell r="BA6996">
            <v>4.79</v>
          </cell>
        </row>
        <row r="6997">
          <cell r="C6997" t="str">
            <v>4508 - BITS/BLADES</v>
          </cell>
          <cell r="D6997" t="str">
            <v>FRPMAPC1070-S14</v>
          </cell>
          <cell r="BA6997">
            <v>21.99</v>
          </cell>
        </row>
        <row r="6998">
          <cell r="C6998" t="str">
            <v>4508 - BITS/BLADES</v>
          </cell>
          <cell r="D6998" t="str">
            <v>FRPMAPC1060</v>
          </cell>
          <cell r="BA6998">
            <v>6.49</v>
          </cell>
        </row>
        <row r="6999">
          <cell r="C6999" t="str">
            <v>4508 - BITS/BLADES</v>
          </cell>
          <cell r="D6999" t="str">
            <v>FRPMAPC1050</v>
          </cell>
          <cell r="BA6999">
            <v>5.99</v>
          </cell>
        </row>
        <row r="7000">
          <cell r="C7000" t="str">
            <v>4508 - BITS/BLADES</v>
          </cell>
          <cell r="D7000" t="str">
            <v>FRPMAPC1040</v>
          </cell>
          <cell r="BA7000">
            <v>5.99</v>
          </cell>
        </row>
        <row r="7001">
          <cell r="C7001" t="str">
            <v>4508 - BITS/BLADES</v>
          </cell>
          <cell r="D7001" t="str">
            <v>FRPMAPC1030</v>
          </cell>
          <cell r="BA7001">
            <v>5.39</v>
          </cell>
        </row>
        <row r="7002">
          <cell r="C7002" t="str">
            <v>4508 - BITS/BLADES</v>
          </cell>
          <cell r="D7002" t="str">
            <v>FRPMAPC1020</v>
          </cell>
          <cell r="BA7002">
            <v>4.79</v>
          </cell>
        </row>
        <row r="7003">
          <cell r="C7003" t="str">
            <v>4508 - BITS/BLADES</v>
          </cell>
          <cell r="D7003" t="str">
            <v>FRPMAPC1010</v>
          </cell>
          <cell r="BA7003">
            <v>3.99</v>
          </cell>
        </row>
        <row r="7004">
          <cell r="C7004" t="str">
            <v>4508 - BITS/BLADES</v>
          </cell>
          <cell r="D7004" t="str">
            <v>FRPMAPC1080-S3</v>
          </cell>
          <cell r="BA7004">
            <v>7.99</v>
          </cell>
        </row>
        <row r="7005">
          <cell r="C7005" t="str">
            <v>4508 - BITS/BLADES</v>
          </cell>
          <cell r="D7005" t="str">
            <v>FRPMAGT1050-S4</v>
          </cell>
          <cell r="BA7005">
            <v>19.989999999999998</v>
          </cell>
        </row>
        <row r="7006">
          <cell r="C7006" t="str">
            <v>4508 - BITS/BLADES</v>
          </cell>
          <cell r="D7006" t="str">
            <v>FRDMANS1070-S4</v>
          </cell>
          <cell r="BA7006">
            <v>29.99</v>
          </cell>
        </row>
        <row r="7007">
          <cell r="C7007" t="str">
            <v>4508 - BITS/BLADES</v>
          </cell>
          <cell r="D7007" t="str">
            <v>FRDMANS1060</v>
          </cell>
          <cell r="BA7007">
            <v>29.99</v>
          </cell>
        </row>
        <row r="7008">
          <cell r="C7008" t="str">
            <v>4508 - BITS/BLADES</v>
          </cell>
          <cell r="D7008" t="str">
            <v>FRDMANS1050</v>
          </cell>
          <cell r="BA7008">
            <v>25.99</v>
          </cell>
        </row>
        <row r="7009">
          <cell r="C7009" t="str">
            <v>4508 - BITS/BLADES</v>
          </cell>
          <cell r="D7009" t="str">
            <v>FRDMANS1040</v>
          </cell>
          <cell r="BA7009">
            <v>21.99</v>
          </cell>
        </row>
        <row r="7010">
          <cell r="C7010" t="str">
            <v>4508 - BITS/BLADES</v>
          </cell>
          <cell r="D7010" t="str">
            <v>FRDMANS1030</v>
          </cell>
          <cell r="BA7010">
            <v>18.989999999999998</v>
          </cell>
        </row>
        <row r="7011">
          <cell r="C7011" t="str">
            <v>4508 - BITS/BLADES</v>
          </cell>
          <cell r="D7011" t="str">
            <v>FRDMANS1020</v>
          </cell>
          <cell r="BA7011">
            <v>18.989999999999998</v>
          </cell>
        </row>
        <row r="7012">
          <cell r="C7012" t="str">
            <v>4508 - BITS/BLADES</v>
          </cell>
          <cell r="D7012" t="str">
            <v>FRDMANS1010</v>
          </cell>
          <cell r="BA7012">
            <v>15.99</v>
          </cell>
        </row>
        <row r="7013">
          <cell r="C7013" t="str">
            <v>4508 - BITS/BLADES</v>
          </cell>
          <cell r="D7013" t="str">
            <v>FRDSF1125</v>
          </cell>
          <cell r="BA7013">
            <v>39.99</v>
          </cell>
        </row>
        <row r="7014">
          <cell r="C7014" t="str">
            <v>4508 - BITS/BLADES</v>
          </cell>
          <cell r="D7014" t="str">
            <v>FRDSF1375</v>
          </cell>
          <cell r="BA7014">
            <v>44.99</v>
          </cell>
        </row>
        <row r="7015">
          <cell r="C7015" t="str">
            <v>4508 - BITS/BLADES</v>
          </cell>
          <cell r="D7015" t="str">
            <v>FRDSF1500</v>
          </cell>
          <cell r="BA7015">
            <v>47.99</v>
          </cell>
        </row>
        <row r="7016">
          <cell r="C7016" t="str">
            <v>4508 - BITS/BLADES</v>
          </cell>
          <cell r="D7016" t="str">
            <v>FRDSF2000</v>
          </cell>
          <cell r="BA7016">
            <v>49.99</v>
          </cell>
        </row>
        <row r="7017">
          <cell r="C7017" t="str">
            <v>4508 - BITS/BLADES</v>
          </cell>
          <cell r="D7017" t="str">
            <v>FRDSF2125</v>
          </cell>
          <cell r="BA7017">
            <v>52.99</v>
          </cell>
        </row>
        <row r="7018">
          <cell r="C7018" t="str">
            <v>4508 - BITS/BLADES</v>
          </cell>
          <cell r="D7018" t="str">
            <v>FRDSF2250</v>
          </cell>
          <cell r="BA7018">
            <v>54.99</v>
          </cell>
        </row>
        <row r="7019">
          <cell r="C7019" t="str">
            <v>4508 - BITS/BLADES</v>
          </cell>
          <cell r="D7019" t="str">
            <v>FRDSF2562</v>
          </cell>
          <cell r="BA7019">
            <v>64.989999999999995</v>
          </cell>
        </row>
        <row r="7020">
          <cell r="C7020" t="str">
            <v>4508 - BITS/BLADES</v>
          </cell>
          <cell r="D7020" t="str">
            <v>FRDSF3000</v>
          </cell>
          <cell r="BA7020">
            <v>109.99</v>
          </cell>
        </row>
        <row r="7021">
          <cell r="C7021" t="str">
            <v>4508 - BITS/BLADES</v>
          </cell>
          <cell r="D7021" t="str">
            <v>FRDSF3625</v>
          </cell>
          <cell r="BA7021">
            <v>149.99</v>
          </cell>
        </row>
        <row r="7022">
          <cell r="C7022" t="str">
            <v>4508 - BITS/BLADES</v>
          </cell>
          <cell r="D7022" t="str">
            <v>FRDSD1125S17</v>
          </cell>
          <cell r="BA7022">
            <v>62.99</v>
          </cell>
        </row>
        <row r="7023">
          <cell r="C7023" t="str">
            <v>4508 - BITS/BLADES</v>
          </cell>
          <cell r="D7023" t="str">
            <v>FRDDESQ225B</v>
          </cell>
          <cell r="BA7023">
            <v>3.99</v>
          </cell>
        </row>
        <row r="7024">
          <cell r="C7024" t="str">
            <v>4508 - BITS/BLADES</v>
          </cell>
          <cell r="D7024" t="str">
            <v>FRDDET2525B</v>
          </cell>
          <cell r="BA7024">
            <v>3.99</v>
          </cell>
        </row>
        <row r="7025">
          <cell r="C7025" t="str">
            <v>4508 - BITS/BLADES</v>
          </cell>
          <cell r="D7025" t="str">
            <v>FRDDEPH225B</v>
          </cell>
          <cell r="BA7025">
            <v>3.79</v>
          </cell>
        </row>
        <row r="7026">
          <cell r="C7026" t="str">
            <v>4508 - BITS/BLADES</v>
          </cell>
          <cell r="D7026" t="str">
            <v>FRDT256B</v>
          </cell>
          <cell r="BA7026">
            <v>4.99</v>
          </cell>
        </row>
        <row r="7027">
          <cell r="C7027" t="str">
            <v>4508 - BITS/BLADES</v>
          </cell>
          <cell r="D7027" t="str">
            <v>FRDT206B</v>
          </cell>
          <cell r="BA7027">
            <v>4.99</v>
          </cell>
        </row>
        <row r="7028">
          <cell r="C7028" t="str">
            <v>4508 - BITS/BLADES</v>
          </cell>
          <cell r="D7028" t="str">
            <v>FRDT2535B</v>
          </cell>
          <cell r="BA7028">
            <v>3.99</v>
          </cell>
        </row>
        <row r="7029">
          <cell r="C7029" t="str">
            <v>4508 - BITS/BLADES</v>
          </cell>
          <cell r="D7029" t="str">
            <v>FRDT2035B</v>
          </cell>
          <cell r="BA7029">
            <v>3.99</v>
          </cell>
        </row>
        <row r="7030">
          <cell r="C7030" t="str">
            <v>4508 - BITS/BLADES</v>
          </cell>
          <cell r="D7030" t="str">
            <v>FRDT1535B</v>
          </cell>
          <cell r="BA7030">
            <v>3.99</v>
          </cell>
        </row>
        <row r="7031">
          <cell r="C7031" t="str">
            <v>4508 - BITS/BLADES</v>
          </cell>
          <cell r="D7031" t="str">
            <v>FRDT402B</v>
          </cell>
          <cell r="BA7031">
            <v>2.99</v>
          </cell>
        </row>
        <row r="7032">
          <cell r="C7032" t="str">
            <v>4508 - BITS/BLADES</v>
          </cell>
          <cell r="D7032" t="str">
            <v>FRDT302B</v>
          </cell>
          <cell r="BA7032">
            <v>2.99</v>
          </cell>
        </row>
        <row r="7033">
          <cell r="C7033" t="str">
            <v>4508 - BITS/BLADES</v>
          </cell>
          <cell r="D7033" t="str">
            <v>FRDT202B</v>
          </cell>
          <cell r="BA7033">
            <v>2.99</v>
          </cell>
        </row>
        <row r="7034">
          <cell r="C7034" t="str">
            <v>4508 - BITS/BLADES</v>
          </cell>
          <cell r="D7034" t="str">
            <v>FRDT252B</v>
          </cell>
          <cell r="BA7034">
            <v>2.99</v>
          </cell>
        </row>
        <row r="7035">
          <cell r="C7035" t="str">
            <v>4508 - BITS/BLADES</v>
          </cell>
          <cell r="D7035" t="str">
            <v>FRDT152B</v>
          </cell>
          <cell r="BA7035">
            <v>2.99</v>
          </cell>
        </row>
        <row r="7036">
          <cell r="C7036" t="str">
            <v>4508 - BITS/BLADES</v>
          </cell>
          <cell r="D7036" t="str">
            <v>FRDT102B</v>
          </cell>
          <cell r="BA7036">
            <v>2.99</v>
          </cell>
        </row>
        <row r="7037">
          <cell r="C7037" t="str">
            <v>4508 - BITS/BLADES</v>
          </cell>
          <cell r="D7037" t="str">
            <v>FRDSQ26B</v>
          </cell>
          <cell r="BA7037">
            <v>4.99</v>
          </cell>
        </row>
        <row r="7038">
          <cell r="C7038" t="str">
            <v>4508 - BITS/BLADES</v>
          </cell>
          <cell r="D7038" t="str">
            <v>FRDSQ32B</v>
          </cell>
          <cell r="BA7038">
            <v>2.99</v>
          </cell>
        </row>
        <row r="7039">
          <cell r="C7039" t="str">
            <v>4508 - BITS/BLADES</v>
          </cell>
          <cell r="D7039" t="str">
            <v>FRDSQ22B</v>
          </cell>
          <cell r="BA7039">
            <v>2.99</v>
          </cell>
        </row>
        <row r="7040">
          <cell r="C7040" t="str">
            <v>4508 - BITS/BLADES</v>
          </cell>
          <cell r="D7040" t="str">
            <v>FRDSQ12B</v>
          </cell>
          <cell r="BA7040">
            <v>2.99</v>
          </cell>
        </row>
        <row r="7041">
          <cell r="C7041" t="str">
            <v>4508 - BITS/BLADES</v>
          </cell>
          <cell r="D7041" t="str">
            <v>FRDPH26B</v>
          </cell>
          <cell r="BA7041">
            <v>4.99</v>
          </cell>
        </row>
        <row r="7042">
          <cell r="C7042" t="str">
            <v>4508 - BITS/BLADES</v>
          </cell>
          <cell r="D7042" t="str">
            <v>FRDPH335B</v>
          </cell>
          <cell r="BA7042">
            <v>3.99</v>
          </cell>
        </row>
        <row r="7043">
          <cell r="C7043" t="str">
            <v>4508 - BITS/BLADES</v>
          </cell>
          <cell r="D7043" t="str">
            <v>FRDPH235B</v>
          </cell>
          <cell r="BA7043">
            <v>3.99</v>
          </cell>
        </row>
        <row r="7044">
          <cell r="C7044" t="str">
            <v>4508 - BITS/BLADES</v>
          </cell>
          <cell r="D7044" t="str">
            <v>FRDPH135B</v>
          </cell>
          <cell r="BA7044">
            <v>3.99</v>
          </cell>
        </row>
        <row r="7045">
          <cell r="C7045" t="str">
            <v>4508 - BITS/BLADES</v>
          </cell>
          <cell r="D7045" t="str">
            <v>FRDPH32B</v>
          </cell>
          <cell r="BA7045">
            <v>2.99</v>
          </cell>
        </row>
        <row r="7046">
          <cell r="C7046" t="str">
            <v>4508 - BITS/BLADES</v>
          </cell>
          <cell r="D7046" t="str">
            <v>FRDPH2R2B</v>
          </cell>
          <cell r="BA7046">
            <v>2.99</v>
          </cell>
        </row>
        <row r="7047">
          <cell r="C7047" t="str">
            <v>4508 - BITS/BLADES</v>
          </cell>
          <cell r="D7047" t="str">
            <v>FRDPH2R1B</v>
          </cell>
          <cell r="BA7047">
            <v>1.39</v>
          </cell>
        </row>
        <row r="7048">
          <cell r="C7048" t="str">
            <v>4508 - BITS/BLADES</v>
          </cell>
          <cell r="D7048" t="str">
            <v>FRDPH22B</v>
          </cell>
          <cell r="BA7048">
            <v>2.99</v>
          </cell>
        </row>
        <row r="7049">
          <cell r="C7049" t="str">
            <v>4508 - BITS/BLADES</v>
          </cell>
          <cell r="D7049" t="str">
            <v>FRDPH12B</v>
          </cell>
          <cell r="BA7049">
            <v>2.99</v>
          </cell>
        </row>
        <row r="7050">
          <cell r="C7050" t="str">
            <v>4508 - BITS/BLADES</v>
          </cell>
          <cell r="D7050" t="str">
            <v>FRDPH31B</v>
          </cell>
          <cell r="BA7050">
            <v>1.39</v>
          </cell>
        </row>
        <row r="7051">
          <cell r="C7051" t="str">
            <v>4508 - BITS/BLADES</v>
          </cell>
          <cell r="D7051" t="str">
            <v>FRDPH21B</v>
          </cell>
          <cell r="BA7051">
            <v>1.39</v>
          </cell>
        </row>
        <row r="7052">
          <cell r="C7052" t="str">
            <v>4508 - BITS/BLADES</v>
          </cell>
          <cell r="D7052" t="str">
            <v>FRDPH11B</v>
          </cell>
          <cell r="BA7052">
            <v>1.39</v>
          </cell>
        </row>
        <row r="7053">
          <cell r="C7053" t="str">
            <v>4508 - BITS/BLADES</v>
          </cell>
          <cell r="D7053" t="str">
            <v>DW2660-2</v>
          </cell>
          <cell r="BA7053">
            <v>2.79</v>
          </cell>
        </row>
        <row r="7054">
          <cell r="C7054" t="str">
            <v>4508 - BITS/BLADES</v>
          </cell>
          <cell r="D7054" t="str">
            <v>DW2665-2</v>
          </cell>
          <cell r="BA7054">
            <v>1.69</v>
          </cell>
        </row>
        <row r="7055">
          <cell r="C7055" t="str">
            <v>4508 - BITS/BLADES</v>
          </cell>
          <cell r="D7055" t="str">
            <v>IRW47410</v>
          </cell>
          <cell r="BA7055">
            <v>29.99</v>
          </cell>
        </row>
        <row r="7056">
          <cell r="C7056" t="str">
            <v>4508 - BITS/BLADES</v>
          </cell>
          <cell r="D7056" t="str">
            <v>IRW3043009</v>
          </cell>
          <cell r="BA7056">
            <v>31.99</v>
          </cell>
        </row>
        <row r="7057">
          <cell r="C7057" t="str">
            <v>4508 - BITS/BLADES</v>
          </cell>
          <cell r="D7057" t="str">
            <v>IRW49908</v>
          </cell>
          <cell r="BA7057">
            <v>11.99</v>
          </cell>
        </row>
        <row r="7058">
          <cell r="C7058" t="str">
            <v>4508 - BITS/BLADES</v>
          </cell>
          <cell r="D7058" t="str">
            <v>IRW49912</v>
          </cell>
          <cell r="BA7058">
            <v>12.99</v>
          </cell>
        </row>
        <row r="7059">
          <cell r="C7059" t="str">
            <v>4508 - BITS/BLADES</v>
          </cell>
          <cell r="D7059" t="str">
            <v>IRW49914</v>
          </cell>
          <cell r="BA7059">
            <v>13.99</v>
          </cell>
        </row>
        <row r="7060">
          <cell r="C7060" t="str">
            <v>4508 - BITS/BLADES</v>
          </cell>
          <cell r="D7060" t="str">
            <v>IRW49916</v>
          </cell>
          <cell r="BA7060">
            <v>14.99</v>
          </cell>
        </row>
        <row r="7061">
          <cell r="C7061" t="str">
            <v>4508 - BITS/BLADES</v>
          </cell>
          <cell r="D7061" t="str">
            <v>IRW3043007</v>
          </cell>
          <cell r="BA7061">
            <v>29.99</v>
          </cell>
        </row>
        <row r="7062">
          <cell r="C7062" t="str">
            <v>4508 - BITS/BLADES</v>
          </cell>
          <cell r="D7062" t="str">
            <v>FRDAG3130</v>
          </cell>
          <cell r="BA7062">
            <v>44.99</v>
          </cell>
        </row>
        <row r="7063">
          <cell r="C7063" t="str">
            <v>4508 - BITS/BLADES</v>
          </cell>
          <cell r="D7063" t="str">
            <v>FRDAG3140</v>
          </cell>
          <cell r="BA7063">
            <v>44.99</v>
          </cell>
        </row>
        <row r="7064">
          <cell r="C7064" t="str">
            <v>4508 - BITS/BLADES</v>
          </cell>
          <cell r="D7064" t="str">
            <v>FRDAG3150</v>
          </cell>
          <cell r="BA7064">
            <v>44.99</v>
          </cell>
        </row>
        <row r="7065">
          <cell r="C7065" t="str">
            <v>4508 - BITS/BLADES</v>
          </cell>
          <cell r="D7065" t="str">
            <v>FRDAG3160</v>
          </cell>
          <cell r="BA7065">
            <v>44.99</v>
          </cell>
        </row>
        <row r="7066">
          <cell r="C7066" t="str">
            <v>4508 - BITS/BLADES</v>
          </cell>
          <cell r="D7066" t="str">
            <v>FRDAG3120</v>
          </cell>
          <cell r="BA7066">
            <v>44.99</v>
          </cell>
        </row>
        <row r="7067">
          <cell r="C7067" t="str">
            <v>4508 - BITS/BLADES</v>
          </cell>
          <cell r="D7067" t="str">
            <v>FRDAG3100</v>
          </cell>
          <cell r="BA7067">
            <v>37.99</v>
          </cell>
        </row>
        <row r="7068">
          <cell r="C7068" t="str">
            <v>4508 - BITS/BLADES</v>
          </cell>
          <cell r="D7068" t="str">
            <v>FRDAG3080</v>
          </cell>
          <cell r="BA7068">
            <v>37.99</v>
          </cell>
        </row>
        <row r="7069">
          <cell r="C7069" t="str">
            <v>4508 - BITS/BLADES</v>
          </cell>
          <cell r="D7069" t="str">
            <v>FRDAG3060</v>
          </cell>
          <cell r="BA7069">
            <v>34.99</v>
          </cell>
        </row>
        <row r="7070">
          <cell r="C7070" t="str">
            <v>4508 - BITS/BLADES</v>
          </cell>
          <cell r="D7070" t="str">
            <v>FRDAG3040</v>
          </cell>
          <cell r="BA7070">
            <v>32.99</v>
          </cell>
        </row>
        <row r="7071">
          <cell r="C7071" t="str">
            <v>4508 - BITS/BLADES</v>
          </cell>
          <cell r="D7071" t="str">
            <v>FRDAG3020</v>
          </cell>
          <cell r="BA7071">
            <v>29.99</v>
          </cell>
        </row>
        <row r="7072">
          <cell r="C7072" t="str">
            <v>4508 - BITS/BLADES</v>
          </cell>
          <cell r="D7072" t="str">
            <v>FRDAG1170</v>
          </cell>
          <cell r="BA7072">
            <v>34.99</v>
          </cell>
        </row>
        <row r="7073">
          <cell r="C7073" t="str">
            <v>4508 - BITS/BLADES</v>
          </cell>
          <cell r="D7073" t="str">
            <v>FRDAG1160</v>
          </cell>
          <cell r="BA7073">
            <v>29.99</v>
          </cell>
        </row>
        <row r="7074">
          <cell r="C7074" t="str">
            <v>4508 - BITS/BLADES</v>
          </cell>
          <cell r="D7074" t="str">
            <v>FRDAG1140</v>
          </cell>
          <cell r="BA7074">
            <v>29.99</v>
          </cell>
        </row>
        <row r="7075">
          <cell r="C7075" t="str">
            <v>4508 - BITS/BLADES</v>
          </cell>
          <cell r="D7075" t="str">
            <v>FRDAG1120</v>
          </cell>
          <cell r="BA7075">
            <v>27.99</v>
          </cell>
        </row>
        <row r="7076">
          <cell r="C7076" t="str">
            <v>4508 - BITS/BLADES</v>
          </cell>
          <cell r="D7076" t="str">
            <v>FRDAG1100</v>
          </cell>
          <cell r="BA7076">
            <v>25.99</v>
          </cell>
        </row>
        <row r="7077">
          <cell r="C7077" t="str">
            <v>4508 - BITS/BLADES</v>
          </cell>
          <cell r="D7077" t="str">
            <v>FRDAG1080</v>
          </cell>
          <cell r="BA7077">
            <v>25.99</v>
          </cell>
        </row>
        <row r="7078">
          <cell r="C7078" t="str">
            <v>4508 - BITS/BLADES</v>
          </cell>
          <cell r="D7078" t="str">
            <v>FRDAG1060</v>
          </cell>
          <cell r="BA7078">
            <v>21.99</v>
          </cell>
        </row>
        <row r="7079">
          <cell r="C7079" t="str">
            <v>4508 - BITS/BLADES</v>
          </cell>
          <cell r="D7079" t="str">
            <v>FRDAG1040</v>
          </cell>
          <cell r="BA7079">
            <v>18.989999999999998</v>
          </cell>
        </row>
        <row r="7080">
          <cell r="C7080" t="str">
            <v>4508 - BITS/BLADES</v>
          </cell>
          <cell r="D7080" t="str">
            <v>FRDAG1030</v>
          </cell>
          <cell r="BA7080">
            <v>16.989999999999998</v>
          </cell>
        </row>
        <row r="7081">
          <cell r="C7081" t="str">
            <v>4508 - BITS/BLADES</v>
          </cell>
          <cell r="D7081" t="str">
            <v>FRDAG1020</v>
          </cell>
          <cell r="BA7081">
            <v>15.99</v>
          </cell>
        </row>
        <row r="7082">
          <cell r="C7082" t="str">
            <v>4508 - BITS/BLADES</v>
          </cell>
          <cell r="D7082" t="str">
            <v>FRDAG1010</v>
          </cell>
          <cell r="BA7082">
            <v>13.99</v>
          </cell>
        </row>
        <row r="7083">
          <cell r="C7083" t="str">
            <v>4508 - BITS/BLADES</v>
          </cell>
          <cell r="D7083" t="str">
            <v>FRDAG3110</v>
          </cell>
          <cell r="BA7083">
            <v>39.99</v>
          </cell>
        </row>
        <row r="7084">
          <cell r="C7084" t="str">
            <v>4508 - BITS/BLADES</v>
          </cell>
          <cell r="D7084" t="str">
            <v>FRDAG3090</v>
          </cell>
          <cell r="BA7084">
            <v>37.99</v>
          </cell>
        </row>
        <row r="7085">
          <cell r="C7085" t="str">
            <v>4508 - BITS/BLADES</v>
          </cell>
          <cell r="D7085" t="str">
            <v>FRDAG3070</v>
          </cell>
          <cell r="BA7085">
            <v>37.99</v>
          </cell>
        </row>
        <row r="7086">
          <cell r="C7086" t="str">
            <v>4508 - BITS/BLADES</v>
          </cell>
          <cell r="D7086" t="str">
            <v>FRDAG3050</v>
          </cell>
          <cell r="BA7086">
            <v>34.99</v>
          </cell>
        </row>
        <row r="7087">
          <cell r="C7087" t="str">
            <v>4508 - BITS/BLADES</v>
          </cell>
          <cell r="D7087" t="str">
            <v>FRDAG3030</v>
          </cell>
          <cell r="BA7087">
            <v>29.99</v>
          </cell>
        </row>
        <row r="7088">
          <cell r="C7088" t="str">
            <v>4508 - BITS/BLADES</v>
          </cell>
          <cell r="D7088" t="str">
            <v>FRDAG3010</v>
          </cell>
          <cell r="BA7088">
            <v>29.99</v>
          </cell>
        </row>
        <row r="7089">
          <cell r="C7089" t="str">
            <v>4508 - BITS/BLADES</v>
          </cell>
          <cell r="D7089" t="str">
            <v>FRDAG1900-S3</v>
          </cell>
          <cell r="BA7089">
            <v>39.99</v>
          </cell>
        </row>
        <row r="7090">
          <cell r="C7090" t="str">
            <v>4508 - BITS/BLADES</v>
          </cell>
          <cell r="D7090" t="str">
            <v>FRDAG1150</v>
          </cell>
          <cell r="BA7090">
            <v>27.99</v>
          </cell>
        </row>
        <row r="7091">
          <cell r="C7091" t="str">
            <v>4508 - BITS/BLADES</v>
          </cell>
          <cell r="D7091" t="str">
            <v>FRDAG1130</v>
          </cell>
          <cell r="BA7091">
            <v>27.99</v>
          </cell>
        </row>
        <row r="7092">
          <cell r="C7092" t="str">
            <v>4508 - BITS/BLADES</v>
          </cell>
          <cell r="D7092" t="str">
            <v>FRDAG1110</v>
          </cell>
          <cell r="BA7092">
            <v>25.99</v>
          </cell>
        </row>
        <row r="7093">
          <cell r="C7093" t="str">
            <v>4508 - BITS/BLADES</v>
          </cell>
          <cell r="D7093" t="str">
            <v>FRDAG1090</v>
          </cell>
          <cell r="BA7093">
            <v>25.99</v>
          </cell>
        </row>
        <row r="7094">
          <cell r="C7094" t="str">
            <v>4508 - BITS/BLADES</v>
          </cell>
          <cell r="D7094" t="str">
            <v>FRDAG1070</v>
          </cell>
          <cell r="BA7094">
            <v>22.99</v>
          </cell>
        </row>
        <row r="7095">
          <cell r="C7095" t="str">
            <v>4508 - BITS/BLADES</v>
          </cell>
          <cell r="D7095" t="str">
            <v>FRDAG1050</v>
          </cell>
          <cell r="BA7095">
            <v>21.99</v>
          </cell>
        </row>
        <row r="7096">
          <cell r="C7096" t="str">
            <v>4508 - BITS/BLADES</v>
          </cell>
          <cell r="D7096" t="str">
            <v>FRDPHV1-S3</v>
          </cell>
          <cell r="BA7096">
            <v>3.49</v>
          </cell>
        </row>
        <row r="7097">
          <cell r="C7097" t="str">
            <v>4508 - BITS/BLADES</v>
          </cell>
          <cell r="D7097" t="str">
            <v>FRDPHV2-S3</v>
          </cell>
          <cell r="BA7097">
            <v>5.99</v>
          </cell>
        </row>
        <row r="7098">
          <cell r="C7098" t="str">
            <v>4508 - BITS/BLADES</v>
          </cell>
          <cell r="D7098" t="str">
            <v>FRDPH11P5</v>
          </cell>
          <cell r="BA7098">
            <v>4.99</v>
          </cell>
        </row>
        <row r="7099">
          <cell r="C7099" t="str">
            <v>4508 - BITS/BLADES</v>
          </cell>
          <cell r="D7099" t="str">
            <v>DW2062</v>
          </cell>
          <cell r="BA7099">
            <v>4.59</v>
          </cell>
        </row>
        <row r="7100">
          <cell r="C7100" t="str">
            <v>4508 - BITS/BLADES</v>
          </cell>
          <cell r="D7100" t="str">
            <v>DW2002</v>
          </cell>
          <cell r="BA7100">
            <v>2.59</v>
          </cell>
        </row>
        <row r="7101">
          <cell r="C7101" t="str">
            <v>4508 - BITS/BLADES</v>
          </cell>
          <cell r="D7101" t="str">
            <v>MIL48-32-4483</v>
          </cell>
          <cell r="BA7101">
            <v>3.99</v>
          </cell>
        </row>
        <row r="7102">
          <cell r="C7102" t="str">
            <v>4508 - BITS/BLADES</v>
          </cell>
          <cell r="D7102" t="str">
            <v>MIL48-32-4484</v>
          </cell>
          <cell r="BA7102">
            <v>3.99</v>
          </cell>
        </row>
        <row r="7103">
          <cell r="C7103" t="str">
            <v>4508 - BITS/BLADES</v>
          </cell>
          <cell r="D7103" t="str">
            <v>MIL48-32-4485</v>
          </cell>
          <cell r="BA7103">
            <v>3.99</v>
          </cell>
        </row>
        <row r="7104">
          <cell r="C7104" t="str">
            <v>4508 - BITS/BLADES</v>
          </cell>
          <cell r="D7104" t="str">
            <v>MIL48-32-4487</v>
          </cell>
          <cell r="BA7104">
            <v>3.99</v>
          </cell>
        </row>
        <row r="7105">
          <cell r="C7105" t="str">
            <v>4508 - BITS/BLADES</v>
          </cell>
          <cell r="D7105" t="str">
            <v>SPEA0123</v>
          </cell>
          <cell r="BA7105">
            <v>5.49</v>
          </cell>
        </row>
        <row r="7106">
          <cell r="C7106" t="str">
            <v>4508 - BITS/BLADES</v>
          </cell>
          <cell r="D7106" t="str">
            <v>IRW53524</v>
          </cell>
          <cell r="BA7106">
            <v>8.99</v>
          </cell>
        </row>
        <row r="7107">
          <cell r="C7107" t="str">
            <v>4508 - BITS/BLADES</v>
          </cell>
          <cell r="D7107" t="str">
            <v>DW5223</v>
          </cell>
          <cell r="BA7107">
            <v>3.99</v>
          </cell>
        </row>
        <row r="7108">
          <cell r="C7108" t="str">
            <v>4508 - BITS/BLADES</v>
          </cell>
          <cell r="D7108" t="str">
            <v>DW5241</v>
          </cell>
          <cell r="BA7108">
            <v>13.99</v>
          </cell>
        </row>
        <row r="7109">
          <cell r="C7109" t="str">
            <v>4508 - BITS/BLADES</v>
          </cell>
          <cell r="D7109" t="str">
            <v>DW5446</v>
          </cell>
          <cell r="BA7109">
            <v>15.99</v>
          </cell>
        </row>
        <row r="7110">
          <cell r="C7110" t="str">
            <v>4508 - BITS/BLADES</v>
          </cell>
          <cell r="D7110" t="str">
            <v>FRDMAPLRC1020</v>
          </cell>
          <cell r="BA7110">
            <v>35.99</v>
          </cell>
        </row>
        <row r="7111">
          <cell r="C7111" t="str">
            <v>4508 - BITS/BLADES</v>
          </cell>
          <cell r="D7111" t="str">
            <v>FRDMAPL2420</v>
          </cell>
          <cell r="BA7111">
            <v>31.99</v>
          </cell>
        </row>
        <row r="7112">
          <cell r="C7112" t="str">
            <v>4508 - BITS/BLADES</v>
          </cell>
          <cell r="D7112" t="str">
            <v>FRDMAPL4332</v>
          </cell>
          <cell r="BA7112">
            <v>14.99</v>
          </cell>
        </row>
        <row r="7113">
          <cell r="C7113" t="str">
            <v>4508 - BITS/BLADES</v>
          </cell>
          <cell r="D7113" t="str">
            <v>FRDMAPL4340</v>
          </cell>
          <cell r="BA7113">
            <v>14.99</v>
          </cell>
        </row>
        <row r="7114">
          <cell r="C7114" t="str">
            <v>4508 - BITS/BLADES</v>
          </cell>
          <cell r="D7114" t="str">
            <v>FRDMAPL9930-S6</v>
          </cell>
          <cell r="BA7114">
            <v>42.99</v>
          </cell>
        </row>
        <row r="7115">
          <cell r="C7115" t="str">
            <v>4508 - BITS/BLADES</v>
          </cell>
          <cell r="D7115" t="str">
            <v>FRDMAPL9920-S7</v>
          </cell>
          <cell r="BA7115">
            <v>44.99</v>
          </cell>
        </row>
        <row r="7116">
          <cell r="C7116" t="str">
            <v>4508 - BITS/BLADES</v>
          </cell>
          <cell r="D7116" t="str">
            <v>FRDMAPL9910-S7</v>
          </cell>
          <cell r="BA7116">
            <v>37.39</v>
          </cell>
        </row>
        <row r="7117">
          <cell r="C7117" t="str">
            <v>4508 - BITS/BLADES</v>
          </cell>
          <cell r="D7117" t="str">
            <v>FRDMAST1050</v>
          </cell>
          <cell r="BA7117">
            <v>31.99</v>
          </cell>
        </row>
        <row r="7118">
          <cell r="C7118" t="str">
            <v>4508 - BITS/BLADES</v>
          </cell>
          <cell r="D7118" t="str">
            <v>FRDMAST1040</v>
          </cell>
          <cell r="BA7118">
            <v>29.99</v>
          </cell>
        </row>
        <row r="7119">
          <cell r="C7119" t="str">
            <v>4508 - BITS/BLADES</v>
          </cell>
          <cell r="D7119" t="str">
            <v>FRDMAST1030</v>
          </cell>
          <cell r="BA7119">
            <v>25.99</v>
          </cell>
        </row>
        <row r="7120">
          <cell r="C7120" t="str">
            <v>4508 - BITS/BLADES</v>
          </cell>
          <cell r="D7120" t="str">
            <v>FRDMAST1020</v>
          </cell>
          <cell r="BA7120">
            <v>25.99</v>
          </cell>
        </row>
        <row r="7121">
          <cell r="C7121" t="str">
            <v>4508 - BITS/BLADES</v>
          </cell>
          <cell r="D7121" t="str">
            <v>FRDMAST1010</v>
          </cell>
          <cell r="BA7121">
            <v>22.99</v>
          </cell>
        </row>
        <row r="7122">
          <cell r="C7122" t="str">
            <v>4508 - BITS/BLADES</v>
          </cell>
          <cell r="D7122" t="str">
            <v>FRDMAPL2960</v>
          </cell>
          <cell r="BA7122">
            <v>13.99</v>
          </cell>
        </row>
        <row r="7123">
          <cell r="C7123" t="str">
            <v>4508 - BITS/BLADES</v>
          </cell>
          <cell r="D7123" t="str">
            <v>FRDMAPL2930</v>
          </cell>
          <cell r="BA7123">
            <v>16.989999999999998</v>
          </cell>
        </row>
        <row r="7124">
          <cell r="C7124" t="str">
            <v>4508 - BITS/BLADES</v>
          </cell>
          <cell r="D7124" t="str">
            <v>FRDMAPL2510</v>
          </cell>
          <cell r="BA7124">
            <v>42.99</v>
          </cell>
        </row>
        <row r="7125">
          <cell r="C7125" t="str">
            <v>4508 - BITS/BLADES</v>
          </cell>
          <cell r="D7125" t="str">
            <v>FRDMAPL2450</v>
          </cell>
          <cell r="BA7125">
            <v>22.99</v>
          </cell>
        </row>
        <row r="7126">
          <cell r="C7126" t="str">
            <v>4508 - BITS/BLADES</v>
          </cell>
          <cell r="D7126" t="str">
            <v>FRDMAPL2920</v>
          </cell>
          <cell r="BA7126">
            <v>11.99</v>
          </cell>
        </row>
        <row r="7127">
          <cell r="C7127" t="str">
            <v>4508 - BITS/BLADES</v>
          </cell>
          <cell r="D7127" t="str">
            <v>FRDMAPL2910</v>
          </cell>
          <cell r="BA7127">
            <v>11.99</v>
          </cell>
        </row>
        <row r="7128">
          <cell r="C7128" t="str">
            <v>4508 - BITS/BLADES</v>
          </cell>
          <cell r="D7128" t="str">
            <v>FRDMAPL4230</v>
          </cell>
          <cell r="BA7128">
            <v>24.99</v>
          </cell>
        </row>
        <row r="7129">
          <cell r="C7129" t="str">
            <v>4508 - BITS/BLADES</v>
          </cell>
          <cell r="D7129" t="str">
            <v>FRDMAPL4160</v>
          </cell>
          <cell r="BA7129">
            <v>21.99</v>
          </cell>
        </row>
        <row r="7130">
          <cell r="C7130" t="str">
            <v>4508 - BITS/BLADES</v>
          </cell>
          <cell r="D7130" t="str">
            <v>FRDMAPL4090</v>
          </cell>
          <cell r="BA7130">
            <v>18.989999999999998</v>
          </cell>
        </row>
        <row r="7131">
          <cell r="C7131" t="str">
            <v>4508 - BITS/BLADES</v>
          </cell>
          <cell r="D7131" t="str">
            <v>FRDMAPL4055</v>
          </cell>
          <cell r="BA7131">
            <v>16.989999999999998</v>
          </cell>
        </row>
        <row r="7132">
          <cell r="C7132" t="str">
            <v>4508 - BITS/BLADES</v>
          </cell>
          <cell r="D7132" t="str">
            <v>FRDMAPL4190</v>
          </cell>
          <cell r="BA7132">
            <v>22.99</v>
          </cell>
        </row>
        <row r="7133">
          <cell r="C7133" t="str">
            <v>4508 - BITS/BLADES</v>
          </cell>
          <cell r="D7133" t="str">
            <v>FRDMAPL4300</v>
          </cell>
          <cell r="BA7133">
            <v>44.99</v>
          </cell>
        </row>
        <row r="7134">
          <cell r="C7134" t="str">
            <v>4508 - BITS/BLADES</v>
          </cell>
          <cell r="D7134" t="str">
            <v>FRDMAPL4280</v>
          </cell>
          <cell r="BA7134">
            <v>35.99</v>
          </cell>
        </row>
        <row r="7135">
          <cell r="C7135" t="str">
            <v>4508 - BITS/BLADES</v>
          </cell>
          <cell r="D7135" t="str">
            <v>FRDMAPL4270</v>
          </cell>
          <cell r="BA7135">
            <v>34.99</v>
          </cell>
        </row>
        <row r="7136">
          <cell r="C7136" t="str">
            <v>4508 - BITS/BLADES</v>
          </cell>
          <cell r="D7136" t="str">
            <v>FRDMAPL4250</v>
          </cell>
          <cell r="BA7136">
            <v>37.99</v>
          </cell>
        </row>
        <row r="7137">
          <cell r="C7137" t="str">
            <v>4508 - BITS/BLADES</v>
          </cell>
          <cell r="D7137" t="str">
            <v>FRDMAPL4220</v>
          </cell>
          <cell r="BA7137">
            <v>14.99</v>
          </cell>
        </row>
        <row r="7138">
          <cell r="C7138" t="str">
            <v>4508 - BITS/BLADES</v>
          </cell>
          <cell r="D7138" t="str">
            <v>FRDMAPL4150</v>
          </cell>
          <cell r="BA7138">
            <v>11.99</v>
          </cell>
        </row>
        <row r="7139">
          <cell r="C7139" t="str">
            <v>4508 - BITS/BLADES</v>
          </cell>
          <cell r="D7139" t="str">
            <v>FRDMAPL4080</v>
          </cell>
          <cell r="BA7139">
            <v>11.99</v>
          </cell>
        </row>
        <row r="7140">
          <cell r="C7140" t="str">
            <v>4508 - BITS/BLADES</v>
          </cell>
          <cell r="D7140" t="str">
            <v>FRDMAPL4050</v>
          </cell>
          <cell r="BA7140">
            <v>9.99</v>
          </cell>
        </row>
        <row r="7141">
          <cell r="C7141" t="str">
            <v>4508 - BITS/BLADES</v>
          </cell>
          <cell r="D7141" t="str">
            <v>FRDMAPL4210</v>
          </cell>
          <cell r="BA7141">
            <v>10.99</v>
          </cell>
        </row>
        <row r="7142">
          <cell r="C7142" t="str">
            <v>4508 - BITS/BLADES</v>
          </cell>
          <cell r="D7142" t="str">
            <v>FRDMAPL4180</v>
          </cell>
          <cell r="BA7142">
            <v>12.99</v>
          </cell>
        </row>
        <row r="7143">
          <cell r="C7143" t="str">
            <v>4508 - BITS/BLADES</v>
          </cell>
          <cell r="D7143" t="str">
            <v>FRDMAPL4174</v>
          </cell>
          <cell r="BA7143">
            <v>12.99</v>
          </cell>
        </row>
        <row r="7144">
          <cell r="C7144" t="str">
            <v>4508 - BITS/BLADES</v>
          </cell>
          <cell r="D7144" t="str">
            <v>FRDMAPL4140</v>
          </cell>
          <cell r="BA7144">
            <v>9.99</v>
          </cell>
        </row>
        <row r="7145">
          <cell r="C7145" t="str">
            <v>4508 - BITS/BLADES</v>
          </cell>
          <cell r="D7145" t="str">
            <v>FRDMAPL4110</v>
          </cell>
          <cell r="BA7145">
            <v>9.99</v>
          </cell>
        </row>
        <row r="7146">
          <cell r="C7146" t="str">
            <v>4508 - BITS/BLADES</v>
          </cell>
          <cell r="D7146" t="str">
            <v>FRDMAPL4070</v>
          </cell>
          <cell r="BA7146">
            <v>8.99</v>
          </cell>
        </row>
        <row r="7147">
          <cell r="C7147" t="str">
            <v>4508 - BITS/BLADES</v>
          </cell>
          <cell r="D7147" t="str">
            <v>FRDMAPL4040</v>
          </cell>
          <cell r="BA7147">
            <v>8.99</v>
          </cell>
        </row>
        <row r="7148">
          <cell r="C7148" t="str">
            <v>4508 - BITS/BLADES</v>
          </cell>
          <cell r="D7148" t="str">
            <v>FRDMAPL4020</v>
          </cell>
          <cell r="BA7148">
            <v>8.69</v>
          </cell>
        </row>
        <row r="7149">
          <cell r="C7149" t="str">
            <v>4508 - BITS/BLADES</v>
          </cell>
          <cell r="D7149" t="str">
            <v>FRDMAPL4060</v>
          </cell>
          <cell r="BA7149">
            <v>5.99</v>
          </cell>
        </row>
        <row r="7150">
          <cell r="C7150" t="str">
            <v>4508 - BITS/BLADES</v>
          </cell>
          <cell r="D7150" t="str">
            <v>FRDMAPL4030</v>
          </cell>
          <cell r="BA7150">
            <v>7.99</v>
          </cell>
        </row>
        <row r="7151">
          <cell r="C7151" t="str">
            <v>4508 - BITS/BLADES</v>
          </cell>
          <cell r="D7151" t="str">
            <v>FRDMAPL4010</v>
          </cell>
          <cell r="BA7151">
            <v>7.99</v>
          </cell>
        </row>
        <row r="7152">
          <cell r="C7152" t="str">
            <v>4508 - BITS/BLADES</v>
          </cell>
          <cell r="D7152" t="str">
            <v>DWA2T40IR</v>
          </cell>
          <cell r="BA7152">
            <v>39.99</v>
          </cell>
        </row>
        <row r="7153">
          <cell r="C7153" t="str">
            <v>4508 - BITS/BLADES</v>
          </cell>
          <cell r="D7153" t="str">
            <v>SAB76224</v>
          </cell>
          <cell r="BA7153">
            <v>1.59</v>
          </cell>
        </row>
        <row r="7154">
          <cell r="C7154" t="str">
            <v>4508 - BITS/BLADES</v>
          </cell>
          <cell r="D7154" t="str">
            <v>MAKQDSDK</v>
          </cell>
          <cell r="BA7154">
            <v>389.99</v>
          </cell>
        </row>
        <row r="7155">
          <cell r="C7155" t="str">
            <v>4508 - BITS/BLADES</v>
          </cell>
          <cell r="D7155" t="str">
            <v>IRW1882781</v>
          </cell>
          <cell r="BA7155">
            <v>12.99</v>
          </cell>
        </row>
        <row r="7156">
          <cell r="C7156" t="str">
            <v>4508 - BITS/BLADES</v>
          </cell>
          <cell r="D7156" t="str">
            <v>IRW1882782</v>
          </cell>
          <cell r="BA7156">
            <v>12.99</v>
          </cell>
        </row>
        <row r="7157">
          <cell r="C7157" t="str">
            <v>4508 - BITS/BLADES</v>
          </cell>
          <cell r="D7157" t="str">
            <v>IRW1882783</v>
          </cell>
          <cell r="BA7157">
            <v>12.99</v>
          </cell>
        </row>
        <row r="7158">
          <cell r="C7158" t="str">
            <v>4508 - BITS/BLADES</v>
          </cell>
          <cell r="D7158" t="str">
            <v>IRW1882784</v>
          </cell>
          <cell r="BA7158">
            <v>13.99</v>
          </cell>
        </row>
        <row r="7159">
          <cell r="C7159" t="str">
            <v>4508 - BITS/BLADES</v>
          </cell>
          <cell r="D7159" t="str">
            <v>MIL48-13-5001</v>
          </cell>
          <cell r="BA7159">
            <v>14.99</v>
          </cell>
        </row>
        <row r="7160">
          <cell r="C7160" t="str">
            <v>4508 - BITS/BLADES</v>
          </cell>
          <cell r="D7160" t="str">
            <v>DW1169</v>
          </cell>
          <cell r="BA7160">
            <v>18.989999999999998</v>
          </cell>
        </row>
        <row r="7161">
          <cell r="C7161" t="str">
            <v>4508 - BITS/BLADES</v>
          </cell>
          <cell r="D7161" t="str">
            <v>DWDWA1208</v>
          </cell>
          <cell r="BA7161">
            <v>5.99</v>
          </cell>
        </row>
        <row r="7162">
          <cell r="C7162" t="str">
            <v>4508 - BITS/BLADES</v>
          </cell>
          <cell r="D7162" t="str">
            <v>QDBITTX25</v>
          </cell>
          <cell r="BA7162">
            <v>8.99</v>
          </cell>
        </row>
        <row r="7163">
          <cell r="C7163" t="str">
            <v>4508 - BITS/BLADES</v>
          </cell>
          <cell r="D7163" t="str">
            <v>QDDECKCLIPRC</v>
          </cell>
          <cell r="BA7163">
            <v>38.590000000000003</v>
          </cell>
        </row>
        <row r="7164">
          <cell r="C7164" t="str">
            <v>4508 - BITS/BLADES</v>
          </cell>
          <cell r="D7164" t="str">
            <v>QDMANDREL75</v>
          </cell>
          <cell r="BA7164">
            <v>19.989999999999998</v>
          </cell>
        </row>
        <row r="7165">
          <cell r="C7165" t="str">
            <v>4508 - BITS/BLADES</v>
          </cell>
          <cell r="D7165" t="str">
            <v>NIBBI131</v>
          </cell>
          <cell r="BA7165">
            <v>5.69</v>
          </cell>
        </row>
        <row r="7166">
          <cell r="C7166" t="str">
            <v>4508 - BITS/BLADES</v>
          </cell>
          <cell r="D7166" t="str">
            <v>NIBBI136</v>
          </cell>
          <cell r="BA7166">
            <v>5.69</v>
          </cell>
        </row>
        <row r="7167">
          <cell r="C7167" t="str">
            <v>4508 - BITS/BLADES</v>
          </cell>
          <cell r="D7167" t="str">
            <v>NIBPI615</v>
          </cell>
          <cell r="BA7167">
            <v>19.190000000000001</v>
          </cell>
        </row>
        <row r="7168">
          <cell r="C7168" t="str">
            <v>4508 - BITS/BLADES</v>
          </cell>
          <cell r="D7168" t="str">
            <v>FSBIT</v>
          </cell>
          <cell r="BA7168">
            <v>24.69</v>
          </cell>
        </row>
        <row r="7169">
          <cell r="C7169" t="str">
            <v>4508 - BITS/BLADES</v>
          </cell>
          <cell r="D7169" t="str">
            <v>FRDSD1375S15</v>
          </cell>
          <cell r="BA7169">
            <v>67.989999999999995</v>
          </cell>
        </row>
        <row r="7170">
          <cell r="C7170" t="str">
            <v>4508 - BITS/BLADES</v>
          </cell>
          <cell r="D7170" t="str">
            <v>FRDSD0750S09</v>
          </cell>
          <cell r="BA7170">
            <v>35.99</v>
          </cell>
        </row>
        <row r="7171">
          <cell r="C7171" t="str">
            <v>4508 - BITS/BLADES</v>
          </cell>
          <cell r="D7171" t="str">
            <v>FRDSD0500S13</v>
          </cell>
          <cell r="BA7171">
            <v>32.99</v>
          </cell>
        </row>
        <row r="7172">
          <cell r="C7172" t="str">
            <v>4508 - BITS/BLADES</v>
          </cell>
          <cell r="D7172" t="str">
            <v>FRDSD0500S06</v>
          </cell>
          <cell r="BA7172">
            <v>29.99</v>
          </cell>
        </row>
        <row r="7173">
          <cell r="C7173" t="str">
            <v>4508 - BITS/BLADES</v>
          </cell>
          <cell r="D7173" t="str">
            <v>FRDSD0875S12</v>
          </cell>
          <cell r="BA7173">
            <v>42.99</v>
          </cell>
        </row>
        <row r="7174">
          <cell r="C7174" t="str">
            <v>4508 - BITS/BLADES</v>
          </cell>
          <cell r="D7174" t="str">
            <v>FRDSDS003</v>
          </cell>
          <cell r="BA7174">
            <v>109.99</v>
          </cell>
        </row>
        <row r="7175">
          <cell r="C7175" t="str">
            <v>4508 - BITS/BLADES</v>
          </cell>
          <cell r="D7175" t="str">
            <v>FRDHS500XT6</v>
          </cell>
          <cell r="BA7175">
            <v>25.99</v>
          </cell>
        </row>
        <row r="7176">
          <cell r="C7176" t="str">
            <v>4508 - BITS/BLADES</v>
          </cell>
          <cell r="D7176" t="str">
            <v>FRDHS500XT18</v>
          </cell>
          <cell r="BA7176">
            <v>29.99</v>
          </cell>
        </row>
        <row r="7177">
          <cell r="C7177" t="str">
            <v>4508 - BITS/BLADES</v>
          </cell>
          <cell r="D7177" t="str">
            <v>FRDHS500XT12</v>
          </cell>
          <cell r="BA7177">
            <v>29.99</v>
          </cell>
        </row>
        <row r="7178">
          <cell r="C7178" t="str">
            <v>4508 - BITS/BLADES</v>
          </cell>
          <cell r="D7178" t="str">
            <v>FRDHS375XT6</v>
          </cell>
          <cell r="BA7178">
            <v>18.989999999999998</v>
          </cell>
        </row>
        <row r="7179">
          <cell r="C7179" t="str">
            <v>4508 - BITS/BLADES</v>
          </cell>
          <cell r="D7179" t="str">
            <v>FRDHS375XT18</v>
          </cell>
          <cell r="BA7179">
            <v>24.99</v>
          </cell>
        </row>
        <row r="7180">
          <cell r="C7180" t="str">
            <v>4508 - BITS/BLADES</v>
          </cell>
          <cell r="D7180" t="str">
            <v>FRDHS375XT12</v>
          </cell>
          <cell r="BA7180">
            <v>19.989999999999998</v>
          </cell>
        </row>
        <row r="7181">
          <cell r="C7181" t="str">
            <v>4508 - BITS/BLADES</v>
          </cell>
          <cell r="D7181" t="str">
            <v>DW2045</v>
          </cell>
          <cell r="BA7181">
            <v>5.99</v>
          </cell>
        </row>
        <row r="7182">
          <cell r="C7182" t="str">
            <v>4508 - BITS/BLADES</v>
          </cell>
          <cell r="D7182" t="str">
            <v>NIBBI238</v>
          </cell>
          <cell r="BA7182">
            <v>9.2899999999999991</v>
          </cell>
        </row>
        <row r="7183">
          <cell r="C7183" t="str">
            <v>4508 - BITS/BLADES</v>
          </cell>
          <cell r="D7183" t="str">
            <v>NIBBI255</v>
          </cell>
          <cell r="BA7183">
            <v>14.99</v>
          </cell>
        </row>
        <row r="7184">
          <cell r="C7184" t="str">
            <v>4508 - BITS/BLADES</v>
          </cell>
          <cell r="D7184" t="str">
            <v>NIBPI612</v>
          </cell>
          <cell r="BA7184">
            <v>19.190000000000001</v>
          </cell>
        </row>
        <row r="7185">
          <cell r="C7185" t="str">
            <v>4508 - BITS/BLADES</v>
          </cell>
          <cell r="D7185" t="str">
            <v>MIL48-32-4503</v>
          </cell>
          <cell r="BA7185">
            <v>6.99</v>
          </cell>
        </row>
        <row r="7186">
          <cell r="C7186" t="str">
            <v>4508 - BITS/BLADES</v>
          </cell>
          <cell r="D7186" t="str">
            <v>DW2055</v>
          </cell>
          <cell r="BA7186">
            <v>5.99</v>
          </cell>
        </row>
        <row r="7187">
          <cell r="C7187" t="str">
            <v>4508 - BITS/BLADES</v>
          </cell>
          <cell r="D7187" t="str">
            <v>SPWC0070</v>
          </cell>
          <cell r="BA7187">
            <v>8.19</v>
          </cell>
        </row>
        <row r="7188">
          <cell r="C7188" t="str">
            <v>4508 - BITS/BLADES</v>
          </cell>
          <cell r="D7188" t="str">
            <v>FRDBH238</v>
          </cell>
          <cell r="BA7188">
            <v>4.99</v>
          </cell>
        </row>
        <row r="7189">
          <cell r="C7189" t="str">
            <v>4508 - BITS/BLADES</v>
          </cell>
          <cell r="D7189" t="str">
            <v>FRDBH238QC</v>
          </cell>
          <cell r="BA7189">
            <v>6.99</v>
          </cell>
        </row>
        <row r="7190">
          <cell r="C7190" t="str">
            <v>4508 - BITS/BLADES</v>
          </cell>
          <cell r="D7190" t="str">
            <v>FRDBH300</v>
          </cell>
          <cell r="BA7190">
            <v>5.99</v>
          </cell>
        </row>
        <row r="7191">
          <cell r="C7191" t="str">
            <v>4508 - BITS/BLADES</v>
          </cell>
          <cell r="D7191" t="str">
            <v>FRDBH600</v>
          </cell>
          <cell r="BA7191">
            <v>8.99</v>
          </cell>
        </row>
        <row r="7192">
          <cell r="C7192" t="str">
            <v>4508 - BITS/BLADES</v>
          </cell>
          <cell r="D7192" t="str">
            <v>DW2219</v>
          </cell>
          <cell r="BA7192">
            <v>3.49</v>
          </cell>
        </row>
        <row r="7193">
          <cell r="C7193" t="str">
            <v>4508 - BITS/BLADES</v>
          </cell>
          <cell r="D7193" t="str">
            <v>DW2218</v>
          </cell>
          <cell r="BA7193">
            <v>3.49</v>
          </cell>
        </row>
        <row r="7194">
          <cell r="C7194" t="str">
            <v>4508 - BITS/BLADES</v>
          </cell>
          <cell r="D7194" t="str">
            <v>DW2220</v>
          </cell>
          <cell r="BA7194">
            <v>3.29</v>
          </cell>
        </row>
        <row r="7195">
          <cell r="C7195" t="str">
            <v>4508 - BITS/BLADES</v>
          </cell>
          <cell r="D7195" t="str">
            <v>IRW91831</v>
          </cell>
          <cell r="BA7195">
            <v>2.79</v>
          </cell>
        </row>
        <row r="7196">
          <cell r="C7196" t="str">
            <v>4508 - BITS/BLADES</v>
          </cell>
          <cell r="D7196" t="str">
            <v>IRW373000</v>
          </cell>
          <cell r="BA7196">
            <v>4.99</v>
          </cell>
        </row>
        <row r="7197">
          <cell r="C7197" t="str">
            <v>4508 - BITS/BLADES</v>
          </cell>
          <cell r="D7197" t="str">
            <v>EA0141</v>
          </cell>
          <cell r="BA7197">
            <v>6.39</v>
          </cell>
        </row>
        <row r="7198">
          <cell r="C7198" t="str">
            <v>4508 - BITS/BLADES</v>
          </cell>
          <cell r="D7198" t="str">
            <v>RZGP8</v>
          </cell>
          <cell r="BA7198">
            <v>22.99</v>
          </cell>
        </row>
        <row r="7199">
          <cell r="C7199" t="str">
            <v>4508 - BITS/BLADES</v>
          </cell>
          <cell r="D7199" t="str">
            <v>FRDDEPHV25-S3</v>
          </cell>
          <cell r="BA7199">
            <v>5.39</v>
          </cell>
        </row>
        <row r="7200">
          <cell r="C7200" t="str">
            <v>4508 - BITS/BLADES</v>
          </cell>
          <cell r="D7200" t="str">
            <v>FRDDESQV25-S3</v>
          </cell>
          <cell r="BA7200">
            <v>5.39</v>
          </cell>
        </row>
        <row r="7201">
          <cell r="C7201" t="str">
            <v>4508 - BITS/BLADES</v>
          </cell>
          <cell r="D7201" t="str">
            <v>FRDDETV25-S3</v>
          </cell>
          <cell r="BA7201">
            <v>5.39</v>
          </cell>
        </row>
        <row r="7202">
          <cell r="C7202" t="str">
            <v>4508 - BITS/BLADES</v>
          </cell>
          <cell r="D7202" t="str">
            <v>FRDDEV25-S3</v>
          </cell>
          <cell r="BA7202">
            <v>5.39</v>
          </cell>
        </row>
        <row r="7203">
          <cell r="C7203" t="str">
            <v>4508 - BITS/BLADES</v>
          </cell>
          <cell r="D7203" t="str">
            <v>FRDT202P15</v>
          </cell>
          <cell r="BA7203">
            <v>14.99</v>
          </cell>
        </row>
        <row r="7204">
          <cell r="C7204" t="str">
            <v>4508 - BITS/BLADES</v>
          </cell>
          <cell r="D7204" t="str">
            <v>FRDT202P5</v>
          </cell>
          <cell r="BA7204">
            <v>6.99</v>
          </cell>
        </row>
        <row r="7205">
          <cell r="C7205" t="str">
            <v>4508 - BITS/BLADES</v>
          </cell>
          <cell r="D7205" t="str">
            <v>FRDT2035P1</v>
          </cell>
          <cell r="BA7205">
            <v>3.99</v>
          </cell>
        </row>
        <row r="7206">
          <cell r="C7206" t="str">
            <v>4508 - BITS/BLADES</v>
          </cell>
          <cell r="D7206" t="str">
            <v>FRDT206P1</v>
          </cell>
          <cell r="BA7206">
            <v>4.99</v>
          </cell>
        </row>
        <row r="7207">
          <cell r="C7207" t="str">
            <v>4508 - BITS/BLADES</v>
          </cell>
          <cell r="D7207" t="str">
            <v>FRDT251P5</v>
          </cell>
          <cell r="BA7207">
            <v>4.99</v>
          </cell>
        </row>
        <row r="7208">
          <cell r="C7208" t="str">
            <v>4508 - BITS/BLADES</v>
          </cell>
          <cell r="D7208" t="str">
            <v>FRDT2535P1</v>
          </cell>
          <cell r="BA7208">
            <v>3.99</v>
          </cell>
        </row>
        <row r="7209">
          <cell r="C7209" t="str">
            <v>4508 - BITS/BLADES</v>
          </cell>
          <cell r="D7209" t="str">
            <v>FRDT256P1</v>
          </cell>
          <cell r="BA7209">
            <v>4.99</v>
          </cell>
        </row>
        <row r="7210">
          <cell r="C7210" t="str">
            <v>4508 - BITS/BLADES</v>
          </cell>
          <cell r="D7210" t="str">
            <v>FRDT271P2</v>
          </cell>
          <cell r="BA7210">
            <v>2.99</v>
          </cell>
        </row>
        <row r="7211">
          <cell r="C7211" t="str">
            <v>4508 - BITS/BLADES</v>
          </cell>
          <cell r="D7211" t="str">
            <v>FRDT301P5</v>
          </cell>
          <cell r="BA7211">
            <v>4.99</v>
          </cell>
        </row>
        <row r="7212">
          <cell r="C7212" t="str">
            <v>4508 - BITS/BLADES</v>
          </cell>
          <cell r="D7212" t="str">
            <v>FRDT302P1</v>
          </cell>
          <cell r="BA7212">
            <v>2.99</v>
          </cell>
        </row>
        <row r="7213">
          <cell r="C7213" t="str">
            <v>4508 - BITS/BLADES</v>
          </cell>
          <cell r="D7213" t="str">
            <v>FRDT302P5</v>
          </cell>
          <cell r="BA7213">
            <v>6.99</v>
          </cell>
        </row>
        <row r="7214">
          <cell r="C7214" t="str">
            <v>4508 - BITS/BLADES</v>
          </cell>
          <cell r="D7214" t="str">
            <v>FRDT401P2</v>
          </cell>
          <cell r="BA7214">
            <v>2.99</v>
          </cell>
        </row>
        <row r="7215">
          <cell r="C7215" t="str">
            <v>4508 - BITS/BLADES</v>
          </cell>
          <cell r="D7215" t="str">
            <v>FRDT401P5</v>
          </cell>
          <cell r="BA7215">
            <v>4.99</v>
          </cell>
        </row>
        <row r="7216">
          <cell r="C7216" t="str">
            <v>4508 - BITS/BLADES</v>
          </cell>
          <cell r="D7216" t="str">
            <v>FRDT402P5</v>
          </cell>
          <cell r="BA7216">
            <v>6.99</v>
          </cell>
        </row>
        <row r="7217">
          <cell r="C7217" t="str">
            <v>4508 - BITS/BLADES</v>
          </cell>
          <cell r="D7217" t="str">
            <v>FRDHXV1-S7</v>
          </cell>
          <cell r="BA7217">
            <v>6.99</v>
          </cell>
        </row>
        <row r="7218">
          <cell r="C7218" t="str">
            <v>4508 - BITS/BLADES</v>
          </cell>
          <cell r="D7218" t="str">
            <v>FRDT201P5</v>
          </cell>
          <cell r="BA7218">
            <v>4.99</v>
          </cell>
        </row>
        <row r="7219">
          <cell r="C7219" t="str">
            <v>4508 - BITS/BLADES</v>
          </cell>
          <cell r="D7219" t="str">
            <v>FRDT201P2</v>
          </cell>
          <cell r="BA7219">
            <v>2.99</v>
          </cell>
        </row>
        <row r="7220">
          <cell r="C7220" t="str">
            <v>4508 - BITS/BLADES</v>
          </cell>
          <cell r="D7220" t="str">
            <v>FRDT152P5</v>
          </cell>
          <cell r="BA7220">
            <v>6.99</v>
          </cell>
        </row>
        <row r="7221">
          <cell r="C7221" t="str">
            <v>4508 - BITS/BLADES</v>
          </cell>
          <cell r="D7221" t="str">
            <v>FRDT152P1</v>
          </cell>
          <cell r="BA7221">
            <v>2.99</v>
          </cell>
        </row>
        <row r="7222">
          <cell r="C7222" t="str">
            <v>4508 - BITS/BLADES</v>
          </cell>
          <cell r="D7222" t="str">
            <v>FRDT151P5</v>
          </cell>
          <cell r="BA7222">
            <v>4.99</v>
          </cell>
        </row>
        <row r="7223">
          <cell r="C7223" t="str">
            <v>4508 - BITS/BLADES</v>
          </cell>
          <cell r="D7223" t="str">
            <v>FRDT102P1</v>
          </cell>
          <cell r="BA7223">
            <v>2.99</v>
          </cell>
        </row>
        <row r="7224">
          <cell r="C7224" t="str">
            <v>4508 - BITS/BLADES</v>
          </cell>
          <cell r="D7224" t="str">
            <v>FRDT101P2</v>
          </cell>
          <cell r="BA7224">
            <v>2.99</v>
          </cell>
        </row>
        <row r="7225">
          <cell r="C7225" t="str">
            <v>4508 - BITS/BLADES</v>
          </cell>
          <cell r="D7225" t="str">
            <v>FRDTV2-S6</v>
          </cell>
          <cell r="BA7225">
            <v>6.99</v>
          </cell>
        </row>
        <row r="7226">
          <cell r="C7226" t="str">
            <v>4508 - BITS/BLADES</v>
          </cell>
          <cell r="D7226" t="str">
            <v>FRDTV1-S7</v>
          </cell>
          <cell r="BA7226">
            <v>6.99</v>
          </cell>
        </row>
        <row r="7227">
          <cell r="C7227" t="str">
            <v>4508 - BITS/BLADES</v>
          </cell>
          <cell r="D7227" t="str">
            <v>FRDTHV1-S7</v>
          </cell>
          <cell r="BA7227">
            <v>6.99</v>
          </cell>
        </row>
        <row r="7228">
          <cell r="C7228" t="str">
            <v>4508 - BITS/BLADES</v>
          </cell>
          <cell r="D7228" t="str">
            <v>FRDSQ32P1</v>
          </cell>
          <cell r="BA7228">
            <v>2.99</v>
          </cell>
        </row>
        <row r="7229">
          <cell r="C7229" t="str">
            <v>4508 - BITS/BLADES</v>
          </cell>
          <cell r="D7229" t="str">
            <v>FRDSQ31P5</v>
          </cell>
          <cell r="BA7229">
            <v>4.99</v>
          </cell>
        </row>
        <row r="7230">
          <cell r="C7230" t="str">
            <v>4508 - BITS/BLADES</v>
          </cell>
          <cell r="D7230" t="str">
            <v>FRDSQ26P1</v>
          </cell>
          <cell r="BA7230">
            <v>4.99</v>
          </cell>
        </row>
        <row r="7231">
          <cell r="C7231" t="str">
            <v>4508 - BITS/BLADES</v>
          </cell>
          <cell r="D7231" t="str">
            <v>FRDSQ235P1</v>
          </cell>
          <cell r="BA7231">
            <v>3.99</v>
          </cell>
        </row>
        <row r="7232">
          <cell r="C7232" t="str">
            <v>4508 - BITS/BLADES</v>
          </cell>
          <cell r="D7232" t="str">
            <v>FRDSQ22P5</v>
          </cell>
          <cell r="BA7232">
            <v>6.99</v>
          </cell>
        </row>
        <row r="7233">
          <cell r="C7233" t="str">
            <v>4508 - BITS/BLADES</v>
          </cell>
          <cell r="D7233" t="str">
            <v>FRDSQ21P5</v>
          </cell>
          <cell r="BA7233">
            <v>4.99</v>
          </cell>
        </row>
        <row r="7234">
          <cell r="C7234" t="str">
            <v>4508 - BITS/BLADES</v>
          </cell>
          <cell r="D7234" t="str">
            <v>FRDSQ11P5</v>
          </cell>
          <cell r="BA7234">
            <v>4.99</v>
          </cell>
        </row>
        <row r="7235">
          <cell r="C7235" t="str">
            <v>4508 - BITS/BLADES</v>
          </cell>
          <cell r="D7235" t="str">
            <v>FRDSQV1-S3</v>
          </cell>
          <cell r="BA7235">
            <v>3.49</v>
          </cell>
        </row>
        <row r="7236">
          <cell r="C7236" t="str">
            <v>4508 - BITS/BLADES</v>
          </cell>
          <cell r="D7236" t="str">
            <v>FRDSQV2-S3</v>
          </cell>
          <cell r="BA7236">
            <v>5.99</v>
          </cell>
        </row>
        <row r="7237">
          <cell r="C7237" t="str">
            <v>4508 - BITS/BLADES</v>
          </cell>
          <cell r="D7237" t="str">
            <v>FRDSL8101P2</v>
          </cell>
          <cell r="BA7237">
            <v>2.99</v>
          </cell>
        </row>
        <row r="7238">
          <cell r="C7238" t="str">
            <v>4508 - BITS/BLADES</v>
          </cell>
          <cell r="D7238" t="str">
            <v>FRDSL681P2</v>
          </cell>
          <cell r="BA7238">
            <v>2.99</v>
          </cell>
        </row>
        <row r="7239">
          <cell r="C7239" t="str">
            <v>4508 - BITS/BLADES</v>
          </cell>
          <cell r="D7239" t="str">
            <v>FRDSC-S54</v>
          </cell>
          <cell r="BA7239">
            <v>32.99</v>
          </cell>
        </row>
        <row r="7240">
          <cell r="C7240" t="str">
            <v>4508 - BITS/BLADES</v>
          </cell>
          <cell r="D7240" t="str">
            <v>FRDSC-S45</v>
          </cell>
          <cell r="BA7240">
            <v>27.99</v>
          </cell>
        </row>
        <row r="7241">
          <cell r="C7241" t="str">
            <v>4508 - BITS/BLADES</v>
          </cell>
          <cell r="D7241" t="str">
            <v>FRDSA0500</v>
          </cell>
          <cell r="BA7241">
            <v>5.99</v>
          </cell>
        </row>
        <row r="7242">
          <cell r="C7242" t="str">
            <v>4508 - BITS/BLADES</v>
          </cell>
          <cell r="D7242" t="str">
            <v>FRDSA0375</v>
          </cell>
          <cell r="BA7242">
            <v>4.99</v>
          </cell>
        </row>
        <row r="7243">
          <cell r="C7243" t="str">
            <v>4508 - BITS/BLADES</v>
          </cell>
          <cell r="D7243" t="str">
            <v>FRDSA0250</v>
          </cell>
          <cell r="BA7243">
            <v>3.99</v>
          </cell>
        </row>
        <row r="7244">
          <cell r="C7244" t="str">
            <v>4508 - BITS/BLADES</v>
          </cell>
          <cell r="D7244" t="str">
            <v>FRDPH32P5</v>
          </cell>
          <cell r="BA7244">
            <v>6.99</v>
          </cell>
        </row>
        <row r="7245">
          <cell r="C7245" t="str">
            <v>4508 - BITS/BLADES</v>
          </cell>
          <cell r="D7245" t="str">
            <v>FRDPH31P5</v>
          </cell>
          <cell r="BA7245">
            <v>4.99</v>
          </cell>
        </row>
        <row r="7246">
          <cell r="C7246" t="str">
            <v>4508 - BITS/BLADES</v>
          </cell>
          <cell r="D7246" t="str">
            <v>FRDPH26P1</v>
          </cell>
          <cell r="BA7246">
            <v>4.99</v>
          </cell>
        </row>
        <row r="7247">
          <cell r="C7247" t="str">
            <v>4508 - BITS/BLADES</v>
          </cell>
          <cell r="D7247" t="str">
            <v>FRDPH235P1</v>
          </cell>
          <cell r="BA7247">
            <v>3.99</v>
          </cell>
        </row>
        <row r="7248">
          <cell r="C7248" t="str">
            <v>4508 - BITS/BLADES</v>
          </cell>
          <cell r="D7248" t="str">
            <v>FRDPH22P5</v>
          </cell>
          <cell r="BA7248">
            <v>6.99</v>
          </cell>
        </row>
        <row r="7249">
          <cell r="C7249" t="str">
            <v>4508 - BITS/BLADES</v>
          </cell>
          <cell r="D7249" t="str">
            <v>FRDPH21P5</v>
          </cell>
          <cell r="BA7249">
            <v>4.99</v>
          </cell>
        </row>
        <row r="7250">
          <cell r="C7250" t="str">
            <v>4508 - BITS/BLADES</v>
          </cell>
          <cell r="D7250" t="str">
            <v>FRDPH2R1P2</v>
          </cell>
          <cell r="BA7250">
            <v>2.99</v>
          </cell>
        </row>
        <row r="7251">
          <cell r="C7251" t="str">
            <v>4508 - BITS/BLADES</v>
          </cell>
          <cell r="D7251" t="str">
            <v>FRDPH12P5</v>
          </cell>
          <cell r="BA7251">
            <v>6.99</v>
          </cell>
        </row>
        <row r="7252">
          <cell r="C7252" t="str">
            <v>4508 - BITS/BLADES</v>
          </cell>
          <cell r="D7252" t="str">
            <v>IRW189070</v>
          </cell>
          <cell r="BA7252">
            <v>14.99</v>
          </cell>
        </row>
        <row r="7253">
          <cell r="C7253" t="str">
            <v>4508 - BITS/BLADES</v>
          </cell>
          <cell r="D7253" t="str">
            <v>IRW1890711</v>
          </cell>
          <cell r="BA7253">
            <v>16.989999999999998</v>
          </cell>
        </row>
        <row r="7254">
          <cell r="C7254" t="str">
            <v>4508 - BITS/BLADES</v>
          </cell>
          <cell r="D7254" t="str">
            <v>IRW4935704</v>
          </cell>
          <cell r="BA7254">
            <v>10.99</v>
          </cell>
        </row>
        <row r="7255">
          <cell r="C7255" t="str">
            <v>4508 - BITS/BLADES</v>
          </cell>
          <cell r="D7255" t="str">
            <v>IRW4935705</v>
          </cell>
          <cell r="BA7255">
            <v>10.99</v>
          </cell>
        </row>
        <row r="7256">
          <cell r="C7256" t="str">
            <v>4508 - BITS/BLADES</v>
          </cell>
          <cell r="D7256" t="str">
            <v>IRW373001</v>
          </cell>
          <cell r="BA7256">
            <v>9.99</v>
          </cell>
        </row>
        <row r="7257">
          <cell r="C7257" t="str">
            <v>4508 - BITS/BLADES</v>
          </cell>
          <cell r="D7257" t="str">
            <v>IRW373003</v>
          </cell>
          <cell r="BA7257">
            <v>15.99</v>
          </cell>
        </row>
        <row r="7258">
          <cell r="C7258" t="str">
            <v>4508 - BITS/BLADES</v>
          </cell>
          <cell r="D7258" t="str">
            <v>NN345099</v>
          </cell>
          <cell r="BA7258">
            <v>5.39</v>
          </cell>
        </row>
        <row r="7259">
          <cell r="C7259" t="str">
            <v>4508 - BITS/BLADES</v>
          </cell>
          <cell r="D7259" t="str">
            <v>NN345089</v>
          </cell>
          <cell r="BA7259">
            <v>6.99</v>
          </cell>
        </row>
        <row r="7260">
          <cell r="C7260" t="str">
            <v>4508 - BITS/BLADES</v>
          </cell>
          <cell r="D7260" t="str">
            <v>LEN1213188300</v>
          </cell>
          <cell r="BA7260">
            <v>24.99</v>
          </cell>
        </row>
        <row r="7261">
          <cell r="C7261" t="str">
            <v>4508 - BITS/BLADES</v>
          </cell>
          <cell r="D7261" t="str">
            <v>LEN20154S218HE</v>
          </cell>
          <cell r="BA7261">
            <v>3.99</v>
          </cell>
        </row>
        <row r="7262">
          <cell r="C7262" t="str">
            <v>4508 - BITS/BLADES</v>
          </cell>
          <cell r="D7262" t="str">
            <v>LEN20155S224HE</v>
          </cell>
          <cell r="BA7262">
            <v>3.99</v>
          </cell>
        </row>
        <row r="7263">
          <cell r="C7263" t="str">
            <v>4508 - BITS/BLADES</v>
          </cell>
          <cell r="D7263" t="str">
            <v>ST15908A</v>
          </cell>
          <cell r="BA7263">
            <v>2.59</v>
          </cell>
        </row>
        <row r="7264">
          <cell r="C7264" t="str">
            <v>4508 - BITS/BLADES</v>
          </cell>
          <cell r="D7264" t="str">
            <v>LEN20156S232HE</v>
          </cell>
          <cell r="BA7264">
            <v>3.99</v>
          </cell>
        </row>
        <row r="7265">
          <cell r="C7265" t="str">
            <v>4508 - BITS/BLADES</v>
          </cell>
          <cell r="D7265" t="str">
            <v>ST15904A</v>
          </cell>
          <cell r="BA7265">
            <v>2.59</v>
          </cell>
        </row>
        <row r="7266">
          <cell r="C7266" t="str">
            <v>4508 - BITS/BLADES</v>
          </cell>
          <cell r="D7266" t="str">
            <v>FRED0516X</v>
          </cell>
          <cell r="BA7266">
            <v>13.99</v>
          </cell>
        </row>
        <row r="7267">
          <cell r="C7267" t="str">
            <v>4508 - BITS/BLADES</v>
          </cell>
          <cell r="D7267" t="str">
            <v>D0824X</v>
          </cell>
          <cell r="BA7267">
            <v>19.989999999999998</v>
          </cell>
        </row>
        <row r="7268">
          <cell r="C7268" t="str">
            <v>4508 - BITS/BLADES</v>
          </cell>
          <cell r="D7268" t="str">
            <v>D0436X</v>
          </cell>
          <cell r="BA7268">
            <v>22.99</v>
          </cell>
        </row>
        <row r="7269">
          <cell r="C7269" t="str">
            <v>4508 - BITS/BLADES</v>
          </cell>
          <cell r="D7269" t="str">
            <v>D0524X</v>
          </cell>
          <cell r="BA7269">
            <v>16.989999999999998</v>
          </cell>
        </row>
        <row r="7270">
          <cell r="C7270" t="str">
            <v>4508 - BITS/BLADES</v>
          </cell>
          <cell r="D7270" t="str">
            <v>D0536X</v>
          </cell>
          <cell r="BA7270">
            <v>18.989999999999998</v>
          </cell>
        </row>
        <row r="7271">
          <cell r="C7271" t="str">
            <v>4508 - BITS/BLADES</v>
          </cell>
          <cell r="D7271" t="str">
            <v>D0620X</v>
          </cell>
          <cell r="BA7271">
            <v>14.99</v>
          </cell>
        </row>
        <row r="7272">
          <cell r="C7272" t="str">
            <v>4508 - BITS/BLADES</v>
          </cell>
          <cell r="D7272" t="str">
            <v>FRED0640X</v>
          </cell>
          <cell r="BA7272">
            <v>17.989999999999998</v>
          </cell>
        </row>
        <row r="7273">
          <cell r="C7273" t="str">
            <v>4508 - BITS/BLADES</v>
          </cell>
          <cell r="D7273" t="str">
            <v>ST15061</v>
          </cell>
          <cell r="BA7273">
            <v>4.59</v>
          </cell>
        </row>
        <row r="7274">
          <cell r="C7274" t="str">
            <v>4508 - BITS/BLADES</v>
          </cell>
          <cell r="D7274" t="str">
            <v>ST11911</v>
          </cell>
          <cell r="BA7274">
            <v>2.59</v>
          </cell>
        </row>
        <row r="7275">
          <cell r="C7275" t="str">
            <v>4508 - BITS/BLADES</v>
          </cell>
          <cell r="D7275" t="str">
            <v>ST11921</v>
          </cell>
          <cell r="BA7275">
            <v>2.99</v>
          </cell>
        </row>
        <row r="7276">
          <cell r="C7276" t="str">
            <v>4508 - BITS/BLADES</v>
          </cell>
          <cell r="D7276" t="str">
            <v>ST11931</v>
          </cell>
          <cell r="BA7276">
            <v>2.99</v>
          </cell>
        </row>
        <row r="7277">
          <cell r="C7277" t="str">
            <v>4508 - BITS/BLADES</v>
          </cell>
          <cell r="D7277" t="str">
            <v>HY42100</v>
          </cell>
          <cell r="BA7277">
            <v>2.79</v>
          </cell>
        </row>
        <row r="7278">
          <cell r="C7278" t="str">
            <v>4508 - BITS/BLADES</v>
          </cell>
          <cell r="D7278" t="str">
            <v>DWHT11134</v>
          </cell>
          <cell r="BA7278">
            <v>8.99</v>
          </cell>
        </row>
        <row r="7279">
          <cell r="C7279" t="str">
            <v>4508 - BITS/BLADES</v>
          </cell>
          <cell r="D7279" t="str">
            <v>ATSEB10</v>
          </cell>
          <cell r="BA7279">
            <v>3.79</v>
          </cell>
        </row>
        <row r="7280">
          <cell r="C7280" t="str">
            <v>4508 - BITS/BLADES</v>
          </cell>
          <cell r="D7280" t="str">
            <v>D0744CD</v>
          </cell>
          <cell r="BA7280">
            <v>35.99</v>
          </cell>
        </row>
        <row r="7281">
          <cell r="C7281" t="str">
            <v>4508 - BITS/BLADES</v>
          </cell>
          <cell r="D7281" t="str">
            <v>D1072CD</v>
          </cell>
          <cell r="BA7281">
            <v>77.989999999999995</v>
          </cell>
        </row>
        <row r="7282">
          <cell r="C7282" t="str">
            <v>4508 - BITS/BLADES</v>
          </cell>
          <cell r="D7282" t="str">
            <v>D1284CD</v>
          </cell>
          <cell r="BA7282">
            <v>77.989999999999995</v>
          </cell>
        </row>
        <row r="7283">
          <cell r="C7283" t="str">
            <v>4508 - BITS/BLADES</v>
          </cell>
          <cell r="D7283" t="str">
            <v>D055018WMX</v>
          </cell>
          <cell r="BA7283">
            <v>16.989999999999998</v>
          </cell>
        </row>
        <row r="7284">
          <cell r="C7284" t="str">
            <v>4508 - BITS/BLADES</v>
          </cell>
          <cell r="D7284" t="str">
            <v>FRDOSCGX</v>
          </cell>
          <cell r="BA7284">
            <v>29.99</v>
          </cell>
        </row>
        <row r="7285">
          <cell r="C7285" t="str">
            <v>4508 - BITS/BLADES</v>
          </cell>
          <cell r="D7285" t="str">
            <v>FRDOSSCRP2</v>
          </cell>
          <cell r="BA7285">
            <v>17.989999999999998</v>
          </cell>
        </row>
        <row r="7286">
          <cell r="C7286" t="str">
            <v>4508 - BITS/BLADES</v>
          </cell>
          <cell r="D7286" t="str">
            <v>FRDOS125BW3</v>
          </cell>
          <cell r="BA7286">
            <v>34.99</v>
          </cell>
        </row>
        <row r="7287">
          <cell r="C7287" t="str">
            <v>4508 - BITS/BLADES</v>
          </cell>
          <cell r="D7287" t="str">
            <v>FRDOS125CF3</v>
          </cell>
          <cell r="BA7287">
            <v>47.99</v>
          </cell>
        </row>
        <row r="7288">
          <cell r="C7288" t="str">
            <v>4508 - BITS/BLADES</v>
          </cell>
          <cell r="D7288" t="str">
            <v>FRDOS125CGP3</v>
          </cell>
          <cell r="BA7288">
            <v>45.99</v>
          </cell>
        </row>
        <row r="7289">
          <cell r="C7289" t="str">
            <v>4508 - BITS/BLADES</v>
          </cell>
          <cell r="D7289" t="str">
            <v>DOS125JBW3</v>
          </cell>
          <cell r="BA7289">
            <v>0</v>
          </cell>
        </row>
        <row r="7290">
          <cell r="C7290" t="str">
            <v>4508 - BITS/BLADES</v>
          </cell>
          <cell r="D7290" t="str">
            <v>FRDOS125JBW3</v>
          </cell>
          <cell r="BA7290">
            <v>34.99</v>
          </cell>
        </row>
        <row r="7291">
          <cell r="C7291" t="str">
            <v>4508 - BITS/BLADES</v>
          </cell>
          <cell r="D7291" t="str">
            <v>FRDOS200RBD</v>
          </cell>
          <cell r="BA7291">
            <v>18.989999999999998</v>
          </cell>
        </row>
        <row r="7292">
          <cell r="C7292" t="str">
            <v>4508 - BITS/BLADES</v>
          </cell>
          <cell r="D7292" t="str">
            <v>FRDOS3125RCGP</v>
          </cell>
          <cell r="BA7292">
            <v>29.99</v>
          </cell>
        </row>
        <row r="7293">
          <cell r="C7293" t="str">
            <v>4508 - BITS/BLADES</v>
          </cell>
          <cell r="D7293" t="str">
            <v>FRDOU125KNFE</v>
          </cell>
          <cell r="BA7293">
            <v>14.99</v>
          </cell>
        </row>
        <row r="7294">
          <cell r="C7294" t="str">
            <v>4508 - BITS/BLADES</v>
          </cell>
          <cell r="D7294" t="str">
            <v>FRDOS350RBGP</v>
          </cell>
          <cell r="BA7294">
            <v>29.99</v>
          </cell>
        </row>
        <row r="7295">
          <cell r="C7295" t="str">
            <v>4508 - BITS/BLADES</v>
          </cell>
          <cell r="D7295" t="str">
            <v>FRDOS5S</v>
          </cell>
          <cell r="BA7295">
            <v>62.99</v>
          </cell>
        </row>
        <row r="7296">
          <cell r="C7296" t="str">
            <v>4508 - BITS/BLADES</v>
          </cell>
          <cell r="D7296" t="str">
            <v>FRDOS60CGSP</v>
          </cell>
          <cell r="BA7296">
            <v>27.99</v>
          </cell>
        </row>
        <row r="7297">
          <cell r="C7297" t="str">
            <v>4508 - BITS/BLADES</v>
          </cell>
          <cell r="D7297" t="str">
            <v>FRDOUSAND</v>
          </cell>
          <cell r="BA7297">
            <v>16.989999999999998</v>
          </cell>
        </row>
        <row r="7298">
          <cell r="C7298" t="str">
            <v>4508 - BITS/BLADES</v>
          </cell>
          <cell r="D7298" t="str">
            <v>FRDOUSCRP2</v>
          </cell>
          <cell r="BA7298">
            <v>16.989999999999998</v>
          </cell>
        </row>
        <row r="7299">
          <cell r="C7299" t="str">
            <v>4508 - BITS/BLADES</v>
          </cell>
          <cell r="D7299" t="str">
            <v>FRDOU125BF</v>
          </cell>
          <cell r="BA7299">
            <v>17.989999999999998</v>
          </cell>
        </row>
        <row r="7300">
          <cell r="C7300" t="str">
            <v>4508 - BITS/BLADES</v>
          </cell>
          <cell r="D7300" t="str">
            <v>FRDOU125BF3</v>
          </cell>
          <cell r="BA7300">
            <v>35.99</v>
          </cell>
        </row>
        <row r="7301">
          <cell r="C7301" t="str">
            <v>4508 - BITS/BLADES</v>
          </cell>
          <cell r="D7301" t="str">
            <v>FRDOU125BW</v>
          </cell>
          <cell r="BA7301">
            <v>18.989999999999998</v>
          </cell>
        </row>
        <row r="7302">
          <cell r="C7302" t="str">
            <v>4508 - BITS/BLADES</v>
          </cell>
          <cell r="D7302" t="str">
            <v>FRDOU125BW3</v>
          </cell>
          <cell r="BA7302">
            <v>35.99</v>
          </cell>
        </row>
        <row r="7303">
          <cell r="C7303" t="str">
            <v>4508 - BITS/BLADES</v>
          </cell>
          <cell r="D7303" t="str">
            <v>FRDOU125CF</v>
          </cell>
          <cell r="BA7303">
            <v>21.99</v>
          </cell>
        </row>
        <row r="7304">
          <cell r="C7304" t="str">
            <v>4508 - BITS/BLADES</v>
          </cell>
          <cell r="D7304" t="str">
            <v>FRDOU125CF3</v>
          </cell>
          <cell r="BA7304">
            <v>42.99</v>
          </cell>
        </row>
        <row r="7305">
          <cell r="C7305" t="str">
            <v>4508 - BITS/BLADES</v>
          </cell>
          <cell r="D7305" t="str">
            <v>FRDOU125CGP</v>
          </cell>
          <cell r="BA7305">
            <v>21.99</v>
          </cell>
        </row>
        <row r="7306">
          <cell r="C7306" t="str">
            <v>4508 - BITS/BLADES</v>
          </cell>
          <cell r="D7306" t="str">
            <v>FRDOU125CGP3</v>
          </cell>
          <cell r="BA7306">
            <v>42.99</v>
          </cell>
        </row>
        <row r="7307">
          <cell r="C7307" t="str">
            <v>4508 - BITS/BLADES</v>
          </cell>
          <cell r="D7307" t="str">
            <v>FRDOU125JBW</v>
          </cell>
          <cell r="BA7307">
            <v>17.989999999999998</v>
          </cell>
        </row>
        <row r="7308">
          <cell r="C7308" t="str">
            <v>4508 - BITS/BLADES</v>
          </cell>
          <cell r="D7308" t="str">
            <v>FRDOU125JBW3</v>
          </cell>
          <cell r="BA7308">
            <v>35.99</v>
          </cell>
        </row>
        <row r="7309">
          <cell r="C7309" t="str">
            <v>4508 - BITS/BLADES</v>
          </cell>
          <cell r="D7309" t="str">
            <v>FRDOU16DGX</v>
          </cell>
          <cell r="BA7309">
            <v>39.99</v>
          </cell>
        </row>
        <row r="7310">
          <cell r="C7310" t="str">
            <v>4508 - BITS/BLADES</v>
          </cell>
          <cell r="D7310" t="str">
            <v>FRDOU20CGSP</v>
          </cell>
          <cell r="BA7310">
            <v>25.99</v>
          </cell>
        </row>
        <row r="7311">
          <cell r="C7311" t="str">
            <v>4508 - BITS/BLADES</v>
          </cell>
          <cell r="D7311" t="str">
            <v>FRDOU200RBD</v>
          </cell>
          <cell r="BA7311">
            <v>19.989999999999998</v>
          </cell>
        </row>
        <row r="7312">
          <cell r="C7312" t="str">
            <v>4508 - BITS/BLADES</v>
          </cell>
          <cell r="D7312" t="str">
            <v>FRDOU250BW</v>
          </cell>
          <cell r="BA7312">
            <v>22.99</v>
          </cell>
        </row>
        <row r="7313">
          <cell r="C7313" t="str">
            <v>4508 - BITS/BLADES</v>
          </cell>
          <cell r="D7313" t="str">
            <v>FRDOU250BW3</v>
          </cell>
          <cell r="BA7313">
            <v>42.99</v>
          </cell>
        </row>
        <row r="7314">
          <cell r="C7314" t="str">
            <v>4508 - BITS/BLADES</v>
          </cell>
          <cell r="D7314" t="str">
            <v>FRDOU275RCGP</v>
          </cell>
          <cell r="BA7314">
            <v>29.99</v>
          </cell>
        </row>
        <row r="7315">
          <cell r="C7315" t="str">
            <v>4508 - BITS/BLADES</v>
          </cell>
          <cell r="D7315" t="str">
            <v>FRDOU3BS</v>
          </cell>
          <cell r="BA7315">
            <v>37.99</v>
          </cell>
        </row>
        <row r="7316">
          <cell r="C7316" t="str">
            <v>4508 - BITS/BLADES</v>
          </cell>
          <cell r="D7316" t="str">
            <v>FRDOU3CS</v>
          </cell>
          <cell r="BA7316">
            <v>42.99</v>
          </cell>
        </row>
        <row r="7317">
          <cell r="C7317" t="str">
            <v>4508 - BITS/BLADES</v>
          </cell>
          <cell r="D7317" t="str">
            <v>FRDOU350RBGP</v>
          </cell>
          <cell r="BA7317">
            <v>25.99</v>
          </cell>
        </row>
        <row r="7318">
          <cell r="C7318" t="str">
            <v>4508 - BITS/BLADES</v>
          </cell>
          <cell r="D7318" t="str">
            <v>FRDOU5S</v>
          </cell>
          <cell r="BA7318">
            <v>49.99</v>
          </cell>
        </row>
        <row r="7319">
          <cell r="C7319" t="str">
            <v>4508 - BITS/BLADES</v>
          </cell>
          <cell r="D7319" t="str">
            <v>GAMT514</v>
          </cell>
          <cell r="BA7319">
            <v>10.99</v>
          </cell>
        </row>
        <row r="7320">
          <cell r="C7320" t="str">
            <v>4508 - BITS/BLADES</v>
          </cell>
          <cell r="D7320" t="str">
            <v>D0724DA</v>
          </cell>
          <cell r="BA7320">
            <v>16.989999999999998</v>
          </cell>
        </row>
        <row r="7321">
          <cell r="C7321" t="str">
            <v>4508 - BITS/BLADES</v>
          </cell>
          <cell r="D7321" t="str">
            <v>DS0414BF5</v>
          </cell>
          <cell r="BA7321">
            <v>11.99</v>
          </cell>
        </row>
        <row r="7322">
          <cell r="C7322" t="str">
            <v>4508 - BITS/BLADES</v>
          </cell>
          <cell r="D7322" t="str">
            <v>DS0609CGP</v>
          </cell>
          <cell r="BA7322">
            <v>9.99</v>
          </cell>
        </row>
        <row r="7323">
          <cell r="C7323" t="str">
            <v>4508 - BITS/BLADES</v>
          </cell>
          <cell r="D7323" t="str">
            <v>DS0609CGP3</v>
          </cell>
          <cell r="BA7323">
            <v>29.99</v>
          </cell>
        </row>
        <row r="7324">
          <cell r="C7324" t="str">
            <v>4508 - BITS/BLADES</v>
          </cell>
          <cell r="D7324" t="str">
            <v>DS0909CGP</v>
          </cell>
          <cell r="BA7324">
            <v>13.99</v>
          </cell>
        </row>
        <row r="7325">
          <cell r="C7325" t="str">
            <v>4508 - BITS/BLADES</v>
          </cell>
          <cell r="D7325" t="str">
            <v>DS0909CGP3</v>
          </cell>
          <cell r="BA7325">
            <v>34.99</v>
          </cell>
        </row>
        <row r="7326">
          <cell r="C7326" t="str">
            <v>4508 - BITS/BLADES</v>
          </cell>
          <cell r="D7326" t="str">
            <v>DS0610CF</v>
          </cell>
          <cell r="BA7326">
            <v>13.99</v>
          </cell>
        </row>
        <row r="7327">
          <cell r="C7327" t="str">
            <v>4508 - BITS/BLADES</v>
          </cell>
          <cell r="D7327" t="str">
            <v>DS0610CF3</v>
          </cell>
          <cell r="BA7327">
            <v>37.99</v>
          </cell>
        </row>
        <row r="7328">
          <cell r="C7328" t="str">
            <v>4508 - BITS/BLADES</v>
          </cell>
          <cell r="D7328" t="str">
            <v>DS0620BF2</v>
          </cell>
          <cell r="BA7328">
            <v>7.59</v>
          </cell>
        </row>
        <row r="7329">
          <cell r="C7329" t="str">
            <v>4508 - BITS/BLADES</v>
          </cell>
          <cell r="D7329" t="str">
            <v>DS0603CP</v>
          </cell>
          <cell r="BA7329">
            <v>6.99</v>
          </cell>
        </row>
        <row r="7330">
          <cell r="C7330" t="str">
            <v>4508 - BITS/BLADES</v>
          </cell>
          <cell r="D7330" t="str">
            <v>DS0903CP</v>
          </cell>
          <cell r="BA7330">
            <v>8.99</v>
          </cell>
        </row>
        <row r="7331">
          <cell r="C7331" t="str">
            <v>4508 - BITS/BLADES</v>
          </cell>
          <cell r="D7331" t="str">
            <v>DS0903CP3</v>
          </cell>
          <cell r="BA7331">
            <v>25.99</v>
          </cell>
        </row>
        <row r="7332">
          <cell r="C7332" t="str">
            <v>4508 - BITS/BLADES</v>
          </cell>
          <cell r="D7332" t="str">
            <v>DS0603CP3</v>
          </cell>
          <cell r="BA7332">
            <v>18.989999999999998</v>
          </cell>
        </row>
        <row r="7333">
          <cell r="C7333" t="str">
            <v>4508 - BITS/BLADES</v>
          </cell>
          <cell r="D7333" t="str">
            <v>DS0910CF</v>
          </cell>
          <cell r="BA7333">
            <v>16.989999999999998</v>
          </cell>
        </row>
        <row r="7334">
          <cell r="C7334" t="str">
            <v>4508 - BITS/BLADES</v>
          </cell>
          <cell r="D7334" t="str">
            <v>DS0910CF3</v>
          </cell>
          <cell r="BA7334">
            <v>47.99</v>
          </cell>
        </row>
        <row r="7335">
          <cell r="C7335" t="str">
            <v>4508 - BITS/BLADES</v>
          </cell>
          <cell r="D7335" t="str">
            <v>DS0914BF5</v>
          </cell>
          <cell r="BA7335">
            <v>19.989999999999998</v>
          </cell>
        </row>
        <row r="7336">
          <cell r="C7336" t="str">
            <v>4508 - BITS/BLADES</v>
          </cell>
          <cell r="D7336" t="str">
            <v>DS1203CP</v>
          </cell>
          <cell r="BA7336">
            <v>12.99</v>
          </cell>
        </row>
        <row r="7337">
          <cell r="C7337" t="str">
            <v>4508 - BITS/BLADES</v>
          </cell>
          <cell r="D7337" t="str">
            <v>DS1203CP3</v>
          </cell>
          <cell r="BA7337">
            <v>34.99</v>
          </cell>
        </row>
        <row r="7338">
          <cell r="C7338" t="str">
            <v>4508 - BITS/BLADES</v>
          </cell>
          <cell r="D7338" t="str">
            <v>DS1209CGP</v>
          </cell>
          <cell r="BA7338">
            <v>16.989999999999998</v>
          </cell>
        </row>
        <row r="7339">
          <cell r="C7339" t="str">
            <v>4508 - BITS/BLADES</v>
          </cell>
          <cell r="D7339" t="str">
            <v>DS1209CGP3</v>
          </cell>
          <cell r="BA7339">
            <v>47.99</v>
          </cell>
        </row>
        <row r="7340">
          <cell r="C7340" t="str">
            <v>4508 - BITS/BLADES</v>
          </cell>
          <cell r="D7340" t="str">
            <v>DS1208BFD5</v>
          </cell>
          <cell r="BA7340">
            <v>22.99</v>
          </cell>
        </row>
        <row r="7341">
          <cell r="C7341" t="str">
            <v>4508 - BITS/BLADES</v>
          </cell>
          <cell r="D7341" t="str">
            <v>FRDS1208BFD2</v>
          </cell>
          <cell r="BA7341">
            <v>10.99</v>
          </cell>
        </row>
        <row r="7342">
          <cell r="C7342" t="str">
            <v>4508 - BITS/BLADES</v>
          </cell>
          <cell r="D7342" t="str">
            <v>DS1210CF</v>
          </cell>
          <cell r="BA7342">
            <v>25.99</v>
          </cell>
        </row>
        <row r="7343">
          <cell r="C7343" t="str">
            <v>4508 - BITS/BLADES</v>
          </cell>
          <cell r="D7343" t="str">
            <v>DS1210CF3</v>
          </cell>
          <cell r="BA7343">
            <v>64.989999999999995</v>
          </cell>
        </row>
        <row r="7344">
          <cell r="C7344" t="str">
            <v>4508 - BITS/BLADES</v>
          </cell>
          <cell r="D7344" t="str">
            <v>DS1214BF5</v>
          </cell>
          <cell r="BA7344">
            <v>24.99</v>
          </cell>
        </row>
        <row r="7345">
          <cell r="C7345" t="str">
            <v>4508 - BITS/BLADES</v>
          </cell>
          <cell r="D7345" t="str">
            <v>DS1214BGP2</v>
          </cell>
          <cell r="BA7345">
            <v>10.99</v>
          </cell>
        </row>
        <row r="7346">
          <cell r="C7346" t="str">
            <v>4508 - BITS/BLADES</v>
          </cell>
          <cell r="D7346" t="str">
            <v>FRDS1214BGP5</v>
          </cell>
          <cell r="BA7346">
            <v>24.99</v>
          </cell>
        </row>
        <row r="7347">
          <cell r="C7347" t="str">
            <v>4508 - BITS/BLADES</v>
          </cell>
          <cell r="D7347" t="str">
            <v>DS0920BF5</v>
          </cell>
          <cell r="BA7347">
            <v>19.989999999999998</v>
          </cell>
        </row>
        <row r="7348">
          <cell r="C7348" t="str">
            <v>4508 - BITS/BLADES</v>
          </cell>
          <cell r="D7348" t="str">
            <v>DS0408CF</v>
          </cell>
          <cell r="BA7348">
            <v>9.99</v>
          </cell>
        </row>
        <row r="7349">
          <cell r="C7349" t="str">
            <v>4508 - BITS/BLADES</v>
          </cell>
          <cell r="D7349" t="str">
            <v>DS0332BF5</v>
          </cell>
          <cell r="BA7349">
            <v>16.989999999999998</v>
          </cell>
        </row>
        <row r="7350">
          <cell r="C7350" t="str">
            <v>4508 - BITS/BLADES</v>
          </cell>
          <cell r="D7350" t="str">
            <v>DS0608CF</v>
          </cell>
          <cell r="BA7350">
            <v>11.99</v>
          </cell>
        </row>
        <row r="7351">
          <cell r="C7351" t="str">
            <v>4508 - BITS/BLADES</v>
          </cell>
          <cell r="D7351" t="str">
            <v>DS0608CFA</v>
          </cell>
          <cell r="BA7351">
            <v>16.989999999999998</v>
          </cell>
        </row>
        <row r="7352">
          <cell r="C7352" t="str">
            <v>4508 - BITS/BLADES</v>
          </cell>
          <cell r="D7352" t="str">
            <v>DS0908CF</v>
          </cell>
          <cell r="BA7352">
            <v>16.989999999999998</v>
          </cell>
        </row>
        <row r="7353">
          <cell r="C7353" t="str">
            <v>4508 - BITS/BLADES</v>
          </cell>
          <cell r="D7353" t="str">
            <v>DS0908CFA</v>
          </cell>
          <cell r="BA7353">
            <v>22.99</v>
          </cell>
        </row>
        <row r="7354">
          <cell r="C7354" t="str">
            <v>4508 - BITS/BLADES</v>
          </cell>
          <cell r="D7354" t="str">
            <v>DS0408CF3</v>
          </cell>
          <cell r="BA7354">
            <v>27.99</v>
          </cell>
        </row>
        <row r="7355">
          <cell r="C7355" t="str">
            <v>4508 - BITS/BLADES</v>
          </cell>
          <cell r="D7355" t="str">
            <v>DS0608CF3</v>
          </cell>
          <cell r="BA7355">
            <v>34.99</v>
          </cell>
        </row>
        <row r="7356">
          <cell r="C7356" t="str">
            <v>4508 - BITS/BLADES</v>
          </cell>
          <cell r="D7356" t="str">
            <v>DS0908CF3</v>
          </cell>
          <cell r="BA7356">
            <v>42.99</v>
          </cell>
        </row>
        <row r="7357">
          <cell r="C7357" t="str">
            <v>4508 - BITS/BLADES</v>
          </cell>
          <cell r="D7357" t="str">
            <v>DS1208CF3</v>
          </cell>
          <cell r="BA7357">
            <v>59.99</v>
          </cell>
        </row>
        <row r="7358">
          <cell r="C7358" t="str">
            <v>4508 - BITS/BLADES</v>
          </cell>
          <cell r="D7358" t="str">
            <v>DS0820CF</v>
          </cell>
          <cell r="BA7358">
            <v>17.989999999999998</v>
          </cell>
        </row>
        <row r="7359">
          <cell r="C7359" t="str">
            <v>4508 - BITS/BLADES</v>
          </cell>
          <cell r="D7359" t="str">
            <v>DS0606CWS3</v>
          </cell>
          <cell r="BA7359">
            <v>22.99</v>
          </cell>
        </row>
        <row r="7360">
          <cell r="C7360" t="str">
            <v>4508 - BITS/BLADES</v>
          </cell>
          <cell r="D7360" t="str">
            <v>DS0906CWS3</v>
          </cell>
          <cell r="BA7360">
            <v>29.99</v>
          </cell>
        </row>
        <row r="7361">
          <cell r="C7361" t="str">
            <v>4508 - BITS/BLADES</v>
          </cell>
          <cell r="D7361" t="str">
            <v>DS1206CWS3</v>
          </cell>
          <cell r="BA7361">
            <v>39.99</v>
          </cell>
        </row>
        <row r="7362">
          <cell r="C7362" t="str">
            <v>4508 - BITS/BLADES</v>
          </cell>
          <cell r="D7362" t="str">
            <v>DS1208CF</v>
          </cell>
          <cell r="BA7362">
            <v>19.989999999999998</v>
          </cell>
        </row>
        <row r="7363">
          <cell r="C7363" t="str">
            <v>4508 - BITS/BLADES</v>
          </cell>
          <cell r="D7363" t="str">
            <v>D1006DH</v>
          </cell>
          <cell r="BA7363">
            <v>99.99</v>
          </cell>
        </row>
        <row r="7364">
          <cell r="C7364" t="str">
            <v>4508 - BITS/BLADES</v>
          </cell>
          <cell r="D7364" t="str">
            <v>D1208DH</v>
          </cell>
          <cell r="BA7364">
            <v>129.99</v>
          </cell>
        </row>
        <row r="7365">
          <cell r="C7365" t="str">
            <v>4508 - BITS/BLADES</v>
          </cell>
          <cell r="D7365" t="str">
            <v>D0604DH</v>
          </cell>
          <cell r="BA7365">
            <v>47.99</v>
          </cell>
        </row>
        <row r="7366">
          <cell r="C7366" t="str">
            <v>4508 - BITS/BLADES</v>
          </cell>
          <cell r="D7366" t="str">
            <v>K7PNB</v>
          </cell>
          <cell r="BA7366">
            <v>1.99</v>
          </cell>
        </row>
        <row r="7367">
          <cell r="C7367" t="str">
            <v>4508 - BITS/BLADES</v>
          </cell>
          <cell r="D7367" t="str">
            <v>ST11961</v>
          </cell>
          <cell r="BA7367">
            <v>6.99</v>
          </cell>
        </row>
        <row r="7368">
          <cell r="C7368" t="str">
            <v>4508 - BITS/BLADES</v>
          </cell>
          <cell r="D7368" t="str">
            <v>ST11983</v>
          </cell>
          <cell r="BA7368">
            <v>6.99</v>
          </cell>
        </row>
        <row r="7369">
          <cell r="C7369" t="str">
            <v>4508 - BITS/BLADES</v>
          </cell>
          <cell r="D7369" t="str">
            <v>HY13110</v>
          </cell>
          <cell r="BA7369">
            <v>4.99</v>
          </cell>
        </row>
        <row r="7370">
          <cell r="C7370" t="str">
            <v>4508 - BITS/BLADES</v>
          </cell>
          <cell r="D7370" t="str">
            <v>HY11050</v>
          </cell>
          <cell r="BA7370">
            <v>4.79</v>
          </cell>
        </row>
        <row r="7371">
          <cell r="C7371" t="str">
            <v>4508 - BITS/BLADES</v>
          </cell>
          <cell r="D7371" t="str">
            <v>SD208S</v>
          </cell>
          <cell r="BA7371">
            <v>107.99</v>
          </cell>
        </row>
        <row r="7372">
          <cell r="C7372" t="str">
            <v>4508 - BITS/BLADES</v>
          </cell>
          <cell r="D7372" t="str">
            <v>ST11301</v>
          </cell>
          <cell r="BA7372">
            <v>3.99</v>
          </cell>
        </row>
        <row r="7373">
          <cell r="C7373" t="str">
            <v>4508 - BITS/BLADES</v>
          </cell>
          <cell r="D7373" t="str">
            <v>ST11-325T</v>
          </cell>
          <cell r="BA7373">
            <v>8.99</v>
          </cell>
        </row>
        <row r="7374">
          <cell r="C7374" t="str">
            <v>4508 - BITS/BLADES</v>
          </cell>
          <cell r="D7374" t="str">
            <v>ST11525</v>
          </cell>
          <cell r="BA7374">
            <v>3.79</v>
          </cell>
        </row>
        <row r="7375">
          <cell r="C7375" t="str">
            <v>4508 - BITS/BLADES</v>
          </cell>
          <cell r="D7375" t="str">
            <v>D0760A</v>
          </cell>
          <cell r="BA7375">
            <v>19.989999999999998</v>
          </cell>
        </row>
        <row r="7376">
          <cell r="C7376" t="str">
            <v>4508 - BITS/BLADES</v>
          </cell>
          <cell r="D7376" t="str">
            <v>A0724A</v>
          </cell>
          <cell r="BA7376">
            <v>6.99</v>
          </cell>
        </row>
        <row r="7377">
          <cell r="C7377" t="str">
            <v>4508 - BITS/BLADES</v>
          </cell>
          <cell r="D7377" t="str">
            <v>D0748F</v>
          </cell>
          <cell r="BA7377">
            <v>37.99</v>
          </cell>
        </row>
        <row r="7378">
          <cell r="C7378" t="str">
            <v>4508 - BITS/BLADES</v>
          </cell>
          <cell r="D7378" t="str">
            <v>FRDS0910CFA</v>
          </cell>
          <cell r="BA7378">
            <v>22.99</v>
          </cell>
        </row>
        <row r="7379">
          <cell r="C7379" t="str">
            <v>4508 - BITS/BLADES</v>
          </cell>
          <cell r="D7379" t="str">
            <v>FRDS0909CGPA</v>
          </cell>
          <cell r="BA7379">
            <v>15.99</v>
          </cell>
        </row>
        <row r="7380">
          <cell r="C7380" t="str">
            <v>4508 - BITS/BLADES</v>
          </cell>
          <cell r="D7380" t="str">
            <v>FRDS0909CGPA3</v>
          </cell>
          <cell r="BA7380">
            <v>49.99</v>
          </cell>
        </row>
        <row r="7381">
          <cell r="C7381" t="str">
            <v>4508 - BITS/BLADES</v>
          </cell>
          <cell r="D7381" t="str">
            <v>FRDS610CFA</v>
          </cell>
          <cell r="BA7381">
            <v>16.989999999999998</v>
          </cell>
        </row>
        <row r="7382">
          <cell r="C7382" t="str">
            <v>4508 - BITS/BLADES</v>
          </cell>
          <cell r="D7382" t="str">
            <v>FRDS0609CGPA</v>
          </cell>
          <cell r="BA7382">
            <v>10.99</v>
          </cell>
        </row>
        <row r="7383">
          <cell r="C7383" t="str">
            <v>4508 - BITS/BLADES</v>
          </cell>
          <cell r="D7383" t="str">
            <v>FRDS0609CGPA3</v>
          </cell>
          <cell r="BA7383">
            <v>32.99</v>
          </cell>
        </row>
        <row r="7384">
          <cell r="C7384" t="str">
            <v>4508 - BITS/BLADES</v>
          </cell>
          <cell r="D7384" t="str">
            <v>NOTP267</v>
          </cell>
          <cell r="BA7384">
            <v>34.090000000000003</v>
          </cell>
        </row>
        <row r="7385">
          <cell r="C7385" t="str">
            <v>4508 - BITS/BLADES</v>
          </cell>
          <cell r="D7385" t="str">
            <v>NOTP271</v>
          </cell>
          <cell r="BA7385">
            <v>17.989999999999998</v>
          </cell>
        </row>
        <row r="7386">
          <cell r="C7386" t="str">
            <v>4508 - BITS/BLADES</v>
          </cell>
          <cell r="D7386" t="str">
            <v>NOTP272</v>
          </cell>
          <cell r="BA7386">
            <v>34.090000000000003</v>
          </cell>
        </row>
        <row r="7387">
          <cell r="C7387" t="str">
            <v>4508 - BITS/BLADES</v>
          </cell>
          <cell r="D7387" t="str">
            <v>NOTP273</v>
          </cell>
          <cell r="BA7387">
            <v>22.19</v>
          </cell>
        </row>
        <row r="7388">
          <cell r="C7388" t="str">
            <v>4508 - BITS/BLADES</v>
          </cell>
          <cell r="D7388" t="str">
            <v>NOTP240</v>
          </cell>
          <cell r="BA7388">
            <v>7.69</v>
          </cell>
        </row>
        <row r="7389">
          <cell r="C7389" t="str">
            <v>4508 - BITS/BLADES</v>
          </cell>
          <cell r="D7389" t="str">
            <v>NOTP234</v>
          </cell>
          <cell r="BA7389">
            <v>9.7899999999999991</v>
          </cell>
        </row>
        <row r="7390">
          <cell r="C7390" t="str">
            <v>4508 - BITS/BLADES</v>
          </cell>
          <cell r="D7390" t="str">
            <v>NOTP210</v>
          </cell>
          <cell r="BA7390">
            <v>11.09</v>
          </cell>
        </row>
        <row r="7391">
          <cell r="C7391" t="str">
            <v>4508 - BITS/BLADES</v>
          </cell>
          <cell r="D7391" t="str">
            <v>NOTP209</v>
          </cell>
          <cell r="BA7391">
            <v>13.69</v>
          </cell>
        </row>
        <row r="7392">
          <cell r="C7392" t="str">
            <v>4508 - BITS/BLADES</v>
          </cell>
          <cell r="D7392" t="str">
            <v>NOTP201</v>
          </cell>
          <cell r="BA7392">
            <v>8.59</v>
          </cell>
        </row>
        <row r="7393">
          <cell r="C7393" t="str">
            <v>4508 - BITS/BLADES</v>
          </cell>
          <cell r="D7393" t="str">
            <v>NOTP216</v>
          </cell>
          <cell r="BA7393">
            <v>17.09</v>
          </cell>
        </row>
        <row r="7394">
          <cell r="C7394" t="str">
            <v>4508 - BITS/BLADES</v>
          </cell>
          <cell r="D7394" t="str">
            <v>NOTP212</v>
          </cell>
          <cell r="BA7394">
            <v>11.99</v>
          </cell>
        </row>
        <row r="7395">
          <cell r="C7395" t="str">
            <v>4508 - BITS/BLADES</v>
          </cell>
          <cell r="D7395" t="str">
            <v>NOTP286</v>
          </cell>
          <cell r="BA7395">
            <v>24.79</v>
          </cell>
        </row>
        <row r="7396">
          <cell r="C7396" t="str">
            <v>4508 - BITS/BLADES</v>
          </cell>
          <cell r="D7396" t="str">
            <v>NOTP235</v>
          </cell>
          <cell r="BA7396">
            <v>18.39</v>
          </cell>
        </row>
        <row r="7397">
          <cell r="C7397" t="str">
            <v>4508 - BITS/BLADES</v>
          </cell>
          <cell r="D7397" t="str">
            <v>NOTP230</v>
          </cell>
          <cell r="BA7397">
            <v>7.69</v>
          </cell>
        </row>
        <row r="7398">
          <cell r="C7398" t="str">
            <v>4508 - BITS/BLADES</v>
          </cell>
          <cell r="D7398" t="str">
            <v>NOTP215</v>
          </cell>
          <cell r="BA7398">
            <v>19.59</v>
          </cell>
        </row>
        <row r="7399">
          <cell r="C7399" t="str">
            <v>4508 - BITS/BLADES</v>
          </cell>
          <cell r="D7399" t="str">
            <v>NOTP214</v>
          </cell>
          <cell r="BA7399">
            <v>16.190000000000001</v>
          </cell>
        </row>
        <row r="7400">
          <cell r="C7400" t="str">
            <v>4508 - BITS/BLADES</v>
          </cell>
          <cell r="D7400" t="str">
            <v>NOTP211</v>
          </cell>
          <cell r="BA7400">
            <v>11.99</v>
          </cell>
        </row>
        <row r="7401">
          <cell r="C7401" t="str">
            <v>4508 - BITS/BLADES</v>
          </cell>
          <cell r="D7401" t="str">
            <v>NOTP206</v>
          </cell>
          <cell r="BA7401">
            <v>11.29</v>
          </cell>
        </row>
        <row r="7402">
          <cell r="C7402" t="str">
            <v>4508 - BITS/BLADES</v>
          </cell>
          <cell r="D7402" t="str">
            <v>NOTP207</v>
          </cell>
          <cell r="BA7402">
            <v>10.69</v>
          </cell>
        </row>
        <row r="7403">
          <cell r="C7403" t="str">
            <v>4508 - BITS/BLADES</v>
          </cell>
          <cell r="D7403" t="str">
            <v>NOTP205</v>
          </cell>
          <cell r="BA7403">
            <v>19.59</v>
          </cell>
        </row>
        <row r="7404">
          <cell r="C7404" t="str">
            <v>4508 - BITS/BLADES</v>
          </cell>
          <cell r="D7404" t="str">
            <v>NOTP202</v>
          </cell>
          <cell r="BA7404">
            <v>9.7899999999999991</v>
          </cell>
        </row>
        <row r="7405">
          <cell r="C7405" t="str">
            <v>4508 - BITS/BLADES</v>
          </cell>
          <cell r="D7405" t="str">
            <v>NOTP200</v>
          </cell>
          <cell r="BA7405">
            <v>8.59</v>
          </cell>
        </row>
        <row r="7406">
          <cell r="C7406" t="str">
            <v>4508 - BITS/BLADES</v>
          </cell>
          <cell r="D7406" t="str">
            <v>NOTP229</v>
          </cell>
          <cell r="BA7406">
            <v>8.99</v>
          </cell>
        </row>
        <row r="7407">
          <cell r="C7407" t="str">
            <v>4508 - BITS/BLADES</v>
          </cell>
          <cell r="D7407" t="str">
            <v>NOTP231</v>
          </cell>
          <cell r="BA7407">
            <v>16.59</v>
          </cell>
        </row>
        <row r="7408">
          <cell r="C7408" t="str">
            <v>4508 - BITS/BLADES</v>
          </cell>
          <cell r="D7408" t="str">
            <v>NOTP237</v>
          </cell>
          <cell r="BA7408">
            <v>9.7899999999999991</v>
          </cell>
        </row>
        <row r="7409">
          <cell r="C7409" t="str">
            <v>4508 - BITS/BLADES</v>
          </cell>
          <cell r="D7409" t="str">
            <v>NOTP274</v>
          </cell>
          <cell r="BA7409">
            <v>24.39</v>
          </cell>
        </row>
        <row r="7410">
          <cell r="C7410" t="str">
            <v>4508 - BITS/BLADES</v>
          </cell>
          <cell r="D7410" t="str">
            <v>NOTP276</v>
          </cell>
          <cell r="BA7410">
            <v>47.39</v>
          </cell>
        </row>
        <row r="7411">
          <cell r="C7411" t="str">
            <v>4508 - BITS/BLADES</v>
          </cell>
          <cell r="D7411" t="str">
            <v>NOTP277</v>
          </cell>
          <cell r="BA7411">
            <v>76.989999999999995</v>
          </cell>
        </row>
        <row r="7412">
          <cell r="C7412" t="str">
            <v>4508 - BITS/BLADES</v>
          </cell>
          <cell r="D7412" t="str">
            <v>NOTP278</v>
          </cell>
          <cell r="BA7412">
            <v>54.99</v>
          </cell>
        </row>
        <row r="7413">
          <cell r="C7413" t="str">
            <v>4508 - BITS/BLADES</v>
          </cell>
          <cell r="D7413" t="str">
            <v>NOTP279</v>
          </cell>
          <cell r="BA7413">
            <v>55.49</v>
          </cell>
        </row>
        <row r="7414">
          <cell r="C7414" t="str">
            <v>4508 - BITS/BLADES</v>
          </cell>
          <cell r="D7414" t="str">
            <v>NOTP283</v>
          </cell>
          <cell r="BA7414">
            <v>45.19</v>
          </cell>
        </row>
        <row r="7415">
          <cell r="C7415" t="str">
            <v>4508 - BITS/BLADES</v>
          </cell>
          <cell r="D7415" t="str">
            <v>NOTP213</v>
          </cell>
          <cell r="BA7415">
            <v>12.19</v>
          </cell>
        </row>
        <row r="7416">
          <cell r="C7416" t="str">
            <v>4508 - BITS/BLADES</v>
          </cell>
          <cell r="D7416" t="str">
            <v>NOTP217</v>
          </cell>
          <cell r="BA7416">
            <v>11.49</v>
          </cell>
        </row>
        <row r="7417">
          <cell r="C7417" t="str">
            <v>4508 - BITS/BLADES</v>
          </cell>
          <cell r="D7417" t="str">
            <v>FRDJT20S</v>
          </cell>
          <cell r="BA7417">
            <v>25.99</v>
          </cell>
        </row>
        <row r="7418">
          <cell r="C7418" t="str">
            <v>4508 - BITS/BLADES</v>
          </cell>
          <cell r="D7418" t="str">
            <v>FRDJT308BFP5</v>
          </cell>
          <cell r="BA7418">
            <v>18.989999999999998</v>
          </cell>
        </row>
        <row r="7419">
          <cell r="C7419" t="str">
            <v>4508 - BITS/BLADES</v>
          </cell>
          <cell r="D7419" t="str">
            <v>FRDJT345XF5</v>
          </cell>
          <cell r="BA7419">
            <v>15.99</v>
          </cell>
        </row>
        <row r="7420">
          <cell r="C7420" t="str">
            <v>4508 - BITS/BLADES</v>
          </cell>
          <cell r="D7420" t="str">
            <v>FRDJT367XHM</v>
          </cell>
          <cell r="BA7420">
            <v>13.99</v>
          </cell>
        </row>
        <row r="7421">
          <cell r="C7421" t="str">
            <v>4508 - BITS/BLADES</v>
          </cell>
          <cell r="D7421" t="str">
            <v>FRDJT5S</v>
          </cell>
          <cell r="BA7421">
            <v>10.99</v>
          </cell>
        </row>
        <row r="7422">
          <cell r="C7422" t="str">
            <v>4508 - BITS/BLADES</v>
          </cell>
          <cell r="D7422" t="str">
            <v>FRDJT505</v>
          </cell>
          <cell r="BA7422">
            <v>12.99</v>
          </cell>
        </row>
        <row r="7423">
          <cell r="C7423" t="str">
            <v>4508 - BITS/BLADES</v>
          </cell>
          <cell r="D7423" t="str">
            <v>FRPJU12BC</v>
          </cell>
          <cell r="BA7423">
            <v>14.99</v>
          </cell>
        </row>
        <row r="7424">
          <cell r="C7424" t="str">
            <v>4508 - BITS/BLADES</v>
          </cell>
          <cell r="D7424" t="str">
            <v>FRPJU16BC</v>
          </cell>
          <cell r="BA7424">
            <v>18.989999999999998</v>
          </cell>
        </row>
        <row r="7425">
          <cell r="C7425" t="str">
            <v>4508 - BITS/BLADES</v>
          </cell>
          <cell r="D7425" t="str">
            <v>FRDJT10S</v>
          </cell>
          <cell r="BA7425">
            <v>19.989999999999998</v>
          </cell>
        </row>
        <row r="7426">
          <cell r="C7426" t="str">
            <v>4508 - BITS/BLADES</v>
          </cell>
          <cell r="D7426" t="str">
            <v>FRDJT101AOF5</v>
          </cell>
          <cell r="BA7426">
            <v>15.99</v>
          </cell>
        </row>
        <row r="7427">
          <cell r="C7427" t="str">
            <v>4508 - BITS/BLADES</v>
          </cell>
          <cell r="D7427" t="str">
            <v>FRDJT101AO5</v>
          </cell>
          <cell r="BA7427">
            <v>10.99</v>
          </cell>
        </row>
        <row r="7428">
          <cell r="C7428" t="str">
            <v>4508 - BITS/BLADES</v>
          </cell>
          <cell r="D7428" t="str">
            <v>FRDJT101BF5</v>
          </cell>
          <cell r="BA7428">
            <v>15.99</v>
          </cell>
        </row>
        <row r="7429">
          <cell r="C7429" t="str">
            <v>4508 - BITS/BLADES</v>
          </cell>
          <cell r="D7429" t="str">
            <v>FRDJT301CD5</v>
          </cell>
          <cell r="BA7429">
            <v>11.99</v>
          </cell>
        </row>
        <row r="7430">
          <cell r="C7430" t="str">
            <v>4508 - BITS/BLADES</v>
          </cell>
          <cell r="D7430" t="str">
            <v>FRDJT127D5</v>
          </cell>
          <cell r="BA7430">
            <v>9.99</v>
          </cell>
        </row>
        <row r="7431">
          <cell r="C7431" t="str">
            <v>4508 - BITS/BLADES</v>
          </cell>
          <cell r="D7431" t="str">
            <v>FRDJT101BRF5</v>
          </cell>
          <cell r="BA7431">
            <v>15.99</v>
          </cell>
        </row>
        <row r="7432">
          <cell r="C7432" t="str">
            <v>4508 - BITS/BLADES</v>
          </cell>
          <cell r="D7432" t="str">
            <v>FRDJT101BR5</v>
          </cell>
          <cell r="BA7432">
            <v>10.99</v>
          </cell>
        </row>
        <row r="7433">
          <cell r="C7433" t="str">
            <v>4508 - BITS/BLADES</v>
          </cell>
          <cell r="D7433" t="str">
            <v>FRDJT101B5</v>
          </cell>
          <cell r="BA7433">
            <v>10.99</v>
          </cell>
        </row>
        <row r="7434">
          <cell r="C7434" t="str">
            <v>4508 - BITS/BLADES</v>
          </cell>
          <cell r="D7434" t="str">
            <v>FRDJT101DF5</v>
          </cell>
          <cell r="BA7434">
            <v>15.99</v>
          </cell>
        </row>
        <row r="7435">
          <cell r="C7435" t="str">
            <v>4508 - BITS/BLADES</v>
          </cell>
          <cell r="D7435" t="str">
            <v>FRDJT101D5</v>
          </cell>
          <cell r="BA7435">
            <v>10.99</v>
          </cell>
        </row>
        <row r="7436">
          <cell r="C7436" t="str">
            <v>4508 - BITS/BLADES</v>
          </cell>
          <cell r="D7436" t="str">
            <v>FRDJT102BF5</v>
          </cell>
          <cell r="BA7436">
            <v>18.989999999999998</v>
          </cell>
        </row>
        <row r="7437">
          <cell r="C7437" t="str">
            <v>4508 - BITS/BLADES</v>
          </cell>
          <cell r="D7437" t="str">
            <v>FRDJT118AHM</v>
          </cell>
          <cell r="BA7437">
            <v>14.99</v>
          </cell>
        </row>
        <row r="7438">
          <cell r="C7438" t="str">
            <v>4508 - BITS/BLADES</v>
          </cell>
          <cell r="D7438" t="str">
            <v>FRDJT118A5</v>
          </cell>
          <cell r="BA7438">
            <v>10.99</v>
          </cell>
        </row>
        <row r="7439">
          <cell r="C7439" t="str">
            <v>4508 - BITS/BLADES</v>
          </cell>
          <cell r="D7439" t="str">
            <v>FRDJT118B5</v>
          </cell>
          <cell r="BA7439">
            <v>10.99</v>
          </cell>
        </row>
        <row r="7440">
          <cell r="C7440" t="str">
            <v>4508 - BITS/BLADES</v>
          </cell>
          <cell r="D7440" t="str">
            <v>FRDJT118EHM</v>
          </cell>
          <cell r="BA7440">
            <v>14.99</v>
          </cell>
        </row>
        <row r="7441">
          <cell r="C7441" t="str">
            <v>4508 - BITS/BLADES</v>
          </cell>
          <cell r="D7441" t="str">
            <v>FRDJT118G5</v>
          </cell>
          <cell r="BA7441">
            <v>10.99</v>
          </cell>
        </row>
        <row r="7442">
          <cell r="C7442" t="str">
            <v>4508 - BITS/BLADES</v>
          </cell>
          <cell r="D7442" t="str">
            <v>FRDJT121AF5</v>
          </cell>
          <cell r="BA7442">
            <v>15.99</v>
          </cell>
        </row>
        <row r="7443">
          <cell r="C7443" t="str">
            <v>4508 - BITS/BLADES</v>
          </cell>
          <cell r="D7443" t="str">
            <v>FRDJT121BF5</v>
          </cell>
          <cell r="BA7443">
            <v>15.99</v>
          </cell>
        </row>
        <row r="7444">
          <cell r="C7444" t="str">
            <v>4508 - BITS/BLADES</v>
          </cell>
          <cell r="D7444" t="str">
            <v>FRDJT121GF5</v>
          </cell>
          <cell r="BA7444">
            <v>15.99</v>
          </cell>
        </row>
        <row r="7445">
          <cell r="C7445" t="str">
            <v>4508 - BITS/BLADES</v>
          </cell>
          <cell r="D7445" t="str">
            <v>FRDJT128BHM</v>
          </cell>
          <cell r="BA7445">
            <v>14.99</v>
          </cell>
        </row>
        <row r="7446">
          <cell r="C7446" t="str">
            <v>4508 - BITS/BLADES</v>
          </cell>
          <cell r="D7446" t="str">
            <v>FRDJT130RF</v>
          </cell>
          <cell r="BA7446">
            <v>8.69</v>
          </cell>
        </row>
        <row r="7447">
          <cell r="C7447" t="str">
            <v>4508 - BITS/BLADES</v>
          </cell>
          <cell r="D7447" t="str">
            <v>FRDJT141HM</v>
          </cell>
          <cell r="BA7447">
            <v>13.99</v>
          </cell>
        </row>
        <row r="7448">
          <cell r="C7448" t="str">
            <v>4508 - BITS/BLADES</v>
          </cell>
          <cell r="D7448" t="str">
            <v>FRDJT144DF5</v>
          </cell>
          <cell r="BA7448">
            <v>13.99</v>
          </cell>
        </row>
        <row r="7449">
          <cell r="C7449" t="str">
            <v>4508 - BITS/BLADES</v>
          </cell>
          <cell r="D7449" t="str">
            <v>FRDJT144DHM</v>
          </cell>
          <cell r="BA7449">
            <v>13.99</v>
          </cell>
        </row>
        <row r="7450">
          <cell r="C7450" t="str">
            <v>4508 - BITS/BLADES</v>
          </cell>
          <cell r="D7450" t="str">
            <v>FRDJT144D5</v>
          </cell>
          <cell r="BA7450">
            <v>10.99</v>
          </cell>
        </row>
        <row r="7451">
          <cell r="C7451" t="str">
            <v>4508 - BITS/BLADES</v>
          </cell>
          <cell r="D7451" t="str">
            <v>FRDJT150DG</v>
          </cell>
          <cell r="BA7451">
            <v>14.99</v>
          </cell>
        </row>
        <row r="7452">
          <cell r="C7452" t="str">
            <v>4508 - BITS/BLADES</v>
          </cell>
          <cell r="D7452" t="str">
            <v>DW3710H</v>
          </cell>
          <cell r="BA7452">
            <v>9.49</v>
          </cell>
        </row>
        <row r="7453">
          <cell r="C7453" t="str">
            <v>4508 - BITS/BLADES</v>
          </cell>
          <cell r="D7453" t="str">
            <v>DW3712H</v>
          </cell>
          <cell r="BA7453">
            <v>14.99</v>
          </cell>
        </row>
        <row r="7454">
          <cell r="C7454" t="str">
            <v>4508 - BITS/BLADES</v>
          </cell>
          <cell r="D7454" t="str">
            <v>DW3753H</v>
          </cell>
          <cell r="BA7454">
            <v>14.99</v>
          </cell>
        </row>
        <row r="7455">
          <cell r="C7455" t="str">
            <v>4508 - BITS/BLADES</v>
          </cell>
          <cell r="D7455" t="str">
            <v>DW3762H</v>
          </cell>
          <cell r="BA7455">
            <v>14.99</v>
          </cell>
        </row>
        <row r="7456">
          <cell r="C7456" t="str">
            <v>4508 - BITS/BLADES</v>
          </cell>
          <cell r="D7456" t="str">
            <v>DW3765H</v>
          </cell>
          <cell r="BA7456">
            <v>14.99</v>
          </cell>
        </row>
        <row r="7457">
          <cell r="C7457" t="str">
            <v>4508 - BITS/BLADES</v>
          </cell>
          <cell r="D7457" t="str">
            <v>DW3774-5</v>
          </cell>
          <cell r="BA7457">
            <v>18.989999999999998</v>
          </cell>
        </row>
        <row r="7458">
          <cell r="C7458" t="str">
            <v>4508 - BITS/BLADES</v>
          </cell>
          <cell r="D7458" t="str">
            <v>DW3760H</v>
          </cell>
          <cell r="BA7458">
            <v>15.99</v>
          </cell>
        </row>
        <row r="7459">
          <cell r="C7459" t="str">
            <v>4508 - BITS/BLADES</v>
          </cell>
          <cell r="D7459" t="str">
            <v>EAB171075</v>
          </cell>
          <cell r="BA7459">
            <v>0.01</v>
          </cell>
        </row>
        <row r="7460">
          <cell r="C7460" t="str">
            <v>4508 - BITS/BLADES</v>
          </cell>
          <cell r="D7460" t="str">
            <v>DW4803</v>
          </cell>
          <cell r="BA7460">
            <v>16.989999999999998</v>
          </cell>
        </row>
        <row r="7461">
          <cell r="C7461" t="str">
            <v>4508 - BITS/BLADES</v>
          </cell>
          <cell r="D7461" t="str">
            <v>DW4806</v>
          </cell>
          <cell r="BA7461">
            <v>14.99</v>
          </cell>
        </row>
        <row r="7462">
          <cell r="C7462" t="str">
            <v>4508 - BITS/BLADES</v>
          </cell>
          <cell r="D7462" t="str">
            <v>DW4848</v>
          </cell>
          <cell r="BA7462">
            <v>22.99</v>
          </cell>
        </row>
        <row r="7463">
          <cell r="C7463" t="str">
            <v>4508 - BITS/BLADES</v>
          </cell>
          <cell r="D7463" t="str">
            <v>LX20587S956R</v>
          </cell>
          <cell r="BA7463">
            <v>8.99</v>
          </cell>
        </row>
        <row r="7464">
          <cell r="C7464" t="str">
            <v>4508 - BITS/BLADES</v>
          </cell>
          <cell r="D7464" t="str">
            <v>LEN20598966R</v>
          </cell>
          <cell r="BA7464">
            <v>9.99</v>
          </cell>
        </row>
        <row r="7465">
          <cell r="C7465" t="str">
            <v>4508 - BITS/BLADES</v>
          </cell>
          <cell r="D7465" t="str">
            <v>LEN20585156R</v>
          </cell>
          <cell r="BA7465">
            <v>22.99</v>
          </cell>
        </row>
        <row r="7466">
          <cell r="C7466" t="str">
            <v>4508 - BITS/BLADES</v>
          </cell>
          <cell r="D7466" t="str">
            <v>LEN20562610R</v>
          </cell>
          <cell r="BA7466">
            <v>14.99</v>
          </cell>
        </row>
        <row r="7467">
          <cell r="C7467" t="str">
            <v>4508 - BITS/BLADES</v>
          </cell>
          <cell r="D7467" t="str">
            <v>LEN20564614R</v>
          </cell>
          <cell r="BA7467">
            <v>15.99</v>
          </cell>
        </row>
        <row r="7468">
          <cell r="C7468" t="str">
            <v>4508 - BITS/BLADES</v>
          </cell>
          <cell r="D7468" t="str">
            <v>LEN20568624R</v>
          </cell>
          <cell r="BA7468">
            <v>16.989999999999998</v>
          </cell>
        </row>
        <row r="7469">
          <cell r="C7469" t="str">
            <v>4508 - BITS/BLADES</v>
          </cell>
          <cell r="D7469" t="str">
            <v>LEN20572656R</v>
          </cell>
          <cell r="BA7469">
            <v>15.99</v>
          </cell>
        </row>
        <row r="7470">
          <cell r="C7470" t="str">
            <v>4508 - BITS/BLADES</v>
          </cell>
          <cell r="D7470" t="str">
            <v>LEN20580810R</v>
          </cell>
          <cell r="BA7470">
            <v>22.99</v>
          </cell>
        </row>
        <row r="7471">
          <cell r="C7471" t="str">
            <v>4508 - BITS/BLADES</v>
          </cell>
          <cell r="D7471" t="str">
            <v>LEN20597960R</v>
          </cell>
          <cell r="BA7471">
            <v>9.99</v>
          </cell>
        </row>
        <row r="7472">
          <cell r="C7472" t="str">
            <v>4508 - BITS/BLADES</v>
          </cell>
          <cell r="D7472" t="str">
            <v>LEN20582956R</v>
          </cell>
          <cell r="BA7472">
            <v>19.989999999999998</v>
          </cell>
        </row>
        <row r="7473">
          <cell r="C7473" t="str">
            <v>4508 - BITS/BLADES</v>
          </cell>
          <cell r="D7473" t="str">
            <v>LEN20583110R</v>
          </cell>
          <cell r="BA7473">
            <v>25.99</v>
          </cell>
        </row>
        <row r="7474">
          <cell r="C7474" t="str">
            <v>4508 - BITS/BLADES</v>
          </cell>
          <cell r="D7474" t="str">
            <v>LEN20586S156R</v>
          </cell>
          <cell r="BA7474">
            <v>7.99</v>
          </cell>
        </row>
        <row r="7475">
          <cell r="C7475" t="str">
            <v>4508 - BITS/BLADES</v>
          </cell>
          <cell r="D7475" t="str">
            <v>LEN20563S818R</v>
          </cell>
          <cell r="BA7475">
            <v>5.99</v>
          </cell>
        </row>
        <row r="7476">
          <cell r="C7476" t="str">
            <v>4508 - BITS/BLADES</v>
          </cell>
          <cell r="D7476" t="str">
            <v>LEN20578818R</v>
          </cell>
          <cell r="BA7476">
            <v>22.99</v>
          </cell>
        </row>
        <row r="7477">
          <cell r="C7477" t="str">
            <v>4508 - BITS/BLADES</v>
          </cell>
          <cell r="D7477" t="str">
            <v>LX20573S656R</v>
          </cell>
          <cell r="BA7477">
            <v>5.99</v>
          </cell>
        </row>
        <row r="7478">
          <cell r="C7478" t="str">
            <v>4508 - BITS/BLADES</v>
          </cell>
          <cell r="D7478" t="str">
            <v>LEN20581S810R</v>
          </cell>
          <cell r="BA7478">
            <v>5.99</v>
          </cell>
        </row>
        <row r="7479">
          <cell r="C7479" t="str">
            <v>4508 - BITS/BLADES</v>
          </cell>
          <cell r="D7479" t="str">
            <v>LEN20569S624R</v>
          </cell>
          <cell r="BA7479">
            <v>4.99</v>
          </cell>
        </row>
        <row r="7480">
          <cell r="C7480" t="str">
            <v>4508 - BITS/BLADES</v>
          </cell>
          <cell r="D7480" t="str">
            <v>LEN20571S636RP</v>
          </cell>
          <cell r="BA7480">
            <v>4.79</v>
          </cell>
        </row>
        <row r="7481">
          <cell r="C7481" t="str">
            <v>4508 - BITS/BLADES</v>
          </cell>
          <cell r="D7481" t="str">
            <v>DW4811</v>
          </cell>
          <cell r="BA7481">
            <v>13.99</v>
          </cell>
        </row>
        <row r="7482">
          <cell r="C7482" t="str">
            <v>4508 - BITS/BLADES</v>
          </cell>
          <cell r="D7482" t="str">
            <v>DW4802</v>
          </cell>
          <cell r="BA7482">
            <v>10.99</v>
          </cell>
        </row>
        <row r="7483">
          <cell r="C7483" t="str">
            <v>4508 - BITS/BLADES</v>
          </cell>
          <cell r="D7483" t="str">
            <v>DW4845</v>
          </cell>
          <cell r="BA7483">
            <v>19.989999999999998</v>
          </cell>
        </row>
        <row r="7484">
          <cell r="C7484" t="str">
            <v>4508 - BITS/BLADES</v>
          </cell>
          <cell r="D7484" t="str">
            <v>FRDS0610CFA3</v>
          </cell>
          <cell r="BA7484">
            <v>49.99</v>
          </cell>
        </row>
        <row r="7485">
          <cell r="C7485" t="str">
            <v>4508 - BITS/BLADES</v>
          </cell>
          <cell r="D7485" t="str">
            <v>FRDS0612CF3</v>
          </cell>
          <cell r="BA7485">
            <v>44.99</v>
          </cell>
        </row>
        <row r="7486">
          <cell r="C7486" t="str">
            <v>4508 - BITS/BLADES</v>
          </cell>
          <cell r="D7486" t="str">
            <v>FRDS0612CF</v>
          </cell>
          <cell r="BA7486">
            <v>14.99</v>
          </cell>
        </row>
        <row r="7487">
          <cell r="C7487" t="str">
            <v>4508 - BITS/BLADES</v>
          </cell>
          <cell r="D7487" t="str">
            <v>FRDS0912CF</v>
          </cell>
          <cell r="BA7487">
            <v>16.989999999999998</v>
          </cell>
        </row>
        <row r="7488">
          <cell r="C7488" t="str">
            <v>4508 - BITS/BLADES</v>
          </cell>
          <cell r="D7488" t="str">
            <v>FRDS0908CFA3</v>
          </cell>
          <cell r="BA7488">
            <v>57.99</v>
          </cell>
        </row>
        <row r="7489">
          <cell r="C7489" t="str">
            <v>4508 - BITS/BLADES</v>
          </cell>
          <cell r="D7489" t="str">
            <v>FRDS0608CFA3</v>
          </cell>
          <cell r="BA7489">
            <v>32.99</v>
          </cell>
        </row>
        <row r="7490">
          <cell r="C7490" t="str">
            <v>4508 - BITS/BLADES</v>
          </cell>
          <cell r="D7490" t="str">
            <v>FRDS0705CWR3</v>
          </cell>
          <cell r="BA7490">
            <v>29.99</v>
          </cell>
        </row>
        <row r="7491">
          <cell r="C7491" t="str">
            <v>4508 - BITS/BLADES</v>
          </cell>
          <cell r="D7491" t="str">
            <v>DS1206CWS</v>
          </cell>
          <cell r="BA7491">
            <v>14.99</v>
          </cell>
        </row>
        <row r="7492">
          <cell r="C7492" t="str">
            <v>4508 - BITS/BLADES</v>
          </cell>
          <cell r="D7492" t="str">
            <v>DS0606CWS</v>
          </cell>
          <cell r="BA7492">
            <v>9.99</v>
          </cell>
        </row>
        <row r="7493">
          <cell r="C7493" t="str">
            <v>4508 - BITS/BLADES</v>
          </cell>
          <cell r="D7493" t="str">
            <v>DS0906CWS</v>
          </cell>
          <cell r="BA7493">
            <v>11.99</v>
          </cell>
        </row>
        <row r="7494">
          <cell r="C7494" t="str">
            <v>4508 - BITS/BLADES</v>
          </cell>
          <cell r="D7494" t="str">
            <v>DS0620CF</v>
          </cell>
          <cell r="BA7494">
            <v>11.99</v>
          </cell>
        </row>
        <row r="7495">
          <cell r="C7495" t="str">
            <v>4508 - BITS/BLADES</v>
          </cell>
          <cell r="D7495" t="str">
            <v>DS0930CGX</v>
          </cell>
          <cell r="BA7495">
            <v>6.99</v>
          </cell>
        </row>
        <row r="7496">
          <cell r="C7496" t="str">
            <v>4508 - BITS/BLADES</v>
          </cell>
          <cell r="D7496" t="str">
            <v>DS0930DGX</v>
          </cell>
          <cell r="BA7496">
            <v>17.989999999999998</v>
          </cell>
        </row>
        <row r="7497">
          <cell r="C7497" t="str">
            <v>4508 - BITS/BLADES</v>
          </cell>
          <cell r="D7497" t="str">
            <v>DS0905FG</v>
          </cell>
          <cell r="BA7497">
            <v>7.59</v>
          </cell>
        </row>
        <row r="7498">
          <cell r="C7498" t="str">
            <v>4508 - BITS/BLADES</v>
          </cell>
          <cell r="D7498" t="str">
            <v>DS0905FG5</v>
          </cell>
          <cell r="BA7498">
            <v>14.99</v>
          </cell>
        </row>
        <row r="7499">
          <cell r="C7499" t="str">
            <v>4508 - BITS/BLADES</v>
          </cell>
          <cell r="D7499" t="str">
            <v>DS1205FG</v>
          </cell>
          <cell r="BA7499">
            <v>7.59</v>
          </cell>
        </row>
        <row r="7500">
          <cell r="C7500" t="str">
            <v>4508 - BITS/BLADES</v>
          </cell>
          <cell r="D7500" t="str">
            <v>DS1205FG5</v>
          </cell>
          <cell r="BA7500">
            <v>22.99</v>
          </cell>
        </row>
        <row r="7501">
          <cell r="C7501" t="str">
            <v>4508 - BITS/BLADES</v>
          </cell>
          <cell r="D7501" t="str">
            <v>DS0414BF2</v>
          </cell>
          <cell r="BA7501">
            <v>6.99</v>
          </cell>
        </row>
        <row r="7502">
          <cell r="C7502" t="str">
            <v>4508 - BITS/BLADES</v>
          </cell>
          <cell r="D7502" t="str">
            <v>DS0608BFD2</v>
          </cell>
          <cell r="BA7502">
            <v>7.99</v>
          </cell>
        </row>
        <row r="7503">
          <cell r="C7503" t="str">
            <v>4508 - BITS/BLADES</v>
          </cell>
          <cell r="D7503" t="str">
            <v>DS0612BW2</v>
          </cell>
          <cell r="BA7503">
            <v>7.99</v>
          </cell>
        </row>
        <row r="7504">
          <cell r="C7504" t="str">
            <v>4508 - BITS/BLADES</v>
          </cell>
          <cell r="D7504" t="str">
            <v>DS0614BF2</v>
          </cell>
          <cell r="BA7504">
            <v>7.59</v>
          </cell>
        </row>
        <row r="7505">
          <cell r="C7505" t="str">
            <v>4508 - BITS/BLADES</v>
          </cell>
          <cell r="D7505" t="str">
            <v>DS0614BGP2</v>
          </cell>
          <cell r="BA7505">
            <v>7.59</v>
          </cell>
        </row>
        <row r="7506">
          <cell r="C7506" t="str">
            <v>4508 - BITS/BLADES</v>
          </cell>
          <cell r="D7506" t="str">
            <v>DS0908BFD2</v>
          </cell>
          <cell r="BA7506">
            <v>10.99</v>
          </cell>
        </row>
        <row r="7507">
          <cell r="C7507" t="str">
            <v>4508 - BITS/BLADES</v>
          </cell>
          <cell r="D7507" t="str">
            <v>DS0912BW2</v>
          </cell>
          <cell r="BA7507">
            <v>9.99</v>
          </cell>
        </row>
        <row r="7508">
          <cell r="C7508" t="str">
            <v>4508 - BITS/BLADES</v>
          </cell>
          <cell r="D7508" t="str">
            <v>DS0912BW25</v>
          </cell>
          <cell r="BA7508">
            <v>69.989999999999995</v>
          </cell>
        </row>
        <row r="7509">
          <cell r="C7509" t="str">
            <v>4508 - BITS/BLADES</v>
          </cell>
          <cell r="D7509" t="str">
            <v>DS0914AFC2</v>
          </cell>
          <cell r="BA7509">
            <v>8.69</v>
          </cell>
        </row>
        <row r="7510">
          <cell r="C7510" t="str">
            <v>4508 - BITS/BLADES</v>
          </cell>
          <cell r="D7510" t="str">
            <v>DS0914BF2</v>
          </cell>
          <cell r="BA7510">
            <v>9.99</v>
          </cell>
        </row>
        <row r="7511">
          <cell r="C7511" t="str">
            <v>4508 - BITS/BLADES</v>
          </cell>
          <cell r="D7511" t="str">
            <v>DS0914BGP2</v>
          </cell>
          <cell r="BA7511">
            <v>9.99</v>
          </cell>
        </row>
        <row r="7512">
          <cell r="C7512" t="str">
            <v>4508 - BITS/BLADES</v>
          </cell>
          <cell r="D7512" t="str">
            <v>DS0920BF2</v>
          </cell>
          <cell r="BA7512">
            <v>9.99</v>
          </cell>
        </row>
        <row r="7513">
          <cell r="C7513" t="str">
            <v>4508 - BITS/BLADES</v>
          </cell>
          <cell r="D7513" t="str">
            <v>DS1212BW2</v>
          </cell>
          <cell r="BA7513">
            <v>10.99</v>
          </cell>
        </row>
        <row r="7514">
          <cell r="C7514" t="str">
            <v>4508 - BITS/BLADES</v>
          </cell>
          <cell r="D7514" t="str">
            <v>DS1212BW5</v>
          </cell>
          <cell r="BA7514">
            <v>24.99</v>
          </cell>
        </row>
        <row r="7515">
          <cell r="C7515" t="str">
            <v>4508 - BITS/BLADES</v>
          </cell>
          <cell r="D7515" t="str">
            <v>DS1214AFC2</v>
          </cell>
          <cell r="BA7515">
            <v>10.99</v>
          </cell>
        </row>
        <row r="7516">
          <cell r="C7516" t="str">
            <v>4508 - BITS/BLADES</v>
          </cell>
          <cell r="D7516" t="str">
            <v>DS1214BF2</v>
          </cell>
          <cell r="BA7516">
            <v>11.99</v>
          </cell>
        </row>
        <row r="7517">
          <cell r="C7517" t="str">
            <v>4508 - BITS/BLADES</v>
          </cell>
          <cell r="D7517" t="str">
            <v>DS0608BFD5</v>
          </cell>
          <cell r="BA7517">
            <v>15.99</v>
          </cell>
        </row>
        <row r="7518">
          <cell r="C7518" t="str">
            <v>4508 - BITS/BLADES</v>
          </cell>
          <cell r="D7518" t="str">
            <v>DS0612BW5</v>
          </cell>
          <cell r="BA7518">
            <v>14.99</v>
          </cell>
        </row>
        <row r="7519">
          <cell r="C7519" t="str">
            <v>4508 - BITS/BLADES</v>
          </cell>
          <cell r="D7519" t="str">
            <v>DS0614BF5</v>
          </cell>
          <cell r="BA7519">
            <v>14.99</v>
          </cell>
        </row>
        <row r="7520">
          <cell r="C7520" t="str">
            <v>4508 - BITS/BLADES</v>
          </cell>
          <cell r="D7520" t="str">
            <v>DS0614BGP5</v>
          </cell>
          <cell r="BA7520">
            <v>14.99</v>
          </cell>
        </row>
        <row r="7521">
          <cell r="C7521" t="str">
            <v>4508 - BITS/BLADES</v>
          </cell>
          <cell r="D7521" t="str">
            <v>DS0908BFD5</v>
          </cell>
          <cell r="BA7521">
            <v>19.989999999999998</v>
          </cell>
        </row>
        <row r="7522">
          <cell r="C7522" t="str">
            <v>4508 - BITS/BLADES</v>
          </cell>
          <cell r="D7522" t="str">
            <v>DS0912BW5</v>
          </cell>
          <cell r="BA7522">
            <v>19.989999999999998</v>
          </cell>
        </row>
        <row r="7523">
          <cell r="C7523" t="str">
            <v>4508 - BITS/BLADES</v>
          </cell>
          <cell r="D7523" t="str">
            <v>DS0914BGP5</v>
          </cell>
          <cell r="BA7523">
            <v>19.989999999999998</v>
          </cell>
        </row>
        <row r="7524">
          <cell r="C7524" t="str">
            <v>4508 - BITS/BLADES</v>
          </cell>
          <cell r="D7524" t="str">
            <v>DS0914AFC5</v>
          </cell>
          <cell r="BA7524">
            <v>15.99</v>
          </cell>
        </row>
        <row r="7525">
          <cell r="C7525" t="str">
            <v>4508 - BITS/BLADES</v>
          </cell>
          <cell r="D7525" t="str">
            <v>DS1214AFC5</v>
          </cell>
          <cell r="BA7525">
            <v>19.989999999999998</v>
          </cell>
        </row>
        <row r="7526">
          <cell r="C7526" t="str">
            <v>4508 - BITS/BLADES</v>
          </cell>
          <cell r="D7526" t="str">
            <v>DS0620BF5</v>
          </cell>
          <cell r="BA7526">
            <v>24.39</v>
          </cell>
        </row>
        <row r="7527">
          <cell r="C7527" t="str">
            <v>4508 - BITS/BLADES</v>
          </cell>
          <cell r="D7527" t="str">
            <v>DS006S</v>
          </cell>
          <cell r="BA7527">
            <v>15.99</v>
          </cell>
        </row>
        <row r="7528">
          <cell r="C7528" t="str">
            <v>4508 - BITS/BLADES</v>
          </cell>
          <cell r="D7528" t="str">
            <v>DS0014S</v>
          </cell>
          <cell r="BA7528">
            <v>29.99</v>
          </cell>
        </row>
        <row r="7529">
          <cell r="C7529" t="str">
            <v>4508 - BITS/BLADES</v>
          </cell>
          <cell r="D7529" t="str">
            <v>NRBP210</v>
          </cell>
          <cell r="BA7529">
            <v>3.39</v>
          </cell>
        </row>
        <row r="7530">
          <cell r="C7530" t="str">
            <v>4508 - BITS/BLADES</v>
          </cell>
          <cell r="D7530" t="str">
            <v>NRBP211</v>
          </cell>
          <cell r="BA7530">
            <v>3.99</v>
          </cell>
        </row>
        <row r="7531">
          <cell r="C7531" t="str">
            <v>4508 - BITS/BLADES</v>
          </cell>
          <cell r="D7531" t="str">
            <v>NRBP212</v>
          </cell>
          <cell r="BA7531">
            <v>3.19</v>
          </cell>
        </row>
        <row r="7532">
          <cell r="C7532" t="str">
            <v>4508 - BITS/BLADES</v>
          </cell>
          <cell r="D7532" t="str">
            <v>NRBP213</v>
          </cell>
          <cell r="BA7532">
            <v>4.8899999999999997</v>
          </cell>
        </row>
        <row r="7533">
          <cell r="C7533" t="str">
            <v>4508 - BITS/BLADES</v>
          </cell>
          <cell r="D7533" t="str">
            <v>NRBP313</v>
          </cell>
          <cell r="BA7533">
            <v>21.39</v>
          </cell>
        </row>
        <row r="7534">
          <cell r="C7534" t="str">
            <v>4508 - BITS/BLADES</v>
          </cell>
          <cell r="D7534" t="str">
            <v>NRBP311</v>
          </cell>
          <cell r="BA7534">
            <v>17.09</v>
          </cell>
        </row>
        <row r="7535">
          <cell r="C7535" t="str">
            <v>4508 - BITS/BLADES</v>
          </cell>
          <cell r="D7535" t="str">
            <v>NRBP220</v>
          </cell>
          <cell r="BA7535">
            <v>4.59</v>
          </cell>
        </row>
        <row r="7536">
          <cell r="C7536" t="str">
            <v>4508 - BITS/BLADES</v>
          </cell>
          <cell r="D7536" t="str">
            <v>NRBP221</v>
          </cell>
          <cell r="BA7536">
            <v>6.39</v>
          </cell>
        </row>
        <row r="7537">
          <cell r="C7537" t="str">
            <v>4508 - BITS/BLADES</v>
          </cell>
          <cell r="D7537" t="str">
            <v>NRBP321</v>
          </cell>
          <cell r="BA7537">
            <v>26.49</v>
          </cell>
        </row>
        <row r="7538">
          <cell r="C7538" t="str">
            <v>4508 - BITS/BLADES</v>
          </cell>
          <cell r="D7538" t="str">
            <v>NRBP222</v>
          </cell>
          <cell r="BA7538">
            <v>7.59</v>
          </cell>
        </row>
        <row r="7539">
          <cell r="C7539" t="str">
            <v>4508 - BITS/BLADES</v>
          </cell>
          <cell r="D7539" t="str">
            <v>NRBP223</v>
          </cell>
          <cell r="BA7539">
            <v>4.59</v>
          </cell>
        </row>
        <row r="7540">
          <cell r="C7540" t="str">
            <v>4508 - BITS/BLADES</v>
          </cell>
          <cell r="D7540" t="str">
            <v>NRBP224</v>
          </cell>
          <cell r="BA7540">
            <v>5.59</v>
          </cell>
        </row>
        <row r="7541">
          <cell r="C7541" t="str">
            <v>4508 - BITS/BLADES</v>
          </cell>
          <cell r="D7541" t="str">
            <v>NRBP225</v>
          </cell>
          <cell r="BA7541">
            <v>5.19</v>
          </cell>
        </row>
        <row r="7542">
          <cell r="C7542" t="str">
            <v>4508 - BITS/BLADES</v>
          </cell>
          <cell r="D7542" t="str">
            <v>NRBP245</v>
          </cell>
          <cell r="BA7542">
            <v>5.19</v>
          </cell>
        </row>
        <row r="7543">
          <cell r="C7543" t="str">
            <v>4508 - BITS/BLADES</v>
          </cell>
          <cell r="D7543" t="str">
            <v>NRBP347</v>
          </cell>
          <cell r="BA7543">
            <v>28.19</v>
          </cell>
        </row>
        <row r="7544">
          <cell r="C7544" t="str">
            <v>4508 - BITS/BLADES</v>
          </cell>
          <cell r="D7544" t="str">
            <v>NRBP247</v>
          </cell>
          <cell r="BA7544">
            <v>6.29</v>
          </cell>
        </row>
        <row r="7545">
          <cell r="C7545" t="str">
            <v>4508 - BITS/BLADES</v>
          </cell>
          <cell r="D7545" t="str">
            <v>NRBP249</v>
          </cell>
          <cell r="BA7545">
            <v>7.19</v>
          </cell>
        </row>
        <row r="7546">
          <cell r="C7546" t="str">
            <v>4508 - BITS/BLADES</v>
          </cell>
          <cell r="D7546" t="str">
            <v>NRBP251</v>
          </cell>
          <cell r="BA7546">
            <v>5.19</v>
          </cell>
        </row>
        <row r="7547">
          <cell r="C7547" t="str">
            <v>4508 - BITS/BLADES</v>
          </cell>
          <cell r="D7547" t="str">
            <v>NRBP253</v>
          </cell>
          <cell r="BA7547">
            <v>6.29</v>
          </cell>
        </row>
        <row r="7548">
          <cell r="C7548" t="str">
            <v>4508 - BITS/BLADES</v>
          </cell>
          <cell r="D7548" t="str">
            <v>NRBP255</v>
          </cell>
          <cell r="BA7548">
            <v>7.19</v>
          </cell>
        </row>
        <row r="7549">
          <cell r="C7549" t="str">
            <v>4508 - BITS/BLADES</v>
          </cell>
          <cell r="D7549" t="str">
            <v>FRDMATP0450</v>
          </cell>
          <cell r="BA7549">
            <v>35.99</v>
          </cell>
        </row>
        <row r="7550">
          <cell r="C7550" t="str">
            <v>4508 - BITS/BLADES</v>
          </cell>
          <cell r="D7550" t="str">
            <v>FRDMATP0500</v>
          </cell>
          <cell r="BA7550">
            <v>44.99</v>
          </cell>
        </row>
        <row r="7551">
          <cell r="C7551" t="str">
            <v>4508 - BITS/BLADES</v>
          </cell>
          <cell r="D7551" t="str">
            <v>DWA3501</v>
          </cell>
          <cell r="BA7551">
            <v>3.79</v>
          </cell>
        </row>
        <row r="7552">
          <cell r="C7552" t="str">
            <v>4508 - BITS/BLADES</v>
          </cell>
          <cell r="D7552" t="str">
            <v>DWA3502</v>
          </cell>
          <cell r="BA7552">
            <v>3.99</v>
          </cell>
        </row>
        <row r="7553">
          <cell r="C7553" t="str">
            <v>4508 - BITS/BLADES</v>
          </cell>
          <cell r="D7553" t="str">
            <v>DBD014109A01F</v>
          </cell>
          <cell r="BA7553">
            <v>10.99</v>
          </cell>
        </row>
        <row r="7554">
          <cell r="C7554" t="str">
            <v>4508 - BITS/BLADES</v>
          </cell>
          <cell r="D7554" t="str">
            <v>IRW24030</v>
          </cell>
          <cell r="BA7554">
            <v>8.99</v>
          </cell>
        </row>
        <row r="7555">
          <cell r="C7555" t="str">
            <v>4508 - BITS/BLADES</v>
          </cell>
          <cell r="D7555" t="str">
            <v>ST15087</v>
          </cell>
          <cell r="BA7555">
            <v>29.99</v>
          </cell>
        </row>
        <row r="7556">
          <cell r="C7556" t="str">
            <v>4508 - BITS/BLADES</v>
          </cell>
          <cell r="D7556" t="str">
            <v>D1090X</v>
          </cell>
          <cell r="BA7556">
            <v>62.99</v>
          </cell>
        </row>
        <row r="7557">
          <cell r="C7557" t="str">
            <v>4508 - BITS/BLADES</v>
          </cell>
          <cell r="D7557" t="str">
            <v>D12100X</v>
          </cell>
          <cell r="BA7557">
            <v>79.989999999999995</v>
          </cell>
        </row>
        <row r="7558">
          <cell r="C7558" t="str">
            <v>4508 - BITS/BLADES</v>
          </cell>
          <cell r="D7558" t="str">
            <v>D1260X</v>
          </cell>
          <cell r="BA7558">
            <v>49.99</v>
          </cell>
        </row>
        <row r="7559">
          <cell r="C7559" t="str">
            <v>4508 - BITS/BLADES</v>
          </cell>
          <cell r="D7559" t="str">
            <v>D0648FA</v>
          </cell>
          <cell r="BA7559">
            <v>29.69</v>
          </cell>
        </row>
        <row r="7560">
          <cell r="C7560" t="str">
            <v>4508 - BITS/BLADES</v>
          </cell>
          <cell r="D7560" t="str">
            <v>D1030X</v>
          </cell>
          <cell r="BA7560">
            <v>37.99</v>
          </cell>
        </row>
        <row r="7561">
          <cell r="C7561" t="str">
            <v>4508 - BITS/BLADES</v>
          </cell>
          <cell r="D7561" t="str">
            <v>D0736GPA</v>
          </cell>
          <cell r="BA7561">
            <v>24.99</v>
          </cell>
        </row>
        <row r="7562">
          <cell r="C7562" t="str">
            <v>4508 - BITS/BLADES</v>
          </cell>
          <cell r="D7562" t="str">
            <v>D0770FA</v>
          </cell>
          <cell r="BA7562">
            <v>37.99</v>
          </cell>
        </row>
        <row r="7563">
          <cell r="C7563" t="str">
            <v>4508 - BITS/BLADES</v>
          </cell>
          <cell r="D7563" t="str">
            <v>D0632GPA</v>
          </cell>
          <cell r="BA7563">
            <v>29.99</v>
          </cell>
        </row>
        <row r="7564">
          <cell r="C7564" t="str">
            <v>4508 - BITS/BLADES</v>
          </cell>
          <cell r="D7564" t="str">
            <v>D0660A</v>
          </cell>
          <cell r="BA7564">
            <v>22.99</v>
          </cell>
        </row>
        <row r="7565">
          <cell r="C7565" t="str">
            <v>4508 - BITS/BLADES</v>
          </cell>
          <cell r="D7565" t="str">
            <v>D0660FA</v>
          </cell>
          <cell r="BA7565">
            <v>47.99</v>
          </cell>
        </row>
        <row r="7566">
          <cell r="C7566" t="str">
            <v>4508 - BITS/BLADES</v>
          </cell>
          <cell r="D7566" t="str">
            <v>D0624A</v>
          </cell>
          <cell r="BA7566">
            <v>10.99</v>
          </cell>
        </row>
        <row r="7567">
          <cell r="C7567" t="str">
            <v>4508 - BITS/BLADES</v>
          </cell>
          <cell r="D7567" t="str">
            <v>D0624DA</v>
          </cell>
          <cell r="BA7567">
            <v>18.989999999999998</v>
          </cell>
        </row>
        <row r="7568">
          <cell r="C7568" t="str">
            <v>4508 - BITS/BLADES</v>
          </cell>
          <cell r="D7568" t="str">
            <v>FRD1040X</v>
          </cell>
          <cell r="BA7568">
            <v>29.99</v>
          </cell>
        </row>
        <row r="7569">
          <cell r="C7569" t="str">
            <v>4508 - BITS/BLADES</v>
          </cell>
          <cell r="D7569" t="str">
            <v>D0641A</v>
          </cell>
          <cell r="BA7569">
            <v>19.989999999999998</v>
          </cell>
        </row>
        <row r="7570">
          <cell r="C7570" t="str">
            <v>4508 - BITS/BLADES</v>
          </cell>
          <cell r="D7570" t="str">
            <v>FRD0648CFA</v>
          </cell>
          <cell r="BA7570">
            <v>37.99</v>
          </cell>
        </row>
        <row r="7571">
          <cell r="C7571" t="str">
            <v>4508 - BITS/BLADES</v>
          </cell>
          <cell r="D7571" t="str">
            <v>FRD0604DHA</v>
          </cell>
          <cell r="BA7571">
            <v>54.99</v>
          </cell>
        </row>
        <row r="7572">
          <cell r="C7572" t="str">
            <v>4508 - BITS/BLADES</v>
          </cell>
          <cell r="D7572" t="str">
            <v>GR71424TP</v>
          </cell>
          <cell r="BA7572">
            <v>6.99</v>
          </cell>
        </row>
        <row r="7573">
          <cell r="C7573" t="str">
            <v>4508 - BITS/BLADES</v>
          </cell>
          <cell r="D7573" t="str">
            <v>7PSDB</v>
          </cell>
          <cell r="BA7573">
            <v>33.99</v>
          </cell>
        </row>
        <row r="7574">
          <cell r="C7574" t="str">
            <v>4508 - BITS/BLADES</v>
          </cell>
          <cell r="D7574" t="str">
            <v>HP18008</v>
          </cell>
          <cell r="BA7574">
            <v>46.99</v>
          </cell>
        </row>
        <row r="7575">
          <cell r="C7575" t="str">
            <v>4508 - BITS/BLADES</v>
          </cell>
          <cell r="D7575" t="str">
            <v>HP18108</v>
          </cell>
          <cell r="BA7575">
            <v>99.99</v>
          </cell>
        </row>
        <row r="7576">
          <cell r="C7576" t="str">
            <v>4508 - BITS/BLADES</v>
          </cell>
          <cell r="D7576" t="str">
            <v>D1244X</v>
          </cell>
          <cell r="BA7576">
            <v>39.99</v>
          </cell>
        </row>
        <row r="7577">
          <cell r="C7577" t="str">
            <v>4508 - BITS/BLADES</v>
          </cell>
          <cell r="D7577" t="str">
            <v>FRD053830FMX</v>
          </cell>
          <cell r="BA7577">
            <v>39.99</v>
          </cell>
        </row>
        <row r="7578">
          <cell r="C7578" t="str">
            <v>4508 - BITS/BLADES</v>
          </cell>
          <cell r="D7578" t="str">
            <v>FRED1080N</v>
          </cell>
          <cell r="BA7578">
            <v>59.99</v>
          </cell>
        </row>
        <row r="7579">
          <cell r="C7579" t="str">
            <v>4508 - BITS/BLADES</v>
          </cell>
          <cell r="D7579" t="str">
            <v>D0704DH</v>
          </cell>
          <cell r="BA7579">
            <v>45.99</v>
          </cell>
        </row>
        <row r="7580">
          <cell r="C7580" t="str">
            <v>4508 - BITS/BLADES</v>
          </cell>
          <cell r="D7580" t="str">
            <v>D0704DHA</v>
          </cell>
          <cell r="BA7580">
            <v>44.99</v>
          </cell>
        </row>
        <row r="7581">
          <cell r="C7581" t="str">
            <v>4508 - BITS/BLADES</v>
          </cell>
          <cell r="D7581" t="str">
            <v>D0724A</v>
          </cell>
          <cell r="BA7581">
            <v>9.99</v>
          </cell>
        </row>
        <row r="7582">
          <cell r="C7582" t="str">
            <v>4508 - BITS/BLADES</v>
          </cell>
          <cell r="D7582" t="str">
            <v>D0740A</v>
          </cell>
          <cell r="BA7582">
            <v>15.99</v>
          </cell>
        </row>
        <row r="7583">
          <cell r="C7583" t="str">
            <v>4508 - BITS/BLADES</v>
          </cell>
          <cell r="D7583" t="str">
            <v>D0748CFA</v>
          </cell>
          <cell r="BA7583">
            <v>34.99</v>
          </cell>
        </row>
        <row r="7584">
          <cell r="C7584" t="str">
            <v>4508 - BITS/BLADES</v>
          </cell>
          <cell r="D7584" t="str">
            <v>D0756N</v>
          </cell>
          <cell r="BA7584">
            <v>37.99</v>
          </cell>
        </row>
        <row r="7585">
          <cell r="C7585" t="str">
            <v>4508 - BITS/BLADES</v>
          </cell>
          <cell r="D7585" t="str">
            <v>D0840X</v>
          </cell>
          <cell r="BA7585">
            <v>39.99</v>
          </cell>
        </row>
        <row r="7586">
          <cell r="C7586" t="str">
            <v>4508 - BITS/BLADES</v>
          </cell>
          <cell r="D7586" t="str">
            <v>D0860S</v>
          </cell>
          <cell r="BA7586">
            <v>62.99</v>
          </cell>
        </row>
        <row r="7587">
          <cell r="C7587" t="str">
            <v>4508 - BITS/BLADES</v>
          </cell>
          <cell r="D7587" t="str">
            <v>D0624X</v>
          </cell>
          <cell r="BA7587">
            <v>11.99</v>
          </cell>
        </row>
        <row r="7588">
          <cell r="C7588" t="str">
            <v>4508 - BITS/BLADES</v>
          </cell>
          <cell r="D7588" t="str">
            <v>D1024X</v>
          </cell>
          <cell r="BA7588">
            <v>29.99</v>
          </cell>
        </row>
        <row r="7589">
          <cell r="C7589" t="str">
            <v>4508 - BITS/BLADES</v>
          </cell>
          <cell r="D7589" t="str">
            <v>FRD1040UX</v>
          </cell>
          <cell r="BA7589">
            <v>52.99</v>
          </cell>
        </row>
        <row r="7590">
          <cell r="C7590" t="str">
            <v>4508 - BITS/BLADES</v>
          </cell>
          <cell r="D7590" t="str">
            <v>D1050X</v>
          </cell>
          <cell r="BA7590">
            <v>44.99</v>
          </cell>
        </row>
        <row r="7591">
          <cell r="C7591" t="str">
            <v>4508 - BITS/BLADES</v>
          </cell>
          <cell r="D7591" t="str">
            <v>D1060X</v>
          </cell>
          <cell r="BA7591">
            <v>44.99</v>
          </cell>
        </row>
        <row r="7592">
          <cell r="C7592" t="str">
            <v>4508 - BITS/BLADES</v>
          </cell>
          <cell r="D7592" t="str">
            <v>D1080X</v>
          </cell>
          <cell r="BA7592">
            <v>52.99</v>
          </cell>
        </row>
        <row r="7593">
          <cell r="C7593" t="str">
            <v>4508 - BITS/BLADES</v>
          </cell>
          <cell r="D7593" t="str">
            <v>D1280X</v>
          </cell>
          <cell r="BA7593">
            <v>59.99</v>
          </cell>
        </row>
        <row r="7594">
          <cell r="C7594" t="str">
            <v>4508 - BITS/BLADES</v>
          </cell>
          <cell r="D7594" t="str">
            <v>D1296N</v>
          </cell>
          <cell r="BA7594">
            <v>69.989999999999995</v>
          </cell>
        </row>
        <row r="7595">
          <cell r="C7595" t="str">
            <v>4508 - BITS/BLADES</v>
          </cell>
          <cell r="D7595" t="str">
            <v>FRD0654NA</v>
          </cell>
          <cell r="BA7595">
            <v>37.99</v>
          </cell>
        </row>
        <row r="7596">
          <cell r="C7596" t="str">
            <v>4508 - BITS/BLADES</v>
          </cell>
          <cell r="D7596" t="str">
            <v>FRD0756NA</v>
          </cell>
          <cell r="BA7596">
            <v>34.99</v>
          </cell>
        </row>
        <row r="7597">
          <cell r="C7597" t="str">
            <v>4508 - BITS/BLADES</v>
          </cell>
          <cell r="D7597" t="str">
            <v>FRDS0620BF5</v>
          </cell>
          <cell r="BA7597">
            <v>13.99</v>
          </cell>
        </row>
        <row r="7598">
          <cell r="C7598" t="str">
            <v>4508 - BITS/BLADES</v>
          </cell>
          <cell r="D7598" t="str">
            <v>FRD0424X</v>
          </cell>
          <cell r="BA7598">
            <v>15.99</v>
          </cell>
        </row>
        <row r="7599">
          <cell r="C7599" t="str">
            <v>4508 - BITS/BLADES</v>
          </cell>
          <cell r="D7599" t="str">
            <v>FRD1632X</v>
          </cell>
          <cell r="BA7599">
            <v>119.99</v>
          </cell>
        </row>
        <row r="7600">
          <cell r="C7600" t="str">
            <v>4508 - BITS/BLADES</v>
          </cell>
          <cell r="D7600" t="str">
            <v>FRD124444VP</v>
          </cell>
          <cell r="BA7600">
            <v>59.99</v>
          </cell>
        </row>
        <row r="7601">
          <cell r="C7601" t="str">
            <v>4508 - BITS/BLADES</v>
          </cell>
          <cell r="D7601" t="str">
            <v>FRD104040VP</v>
          </cell>
          <cell r="BA7601">
            <v>54.99</v>
          </cell>
        </row>
        <row r="7602">
          <cell r="C7602" t="str">
            <v>4508 - BITS/BLADES</v>
          </cell>
          <cell r="D7602" t="str">
            <v>FRD0724X3</v>
          </cell>
          <cell r="BA7602">
            <v>27.99</v>
          </cell>
        </row>
        <row r="7603">
          <cell r="C7603" t="str">
            <v>4508 - BITS/BLADES</v>
          </cell>
          <cell r="D7603" t="str">
            <v>FRD0624X3</v>
          </cell>
          <cell r="BA7603">
            <v>31.99</v>
          </cell>
        </row>
        <row r="7604">
          <cell r="C7604" t="str">
            <v>4508 - BITS/BLADES</v>
          </cell>
          <cell r="D7604" t="str">
            <v>FRD0860X</v>
          </cell>
          <cell r="BA7604">
            <v>57.99</v>
          </cell>
        </row>
        <row r="7605">
          <cell r="C7605" t="str">
            <v>4508 - BITS/BLADES</v>
          </cell>
          <cell r="D7605" t="str">
            <v>FRD053818WMX</v>
          </cell>
          <cell r="BA7605">
            <v>16.989999999999998</v>
          </cell>
        </row>
        <row r="7606">
          <cell r="C7606" t="str">
            <v>4508 - BITS/BLADES</v>
          </cell>
          <cell r="D7606" t="str">
            <v>IRW14082</v>
          </cell>
          <cell r="BA7606">
            <v>79.989999999999995</v>
          </cell>
        </row>
        <row r="7607">
          <cell r="C7607" t="str">
            <v>4508 - BITS/BLADES</v>
          </cell>
          <cell r="D7607" t="str">
            <v>IRW14030</v>
          </cell>
          <cell r="BA7607">
            <v>19.989999999999998</v>
          </cell>
        </row>
        <row r="7608">
          <cell r="C7608" t="str">
            <v>4508 - BITS/BLADES</v>
          </cell>
          <cell r="D7608" t="str">
            <v>IRW14070</v>
          </cell>
          <cell r="BA7608">
            <v>32.99</v>
          </cell>
        </row>
        <row r="7609">
          <cell r="C7609" t="str">
            <v>4508 - BITS/BLADES</v>
          </cell>
          <cell r="D7609" t="str">
            <v>P0706CH</v>
          </cell>
          <cell r="BA7609">
            <v>22.99</v>
          </cell>
        </row>
        <row r="7610">
          <cell r="C7610" t="str">
            <v>4508 - BITS/BLADES</v>
          </cell>
          <cell r="D7610" t="str">
            <v>NCSBS409</v>
          </cell>
          <cell r="BA7610">
            <v>12.79</v>
          </cell>
        </row>
        <row r="7611">
          <cell r="C7611" t="str">
            <v>4508 - BITS/BLADES</v>
          </cell>
          <cell r="D7611" t="str">
            <v>NCSBS421</v>
          </cell>
          <cell r="BA7611">
            <v>45.19</v>
          </cell>
        </row>
        <row r="7612">
          <cell r="C7612" t="str">
            <v>4508 - BITS/BLADES</v>
          </cell>
          <cell r="D7612" t="str">
            <v>NCSBP280</v>
          </cell>
          <cell r="BA7612">
            <v>51.49</v>
          </cell>
        </row>
        <row r="7613">
          <cell r="C7613" t="str">
            <v>4508 - BITS/BLADES</v>
          </cell>
          <cell r="D7613" t="str">
            <v>NCSBP281</v>
          </cell>
          <cell r="BA7613">
            <v>46.89</v>
          </cell>
        </row>
        <row r="7614">
          <cell r="C7614" t="str">
            <v>4508 - BITS/BLADES</v>
          </cell>
          <cell r="D7614" t="str">
            <v>NCSBP283</v>
          </cell>
          <cell r="BA7614">
            <v>80.989999999999995</v>
          </cell>
        </row>
        <row r="7615">
          <cell r="C7615" t="str">
            <v>4508 - BITS/BLADES</v>
          </cell>
          <cell r="D7615" t="str">
            <v>NCSBP284</v>
          </cell>
          <cell r="BA7615">
            <v>61.49</v>
          </cell>
        </row>
        <row r="7616">
          <cell r="C7616" t="str">
            <v>4508 - BITS/BLADES</v>
          </cell>
          <cell r="D7616" t="str">
            <v>MIL48-40-0726</v>
          </cell>
          <cell r="BA7616">
            <v>19.989999999999998</v>
          </cell>
        </row>
        <row r="7617">
          <cell r="C7617" t="str">
            <v>4508 - BITS/BLADES</v>
          </cell>
          <cell r="D7617" t="str">
            <v>IRW373034</v>
          </cell>
          <cell r="BA7617">
            <v>11.99</v>
          </cell>
        </row>
        <row r="7618">
          <cell r="C7618" t="str">
            <v>4508 - BITS/BLADES</v>
          </cell>
          <cell r="D7618" t="str">
            <v>IRW373118</v>
          </cell>
          <cell r="BA7618">
            <v>9.99</v>
          </cell>
        </row>
        <row r="7619">
          <cell r="C7619" t="str">
            <v>4508 - BITS/BLADES</v>
          </cell>
          <cell r="D7619" t="str">
            <v>IRW373112</v>
          </cell>
          <cell r="BA7619">
            <v>10.99</v>
          </cell>
        </row>
        <row r="7620">
          <cell r="C7620" t="str">
            <v>4508 - BITS/BLADES</v>
          </cell>
          <cell r="D7620" t="str">
            <v>IRW373138</v>
          </cell>
          <cell r="BA7620">
            <v>10.99</v>
          </cell>
        </row>
        <row r="7621">
          <cell r="C7621" t="str">
            <v>4508 - BITS/BLADES</v>
          </cell>
          <cell r="D7621" t="str">
            <v>FRDHS3125CT</v>
          </cell>
          <cell r="BA7621">
            <v>35.99</v>
          </cell>
        </row>
        <row r="7622">
          <cell r="C7622" t="str">
            <v>4508 - BITS/BLADES</v>
          </cell>
          <cell r="D7622" t="str">
            <v>FRDHS2500CF</v>
          </cell>
          <cell r="BA7622">
            <v>64.989999999999995</v>
          </cell>
        </row>
        <row r="7623">
          <cell r="C7623" t="str">
            <v>4508 - BITS/BLADES</v>
          </cell>
          <cell r="D7623" t="str">
            <v>FRDHS2000CF</v>
          </cell>
          <cell r="BA7623">
            <v>59.99</v>
          </cell>
        </row>
        <row r="7624">
          <cell r="C7624" t="str">
            <v>4508 - BITS/BLADES</v>
          </cell>
          <cell r="D7624" t="str">
            <v>FRDHS1750CF</v>
          </cell>
          <cell r="BA7624">
            <v>57.99</v>
          </cell>
        </row>
        <row r="7625">
          <cell r="C7625" t="str">
            <v>4508 - BITS/BLADES</v>
          </cell>
          <cell r="D7625" t="str">
            <v>FRDHS1375CF</v>
          </cell>
          <cell r="BA7625">
            <v>52.99</v>
          </cell>
        </row>
        <row r="7626">
          <cell r="C7626" t="str">
            <v>4508 - BITS/BLADES</v>
          </cell>
          <cell r="D7626" t="str">
            <v>FRDHS1125CF</v>
          </cell>
          <cell r="BA7626">
            <v>49.99</v>
          </cell>
        </row>
        <row r="7627">
          <cell r="C7627" t="str">
            <v>4508 - BITS/BLADES</v>
          </cell>
          <cell r="D7627" t="str">
            <v>FRDHS0875CF</v>
          </cell>
          <cell r="BA7627">
            <v>44.99</v>
          </cell>
        </row>
        <row r="7628">
          <cell r="C7628" t="str">
            <v>4508 - BITS/BLADES</v>
          </cell>
          <cell r="D7628" t="str">
            <v>FRDHS06CFS</v>
          </cell>
          <cell r="BA7628">
            <v>99.99</v>
          </cell>
        </row>
        <row r="7629">
          <cell r="C7629" t="str">
            <v>4508 - BITS/BLADES</v>
          </cell>
          <cell r="D7629" t="str">
            <v>FRDHS2BITCB</v>
          </cell>
          <cell r="BA7629">
            <v>9.99</v>
          </cell>
        </row>
        <row r="7630">
          <cell r="C7630" t="str">
            <v>4508 - BITS/BLADES</v>
          </cell>
          <cell r="D7630" t="str">
            <v>FRDHS3250CT</v>
          </cell>
          <cell r="BA7630">
            <v>42.99</v>
          </cell>
        </row>
        <row r="7631">
          <cell r="C7631" t="str">
            <v>4508 - BITS/BLADES</v>
          </cell>
          <cell r="D7631" t="str">
            <v>FRDHS3500CT</v>
          </cell>
          <cell r="BA7631">
            <v>44.99</v>
          </cell>
        </row>
        <row r="7632">
          <cell r="C7632" t="str">
            <v>4508 - BITS/BLADES</v>
          </cell>
          <cell r="D7632" t="str">
            <v>FRDHS3625CT</v>
          </cell>
          <cell r="BA7632">
            <v>47.99</v>
          </cell>
        </row>
        <row r="7633">
          <cell r="C7633" t="str">
            <v>4508 - BITS/BLADES</v>
          </cell>
          <cell r="D7633" t="str">
            <v>FRDHS4000CT</v>
          </cell>
          <cell r="BA7633">
            <v>47.99</v>
          </cell>
        </row>
        <row r="7634">
          <cell r="C7634" t="str">
            <v>4508 - BITS/BLADES</v>
          </cell>
          <cell r="D7634" t="str">
            <v>FRDHS4125CT</v>
          </cell>
          <cell r="BA7634">
            <v>55.99</v>
          </cell>
        </row>
        <row r="7635">
          <cell r="C7635" t="str">
            <v>4508 - BITS/BLADES</v>
          </cell>
          <cell r="D7635" t="str">
            <v>FRDHS4250CT</v>
          </cell>
          <cell r="BA7635">
            <v>59.99</v>
          </cell>
        </row>
        <row r="7636">
          <cell r="C7636" t="str">
            <v>4508 - BITS/BLADES</v>
          </cell>
          <cell r="D7636" t="str">
            <v>FRDHS4500CT</v>
          </cell>
          <cell r="BA7636">
            <v>64.989999999999995</v>
          </cell>
        </row>
        <row r="7637">
          <cell r="C7637" t="str">
            <v>4508 - BITS/BLADES</v>
          </cell>
          <cell r="D7637" t="str">
            <v>FRDHS4750CT</v>
          </cell>
          <cell r="BA7637">
            <v>67.989999999999995</v>
          </cell>
        </row>
        <row r="7638">
          <cell r="C7638" t="str">
            <v>4508 - BITS/BLADES</v>
          </cell>
          <cell r="D7638" t="str">
            <v>FRDHS5000CT</v>
          </cell>
          <cell r="BA7638">
            <v>74.989999999999995</v>
          </cell>
        </row>
        <row r="7639">
          <cell r="C7639" t="str">
            <v>4508 - BITS/BLADES</v>
          </cell>
          <cell r="D7639" t="str">
            <v>FRDHS6000CT</v>
          </cell>
          <cell r="BA7639">
            <v>79.989999999999995</v>
          </cell>
        </row>
        <row r="7640">
          <cell r="C7640" t="str">
            <v>4508 - BITS/BLADES</v>
          </cell>
          <cell r="D7640" t="str">
            <v>FRDHS0875CT</v>
          </cell>
          <cell r="BA7640">
            <v>18.989999999999998</v>
          </cell>
        </row>
        <row r="7641">
          <cell r="C7641" t="str">
            <v>4508 - BITS/BLADES</v>
          </cell>
          <cell r="D7641" t="str">
            <v>DHSARSDS</v>
          </cell>
          <cell r="BA7641">
            <v>25.99</v>
          </cell>
        </row>
        <row r="7642">
          <cell r="C7642" t="str">
            <v>4508 - BITS/BLADES</v>
          </cell>
          <cell r="D7642" t="str">
            <v>DHSAR500</v>
          </cell>
          <cell r="BA7642">
            <v>22.99</v>
          </cell>
        </row>
        <row r="7643">
          <cell r="C7643" t="str">
            <v>4508 - BITS/BLADES</v>
          </cell>
          <cell r="D7643" t="str">
            <v>DHS4BITCB</v>
          </cell>
          <cell r="BA7643">
            <v>7.99</v>
          </cell>
        </row>
        <row r="7644">
          <cell r="C7644" t="str">
            <v>4508 - BITS/BLADES</v>
          </cell>
          <cell r="D7644" t="str">
            <v>DHS4BITCT</v>
          </cell>
          <cell r="BA7644">
            <v>12.99</v>
          </cell>
        </row>
        <row r="7645">
          <cell r="C7645" t="str">
            <v>4508 - BITS/BLADES</v>
          </cell>
          <cell r="D7645" t="str">
            <v>DHS09SGP</v>
          </cell>
          <cell r="BA7645">
            <v>59.99</v>
          </cell>
        </row>
        <row r="7646">
          <cell r="C7646" t="str">
            <v>4508 - BITS/BLADES</v>
          </cell>
          <cell r="D7646" t="str">
            <v>DHS09SGPCT</v>
          </cell>
          <cell r="BA7646">
            <v>99.99</v>
          </cell>
        </row>
        <row r="7647">
          <cell r="C7647" t="str">
            <v>4508 - BITS/BLADES</v>
          </cell>
          <cell r="D7647" t="str">
            <v>DHS14SGP</v>
          </cell>
          <cell r="BA7647">
            <v>109.99</v>
          </cell>
        </row>
        <row r="7648">
          <cell r="C7648" t="str">
            <v>4508 - BITS/BLADES</v>
          </cell>
          <cell r="D7648" t="str">
            <v>DHS1000CT</v>
          </cell>
          <cell r="BA7648">
            <v>21.99</v>
          </cell>
        </row>
        <row r="7649">
          <cell r="C7649" t="str">
            <v>4508 - BITS/BLADES</v>
          </cell>
          <cell r="D7649" t="str">
            <v>DHS1063CT</v>
          </cell>
          <cell r="BA7649">
            <v>21.99</v>
          </cell>
        </row>
        <row r="7650">
          <cell r="C7650" t="str">
            <v>4508 - BITS/BLADES</v>
          </cell>
          <cell r="D7650" t="str">
            <v>DHS1125CT</v>
          </cell>
          <cell r="BA7650">
            <v>21.99</v>
          </cell>
        </row>
        <row r="7651">
          <cell r="C7651" t="str">
            <v>4508 - BITS/BLADES</v>
          </cell>
          <cell r="D7651" t="str">
            <v>DHS1250CT</v>
          </cell>
          <cell r="BA7651">
            <v>21.99</v>
          </cell>
        </row>
        <row r="7652">
          <cell r="C7652" t="str">
            <v>4508 - BITS/BLADES</v>
          </cell>
          <cell r="D7652" t="str">
            <v>DHS1375CT</v>
          </cell>
          <cell r="BA7652">
            <v>21.99</v>
          </cell>
        </row>
        <row r="7653">
          <cell r="C7653" t="str">
            <v>4508 - BITS/BLADES</v>
          </cell>
          <cell r="D7653" t="str">
            <v>DHS1500CT</v>
          </cell>
          <cell r="BA7653">
            <v>22.99</v>
          </cell>
        </row>
        <row r="7654">
          <cell r="C7654" t="str">
            <v>4508 - BITS/BLADES</v>
          </cell>
          <cell r="D7654" t="str">
            <v>DHS1625CT</v>
          </cell>
          <cell r="BA7654">
            <v>24.99</v>
          </cell>
        </row>
        <row r="7655">
          <cell r="C7655" t="str">
            <v>4508 - BITS/BLADES</v>
          </cell>
          <cell r="D7655" t="str">
            <v>DHS1750CT</v>
          </cell>
          <cell r="BA7655">
            <v>25.99</v>
          </cell>
        </row>
        <row r="7656">
          <cell r="C7656" t="str">
            <v>4508 - BITS/BLADES</v>
          </cell>
          <cell r="D7656" t="str">
            <v>DHS1875CT</v>
          </cell>
          <cell r="BA7656">
            <v>27.99</v>
          </cell>
        </row>
        <row r="7657">
          <cell r="C7657" t="str">
            <v>4508 - BITS/BLADES</v>
          </cell>
          <cell r="D7657" t="str">
            <v>DHS2000CT</v>
          </cell>
          <cell r="BA7657">
            <v>29.99</v>
          </cell>
        </row>
        <row r="7658">
          <cell r="C7658" t="str">
            <v>4508 - BITS/BLADES</v>
          </cell>
          <cell r="D7658" t="str">
            <v>DHS2125CT</v>
          </cell>
          <cell r="BA7658">
            <v>29.99</v>
          </cell>
        </row>
        <row r="7659">
          <cell r="C7659" t="str">
            <v>4508 - BITS/BLADES</v>
          </cell>
          <cell r="D7659" t="str">
            <v>DHS2250CT</v>
          </cell>
          <cell r="BA7659">
            <v>29.99</v>
          </cell>
        </row>
        <row r="7660">
          <cell r="C7660" t="str">
            <v>4508 - BITS/BLADES</v>
          </cell>
          <cell r="D7660" t="str">
            <v>DHS2375CT</v>
          </cell>
          <cell r="BA7660">
            <v>29.99</v>
          </cell>
        </row>
        <row r="7661">
          <cell r="C7661" t="str">
            <v>4508 - BITS/BLADES</v>
          </cell>
          <cell r="D7661" t="str">
            <v>DHS2500CT</v>
          </cell>
          <cell r="BA7661">
            <v>32.99</v>
          </cell>
        </row>
        <row r="7662">
          <cell r="C7662" t="str">
            <v>4508 - BITS/BLADES</v>
          </cell>
          <cell r="D7662" t="str">
            <v>DHS2563CT</v>
          </cell>
          <cell r="BA7662">
            <v>34.99</v>
          </cell>
        </row>
        <row r="7663">
          <cell r="C7663" t="str">
            <v>4508 - BITS/BLADES</v>
          </cell>
          <cell r="D7663" t="str">
            <v>DHS2625CT</v>
          </cell>
          <cell r="BA7663">
            <v>34.99</v>
          </cell>
        </row>
        <row r="7664">
          <cell r="C7664" t="str">
            <v>4508 - BITS/BLADES</v>
          </cell>
          <cell r="D7664" t="str">
            <v>DHS2687CT</v>
          </cell>
          <cell r="BA7664">
            <v>35.99</v>
          </cell>
        </row>
        <row r="7665">
          <cell r="C7665" t="str">
            <v>4508 - BITS/BLADES</v>
          </cell>
          <cell r="D7665" t="str">
            <v>DHS2750CT</v>
          </cell>
          <cell r="BA7665">
            <v>37.99</v>
          </cell>
        </row>
        <row r="7666">
          <cell r="C7666" t="str">
            <v>4508 - BITS/BLADES</v>
          </cell>
          <cell r="D7666" t="str">
            <v>DHS3000CT</v>
          </cell>
          <cell r="BA7666">
            <v>39.99</v>
          </cell>
        </row>
        <row r="7667">
          <cell r="C7667" t="str">
            <v>4508 - BITS/BLADES</v>
          </cell>
          <cell r="D7667" t="str">
            <v>FRDBD030045105F</v>
          </cell>
          <cell r="BA7667">
            <v>7.59</v>
          </cell>
        </row>
        <row r="7668">
          <cell r="C7668" t="str">
            <v>4508 - BITS/BLADES</v>
          </cell>
          <cell r="D7668" t="str">
            <v>FRDBD090094101F</v>
          </cell>
          <cell r="BA7668">
            <v>9.99</v>
          </cell>
        </row>
        <row r="7669">
          <cell r="C7669" t="str">
            <v>4508 - BITS/BLADES</v>
          </cell>
          <cell r="D7669" t="str">
            <v>FRDBDS70063701F</v>
          </cell>
          <cell r="BA7669">
            <v>6.99</v>
          </cell>
        </row>
        <row r="7670">
          <cell r="C7670" t="str">
            <v>4508 - BITS/BLADES</v>
          </cell>
          <cell r="D7670" t="str">
            <v>FRDBDS60045101F</v>
          </cell>
          <cell r="BA7670">
            <v>6.99</v>
          </cell>
        </row>
        <row r="7671">
          <cell r="C7671" t="str">
            <v>4508 - BITS/BLADES</v>
          </cell>
          <cell r="D7671" t="str">
            <v>FRDBDS50045101F</v>
          </cell>
          <cell r="BA7671">
            <v>6.49</v>
          </cell>
        </row>
        <row r="7672">
          <cell r="C7672" t="str">
            <v>4508 - BITS/BLADES</v>
          </cell>
          <cell r="D7672" t="str">
            <v>FRDBDS12125A01F</v>
          </cell>
          <cell r="BA7672">
            <v>11.99</v>
          </cell>
        </row>
        <row r="7673">
          <cell r="C7673" t="str">
            <v>4508 - BITS/BLADES</v>
          </cell>
          <cell r="D7673" t="str">
            <v>FRDBDS12125G01F</v>
          </cell>
          <cell r="BA7673">
            <v>11.99</v>
          </cell>
        </row>
        <row r="7674">
          <cell r="C7674" t="str">
            <v>4508 - BITS/BLADES</v>
          </cell>
          <cell r="D7674" t="str">
            <v>FRDBDS14125A01F</v>
          </cell>
          <cell r="BA7674">
            <v>13.99</v>
          </cell>
        </row>
        <row r="7675">
          <cell r="C7675" t="str">
            <v>4508 - BITS/BLADES</v>
          </cell>
          <cell r="D7675" t="str">
            <v>FRDBDS14125G01F</v>
          </cell>
          <cell r="BA7675">
            <v>13.99</v>
          </cell>
        </row>
        <row r="7676">
          <cell r="C7676" t="str">
            <v>4508 - BITS/BLADES</v>
          </cell>
          <cell r="D7676" t="str">
            <v>FRDBDS45250701F</v>
          </cell>
          <cell r="BA7676">
            <v>8.99</v>
          </cell>
        </row>
        <row r="7677">
          <cell r="C7677" t="str">
            <v>4508 - BITS/BLADES</v>
          </cell>
          <cell r="D7677" t="str">
            <v>FRDBDS45045701F</v>
          </cell>
          <cell r="BA7677">
            <v>5.99</v>
          </cell>
        </row>
        <row r="7678">
          <cell r="C7678" t="str">
            <v>4508 - BITS/BLADES</v>
          </cell>
          <cell r="D7678" t="str">
            <v>FRDBDS45045101F</v>
          </cell>
          <cell r="BA7678">
            <v>5.39</v>
          </cell>
        </row>
        <row r="7679">
          <cell r="C7679" t="str">
            <v>4508 - BITS/BLADES</v>
          </cell>
          <cell r="D7679" t="str">
            <v>FRDBDS45250B01F</v>
          </cell>
          <cell r="BA7679">
            <v>9.99</v>
          </cell>
        </row>
        <row r="7680">
          <cell r="C7680" t="str">
            <v>4508 - BITS/BLADES</v>
          </cell>
          <cell r="D7680" t="str">
            <v>FRDCW030CAR101F</v>
          </cell>
          <cell r="BA7680">
            <v>9.99</v>
          </cell>
        </row>
        <row r="7681">
          <cell r="C7681" t="str">
            <v>4508 - BITS/BLADES</v>
          </cell>
          <cell r="D7681" t="str">
            <v>FRDMACW0450</v>
          </cell>
          <cell r="BA7681">
            <v>79.989999999999995</v>
          </cell>
        </row>
        <row r="7682">
          <cell r="C7682" t="str">
            <v>4508 - BITS/BLADES</v>
          </cell>
          <cell r="D7682" t="str">
            <v>FRDMACW0400</v>
          </cell>
          <cell r="BA7682">
            <v>69.989999999999995</v>
          </cell>
        </row>
        <row r="7683">
          <cell r="C7683" t="str">
            <v>4508 - BITS/BLADES</v>
          </cell>
          <cell r="D7683" t="str">
            <v>FRDMACW0700</v>
          </cell>
          <cell r="BA7683">
            <v>84.99</v>
          </cell>
        </row>
        <row r="7684">
          <cell r="C7684" t="str">
            <v>4508 - BITS/BLADES</v>
          </cell>
          <cell r="D7684" t="str">
            <v>FRDMADS0400</v>
          </cell>
          <cell r="BA7684">
            <v>22.99</v>
          </cell>
        </row>
        <row r="7685">
          <cell r="C7685" t="str">
            <v>4508 - BITS/BLADES</v>
          </cell>
          <cell r="D7685" t="str">
            <v>FRDMADS0450</v>
          </cell>
          <cell r="BA7685">
            <v>25.99</v>
          </cell>
        </row>
        <row r="7686">
          <cell r="C7686" t="str">
            <v>4508 - BITS/BLADES</v>
          </cell>
          <cell r="D7686" t="str">
            <v>FRDMADS0500</v>
          </cell>
          <cell r="BA7686">
            <v>29.99</v>
          </cell>
        </row>
        <row r="7687">
          <cell r="C7687" t="str">
            <v>4508 - BITS/BLADES</v>
          </cell>
          <cell r="D7687" t="str">
            <v>FRDMADS0600</v>
          </cell>
          <cell r="BA7687">
            <v>29.99</v>
          </cell>
        </row>
        <row r="7688">
          <cell r="C7688" t="str">
            <v>4508 - BITS/BLADES</v>
          </cell>
          <cell r="D7688" t="str">
            <v>FRDMADS0700</v>
          </cell>
          <cell r="BA7688">
            <v>52.99</v>
          </cell>
        </row>
        <row r="7689">
          <cell r="C7689" t="str">
            <v>4508 - BITS/BLADES</v>
          </cell>
          <cell r="D7689" t="str">
            <v>FRDMADS1000</v>
          </cell>
          <cell r="BA7689">
            <v>64.989999999999995</v>
          </cell>
        </row>
        <row r="7690">
          <cell r="C7690" t="str">
            <v>4508 - BITS/BLADES</v>
          </cell>
          <cell r="D7690" t="str">
            <v>FRDMADC0300</v>
          </cell>
          <cell r="BA7690">
            <v>13.99</v>
          </cell>
        </row>
        <row r="7691">
          <cell r="C7691" t="str">
            <v>4508 - BITS/BLADES</v>
          </cell>
          <cell r="D7691" t="str">
            <v>FRDMADC0400</v>
          </cell>
          <cell r="BA7691">
            <v>25.99</v>
          </cell>
        </row>
        <row r="7692">
          <cell r="C7692" t="str">
            <v>4508 - BITS/BLADES</v>
          </cell>
          <cell r="D7692" t="str">
            <v>FRDMADC0450</v>
          </cell>
          <cell r="BA7692">
            <v>29.99</v>
          </cell>
        </row>
        <row r="7693">
          <cell r="C7693" t="str">
            <v>4508 - BITS/BLADES</v>
          </cell>
          <cell r="D7693" t="str">
            <v>FRDMADC0500</v>
          </cell>
          <cell r="BA7693">
            <v>32.99</v>
          </cell>
        </row>
        <row r="7694">
          <cell r="C7694" t="str">
            <v>4508 - BITS/BLADES</v>
          </cell>
          <cell r="D7694" t="str">
            <v>FRDMADC0700</v>
          </cell>
          <cell r="BA7694">
            <v>37.99</v>
          </cell>
        </row>
        <row r="7695">
          <cell r="C7695" t="str">
            <v>4508 - BITS/BLADES</v>
          </cell>
          <cell r="D7695" t="str">
            <v>FRDMADST0400</v>
          </cell>
          <cell r="BA7695">
            <v>25.99</v>
          </cell>
        </row>
        <row r="7696">
          <cell r="C7696" t="str">
            <v>4508 - BITS/BLADES</v>
          </cell>
          <cell r="D7696" t="str">
            <v>FRDMADST0450</v>
          </cell>
          <cell r="BA7696">
            <v>29.99</v>
          </cell>
        </row>
        <row r="7697">
          <cell r="C7697" t="str">
            <v>4508 - BITS/BLADES</v>
          </cell>
          <cell r="D7697" t="str">
            <v>FRDMADST0500</v>
          </cell>
          <cell r="BA7697">
            <v>32.99</v>
          </cell>
        </row>
        <row r="7698">
          <cell r="C7698" t="str">
            <v>4508 - BITS/BLADES</v>
          </cell>
          <cell r="D7698" t="str">
            <v>FRDMADST0600</v>
          </cell>
          <cell r="BA7698">
            <v>47.99</v>
          </cell>
        </row>
        <row r="7699">
          <cell r="C7699" t="str">
            <v>4508 - BITS/BLADES</v>
          </cell>
          <cell r="D7699" t="str">
            <v>FRDMADST0700</v>
          </cell>
          <cell r="BA7699">
            <v>52.99</v>
          </cell>
        </row>
        <row r="7700">
          <cell r="C7700" t="str">
            <v>4508 - BITS/BLADES</v>
          </cell>
          <cell r="D7700" t="str">
            <v>FRDDMADT0700</v>
          </cell>
          <cell r="BA7700">
            <v>32.99</v>
          </cell>
        </row>
        <row r="7701">
          <cell r="C7701" t="str">
            <v>4508 - BITS/BLADES</v>
          </cell>
          <cell r="D7701" t="str">
            <v>FRDDMADT0500</v>
          </cell>
          <cell r="BA7701">
            <v>25.99</v>
          </cell>
        </row>
        <row r="7702">
          <cell r="C7702" t="str">
            <v>4508 - BITS/BLADES</v>
          </cell>
          <cell r="D7702" t="str">
            <v>FRDDMADT0450</v>
          </cell>
          <cell r="BA7702">
            <v>22.99</v>
          </cell>
        </row>
        <row r="7703">
          <cell r="C7703" t="str">
            <v>4508 - BITS/BLADES</v>
          </cell>
          <cell r="D7703" t="str">
            <v>FRDDMADT0400</v>
          </cell>
          <cell r="BA7703">
            <v>21.99</v>
          </cell>
        </row>
        <row r="7704">
          <cell r="C7704" t="str">
            <v>4508 - BITS/BLADES</v>
          </cell>
          <cell r="D7704" t="str">
            <v>NA01617</v>
          </cell>
          <cell r="BA7704">
            <v>2.79</v>
          </cell>
        </row>
        <row r="7705">
          <cell r="C7705" t="str">
            <v>4508 - BITS/BLADES</v>
          </cell>
          <cell r="D7705" t="str">
            <v>NA01621</v>
          </cell>
          <cell r="BA7705">
            <v>2.19</v>
          </cell>
        </row>
        <row r="7706">
          <cell r="C7706" t="str">
            <v>4508 - BITS/BLADES</v>
          </cell>
          <cell r="D7706" t="str">
            <v>MKGA4030K</v>
          </cell>
          <cell r="BA7706">
            <v>89.99</v>
          </cell>
        </row>
        <row r="7707">
          <cell r="C7707" t="str">
            <v>4508 - BITS/BLADES</v>
          </cell>
          <cell r="D7707" t="str">
            <v>MIL49-94-4570</v>
          </cell>
          <cell r="BA7707">
            <v>2.4900000000000002</v>
          </cell>
        </row>
        <row r="7708">
          <cell r="C7708" t="str">
            <v>4508 - BITS/BLADES</v>
          </cell>
          <cell r="D7708" t="str">
            <v>FRDNTSL-S5</v>
          </cell>
          <cell r="BA7708">
            <v>18.989999999999998</v>
          </cell>
        </row>
        <row r="7709">
          <cell r="C7709" t="str">
            <v>4508 - BITS/BLADES</v>
          </cell>
          <cell r="D7709" t="str">
            <v>FRDNTSL12</v>
          </cell>
          <cell r="BA7709">
            <v>6.49</v>
          </cell>
        </row>
        <row r="7710">
          <cell r="C7710" t="str">
            <v>4508 - BITS/BLADES</v>
          </cell>
          <cell r="D7710" t="str">
            <v>FRDNTSL14</v>
          </cell>
          <cell r="BA7710">
            <v>5.69</v>
          </cell>
        </row>
        <row r="7711">
          <cell r="C7711" t="str">
            <v>4508 - BITS/BLADES</v>
          </cell>
          <cell r="D7711" t="str">
            <v>FRDNTSL38</v>
          </cell>
          <cell r="BA7711">
            <v>5.69</v>
          </cell>
        </row>
        <row r="7712">
          <cell r="C7712" t="str">
            <v>4508 - BITS/BLADES</v>
          </cell>
          <cell r="D7712" t="str">
            <v>FRDNTSL516</v>
          </cell>
          <cell r="BA7712">
            <v>5.69</v>
          </cell>
        </row>
        <row r="7713">
          <cell r="C7713" t="str">
            <v>4508 - BITS/BLADES</v>
          </cell>
          <cell r="D7713" t="str">
            <v>FRDNTSL716</v>
          </cell>
          <cell r="BA7713">
            <v>6.49</v>
          </cell>
        </row>
        <row r="7714">
          <cell r="C7714" t="str">
            <v>4508 - BITS/BLADES</v>
          </cell>
          <cell r="D7714" t="str">
            <v>FRDNTSS-S5</v>
          </cell>
          <cell r="BA7714">
            <v>13.99</v>
          </cell>
        </row>
        <row r="7715">
          <cell r="C7715" t="str">
            <v>4508 - BITS/BLADES</v>
          </cell>
          <cell r="D7715" t="str">
            <v>FRDNTSS12</v>
          </cell>
          <cell r="BA7715">
            <v>4.99</v>
          </cell>
        </row>
        <row r="7716">
          <cell r="C7716" t="str">
            <v>4508 - BITS/BLADES</v>
          </cell>
          <cell r="D7716" t="str">
            <v>FRDNTSS14</v>
          </cell>
          <cell r="BA7716">
            <v>4.59</v>
          </cell>
        </row>
        <row r="7717">
          <cell r="C7717" t="str">
            <v>4508 - BITS/BLADES</v>
          </cell>
          <cell r="D7717" t="str">
            <v>FRDNTSS38</v>
          </cell>
          <cell r="BA7717">
            <v>4.79</v>
          </cell>
        </row>
        <row r="7718">
          <cell r="C7718" t="str">
            <v>4508 - BITS/BLADES</v>
          </cell>
          <cell r="D7718" t="str">
            <v>FRDNTSS516</v>
          </cell>
          <cell r="BA7718">
            <v>4.79</v>
          </cell>
        </row>
        <row r="7719">
          <cell r="C7719" t="str">
            <v>4508 - BITS/BLADES</v>
          </cell>
          <cell r="D7719" t="str">
            <v>FRDNTSS716</v>
          </cell>
          <cell r="BA7719">
            <v>4.99</v>
          </cell>
        </row>
        <row r="7720">
          <cell r="C7720" t="str">
            <v>4508 - BITS/BLADES</v>
          </cell>
          <cell r="D7720" t="str">
            <v>IRW65604</v>
          </cell>
          <cell r="BA7720">
            <v>1.19</v>
          </cell>
        </row>
        <row r="7721">
          <cell r="C7721" t="str">
            <v>4508 - BITS/BLADES</v>
          </cell>
          <cell r="D7721" t="str">
            <v>IRW65903</v>
          </cell>
          <cell r="BA7721">
            <v>1.39</v>
          </cell>
        </row>
        <row r="7722">
          <cell r="C7722" t="str">
            <v>4508 - BITS/BLADES</v>
          </cell>
          <cell r="D7722" t="str">
            <v>IRW2014450</v>
          </cell>
          <cell r="BA7722">
            <v>15.99</v>
          </cell>
        </row>
        <row r="7723">
          <cell r="C7723" t="str">
            <v>4508 - BITS/BLADES</v>
          </cell>
          <cell r="D7723" t="str">
            <v>IRW213101</v>
          </cell>
          <cell r="BA7723">
            <v>27.99</v>
          </cell>
        </row>
        <row r="7724">
          <cell r="C7724" t="str">
            <v>4508 - BITS/BLADES</v>
          </cell>
          <cell r="D7724" t="str">
            <v>IRW2011330</v>
          </cell>
          <cell r="BA7724">
            <v>27.99</v>
          </cell>
        </row>
        <row r="7725">
          <cell r="C7725" t="str">
            <v>4508 - BITS/BLADES</v>
          </cell>
          <cell r="D7725" t="str">
            <v>IRW213104</v>
          </cell>
          <cell r="BA7725">
            <v>18.989999999999998</v>
          </cell>
        </row>
        <row r="7726">
          <cell r="C7726" t="str">
            <v>4508 - BITS/BLADES</v>
          </cell>
          <cell r="D7726" t="str">
            <v>GOLD5C</v>
          </cell>
          <cell r="BA7726">
            <v>3.29</v>
          </cell>
        </row>
        <row r="7727">
          <cell r="C7727" t="str">
            <v>4508 - BITS/BLADES</v>
          </cell>
          <cell r="D7727" t="str">
            <v>DW2702</v>
          </cell>
          <cell r="BA7727">
            <v>18.989999999999998</v>
          </cell>
        </row>
        <row r="7728">
          <cell r="C7728" t="str">
            <v>4508 - BITS/BLADES</v>
          </cell>
          <cell r="D7728" t="str">
            <v>DW2712</v>
          </cell>
          <cell r="BA7728">
            <v>6.99</v>
          </cell>
        </row>
        <row r="7729">
          <cell r="C7729" t="str">
            <v>4508 - BITS/BLADES</v>
          </cell>
          <cell r="D7729" t="str">
            <v>DW2568</v>
          </cell>
          <cell r="BA7729">
            <v>11.99</v>
          </cell>
        </row>
        <row r="7730">
          <cell r="C7730" t="str">
            <v>4508 - BITS/BLADES</v>
          </cell>
          <cell r="D7730" t="str">
            <v>DW2567</v>
          </cell>
          <cell r="BA7730">
            <v>11.99</v>
          </cell>
        </row>
        <row r="7731">
          <cell r="C7731" t="str">
            <v>4508 - BITS/BLADES</v>
          </cell>
          <cell r="D7731" t="str">
            <v>DW2711</v>
          </cell>
          <cell r="BA7731">
            <v>6.99</v>
          </cell>
        </row>
        <row r="7732">
          <cell r="C7732" t="str">
            <v>4508 - BITS/BLADES</v>
          </cell>
          <cell r="D7732" t="str">
            <v>BDA141</v>
          </cell>
          <cell r="BA7732">
            <v>21.29</v>
          </cell>
        </row>
        <row r="7733">
          <cell r="C7733" t="str">
            <v>4508 - BITS/BLADES</v>
          </cell>
          <cell r="D7733" t="str">
            <v>SIBDA157</v>
          </cell>
          <cell r="BA7733">
            <v>30.59</v>
          </cell>
        </row>
        <row r="7734">
          <cell r="C7734" t="str">
            <v>4508 - BITS/BLADES</v>
          </cell>
          <cell r="D7734" t="str">
            <v>BDA161</v>
          </cell>
          <cell r="BA7734">
            <v>17.39</v>
          </cell>
        </row>
        <row r="7735">
          <cell r="C7735" t="str">
            <v>4508 - BITS/BLADES</v>
          </cell>
          <cell r="D7735" t="str">
            <v>059-HB5</v>
          </cell>
          <cell r="BA7735">
            <v>6.39</v>
          </cell>
        </row>
        <row r="7736">
          <cell r="C7736" t="str">
            <v>4508 - BITS/BLADES</v>
          </cell>
          <cell r="D7736" t="str">
            <v>AA72975</v>
          </cell>
          <cell r="BA7736">
            <v>16.989999999999998</v>
          </cell>
        </row>
        <row r="7737">
          <cell r="C7737" t="str">
            <v>4508 - BITS/BLADES</v>
          </cell>
          <cell r="D7737" t="str">
            <v>CRTD</v>
          </cell>
          <cell r="BA7737">
            <v>16.989999999999998</v>
          </cell>
        </row>
        <row r="7738">
          <cell r="C7738" t="str">
            <v>4508 - BITS/BLADES</v>
          </cell>
          <cell r="D7738" t="str">
            <v>CRTD8</v>
          </cell>
          <cell r="BA7738">
            <v>27.99</v>
          </cell>
        </row>
        <row r="7739">
          <cell r="C7739" t="str">
            <v>4508 - BITS/BLADES</v>
          </cell>
          <cell r="D7739" t="str">
            <v>SAB1054282</v>
          </cell>
          <cell r="BA7739">
            <v>19.489999999999998</v>
          </cell>
        </row>
        <row r="7740">
          <cell r="C7740" t="str">
            <v>4508 - BITS/BLADES</v>
          </cell>
          <cell r="D7740" t="str">
            <v>SAB2070022</v>
          </cell>
          <cell r="BA7740">
            <v>10.49</v>
          </cell>
        </row>
        <row r="7741">
          <cell r="C7741" t="str">
            <v>4508 - BITS/BLADES</v>
          </cell>
          <cell r="D7741" t="str">
            <v>SAB2070212</v>
          </cell>
          <cell r="BA7741">
            <v>27.49</v>
          </cell>
        </row>
        <row r="7742">
          <cell r="C7742" t="str">
            <v>4508 - BITS/BLADES</v>
          </cell>
          <cell r="D7742" t="str">
            <v>SAB2070222</v>
          </cell>
          <cell r="BA7742">
            <v>35.99</v>
          </cell>
        </row>
        <row r="7743">
          <cell r="C7743" t="str">
            <v>4508 - BITS/BLADES</v>
          </cell>
          <cell r="D7743" t="str">
            <v>SAB2070232</v>
          </cell>
          <cell r="BA7743">
            <v>48.99</v>
          </cell>
        </row>
        <row r="7744">
          <cell r="C7744" t="str">
            <v>4508 - BITS/BLADES</v>
          </cell>
          <cell r="D7744" t="str">
            <v>SAB171136</v>
          </cell>
          <cell r="BA7744">
            <v>3.79</v>
          </cell>
        </row>
        <row r="7745">
          <cell r="C7745" t="str">
            <v>4508 - BITS/BLADES</v>
          </cell>
          <cell r="D7745" t="str">
            <v>SAB171143</v>
          </cell>
          <cell r="BA7745">
            <v>3.99</v>
          </cell>
        </row>
        <row r="7746">
          <cell r="C7746" t="str">
            <v>4508 - BITS/BLADES</v>
          </cell>
          <cell r="D7746" t="str">
            <v>SAB171150</v>
          </cell>
          <cell r="BA7746">
            <v>4.6900000000000004</v>
          </cell>
        </row>
        <row r="7747">
          <cell r="C7747" t="str">
            <v>4508 - BITS/BLADES</v>
          </cell>
          <cell r="D7747" t="str">
            <v>SAB171167</v>
          </cell>
          <cell r="BA7747">
            <v>3.49</v>
          </cell>
        </row>
        <row r="7748">
          <cell r="C7748" t="str">
            <v>4508 - BITS/BLADES</v>
          </cell>
          <cell r="D7748" t="str">
            <v>SAB171181</v>
          </cell>
          <cell r="BA7748">
            <v>2.99</v>
          </cell>
        </row>
        <row r="7749">
          <cell r="C7749" t="str">
            <v>4508 - BITS/BLADES</v>
          </cell>
          <cell r="D7749" t="str">
            <v>SAB171198</v>
          </cell>
          <cell r="BA7749">
            <v>3.89</v>
          </cell>
        </row>
        <row r="7750">
          <cell r="C7750" t="str">
            <v>4508 - BITS/BLADES</v>
          </cell>
          <cell r="D7750" t="str">
            <v>SAB2110311</v>
          </cell>
          <cell r="BA7750">
            <v>10.99</v>
          </cell>
        </row>
        <row r="7751">
          <cell r="C7751" t="str">
            <v>4508 - BITS/BLADES</v>
          </cell>
          <cell r="D7751" t="str">
            <v>SAB98091</v>
          </cell>
          <cell r="BA7751">
            <v>19.989999999999998</v>
          </cell>
        </row>
        <row r="7752">
          <cell r="C7752" t="str">
            <v>4508 - BITS/BLADES</v>
          </cell>
          <cell r="D7752" t="str">
            <v>SAB98093</v>
          </cell>
          <cell r="BA7752">
            <v>19.989999999999998</v>
          </cell>
        </row>
        <row r="7753">
          <cell r="C7753" t="str">
            <v>4508 - BITS/BLADES</v>
          </cell>
          <cell r="D7753" t="str">
            <v>SAB98095</v>
          </cell>
          <cell r="BA7753">
            <v>21.99</v>
          </cell>
        </row>
        <row r="7754">
          <cell r="C7754" t="str">
            <v>4508 - BITS/BLADES</v>
          </cell>
          <cell r="D7754" t="str">
            <v>SAB98097</v>
          </cell>
          <cell r="BA7754">
            <v>19.989999999999998</v>
          </cell>
        </row>
        <row r="7755">
          <cell r="C7755" t="str">
            <v>4508 - BITS/BLADES</v>
          </cell>
          <cell r="D7755" t="str">
            <v>SAB94700</v>
          </cell>
          <cell r="BA7755">
            <v>10.99</v>
          </cell>
        </row>
        <row r="7756">
          <cell r="C7756" t="str">
            <v>4508 - BITS/BLADES</v>
          </cell>
          <cell r="D7756" t="str">
            <v>SAB98001</v>
          </cell>
          <cell r="BA7756">
            <v>1.79</v>
          </cell>
        </row>
        <row r="7757">
          <cell r="C7757" t="str">
            <v>4508 - BITS/BLADES</v>
          </cell>
          <cell r="D7757" t="str">
            <v>SAB98007</v>
          </cell>
          <cell r="BA7757">
            <v>2.29</v>
          </cell>
        </row>
        <row r="7758">
          <cell r="C7758" t="str">
            <v>4508 - BITS/BLADES</v>
          </cell>
          <cell r="D7758" t="str">
            <v>SAB98009</v>
          </cell>
          <cell r="BA7758">
            <v>2.29</v>
          </cell>
        </row>
        <row r="7759">
          <cell r="C7759" t="str">
            <v>4508 - BITS/BLADES</v>
          </cell>
          <cell r="D7759" t="str">
            <v>SAB98011</v>
          </cell>
          <cell r="BA7759">
            <v>2.29</v>
          </cell>
        </row>
        <row r="7760">
          <cell r="C7760" t="str">
            <v>4508 - BITS/BLADES</v>
          </cell>
          <cell r="D7760" t="str">
            <v>SAB98019</v>
          </cell>
          <cell r="BA7760">
            <v>3.29</v>
          </cell>
        </row>
        <row r="7761">
          <cell r="C7761" t="str">
            <v>4508 - BITS/BLADES</v>
          </cell>
          <cell r="D7761" t="str">
            <v>SAB98067</v>
          </cell>
          <cell r="BA7761">
            <v>6.69</v>
          </cell>
        </row>
        <row r="7762">
          <cell r="C7762" t="str">
            <v>4508 - BITS/BLADES</v>
          </cell>
          <cell r="D7762" t="str">
            <v>SAB98071</v>
          </cell>
          <cell r="BA7762">
            <v>5.89</v>
          </cell>
        </row>
        <row r="7763">
          <cell r="C7763" t="str">
            <v>4508 - BITS/BLADES</v>
          </cell>
          <cell r="D7763" t="str">
            <v>SAB98073</v>
          </cell>
          <cell r="BA7763">
            <v>6.99</v>
          </cell>
        </row>
        <row r="7764">
          <cell r="C7764" t="str">
            <v>4508 - BITS/BLADES</v>
          </cell>
          <cell r="D7764" t="str">
            <v>SAB98075</v>
          </cell>
          <cell r="BA7764">
            <v>5.59</v>
          </cell>
        </row>
        <row r="7765">
          <cell r="C7765" t="str">
            <v>4508 - BITS/BLADES</v>
          </cell>
          <cell r="D7765" t="str">
            <v>SAB98077</v>
          </cell>
          <cell r="BA7765">
            <v>5.89</v>
          </cell>
        </row>
        <row r="7766">
          <cell r="C7766" t="str">
            <v>4508 - BITS/BLADES</v>
          </cell>
          <cell r="D7766" t="str">
            <v>SAB98079</v>
          </cell>
          <cell r="BA7766">
            <v>6.49</v>
          </cell>
        </row>
        <row r="7767">
          <cell r="C7767" t="str">
            <v>4508 - BITS/BLADES</v>
          </cell>
          <cell r="D7767" t="str">
            <v>SAB98081</v>
          </cell>
          <cell r="BA7767">
            <v>6.69</v>
          </cell>
        </row>
        <row r="7768">
          <cell r="C7768" t="str">
            <v>4508 - BITS/BLADES</v>
          </cell>
          <cell r="D7768" t="str">
            <v>SAB98083</v>
          </cell>
          <cell r="BA7768">
            <v>7.79</v>
          </cell>
        </row>
        <row r="7769">
          <cell r="C7769" t="str">
            <v>4508 - BITS/BLADES</v>
          </cell>
          <cell r="D7769" t="str">
            <v>SAB98221</v>
          </cell>
          <cell r="BA7769">
            <v>2.29</v>
          </cell>
        </row>
        <row r="7770">
          <cell r="C7770" t="str">
            <v>4508 - BITS/BLADES</v>
          </cell>
          <cell r="D7770" t="str">
            <v>SAB98223</v>
          </cell>
          <cell r="BA7770">
            <v>2.29</v>
          </cell>
        </row>
        <row r="7771">
          <cell r="C7771" t="str">
            <v>4508 - BITS/BLADES</v>
          </cell>
          <cell r="D7771" t="str">
            <v>SAB98225</v>
          </cell>
          <cell r="BA7771">
            <v>2.29</v>
          </cell>
        </row>
        <row r="7772">
          <cell r="C7772" t="str">
            <v>4508 - BITS/BLADES</v>
          </cell>
          <cell r="D7772" t="str">
            <v>SAB98227</v>
          </cell>
          <cell r="BA7772">
            <v>2.29</v>
          </cell>
        </row>
        <row r="7773">
          <cell r="C7773" t="str">
            <v>4508 - BITS/BLADES</v>
          </cell>
          <cell r="D7773" t="str">
            <v>SAB98228</v>
          </cell>
          <cell r="BA7773">
            <v>2.29</v>
          </cell>
        </row>
        <row r="7774">
          <cell r="C7774" t="str">
            <v>4508 - BITS/BLADES</v>
          </cell>
          <cell r="D7774" t="str">
            <v>SAB98229</v>
          </cell>
          <cell r="BA7774">
            <v>2.29</v>
          </cell>
        </row>
        <row r="7775">
          <cell r="C7775" t="str">
            <v>4508 - BITS/BLADES</v>
          </cell>
          <cell r="D7775" t="str">
            <v>SAB98230</v>
          </cell>
          <cell r="BA7775">
            <v>6.69</v>
          </cell>
        </row>
        <row r="7776">
          <cell r="C7776" t="str">
            <v>4508 - BITS/BLADES</v>
          </cell>
          <cell r="D7776" t="str">
            <v>SAB98231</v>
          </cell>
          <cell r="BA7776">
            <v>6.69</v>
          </cell>
        </row>
        <row r="7777">
          <cell r="C7777" t="str">
            <v>4508 - BITS/BLADES</v>
          </cell>
          <cell r="D7777" t="str">
            <v>SAB98232</v>
          </cell>
          <cell r="BA7777">
            <v>13.99</v>
          </cell>
        </row>
        <row r="7778">
          <cell r="C7778" t="str">
            <v>4508 - BITS/BLADES</v>
          </cell>
          <cell r="D7778" t="str">
            <v>SAB98233</v>
          </cell>
          <cell r="BA7778">
            <v>13.99</v>
          </cell>
        </row>
        <row r="7779">
          <cell r="C7779" t="str">
            <v>4508 - BITS/BLADES</v>
          </cell>
          <cell r="D7779" t="str">
            <v>SAB98239</v>
          </cell>
          <cell r="BA7779">
            <v>2.29</v>
          </cell>
        </row>
        <row r="7780">
          <cell r="C7780" t="str">
            <v>4508 - BITS/BLADES</v>
          </cell>
          <cell r="D7780" t="str">
            <v>SAB98265</v>
          </cell>
          <cell r="BA7780">
            <v>6.69</v>
          </cell>
        </row>
        <row r="7781">
          <cell r="C7781" t="str">
            <v>4508 - BITS/BLADES</v>
          </cell>
          <cell r="D7781" t="str">
            <v>SAB98285</v>
          </cell>
          <cell r="BA7781">
            <v>2.89</v>
          </cell>
        </row>
        <row r="7782">
          <cell r="C7782" t="str">
            <v>4508 - BITS/BLADES</v>
          </cell>
          <cell r="D7782" t="str">
            <v>SAB63318</v>
          </cell>
          <cell r="BA7782">
            <v>1.59</v>
          </cell>
        </row>
        <row r="7783">
          <cell r="C7783" t="str">
            <v>4508 - BITS/BLADES</v>
          </cell>
          <cell r="D7783" t="str">
            <v>SAB63321</v>
          </cell>
          <cell r="BA7783">
            <v>1.59</v>
          </cell>
        </row>
        <row r="7784">
          <cell r="C7784" t="str">
            <v>4508 - BITS/BLADES</v>
          </cell>
          <cell r="D7784" t="str">
            <v>SAB63324</v>
          </cell>
          <cell r="BA7784">
            <v>1.59</v>
          </cell>
        </row>
        <row r="7785">
          <cell r="C7785" t="str">
            <v>4508 - BITS/BLADES</v>
          </cell>
          <cell r="D7785" t="str">
            <v>SAB63327</v>
          </cell>
          <cell r="BA7785">
            <v>1.59</v>
          </cell>
        </row>
        <row r="7786">
          <cell r="C7786" t="str">
            <v>4508 - BITS/BLADES</v>
          </cell>
          <cell r="D7786" t="str">
            <v>SAB63333</v>
          </cell>
          <cell r="BA7786">
            <v>1.59</v>
          </cell>
        </row>
        <row r="7787">
          <cell r="C7787" t="str">
            <v>4508 - BITS/BLADES</v>
          </cell>
          <cell r="D7787" t="str">
            <v>SAB84712</v>
          </cell>
          <cell r="BA7787">
            <v>4.6900000000000004</v>
          </cell>
        </row>
        <row r="7788">
          <cell r="C7788" t="str">
            <v>4508 - BITS/BLADES</v>
          </cell>
          <cell r="D7788" t="str">
            <v>SAB92005</v>
          </cell>
          <cell r="BA7788">
            <v>0.89</v>
          </cell>
        </row>
        <row r="7789">
          <cell r="C7789" t="str">
            <v>4508 - BITS/BLADES</v>
          </cell>
          <cell r="D7789" t="str">
            <v>SAB92011</v>
          </cell>
          <cell r="BA7789">
            <v>0.89</v>
          </cell>
        </row>
        <row r="7790">
          <cell r="C7790" t="str">
            <v>4508 - BITS/BLADES</v>
          </cell>
          <cell r="D7790" t="str">
            <v>SAB92047</v>
          </cell>
          <cell r="BA7790">
            <v>0.89</v>
          </cell>
        </row>
        <row r="7791">
          <cell r="C7791" t="str">
            <v>4508 - BITS/BLADES</v>
          </cell>
          <cell r="D7791" t="str">
            <v>SAB92053</v>
          </cell>
          <cell r="BA7791">
            <v>1.29</v>
          </cell>
        </row>
        <row r="7792">
          <cell r="C7792" t="str">
            <v>4508 - BITS/BLADES</v>
          </cell>
          <cell r="D7792" t="str">
            <v>SAB92324</v>
          </cell>
          <cell r="BA7792">
            <v>0.99</v>
          </cell>
        </row>
        <row r="7793">
          <cell r="C7793" t="str">
            <v>4508 - BITS/BLADES</v>
          </cell>
          <cell r="D7793" t="str">
            <v>SAB92327</v>
          </cell>
          <cell r="BA7793">
            <v>0.99</v>
          </cell>
        </row>
        <row r="7794">
          <cell r="C7794" t="str">
            <v>4508 - BITS/BLADES</v>
          </cell>
          <cell r="D7794" t="str">
            <v>SAB93007</v>
          </cell>
          <cell r="BA7794">
            <v>1.29</v>
          </cell>
        </row>
        <row r="7795">
          <cell r="C7795" t="str">
            <v>4508 - BITS/BLADES</v>
          </cell>
          <cell r="D7795" t="str">
            <v>SAB93019</v>
          </cell>
          <cell r="BA7795">
            <v>1.59</v>
          </cell>
        </row>
        <row r="7796">
          <cell r="C7796" t="str">
            <v>4508 - BITS/BLADES</v>
          </cell>
          <cell r="D7796" t="str">
            <v>SAB93021</v>
          </cell>
          <cell r="BA7796">
            <v>1.59</v>
          </cell>
        </row>
        <row r="7797">
          <cell r="C7797" t="str">
            <v>4508 - BITS/BLADES</v>
          </cell>
          <cell r="D7797" t="str">
            <v>SAB93237</v>
          </cell>
          <cell r="BA7797">
            <v>1.39</v>
          </cell>
        </row>
        <row r="7798">
          <cell r="C7798" t="str">
            <v>4508 - BITS/BLADES</v>
          </cell>
          <cell r="D7798" t="str">
            <v>SAB93239</v>
          </cell>
          <cell r="BA7798">
            <v>1.39</v>
          </cell>
        </row>
        <row r="7799">
          <cell r="C7799" t="str">
            <v>4508 - BITS/BLADES</v>
          </cell>
          <cell r="D7799" t="str">
            <v>SAB93241</v>
          </cell>
          <cell r="BA7799">
            <v>1.39</v>
          </cell>
        </row>
        <row r="7800">
          <cell r="C7800" t="str">
            <v>4508 - BITS/BLADES</v>
          </cell>
          <cell r="D7800" t="str">
            <v>SAB93321</v>
          </cell>
          <cell r="BA7800">
            <v>1.49</v>
          </cell>
        </row>
        <row r="7801">
          <cell r="C7801" t="str">
            <v>4508 - BITS/BLADES</v>
          </cell>
          <cell r="D7801" t="str">
            <v>SAB93324</v>
          </cell>
          <cell r="BA7801">
            <v>1.49</v>
          </cell>
        </row>
        <row r="7802">
          <cell r="C7802" t="str">
            <v>4508 - BITS/BLADES</v>
          </cell>
          <cell r="D7802" t="str">
            <v>SAB93712</v>
          </cell>
          <cell r="BA7802">
            <v>9.99</v>
          </cell>
        </row>
        <row r="7803">
          <cell r="C7803" t="str">
            <v>4508 - BITS/BLADES</v>
          </cell>
          <cell r="D7803" t="str">
            <v>SAB93718</v>
          </cell>
          <cell r="BA7803">
            <v>8.69</v>
          </cell>
        </row>
        <row r="7804">
          <cell r="C7804" t="str">
            <v>4508 - BITS/BLADES</v>
          </cell>
          <cell r="D7804" t="str">
            <v>SAB93719</v>
          </cell>
          <cell r="BA7804">
            <v>7.39</v>
          </cell>
        </row>
        <row r="7805">
          <cell r="C7805" t="str">
            <v>4508 - BITS/BLADES</v>
          </cell>
          <cell r="D7805" t="str">
            <v>SAB93784</v>
          </cell>
          <cell r="BA7805">
            <v>6.09</v>
          </cell>
        </row>
        <row r="7806">
          <cell r="C7806" t="str">
            <v>4508 - BITS/BLADES</v>
          </cell>
          <cell r="D7806" t="str">
            <v>SAB93795</v>
          </cell>
          <cell r="BA7806">
            <v>6.69</v>
          </cell>
        </row>
        <row r="7807">
          <cell r="C7807" t="str">
            <v>4508 - BITS/BLADES</v>
          </cell>
          <cell r="D7807" t="str">
            <v>SAB94701</v>
          </cell>
          <cell r="BA7807">
            <v>10.99</v>
          </cell>
        </row>
        <row r="7808">
          <cell r="C7808" t="str">
            <v>4508 - BITS/BLADES</v>
          </cell>
          <cell r="D7808" t="str">
            <v>SAB94712</v>
          </cell>
          <cell r="BA7808">
            <v>4.1900000000000004</v>
          </cell>
        </row>
        <row r="7809">
          <cell r="C7809" t="str">
            <v>4508 - BITS/BLADES</v>
          </cell>
          <cell r="D7809" t="str">
            <v>SAB94732</v>
          </cell>
          <cell r="BA7809">
            <v>4.1900000000000004</v>
          </cell>
        </row>
        <row r="7810">
          <cell r="C7810" t="str">
            <v>4508 - BITS/BLADES</v>
          </cell>
          <cell r="D7810" t="str">
            <v>SAB94752</v>
          </cell>
          <cell r="BA7810">
            <v>5.29</v>
          </cell>
        </row>
        <row r="7811">
          <cell r="C7811" t="str">
            <v>4508 - BITS/BLADES</v>
          </cell>
          <cell r="D7811" t="str">
            <v>SAB94832</v>
          </cell>
          <cell r="BA7811">
            <v>5.29</v>
          </cell>
        </row>
        <row r="7812">
          <cell r="C7812" t="str">
            <v>4508 - BITS/BLADES</v>
          </cell>
          <cell r="D7812" t="str">
            <v>SAB96027</v>
          </cell>
          <cell r="BA7812">
            <v>15.99</v>
          </cell>
        </row>
        <row r="7813">
          <cell r="C7813" t="str">
            <v>4508 - BITS/BLADES</v>
          </cell>
          <cell r="D7813" t="str">
            <v>SAB75327</v>
          </cell>
          <cell r="BA7813">
            <v>1.59</v>
          </cell>
        </row>
        <row r="7814">
          <cell r="C7814" t="str">
            <v>4508 - BITS/BLADES</v>
          </cell>
          <cell r="D7814" t="str">
            <v>SAB76001</v>
          </cell>
          <cell r="BA7814">
            <v>1.59</v>
          </cell>
        </row>
        <row r="7815">
          <cell r="C7815" t="str">
            <v>4508 - BITS/BLADES</v>
          </cell>
          <cell r="D7815" t="str">
            <v>SAB76003</v>
          </cell>
          <cell r="BA7815">
            <v>2.09</v>
          </cell>
        </row>
        <row r="7816">
          <cell r="C7816" t="str">
            <v>4508 - BITS/BLADES</v>
          </cell>
          <cell r="D7816" t="str">
            <v>SAB76007</v>
          </cell>
          <cell r="BA7816">
            <v>2.09</v>
          </cell>
        </row>
        <row r="7817">
          <cell r="C7817" t="str">
            <v>4508 - BITS/BLADES</v>
          </cell>
          <cell r="D7817" t="str">
            <v>SAB76011</v>
          </cell>
          <cell r="BA7817">
            <v>2.09</v>
          </cell>
        </row>
        <row r="7818">
          <cell r="C7818" t="str">
            <v>4508 - BITS/BLADES</v>
          </cell>
          <cell r="D7818" t="str">
            <v>SAB76017</v>
          </cell>
          <cell r="BA7818">
            <v>3.09</v>
          </cell>
        </row>
        <row r="7819">
          <cell r="C7819" t="str">
            <v>4508 - BITS/BLADES</v>
          </cell>
          <cell r="D7819" t="str">
            <v>SAB76019</v>
          </cell>
          <cell r="BA7819">
            <v>3.09</v>
          </cell>
        </row>
        <row r="7820">
          <cell r="C7820" t="str">
            <v>4508 - BITS/BLADES</v>
          </cell>
          <cell r="D7820" t="str">
            <v>SAB76021</v>
          </cell>
          <cell r="BA7820">
            <v>3.09</v>
          </cell>
        </row>
        <row r="7821">
          <cell r="C7821" t="str">
            <v>4508 - BITS/BLADES</v>
          </cell>
          <cell r="D7821" t="str">
            <v>SAB76063</v>
          </cell>
          <cell r="BA7821">
            <v>5.29</v>
          </cell>
        </row>
        <row r="7822">
          <cell r="C7822" t="str">
            <v>4508 - BITS/BLADES</v>
          </cell>
          <cell r="D7822" t="str">
            <v>SAB76067</v>
          </cell>
          <cell r="BA7822">
            <v>5.29</v>
          </cell>
        </row>
        <row r="7823">
          <cell r="C7823" t="str">
            <v>4508 - BITS/BLADES</v>
          </cell>
          <cell r="D7823" t="str">
            <v>SAB76069</v>
          </cell>
          <cell r="BA7823">
            <v>5.29</v>
          </cell>
        </row>
        <row r="7824">
          <cell r="C7824" t="str">
            <v>4508 - BITS/BLADES</v>
          </cell>
          <cell r="D7824" t="str">
            <v>SAB76235</v>
          </cell>
          <cell r="BA7824">
            <v>1.59</v>
          </cell>
        </row>
        <row r="7825">
          <cell r="C7825" t="str">
            <v>4508 - BITS/BLADES</v>
          </cell>
          <cell r="D7825" t="str">
            <v>SAB76237</v>
          </cell>
          <cell r="BA7825">
            <v>2.09</v>
          </cell>
        </row>
        <row r="7826">
          <cell r="C7826" t="str">
            <v>4508 - BITS/BLADES</v>
          </cell>
          <cell r="D7826" t="str">
            <v>SAB76239</v>
          </cell>
          <cell r="BA7826">
            <v>2.09</v>
          </cell>
        </row>
        <row r="7827">
          <cell r="C7827" t="str">
            <v>4508 - BITS/BLADES</v>
          </cell>
          <cell r="D7827" t="str">
            <v>SAB76241</v>
          </cell>
          <cell r="BA7827">
            <v>2.09</v>
          </cell>
        </row>
        <row r="7828">
          <cell r="C7828" t="str">
            <v>4508 - BITS/BLADES</v>
          </cell>
          <cell r="D7828" t="str">
            <v>SAB76245</v>
          </cell>
          <cell r="BA7828">
            <v>3.09</v>
          </cell>
        </row>
        <row r="7829">
          <cell r="C7829" t="str">
            <v>4508 - BITS/BLADES</v>
          </cell>
          <cell r="D7829" t="str">
            <v>SAB76247</v>
          </cell>
          <cell r="BA7829">
            <v>3.09</v>
          </cell>
        </row>
        <row r="7830">
          <cell r="C7830" t="str">
            <v>4508 - BITS/BLADES</v>
          </cell>
          <cell r="D7830" t="str">
            <v>SAB76249</v>
          </cell>
          <cell r="BA7830">
            <v>3.09</v>
          </cell>
        </row>
        <row r="7831">
          <cell r="C7831" t="str">
            <v>4508 - BITS/BLADES</v>
          </cell>
          <cell r="D7831" t="str">
            <v>SAB76318</v>
          </cell>
          <cell r="BA7831">
            <v>2.09</v>
          </cell>
        </row>
        <row r="7832">
          <cell r="C7832" t="str">
            <v>4508 - BITS/BLADES</v>
          </cell>
          <cell r="D7832" t="str">
            <v>SAB76321</v>
          </cell>
          <cell r="BA7832">
            <v>2.09</v>
          </cell>
        </row>
        <row r="7833">
          <cell r="C7833" t="str">
            <v>4508 - BITS/BLADES</v>
          </cell>
          <cell r="D7833" t="str">
            <v>SAB76324</v>
          </cell>
          <cell r="BA7833">
            <v>2.09</v>
          </cell>
        </row>
        <row r="7834">
          <cell r="C7834" t="str">
            <v>4508 - BITS/BLADES</v>
          </cell>
          <cell r="D7834" t="str">
            <v>SAB76327</v>
          </cell>
          <cell r="BA7834">
            <v>2.09</v>
          </cell>
        </row>
        <row r="7835">
          <cell r="C7835" t="str">
            <v>4508 - BITS/BLADES</v>
          </cell>
          <cell r="D7835" t="str">
            <v>SAB76333</v>
          </cell>
          <cell r="BA7835">
            <v>2.09</v>
          </cell>
        </row>
        <row r="7836">
          <cell r="C7836" t="str">
            <v>4508 - BITS/BLADES</v>
          </cell>
          <cell r="D7836" t="str">
            <v>SAB76336</v>
          </cell>
          <cell r="BA7836">
            <v>2.09</v>
          </cell>
        </row>
        <row r="7837">
          <cell r="C7837" t="str">
            <v>4508 - BITS/BLADES</v>
          </cell>
          <cell r="D7837" t="str">
            <v>SAB3240212</v>
          </cell>
          <cell r="BA7837">
            <v>1.29</v>
          </cell>
        </row>
        <row r="7838">
          <cell r="C7838" t="str">
            <v>4508 - BITS/BLADES</v>
          </cell>
          <cell r="D7838" t="str">
            <v>EAB3110002</v>
          </cell>
          <cell r="BA7838">
            <v>11.99</v>
          </cell>
        </row>
        <row r="7839">
          <cell r="C7839" t="str">
            <v>4508 - BITS/BLADES</v>
          </cell>
          <cell r="D7839" t="str">
            <v>EAB3110012</v>
          </cell>
          <cell r="BA7839">
            <v>15.99</v>
          </cell>
        </row>
        <row r="7840">
          <cell r="C7840" t="str">
            <v>4508 - BITS/BLADES</v>
          </cell>
          <cell r="D7840" t="str">
            <v>EAB3110032</v>
          </cell>
          <cell r="BA7840">
            <v>23.99</v>
          </cell>
        </row>
        <row r="7841">
          <cell r="C7841" t="str">
            <v>4508 - BITS/BLADES</v>
          </cell>
          <cell r="D7841" t="str">
            <v>EAB3110042</v>
          </cell>
          <cell r="BA7841">
            <v>55.99</v>
          </cell>
        </row>
        <row r="7842">
          <cell r="C7842" t="str">
            <v>4508 - BITS/BLADES</v>
          </cell>
          <cell r="D7842" t="str">
            <v>EAB3110052</v>
          </cell>
          <cell r="BA7842">
            <v>15.99</v>
          </cell>
        </row>
        <row r="7843">
          <cell r="C7843" t="str">
            <v>4508 - BITS/BLADES</v>
          </cell>
          <cell r="D7843" t="str">
            <v>EAB3110062</v>
          </cell>
          <cell r="BA7843">
            <v>24.99</v>
          </cell>
        </row>
        <row r="7844">
          <cell r="C7844" t="str">
            <v>4508 - BITS/BLADES</v>
          </cell>
          <cell r="D7844" t="str">
            <v>EAB3110072</v>
          </cell>
          <cell r="BA7844">
            <v>49.99</v>
          </cell>
        </row>
        <row r="7845">
          <cell r="C7845" t="str">
            <v>4508 - BITS/BLADES</v>
          </cell>
          <cell r="D7845" t="str">
            <v>EAB3110122</v>
          </cell>
          <cell r="BA7845">
            <v>15.99</v>
          </cell>
        </row>
        <row r="7846">
          <cell r="C7846" t="str">
            <v>4508 - BITS/BLADES</v>
          </cell>
          <cell r="D7846" t="str">
            <v>EAB3110132</v>
          </cell>
          <cell r="BA7846">
            <v>23.99</v>
          </cell>
        </row>
        <row r="7847">
          <cell r="C7847" t="str">
            <v>4508 - BITS/BLADES</v>
          </cell>
          <cell r="D7847" t="str">
            <v>EAB3110142</v>
          </cell>
          <cell r="BA7847">
            <v>55.99</v>
          </cell>
        </row>
        <row r="7848">
          <cell r="C7848" t="str">
            <v>4508 - BITS/BLADES</v>
          </cell>
          <cell r="D7848" t="str">
            <v>EAB3110232</v>
          </cell>
          <cell r="BA7848">
            <v>39.99</v>
          </cell>
        </row>
        <row r="7849">
          <cell r="C7849" t="str">
            <v>4508 - BITS/BLADES</v>
          </cell>
          <cell r="D7849" t="str">
            <v>EAB3242012</v>
          </cell>
          <cell r="BA7849">
            <v>6.29</v>
          </cell>
        </row>
        <row r="7850">
          <cell r="C7850" t="str">
            <v>4508 - BITS/BLADES</v>
          </cell>
          <cell r="D7850" t="str">
            <v>EAB3242022</v>
          </cell>
          <cell r="BA7850">
            <v>6.59</v>
          </cell>
        </row>
        <row r="7851">
          <cell r="C7851" t="str">
            <v>4508 - BITS/BLADES</v>
          </cell>
          <cell r="D7851" t="str">
            <v>EAB3242032</v>
          </cell>
          <cell r="BA7851">
            <v>6.69</v>
          </cell>
        </row>
        <row r="7852">
          <cell r="C7852" t="str">
            <v>4508 - BITS/BLADES</v>
          </cell>
          <cell r="D7852" t="str">
            <v>EAB3242042</v>
          </cell>
          <cell r="BA7852">
            <v>6.89</v>
          </cell>
        </row>
        <row r="7853">
          <cell r="C7853" t="str">
            <v>4508 - BITS/BLADES</v>
          </cell>
          <cell r="D7853" t="str">
            <v>EAB3242052</v>
          </cell>
          <cell r="BA7853">
            <v>6.89</v>
          </cell>
        </row>
        <row r="7854">
          <cell r="C7854" t="str">
            <v>4508 - BITS/BLADES</v>
          </cell>
          <cell r="D7854" t="str">
            <v>EAB3242072</v>
          </cell>
          <cell r="BA7854">
            <v>7.19</v>
          </cell>
        </row>
        <row r="7855">
          <cell r="C7855" t="str">
            <v>4508 - BITS/BLADES</v>
          </cell>
          <cell r="D7855" t="str">
            <v>EAB3242092</v>
          </cell>
          <cell r="BA7855">
            <v>7.99</v>
          </cell>
        </row>
        <row r="7856">
          <cell r="C7856" t="str">
            <v>4508 - BITS/BLADES</v>
          </cell>
          <cell r="D7856" t="str">
            <v>EAB3242112</v>
          </cell>
          <cell r="BA7856">
            <v>9.89</v>
          </cell>
        </row>
        <row r="7857">
          <cell r="C7857" t="str">
            <v>4508 - BITS/BLADES</v>
          </cell>
          <cell r="D7857" t="str">
            <v>EAB3242132</v>
          </cell>
          <cell r="BA7857">
            <v>12.59</v>
          </cell>
        </row>
        <row r="7858">
          <cell r="C7858" t="str">
            <v>4508 - BITS/BLADES</v>
          </cell>
          <cell r="D7858" t="str">
            <v>EAB1054332</v>
          </cell>
          <cell r="BA7858">
            <v>6.39</v>
          </cell>
        </row>
        <row r="7859">
          <cell r="C7859" t="str">
            <v>4508 - BITS/BLADES</v>
          </cell>
          <cell r="D7859" t="str">
            <v>EAB1054352</v>
          </cell>
          <cell r="BA7859">
            <v>12.49</v>
          </cell>
        </row>
        <row r="7860">
          <cell r="C7860" t="str">
            <v>4508 - BITS/BLADES</v>
          </cell>
          <cell r="D7860" t="str">
            <v>EAB1054372</v>
          </cell>
          <cell r="BA7860">
            <v>27.99</v>
          </cell>
        </row>
        <row r="7861">
          <cell r="C7861" t="str">
            <v>4508 - BITS/BLADES</v>
          </cell>
          <cell r="D7861" t="str">
            <v>EAB1054392</v>
          </cell>
          <cell r="BA7861">
            <v>27.99</v>
          </cell>
        </row>
        <row r="7862">
          <cell r="C7862" t="str">
            <v>4508 - BITS/BLADES</v>
          </cell>
          <cell r="D7862" t="str">
            <v>EAB1054402</v>
          </cell>
          <cell r="BA7862">
            <v>20.49</v>
          </cell>
        </row>
        <row r="7863">
          <cell r="C7863" t="str">
            <v>4508 - BITS/BLADES</v>
          </cell>
          <cell r="D7863" t="str">
            <v>EAB1054702</v>
          </cell>
          <cell r="BA7863">
            <v>13.79</v>
          </cell>
        </row>
        <row r="7864">
          <cell r="C7864" t="str">
            <v>4508 - BITS/BLADES</v>
          </cell>
          <cell r="D7864" t="str">
            <v>EAB1054852</v>
          </cell>
          <cell r="BA7864">
            <v>27.99</v>
          </cell>
        </row>
        <row r="7865">
          <cell r="C7865" t="str">
            <v>4508 - BITS/BLADES</v>
          </cell>
          <cell r="D7865" t="str">
            <v>EAB1057022</v>
          </cell>
          <cell r="BA7865">
            <v>10.99</v>
          </cell>
        </row>
        <row r="7866">
          <cell r="C7866" t="str">
            <v>4508 - BITS/BLADES</v>
          </cell>
          <cell r="D7866" t="str">
            <v>EAB1057032</v>
          </cell>
          <cell r="BA7866">
            <v>10.99</v>
          </cell>
        </row>
        <row r="7867">
          <cell r="C7867" t="str">
            <v>4508 - BITS/BLADES</v>
          </cell>
          <cell r="D7867" t="str">
            <v>EAB1057052</v>
          </cell>
          <cell r="BA7867">
            <v>11.99</v>
          </cell>
        </row>
        <row r="7868">
          <cell r="C7868" t="str">
            <v>4508 - BITS/BLADES</v>
          </cell>
          <cell r="D7868" t="str">
            <v>EAB1057062</v>
          </cell>
          <cell r="BA7868">
            <v>11.99</v>
          </cell>
        </row>
        <row r="7869">
          <cell r="C7869" t="str">
            <v>4508 - BITS/BLADES</v>
          </cell>
          <cell r="D7869" t="str">
            <v>EAB1057072</v>
          </cell>
          <cell r="BA7869">
            <v>12.99</v>
          </cell>
        </row>
        <row r="7870">
          <cell r="C7870" t="str">
            <v>4508 - BITS/BLADES</v>
          </cell>
          <cell r="D7870" t="str">
            <v>EAB1057092</v>
          </cell>
          <cell r="BA7870">
            <v>12.99</v>
          </cell>
        </row>
        <row r="7871">
          <cell r="C7871" t="str">
            <v>4508 - BITS/BLADES</v>
          </cell>
          <cell r="D7871" t="str">
            <v>EAB1057102</v>
          </cell>
          <cell r="BA7871">
            <v>14.49</v>
          </cell>
        </row>
        <row r="7872">
          <cell r="C7872" t="str">
            <v>4508 - BITS/BLADES</v>
          </cell>
          <cell r="D7872" t="str">
            <v>EAB1057112</v>
          </cell>
          <cell r="BA7872">
            <v>14.49</v>
          </cell>
        </row>
        <row r="7873">
          <cell r="C7873" t="str">
            <v>4508 - BITS/BLADES</v>
          </cell>
          <cell r="D7873" t="str">
            <v>EAB1057122</v>
          </cell>
          <cell r="BA7873">
            <v>15.99</v>
          </cell>
        </row>
        <row r="7874">
          <cell r="C7874" t="str">
            <v>4508 - BITS/BLADES</v>
          </cell>
          <cell r="D7874" t="str">
            <v>EAB1057132</v>
          </cell>
          <cell r="BA7874">
            <v>15.99</v>
          </cell>
        </row>
        <row r="7875">
          <cell r="C7875" t="str">
            <v>4508 - BITS/BLADES</v>
          </cell>
          <cell r="D7875" t="str">
            <v>EAB1057142</v>
          </cell>
          <cell r="BA7875">
            <v>16.989999999999998</v>
          </cell>
        </row>
        <row r="7876">
          <cell r="C7876" t="str">
            <v>4508 - BITS/BLADES</v>
          </cell>
          <cell r="D7876" t="str">
            <v>EAB1057152</v>
          </cell>
          <cell r="BA7876">
            <v>19.489999999999998</v>
          </cell>
        </row>
        <row r="7877">
          <cell r="C7877" t="str">
            <v>4508 - BITS/BLADES</v>
          </cell>
          <cell r="D7877" t="str">
            <v>EAB1057182</v>
          </cell>
          <cell r="BA7877">
            <v>19.489999999999998</v>
          </cell>
        </row>
        <row r="7878">
          <cell r="C7878" t="str">
            <v>4508 - BITS/BLADES</v>
          </cell>
          <cell r="D7878" t="str">
            <v>EAB1057192</v>
          </cell>
          <cell r="BA7878">
            <v>20.49</v>
          </cell>
        </row>
        <row r="7879">
          <cell r="C7879" t="str">
            <v>4508 - BITS/BLADES</v>
          </cell>
          <cell r="D7879" t="str">
            <v>EAB1057202</v>
          </cell>
          <cell r="BA7879">
            <v>20.49</v>
          </cell>
        </row>
        <row r="7880">
          <cell r="C7880" t="str">
            <v>4508 - BITS/BLADES</v>
          </cell>
          <cell r="D7880" t="str">
            <v>EAB1057212</v>
          </cell>
          <cell r="BA7880">
            <v>22.99</v>
          </cell>
        </row>
        <row r="7881">
          <cell r="C7881" t="str">
            <v>4508 - BITS/BLADES</v>
          </cell>
          <cell r="D7881" t="str">
            <v>EAB1057232</v>
          </cell>
          <cell r="BA7881">
            <v>23.99</v>
          </cell>
        </row>
        <row r="7882">
          <cell r="C7882" t="str">
            <v>4508 - BITS/BLADES</v>
          </cell>
          <cell r="D7882" t="str">
            <v>EAB1057242</v>
          </cell>
          <cell r="BA7882">
            <v>22.99</v>
          </cell>
        </row>
        <row r="7883">
          <cell r="C7883" t="str">
            <v>4508 - BITS/BLADES</v>
          </cell>
          <cell r="D7883" t="str">
            <v>EAB1057252</v>
          </cell>
          <cell r="BA7883">
            <v>24.99</v>
          </cell>
        </row>
        <row r="7884">
          <cell r="C7884" t="str">
            <v>4508 - BITS/BLADES</v>
          </cell>
          <cell r="D7884" t="str">
            <v>EAB1057262</v>
          </cell>
          <cell r="BA7884">
            <v>28.49</v>
          </cell>
        </row>
        <row r="7885">
          <cell r="C7885" t="str">
            <v>4508 - BITS/BLADES</v>
          </cell>
          <cell r="D7885" t="str">
            <v>EAB1057272</v>
          </cell>
          <cell r="BA7885">
            <v>28.49</v>
          </cell>
        </row>
        <row r="7886">
          <cell r="C7886" t="str">
            <v>4508 - BITS/BLADES</v>
          </cell>
          <cell r="D7886" t="str">
            <v>EAB1057282</v>
          </cell>
          <cell r="BA7886">
            <v>30.99</v>
          </cell>
        </row>
        <row r="7887">
          <cell r="C7887" t="str">
            <v>4508 - BITS/BLADES</v>
          </cell>
          <cell r="D7887" t="str">
            <v>EAB1057292</v>
          </cell>
          <cell r="BA7887">
            <v>33.99</v>
          </cell>
        </row>
        <row r="7888">
          <cell r="C7888" t="str">
            <v>4508 - BITS/BLADES</v>
          </cell>
          <cell r="D7888" t="str">
            <v>EAB1057302</v>
          </cell>
          <cell r="BA7888">
            <v>40.99</v>
          </cell>
        </row>
        <row r="7889">
          <cell r="C7889" t="str">
            <v>4508 - BITS/BLADES</v>
          </cell>
          <cell r="D7889" t="str">
            <v>EAB1057322</v>
          </cell>
          <cell r="BA7889">
            <v>49.99</v>
          </cell>
        </row>
        <row r="7890">
          <cell r="C7890" t="str">
            <v>4508 - BITS/BLADES</v>
          </cell>
          <cell r="D7890" t="str">
            <v>EAB1057352</v>
          </cell>
          <cell r="BA7890">
            <v>63.99</v>
          </cell>
        </row>
        <row r="7891">
          <cell r="C7891" t="str">
            <v>4508 - BITS/BLADES</v>
          </cell>
          <cell r="D7891" t="str">
            <v>EAB1070332</v>
          </cell>
          <cell r="BA7891">
            <v>17.989999999999998</v>
          </cell>
        </row>
        <row r="7892">
          <cell r="C7892" t="str">
            <v>4508 - BITS/BLADES</v>
          </cell>
          <cell r="D7892" t="str">
            <v>EAB1070342</v>
          </cell>
          <cell r="BA7892">
            <v>17.989999999999998</v>
          </cell>
        </row>
        <row r="7893">
          <cell r="C7893" t="str">
            <v>4508 - BITS/BLADES</v>
          </cell>
          <cell r="D7893" t="str">
            <v>EAB1070352</v>
          </cell>
          <cell r="BA7893">
            <v>17.989999999999998</v>
          </cell>
        </row>
        <row r="7894">
          <cell r="C7894" t="str">
            <v>4508 - BITS/BLADES</v>
          </cell>
          <cell r="D7894" t="str">
            <v>EAB1070362</v>
          </cell>
          <cell r="BA7894">
            <v>17.989999999999998</v>
          </cell>
        </row>
        <row r="7895">
          <cell r="C7895" t="str">
            <v>4508 - BITS/BLADES</v>
          </cell>
          <cell r="D7895" t="str">
            <v>EAB1070382</v>
          </cell>
          <cell r="BA7895">
            <v>29.99</v>
          </cell>
        </row>
        <row r="7896">
          <cell r="C7896" t="str">
            <v>4508 - BITS/BLADES</v>
          </cell>
          <cell r="D7896" t="str">
            <v>EAB1071322</v>
          </cell>
          <cell r="BA7896">
            <v>13.29</v>
          </cell>
        </row>
        <row r="7897">
          <cell r="C7897" t="str">
            <v>4508 - BITS/BLADES</v>
          </cell>
          <cell r="D7897" t="str">
            <v>EAB1071332</v>
          </cell>
          <cell r="BA7897">
            <v>13.99</v>
          </cell>
        </row>
        <row r="7898">
          <cell r="C7898" t="str">
            <v>4508 - BITS/BLADES</v>
          </cell>
          <cell r="D7898" t="str">
            <v>EAB1071342</v>
          </cell>
          <cell r="BA7898">
            <v>15.29</v>
          </cell>
        </row>
        <row r="7899">
          <cell r="C7899" t="str">
            <v>4508 - BITS/BLADES</v>
          </cell>
          <cell r="D7899" t="str">
            <v>EAB1071352</v>
          </cell>
          <cell r="BA7899">
            <v>13.49</v>
          </cell>
        </row>
        <row r="7900">
          <cell r="C7900" t="str">
            <v>4508 - BITS/BLADES</v>
          </cell>
          <cell r="D7900" t="str">
            <v>EAB1071362</v>
          </cell>
          <cell r="BA7900">
            <v>14.49</v>
          </cell>
        </row>
        <row r="7901">
          <cell r="C7901" t="str">
            <v>4508 - BITS/BLADES</v>
          </cell>
          <cell r="D7901" t="str">
            <v>EAB1071372</v>
          </cell>
          <cell r="BA7901">
            <v>19.989999999999998</v>
          </cell>
        </row>
        <row r="7902">
          <cell r="C7902" t="str">
            <v>4508 - BITS/BLADES</v>
          </cell>
          <cell r="D7902" t="str">
            <v>EAB1071392</v>
          </cell>
          <cell r="BA7902">
            <v>34.49</v>
          </cell>
        </row>
        <row r="7903">
          <cell r="C7903" t="str">
            <v>4508 - BITS/BLADES</v>
          </cell>
          <cell r="D7903" t="str">
            <v>EAB1071402</v>
          </cell>
          <cell r="BA7903">
            <v>34.99</v>
          </cell>
        </row>
        <row r="7904">
          <cell r="C7904" t="str">
            <v>4508 - BITS/BLADES</v>
          </cell>
          <cell r="D7904" t="str">
            <v>EAB1071412</v>
          </cell>
          <cell r="BA7904">
            <v>10.49</v>
          </cell>
        </row>
        <row r="7905">
          <cell r="C7905" t="str">
            <v>4508 - BITS/BLADES</v>
          </cell>
          <cell r="D7905" t="str">
            <v>EAB1071482</v>
          </cell>
          <cell r="BA7905">
            <v>15.49</v>
          </cell>
        </row>
        <row r="7906">
          <cell r="C7906" t="str">
            <v>4508 - BITS/BLADES</v>
          </cell>
          <cell r="D7906" t="str">
            <v>EAB1071492</v>
          </cell>
          <cell r="BA7906">
            <v>14.49</v>
          </cell>
        </row>
        <row r="7907">
          <cell r="C7907" t="str">
            <v>4508 - BITS/BLADES</v>
          </cell>
          <cell r="D7907" t="str">
            <v>EAB1071502</v>
          </cell>
          <cell r="BA7907">
            <v>14.99</v>
          </cell>
        </row>
        <row r="7908">
          <cell r="C7908" t="str">
            <v>4508 - BITS/BLADES</v>
          </cell>
          <cell r="D7908" t="str">
            <v>EAB1071522</v>
          </cell>
          <cell r="BA7908">
            <v>16.29</v>
          </cell>
        </row>
        <row r="7909">
          <cell r="C7909" t="str">
            <v>4508 - BITS/BLADES</v>
          </cell>
          <cell r="D7909" t="str">
            <v>EAB1071532</v>
          </cell>
          <cell r="BA7909">
            <v>10.99</v>
          </cell>
        </row>
        <row r="7910">
          <cell r="C7910" t="str">
            <v>4508 - BITS/BLADES</v>
          </cell>
          <cell r="D7910" t="str">
            <v>EAB1070012</v>
          </cell>
          <cell r="BA7910">
            <v>9.49</v>
          </cell>
        </row>
        <row r="7911">
          <cell r="C7911" t="str">
            <v>4508 - BITS/BLADES</v>
          </cell>
          <cell r="D7911" t="str">
            <v>EAB1070022</v>
          </cell>
          <cell r="BA7911">
            <v>11.49</v>
          </cell>
        </row>
        <row r="7912">
          <cell r="C7912" t="str">
            <v>4508 - BITS/BLADES</v>
          </cell>
          <cell r="D7912" t="str">
            <v>EAB1070032</v>
          </cell>
          <cell r="BA7912">
            <v>11.49</v>
          </cell>
        </row>
        <row r="7913">
          <cell r="C7913" t="str">
            <v>4508 - BITS/BLADES</v>
          </cell>
          <cell r="D7913" t="str">
            <v>EAB1070042</v>
          </cell>
          <cell r="BA7913">
            <v>14.99</v>
          </cell>
        </row>
        <row r="7914">
          <cell r="C7914" t="str">
            <v>4508 - BITS/BLADES</v>
          </cell>
          <cell r="D7914" t="str">
            <v>EAB1070052</v>
          </cell>
          <cell r="BA7914">
            <v>14.99</v>
          </cell>
        </row>
        <row r="7915">
          <cell r="C7915" t="str">
            <v>4508 - BITS/BLADES</v>
          </cell>
          <cell r="D7915" t="str">
            <v>EAB1070062</v>
          </cell>
          <cell r="BA7915">
            <v>18.489999999999998</v>
          </cell>
        </row>
        <row r="7916">
          <cell r="C7916" t="str">
            <v>4508 - BITS/BLADES</v>
          </cell>
          <cell r="D7916" t="str">
            <v>EAB1070072</v>
          </cell>
          <cell r="BA7916">
            <v>12.49</v>
          </cell>
        </row>
        <row r="7917">
          <cell r="C7917" t="str">
            <v>4508 - BITS/BLADES</v>
          </cell>
          <cell r="D7917" t="str">
            <v>EAB1070082</v>
          </cell>
          <cell r="BA7917">
            <v>12.49</v>
          </cell>
        </row>
        <row r="7918">
          <cell r="C7918" t="str">
            <v>4508 - BITS/BLADES</v>
          </cell>
          <cell r="D7918" t="str">
            <v>EAB1070092</v>
          </cell>
          <cell r="BA7918">
            <v>20.99</v>
          </cell>
        </row>
        <row r="7919">
          <cell r="C7919" t="str">
            <v>4508 - BITS/BLADES</v>
          </cell>
          <cell r="D7919" t="str">
            <v>EAB1070102</v>
          </cell>
          <cell r="BA7919">
            <v>20.99</v>
          </cell>
        </row>
        <row r="7920">
          <cell r="C7920" t="str">
            <v>4508 - BITS/BLADES</v>
          </cell>
          <cell r="D7920" t="str">
            <v>EAB1070112</v>
          </cell>
          <cell r="BA7920">
            <v>6.69</v>
          </cell>
        </row>
        <row r="7921">
          <cell r="C7921" t="str">
            <v>4508 - BITS/BLADES</v>
          </cell>
          <cell r="D7921" t="str">
            <v>EAB1070122</v>
          </cell>
          <cell r="BA7921">
            <v>11.49</v>
          </cell>
        </row>
        <row r="7922">
          <cell r="C7922" t="str">
            <v>4508 - BITS/BLADES</v>
          </cell>
          <cell r="D7922" t="str">
            <v>EAB1070212</v>
          </cell>
          <cell r="BA7922">
            <v>30.99</v>
          </cell>
        </row>
        <row r="7923">
          <cell r="C7923" t="str">
            <v>4508 - BITS/BLADES</v>
          </cell>
          <cell r="D7923" t="str">
            <v>EAB1070222</v>
          </cell>
          <cell r="BA7923">
            <v>38.99</v>
          </cell>
        </row>
        <row r="7924">
          <cell r="C7924" t="str">
            <v>4508 - BITS/BLADES</v>
          </cell>
          <cell r="D7924" t="str">
            <v>EAB1070622</v>
          </cell>
          <cell r="BA7924">
            <v>16.989999999999998</v>
          </cell>
        </row>
        <row r="7925">
          <cell r="C7925" t="str">
            <v>4508 - BITS/BLADES</v>
          </cell>
          <cell r="D7925" t="str">
            <v>EAB1070232</v>
          </cell>
          <cell r="BA7925">
            <v>52.99</v>
          </cell>
        </row>
        <row r="7926">
          <cell r="C7926" t="str">
            <v>4508 - BITS/BLADES</v>
          </cell>
          <cell r="D7926" t="str">
            <v>EAB1070612</v>
          </cell>
          <cell r="BA7926">
            <v>16.989999999999998</v>
          </cell>
        </row>
        <row r="7927">
          <cell r="C7927" t="str">
            <v>4508 - BITS/BLADES</v>
          </cell>
          <cell r="D7927" t="str">
            <v>RAB1070612</v>
          </cell>
          <cell r="BA7927">
            <v>3</v>
          </cell>
        </row>
        <row r="7928">
          <cell r="C7928" t="str">
            <v>4508 - BITS/BLADES</v>
          </cell>
          <cell r="D7928" t="str">
            <v>EAB1070602</v>
          </cell>
          <cell r="BA7928">
            <v>22.99</v>
          </cell>
        </row>
        <row r="7929">
          <cell r="C7929" t="str">
            <v>4508 - BITS/BLADES</v>
          </cell>
          <cell r="D7929" t="str">
            <v>EAB1070252</v>
          </cell>
          <cell r="BA7929">
            <v>14.49</v>
          </cell>
        </row>
        <row r="7930">
          <cell r="C7930" t="str">
            <v>4508 - BITS/BLADES</v>
          </cell>
          <cell r="D7930" t="str">
            <v>EAB11711262</v>
          </cell>
          <cell r="BA7930">
            <v>3.49</v>
          </cell>
        </row>
        <row r="7931">
          <cell r="C7931" t="str">
            <v>4508 - BITS/BLADES</v>
          </cell>
          <cell r="D7931" t="str">
            <v>EAB11711272</v>
          </cell>
          <cell r="BA7931">
            <v>3.49</v>
          </cell>
        </row>
        <row r="7932">
          <cell r="C7932" t="str">
            <v>4508 - BITS/BLADES</v>
          </cell>
          <cell r="D7932" t="str">
            <v>EAB11711282</v>
          </cell>
          <cell r="BA7932">
            <v>3.99</v>
          </cell>
        </row>
        <row r="7933">
          <cell r="C7933" t="str">
            <v>4508 - BITS/BLADES</v>
          </cell>
          <cell r="D7933" t="str">
            <v>EAB11711292</v>
          </cell>
          <cell r="BA7933">
            <v>4.49</v>
          </cell>
        </row>
        <row r="7934">
          <cell r="C7934" t="str">
            <v>4508 - BITS/BLADES</v>
          </cell>
          <cell r="D7934" t="str">
            <v>EAB11711302</v>
          </cell>
          <cell r="BA7934">
            <v>4.99</v>
          </cell>
        </row>
        <row r="7935">
          <cell r="C7935" t="str">
            <v>4508 - BITS/BLADES</v>
          </cell>
          <cell r="D7935" t="str">
            <v>EAB11711322</v>
          </cell>
          <cell r="BA7935">
            <v>5.99</v>
          </cell>
        </row>
        <row r="7936">
          <cell r="C7936" t="str">
            <v>4508 - BITS/BLADES</v>
          </cell>
          <cell r="D7936" t="str">
            <v>EAB11711332</v>
          </cell>
          <cell r="BA7936">
            <v>4.49</v>
          </cell>
        </row>
        <row r="7937">
          <cell r="C7937" t="str">
            <v>4508 - BITS/BLADES</v>
          </cell>
          <cell r="D7937" t="str">
            <v>EAB11711362</v>
          </cell>
          <cell r="BA7937">
            <v>3.49</v>
          </cell>
        </row>
        <row r="7938">
          <cell r="C7938" t="str">
            <v>4508 - BITS/BLADES</v>
          </cell>
          <cell r="D7938" t="str">
            <v>EAB11711372</v>
          </cell>
          <cell r="BA7938">
            <v>3.49</v>
          </cell>
        </row>
        <row r="7939">
          <cell r="C7939" t="str">
            <v>4508 - BITS/BLADES</v>
          </cell>
          <cell r="D7939" t="str">
            <v>EAB11711392</v>
          </cell>
          <cell r="BA7939">
            <v>4.99</v>
          </cell>
        </row>
        <row r="7940">
          <cell r="C7940" t="str">
            <v>4508 - BITS/BLADES</v>
          </cell>
          <cell r="D7940" t="str">
            <v>EAB11711402</v>
          </cell>
          <cell r="BA7940">
            <v>4.99</v>
          </cell>
        </row>
        <row r="7941">
          <cell r="C7941" t="str">
            <v>4508 - BITS/BLADES</v>
          </cell>
          <cell r="D7941" t="str">
            <v>EAB11711422</v>
          </cell>
          <cell r="BA7941">
            <v>3.99</v>
          </cell>
        </row>
        <row r="7942">
          <cell r="C7942" t="str">
            <v>4508 - BITS/BLADES</v>
          </cell>
          <cell r="D7942" t="str">
            <v>EAB11711432</v>
          </cell>
          <cell r="BA7942">
            <v>4.49</v>
          </cell>
        </row>
        <row r="7943">
          <cell r="C7943" t="str">
            <v>4508 - BITS/BLADES</v>
          </cell>
          <cell r="D7943" t="str">
            <v>EAB11711442</v>
          </cell>
          <cell r="BA7943">
            <v>4.99</v>
          </cell>
        </row>
        <row r="7944">
          <cell r="C7944" t="str">
            <v>4508 - BITS/BLADES</v>
          </cell>
          <cell r="D7944" t="str">
            <v>EAB11711462</v>
          </cell>
          <cell r="BA7944">
            <v>5.99</v>
          </cell>
        </row>
        <row r="7945">
          <cell r="C7945" t="str">
            <v>4508 - BITS/BLADES</v>
          </cell>
          <cell r="D7945" t="str">
            <v>EAB11711502</v>
          </cell>
          <cell r="BA7945">
            <v>4.99</v>
          </cell>
        </row>
        <row r="7946">
          <cell r="C7946" t="str">
            <v>4508 - BITS/BLADES</v>
          </cell>
          <cell r="D7946" t="str">
            <v>EAB11711672</v>
          </cell>
          <cell r="BA7946">
            <v>3.99</v>
          </cell>
        </row>
        <row r="7947">
          <cell r="C7947" t="str">
            <v>4508 - BITS/BLADES</v>
          </cell>
          <cell r="D7947" t="str">
            <v>EAB11711742</v>
          </cell>
          <cell r="BA7947">
            <v>3.49</v>
          </cell>
        </row>
        <row r="7948">
          <cell r="C7948" t="str">
            <v>4508 - BITS/BLADES</v>
          </cell>
          <cell r="D7948" t="str">
            <v>EAB11711812</v>
          </cell>
          <cell r="BA7948">
            <v>3.49</v>
          </cell>
        </row>
        <row r="7949">
          <cell r="C7949" t="str">
            <v>4508 - BITS/BLADES</v>
          </cell>
          <cell r="D7949" t="str">
            <v>EAB11711982</v>
          </cell>
          <cell r="BA7949">
            <v>4.49</v>
          </cell>
        </row>
        <row r="7950">
          <cell r="C7950" t="str">
            <v>4508 - BITS/BLADES</v>
          </cell>
          <cell r="D7950" t="str">
            <v>EAB11712112</v>
          </cell>
          <cell r="BA7950">
            <v>4.99</v>
          </cell>
        </row>
        <row r="7951">
          <cell r="C7951" t="str">
            <v>4508 - BITS/BLADES</v>
          </cell>
          <cell r="D7951" t="str">
            <v>EAB2100052</v>
          </cell>
          <cell r="BA7951">
            <v>14.99</v>
          </cell>
        </row>
        <row r="7952">
          <cell r="C7952" t="str">
            <v>4508 - BITS/BLADES</v>
          </cell>
          <cell r="D7952" t="str">
            <v>EAB2100072</v>
          </cell>
          <cell r="BA7952">
            <v>22.99</v>
          </cell>
        </row>
        <row r="7953">
          <cell r="C7953" t="str">
            <v>4508 - BITS/BLADES</v>
          </cell>
          <cell r="D7953" t="str">
            <v>EAB2100092</v>
          </cell>
          <cell r="BA7953">
            <v>34.99</v>
          </cell>
        </row>
        <row r="7954">
          <cell r="C7954" t="str">
            <v>4508 - BITS/BLADES</v>
          </cell>
          <cell r="D7954" t="str">
            <v>EAB2101072</v>
          </cell>
          <cell r="BA7954">
            <v>15.99</v>
          </cell>
        </row>
        <row r="7955">
          <cell r="C7955" t="str">
            <v>4508 - BITS/BLADES</v>
          </cell>
          <cell r="D7955" t="str">
            <v>EAB2101092</v>
          </cell>
          <cell r="BA7955">
            <v>15.99</v>
          </cell>
        </row>
        <row r="7956">
          <cell r="C7956" t="str">
            <v>4508 - BITS/BLADES</v>
          </cell>
          <cell r="D7956" t="str">
            <v>EAB2101112</v>
          </cell>
          <cell r="BA7956">
            <v>16.989999999999998</v>
          </cell>
        </row>
        <row r="7957">
          <cell r="C7957" t="str">
            <v>4508 - BITS/BLADES</v>
          </cell>
          <cell r="D7957" t="str">
            <v>EAB2101152</v>
          </cell>
          <cell r="BA7957">
            <v>21.99</v>
          </cell>
        </row>
        <row r="7958">
          <cell r="C7958" t="str">
            <v>4508 - BITS/BLADES</v>
          </cell>
          <cell r="D7958" t="str">
            <v>EAB2103092</v>
          </cell>
          <cell r="BA7958">
            <v>18.989999999999998</v>
          </cell>
        </row>
        <row r="7959">
          <cell r="C7959" t="str">
            <v>4508 - BITS/BLADES</v>
          </cell>
          <cell r="D7959" t="str">
            <v>EAB2104112</v>
          </cell>
          <cell r="BA7959">
            <v>19.989999999999998</v>
          </cell>
        </row>
        <row r="7960">
          <cell r="C7960" t="str">
            <v>4508 - BITS/BLADES</v>
          </cell>
          <cell r="D7960" t="str">
            <v>EAB2104122</v>
          </cell>
          <cell r="BA7960">
            <v>18.989999999999998</v>
          </cell>
        </row>
        <row r="7961">
          <cell r="C7961" t="str">
            <v>4508 - BITS/BLADES</v>
          </cell>
          <cell r="D7961" t="str">
            <v>EAB2110182</v>
          </cell>
          <cell r="BA7961">
            <v>24.99</v>
          </cell>
        </row>
        <row r="7962">
          <cell r="C7962" t="str">
            <v>4508 - BITS/BLADES</v>
          </cell>
          <cell r="D7962" t="str">
            <v>EAB2111062</v>
          </cell>
          <cell r="BA7962">
            <v>16.989999999999998</v>
          </cell>
        </row>
        <row r="7963">
          <cell r="C7963" t="str">
            <v>4508 - BITS/BLADES</v>
          </cell>
          <cell r="D7963" t="str">
            <v>EAB2111222</v>
          </cell>
          <cell r="BA7963">
            <v>20.99</v>
          </cell>
        </row>
        <row r="7964">
          <cell r="C7964" t="str">
            <v>4508 - BITS/BLADES</v>
          </cell>
          <cell r="D7964" t="str">
            <v>EAB1010282</v>
          </cell>
          <cell r="BA7964">
            <v>11.49</v>
          </cell>
        </row>
        <row r="7965">
          <cell r="C7965" t="str">
            <v>4508 - BITS/BLADES</v>
          </cell>
          <cell r="D7965" t="str">
            <v>EAB1110052</v>
          </cell>
          <cell r="BA7965">
            <v>9.99</v>
          </cell>
        </row>
        <row r="7966">
          <cell r="C7966" t="str">
            <v>4508 - BITS/BLADES</v>
          </cell>
          <cell r="D7966" t="str">
            <v>EAB1110152</v>
          </cell>
          <cell r="BA7966">
            <v>31.99</v>
          </cell>
        </row>
        <row r="7967">
          <cell r="C7967" t="str">
            <v>4508 - BITS/BLADES</v>
          </cell>
          <cell r="D7967" t="str">
            <v>EAB1011352</v>
          </cell>
          <cell r="BA7967">
            <v>18.489999999999998</v>
          </cell>
        </row>
        <row r="7968">
          <cell r="C7968" t="str">
            <v>4508 - BITS/BLADES</v>
          </cell>
          <cell r="D7968" t="str">
            <v>EAB1011812</v>
          </cell>
          <cell r="BA7968">
            <v>31.49</v>
          </cell>
        </row>
        <row r="7969">
          <cell r="C7969" t="str">
            <v>4508 - BITS/BLADES</v>
          </cell>
          <cell r="D7969" t="str">
            <v>EAB1011842</v>
          </cell>
          <cell r="BA7969">
            <v>38.99</v>
          </cell>
        </row>
        <row r="7970">
          <cell r="C7970" t="str">
            <v>4508 - BITS/BLADES</v>
          </cell>
          <cell r="D7970" t="str">
            <v>EAB1011972</v>
          </cell>
          <cell r="BA7970">
            <v>55.99</v>
          </cell>
        </row>
        <row r="7971">
          <cell r="C7971" t="str">
            <v>4508 - BITS/BLADES</v>
          </cell>
          <cell r="D7971" t="str">
            <v>EAB1017402</v>
          </cell>
          <cell r="BA7971">
            <v>59.99</v>
          </cell>
        </row>
        <row r="7972">
          <cell r="C7972" t="str">
            <v>4508 - BITS/BLADES</v>
          </cell>
          <cell r="D7972" t="str">
            <v>EAB1017432</v>
          </cell>
          <cell r="BA7972">
            <v>49.99</v>
          </cell>
        </row>
        <row r="7973">
          <cell r="C7973" t="str">
            <v>4508 - BITS/BLADES</v>
          </cell>
          <cell r="D7973" t="str">
            <v>EAB1014872</v>
          </cell>
          <cell r="BA7973">
            <v>84.99</v>
          </cell>
        </row>
        <row r="7974">
          <cell r="C7974" t="str">
            <v>4508 - BITS/BLADES</v>
          </cell>
          <cell r="D7974" t="str">
            <v>EAB1019492</v>
          </cell>
          <cell r="BA7974">
            <v>89.99</v>
          </cell>
        </row>
        <row r="7975">
          <cell r="C7975" t="str">
            <v>4508 - BITS/BLADES</v>
          </cell>
          <cell r="D7975" t="str">
            <v>EAB1013362</v>
          </cell>
          <cell r="BA7975">
            <v>35.99</v>
          </cell>
        </row>
        <row r="7976">
          <cell r="C7976" t="str">
            <v>4508 - BITS/BLADES</v>
          </cell>
          <cell r="D7976" t="str">
            <v>EAB1013822</v>
          </cell>
          <cell r="BA7976">
            <v>47.99</v>
          </cell>
        </row>
        <row r="7977">
          <cell r="C7977" t="str">
            <v>4508 - BITS/BLADES</v>
          </cell>
          <cell r="D7977" t="str">
            <v>EAB1013872</v>
          </cell>
          <cell r="BA7977">
            <v>59.99</v>
          </cell>
        </row>
        <row r="7978">
          <cell r="C7978" t="str">
            <v>4508 - BITS/BLADES</v>
          </cell>
          <cell r="D7978" t="str">
            <v>EAB1012782</v>
          </cell>
          <cell r="BA7978">
            <v>33.99</v>
          </cell>
        </row>
        <row r="7979">
          <cell r="C7979" t="str">
            <v>4508 - BITS/BLADES</v>
          </cell>
          <cell r="D7979" t="str">
            <v>EAB1016052</v>
          </cell>
          <cell r="BA7979">
            <v>19.489999999999998</v>
          </cell>
        </row>
        <row r="7980">
          <cell r="C7980" t="str">
            <v>4508 - BITS/BLADES</v>
          </cell>
          <cell r="D7980" t="str">
            <v>EAB1016342</v>
          </cell>
          <cell r="BA7980">
            <v>15.49</v>
          </cell>
        </row>
        <row r="7981">
          <cell r="C7981" t="str">
            <v>4508 - BITS/BLADES</v>
          </cell>
          <cell r="D7981" t="str">
            <v>EAB1016572</v>
          </cell>
          <cell r="BA7981">
            <v>24.99</v>
          </cell>
        </row>
        <row r="7982">
          <cell r="C7982" t="str">
            <v>4508 - BITS/BLADES</v>
          </cell>
          <cell r="D7982" t="str">
            <v>EAB1016762</v>
          </cell>
          <cell r="BA7982">
            <v>38.99</v>
          </cell>
        </row>
        <row r="7983">
          <cell r="C7983" t="str">
            <v>4508 - BITS/BLADES</v>
          </cell>
          <cell r="D7983" t="str">
            <v>EAB1016832</v>
          </cell>
          <cell r="BA7983">
            <v>49.99</v>
          </cell>
        </row>
        <row r="7984">
          <cell r="C7984" t="str">
            <v>4508 - BITS/BLADES</v>
          </cell>
          <cell r="D7984" t="str">
            <v>EAB1016872</v>
          </cell>
          <cell r="BA7984">
            <v>69.989999999999995</v>
          </cell>
        </row>
        <row r="7985">
          <cell r="C7985" t="str">
            <v>4508 - BITS/BLADES</v>
          </cell>
          <cell r="D7985" t="str">
            <v>EAB1016022</v>
          </cell>
          <cell r="BA7985">
            <v>23.99</v>
          </cell>
        </row>
        <row r="7986">
          <cell r="C7986" t="str">
            <v>4508 - BITS/BLADES</v>
          </cell>
          <cell r="D7986" t="str">
            <v>EAB1016032</v>
          </cell>
          <cell r="BA7986">
            <v>20.49</v>
          </cell>
        </row>
        <row r="7987">
          <cell r="C7987" t="str">
            <v>4508 - BITS/BLADES</v>
          </cell>
          <cell r="D7987" t="str">
            <v>EAB1016062</v>
          </cell>
          <cell r="BA7987">
            <v>19.989999999999998</v>
          </cell>
        </row>
        <row r="7988">
          <cell r="C7988" t="str">
            <v>4508 - BITS/BLADES</v>
          </cell>
          <cell r="D7988" t="str">
            <v>EAB1016072</v>
          </cell>
          <cell r="BA7988">
            <v>24.99</v>
          </cell>
        </row>
        <row r="7989">
          <cell r="C7989" t="str">
            <v>4508 - BITS/BLADES</v>
          </cell>
          <cell r="D7989" t="str">
            <v>EAB1016402</v>
          </cell>
          <cell r="BA7989">
            <v>21.99</v>
          </cell>
        </row>
        <row r="7990">
          <cell r="C7990" t="str">
            <v>4508 - BITS/BLADES</v>
          </cell>
          <cell r="D7990" t="str">
            <v>EAB1005112</v>
          </cell>
          <cell r="BA7990">
            <v>26.99</v>
          </cell>
        </row>
        <row r="7991">
          <cell r="C7991" t="str">
            <v>4508 - BITS/BLADES</v>
          </cell>
          <cell r="D7991" t="str">
            <v>RAB1057282</v>
          </cell>
          <cell r="BA7991">
            <v>14</v>
          </cell>
        </row>
        <row r="7992">
          <cell r="C7992" t="str">
            <v>4508 - BITS/BLADES</v>
          </cell>
          <cell r="D7992" t="str">
            <v>RAB1071322</v>
          </cell>
          <cell r="BA7992">
            <v>5</v>
          </cell>
        </row>
        <row r="7993">
          <cell r="C7993" t="str">
            <v>4508 - BITS/BLADES</v>
          </cell>
          <cell r="D7993" t="str">
            <v>RAB1071352</v>
          </cell>
          <cell r="BA7993">
            <v>5</v>
          </cell>
        </row>
        <row r="7994">
          <cell r="C7994" t="str">
            <v>4508 - BITS/BLADES</v>
          </cell>
          <cell r="D7994" t="str">
            <v>RAB1071362</v>
          </cell>
          <cell r="BA7994">
            <v>5</v>
          </cell>
        </row>
        <row r="7995">
          <cell r="C7995" t="str">
            <v>4508 - BITS/BLADES</v>
          </cell>
          <cell r="D7995" t="str">
            <v>RAB1071492</v>
          </cell>
          <cell r="BA7995">
            <v>5</v>
          </cell>
        </row>
        <row r="7996">
          <cell r="C7996" t="str">
            <v>4508 - BITS/BLADES</v>
          </cell>
          <cell r="D7996" t="str">
            <v>RAB1070022</v>
          </cell>
          <cell r="BA7996">
            <v>3</v>
          </cell>
        </row>
        <row r="7997">
          <cell r="C7997" t="str">
            <v>4508 - BITS/BLADES</v>
          </cell>
          <cell r="D7997" t="str">
            <v>RAB1070252</v>
          </cell>
          <cell r="BA7997">
            <v>3</v>
          </cell>
        </row>
        <row r="7998">
          <cell r="C7998" t="str">
            <v>4508 - BITS/BLADES</v>
          </cell>
          <cell r="D7998" t="str">
            <v>RAB11711442</v>
          </cell>
          <cell r="BA7998">
            <v>2</v>
          </cell>
        </row>
        <row r="7999">
          <cell r="C7999" t="str">
            <v>4508 - BITS/BLADES</v>
          </cell>
          <cell r="D7999" t="str">
            <v>RAB1016872</v>
          </cell>
          <cell r="BA7999">
            <v>30</v>
          </cell>
        </row>
        <row r="8000">
          <cell r="C8000" t="str">
            <v>4508 - BITS/BLADES</v>
          </cell>
          <cell r="D8000" t="str">
            <v>SAB76700U</v>
          </cell>
          <cell r="BA8000">
            <v>29.99</v>
          </cell>
        </row>
        <row r="8001">
          <cell r="C8001" t="str">
            <v>4508 - BITS/BLADES</v>
          </cell>
          <cell r="D8001" t="str">
            <v>SAB93722</v>
          </cell>
          <cell r="BA8001">
            <v>11.99</v>
          </cell>
        </row>
        <row r="8002">
          <cell r="C8002" t="str">
            <v>4508 - BITS/BLADES</v>
          </cell>
          <cell r="D8002" t="str">
            <v>FR12122</v>
          </cell>
          <cell r="BA8002">
            <v>29.99</v>
          </cell>
        </row>
        <row r="8003">
          <cell r="C8003" t="str">
            <v>4508 - BITS/BLADES</v>
          </cell>
          <cell r="D8003" t="str">
            <v>FR18126</v>
          </cell>
          <cell r="BA8003">
            <v>72.989999999999995</v>
          </cell>
        </row>
        <row r="8004">
          <cell r="C8004" t="str">
            <v>4508 - BITS/BLADES</v>
          </cell>
          <cell r="D8004" t="str">
            <v>FR34128</v>
          </cell>
          <cell r="BA8004">
            <v>74.989999999999995</v>
          </cell>
        </row>
        <row r="8005">
          <cell r="C8005" t="str">
            <v>4508 - BITS/BLADES</v>
          </cell>
          <cell r="D8005" t="str">
            <v>MIL48-89-4601</v>
          </cell>
          <cell r="BA8005">
            <v>5.99</v>
          </cell>
        </row>
        <row r="8006">
          <cell r="C8006" t="str">
            <v>4508 - BITS/BLADES</v>
          </cell>
          <cell r="D8006" t="str">
            <v>MIL48-89-4603</v>
          </cell>
          <cell r="BA8006">
            <v>6.49</v>
          </cell>
        </row>
        <row r="8007">
          <cell r="C8007" t="str">
            <v>4508 - BITS/BLADES</v>
          </cell>
          <cell r="D8007" t="str">
            <v>DW1124</v>
          </cell>
          <cell r="BA8007">
            <v>8.69</v>
          </cell>
        </row>
        <row r="8008">
          <cell r="C8008" t="str">
            <v>4508 - BITS/BLADES</v>
          </cell>
          <cell r="D8008" t="str">
            <v>DW1912</v>
          </cell>
          <cell r="BA8008">
            <v>4.79</v>
          </cell>
        </row>
        <row r="8009">
          <cell r="C8009" t="str">
            <v>4508 - BITS/BLADES</v>
          </cell>
          <cell r="D8009" t="str">
            <v>DW1924</v>
          </cell>
          <cell r="BA8009">
            <v>12.99</v>
          </cell>
        </row>
        <row r="8010">
          <cell r="C8010" t="str">
            <v>4508 - BITS/BLADES</v>
          </cell>
          <cell r="D8010" t="str">
            <v>DW2569</v>
          </cell>
          <cell r="BA8010">
            <v>11.99</v>
          </cell>
        </row>
        <row r="8011">
          <cell r="C8011" t="str">
            <v>4508 - BITS/BLADES</v>
          </cell>
          <cell r="D8011" t="str">
            <v>FRE12-156</v>
          </cell>
          <cell r="BA8011">
            <v>35.99</v>
          </cell>
        </row>
        <row r="8012">
          <cell r="C8012" t="str">
            <v>4508 - BITS/BLADES</v>
          </cell>
          <cell r="D8012" t="str">
            <v>FRE40-114</v>
          </cell>
          <cell r="BA8012">
            <v>47.99</v>
          </cell>
        </row>
        <row r="8013">
          <cell r="C8013" t="str">
            <v>4508 - BITS/BLADES</v>
          </cell>
          <cell r="D8013" t="str">
            <v>FREPB-007</v>
          </cell>
          <cell r="BA8013">
            <v>19.989999999999998</v>
          </cell>
        </row>
        <row r="8014">
          <cell r="C8014" t="str">
            <v>4508 - BITS/BLADES</v>
          </cell>
          <cell r="D8014" t="str">
            <v>FRE20-104</v>
          </cell>
          <cell r="BA8014">
            <v>39.99</v>
          </cell>
        </row>
        <row r="8015">
          <cell r="C8015" t="str">
            <v>4508 - BITS/BLADES</v>
          </cell>
          <cell r="D8015" t="str">
            <v>FRE12-172</v>
          </cell>
          <cell r="BA8015">
            <v>35.99</v>
          </cell>
        </row>
        <row r="8016">
          <cell r="C8016" t="str">
            <v>4508 - BITS/BLADES</v>
          </cell>
          <cell r="D8016" t="str">
            <v>FREPB-014</v>
          </cell>
          <cell r="BA8016">
            <v>42.99</v>
          </cell>
        </row>
        <row r="8017">
          <cell r="C8017" t="str">
            <v>4508 - BITS/BLADES</v>
          </cell>
          <cell r="D8017" t="str">
            <v>FRE34-120</v>
          </cell>
          <cell r="BA8017">
            <v>44.99</v>
          </cell>
        </row>
        <row r="8018">
          <cell r="C8018" t="str">
            <v>4508 - BITS/BLADES</v>
          </cell>
          <cell r="D8018" t="str">
            <v>FREPB-012</v>
          </cell>
          <cell r="BA8018">
            <v>37.99</v>
          </cell>
        </row>
        <row r="8019">
          <cell r="C8019" t="str">
            <v>4508 - BITS/BLADES</v>
          </cell>
          <cell r="D8019" t="str">
            <v>FREPB-008</v>
          </cell>
          <cell r="BA8019">
            <v>22.99</v>
          </cell>
        </row>
        <row r="8020">
          <cell r="C8020" t="str">
            <v>4508 - BITS/BLADES</v>
          </cell>
          <cell r="D8020" t="str">
            <v>FREPB-002</v>
          </cell>
          <cell r="BA8020">
            <v>13.99</v>
          </cell>
        </row>
        <row r="8021">
          <cell r="C8021" t="str">
            <v>4508 - BITS/BLADES</v>
          </cell>
          <cell r="D8021" t="str">
            <v>FREPB-010</v>
          </cell>
          <cell r="BA8021">
            <v>29.99</v>
          </cell>
        </row>
        <row r="8022">
          <cell r="C8022" t="str">
            <v>4508 - BITS/BLADES</v>
          </cell>
          <cell r="D8022" t="str">
            <v>FREPB-003</v>
          </cell>
          <cell r="BA8022">
            <v>15.99</v>
          </cell>
        </row>
        <row r="8023">
          <cell r="C8023" t="str">
            <v>4508 - BITS/BLADES</v>
          </cell>
          <cell r="D8023" t="str">
            <v>FRE30-102</v>
          </cell>
          <cell r="BA8023">
            <v>42.99</v>
          </cell>
        </row>
        <row r="8024">
          <cell r="C8024" t="str">
            <v>4508 - BITS/BLADES</v>
          </cell>
          <cell r="D8024" t="str">
            <v>FRE32-504</v>
          </cell>
          <cell r="BA8024">
            <v>74.989999999999995</v>
          </cell>
        </row>
        <row r="8025">
          <cell r="C8025" t="str">
            <v>4508 - BITS/BLADES</v>
          </cell>
          <cell r="D8025" t="str">
            <v>FREPB-016</v>
          </cell>
          <cell r="BA8025">
            <v>49.99</v>
          </cell>
        </row>
        <row r="8026">
          <cell r="C8026" t="str">
            <v>4508 - BITS/BLADES</v>
          </cell>
          <cell r="D8026" t="str">
            <v>FREPB-004</v>
          </cell>
          <cell r="BA8026">
            <v>17.989999999999998</v>
          </cell>
        </row>
        <row r="8027">
          <cell r="C8027" t="str">
            <v>4508 - BITS/BLADES</v>
          </cell>
          <cell r="D8027" t="str">
            <v>FRE18-104</v>
          </cell>
          <cell r="BA8027">
            <v>29.99</v>
          </cell>
        </row>
        <row r="8028">
          <cell r="C8028" t="str">
            <v>4508 - BITS/BLADES</v>
          </cell>
          <cell r="D8028" t="str">
            <v>MINHB-21</v>
          </cell>
          <cell r="BA8028">
            <v>27.99</v>
          </cell>
        </row>
        <row r="8029">
          <cell r="C8029" t="str">
            <v>4508 - BITS/BLADES</v>
          </cell>
          <cell r="D8029" t="str">
            <v>FRE18-122</v>
          </cell>
          <cell r="BA8029">
            <v>54.99</v>
          </cell>
        </row>
        <row r="8030">
          <cell r="C8030" t="str">
            <v>4508 - BITS/BLADES</v>
          </cell>
          <cell r="D8030" t="str">
            <v>FREPB-009</v>
          </cell>
          <cell r="BA8030">
            <v>24.99</v>
          </cell>
        </row>
        <row r="8031">
          <cell r="C8031" t="str">
            <v>4508 - BITS/BLADES</v>
          </cell>
          <cell r="D8031" t="str">
            <v>MIL48-20-7411</v>
          </cell>
          <cell r="BA8031">
            <v>7.59</v>
          </cell>
        </row>
        <row r="8032">
          <cell r="C8032" t="str">
            <v>4508 - BITS/BLADES</v>
          </cell>
          <cell r="D8032" t="str">
            <v>DW2262</v>
          </cell>
          <cell r="BA8032">
            <v>4.99</v>
          </cell>
        </row>
        <row r="8033">
          <cell r="C8033" t="str">
            <v>4508 - BITS/BLADES</v>
          </cell>
          <cell r="D8033" t="str">
            <v>FREPB-005</v>
          </cell>
          <cell r="BA8033">
            <v>18.989999999999998</v>
          </cell>
        </row>
        <row r="8034">
          <cell r="C8034" t="str">
            <v>4508 - BITS/BLADES</v>
          </cell>
          <cell r="D8034" t="str">
            <v>FREPB-006</v>
          </cell>
          <cell r="BA8034">
            <v>19.989999999999998</v>
          </cell>
        </row>
        <row r="8035">
          <cell r="C8035" t="str">
            <v>4508 - BITS/BLADES</v>
          </cell>
          <cell r="D8035" t="str">
            <v>FREPB-011</v>
          </cell>
          <cell r="BA8035">
            <v>34.99</v>
          </cell>
        </row>
        <row r="8036">
          <cell r="C8036" t="str">
            <v>4508 - BITS/BLADES</v>
          </cell>
          <cell r="D8036" t="str">
            <v>FREPB-013</v>
          </cell>
          <cell r="BA8036">
            <v>39.99</v>
          </cell>
        </row>
        <row r="8037">
          <cell r="C8037" t="str">
            <v>4508 - BITS/BLADES</v>
          </cell>
          <cell r="D8037" t="str">
            <v>FREPB-015</v>
          </cell>
          <cell r="BA8037">
            <v>47.99</v>
          </cell>
        </row>
        <row r="8038">
          <cell r="C8038" t="str">
            <v>4508 - BITS/BLADES</v>
          </cell>
          <cell r="D8038" t="str">
            <v>FREPB-001</v>
          </cell>
          <cell r="BA8038">
            <v>13.99</v>
          </cell>
        </row>
        <row r="8039">
          <cell r="C8039" t="str">
            <v>4508 - BITS/BLADES</v>
          </cell>
          <cell r="D8039" t="str">
            <v>FRE16-102</v>
          </cell>
          <cell r="BA8039">
            <v>31.99</v>
          </cell>
        </row>
        <row r="8040">
          <cell r="C8040" t="str">
            <v>4508 - BITS/BLADES</v>
          </cell>
          <cell r="D8040" t="str">
            <v>MIL49-56-8000</v>
          </cell>
          <cell r="BA8040">
            <v>7.99</v>
          </cell>
        </row>
        <row r="8041">
          <cell r="C8041" t="str">
            <v>4508 - BITS/BLADES</v>
          </cell>
          <cell r="D8041" t="str">
            <v>MIL49-56-8010</v>
          </cell>
          <cell r="BA8041">
            <v>6.49</v>
          </cell>
        </row>
        <row r="8042">
          <cell r="C8042" t="str">
            <v>4508 - BITS/BLADES</v>
          </cell>
          <cell r="D8042" t="str">
            <v>MIL48-20-7092</v>
          </cell>
          <cell r="BA8042">
            <v>10.99</v>
          </cell>
        </row>
        <row r="8043">
          <cell r="C8043" t="str">
            <v>4508 - BITS/BLADES</v>
          </cell>
          <cell r="D8043" t="str">
            <v>MIL48-20-7410</v>
          </cell>
          <cell r="BA8043">
            <v>7.99</v>
          </cell>
        </row>
        <row r="8044">
          <cell r="C8044" t="str">
            <v>4508 - BITS/BLADES</v>
          </cell>
          <cell r="D8044" t="str">
            <v>MIL48-20-7430</v>
          </cell>
          <cell r="BA8044">
            <v>6.49</v>
          </cell>
        </row>
        <row r="8045">
          <cell r="C8045" t="str">
            <v>4508 - BITS/BLADES</v>
          </cell>
          <cell r="D8045" t="str">
            <v>MIL48-20-7441</v>
          </cell>
          <cell r="BA8045">
            <v>9.99</v>
          </cell>
        </row>
        <row r="8046">
          <cell r="C8046" t="str">
            <v>4508 - BITS/BLADES</v>
          </cell>
          <cell r="D8046" t="str">
            <v>MIL48-20-7471</v>
          </cell>
          <cell r="BA8046">
            <v>10.99</v>
          </cell>
        </row>
        <row r="8047">
          <cell r="C8047" t="str">
            <v>4508 - BITS/BLADES</v>
          </cell>
          <cell r="D8047" t="str">
            <v>MIL48-20-7602</v>
          </cell>
          <cell r="BA8047">
            <v>19.989999999999998</v>
          </cell>
        </row>
        <row r="8048">
          <cell r="C8048" t="str">
            <v>4508 - BITS/BLADES</v>
          </cell>
          <cell r="D8048" t="str">
            <v>MIL48-20-7451</v>
          </cell>
          <cell r="BA8048">
            <v>9.99</v>
          </cell>
        </row>
        <row r="8049">
          <cell r="C8049" t="str">
            <v>4508 - BITS/BLADES</v>
          </cell>
          <cell r="D8049" t="str">
            <v>FRE16-560</v>
          </cell>
          <cell r="BA8049">
            <v>52.99</v>
          </cell>
        </row>
        <row r="8050">
          <cell r="C8050" t="str">
            <v>4508 - BITS/BLADES</v>
          </cell>
          <cell r="D8050" t="str">
            <v>FRE12-150</v>
          </cell>
          <cell r="BA8050">
            <v>37.99</v>
          </cell>
        </row>
        <row r="8051">
          <cell r="C8051" t="str">
            <v>4508 - BITS/BLADES</v>
          </cell>
          <cell r="D8051" t="str">
            <v>FRED1084L</v>
          </cell>
          <cell r="BA8051">
            <v>69.989999999999995</v>
          </cell>
        </row>
        <row r="8052">
          <cell r="C8052" t="str">
            <v>4508 - BITS/BLADES</v>
          </cell>
          <cell r="D8052" t="str">
            <v>MIL48-32-5008</v>
          </cell>
          <cell r="BA8052">
            <v>8.69</v>
          </cell>
        </row>
        <row r="8053">
          <cell r="C8053" t="str">
            <v>4508 - BITS/BLADES</v>
          </cell>
          <cell r="D8053" t="str">
            <v>MIL48-89-2303</v>
          </cell>
          <cell r="BA8053">
            <v>4.59</v>
          </cell>
        </row>
        <row r="8054">
          <cell r="C8054" t="str">
            <v>4508 - BITS/BLADES</v>
          </cell>
          <cell r="D8054" t="str">
            <v>MIL48-89-2304</v>
          </cell>
          <cell r="BA8054">
            <v>4.59</v>
          </cell>
        </row>
        <row r="8055">
          <cell r="C8055" t="str">
            <v>4508 - BITS/BLADES</v>
          </cell>
          <cell r="D8055" t="str">
            <v>MIL48-89-2305</v>
          </cell>
          <cell r="BA8055">
            <v>5.69</v>
          </cell>
        </row>
        <row r="8056">
          <cell r="C8056" t="str">
            <v>4508 - BITS/BLADES</v>
          </cell>
          <cell r="D8056" t="str">
            <v>MIL48-89-2306</v>
          </cell>
          <cell r="BA8056">
            <v>5.99</v>
          </cell>
        </row>
        <row r="8057">
          <cell r="C8057" t="str">
            <v>4508 - BITS/BLADES</v>
          </cell>
          <cell r="D8057" t="str">
            <v>MIL48-89-2307</v>
          </cell>
          <cell r="BA8057">
            <v>6.99</v>
          </cell>
        </row>
        <row r="8058">
          <cell r="C8058" t="str">
            <v>4508 - BITS/BLADES</v>
          </cell>
          <cell r="D8058" t="str">
            <v>MIL48-89-2309</v>
          </cell>
          <cell r="BA8058">
            <v>7.99</v>
          </cell>
        </row>
        <row r="8059">
          <cell r="C8059" t="str">
            <v>4508 - BITS/BLADES</v>
          </cell>
          <cell r="D8059" t="str">
            <v>MIL48-89-2313</v>
          </cell>
          <cell r="BA8059">
            <v>10.99</v>
          </cell>
        </row>
        <row r="8060">
          <cell r="C8060" t="str">
            <v>4508 - BITS/BLADES</v>
          </cell>
          <cell r="D8060" t="str">
            <v>MIL48-89-2317</v>
          </cell>
          <cell r="BA8060">
            <v>14.99</v>
          </cell>
        </row>
        <row r="8061">
          <cell r="C8061" t="str">
            <v>4508 - BITS/BLADES</v>
          </cell>
          <cell r="D8061" t="str">
            <v>MIL48-89-2321</v>
          </cell>
          <cell r="BA8061">
            <v>19.989999999999998</v>
          </cell>
        </row>
        <row r="8062">
          <cell r="C8062" t="str">
            <v>4508 - BITS/BLADES</v>
          </cell>
          <cell r="D8062" t="str">
            <v>MIL48-89-2325</v>
          </cell>
          <cell r="BA8062">
            <v>24.99</v>
          </cell>
        </row>
        <row r="8063">
          <cell r="C8063" t="str">
            <v>4508 - BITS/BLADES</v>
          </cell>
          <cell r="D8063" t="str">
            <v>MIL48-89-2329</v>
          </cell>
          <cell r="BA8063">
            <v>27.99</v>
          </cell>
        </row>
        <row r="8064">
          <cell r="C8064" t="str">
            <v>4508 - BITS/BLADES</v>
          </cell>
          <cell r="D8064" t="str">
            <v>MIL48-20-8821</v>
          </cell>
          <cell r="BA8064">
            <v>4.59</v>
          </cell>
        </row>
        <row r="8065">
          <cell r="C8065" t="str">
            <v>4508 - BITS/BLADES</v>
          </cell>
          <cell r="D8065" t="str">
            <v>MIL48-13-5750</v>
          </cell>
          <cell r="BA8065">
            <v>39.99</v>
          </cell>
        </row>
        <row r="8066">
          <cell r="C8066" t="str">
            <v>4508 - BITS/BLADES</v>
          </cell>
          <cell r="D8066" t="str">
            <v>MIL48-13-0048</v>
          </cell>
          <cell r="BA8066">
            <v>13.99</v>
          </cell>
        </row>
        <row r="8067">
          <cell r="C8067" t="str">
            <v>4508 - BITS/BLADES</v>
          </cell>
          <cell r="D8067" t="str">
            <v>MIL48-13-0058</v>
          </cell>
          <cell r="BA8067">
            <v>14.99</v>
          </cell>
        </row>
        <row r="8068">
          <cell r="C8068" t="str">
            <v>4508 - BITS/BLADES</v>
          </cell>
          <cell r="D8068" t="str">
            <v>MIL48-13-0088</v>
          </cell>
          <cell r="BA8068">
            <v>19.989999999999998</v>
          </cell>
        </row>
        <row r="8069">
          <cell r="C8069" t="str">
            <v>4508 - BITS/BLADES</v>
          </cell>
          <cell r="D8069" t="str">
            <v>MIL48-13-0078</v>
          </cell>
          <cell r="BA8069">
            <v>17.989999999999998</v>
          </cell>
        </row>
        <row r="8070">
          <cell r="C8070" t="str">
            <v>4508 - BITS/BLADES</v>
          </cell>
          <cell r="D8070" t="str">
            <v>MIL48-13-0108</v>
          </cell>
          <cell r="BA8070">
            <v>22.99</v>
          </cell>
        </row>
        <row r="8071">
          <cell r="C8071" t="str">
            <v>4508 - BITS/BLADES</v>
          </cell>
          <cell r="D8071" t="str">
            <v>MIL48-13-0400</v>
          </cell>
          <cell r="BA8071">
            <v>44.99</v>
          </cell>
        </row>
        <row r="8072">
          <cell r="C8072" t="str">
            <v>4508 - BITS/BLADES</v>
          </cell>
          <cell r="D8072" t="str">
            <v>IRW4935639</v>
          </cell>
          <cell r="BA8072">
            <v>5.99</v>
          </cell>
        </row>
        <row r="8073">
          <cell r="C8073" t="str">
            <v>4508 - BITS/BLADES</v>
          </cell>
          <cell r="D8073" t="str">
            <v>MIL49-22-0071</v>
          </cell>
          <cell r="BA8073">
            <v>25.99</v>
          </cell>
        </row>
        <row r="8074">
          <cell r="C8074" t="str">
            <v>4508 - BITS/BLADES</v>
          </cell>
          <cell r="D8074" t="str">
            <v>MIL48-32-5003</v>
          </cell>
          <cell r="BA8074">
            <v>13.99</v>
          </cell>
        </row>
        <row r="8075">
          <cell r="C8075" t="str">
            <v>4508 - BITS/BLADES</v>
          </cell>
          <cell r="D8075" t="str">
            <v>MIL48-13-0068</v>
          </cell>
          <cell r="BA8075">
            <v>16.989999999999998</v>
          </cell>
        </row>
        <row r="8076">
          <cell r="C8076" t="str">
            <v>4508 - BITS/BLADES</v>
          </cell>
          <cell r="D8076" t="str">
            <v>MIL48-27-1121</v>
          </cell>
          <cell r="BA8076">
            <v>10.99</v>
          </cell>
        </row>
        <row r="8077">
          <cell r="C8077" t="str">
            <v>4508 - BITS/BLADES</v>
          </cell>
          <cell r="D8077" t="str">
            <v>MIL48-27-1371</v>
          </cell>
          <cell r="BA8077">
            <v>11.99</v>
          </cell>
        </row>
        <row r="8078">
          <cell r="C8078" t="str">
            <v>4508 - BITS/BLADES</v>
          </cell>
          <cell r="D8078" t="str">
            <v>FRED0641X</v>
          </cell>
          <cell r="BA8078">
            <v>18.989999999999998</v>
          </cell>
        </row>
        <row r="8079">
          <cell r="C8079" t="str">
            <v>4508 - BITS/BLADES</v>
          </cell>
          <cell r="D8079" t="str">
            <v>FREPB-104</v>
          </cell>
          <cell r="BA8079">
            <v>57.99</v>
          </cell>
        </row>
        <row r="8080">
          <cell r="C8080" t="str">
            <v>4508 - BITS/BLADES</v>
          </cell>
          <cell r="D8080" t="str">
            <v>SBHCFC2011</v>
          </cell>
          <cell r="BA8080">
            <v>7.99</v>
          </cell>
        </row>
        <row r="8081">
          <cell r="C8081" t="str">
            <v>4508 - BITS/BLADES</v>
          </cell>
          <cell r="D8081" t="str">
            <v>MIL48-89-1561</v>
          </cell>
          <cell r="BA8081">
            <v>57.99</v>
          </cell>
        </row>
        <row r="8082">
          <cell r="C8082" t="str">
            <v>4508 - BITS/BLADES</v>
          </cell>
          <cell r="D8082" t="str">
            <v>MIL48-32-4511</v>
          </cell>
          <cell r="BA8082">
            <v>8.99</v>
          </cell>
        </row>
        <row r="8083">
          <cell r="C8083" t="str">
            <v>4508 - BITS/BLADES</v>
          </cell>
          <cell r="D8083" t="str">
            <v>DWA1SQ2IR</v>
          </cell>
          <cell r="BA8083">
            <v>1.49</v>
          </cell>
        </row>
        <row r="8084">
          <cell r="C8084" t="str">
            <v>4508 - BITS/BLADES</v>
          </cell>
          <cell r="D8084" t="str">
            <v>IRW1877720</v>
          </cell>
          <cell r="BA8084">
            <v>34.99</v>
          </cell>
        </row>
        <row r="8085">
          <cell r="C8085" t="str">
            <v>4508 - BITS/BLADES</v>
          </cell>
          <cell r="D8085" t="str">
            <v>MIL48-32-4004</v>
          </cell>
          <cell r="BA8085">
            <v>25.99</v>
          </cell>
        </row>
        <row r="8086">
          <cell r="C8086" t="str">
            <v>4508 - BITS/BLADES</v>
          </cell>
          <cell r="D8086" t="str">
            <v>MIL48-32-4502</v>
          </cell>
          <cell r="BA8086">
            <v>6.99</v>
          </cell>
        </row>
        <row r="8087">
          <cell r="C8087" t="str">
            <v>4508 - BITS/BLADES</v>
          </cell>
          <cell r="D8087" t="str">
            <v>FREDHS4BITII</v>
          </cell>
          <cell r="BA8087">
            <v>5.99</v>
          </cell>
        </row>
        <row r="8088">
          <cell r="C8088" t="str">
            <v>4508 - BITS/BLADES</v>
          </cell>
          <cell r="D8088" t="str">
            <v>DWDD5116</v>
          </cell>
          <cell r="BA8088">
            <v>8.69</v>
          </cell>
        </row>
        <row r="8089">
          <cell r="C8089" t="str">
            <v>4508 - BITS/BLADES</v>
          </cell>
          <cell r="D8089" t="str">
            <v>DW2554</v>
          </cell>
          <cell r="BA8089">
            <v>4.09</v>
          </cell>
        </row>
        <row r="8090">
          <cell r="C8090" t="str">
            <v>4508 - BITS/BLADES</v>
          </cell>
          <cell r="D8090" t="str">
            <v>DW2556</v>
          </cell>
          <cell r="BA8090">
            <v>4.99</v>
          </cell>
        </row>
        <row r="8091">
          <cell r="C8091" t="str">
            <v>4508 - BITS/BLADES</v>
          </cell>
          <cell r="D8091" t="str">
            <v>DW2557</v>
          </cell>
          <cell r="BA8091">
            <v>6.49</v>
          </cell>
        </row>
        <row r="8092">
          <cell r="C8092" t="str">
            <v>4508 - BITS/BLADES</v>
          </cell>
          <cell r="D8092" t="str">
            <v>MIL48-89-2719</v>
          </cell>
          <cell r="BA8092">
            <v>2.99</v>
          </cell>
        </row>
        <row r="8093">
          <cell r="C8093" t="str">
            <v>4508 - BITS/BLADES</v>
          </cell>
          <cell r="D8093" t="str">
            <v>MIL48-89-2711</v>
          </cell>
          <cell r="BA8093">
            <v>3.79</v>
          </cell>
        </row>
        <row r="8094">
          <cell r="C8094" t="str">
            <v>4508 - BITS/BLADES</v>
          </cell>
          <cell r="D8094" t="str">
            <v>MIL48-89-2733</v>
          </cell>
          <cell r="BA8094">
            <v>8.99</v>
          </cell>
        </row>
        <row r="8095">
          <cell r="C8095" t="str">
            <v>4508 - BITS/BLADES</v>
          </cell>
          <cell r="D8095" t="str">
            <v>MIL48-89-2737</v>
          </cell>
          <cell r="BA8095">
            <v>10.99</v>
          </cell>
        </row>
        <row r="8096">
          <cell r="C8096" t="str">
            <v>4508 - BITS/BLADES</v>
          </cell>
          <cell r="D8096" t="str">
            <v>MIL48-89-2717</v>
          </cell>
          <cell r="BA8096">
            <v>2.59</v>
          </cell>
        </row>
        <row r="8097">
          <cell r="C8097" t="str">
            <v>4508 - BITS/BLADES</v>
          </cell>
          <cell r="D8097" t="str">
            <v>MIL48-89-2735</v>
          </cell>
          <cell r="BA8097">
            <v>9.99</v>
          </cell>
        </row>
        <row r="8098">
          <cell r="C8098" t="str">
            <v>4508 - BITS/BLADES</v>
          </cell>
          <cell r="D8098" t="str">
            <v>MIL48-89-2727</v>
          </cell>
          <cell r="BA8098">
            <v>5.69</v>
          </cell>
        </row>
        <row r="8099">
          <cell r="C8099" t="str">
            <v>4508 - BITS/BLADES</v>
          </cell>
          <cell r="D8099" t="str">
            <v>MIL48-89-2731</v>
          </cell>
          <cell r="BA8099">
            <v>8.99</v>
          </cell>
        </row>
        <row r="8100">
          <cell r="C8100" t="str">
            <v>4508 - BITS/BLADES</v>
          </cell>
          <cell r="D8100" t="str">
            <v>MIL48-89-2715</v>
          </cell>
          <cell r="BA8100">
            <v>2.39</v>
          </cell>
        </row>
        <row r="8101">
          <cell r="C8101" t="str">
            <v>4508 - BITS/BLADES</v>
          </cell>
          <cell r="D8101" t="str">
            <v>MIL48-89-2721</v>
          </cell>
          <cell r="BA8101">
            <v>3.79</v>
          </cell>
        </row>
        <row r="8102">
          <cell r="C8102" t="str">
            <v>4508 - BITS/BLADES</v>
          </cell>
          <cell r="D8102" t="str">
            <v>MIL48-89-2723</v>
          </cell>
          <cell r="BA8102">
            <v>4.59</v>
          </cell>
        </row>
        <row r="8103">
          <cell r="C8103" t="str">
            <v>4508 - BITS/BLADES</v>
          </cell>
          <cell r="D8103" t="str">
            <v>MIL48-89-2725</v>
          </cell>
          <cell r="BA8103">
            <v>4.99</v>
          </cell>
        </row>
        <row r="8104">
          <cell r="C8104" t="str">
            <v>4508 - BITS/BLADES</v>
          </cell>
          <cell r="D8104" t="str">
            <v>MIL48-89-2713</v>
          </cell>
          <cell r="BA8104">
            <v>3.79</v>
          </cell>
        </row>
        <row r="8105">
          <cell r="C8105" t="str">
            <v>4508 - BITS/BLADES</v>
          </cell>
          <cell r="D8105" t="str">
            <v>MIL48-89-2729</v>
          </cell>
          <cell r="BA8105">
            <v>6.99</v>
          </cell>
        </row>
        <row r="8106">
          <cell r="C8106" t="str">
            <v>4508 - BITS/BLADES</v>
          </cell>
          <cell r="D8106" t="str">
            <v>FRDDD050DIA101F</v>
          </cell>
          <cell r="BA8106">
            <v>24.99</v>
          </cell>
        </row>
        <row r="8107">
          <cell r="C8107" t="str">
            <v>4508 - BITS/BLADES</v>
          </cell>
          <cell r="D8107" t="str">
            <v>FRDDD060DIA101F</v>
          </cell>
          <cell r="BA8107">
            <v>29.99</v>
          </cell>
        </row>
        <row r="8108">
          <cell r="C8108" t="str">
            <v>4508 - BITS/BLADES</v>
          </cell>
          <cell r="D8108" t="str">
            <v>FRDDD070DIA101F</v>
          </cell>
          <cell r="BA8108">
            <v>37.99</v>
          </cell>
        </row>
        <row r="8109">
          <cell r="C8109" t="str">
            <v>4508 - BITS/BLADES</v>
          </cell>
          <cell r="D8109" t="str">
            <v>FRDDD045DIA101F</v>
          </cell>
          <cell r="BA8109">
            <v>19.989999999999998</v>
          </cell>
        </row>
        <row r="8110">
          <cell r="C8110" t="str">
            <v>4508 - BITS/BLADES</v>
          </cell>
          <cell r="D8110" t="str">
            <v>MIL48-32-4772</v>
          </cell>
          <cell r="BA8110">
            <v>2.99</v>
          </cell>
        </row>
        <row r="8111">
          <cell r="C8111" t="str">
            <v>4508 - BITS/BLADES</v>
          </cell>
          <cell r="D8111" t="str">
            <v>STHT60083</v>
          </cell>
          <cell r="BA8111">
            <v>7.59</v>
          </cell>
        </row>
        <row r="8112">
          <cell r="C8112" t="str">
            <v>4508 - BITS/BLADES</v>
          </cell>
          <cell r="D8112" t="str">
            <v>FRDND050PADH01I</v>
          </cell>
          <cell r="BA8112">
            <v>5.99</v>
          </cell>
        </row>
        <row r="8113">
          <cell r="C8113" t="str">
            <v>4508 - BITS/BLADES</v>
          </cell>
          <cell r="D8113" t="str">
            <v>U280A</v>
          </cell>
          <cell r="BA8113">
            <v>9.99</v>
          </cell>
        </row>
        <row r="8114">
          <cell r="C8114" t="str">
            <v>4508 - BITS/BLADES</v>
          </cell>
          <cell r="D8114" t="str">
            <v>U3016A</v>
          </cell>
          <cell r="BA8114">
            <v>18.989999999999998</v>
          </cell>
        </row>
        <row r="8115">
          <cell r="C8115" t="str">
            <v>4508 - BITS/BLADES</v>
          </cell>
          <cell r="D8115" t="str">
            <v>SBUR22185A</v>
          </cell>
          <cell r="BA8115">
            <v>27.99</v>
          </cell>
        </row>
        <row r="8116">
          <cell r="C8116" t="str">
            <v>4508 - BITS/BLADES</v>
          </cell>
          <cell r="D8116" t="str">
            <v>SBUR23037</v>
          </cell>
          <cell r="BA8116">
            <v>12.99</v>
          </cell>
        </row>
        <row r="8117">
          <cell r="C8117" t="str">
            <v>4508 - BITS/BLADES</v>
          </cell>
          <cell r="D8117" t="str">
            <v>SBUR23337</v>
          </cell>
          <cell r="BA8117">
            <v>12.99</v>
          </cell>
        </row>
        <row r="8118">
          <cell r="C8118" t="str">
            <v>4508 - BITS/BLADES</v>
          </cell>
          <cell r="D8118" t="str">
            <v>SBUR248A</v>
          </cell>
          <cell r="BA8118">
            <v>10.99</v>
          </cell>
        </row>
        <row r="8119">
          <cell r="C8119" t="str">
            <v>4508 - BITS/BLADES</v>
          </cell>
          <cell r="D8119" t="str">
            <v>SBUR308A</v>
          </cell>
          <cell r="BA8119">
            <v>9.99</v>
          </cell>
        </row>
        <row r="8120">
          <cell r="C8120" t="str">
            <v>4508 - BITS/BLADES</v>
          </cell>
          <cell r="D8120" t="str">
            <v>SBUR072A</v>
          </cell>
          <cell r="BA8120">
            <v>8.69</v>
          </cell>
        </row>
        <row r="8121">
          <cell r="C8121" t="str">
            <v>4508 - BITS/BLADES</v>
          </cell>
          <cell r="D8121" t="str">
            <v>SBUR370A</v>
          </cell>
          <cell r="BA8121">
            <v>15.99</v>
          </cell>
        </row>
        <row r="8122">
          <cell r="C8122" t="str">
            <v>4508 - BITS/BLADES</v>
          </cell>
          <cell r="D8122" t="str">
            <v>SBUR412A</v>
          </cell>
          <cell r="BA8122">
            <v>16.989999999999998</v>
          </cell>
        </row>
        <row r="8123">
          <cell r="C8123" t="str">
            <v>4508 - BITS/BLADES</v>
          </cell>
          <cell r="D8123" t="str">
            <v>SBUR514A</v>
          </cell>
          <cell r="BA8123">
            <v>8.99</v>
          </cell>
        </row>
        <row r="8124">
          <cell r="C8124" t="str">
            <v>4508 - BITS/BLADES</v>
          </cell>
          <cell r="D8124" t="str">
            <v>SBUR134A</v>
          </cell>
          <cell r="BA8124">
            <v>9.99</v>
          </cell>
        </row>
        <row r="8125">
          <cell r="C8125" t="str">
            <v>4508 - BITS/BLADES</v>
          </cell>
          <cell r="D8125" t="str">
            <v>SBUR120A</v>
          </cell>
          <cell r="BA8125">
            <v>8.99</v>
          </cell>
        </row>
        <row r="8126">
          <cell r="C8126" t="str">
            <v>4508 - BITS/BLADES</v>
          </cell>
          <cell r="D8126" t="str">
            <v>SBUR008A4</v>
          </cell>
          <cell r="BA8126">
            <v>31.99</v>
          </cell>
        </row>
        <row r="8127">
          <cell r="C8127" t="str">
            <v>4508 - BITS/BLADES</v>
          </cell>
          <cell r="D8127" t="str">
            <v>SBUR256A</v>
          </cell>
          <cell r="BA8127">
            <v>11.99</v>
          </cell>
        </row>
        <row r="8128">
          <cell r="C8128" t="str">
            <v>4508 - BITS/BLADES</v>
          </cell>
          <cell r="D8128" t="str">
            <v>SBUR518A</v>
          </cell>
          <cell r="BA8128">
            <v>9.99</v>
          </cell>
        </row>
        <row r="8129">
          <cell r="C8129" t="str">
            <v>4508 - BITS/BLADES</v>
          </cell>
          <cell r="D8129" t="str">
            <v>SBUR362A</v>
          </cell>
          <cell r="BA8129">
            <v>13.99</v>
          </cell>
        </row>
        <row r="8130">
          <cell r="C8130" t="str">
            <v>4508 - BITS/BLADES</v>
          </cell>
          <cell r="D8130" t="str">
            <v>SBUR334A</v>
          </cell>
          <cell r="BA8130">
            <v>10.99</v>
          </cell>
        </row>
        <row r="8131">
          <cell r="C8131" t="str">
            <v>4508 - BITS/BLADES</v>
          </cell>
          <cell r="D8131" t="str">
            <v>SBUR444A</v>
          </cell>
          <cell r="BA8131">
            <v>16.989999999999998</v>
          </cell>
        </row>
        <row r="8132">
          <cell r="C8132" t="str">
            <v>4508 - BITS/BLADES</v>
          </cell>
          <cell r="D8132" t="str">
            <v>SBUR4016A</v>
          </cell>
          <cell r="BA8132">
            <v>14.99</v>
          </cell>
        </row>
        <row r="8133">
          <cell r="C8133" t="str">
            <v>4508 - BITS/BLADES</v>
          </cell>
          <cell r="D8133" t="str">
            <v>SBUR4248A</v>
          </cell>
          <cell r="BA8133">
            <v>12.99</v>
          </cell>
        </row>
        <row r="8134">
          <cell r="C8134" t="str">
            <v>4508 - BITS/BLADES</v>
          </cell>
          <cell r="D8134" t="str">
            <v>SBUR24984A</v>
          </cell>
          <cell r="BA8134">
            <v>25.99</v>
          </cell>
        </row>
        <row r="8135">
          <cell r="C8135" t="str">
            <v>4508 - BITS/BLADES</v>
          </cell>
          <cell r="D8135" t="str">
            <v>SBUR23336</v>
          </cell>
          <cell r="BA8135">
            <v>12.99</v>
          </cell>
        </row>
        <row r="8136">
          <cell r="C8136" t="str">
            <v>4508 - BITS/BLADES</v>
          </cell>
          <cell r="D8136" t="str">
            <v>SBUR016A4</v>
          </cell>
          <cell r="BA8136">
            <v>35.99</v>
          </cell>
        </row>
        <row r="8137">
          <cell r="C8137" t="str">
            <v>4508 - BITS/BLADES</v>
          </cell>
          <cell r="D8137" t="str">
            <v>U702A</v>
          </cell>
          <cell r="BA8137">
            <v>13.99</v>
          </cell>
        </row>
        <row r="8138">
          <cell r="C8138" t="str">
            <v>4508 - BITS/BLADES</v>
          </cell>
          <cell r="D8138" t="str">
            <v>DWA1206</v>
          </cell>
          <cell r="BA8138">
            <v>4.99</v>
          </cell>
        </row>
        <row r="8139">
          <cell r="C8139" t="str">
            <v>4508 - BITS/BLADES</v>
          </cell>
          <cell r="D8139" t="str">
            <v>U008A</v>
          </cell>
          <cell r="BA8139">
            <v>8.99</v>
          </cell>
        </row>
        <row r="8140">
          <cell r="C8140" t="str">
            <v>4508 - BITS/BLADES</v>
          </cell>
          <cell r="D8140" t="str">
            <v>U016A</v>
          </cell>
          <cell r="BA8140">
            <v>8.49</v>
          </cell>
        </row>
        <row r="8141">
          <cell r="C8141" t="str">
            <v>4508 - BITS/BLADES</v>
          </cell>
          <cell r="D8141" t="str">
            <v>U256A</v>
          </cell>
          <cell r="BA8141">
            <v>9.49</v>
          </cell>
        </row>
        <row r="8142">
          <cell r="C8142" t="str">
            <v>4508 - BITS/BLADES</v>
          </cell>
          <cell r="D8142" t="str">
            <v>U444A</v>
          </cell>
          <cell r="BA8142">
            <v>15.99</v>
          </cell>
        </row>
        <row r="8143">
          <cell r="C8143" t="str">
            <v>4508 - BITS/BLADES</v>
          </cell>
          <cell r="D8143" t="str">
            <v>U454A</v>
          </cell>
          <cell r="BA8143">
            <v>15.99</v>
          </cell>
        </row>
        <row r="8144">
          <cell r="C8144" t="str">
            <v>4508 - BITS/BLADES</v>
          </cell>
          <cell r="D8144" t="str">
            <v>U712A</v>
          </cell>
          <cell r="BA8144">
            <v>2.59</v>
          </cell>
        </row>
        <row r="8145">
          <cell r="C8145" t="str">
            <v>4508 - BITS/BLADES</v>
          </cell>
          <cell r="D8145" t="str">
            <v>U058A</v>
          </cell>
          <cell r="BA8145">
            <v>8.89</v>
          </cell>
        </row>
        <row r="8146">
          <cell r="C8146" t="str">
            <v>4508 - BITS/BLADES</v>
          </cell>
          <cell r="D8146" t="str">
            <v>IRW10239</v>
          </cell>
          <cell r="BA8146">
            <v>62.99</v>
          </cell>
        </row>
        <row r="8147">
          <cell r="C8147" t="str">
            <v>4508 - BITS/BLADES</v>
          </cell>
          <cell r="D8147" t="str">
            <v>IRW3071412</v>
          </cell>
          <cell r="BA8147">
            <v>6.99</v>
          </cell>
        </row>
        <row r="8148">
          <cell r="C8148" t="str">
            <v>4508 - BITS/BLADES</v>
          </cell>
          <cell r="D8148" t="str">
            <v>IRW3072314</v>
          </cell>
          <cell r="BA8148">
            <v>4.99</v>
          </cell>
        </row>
        <row r="8149">
          <cell r="C8149" t="str">
            <v>4508 - BITS/BLADES</v>
          </cell>
          <cell r="D8149" t="str">
            <v>IRW3072410D</v>
          </cell>
          <cell r="BA8149">
            <v>6.99</v>
          </cell>
        </row>
        <row r="8150">
          <cell r="C8150" t="str">
            <v>4508 - BITS/BLADES</v>
          </cell>
          <cell r="D8150" t="str">
            <v>IRW3072406</v>
          </cell>
          <cell r="BA8150">
            <v>6.99</v>
          </cell>
        </row>
        <row r="8151">
          <cell r="C8151" t="str">
            <v>4508 - BITS/BLADES</v>
          </cell>
          <cell r="D8151" t="str">
            <v>IRW3072412</v>
          </cell>
          <cell r="BA8151">
            <v>6.99</v>
          </cell>
        </row>
        <row r="8152">
          <cell r="C8152" t="str">
            <v>4508 - BITS/BLADES</v>
          </cell>
          <cell r="D8152" t="str">
            <v>NIBPI703</v>
          </cell>
          <cell r="BA8152">
            <v>45.69</v>
          </cell>
        </row>
        <row r="8153">
          <cell r="C8153" t="str">
            <v>4508 - BITS/BLADES</v>
          </cell>
          <cell r="D8153" t="str">
            <v>NIBBI247</v>
          </cell>
          <cell r="BA8153">
            <v>18.89</v>
          </cell>
        </row>
        <row r="8154">
          <cell r="C8154" t="str">
            <v>4508 - BITS/BLADES</v>
          </cell>
          <cell r="D8154" t="str">
            <v>NIBBI246</v>
          </cell>
          <cell r="BA8154">
            <v>15.59</v>
          </cell>
        </row>
        <row r="8155">
          <cell r="C8155" t="str">
            <v>4508 - BITS/BLADES</v>
          </cell>
          <cell r="D8155" t="str">
            <v>NIBBI245</v>
          </cell>
          <cell r="BA8155">
            <v>9.49</v>
          </cell>
        </row>
        <row r="8156">
          <cell r="C8156" t="str">
            <v>4508 - BITS/BLADES</v>
          </cell>
          <cell r="D8156" t="str">
            <v>DW2710</v>
          </cell>
          <cell r="BA8156">
            <v>6.99</v>
          </cell>
        </row>
        <row r="8157">
          <cell r="C8157" t="str">
            <v>4508 - BITS/BLADES</v>
          </cell>
          <cell r="D8157" t="str">
            <v>SPEA0122</v>
          </cell>
          <cell r="BA8157">
            <v>6.49</v>
          </cell>
        </row>
        <row r="8158">
          <cell r="C8158" t="str">
            <v>4509 - TOOLS &amp; SUPPLIES</v>
          </cell>
          <cell r="D8158" t="str">
            <v>SPPC1152</v>
          </cell>
          <cell r="BA8158">
            <v>132.99</v>
          </cell>
        </row>
        <row r="8159">
          <cell r="C8159" t="str">
            <v>4509 - TOOLS &amp; SUPPLIES</v>
          </cell>
          <cell r="D8159" t="str">
            <v>OSC23565</v>
          </cell>
          <cell r="BA8159">
            <v>9.99</v>
          </cell>
        </row>
        <row r="8160">
          <cell r="C8160" t="str">
            <v>4509 - TOOLS &amp; SUPPLIES</v>
          </cell>
          <cell r="D8160" t="str">
            <v>FRDDG300B</v>
          </cell>
          <cell r="BA8160">
            <v>5.69</v>
          </cell>
        </row>
        <row r="8161">
          <cell r="C8161" t="str">
            <v>4509 - TOOLS &amp; SUPPLIES</v>
          </cell>
          <cell r="D8161" t="str">
            <v>FRDBH238QCB</v>
          </cell>
          <cell r="BA8161">
            <v>6.99</v>
          </cell>
        </row>
        <row r="8162">
          <cell r="C8162" t="str">
            <v>4509 - TOOLS &amp; SUPPLIES</v>
          </cell>
          <cell r="D8162" t="str">
            <v>FRDBH300B</v>
          </cell>
          <cell r="BA8162">
            <v>5.69</v>
          </cell>
        </row>
        <row r="8163">
          <cell r="C8163" t="str">
            <v>4509 - TOOLS &amp; SUPPLIES</v>
          </cell>
          <cell r="D8163" t="str">
            <v>FRDBH600B</v>
          </cell>
          <cell r="BA8163">
            <v>8.69</v>
          </cell>
        </row>
        <row r="8164">
          <cell r="C8164" t="str">
            <v>4509 - TOOLS &amp; SUPPLIES</v>
          </cell>
          <cell r="D8164" t="str">
            <v>FRDSA0500B</v>
          </cell>
          <cell r="BA8164">
            <v>5.39</v>
          </cell>
        </row>
        <row r="8165">
          <cell r="C8165" t="str">
            <v>4509 - TOOLS &amp; SUPPLIES</v>
          </cell>
          <cell r="D8165" t="str">
            <v>FRDSA0375B</v>
          </cell>
          <cell r="BA8165">
            <v>4.29</v>
          </cell>
        </row>
        <row r="8166">
          <cell r="C8166" t="str">
            <v>4509 - TOOLS &amp; SUPPLIES</v>
          </cell>
          <cell r="D8166" t="str">
            <v>FRDSA0250B</v>
          </cell>
          <cell r="BA8166">
            <v>2.99</v>
          </cell>
        </row>
        <row r="8167">
          <cell r="C8167" t="str">
            <v>4509 - TOOLS &amp; SUPPLIES</v>
          </cell>
          <cell r="D8167" t="str">
            <v>DAP12328</v>
          </cell>
          <cell r="BA8167">
            <v>7.59</v>
          </cell>
        </row>
        <row r="8168">
          <cell r="C8168" t="str">
            <v>4509 - TOOLS &amp; SUPPLIES</v>
          </cell>
          <cell r="D8168" t="str">
            <v>DAP12330</v>
          </cell>
          <cell r="BA8168">
            <v>12.99</v>
          </cell>
        </row>
        <row r="8169">
          <cell r="C8169" t="str">
            <v>4509 - TOOLS &amp; SUPPLIES</v>
          </cell>
          <cell r="D8169" t="str">
            <v>CAULKAWAYRT</v>
          </cell>
          <cell r="BA8169">
            <v>6.49</v>
          </cell>
        </row>
        <row r="8170">
          <cell r="C8170" t="str">
            <v>4509 - TOOLS &amp; SUPPLIES</v>
          </cell>
          <cell r="D8170" t="str">
            <v>NS13248</v>
          </cell>
          <cell r="BA8170">
            <v>6.79</v>
          </cell>
        </row>
        <row r="8171">
          <cell r="C8171" t="str">
            <v>4509 - TOOLS &amp; SUPPLIES</v>
          </cell>
          <cell r="D8171" t="str">
            <v>DDRRA</v>
          </cell>
          <cell r="BA8171">
            <v>20.59</v>
          </cell>
        </row>
        <row r="8172">
          <cell r="C8172" t="str">
            <v>4509 - TOOLS &amp; SUPPLIES</v>
          </cell>
          <cell r="D8172" t="str">
            <v>34PS200</v>
          </cell>
          <cell r="BA8172">
            <v>59.99</v>
          </cell>
        </row>
        <row r="8173">
          <cell r="C8173" t="str">
            <v>4509 - TOOLS &amp; SUPPLIES</v>
          </cell>
          <cell r="D8173" t="str">
            <v>MONOSTRAP15</v>
          </cell>
          <cell r="BA8173">
            <v>3.09</v>
          </cell>
        </row>
        <row r="8174">
          <cell r="C8174" t="str">
            <v>4509 - TOOLS &amp; SUPPLIES</v>
          </cell>
          <cell r="D8174" t="str">
            <v>MONOSTRAP19</v>
          </cell>
          <cell r="BA8174">
            <v>3.69</v>
          </cell>
        </row>
        <row r="8175">
          <cell r="C8175" t="str">
            <v>4509 - TOOLS &amp; SUPPLIES</v>
          </cell>
          <cell r="D8175" t="str">
            <v>MONOSTRAP23</v>
          </cell>
          <cell r="BA8175">
            <v>1.99</v>
          </cell>
        </row>
        <row r="8176">
          <cell r="C8176" t="str">
            <v>4509 - TOOLS &amp; SUPPLIES</v>
          </cell>
          <cell r="D8176" t="str">
            <v>QC00500</v>
          </cell>
          <cell r="BA8176">
            <v>39.99</v>
          </cell>
        </row>
        <row r="8177">
          <cell r="C8177" t="str">
            <v>4509 - TOOLS &amp; SUPPLIES</v>
          </cell>
          <cell r="D8177" t="str">
            <v>NEB-WLT-1003</v>
          </cell>
          <cell r="BA8177">
            <v>43.29</v>
          </cell>
        </row>
        <row r="8178">
          <cell r="C8178" t="str">
            <v>4509 - TOOLS &amp; SUPPLIES</v>
          </cell>
          <cell r="D8178" t="str">
            <v>RA75060</v>
          </cell>
          <cell r="BA8178">
            <v>12.99</v>
          </cell>
        </row>
        <row r="8179">
          <cell r="C8179" t="str">
            <v>4509 - TOOLS &amp; SUPPLIES</v>
          </cell>
          <cell r="D8179" t="str">
            <v>SPPC0477</v>
          </cell>
          <cell r="BA8179">
            <v>1.19</v>
          </cell>
        </row>
        <row r="8180">
          <cell r="C8180" t="str">
            <v>4509 - TOOLS &amp; SUPPLIES</v>
          </cell>
          <cell r="D8180" t="str">
            <v>PC0505</v>
          </cell>
          <cell r="BA8180">
            <v>14.09</v>
          </cell>
        </row>
        <row r="8181">
          <cell r="C8181" t="str">
            <v>4509 - TOOLS &amp; SUPPLIES</v>
          </cell>
          <cell r="D8181" t="str">
            <v>SPPC0503</v>
          </cell>
          <cell r="BA8181">
            <v>2.4900000000000002</v>
          </cell>
        </row>
        <row r="8182">
          <cell r="C8182" t="str">
            <v>4509 - TOOLS &amp; SUPPLIES</v>
          </cell>
          <cell r="D8182" t="str">
            <v>HREPAIR-38</v>
          </cell>
          <cell r="BA8182">
            <v>9.99</v>
          </cell>
        </row>
        <row r="8183">
          <cell r="C8183" t="str">
            <v>4509 - TOOLS &amp; SUPPLIES</v>
          </cell>
          <cell r="D8183" t="str">
            <v>40903</v>
          </cell>
          <cell r="BA8183">
            <v>23.35</v>
          </cell>
        </row>
        <row r="8184">
          <cell r="C8184" t="str">
            <v>4509 - TOOLS &amp; SUPPLIES</v>
          </cell>
          <cell r="D8184" t="str">
            <v>TIRE-14F</v>
          </cell>
          <cell r="BA8184">
            <v>3.79</v>
          </cell>
        </row>
        <row r="8185">
          <cell r="C8185" t="str">
            <v>4509 - TOOLS &amp; SUPPLIES</v>
          </cell>
          <cell r="D8185" t="str">
            <v>PC0700</v>
          </cell>
          <cell r="BA8185">
            <v>52.99</v>
          </cell>
        </row>
        <row r="8186">
          <cell r="C8186" t="str">
            <v>4509 - TOOLS &amp; SUPPLIES</v>
          </cell>
          <cell r="D8186" t="str">
            <v>BTFP72333</v>
          </cell>
          <cell r="BA8186">
            <v>5.99</v>
          </cell>
        </row>
        <row r="8187">
          <cell r="C8187" t="str">
            <v>4509 - TOOLS &amp; SUPPLIES</v>
          </cell>
          <cell r="D8187" t="str">
            <v>BTFP72320</v>
          </cell>
          <cell r="BA8187">
            <v>8.99</v>
          </cell>
        </row>
        <row r="8188">
          <cell r="C8188" t="str">
            <v>4509 - TOOLS &amp; SUPPLIES</v>
          </cell>
          <cell r="D8188" t="str">
            <v>BTFP72321</v>
          </cell>
          <cell r="BA8188">
            <v>8.99</v>
          </cell>
        </row>
        <row r="8189">
          <cell r="C8189" t="str">
            <v>4509 - TOOLS &amp; SUPPLIES</v>
          </cell>
          <cell r="D8189" t="str">
            <v>BTFP72330</v>
          </cell>
          <cell r="BA8189">
            <v>11.99</v>
          </cell>
        </row>
        <row r="8190">
          <cell r="C8190" t="str">
            <v>4509 - TOOLS &amp; SUPPLIES</v>
          </cell>
          <cell r="D8190" t="str">
            <v>SP4H0101N</v>
          </cell>
          <cell r="BA8190">
            <v>279.99</v>
          </cell>
        </row>
        <row r="8191">
          <cell r="C8191" t="str">
            <v>4509 - TOOLS &amp; SUPPLIES</v>
          </cell>
          <cell r="D8191" t="str">
            <v>METNR65AK2M</v>
          </cell>
          <cell r="BA8191">
            <v>379.99</v>
          </cell>
        </row>
        <row r="8192">
          <cell r="C8192" t="str">
            <v>4509 - TOOLS &amp; SUPPLIES</v>
          </cell>
          <cell r="D8192" t="str">
            <v>PC0350</v>
          </cell>
          <cell r="BA8192">
            <v>9.99</v>
          </cell>
        </row>
        <row r="8193">
          <cell r="C8193" t="str">
            <v>4509 - TOOLS &amp; SUPPLIES</v>
          </cell>
          <cell r="D8193" t="str">
            <v>KP05524</v>
          </cell>
          <cell r="BA8193">
            <v>18.989999999999998</v>
          </cell>
        </row>
        <row r="8194">
          <cell r="C8194" t="str">
            <v>4509 - TOOLS &amp; SUPPLIES</v>
          </cell>
          <cell r="D8194" t="str">
            <v>SL81</v>
          </cell>
          <cell r="BA8194">
            <v>35.99</v>
          </cell>
        </row>
        <row r="8195">
          <cell r="C8195" t="str">
            <v>4509 - TOOLS &amp; SUPPLIES</v>
          </cell>
          <cell r="D8195" t="str">
            <v>BP27LS11L4P</v>
          </cell>
          <cell r="BA8195">
            <v>16.989999999999998</v>
          </cell>
        </row>
        <row r="8196">
          <cell r="C8196" t="str">
            <v>4509 - TOOLS &amp; SUPPLIES</v>
          </cell>
          <cell r="D8196" t="str">
            <v>L33WL</v>
          </cell>
          <cell r="BA8196">
            <v>32.99</v>
          </cell>
        </row>
        <row r="8197">
          <cell r="C8197" t="str">
            <v>4509 - TOOLS &amp; SUPPLIES</v>
          </cell>
          <cell r="D8197" t="str">
            <v>NEB-FLT-1041</v>
          </cell>
          <cell r="BA8197">
            <v>21.99</v>
          </cell>
        </row>
        <row r="8198">
          <cell r="C8198" t="str">
            <v>4509 - TOOLS &amp; SUPPLIES</v>
          </cell>
          <cell r="D8198" t="str">
            <v>NEB-WLT-0031</v>
          </cell>
          <cell r="BA8198">
            <v>59.99</v>
          </cell>
        </row>
        <row r="8199">
          <cell r="C8199" t="str">
            <v>4509 - TOOLS &amp; SUPPLIES</v>
          </cell>
          <cell r="D8199" t="str">
            <v>NEBO6526</v>
          </cell>
          <cell r="BA8199">
            <v>16.79</v>
          </cell>
        </row>
        <row r="8200">
          <cell r="C8200" t="str">
            <v>4509 - TOOLS &amp; SUPPLIES</v>
          </cell>
          <cell r="D8200" t="str">
            <v>NEBO6540R</v>
          </cell>
          <cell r="BA8200">
            <v>7.09</v>
          </cell>
        </row>
        <row r="8201">
          <cell r="C8201" t="str">
            <v>4509 - TOOLS &amp; SUPPLIES</v>
          </cell>
          <cell r="D8201" t="str">
            <v>NEBWLT0018</v>
          </cell>
          <cell r="BA8201">
            <v>7.09</v>
          </cell>
        </row>
        <row r="8202">
          <cell r="C8202" t="str">
            <v>4509 - TOOLS &amp; SUPPLIES</v>
          </cell>
          <cell r="D8202" t="str">
            <v>SA2815</v>
          </cell>
          <cell r="BA8202">
            <v>25.89</v>
          </cell>
        </row>
        <row r="8203">
          <cell r="C8203" t="str">
            <v>4509 - TOOLS &amp; SUPPLIES</v>
          </cell>
          <cell r="D8203" t="str">
            <v>69PTBJ0010C</v>
          </cell>
          <cell r="BA8203">
            <v>55.99</v>
          </cell>
        </row>
        <row r="8204">
          <cell r="C8204" t="str">
            <v>4509 - TOOLS &amp; SUPPLIES</v>
          </cell>
          <cell r="D8204" t="str">
            <v>69PTKG1096</v>
          </cell>
          <cell r="BA8204">
            <v>39.99</v>
          </cell>
        </row>
        <row r="8205">
          <cell r="C8205" t="str">
            <v>4509 - TOOLS &amp; SUPPLIES</v>
          </cell>
          <cell r="D8205" t="str">
            <v>69PTKD0009</v>
          </cell>
          <cell r="BA8205">
            <v>19.989999999999998</v>
          </cell>
        </row>
        <row r="8206">
          <cell r="C8206" t="str">
            <v>4509 - TOOLS &amp; SUPPLIES</v>
          </cell>
          <cell r="D8206" t="str">
            <v>69PTKPCRR</v>
          </cell>
          <cell r="BA8206">
            <v>29.99</v>
          </cell>
        </row>
        <row r="8207">
          <cell r="C8207" t="str">
            <v>4509 - TOOLS &amp; SUPPLIES</v>
          </cell>
          <cell r="D8207" t="str">
            <v>69PTKH0014C</v>
          </cell>
          <cell r="BA8207">
            <v>49.99</v>
          </cell>
        </row>
        <row r="8208">
          <cell r="C8208" t="str">
            <v>4509 - TOOLS &amp; SUPPLIES</v>
          </cell>
          <cell r="D8208" t="str">
            <v>69PTKC001</v>
          </cell>
          <cell r="BA8208">
            <v>9.99</v>
          </cell>
        </row>
        <row r="8209">
          <cell r="C8209" t="str">
            <v>4509 - TOOLS &amp; SUPPLIES</v>
          </cell>
          <cell r="D8209" t="str">
            <v>F31212251</v>
          </cell>
          <cell r="BA8209">
            <v>0.01</v>
          </cell>
        </row>
        <row r="8210">
          <cell r="C8210" t="str">
            <v>4509 - TOOLS &amp; SUPPLIES</v>
          </cell>
          <cell r="D8210" t="str">
            <v>MIN364863L</v>
          </cell>
          <cell r="BA8210">
            <v>13.99</v>
          </cell>
        </row>
        <row r="8211">
          <cell r="C8211" t="str">
            <v>4509 - TOOLS &amp; SUPPLIES</v>
          </cell>
          <cell r="D8211" t="str">
            <v>SUP35078</v>
          </cell>
          <cell r="BA8211">
            <v>13.99</v>
          </cell>
        </row>
        <row r="8212">
          <cell r="C8212" t="str">
            <v>4509 - TOOLS &amp; SUPPLIES</v>
          </cell>
          <cell r="D8212" t="str">
            <v>MIL49-66-4532</v>
          </cell>
          <cell r="BA8212">
            <v>5.69</v>
          </cell>
        </row>
        <row r="8213">
          <cell r="C8213" t="str">
            <v>4509 - TOOLS &amp; SUPPLIES</v>
          </cell>
          <cell r="D8213" t="str">
            <v>QUIKSTIK</v>
          </cell>
          <cell r="BA8213">
            <v>228.99</v>
          </cell>
        </row>
        <row r="8214">
          <cell r="C8214" t="str">
            <v>4509 - TOOLS &amp; SUPPLIES</v>
          </cell>
          <cell r="D8214" t="str">
            <v>DW2304</v>
          </cell>
          <cell r="BA8214">
            <v>6.49</v>
          </cell>
        </row>
        <row r="8215">
          <cell r="C8215" t="str">
            <v>4509 - TOOLS &amp; SUPPLIES</v>
          </cell>
          <cell r="D8215" t="str">
            <v>ST20600</v>
          </cell>
          <cell r="BA8215">
            <v>19.989999999999998</v>
          </cell>
        </row>
        <row r="8216">
          <cell r="C8216" t="str">
            <v>4509 - TOOLS &amp; SUPPLIES</v>
          </cell>
          <cell r="D8216" t="str">
            <v>DW2542</v>
          </cell>
          <cell r="BA8216">
            <v>3.29</v>
          </cell>
        </row>
        <row r="8217">
          <cell r="C8217" t="str">
            <v>4509 - TOOLS &amp; SUPPLIES</v>
          </cell>
          <cell r="D8217" t="str">
            <v>JO3872</v>
          </cell>
          <cell r="BA8217">
            <v>59.99</v>
          </cell>
        </row>
        <row r="8218">
          <cell r="C8218" t="str">
            <v>4509 - TOOLS &amp; SUPPLIES</v>
          </cell>
          <cell r="D8218" t="str">
            <v>MIN16921</v>
          </cell>
          <cell r="BA8218">
            <v>8.69</v>
          </cell>
        </row>
        <row r="8219">
          <cell r="C8219" t="str">
            <v>4509 - TOOLS &amp; SUPPLIES</v>
          </cell>
          <cell r="D8219" t="str">
            <v>T0101</v>
          </cell>
          <cell r="BA8219">
            <v>11.99</v>
          </cell>
        </row>
        <row r="8220">
          <cell r="C8220" t="str">
            <v>4509 - TOOLS &amp; SUPPLIES</v>
          </cell>
          <cell r="D8220" t="str">
            <v>MIL2990</v>
          </cell>
          <cell r="BA8220">
            <v>10.99</v>
          </cell>
        </row>
        <row r="8221">
          <cell r="C8221" t="str">
            <v>4509 - TOOLS &amp; SUPPLIES</v>
          </cell>
          <cell r="D8221" t="str">
            <v>WA221</v>
          </cell>
          <cell r="BA8221">
            <v>6.19</v>
          </cell>
        </row>
        <row r="8222">
          <cell r="C8222" t="str">
            <v>4509 - TOOLS &amp; SUPPLIES</v>
          </cell>
          <cell r="D8222" t="str">
            <v>CR06601N</v>
          </cell>
          <cell r="BA8222">
            <v>8.99</v>
          </cell>
        </row>
        <row r="8223">
          <cell r="C8223" t="str">
            <v>4509 - TOOLS &amp; SUPPLIES</v>
          </cell>
          <cell r="D8223" t="str">
            <v>MIN15003</v>
          </cell>
          <cell r="BA8223">
            <v>6.99</v>
          </cell>
        </row>
        <row r="8224">
          <cell r="C8224" t="str">
            <v>4509 - TOOLS &amp; SUPPLIES</v>
          </cell>
          <cell r="D8224" t="str">
            <v>MIL49-56-0032</v>
          </cell>
          <cell r="BA8224">
            <v>11.99</v>
          </cell>
        </row>
        <row r="8225">
          <cell r="C8225" t="str">
            <v>4509 - TOOLS &amp; SUPPLIES</v>
          </cell>
          <cell r="D8225" t="str">
            <v>60-002</v>
          </cell>
          <cell r="BA8225">
            <v>3.49</v>
          </cell>
        </row>
        <row r="8226">
          <cell r="C8226" t="str">
            <v>4509 - TOOLS &amp; SUPPLIES</v>
          </cell>
          <cell r="D8226" t="str">
            <v>33-207</v>
          </cell>
          <cell r="BA8226">
            <v>18.989999999999998</v>
          </cell>
        </row>
        <row r="8227">
          <cell r="C8227" t="str">
            <v>4509 - TOOLS &amp; SUPPLIES</v>
          </cell>
          <cell r="D8227" t="str">
            <v>JO4500M</v>
          </cell>
          <cell r="BA8227">
            <v>10.39</v>
          </cell>
        </row>
        <row r="8228">
          <cell r="C8228" t="str">
            <v>4509 - TOOLS &amp; SUPPLIES</v>
          </cell>
          <cell r="D8228" t="str">
            <v>ST10817</v>
          </cell>
          <cell r="BA8228">
            <v>17.989999999999998</v>
          </cell>
        </row>
        <row r="8229">
          <cell r="C8229" t="str">
            <v>4509 - TOOLS &amp; SUPPLIES</v>
          </cell>
          <cell r="D8229" t="str">
            <v>28-510</v>
          </cell>
          <cell r="BA8229">
            <v>3.29</v>
          </cell>
        </row>
        <row r="8230">
          <cell r="C8230" t="str">
            <v>4509 - TOOLS &amp; SUPPLIES</v>
          </cell>
          <cell r="D8230" t="str">
            <v>3M7093HB1C</v>
          </cell>
          <cell r="BA8230">
            <v>29.99</v>
          </cell>
        </row>
        <row r="8231">
          <cell r="C8231" t="str">
            <v>4509 - TOOLS &amp; SUPPLIES</v>
          </cell>
          <cell r="D8231" t="str">
            <v>QC2560</v>
          </cell>
          <cell r="BA8231">
            <v>64.989999999999995</v>
          </cell>
        </row>
        <row r="8232">
          <cell r="C8232" t="str">
            <v>4509 - TOOLS &amp; SUPPLIES</v>
          </cell>
          <cell r="D8232" t="str">
            <v>LEN20584S110R</v>
          </cell>
          <cell r="BA8232">
            <v>7.99</v>
          </cell>
        </row>
        <row r="8233">
          <cell r="C8233" t="str">
            <v>4509 - TOOLS &amp; SUPPLIES</v>
          </cell>
          <cell r="D8233" t="str">
            <v>MIN36707</v>
          </cell>
          <cell r="BA8233">
            <v>8.69</v>
          </cell>
        </row>
        <row r="8234">
          <cell r="C8234" t="str">
            <v>4509 - TOOLS &amp; SUPPLIES</v>
          </cell>
          <cell r="D8234" t="str">
            <v>1010-03825-50</v>
          </cell>
          <cell r="BA8234">
            <v>52.99</v>
          </cell>
        </row>
        <row r="8235">
          <cell r="C8235" t="str">
            <v>4509 - TOOLS &amp; SUPPLIES</v>
          </cell>
          <cell r="D8235" t="str">
            <v>STR11412</v>
          </cell>
          <cell r="BA8235">
            <v>10.99</v>
          </cell>
        </row>
        <row r="8236">
          <cell r="C8236" t="str">
            <v>4509 - TOOLS &amp; SUPPLIES</v>
          </cell>
          <cell r="D8236" t="str">
            <v>MIN36053</v>
          </cell>
          <cell r="BA8236">
            <v>13.99</v>
          </cell>
        </row>
        <row r="8237">
          <cell r="C8237" t="str">
            <v>4509 - TOOLS &amp; SUPPLIES</v>
          </cell>
          <cell r="D8237" t="str">
            <v>DW8062</v>
          </cell>
          <cell r="BA8237">
            <v>3.99</v>
          </cell>
        </row>
        <row r="8238">
          <cell r="C8238" t="str">
            <v>4509 - TOOLS &amp; SUPPLIES</v>
          </cell>
          <cell r="D8238" t="str">
            <v>DAS334-0</v>
          </cell>
          <cell r="BA8238">
            <v>10.19</v>
          </cell>
        </row>
        <row r="8239">
          <cell r="C8239" t="str">
            <v>4509 - TOOLS &amp; SUPPLIES</v>
          </cell>
          <cell r="D8239" t="str">
            <v>MIN16100</v>
          </cell>
          <cell r="BA8239">
            <v>17.989999999999998</v>
          </cell>
        </row>
        <row r="8240">
          <cell r="C8240" t="str">
            <v>4509 - TOOLS &amp; SUPPLIES</v>
          </cell>
          <cell r="D8240" t="str">
            <v>10-509</v>
          </cell>
          <cell r="BA8240">
            <v>6.99</v>
          </cell>
        </row>
        <row r="8241">
          <cell r="C8241" t="str">
            <v>4509 - TOOLS &amp; SUPPLIES</v>
          </cell>
          <cell r="D8241" t="str">
            <v>GT71264</v>
          </cell>
          <cell r="BA8241">
            <v>10.99</v>
          </cell>
        </row>
        <row r="8242">
          <cell r="C8242" t="str">
            <v>4509 - TOOLS &amp; SUPPLIES</v>
          </cell>
          <cell r="D8242" t="str">
            <v>MILEM81.9</v>
          </cell>
          <cell r="BA8242">
            <v>12.99</v>
          </cell>
        </row>
        <row r="8243">
          <cell r="C8243" t="str">
            <v>4509 - TOOLS &amp; SUPPLIES</v>
          </cell>
          <cell r="D8243" t="str">
            <v>STR25012</v>
          </cell>
          <cell r="BA8243">
            <v>6.49</v>
          </cell>
        </row>
        <row r="8244">
          <cell r="C8244" t="str">
            <v>4509 - TOOLS &amp; SUPPLIES</v>
          </cell>
          <cell r="D8244" t="str">
            <v>3M8511PA12AR85</v>
          </cell>
          <cell r="BA8244">
            <v>9.99</v>
          </cell>
        </row>
        <row r="8245">
          <cell r="C8245" t="str">
            <v>4509 - TOOLS &amp; SUPPLIES</v>
          </cell>
          <cell r="D8245" t="str">
            <v>EKL25911</v>
          </cell>
          <cell r="BA8245">
            <v>11.99</v>
          </cell>
        </row>
        <row r="8246">
          <cell r="C8246" t="str">
            <v>4509 - TOOLS &amp; SUPPLIES</v>
          </cell>
          <cell r="D8246" t="str">
            <v>JORAS-70B-ORANGE</v>
          </cell>
          <cell r="BA8246">
            <v>4.99</v>
          </cell>
        </row>
        <row r="8247">
          <cell r="C8247" t="str">
            <v>4509 - TOOLS &amp; SUPPLIES</v>
          </cell>
          <cell r="D8247" t="str">
            <v>MT143</v>
          </cell>
          <cell r="BA8247">
            <v>37.99</v>
          </cell>
        </row>
        <row r="8248">
          <cell r="C8248" t="str">
            <v>4509 - TOOLS &amp; SUPPLIES</v>
          </cell>
          <cell r="D8248" t="str">
            <v>MTPT164B</v>
          </cell>
          <cell r="BA8248">
            <v>29.99</v>
          </cell>
        </row>
        <row r="8249">
          <cell r="C8249" t="str">
            <v>4509 - TOOLS &amp; SUPPLIES</v>
          </cell>
          <cell r="D8249" t="str">
            <v>MIL418-48</v>
          </cell>
          <cell r="BA8249">
            <v>34.99</v>
          </cell>
        </row>
        <row r="8250">
          <cell r="C8250" t="str">
            <v>4509 - TOOLS &amp; SUPPLIES</v>
          </cell>
          <cell r="D8250" t="str">
            <v>ITW84003</v>
          </cell>
          <cell r="BA8250">
            <v>6.99</v>
          </cell>
        </row>
        <row r="8251">
          <cell r="C8251" t="str">
            <v>4509 - TOOLS &amp; SUPPLIES</v>
          </cell>
          <cell r="D8251" t="str">
            <v>JO3848</v>
          </cell>
          <cell r="BA8251">
            <v>34.99</v>
          </cell>
        </row>
        <row r="8252">
          <cell r="C8252" t="str">
            <v>4509 - TOOLS &amp; SUPPLIES</v>
          </cell>
          <cell r="D8252" t="str">
            <v>MILTI14MC</v>
          </cell>
          <cell r="BA8252">
            <v>109.99</v>
          </cell>
        </row>
        <row r="8253">
          <cell r="C8253" t="str">
            <v>4509 - TOOLS &amp; SUPPLIES</v>
          </cell>
          <cell r="D8253" t="str">
            <v>MIN36051</v>
          </cell>
          <cell r="BA8253">
            <v>10.99</v>
          </cell>
        </row>
        <row r="8254">
          <cell r="C8254" t="str">
            <v>4509 - TOOLS &amp; SUPPLIES</v>
          </cell>
          <cell r="D8254" t="str">
            <v>CLC5122</v>
          </cell>
          <cell r="BA8254">
            <v>42.99</v>
          </cell>
        </row>
        <row r="8255">
          <cell r="C8255" t="str">
            <v>4509 - TOOLS &amp; SUPPLIES</v>
          </cell>
          <cell r="D8255" t="str">
            <v>JO420EM</v>
          </cell>
          <cell r="BA8255">
            <v>21.99</v>
          </cell>
        </row>
        <row r="8256">
          <cell r="C8256" t="str">
            <v>4509 - TOOLS &amp; SUPPLIES</v>
          </cell>
          <cell r="D8256" t="str">
            <v>MINMT6545016</v>
          </cell>
          <cell r="BA8256">
            <v>5.99</v>
          </cell>
        </row>
        <row r="8257">
          <cell r="C8257" t="str">
            <v>4509 - TOOLS &amp; SUPPLIES</v>
          </cell>
          <cell r="D8257" t="str">
            <v>MIL93-3</v>
          </cell>
          <cell r="BA8257">
            <v>6.49</v>
          </cell>
        </row>
        <row r="8258">
          <cell r="C8258" t="str">
            <v>4509 - TOOLS &amp; SUPPLIES</v>
          </cell>
          <cell r="D8258" t="str">
            <v>SB80111</v>
          </cell>
          <cell r="BA8258">
            <v>8.99</v>
          </cell>
        </row>
        <row r="8259">
          <cell r="C8259" t="str">
            <v>4509 - TOOLS &amp; SUPPLIES</v>
          </cell>
          <cell r="D8259" t="str">
            <v>ITW84004</v>
          </cell>
          <cell r="BA8259">
            <v>6.99</v>
          </cell>
        </row>
        <row r="8260">
          <cell r="C8260" t="str">
            <v>4509 - TOOLS &amp; SUPPLIES</v>
          </cell>
          <cell r="D8260" t="str">
            <v>33-516</v>
          </cell>
          <cell r="BA8260">
            <v>14.99</v>
          </cell>
        </row>
        <row r="8261">
          <cell r="C8261" t="str">
            <v>4509 - TOOLS &amp; SUPPLIES</v>
          </cell>
          <cell r="D8261" t="str">
            <v>MIN36052</v>
          </cell>
          <cell r="BA8261">
            <v>11.99</v>
          </cell>
        </row>
        <row r="8262">
          <cell r="C8262" t="str">
            <v>4509 - TOOLS &amp; SUPPLIES</v>
          </cell>
          <cell r="D8262" t="str">
            <v>DIX49300</v>
          </cell>
          <cell r="BA8262">
            <v>1.69</v>
          </cell>
        </row>
        <row r="8263">
          <cell r="C8263" t="str">
            <v>4509 - TOOLS &amp; SUPPLIES</v>
          </cell>
          <cell r="D8263" t="str">
            <v>VB250RBD</v>
          </cell>
          <cell r="BA8263">
            <v>22.99</v>
          </cell>
        </row>
        <row r="8264">
          <cell r="C8264" t="str">
            <v>4509 - TOOLS &amp; SUPPLIES</v>
          </cell>
          <cell r="D8264" t="str">
            <v>CRPHV1425D</v>
          </cell>
          <cell r="BA8264">
            <v>19.989999999999998</v>
          </cell>
        </row>
        <row r="8265">
          <cell r="C8265" t="str">
            <v>4509 - TOOLS &amp; SUPPLIES</v>
          </cell>
          <cell r="D8265" t="str">
            <v>ST47487L</v>
          </cell>
          <cell r="BA8265">
            <v>18.39</v>
          </cell>
        </row>
        <row r="8266">
          <cell r="C8266" t="str">
            <v>4509 - TOOLS &amp; SUPPLIES</v>
          </cell>
          <cell r="D8266" t="str">
            <v>HUL650120</v>
          </cell>
          <cell r="BA8266">
            <v>9.99</v>
          </cell>
        </row>
        <row r="8267">
          <cell r="C8267" t="str">
            <v>4509 - TOOLS &amp; SUPPLIES</v>
          </cell>
          <cell r="D8267" t="str">
            <v>HUL650110</v>
          </cell>
          <cell r="BA8267">
            <v>9.99</v>
          </cell>
        </row>
        <row r="8268">
          <cell r="C8268" t="str">
            <v>4509 - TOOLS &amp; SUPPLIES</v>
          </cell>
          <cell r="D8268" t="str">
            <v>HUL650100</v>
          </cell>
          <cell r="BA8268">
            <v>15.99</v>
          </cell>
        </row>
        <row r="8269">
          <cell r="C8269" t="str">
            <v>4509 - TOOLS &amp; SUPPLIES</v>
          </cell>
          <cell r="D8269" t="str">
            <v>MILSTLHDL-C</v>
          </cell>
          <cell r="BA8269">
            <v>21.99</v>
          </cell>
        </row>
        <row r="8270">
          <cell r="C8270" t="str">
            <v>4509 - TOOLS &amp; SUPPLIES</v>
          </cell>
          <cell r="D8270" t="str">
            <v>MILSTLHDL-S</v>
          </cell>
          <cell r="BA8270">
            <v>18.989999999999998</v>
          </cell>
        </row>
        <row r="8271">
          <cell r="C8271" t="str">
            <v>4509 - TOOLS &amp; SUPPLIES</v>
          </cell>
          <cell r="D8271" t="str">
            <v>VBCF1HC</v>
          </cell>
          <cell r="BA8271">
            <v>37.99</v>
          </cell>
        </row>
        <row r="8272">
          <cell r="C8272" t="str">
            <v>4509 - TOOLS &amp; SUPPLIES</v>
          </cell>
          <cell r="D8272" t="str">
            <v>JO8500M</v>
          </cell>
          <cell r="BA8272">
            <v>8.99</v>
          </cell>
        </row>
        <row r="8273">
          <cell r="C8273" t="str">
            <v>4509 - TOOLS &amp; SUPPLIES</v>
          </cell>
          <cell r="D8273" t="str">
            <v>MT823</v>
          </cell>
          <cell r="BA8273">
            <v>27.99</v>
          </cell>
        </row>
        <row r="8274">
          <cell r="C8274" t="str">
            <v>4509 - TOOLS &amp; SUPPLIES</v>
          </cell>
          <cell r="D8274" t="str">
            <v>SB0013896</v>
          </cell>
          <cell r="BA8274">
            <v>14.99</v>
          </cell>
        </row>
        <row r="8275">
          <cell r="C8275" t="str">
            <v>4509 - TOOLS &amp; SUPPLIES</v>
          </cell>
          <cell r="D8275" t="str">
            <v>45337HERCULES</v>
          </cell>
          <cell r="BA8275">
            <v>6.99</v>
          </cell>
        </row>
        <row r="8276">
          <cell r="C8276" t="str">
            <v>4509 - TOOLS &amp; SUPPLIES</v>
          </cell>
          <cell r="D8276" t="str">
            <v>JO05</v>
          </cell>
          <cell r="BA8276">
            <v>7.99</v>
          </cell>
        </row>
        <row r="8277">
          <cell r="C8277" t="str">
            <v>4509 - TOOLS &amp; SUPPLIES</v>
          </cell>
          <cell r="D8277" t="str">
            <v>STR11112</v>
          </cell>
          <cell r="BA8277">
            <v>6.49</v>
          </cell>
        </row>
        <row r="8278">
          <cell r="C8278" t="str">
            <v>4509 - TOOLS &amp; SUPPLIES</v>
          </cell>
          <cell r="D8278" t="str">
            <v>VB999ML</v>
          </cell>
          <cell r="BA8278">
            <v>35.99</v>
          </cell>
        </row>
        <row r="8279">
          <cell r="C8279" t="str">
            <v>4509 - TOOLS &amp; SUPPLIES</v>
          </cell>
          <cell r="D8279" t="str">
            <v>VBCF2</v>
          </cell>
          <cell r="BA8279">
            <v>32.99</v>
          </cell>
        </row>
        <row r="8280">
          <cell r="C8280" t="str">
            <v>4509 - TOOLS &amp; SUPPLIES</v>
          </cell>
          <cell r="D8280" t="str">
            <v>VBWB</v>
          </cell>
          <cell r="BA8280">
            <v>29.99</v>
          </cell>
        </row>
        <row r="8281">
          <cell r="C8281" t="str">
            <v>4509 - TOOLS &amp; SUPPLIES</v>
          </cell>
          <cell r="D8281" t="str">
            <v>LUFE200</v>
          </cell>
          <cell r="BA8281">
            <v>42.99</v>
          </cell>
        </row>
        <row r="8282">
          <cell r="C8282" t="str">
            <v>4509 - TOOLS &amp; SUPPLIES</v>
          </cell>
          <cell r="D8282" t="str">
            <v>VA16515</v>
          </cell>
          <cell r="BA8282">
            <v>13.39</v>
          </cell>
        </row>
        <row r="8283">
          <cell r="C8283" t="str">
            <v>4509 - TOOLS &amp; SUPPLIES</v>
          </cell>
          <cell r="D8283" t="str">
            <v>CLC5605</v>
          </cell>
          <cell r="BA8283">
            <v>149.99</v>
          </cell>
        </row>
        <row r="8284">
          <cell r="C8284" t="str">
            <v>4509 - TOOLS &amp; SUPPLIES</v>
          </cell>
          <cell r="D8284" t="str">
            <v>STR25162</v>
          </cell>
          <cell r="BA8284">
            <v>9.99</v>
          </cell>
        </row>
        <row r="8285">
          <cell r="C8285" t="str">
            <v>4509 - TOOLS &amp; SUPPLIES</v>
          </cell>
          <cell r="D8285" t="str">
            <v>GN12115</v>
          </cell>
          <cell r="BA8285">
            <v>24.99</v>
          </cell>
        </row>
        <row r="8286">
          <cell r="C8286" t="str">
            <v>4509 - TOOLS &amp; SUPPLIES</v>
          </cell>
          <cell r="D8286" t="str">
            <v>ARHT55</v>
          </cell>
          <cell r="BA8286">
            <v>27.99</v>
          </cell>
        </row>
        <row r="8287">
          <cell r="C8287" t="str">
            <v>4509 - TOOLS &amp; SUPPLIES</v>
          </cell>
          <cell r="D8287" t="str">
            <v>DAS539-0</v>
          </cell>
          <cell r="BA8287">
            <v>5.69</v>
          </cell>
        </row>
        <row r="8288">
          <cell r="C8288" t="str">
            <v>4509 - TOOLS &amp; SUPPLIES</v>
          </cell>
          <cell r="D8288" t="str">
            <v>STR25159</v>
          </cell>
          <cell r="BA8288">
            <v>9.99</v>
          </cell>
        </row>
        <row r="8289">
          <cell r="C8289" t="str">
            <v>4509 - TOOLS &amp; SUPPLIES</v>
          </cell>
          <cell r="D8289" t="str">
            <v>PM8BLACK</v>
          </cell>
          <cell r="BA8289">
            <v>5.69</v>
          </cell>
        </row>
        <row r="8290">
          <cell r="C8290" t="str">
            <v>4509 - TOOLS &amp; SUPPLIES</v>
          </cell>
          <cell r="D8290" t="str">
            <v>MT238</v>
          </cell>
          <cell r="BA8290">
            <v>3.79</v>
          </cell>
        </row>
        <row r="8291">
          <cell r="C8291" t="str">
            <v>4509 - TOOLS &amp; SUPPLIES</v>
          </cell>
          <cell r="D8291" t="str">
            <v>JO3824</v>
          </cell>
          <cell r="BA8291">
            <v>29.99</v>
          </cell>
        </row>
        <row r="8292">
          <cell r="C8292" t="str">
            <v>4509 - TOOLS &amp; SUPPLIES</v>
          </cell>
          <cell r="D8292" t="str">
            <v>MIN16216</v>
          </cell>
          <cell r="BA8292">
            <v>16.989999999999998</v>
          </cell>
        </row>
        <row r="8293">
          <cell r="C8293" t="str">
            <v>4509 - TOOLS &amp; SUPPLIES</v>
          </cell>
          <cell r="D8293" t="str">
            <v>ITW84002</v>
          </cell>
          <cell r="BA8293">
            <v>6.99</v>
          </cell>
        </row>
        <row r="8294">
          <cell r="C8294" t="str">
            <v>4509 - TOOLS &amp; SUPPLIES</v>
          </cell>
          <cell r="D8294" t="str">
            <v>CLC110BLK</v>
          </cell>
          <cell r="BA8294">
            <v>11.99</v>
          </cell>
        </row>
        <row r="8295">
          <cell r="C8295" t="str">
            <v>4509 - TOOLS &amp; SUPPLIES</v>
          </cell>
          <cell r="D8295" t="str">
            <v>ESTMRW18R</v>
          </cell>
          <cell r="BA8295">
            <v>27.99</v>
          </cell>
        </row>
        <row r="8296">
          <cell r="C8296" t="str">
            <v>4509 - TOOLS &amp; SUPPLIES</v>
          </cell>
          <cell r="D8296" t="str">
            <v>MT925-3</v>
          </cell>
          <cell r="BA8296">
            <v>6.99</v>
          </cell>
        </row>
        <row r="8297">
          <cell r="C8297" t="str">
            <v>4509 - TOOLS &amp; SUPPLIES</v>
          </cell>
          <cell r="D8297" t="str">
            <v>DW2535</v>
          </cell>
          <cell r="BA8297">
            <v>29.99</v>
          </cell>
        </row>
        <row r="8298">
          <cell r="C8298" t="str">
            <v>4509 - TOOLS &amp; SUPPLIES</v>
          </cell>
          <cell r="D8298" t="str">
            <v>MT35702</v>
          </cell>
          <cell r="BA8298">
            <v>16.989999999999998</v>
          </cell>
        </row>
        <row r="8299">
          <cell r="C8299" t="str">
            <v>4509 - TOOLS &amp; SUPPLIES</v>
          </cell>
          <cell r="D8299" t="str">
            <v>MT10502</v>
          </cell>
          <cell r="BA8299">
            <v>7.99</v>
          </cell>
        </row>
        <row r="8300">
          <cell r="C8300" t="str">
            <v>4509 - TOOLS &amp; SUPPLIES</v>
          </cell>
          <cell r="D8300" t="str">
            <v>MT10602</v>
          </cell>
          <cell r="BA8300">
            <v>7.59</v>
          </cell>
        </row>
        <row r="8301">
          <cell r="C8301" t="str">
            <v>4509 - TOOLS &amp; SUPPLIES</v>
          </cell>
          <cell r="D8301" t="str">
            <v>DAS437-0</v>
          </cell>
          <cell r="BA8301">
            <v>10.99</v>
          </cell>
        </row>
        <row r="8302">
          <cell r="C8302" t="str">
            <v>4509 - TOOLS &amp; SUPPLIES</v>
          </cell>
          <cell r="D8302" t="str">
            <v>EKL13213</v>
          </cell>
          <cell r="BA8302">
            <v>22.99</v>
          </cell>
        </row>
        <row r="8303">
          <cell r="C8303" t="str">
            <v>4509 - TOOLS &amp; SUPPLIES</v>
          </cell>
          <cell r="D8303" t="str">
            <v>MIL49-56-0023</v>
          </cell>
          <cell r="BA8303">
            <v>11.99</v>
          </cell>
        </row>
        <row r="8304">
          <cell r="C8304" t="str">
            <v>4509 - TOOLS &amp; SUPPLIES</v>
          </cell>
          <cell r="D8304" t="str">
            <v>MIL49-56-0043</v>
          </cell>
          <cell r="BA8304">
            <v>12.99</v>
          </cell>
        </row>
        <row r="8305">
          <cell r="C8305" t="str">
            <v>4509 - TOOLS &amp; SUPPLIES</v>
          </cell>
          <cell r="D8305" t="str">
            <v>MIL49-56-0052</v>
          </cell>
          <cell r="BA8305">
            <v>13.99</v>
          </cell>
        </row>
        <row r="8306">
          <cell r="C8306" t="str">
            <v>4509 - TOOLS &amp; SUPPLIES</v>
          </cell>
          <cell r="D8306" t="str">
            <v>MIL49-56-0062</v>
          </cell>
          <cell r="BA8306">
            <v>13.99</v>
          </cell>
        </row>
        <row r="8307">
          <cell r="C8307" t="str">
            <v>4509 - TOOLS &amp; SUPPLIES</v>
          </cell>
          <cell r="D8307" t="str">
            <v>MIL49-56-0072</v>
          </cell>
          <cell r="BA8307">
            <v>14.99</v>
          </cell>
        </row>
        <row r="8308">
          <cell r="C8308" t="str">
            <v>4509 - TOOLS &amp; SUPPLIES</v>
          </cell>
          <cell r="D8308" t="str">
            <v>MIL49-56-0082</v>
          </cell>
          <cell r="BA8308">
            <v>15.99</v>
          </cell>
        </row>
        <row r="8309">
          <cell r="C8309" t="str">
            <v>4509 - TOOLS &amp; SUPPLIES</v>
          </cell>
          <cell r="D8309" t="str">
            <v>MIL49-56-0102</v>
          </cell>
          <cell r="BA8309">
            <v>15.99</v>
          </cell>
        </row>
        <row r="8310">
          <cell r="C8310" t="str">
            <v>4509 - TOOLS &amp; SUPPLIES</v>
          </cell>
          <cell r="D8310" t="str">
            <v>MIL49-56-0117</v>
          </cell>
          <cell r="BA8310">
            <v>16.989999999999998</v>
          </cell>
        </row>
        <row r="8311">
          <cell r="C8311" t="str">
            <v>4509 - TOOLS &amp; SUPPLIES</v>
          </cell>
          <cell r="D8311" t="str">
            <v>MIL49-56-0127</v>
          </cell>
          <cell r="BA8311">
            <v>17.989999999999998</v>
          </cell>
        </row>
        <row r="8312">
          <cell r="C8312" t="str">
            <v>4509 - TOOLS &amp; SUPPLIES</v>
          </cell>
          <cell r="D8312" t="str">
            <v>MIL49-56-0132</v>
          </cell>
          <cell r="BA8312">
            <v>17.989999999999998</v>
          </cell>
        </row>
        <row r="8313">
          <cell r="C8313" t="str">
            <v>4509 - TOOLS &amp; SUPPLIES</v>
          </cell>
          <cell r="D8313" t="str">
            <v>MIL49-56-0158</v>
          </cell>
          <cell r="BA8313">
            <v>19.989999999999998</v>
          </cell>
        </row>
        <row r="8314">
          <cell r="C8314" t="str">
            <v>4509 - TOOLS &amp; SUPPLIES</v>
          </cell>
          <cell r="D8314" t="str">
            <v>MIL49-56-0173</v>
          </cell>
          <cell r="BA8314">
            <v>19.989999999999998</v>
          </cell>
        </row>
        <row r="8315">
          <cell r="C8315" t="str">
            <v>4509 - TOOLS &amp; SUPPLIES</v>
          </cell>
          <cell r="D8315" t="str">
            <v>MIL49-56-0193</v>
          </cell>
          <cell r="BA8315">
            <v>25.99</v>
          </cell>
        </row>
        <row r="8316">
          <cell r="C8316" t="str">
            <v>4509 - TOOLS &amp; SUPPLIES</v>
          </cell>
          <cell r="D8316" t="str">
            <v>MIL49-56-0197</v>
          </cell>
          <cell r="BA8316">
            <v>27.99</v>
          </cell>
        </row>
        <row r="8317">
          <cell r="C8317" t="str">
            <v>4509 - TOOLS &amp; SUPPLIES</v>
          </cell>
          <cell r="D8317" t="str">
            <v>MIL49-56-0213</v>
          </cell>
          <cell r="BA8317">
            <v>29.99</v>
          </cell>
        </row>
        <row r="8318">
          <cell r="C8318" t="str">
            <v>4509 - TOOLS &amp; SUPPLIES</v>
          </cell>
          <cell r="D8318" t="str">
            <v>MIL49-56-0217</v>
          </cell>
          <cell r="BA8318">
            <v>34.99</v>
          </cell>
        </row>
        <row r="8319">
          <cell r="C8319" t="str">
            <v>4509 - TOOLS &amp; SUPPLIES</v>
          </cell>
          <cell r="D8319" t="str">
            <v>MIL49-56-0233</v>
          </cell>
          <cell r="BA8319">
            <v>52.99</v>
          </cell>
        </row>
        <row r="8320">
          <cell r="C8320" t="str">
            <v>4509 - TOOLS &amp; SUPPLIES</v>
          </cell>
          <cell r="D8320" t="str">
            <v>MIL49-56-7010</v>
          </cell>
          <cell r="BA8320">
            <v>15.99</v>
          </cell>
        </row>
        <row r="8321">
          <cell r="C8321" t="str">
            <v>4509 - TOOLS &amp; SUPPLIES</v>
          </cell>
          <cell r="D8321" t="str">
            <v>MIL49-22-4175</v>
          </cell>
          <cell r="BA8321">
            <v>149.99</v>
          </cell>
        </row>
        <row r="8322">
          <cell r="C8322" t="str">
            <v>4509 - TOOLS &amp; SUPPLIES</v>
          </cell>
          <cell r="D8322" t="str">
            <v>AP30249</v>
          </cell>
          <cell r="BA8322">
            <v>8.99</v>
          </cell>
        </row>
        <row r="8323">
          <cell r="C8323" t="str">
            <v>4509 - TOOLS &amp; SUPPLIES</v>
          </cell>
          <cell r="D8323" t="str">
            <v>DW4307</v>
          </cell>
          <cell r="BA8323">
            <v>5.99</v>
          </cell>
        </row>
        <row r="8324">
          <cell r="C8324" t="str">
            <v>4509 - TOOLS &amp; SUPPLIES</v>
          </cell>
          <cell r="D8324" t="str">
            <v>MIL49-56-0147</v>
          </cell>
          <cell r="BA8324">
            <v>19.989999999999998</v>
          </cell>
        </row>
        <row r="8325">
          <cell r="C8325" t="str">
            <v>4509 - TOOLS &amp; SUPPLIES</v>
          </cell>
          <cell r="D8325" t="str">
            <v>LEN20151S024HE</v>
          </cell>
          <cell r="BA8325">
            <v>1.79</v>
          </cell>
        </row>
        <row r="8326">
          <cell r="C8326" t="str">
            <v>4509 - TOOLS &amp; SUPPLIES</v>
          </cell>
          <cell r="D8326" t="str">
            <v>LEN20150S018HE</v>
          </cell>
          <cell r="BA8326">
            <v>2.99</v>
          </cell>
        </row>
        <row r="8327">
          <cell r="C8327" t="str">
            <v>4509 - TOOLS &amp; SUPPLIES</v>
          </cell>
          <cell r="D8327" t="str">
            <v>LEN20152S032HE</v>
          </cell>
          <cell r="BA8327">
            <v>2.99</v>
          </cell>
        </row>
        <row r="8328">
          <cell r="C8328" t="str">
            <v>4509 - TOOLS &amp; SUPPLIES</v>
          </cell>
          <cell r="D8328" t="str">
            <v>GG010HN</v>
          </cell>
          <cell r="BA8328">
            <v>29.99</v>
          </cell>
        </row>
        <row r="8329">
          <cell r="C8329" t="str">
            <v>4509 - TOOLS &amp; SUPPLIES</v>
          </cell>
          <cell r="D8329" t="str">
            <v>ZP1102RT-2O2</v>
          </cell>
          <cell r="BA8329">
            <v>29.99</v>
          </cell>
        </row>
        <row r="8330">
          <cell r="C8330" t="str">
            <v>4509 - TOOLS &amp; SUPPLIES</v>
          </cell>
          <cell r="D8330" t="str">
            <v>FREDCD050120P05G</v>
          </cell>
          <cell r="BA8330">
            <v>3.79</v>
          </cell>
        </row>
        <row r="8331">
          <cell r="C8331" t="str">
            <v>4509 - TOOLS &amp; SUPPLIES</v>
          </cell>
          <cell r="D8331" t="str">
            <v>FREDCF040036S04G</v>
          </cell>
          <cell r="BA8331">
            <v>7.99</v>
          </cell>
        </row>
        <row r="8332">
          <cell r="C8332" t="str">
            <v>4509 - TOOLS &amp; SUPPLIES</v>
          </cell>
          <cell r="D8332" t="str">
            <v>FREDCF040050S04G</v>
          </cell>
          <cell r="BA8332">
            <v>7.99</v>
          </cell>
        </row>
        <row r="8333">
          <cell r="C8333" t="str">
            <v>4509 - TOOLS &amp; SUPPLIES</v>
          </cell>
          <cell r="D8333" t="str">
            <v>FREDCF045024S04G</v>
          </cell>
          <cell r="BA8333">
            <v>7.99</v>
          </cell>
        </row>
        <row r="8334">
          <cell r="C8334" t="str">
            <v>4509 - TOOLS &amp; SUPPLIES</v>
          </cell>
          <cell r="D8334" t="str">
            <v>FREDCF045050S04G</v>
          </cell>
          <cell r="BA8334">
            <v>7.99</v>
          </cell>
        </row>
        <row r="8335">
          <cell r="C8335" t="str">
            <v>4509 - TOOLS &amp; SUPPLIES</v>
          </cell>
          <cell r="D8335" t="str">
            <v>FREDCF070024S02G</v>
          </cell>
          <cell r="BA8335">
            <v>8.69</v>
          </cell>
        </row>
        <row r="8336">
          <cell r="C8336" t="str">
            <v>4509 - TOOLS &amp; SUPPLIES</v>
          </cell>
          <cell r="D8336" t="str">
            <v>FREDCF070036S02G</v>
          </cell>
          <cell r="BA8336">
            <v>6.99</v>
          </cell>
        </row>
        <row r="8337">
          <cell r="C8337" t="str">
            <v>4509 - TOOLS &amp; SUPPLIES</v>
          </cell>
          <cell r="D8337" t="str">
            <v>FREDCF070050S02G</v>
          </cell>
          <cell r="BA8337">
            <v>6.99</v>
          </cell>
        </row>
        <row r="8338">
          <cell r="C8338" t="str">
            <v>4509 - TOOLS &amp; SUPPLIES</v>
          </cell>
          <cell r="D8338" t="str">
            <v>FREDCP040VGPS01G</v>
          </cell>
          <cell r="BA8338">
            <v>12.99</v>
          </cell>
        </row>
        <row r="8339">
          <cell r="C8339" t="str">
            <v>4509 - TOOLS &amp; SUPPLIES</v>
          </cell>
          <cell r="D8339" t="str">
            <v>FREDCP045VGPS01G</v>
          </cell>
          <cell r="BA8339">
            <v>17.989999999999998</v>
          </cell>
        </row>
        <row r="8340">
          <cell r="C8340" t="str">
            <v>4509 - TOOLS &amp; SUPPLIES</v>
          </cell>
          <cell r="D8340" t="str">
            <v>FREDCP050CONH01G</v>
          </cell>
          <cell r="BA8340">
            <v>4.59</v>
          </cell>
        </row>
        <row r="8341">
          <cell r="C8341" t="str">
            <v>4509 - TOOLS &amp; SUPPLIES</v>
          </cell>
          <cell r="D8341" t="str">
            <v>FREDCP070VGPS01G</v>
          </cell>
          <cell r="BA8341">
            <v>19.989999999999998</v>
          </cell>
        </row>
        <row r="8342">
          <cell r="C8342" t="str">
            <v>4509 - TOOLS &amp; SUPPLIES</v>
          </cell>
          <cell r="D8342" t="str">
            <v>FREDCS911080S04G</v>
          </cell>
          <cell r="BA8342">
            <v>5.69</v>
          </cell>
        </row>
        <row r="8343">
          <cell r="C8343" t="str">
            <v>4509 - TOOLS &amp; SUPPLIES</v>
          </cell>
          <cell r="D8343" t="str">
            <v>FREDCS911150S04G</v>
          </cell>
          <cell r="BA8343">
            <v>5.69</v>
          </cell>
        </row>
        <row r="8344">
          <cell r="C8344" t="str">
            <v>4509 - TOOLS &amp; SUPPLIES</v>
          </cell>
          <cell r="D8344" t="str">
            <v>FREDCS911220S04G</v>
          </cell>
          <cell r="BA8344">
            <v>5.69</v>
          </cell>
        </row>
        <row r="8345">
          <cell r="C8345" t="str">
            <v>4509 - TOOLS &amp; SUPPLIES</v>
          </cell>
          <cell r="D8345" t="str">
            <v>FREDCX070060B01F</v>
          </cell>
          <cell r="BA8345">
            <v>14.99</v>
          </cell>
        </row>
        <row r="8346">
          <cell r="C8346" t="str">
            <v>4509 - TOOLS &amp; SUPPLIES</v>
          </cell>
          <cell r="D8346" t="str">
            <v>MIN150133L</v>
          </cell>
          <cell r="BA8346">
            <v>8.99</v>
          </cell>
        </row>
        <row r="8347">
          <cell r="C8347" t="str">
            <v>4509 - TOOLS &amp; SUPPLIES</v>
          </cell>
          <cell r="D8347" t="str">
            <v>VBFS999</v>
          </cell>
          <cell r="BA8347">
            <v>35.99</v>
          </cell>
        </row>
        <row r="8348">
          <cell r="C8348" t="str">
            <v>4509 - TOOLS &amp; SUPPLIES</v>
          </cell>
          <cell r="D8348" t="str">
            <v>DAS532-0</v>
          </cell>
          <cell r="BA8348">
            <v>6.99</v>
          </cell>
        </row>
        <row r="8349">
          <cell r="C8349" t="str">
            <v>4509 - TOOLS &amp; SUPPLIES</v>
          </cell>
          <cell r="D8349" t="str">
            <v>MIL48-28-1010</v>
          </cell>
          <cell r="BA8349">
            <v>12.99</v>
          </cell>
        </row>
        <row r="8350">
          <cell r="C8350" t="str">
            <v>4509 - TOOLS &amp; SUPPLIES</v>
          </cell>
          <cell r="D8350" t="str">
            <v>MIL48-32-5031</v>
          </cell>
          <cell r="BA8350">
            <v>5.69</v>
          </cell>
        </row>
        <row r="8351">
          <cell r="C8351" t="str">
            <v>4509 - TOOLS &amp; SUPPLIES</v>
          </cell>
          <cell r="D8351" t="str">
            <v>MIL49-56-7250</v>
          </cell>
          <cell r="BA8351">
            <v>25.99</v>
          </cell>
        </row>
        <row r="8352">
          <cell r="C8352" t="str">
            <v>4509 - TOOLS &amp; SUPPLIES</v>
          </cell>
          <cell r="D8352" t="str">
            <v>MIL48-32-4507</v>
          </cell>
          <cell r="BA8352">
            <v>10.99</v>
          </cell>
        </row>
        <row r="8353">
          <cell r="C8353" t="str">
            <v>4509 - TOOLS &amp; SUPPLIES</v>
          </cell>
          <cell r="D8353" t="str">
            <v>IRW23012</v>
          </cell>
          <cell r="BA8353">
            <v>22.99</v>
          </cell>
        </row>
        <row r="8354">
          <cell r="C8354" t="str">
            <v>4509 - TOOLS &amp; SUPPLIES</v>
          </cell>
          <cell r="D8354" t="str">
            <v>AC26VS</v>
          </cell>
          <cell r="BA8354">
            <v>13.99</v>
          </cell>
        </row>
        <row r="8355">
          <cell r="C8355" t="str">
            <v>4509 - TOOLS &amp; SUPPLIES</v>
          </cell>
          <cell r="D8355" t="str">
            <v>AC28VS</v>
          </cell>
          <cell r="BA8355">
            <v>14.99</v>
          </cell>
        </row>
        <row r="8356">
          <cell r="C8356" t="str">
            <v>4509 - TOOLS &amp; SUPPLIES</v>
          </cell>
          <cell r="D8356" t="str">
            <v>MINJL401243L</v>
          </cell>
          <cell r="BA8356">
            <v>0.01</v>
          </cell>
        </row>
        <row r="8357">
          <cell r="C8357" t="str">
            <v>4509 - TOOLS &amp; SUPPLIES</v>
          </cell>
          <cell r="D8357" t="str">
            <v>MIL48-59-1812</v>
          </cell>
          <cell r="BA8357">
            <v>89.99</v>
          </cell>
        </row>
        <row r="8358">
          <cell r="C8358" t="str">
            <v>4509 - TOOLS &amp; SUPPLIES</v>
          </cell>
          <cell r="D8358" t="str">
            <v>JO595</v>
          </cell>
          <cell r="BA8358">
            <v>6.99</v>
          </cell>
        </row>
        <row r="8359">
          <cell r="C8359" t="str">
            <v>4509 - TOOLS &amp; SUPPLIES</v>
          </cell>
          <cell r="D8359" t="str">
            <v>JL1402-0900</v>
          </cell>
          <cell r="BA8359">
            <v>4.99</v>
          </cell>
        </row>
        <row r="8360">
          <cell r="C8360" t="str">
            <v>4509 - TOOLS &amp; SUPPLIES</v>
          </cell>
          <cell r="D8360" t="str">
            <v>JOCS9</v>
          </cell>
          <cell r="BA8360">
            <v>11.99</v>
          </cell>
        </row>
        <row r="8361">
          <cell r="C8361" t="str">
            <v>4509 - TOOLS &amp; SUPPLIES</v>
          </cell>
          <cell r="D8361" t="str">
            <v>MIL48-59-1806</v>
          </cell>
          <cell r="BA8361">
            <v>129.99</v>
          </cell>
        </row>
        <row r="8362">
          <cell r="C8362" t="str">
            <v>4509 - TOOLS &amp; SUPPLIES</v>
          </cell>
          <cell r="D8362" t="str">
            <v>CLC367</v>
          </cell>
          <cell r="BA8362">
            <v>34.99</v>
          </cell>
        </row>
        <row r="8363">
          <cell r="C8363" t="str">
            <v>4509 - TOOLS &amp; SUPPLIES</v>
          </cell>
          <cell r="D8363" t="str">
            <v>RS45015C</v>
          </cell>
          <cell r="BA8363">
            <v>13.99</v>
          </cell>
        </row>
        <row r="8364">
          <cell r="C8364" t="str">
            <v>4509 - TOOLS &amp; SUPPLIES</v>
          </cell>
          <cell r="D8364" t="str">
            <v>RS70032C</v>
          </cell>
          <cell r="BA8364">
            <v>24.99</v>
          </cell>
        </row>
        <row r="8365">
          <cell r="C8365" t="str">
            <v>4509 - TOOLS &amp; SUPPLIES</v>
          </cell>
          <cell r="D8365" t="str">
            <v>SS204</v>
          </cell>
          <cell r="BA8365">
            <v>219.99</v>
          </cell>
        </row>
        <row r="8366">
          <cell r="C8366" t="str">
            <v>4509 - TOOLS &amp; SUPPLIES</v>
          </cell>
          <cell r="D8366" t="str">
            <v>WC917-05</v>
          </cell>
          <cell r="BA8366">
            <v>8.99</v>
          </cell>
        </row>
        <row r="8367">
          <cell r="C8367" t="str">
            <v>4509 - TOOLS &amp; SUPPLIES</v>
          </cell>
          <cell r="D8367" t="str">
            <v>WC917-07</v>
          </cell>
          <cell r="BA8367">
            <v>15.99</v>
          </cell>
        </row>
        <row r="8368">
          <cell r="C8368" t="str">
            <v>4509 - TOOLS &amp; SUPPLIES</v>
          </cell>
          <cell r="D8368" t="str">
            <v>SB95104L</v>
          </cell>
          <cell r="BA8368">
            <v>34.99</v>
          </cell>
        </row>
        <row r="8369">
          <cell r="C8369" t="str">
            <v>4509 - TOOLS &amp; SUPPLIES</v>
          </cell>
          <cell r="D8369" t="str">
            <v>MIL48-11-1820</v>
          </cell>
          <cell r="BA8369">
            <v>109.99</v>
          </cell>
        </row>
        <row r="8370">
          <cell r="C8370" t="str">
            <v>4509 - TOOLS &amp; SUPPLIES</v>
          </cell>
          <cell r="D8370" t="str">
            <v>MIL0880-20</v>
          </cell>
          <cell r="BA8370">
            <v>149.99</v>
          </cell>
        </row>
        <row r="8371">
          <cell r="C8371" t="str">
            <v>4509 - TOOLS &amp; SUPPLIES</v>
          </cell>
          <cell r="D8371" t="str">
            <v>MIL2646-21CT</v>
          </cell>
          <cell r="BA8371">
            <v>349.99</v>
          </cell>
        </row>
        <row r="8372">
          <cell r="C8372" t="str">
            <v>4509 - TOOLS &amp; SUPPLIES</v>
          </cell>
          <cell r="D8372" t="str">
            <v>MIL2967-22</v>
          </cell>
          <cell r="BA8372">
            <v>499.99</v>
          </cell>
        </row>
        <row r="8373">
          <cell r="C8373" t="str">
            <v>4509 - TOOLS &amp; SUPPLIES</v>
          </cell>
          <cell r="D8373" t="str">
            <v>MIL48-89-2802</v>
          </cell>
          <cell r="BA8373">
            <v>74.989999999999995</v>
          </cell>
        </row>
        <row r="8374">
          <cell r="C8374" t="str">
            <v>4509 - TOOLS &amp; SUPPLIES</v>
          </cell>
          <cell r="D8374" t="str">
            <v>MIL49-56-9305</v>
          </cell>
          <cell r="BA8374">
            <v>25.99</v>
          </cell>
        </row>
        <row r="8375">
          <cell r="C8375" t="str">
            <v>4509 - TOOLS &amp; SUPPLIES</v>
          </cell>
          <cell r="D8375" t="str">
            <v>38116GT195</v>
          </cell>
          <cell r="BA8375">
            <v>10.99</v>
          </cell>
        </row>
        <row r="8376">
          <cell r="C8376" t="str">
            <v>4509 - TOOLS &amp; SUPPLIES</v>
          </cell>
          <cell r="D8376" t="str">
            <v>MIN152503L</v>
          </cell>
          <cell r="BA8376">
            <v>11.99</v>
          </cell>
        </row>
        <row r="8377">
          <cell r="C8377" t="str">
            <v>4509 - TOOLS &amp; SUPPLIES</v>
          </cell>
          <cell r="D8377" t="str">
            <v>MIL2361-20</v>
          </cell>
          <cell r="BA8377">
            <v>99.99</v>
          </cell>
        </row>
        <row r="8378">
          <cell r="C8378" t="str">
            <v>4509 - TOOLS &amp; SUPPLIES</v>
          </cell>
          <cell r="D8378" t="str">
            <v>VB2180</v>
          </cell>
          <cell r="BA8378">
            <v>29.99</v>
          </cell>
        </row>
        <row r="8379">
          <cell r="C8379" t="str">
            <v>4509 - TOOLS &amp; SUPPLIES</v>
          </cell>
          <cell r="D8379" t="str">
            <v>DAS531-0</v>
          </cell>
          <cell r="BA8379">
            <v>5.99</v>
          </cell>
        </row>
        <row r="8380">
          <cell r="C8380" t="str">
            <v>4509 - TOOLS &amp; SUPPLIES</v>
          </cell>
          <cell r="D8380" t="str">
            <v>MILFH10C</v>
          </cell>
          <cell r="BA8380">
            <v>109.99</v>
          </cell>
        </row>
        <row r="8381">
          <cell r="C8381" t="str">
            <v>4509 - TOOLS &amp; SUPPLIES</v>
          </cell>
          <cell r="D8381" t="str">
            <v>VB707M</v>
          </cell>
          <cell r="BA8381">
            <v>49.99</v>
          </cell>
        </row>
        <row r="8382">
          <cell r="C8382" t="str">
            <v>4509 - TOOLS &amp; SUPPLIES</v>
          </cell>
          <cell r="D8382" t="str">
            <v>LIN65409</v>
          </cell>
          <cell r="BA8382">
            <v>11.99</v>
          </cell>
        </row>
        <row r="8383">
          <cell r="C8383" t="str">
            <v>4509 - TOOLS &amp; SUPPLIES</v>
          </cell>
          <cell r="D8383" t="str">
            <v>MINMT6545198</v>
          </cell>
          <cell r="BA8383">
            <v>5.99</v>
          </cell>
        </row>
        <row r="8384">
          <cell r="C8384" t="str">
            <v>4509 - TOOLS &amp; SUPPLIES</v>
          </cell>
          <cell r="D8384" t="str">
            <v>MINJL-HS-5083L</v>
          </cell>
          <cell r="BA8384">
            <v>15.39</v>
          </cell>
        </row>
        <row r="8385">
          <cell r="C8385" t="str">
            <v>4509 - TOOLS &amp; SUPPLIES</v>
          </cell>
          <cell r="D8385" t="str">
            <v>EKL13607</v>
          </cell>
          <cell r="BA8385">
            <v>10.99</v>
          </cell>
        </row>
        <row r="8386">
          <cell r="C8386" t="str">
            <v>4509 - TOOLS &amp; SUPPLIES</v>
          </cell>
          <cell r="D8386" t="str">
            <v>STST60952</v>
          </cell>
          <cell r="BA8386">
            <v>37.99</v>
          </cell>
        </row>
        <row r="8387">
          <cell r="C8387" t="str">
            <v>4509 - TOOLS &amp; SUPPLIES</v>
          </cell>
          <cell r="D8387" t="str">
            <v>FREDCB318036S02G</v>
          </cell>
          <cell r="BA8387">
            <v>8.69</v>
          </cell>
        </row>
        <row r="8388">
          <cell r="C8388" t="str">
            <v>4509 - TOOLS &amp; SUPPLIES</v>
          </cell>
          <cell r="D8388" t="str">
            <v>FREDCB318036S05G</v>
          </cell>
          <cell r="BA8388">
            <v>10.99</v>
          </cell>
        </row>
        <row r="8389">
          <cell r="C8389" t="str">
            <v>4509 - TOOLS &amp; SUPPLIES</v>
          </cell>
          <cell r="D8389" t="str">
            <v>FREDCB318050S02G</v>
          </cell>
          <cell r="BA8389">
            <v>8.69</v>
          </cell>
        </row>
        <row r="8390">
          <cell r="C8390" t="str">
            <v>4509 - TOOLS &amp; SUPPLIES</v>
          </cell>
          <cell r="D8390" t="str">
            <v>FREDCB318050S05G</v>
          </cell>
          <cell r="BA8390">
            <v>11.99</v>
          </cell>
        </row>
        <row r="8391">
          <cell r="C8391" t="str">
            <v>4509 - TOOLS &amp; SUPPLIES</v>
          </cell>
          <cell r="D8391" t="str">
            <v>FREDCB318080S02G</v>
          </cell>
          <cell r="BA8391">
            <v>8.69</v>
          </cell>
        </row>
        <row r="8392">
          <cell r="C8392" t="str">
            <v>4509 - TOOLS &amp; SUPPLIES</v>
          </cell>
          <cell r="D8392" t="str">
            <v>FREDCB318080S05G</v>
          </cell>
          <cell r="BA8392">
            <v>11.99</v>
          </cell>
        </row>
        <row r="8393">
          <cell r="C8393" t="str">
            <v>4509 - TOOLS &amp; SUPPLIES</v>
          </cell>
          <cell r="D8393" t="str">
            <v>FREDCB318120S02G</v>
          </cell>
          <cell r="BA8393">
            <v>8.69</v>
          </cell>
        </row>
        <row r="8394">
          <cell r="C8394" t="str">
            <v>4509 - TOOLS &amp; SUPPLIES</v>
          </cell>
          <cell r="D8394" t="str">
            <v>FREDCB318120S05G</v>
          </cell>
          <cell r="BA8394">
            <v>11.99</v>
          </cell>
        </row>
        <row r="8395">
          <cell r="C8395" t="str">
            <v>4509 - TOOLS &amp; SUPPLIES</v>
          </cell>
          <cell r="D8395" t="str">
            <v>FREDCB321036S05G</v>
          </cell>
          <cell r="BA8395">
            <v>11.99</v>
          </cell>
        </row>
        <row r="8396">
          <cell r="C8396" t="str">
            <v>4509 - TOOLS &amp; SUPPLIES</v>
          </cell>
          <cell r="D8396" t="str">
            <v>FREDCB321050S05G</v>
          </cell>
          <cell r="BA8396">
            <v>11.99</v>
          </cell>
        </row>
        <row r="8397">
          <cell r="C8397" t="str">
            <v>4509 - TOOLS &amp; SUPPLIES</v>
          </cell>
          <cell r="D8397" t="str">
            <v>FREDCB321080S05G</v>
          </cell>
          <cell r="BA8397">
            <v>11.99</v>
          </cell>
        </row>
        <row r="8398">
          <cell r="C8398" t="str">
            <v>4509 - TOOLS &amp; SUPPLIES</v>
          </cell>
          <cell r="D8398" t="str">
            <v>FREDCB321120S02G</v>
          </cell>
          <cell r="BA8398">
            <v>8.99</v>
          </cell>
        </row>
        <row r="8399">
          <cell r="C8399" t="str">
            <v>4509 - TOOLS &amp; SUPPLIES</v>
          </cell>
          <cell r="D8399" t="str">
            <v>FREDCB321120S05G</v>
          </cell>
          <cell r="BA8399">
            <v>11.99</v>
          </cell>
        </row>
        <row r="8400">
          <cell r="C8400" t="str">
            <v>4509 - TOOLS &amp; SUPPLIES</v>
          </cell>
          <cell r="D8400" t="str">
            <v>FREDCD050VGPH07G</v>
          </cell>
          <cell r="BA8400">
            <v>8.69</v>
          </cell>
        </row>
        <row r="8401">
          <cell r="C8401" t="str">
            <v>4509 - TOOLS &amp; SUPPLIES</v>
          </cell>
          <cell r="D8401" t="str">
            <v>FREDCD050060H15G</v>
          </cell>
          <cell r="BA8401">
            <v>9.99</v>
          </cell>
        </row>
        <row r="8402">
          <cell r="C8402" t="str">
            <v>4509 - TOOLS &amp; SUPPLIES</v>
          </cell>
          <cell r="D8402" t="str">
            <v>FREDCD050060H50G</v>
          </cell>
          <cell r="BA8402">
            <v>19.989999999999998</v>
          </cell>
        </row>
        <row r="8403">
          <cell r="C8403" t="str">
            <v>4509 - TOOLS &amp; SUPPLIES</v>
          </cell>
          <cell r="D8403" t="str">
            <v>FREDCD050080H04G</v>
          </cell>
          <cell r="BA8403">
            <v>7.59</v>
          </cell>
        </row>
        <row r="8404">
          <cell r="C8404" t="str">
            <v>4509 - TOOLS &amp; SUPPLIES</v>
          </cell>
          <cell r="D8404" t="str">
            <v>FREDCD050080H15G</v>
          </cell>
          <cell r="BA8404">
            <v>9.99</v>
          </cell>
        </row>
        <row r="8405">
          <cell r="C8405" t="str">
            <v>4509 - TOOLS &amp; SUPPLIES</v>
          </cell>
          <cell r="D8405" t="str">
            <v>FREDCD050080H50G</v>
          </cell>
          <cell r="BA8405">
            <v>19.989999999999998</v>
          </cell>
        </row>
        <row r="8406">
          <cell r="C8406" t="str">
            <v>4509 - TOOLS &amp; SUPPLIES</v>
          </cell>
          <cell r="D8406" t="str">
            <v>FREDCD050100H04G</v>
          </cell>
          <cell r="BA8406">
            <v>4.99</v>
          </cell>
        </row>
        <row r="8407">
          <cell r="C8407" t="str">
            <v>4509 - TOOLS &amp; SUPPLIES</v>
          </cell>
          <cell r="D8407" t="str">
            <v>FREDCD050100H15G</v>
          </cell>
          <cell r="BA8407">
            <v>9.99</v>
          </cell>
        </row>
        <row r="8408">
          <cell r="C8408" t="str">
            <v>4509 - TOOLS &amp; SUPPLIES</v>
          </cell>
          <cell r="D8408" t="str">
            <v>FREDCD050100H50G</v>
          </cell>
          <cell r="BA8408">
            <v>19.989999999999998</v>
          </cell>
        </row>
        <row r="8409">
          <cell r="C8409" t="str">
            <v>4509 - TOOLS &amp; SUPPLIES</v>
          </cell>
          <cell r="D8409" t="str">
            <v>FREDCD050120H04G</v>
          </cell>
          <cell r="BA8409">
            <v>7.59</v>
          </cell>
        </row>
        <row r="8410">
          <cell r="C8410" t="str">
            <v>4509 - TOOLS &amp; SUPPLIES</v>
          </cell>
          <cell r="D8410" t="str">
            <v>FREDCD050120H15G</v>
          </cell>
          <cell r="BA8410">
            <v>9.99</v>
          </cell>
        </row>
        <row r="8411">
          <cell r="C8411" t="str">
            <v>4509 - TOOLS &amp; SUPPLIES</v>
          </cell>
          <cell r="D8411" t="str">
            <v>FREDCD050120H50G</v>
          </cell>
          <cell r="BA8411">
            <v>19.989999999999998</v>
          </cell>
        </row>
        <row r="8412">
          <cell r="C8412" t="str">
            <v>4509 - TOOLS &amp; SUPPLIES</v>
          </cell>
          <cell r="D8412" t="str">
            <v>FREDCD050180P05G</v>
          </cell>
          <cell r="BA8412">
            <v>3.79</v>
          </cell>
        </row>
        <row r="8413">
          <cell r="C8413" t="str">
            <v>4509 - TOOLS &amp; SUPPLIES</v>
          </cell>
          <cell r="D8413" t="str">
            <v>FREDCD050150H04G</v>
          </cell>
          <cell r="BA8413">
            <v>6.49</v>
          </cell>
        </row>
        <row r="8414">
          <cell r="C8414" t="str">
            <v>4509 - TOOLS &amp; SUPPLIES</v>
          </cell>
          <cell r="D8414" t="str">
            <v>FREDCD050150H15G</v>
          </cell>
          <cell r="BA8414">
            <v>9.99</v>
          </cell>
        </row>
        <row r="8415">
          <cell r="C8415" t="str">
            <v>4509 - TOOLS &amp; SUPPLIES</v>
          </cell>
          <cell r="D8415" t="str">
            <v>FREDCD050150H50G</v>
          </cell>
          <cell r="BA8415">
            <v>19.989999999999998</v>
          </cell>
        </row>
        <row r="8416">
          <cell r="C8416" t="str">
            <v>4509 - TOOLS &amp; SUPPLIES</v>
          </cell>
          <cell r="D8416" t="str">
            <v>FREDCD050220H15G</v>
          </cell>
          <cell r="BA8416">
            <v>9.99</v>
          </cell>
        </row>
        <row r="8417">
          <cell r="C8417" t="str">
            <v>4509 - TOOLS &amp; SUPPLIES</v>
          </cell>
          <cell r="D8417" t="str">
            <v>FREDCD050220H50G</v>
          </cell>
          <cell r="BA8417">
            <v>19.989999999999998</v>
          </cell>
        </row>
        <row r="8418">
          <cell r="C8418" t="str">
            <v>4509 - TOOLS &amp; SUPPLIES</v>
          </cell>
          <cell r="D8418" t="str">
            <v>FREDND050060H10I</v>
          </cell>
          <cell r="BA8418">
            <v>14.99</v>
          </cell>
        </row>
        <row r="8419">
          <cell r="C8419" t="str">
            <v>4509 - TOOLS &amp; SUPPLIES</v>
          </cell>
          <cell r="D8419" t="str">
            <v>FREDCX045040N01F</v>
          </cell>
          <cell r="BA8419">
            <v>8.99</v>
          </cell>
        </row>
        <row r="8420">
          <cell r="C8420" t="str">
            <v>4509 - TOOLS &amp; SUPPLIES</v>
          </cell>
          <cell r="D8420" t="str">
            <v>FREDCX045060N01F</v>
          </cell>
          <cell r="BA8420">
            <v>8.99</v>
          </cell>
        </row>
        <row r="8421">
          <cell r="C8421" t="str">
            <v>4509 - TOOLS &amp; SUPPLIES</v>
          </cell>
          <cell r="D8421" t="str">
            <v>FREDCX045080N01F</v>
          </cell>
          <cell r="BA8421">
            <v>8.99</v>
          </cell>
        </row>
        <row r="8422">
          <cell r="C8422" t="str">
            <v>4509 - TOOLS &amp; SUPPLIES</v>
          </cell>
          <cell r="D8422" t="str">
            <v>FREDHSNUT2</v>
          </cell>
          <cell r="BA8422">
            <v>5.99</v>
          </cell>
        </row>
        <row r="8423">
          <cell r="C8423" t="str">
            <v>4509 - TOOLS &amp; SUPPLIES</v>
          </cell>
          <cell r="D8423" t="str">
            <v>FREDHS0750</v>
          </cell>
          <cell r="BA8423">
            <v>9.99</v>
          </cell>
        </row>
        <row r="8424">
          <cell r="C8424" t="str">
            <v>4509 - TOOLS &amp; SUPPLIES</v>
          </cell>
          <cell r="D8424" t="str">
            <v>FREDHS0875</v>
          </cell>
          <cell r="BA8424">
            <v>10.99</v>
          </cell>
        </row>
        <row r="8425">
          <cell r="C8425" t="str">
            <v>4509 - TOOLS &amp; SUPPLIES</v>
          </cell>
          <cell r="D8425" t="str">
            <v>FREDHS1000</v>
          </cell>
          <cell r="BA8425">
            <v>10.99</v>
          </cell>
        </row>
        <row r="8426">
          <cell r="C8426" t="str">
            <v>4509 - TOOLS &amp; SUPPLIES</v>
          </cell>
          <cell r="D8426" t="str">
            <v>FREDHS1125</v>
          </cell>
          <cell r="BA8426">
            <v>11.99</v>
          </cell>
        </row>
        <row r="8427">
          <cell r="C8427" t="str">
            <v>4509 - TOOLS &amp; SUPPLIES</v>
          </cell>
          <cell r="D8427" t="str">
            <v>FREDHS1250</v>
          </cell>
          <cell r="BA8427">
            <v>11.99</v>
          </cell>
        </row>
        <row r="8428">
          <cell r="C8428" t="str">
            <v>4509 - TOOLS &amp; SUPPLIES</v>
          </cell>
          <cell r="D8428" t="str">
            <v>FREDHS1375</v>
          </cell>
          <cell r="BA8428">
            <v>12.99</v>
          </cell>
        </row>
        <row r="8429">
          <cell r="C8429" t="str">
            <v>4509 - TOOLS &amp; SUPPLIES</v>
          </cell>
          <cell r="D8429" t="str">
            <v>FREDHS1500</v>
          </cell>
          <cell r="BA8429">
            <v>12.99</v>
          </cell>
        </row>
        <row r="8430">
          <cell r="C8430" t="str">
            <v>4509 - TOOLS &amp; SUPPLIES</v>
          </cell>
          <cell r="D8430" t="str">
            <v>FREDHS1750</v>
          </cell>
          <cell r="BA8430">
            <v>13.99</v>
          </cell>
        </row>
        <row r="8431">
          <cell r="C8431" t="str">
            <v>4509 - TOOLS &amp; SUPPLIES</v>
          </cell>
          <cell r="D8431" t="str">
            <v>FREDHS1875</v>
          </cell>
          <cell r="BA8431">
            <v>14.99</v>
          </cell>
        </row>
        <row r="8432">
          <cell r="C8432" t="str">
            <v>4509 - TOOLS &amp; SUPPLIES</v>
          </cell>
          <cell r="D8432" t="str">
            <v>FREDHS2000</v>
          </cell>
          <cell r="BA8432">
            <v>14.99</v>
          </cell>
        </row>
        <row r="8433">
          <cell r="C8433" t="str">
            <v>4509 - TOOLS &amp; SUPPLIES</v>
          </cell>
          <cell r="D8433" t="str">
            <v>FREDHS2125</v>
          </cell>
          <cell r="BA8433">
            <v>14.99</v>
          </cell>
        </row>
        <row r="8434">
          <cell r="C8434" t="str">
            <v>4509 - TOOLS &amp; SUPPLIES</v>
          </cell>
          <cell r="D8434" t="str">
            <v>FREDHS2250</v>
          </cell>
          <cell r="BA8434">
            <v>15.99</v>
          </cell>
        </row>
        <row r="8435">
          <cell r="C8435" t="str">
            <v>4509 - TOOLS &amp; SUPPLIES</v>
          </cell>
          <cell r="D8435" t="str">
            <v>FREDHS2500</v>
          </cell>
          <cell r="BA8435">
            <v>16.989999999999998</v>
          </cell>
        </row>
        <row r="8436">
          <cell r="C8436" t="str">
            <v>4509 - TOOLS &amp; SUPPLIES</v>
          </cell>
          <cell r="D8436" t="str">
            <v>FREDHS3000</v>
          </cell>
          <cell r="BA8436">
            <v>17.989999999999998</v>
          </cell>
        </row>
        <row r="8437">
          <cell r="C8437" t="str">
            <v>4509 - TOOLS &amp; SUPPLIES</v>
          </cell>
          <cell r="D8437" t="str">
            <v>FREDHS3625</v>
          </cell>
          <cell r="BA8437">
            <v>19.989999999999998</v>
          </cell>
        </row>
        <row r="8438">
          <cell r="C8438" t="str">
            <v>4509 - TOOLS &amp; SUPPLIES</v>
          </cell>
          <cell r="D8438" t="str">
            <v>FREDHS4000</v>
          </cell>
          <cell r="BA8438">
            <v>21.99</v>
          </cell>
        </row>
        <row r="8439">
          <cell r="C8439" t="str">
            <v>4509 - TOOLS &amp; SUPPLIES</v>
          </cell>
          <cell r="D8439" t="str">
            <v>FREDHS4250</v>
          </cell>
          <cell r="BA8439">
            <v>24.99</v>
          </cell>
        </row>
        <row r="8440">
          <cell r="C8440" t="str">
            <v>4509 - TOOLS &amp; SUPPLIES</v>
          </cell>
          <cell r="D8440" t="str">
            <v>FREDHS4500</v>
          </cell>
          <cell r="BA8440">
            <v>25.99</v>
          </cell>
        </row>
        <row r="8441">
          <cell r="C8441" t="str">
            <v>4509 - TOOLS &amp; SUPPLIES</v>
          </cell>
          <cell r="D8441" t="str">
            <v>FREDHS6000</v>
          </cell>
          <cell r="BA8441">
            <v>29.99</v>
          </cell>
        </row>
        <row r="8442">
          <cell r="C8442" t="str">
            <v>4509 - TOOLS &amp; SUPPLIES</v>
          </cell>
          <cell r="D8442" t="str">
            <v>MIL48-32-5033</v>
          </cell>
          <cell r="BA8442">
            <v>10.99</v>
          </cell>
        </row>
        <row r="8443">
          <cell r="C8443" t="str">
            <v>4509 - TOOLS &amp; SUPPLIES</v>
          </cell>
          <cell r="D8443" t="str">
            <v>FREDCTCAT080H05G</v>
          </cell>
          <cell r="BA8443">
            <v>7.99</v>
          </cell>
        </row>
        <row r="8444">
          <cell r="C8444" t="str">
            <v>4509 - TOOLS &amp; SUPPLIES</v>
          </cell>
          <cell r="D8444" t="str">
            <v>FREDCTCAT120H05G</v>
          </cell>
          <cell r="BA8444">
            <v>7.99</v>
          </cell>
        </row>
        <row r="8445">
          <cell r="C8445" t="str">
            <v>4509 - TOOLS &amp; SUPPLIES</v>
          </cell>
          <cell r="D8445" t="str">
            <v>FREDCTCAT220H05G</v>
          </cell>
          <cell r="BA8445">
            <v>7.99</v>
          </cell>
        </row>
        <row r="8446">
          <cell r="C8446" t="str">
            <v>4509 - TOOLS &amp; SUPPLIES</v>
          </cell>
          <cell r="D8446" t="str">
            <v>FREDCD060060H10G</v>
          </cell>
          <cell r="BA8446">
            <v>12.99</v>
          </cell>
        </row>
        <row r="8447">
          <cell r="C8447" t="str">
            <v>4509 - TOOLS &amp; SUPPLIES</v>
          </cell>
          <cell r="D8447" t="str">
            <v>FREDCD060100H10G</v>
          </cell>
          <cell r="BA8447">
            <v>12.99</v>
          </cell>
        </row>
        <row r="8448">
          <cell r="C8448" t="str">
            <v>4509 - TOOLS &amp; SUPPLIES</v>
          </cell>
          <cell r="D8448" t="str">
            <v>FREDCD060150H10G</v>
          </cell>
          <cell r="BA8448">
            <v>12.99</v>
          </cell>
        </row>
        <row r="8449">
          <cell r="C8449" t="str">
            <v>4509 - TOOLS &amp; SUPPLIES</v>
          </cell>
          <cell r="D8449" t="str">
            <v>FREDCD060220H10G</v>
          </cell>
          <cell r="BA8449">
            <v>12.99</v>
          </cell>
        </row>
        <row r="8450">
          <cell r="C8450" t="str">
            <v>4509 - TOOLS &amp; SUPPLIES</v>
          </cell>
          <cell r="D8450" t="str">
            <v>FREDCS045040S06G</v>
          </cell>
          <cell r="BA8450">
            <v>5.99</v>
          </cell>
        </row>
        <row r="8451">
          <cell r="C8451" t="str">
            <v>4509 - TOOLS &amp; SUPPLIES</v>
          </cell>
          <cell r="D8451" t="str">
            <v>FREDCS045060S06G</v>
          </cell>
          <cell r="BA8451">
            <v>5.99</v>
          </cell>
        </row>
        <row r="8452">
          <cell r="C8452" t="str">
            <v>4509 - TOOLS &amp; SUPPLIES</v>
          </cell>
          <cell r="D8452" t="str">
            <v>FREDCS045100S06G</v>
          </cell>
          <cell r="BA8452">
            <v>5.99</v>
          </cell>
        </row>
        <row r="8453">
          <cell r="C8453" t="str">
            <v>4509 - TOOLS &amp; SUPPLIES</v>
          </cell>
          <cell r="D8453" t="str">
            <v>FREDCS045150S06G</v>
          </cell>
          <cell r="BA8453">
            <v>5.99</v>
          </cell>
        </row>
        <row r="8454">
          <cell r="C8454" t="str">
            <v>4509 - TOOLS &amp; SUPPLIES</v>
          </cell>
          <cell r="D8454" t="str">
            <v>FREDCS045220S06G</v>
          </cell>
          <cell r="BA8454">
            <v>5.99</v>
          </cell>
        </row>
        <row r="8455">
          <cell r="C8455" t="str">
            <v>4509 - TOOLS &amp; SUPPLIES</v>
          </cell>
          <cell r="D8455" t="str">
            <v>FREDHSAR375</v>
          </cell>
          <cell r="BA8455">
            <v>19.989999999999998</v>
          </cell>
        </row>
        <row r="8456">
          <cell r="C8456" t="str">
            <v>4509 - TOOLS &amp; SUPPLIES</v>
          </cell>
          <cell r="D8456" t="str">
            <v>FREDCD050040P05G</v>
          </cell>
          <cell r="BA8456">
            <v>3.79</v>
          </cell>
        </row>
        <row r="8457">
          <cell r="C8457" t="str">
            <v>4509 - TOOLS &amp; SUPPLIES</v>
          </cell>
          <cell r="D8457" t="str">
            <v>FREDCF045036S04G</v>
          </cell>
          <cell r="BA8457">
            <v>7.99</v>
          </cell>
        </row>
        <row r="8458">
          <cell r="C8458" t="str">
            <v>4509 - TOOLS &amp; SUPPLIES</v>
          </cell>
          <cell r="D8458" t="str">
            <v>FREDCC045040N01F</v>
          </cell>
          <cell r="BA8458">
            <v>17.989999999999998</v>
          </cell>
        </row>
        <row r="8459">
          <cell r="C8459" t="str">
            <v>4509 - TOOLS &amp; SUPPLIES</v>
          </cell>
          <cell r="D8459" t="str">
            <v>FREDCX070040B01F</v>
          </cell>
          <cell r="BA8459">
            <v>14.99</v>
          </cell>
        </row>
        <row r="8460">
          <cell r="C8460" t="str">
            <v>4509 - TOOLS &amp; SUPPLIES</v>
          </cell>
          <cell r="D8460" t="str">
            <v>FREDCX070080B01F</v>
          </cell>
          <cell r="BA8460">
            <v>14.99</v>
          </cell>
        </row>
        <row r="8461">
          <cell r="C8461" t="str">
            <v>4509 - TOOLS &amp; SUPPLIES</v>
          </cell>
          <cell r="D8461" t="str">
            <v>ARHT55BL</v>
          </cell>
          <cell r="BA8461">
            <v>24.99</v>
          </cell>
        </row>
        <row r="8462">
          <cell r="C8462" t="str">
            <v>4509 - TOOLS &amp; SUPPLIES</v>
          </cell>
          <cell r="D8462" t="str">
            <v>AC210VS</v>
          </cell>
          <cell r="BA8462">
            <v>18.989999999999998</v>
          </cell>
        </row>
        <row r="8463">
          <cell r="C8463" t="str">
            <v>4509 - TOOLS &amp; SUPPLIES</v>
          </cell>
          <cell r="D8463" t="str">
            <v>SPT77WML-22</v>
          </cell>
          <cell r="BA8463">
            <v>219.99</v>
          </cell>
        </row>
        <row r="8464">
          <cell r="C8464" t="str">
            <v>4509 - TOOLS &amp; SUPPLIES</v>
          </cell>
          <cell r="D8464" t="str">
            <v>SA90338</v>
          </cell>
          <cell r="BA8464">
            <v>79.989999999999995</v>
          </cell>
        </row>
        <row r="8465">
          <cell r="C8465" t="str">
            <v>4509 - TOOLS &amp; SUPPLIES</v>
          </cell>
          <cell r="D8465" t="str">
            <v>MIL48-59-1850</v>
          </cell>
          <cell r="BA8465">
            <v>219.99</v>
          </cell>
        </row>
        <row r="8466">
          <cell r="C8466" t="str">
            <v>4509 - TOOLS &amp; SUPPLIES</v>
          </cell>
          <cell r="D8466" t="str">
            <v>MIL2834-20</v>
          </cell>
          <cell r="BA8466">
            <v>269.99</v>
          </cell>
        </row>
        <row r="8467">
          <cell r="C8467" t="str">
            <v>4509 - TOOLS &amp; SUPPLIES</v>
          </cell>
          <cell r="D8467" t="str">
            <v>SKSPT77WM-22</v>
          </cell>
          <cell r="BA8467">
            <v>231.99</v>
          </cell>
        </row>
        <row r="8468">
          <cell r="C8468" t="str">
            <v>4509 - TOOLS &amp; SUPPLIES</v>
          </cell>
          <cell r="D8468" t="str">
            <v>GAMT521</v>
          </cell>
          <cell r="BA8468">
            <v>12.99</v>
          </cell>
        </row>
        <row r="8469">
          <cell r="C8469" t="str">
            <v>4509 - TOOLS &amp; SUPPLIES</v>
          </cell>
          <cell r="D8469" t="str">
            <v>HY09016</v>
          </cell>
          <cell r="BA8469">
            <v>10.99</v>
          </cell>
        </row>
        <row r="8470">
          <cell r="C8470" t="str">
            <v>4509 - TOOLS &amp; SUPPLIES</v>
          </cell>
          <cell r="D8470" t="str">
            <v>MIL48-11-1850</v>
          </cell>
          <cell r="BA8470">
            <v>169.99</v>
          </cell>
        </row>
        <row r="8471">
          <cell r="C8471" t="str">
            <v>4509 - TOOLS &amp; SUPPLIES</v>
          </cell>
          <cell r="D8471" t="str">
            <v>IRW1932871</v>
          </cell>
          <cell r="BA8471">
            <v>6.99</v>
          </cell>
        </row>
        <row r="8472">
          <cell r="C8472" t="str">
            <v>4509 - TOOLS &amp; SUPPLIES</v>
          </cell>
          <cell r="D8472" t="str">
            <v>SK95105L</v>
          </cell>
          <cell r="BA8472">
            <v>16.989999999999998</v>
          </cell>
        </row>
        <row r="8473">
          <cell r="C8473" t="str">
            <v>4509 - TOOLS &amp; SUPPLIES</v>
          </cell>
          <cell r="D8473" t="str">
            <v>SK95111L</v>
          </cell>
          <cell r="BA8473">
            <v>24.99</v>
          </cell>
        </row>
        <row r="8474">
          <cell r="C8474" t="str">
            <v>4509 - TOOLS &amp; SUPPLIES</v>
          </cell>
          <cell r="D8474" t="str">
            <v>STST11151</v>
          </cell>
          <cell r="BA8474">
            <v>49.99</v>
          </cell>
        </row>
        <row r="8475">
          <cell r="C8475" t="str">
            <v>4509 - TOOLS &amp; SUPPLIES</v>
          </cell>
          <cell r="D8475" t="str">
            <v>OT85609</v>
          </cell>
          <cell r="BA8475">
            <v>55.99</v>
          </cell>
        </row>
        <row r="8476">
          <cell r="C8476" t="str">
            <v>4509 - TOOLS &amp; SUPPLIES</v>
          </cell>
          <cell r="D8476" t="str">
            <v>MILE55.48</v>
          </cell>
          <cell r="BA8476">
            <v>29.99</v>
          </cell>
        </row>
        <row r="8477">
          <cell r="C8477" t="str">
            <v>4509 - TOOLS &amp; SUPPLIES</v>
          </cell>
          <cell r="D8477" t="str">
            <v>37459</v>
          </cell>
          <cell r="BA8477">
            <v>239.99</v>
          </cell>
        </row>
        <row r="8478">
          <cell r="C8478" t="str">
            <v>4509 - TOOLS &amp; SUPPLIES</v>
          </cell>
          <cell r="D8478" t="str">
            <v>CLC318</v>
          </cell>
          <cell r="BA8478">
            <v>29.99</v>
          </cell>
        </row>
        <row r="8479">
          <cell r="C8479" t="str">
            <v>4509 - TOOLS &amp; SUPPLIES</v>
          </cell>
          <cell r="D8479" t="str">
            <v>DWDD5160</v>
          </cell>
          <cell r="BA8479">
            <v>32.99</v>
          </cell>
        </row>
        <row r="8480">
          <cell r="C8480" t="str">
            <v>4509 - TOOLS &amp; SUPPLIES</v>
          </cell>
          <cell r="D8480" t="str">
            <v>72-311</v>
          </cell>
          <cell r="BA8480">
            <v>25.99</v>
          </cell>
        </row>
        <row r="8481">
          <cell r="C8481" t="str">
            <v>4509 - TOOLS &amp; SUPPLIES</v>
          </cell>
          <cell r="D8481" t="str">
            <v>11-987</v>
          </cell>
          <cell r="BA8481">
            <v>2.99</v>
          </cell>
        </row>
        <row r="8482">
          <cell r="C8482" t="str">
            <v>4509 - TOOLS &amp; SUPPLIES</v>
          </cell>
          <cell r="D8482" t="str">
            <v>VBSF12</v>
          </cell>
          <cell r="BA8482">
            <v>18.989999999999998</v>
          </cell>
        </row>
        <row r="8483">
          <cell r="C8483" t="str">
            <v>4509 - TOOLS &amp; SUPPLIES</v>
          </cell>
          <cell r="D8483" t="str">
            <v>MIL48-22-3980</v>
          </cell>
          <cell r="BA8483">
            <v>12.99</v>
          </cell>
        </row>
        <row r="8484">
          <cell r="C8484" t="str">
            <v>4509 - TOOLS &amp; SUPPLIES</v>
          </cell>
          <cell r="D8484" t="str">
            <v>MIL48-22-6616</v>
          </cell>
          <cell r="BA8484">
            <v>14.99</v>
          </cell>
        </row>
        <row r="8485">
          <cell r="C8485" t="str">
            <v>4509 - TOOLS &amp; SUPPLIES</v>
          </cell>
          <cell r="D8485" t="str">
            <v>MIL48-22-6625</v>
          </cell>
          <cell r="BA8485">
            <v>15.09</v>
          </cell>
        </row>
        <row r="8486">
          <cell r="C8486" t="str">
            <v>4509 - TOOLS &amp; SUPPLIES</v>
          </cell>
          <cell r="D8486" t="str">
            <v>MIL48-22-6630</v>
          </cell>
          <cell r="BA8486">
            <v>21.99</v>
          </cell>
        </row>
        <row r="8487">
          <cell r="C8487" t="str">
            <v>4509 - TOOLS &amp; SUPPLIES</v>
          </cell>
          <cell r="D8487" t="str">
            <v>MIL48-22-1501</v>
          </cell>
          <cell r="BA8487">
            <v>11.99</v>
          </cell>
        </row>
        <row r="8488">
          <cell r="C8488" t="str">
            <v>4509 - TOOLS &amp; SUPPLIES</v>
          </cell>
          <cell r="D8488" t="str">
            <v>MIL48-22-1905</v>
          </cell>
          <cell r="BA8488">
            <v>1.99</v>
          </cell>
        </row>
        <row r="8489">
          <cell r="C8489" t="str">
            <v>4509 - TOOLS &amp; SUPPLIES</v>
          </cell>
          <cell r="D8489" t="str">
            <v>MIL48-22-6100</v>
          </cell>
          <cell r="BA8489">
            <v>27.99</v>
          </cell>
        </row>
        <row r="8490">
          <cell r="C8490" t="str">
            <v>4509 - TOOLS &amp; SUPPLIES</v>
          </cell>
          <cell r="D8490" t="str">
            <v>MIL48-22-6407</v>
          </cell>
          <cell r="BA8490">
            <v>24.99</v>
          </cell>
        </row>
        <row r="8491">
          <cell r="C8491" t="str">
            <v>4509 - TOOLS &amp; SUPPLIES</v>
          </cell>
          <cell r="D8491" t="str">
            <v>MIL48-22-0050</v>
          </cell>
          <cell r="BA8491">
            <v>22.99</v>
          </cell>
        </row>
        <row r="8492">
          <cell r="C8492" t="str">
            <v>4509 - TOOLS &amp; SUPPLIES</v>
          </cell>
          <cell r="D8492" t="str">
            <v>MIL48-22-0305</v>
          </cell>
          <cell r="BA8492">
            <v>20.29</v>
          </cell>
        </row>
        <row r="8493">
          <cell r="C8493" t="str">
            <v>4509 - TOOLS &amp; SUPPLIES</v>
          </cell>
          <cell r="D8493" t="str">
            <v>MIL581-9</v>
          </cell>
          <cell r="BA8493">
            <v>10.99</v>
          </cell>
        </row>
        <row r="8494">
          <cell r="C8494" t="str">
            <v>4509 - TOOLS &amp; SUPPLIES</v>
          </cell>
          <cell r="D8494" t="str">
            <v>MILE2994</v>
          </cell>
          <cell r="BA8494">
            <v>14.99</v>
          </cell>
        </row>
        <row r="8495">
          <cell r="C8495" t="str">
            <v>4509 - TOOLS &amp; SUPPLIES</v>
          </cell>
          <cell r="D8495" t="str">
            <v>MIL105</v>
          </cell>
          <cell r="BA8495">
            <v>7.99</v>
          </cell>
        </row>
        <row r="8496">
          <cell r="C8496" t="str">
            <v>4509 - TOOLS &amp; SUPPLIES</v>
          </cell>
          <cell r="D8496" t="str">
            <v>MIL49-66-4533</v>
          </cell>
          <cell r="BA8496">
            <v>5.99</v>
          </cell>
        </row>
        <row r="8497">
          <cell r="C8497" t="str">
            <v>4509 - TOOLS &amp; SUPPLIES</v>
          </cell>
          <cell r="D8497" t="str">
            <v>MIL49-66-4535</v>
          </cell>
          <cell r="BA8497">
            <v>5.99</v>
          </cell>
        </row>
        <row r="8498">
          <cell r="C8498" t="str">
            <v>4509 - TOOLS &amp; SUPPLIES</v>
          </cell>
          <cell r="D8498" t="str">
            <v>MIL49-66-4536</v>
          </cell>
          <cell r="BA8498">
            <v>5.69</v>
          </cell>
        </row>
        <row r="8499">
          <cell r="C8499" t="str">
            <v>4509 - TOOLS &amp; SUPPLIES</v>
          </cell>
          <cell r="D8499" t="str">
            <v>MILE75.24</v>
          </cell>
          <cell r="BA8499">
            <v>37.99</v>
          </cell>
        </row>
        <row r="8500">
          <cell r="C8500" t="str">
            <v>4509 - TOOLS &amp; SUPPLIES</v>
          </cell>
          <cell r="D8500" t="str">
            <v>MIL49-94-1220</v>
          </cell>
          <cell r="BA8500">
            <v>5.49</v>
          </cell>
        </row>
        <row r="8501">
          <cell r="C8501" t="str">
            <v>4509 - TOOLS &amp; SUPPLIES</v>
          </cell>
          <cell r="D8501" t="str">
            <v>WAG0503059</v>
          </cell>
          <cell r="BA8501">
            <v>29.99</v>
          </cell>
        </row>
        <row r="8502">
          <cell r="C8502" t="str">
            <v>4509 - TOOLS &amp; SUPPLIES</v>
          </cell>
          <cell r="D8502" t="str">
            <v>VBBC8</v>
          </cell>
          <cell r="BA8502">
            <v>15.99</v>
          </cell>
        </row>
        <row r="8503">
          <cell r="C8503" t="str">
            <v>4509 - TOOLS &amp; SUPPLIES</v>
          </cell>
          <cell r="D8503" t="str">
            <v>1818389</v>
          </cell>
          <cell r="BA8503">
            <v>8.99</v>
          </cell>
        </row>
        <row r="8504">
          <cell r="C8504" t="str">
            <v>4509 - TOOLS &amp; SUPPLIES</v>
          </cell>
          <cell r="D8504" t="str">
            <v>OSI2049536</v>
          </cell>
          <cell r="BA8504">
            <v>15.99</v>
          </cell>
        </row>
        <row r="8505">
          <cell r="C8505" t="str">
            <v>4509 - TOOLS &amp; SUPPLIES</v>
          </cell>
          <cell r="D8505" t="str">
            <v>HPNT50AE2</v>
          </cell>
          <cell r="BA8505">
            <v>99.99</v>
          </cell>
        </row>
        <row r="8506">
          <cell r="C8506" t="str">
            <v>4509 - TOOLS &amp; SUPPLIES</v>
          </cell>
          <cell r="D8506" t="str">
            <v>GT71260</v>
          </cell>
          <cell r="BA8506">
            <v>9.99</v>
          </cell>
        </row>
        <row r="8507">
          <cell r="C8507" t="str">
            <v>4509 - TOOLS &amp; SUPPLIES</v>
          </cell>
          <cell r="D8507" t="str">
            <v>GT71262</v>
          </cell>
          <cell r="BA8507">
            <v>10.99</v>
          </cell>
        </row>
        <row r="8508">
          <cell r="C8508" t="str">
            <v>4509 - TOOLS &amp; SUPPLIES</v>
          </cell>
          <cell r="D8508" t="str">
            <v>GT1261-0</v>
          </cell>
          <cell r="BA8508">
            <v>3.79</v>
          </cell>
        </row>
        <row r="8509">
          <cell r="C8509" t="str">
            <v>4509 - TOOLS &amp; SUPPLIES</v>
          </cell>
          <cell r="D8509" t="str">
            <v>GT1261-2</v>
          </cell>
          <cell r="BA8509">
            <v>5.99</v>
          </cell>
        </row>
        <row r="8510">
          <cell r="C8510" t="str">
            <v>4509 - TOOLS &amp; SUPPLIES</v>
          </cell>
          <cell r="D8510" t="str">
            <v>GT1261-4</v>
          </cell>
          <cell r="BA8510">
            <v>5.99</v>
          </cell>
        </row>
        <row r="8511">
          <cell r="C8511" t="str">
            <v>4509 - TOOLS &amp; SUPPLIES</v>
          </cell>
          <cell r="D8511" t="str">
            <v>DWHT36916S</v>
          </cell>
          <cell r="BA8511">
            <v>25.99</v>
          </cell>
        </row>
        <row r="8512">
          <cell r="C8512" t="str">
            <v>4509 - TOOLS &amp; SUPPLIES</v>
          </cell>
          <cell r="D8512" t="str">
            <v>DWHT33028M</v>
          </cell>
          <cell r="BA8512">
            <v>8.99</v>
          </cell>
        </row>
        <row r="8513">
          <cell r="C8513" t="str">
            <v>4509 - TOOLS &amp; SUPPLIES</v>
          </cell>
          <cell r="D8513" t="str">
            <v>ARBAP54</v>
          </cell>
          <cell r="BA8513">
            <v>6.99</v>
          </cell>
        </row>
        <row r="8514">
          <cell r="C8514" t="str">
            <v>4509 - TOOLS &amp; SUPPLIES</v>
          </cell>
          <cell r="D8514" t="str">
            <v>ARJT21CM</v>
          </cell>
          <cell r="BA8514">
            <v>13.99</v>
          </cell>
        </row>
        <row r="8515">
          <cell r="C8515" t="str">
            <v>4509 - TOOLS &amp; SUPPLIES</v>
          </cell>
          <cell r="D8515" t="str">
            <v>BORA530401</v>
          </cell>
          <cell r="BA8515">
            <v>30.59</v>
          </cell>
        </row>
        <row r="8516">
          <cell r="C8516" t="str">
            <v>4509 - TOOLS &amp; SUPPLIES</v>
          </cell>
          <cell r="D8516" t="str">
            <v>ATL004W</v>
          </cell>
          <cell r="BA8516">
            <v>8.69</v>
          </cell>
        </row>
        <row r="8517">
          <cell r="C8517" t="str">
            <v>4509 - TOOLS &amp; SUPPLIES</v>
          </cell>
          <cell r="D8517" t="str">
            <v>MIL0299-20</v>
          </cell>
          <cell r="BA8517">
            <v>179.99</v>
          </cell>
        </row>
        <row r="8518">
          <cell r="C8518" t="str">
            <v>4509 - TOOLS &amp; SUPPLIES</v>
          </cell>
          <cell r="D8518" t="str">
            <v>MIL48-22-3100</v>
          </cell>
          <cell r="BA8518">
            <v>1.19</v>
          </cell>
        </row>
        <row r="8519">
          <cell r="C8519" t="str">
            <v>4509 - TOOLS &amp; SUPPLIES</v>
          </cell>
          <cell r="D8519" t="str">
            <v>MIL721</v>
          </cell>
          <cell r="BA8519">
            <v>6.09</v>
          </cell>
        </row>
        <row r="8520">
          <cell r="C8520" t="str">
            <v>4509 - TOOLS &amp; SUPPLIES</v>
          </cell>
          <cell r="D8520" t="str">
            <v>MIL48-22-9023</v>
          </cell>
          <cell r="BA8520">
            <v>29.99</v>
          </cell>
        </row>
        <row r="8521">
          <cell r="C8521" t="str">
            <v>4509 - TOOLS &amp; SUPPLIES</v>
          </cell>
          <cell r="D8521" t="str">
            <v>MIL48-22-5101</v>
          </cell>
          <cell r="BA8521">
            <v>25.99</v>
          </cell>
        </row>
        <row r="8522">
          <cell r="C8522" t="str">
            <v>4509 - TOOLS &amp; SUPPLIES</v>
          </cell>
          <cell r="D8522" t="str">
            <v>MIL48-22-5230</v>
          </cell>
          <cell r="BA8522">
            <v>59.99</v>
          </cell>
        </row>
        <row r="8523">
          <cell r="C8523" t="str">
            <v>4509 - TOOLS &amp; SUPPLIES</v>
          </cell>
          <cell r="D8523" t="str">
            <v>MIL48-22-6106</v>
          </cell>
          <cell r="BA8523">
            <v>17.989999999999998</v>
          </cell>
        </row>
        <row r="8524">
          <cell r="C8524" t="str">
            <v>4509 - TOOLS &amp; SUPPLIES</v>
          </cell>
          <cell r="D8524" t="str">
            <v>MIL48-22-6310</v>
          </cell>
          <cell r="BA8524">
            <v>15.99</v>
          </cell>
        </row>
        <row r="8525">
          <cell r="C8525" t="str">
            <v>4509 - TOOLS &amp; SUPPLIES</v>
          </cell>
          <cell r="D8525" t="str">
            <v>MIL48-22-9017</v>
          </cell>
          <cell r="BA8525">
            <v>37.99</v>
          </cell>
        </row>
        <row r="8526">
          <cell r="C8526" t="str">
            <v>4509 - TOOLS &amp; SUPPLIES</v>
          </cell>
          <cell r="D8526" t="str">
            <v>MIL48-22-9022</v>
          </cell>
          <cell r="BA8526">
            <v>29.99</v>
          </cell>
        </row>
        <row r="8527">
          <cell r="C8527" t="str">
            <v>4509 - TOOLS &amp; SUPPLIES</v>
          </cell>
          <cell r="D8527" t="str">
            <v>MIL2891-20</v>
          </cell>
          <cell r="BA8527">
            <v>179.99</v>
          </cell>
        </row>
        <row r="8528">
          <cell r="C8528" t="str">
            <v>4509 - TOOLS &amp; SUPPLIES</v>
          </cell>
          <cell r="D8528" t="str">
            <v>MILE105.24</v>
          </cell>
          <cell r="BA8528">
            <v>119.99</v>
          </cell>
        </row>
        <row r="8529">
          <cell r="C8529" t="str">
            <v>4509 - TOOLS &amp; SUPPLIES</v>
          </cell>
          <cell r="D8529" t="str">
            <v>MILE255</v>
          </cell>
          <cell r="BA8529">
            <v>13.99</v>
          </cell>
        </row>
        <row r="8530">
          <cell r="C8530" t="str">
            <v>4509 - TOOLS &amp; SUPPLIES</v>
          </cell>
          <cell r="D8530" t="str">
            <v>MIL2730-20</v>
          </cell>
          <cell r="BA8530">
            <v>219.99</v>
          </cell>
        </row>
        <row r="8531">
          <cell r="C8531" t="str">
            <v>4509 - TOOLS &amp; SUPPLIES</v>
          </cell>
          <cell r="D8531" t="str">
            <v>MIL48-11-1880</v>
          </cell>
          <cell r="BA8531">
            <v>219.99</v>
          </cell>
        </row>
        <row r="8532">
          <cell r="C8532" t="str">
            <v>4509 - TOOLS &amp; SUPPLIES</v>
          </cell>
          <cell r="D8532" t="str">
            <v>MIL48-11-1813</v>
          </cell>
          <cell r="BA8532">
            <v>279.99</v>
          </cell>
        </row>
        <row r="8533">
          <cell r="C8533" t="str">
            <v>4509 - TOOLS &amp; SUPPLIES</v>
          </cell>
          <cell r="D8533" t="str">
            <v>MIL48-20-7374</v>
          </cell>
          <cell r="BA8533">
            <v>22.99</v>
          </cell>
        </row>
        <row r="8534">
          <cell r="C8534" t="str">
            <v>4509 - TOOLS &amp; SUPPLIES</v>
          </cell>
          <cell r="D8534" t="str">
            <v>MIL48-22-3999</v>
          </cell>
          <cell r="BA8534">
            <v>6.49</v>
          </cell>
        </row>
        <row r="8535">
          <cell r="C8535" t="str">
            <v>4509 - TOOLS &amp; SUPPLIES</v>
          </cell>
          <cell r="D8535" t="str">
            <v>MIL48-22-4540</v>
          </cell>
          <cell r="BA8535">
            <v>16.989999999999998</v>
          </cell>
        </row>
        <row r="8536">
          <cell r="C8536" t="str">
            <v>4509 - TOOLS &amp; SUPPLIES</v>
          </cell>
          <cell r="D8536" t="str">
            <v>MIL48-22-4560</v>
          </cell>
          <cell r="BA8536">
            <v>16.989999999999998</v>
          </cell>
        </row>
        <row r="8537">
          <cell r="C8537" t="str">
            <v>4509 - TOOLS &amp; SUPPLIES</v>
          </cell>
          <cell r="D8537" t="str">
            <v>MIL48-22-4537</v>
          </cell>
          <cell r="BA8537">
            <v>21.59</v>
          </cell>
        </row>
        <row r="8538">
          <cell r="C8538" t="str">
            <v>4509 - TOOLS &amp; SUPPLIES</v>
          </cell>
          <cell r="D8538" t="str">
            <v>MIL48-22-6107</v>
          </cell>
          <cell r="BA8538">
            <v>18.989999999999998</v>
          </cell>
        </row>
        <row r="8539">
          <cell r="C8539" t="str">
            <v>4509 - TOOLS &amp; SUPPLIES</v>
          </cell>
          <cell r="D8539" t="str">
            <v>EMPC250G</v>
          </cell>
          <cell r="BA8539">
            <v>16.989999999999998</v>
          </cell>
        </row>
        <row r="8540">
          <cell r="C8540" t="str">
            <v>4509 - TOOLS &amp; SUPPLIES</v>
          </cell>
          <cell r="D8540" t="str">
            <v>EWPC300G</v>
          </cell>
          <cell r="BA8540">
            <v>19.989999999999998</v>
          </cell>
        </row>
        <row r="8541">
          <cell r="C8541" t="str">
            <v>4509 - TOOLS &amp; SUPPLIES</v>
          </cell>
          <cell r="D8541" t="str">
            <v>EWPC360G</v>
          </cell>
          <cell r="BA8541">
            <v>19.989999999999998</v>
          </cell>
        </row>
        <row r="8542">
          <cell r="C8542" t="str">
            <v>4509 - TOOLS &amp; SUPPLIES</v>
          </cell>
          <cell r="D8542" t="str">
            <v>EMMP250G</v>
          </cell>
          <cell r="BA8542">
            <v>18.989999999999998</v>
          </cell>
        </row>
        <row r="8543">
          <cell r="C8543" t="str">
            <v>4509 - TOOLS &amp; SUPPLIES</v>
          </cell>
          <cell r="D8543" t="str">
            <v>FRDBD040040101F</v>
          </cell>
          <cell r="BA8543">
            <v>3.79</v>
          </cell>
        </row>
        <row r="8544">
          <cell r="C8544" t="str">
            <v>4509 - TOOLS &amp; SUPPLIES</v>
          </cell>
          <cell r="D8544" t="str">
            <v>FRDBD040125701C</v>
          </cell>
          <cell r="BA8544">
            <v>3.29</v>
          </cell>
        </row>
        <row r="8545">
          <cell r="C8545" t="str">
            <v>4509 - TOOLS &amp; SUPPLIES</v>
          </cell>
          <cell r="D8545" t="str">
            <v>FRDBD040250701C</v>
          </cell>
          <cell r="BA8545">
            <v>3.79</v>
          </cell>
        </row>
        <row r="8546">
          <cell r="C8546" t="str">
            <v>4509 - TOOLS &amp; SUPPLIES</v>
          </cell>
          <cell r="D8546" t="str">
            <v>FRDBD040250701F</v>
          </cell>
          <cell r="BA8546">
            <v>4.79</v>
          </cell>
        </row>
        <row r="8547">
          <cell r="C8547" t="str">
            <v>4509 - TOOLS &amp; SUPPLIES</v>
          </cell>
          <cell r="D8547" t="str">
            <v>FRDBD045040101F</v>
          </cell>
          <cell r="BA8547">
            <v>3.99</v>
          </cell>
        </row>
        <row r="8548">
          <cell r="C8548" t="str">
            <v>4509 - TOOLS &amp; SUPPLIES</v>
          </cell>
          <cell r="D8548" t="str">
            <v>FRDBD045063701F</v>
          </cell>
          <cell r="BA8548">
            <v>4.59</v>
          </cell>
        </row>
        <row r="8549">
          <cell r="C8549" t="str">
            <v>4509 - TOOLS &amp; SUPPLIES</v>
          </cell>
          <cell r="D8549" t="str">
            <v>FRDBD045125701C</v>
          </cell>
          <cell r="BA8549">
            <v>3.79</v>
          </cell>
        </row>
        <row r="8550">
          <cell r="C8550" t="str">
            <v>4509 - TOOLS &amp; SUPPLIES</v>
          </cell>
          <cell r="D8550" t="str">
            <v>FRDBD045125701F</v>
          </cell>
          <cell r="BA8550">
            <v>4.59</v>
          </cell>
        </row>
        <row r="8551">
          <cell r="C8551" t="str">
            <v>4509 - TOOLS &amp; SUPPLIES</v>
          </cell>
          <cell r="D8551" t="str">
            <v>FRDBD045125X01F</v>
          </cell>
          <cell r="BA8551">
            <v>4.79</v>
          </cell>
        </row>
        <row r="8552">
          <cell r="C8552" t="str">
            <v>4509 - TOOLS &amp; SUPPLIES</v>
          </cell>
          <cell r="D8552" t="str">
            <v>FRDBD045250701C</v>
          </cell>
          <cell r="BA8552">
            <v>3.99</v>
          </cell>
        </row>
        <row r="8553">
          <cell r="C8553" t="str">
            <v>4509 - TOOLS &amp; SUPPLIES</v>
          </cell>
          <cell r="D8553" t="str">
            <v>FRDBD045250701F</v>
          </cell>
          <cell r="BA8553">
            <v>5.39</v>
          </cell>
        </row>
        <row r="8554">
          <cell r="C8554" t="str">
            <v>4509 - TOOLS &amp; SUPPLIES</v>
          </cell>
          <cell r="D8554" t="str">
            <v>FRDBD060045101F</v>
          </cell>
          <cell r="BA8554">
            <v>4.99</v>
          </cell>
        </row>
        <row r="8555">
          <cell r="C8555" t="str">
            <v>4509 - TOOLS &amp; SUPPLIES</v>
          </cell>
          <cell r="D8555" t="str">
            <v>FRDBD065125L01C</v>
          </cell>
          <cell r="BA8555">
            <v>4.99</v>
          </cell>
        </row>
        <row r="8556">
          <cell r="C8556" t="str">
            <v>4509 - TOOLS &amp; SUPPLIES</v>
          </cell>
          <cell r="D8556" t="str">
            <v>FRDBD065125L01F</v>
          </cell>
          <cell r="BA8556">
            <v>5.99</v>
          </cell>
        </row>
        <row r="8557">
          <cell r="C8557" t="str">
            <v>4509 - TOOLS &amp; SUPPLIES</v>
          </cell>
          <cell r="D8557" t="str">
            <v>FRDBD070063701F</v>
          </cell>
          <cell r="BA8557">
            <v>5.39</v>
          </cell>
        </row>
        <row r="8558">
          <cell r="C8558" t="str">
            <v>4509 - TOOLS &amp; SUPPLIES</v>
          </cell>
          <cell r="D8558" t="str">
            <v>FRDBD070125L01F</v>
          </cell>
          <cell r="BA8558">
            <v>5.99</v>
          </cell>
        </row>
        <row r="8559">
          <cell r="C8559" t="str">
            <v>4509 - TOOLS &amp; SUPPLIES</v>
          </cell>
          <cell r="D8559" t="str">
            <v>FRDBD070250B01C</v>
          </cell>
          <cell r="BA8559">
            <v>5.69</v>
          </cell>
        </row>
        <row r="8560">
          <cell r="C8560" t="str">
            <v>4509 - TOOLS &amp; SUPPLIES</v>
          </cell>
          <cell r="D8560" t="str">
            <v>FRDBD070250B01F</v>
          </cell>
          <cell r="BA8560">
            <v>9.99</v>
          </cell>
        </row>
        <row r="8561">
          <cell r="C8561" t="str">
            <v>4509 - TOOLS &amp; SUPPLIES</v>
          </cell>
          <cell r="D8561" t="str">
            <v>FRDBD100093L01C</v>
          </cell>
          <cell r="BA8561">
            <v>6.99</v>
          </cell>
        </row>
        <row r="8562">
          <cell r="C8562" t="str">
            <v>4509 - TOOLS &amp; SUPPLIES</v>
          </cell>
          <cell r="D8562" t="str">
            <v>FRDBD100093L01F</v>
          </cell>
          <cell r="BA8562">
            <v>6.99</v>
          </cell>
        </row>
        <row r="8563">
          <cell r="C8563" t="str">
            <v>4509 - TOOLS &amp; SUPPLIES</v>
          </cell>
          <cell r="D8563" t="str">
            <v>FRDBD120125A01C</v>
          </cell>
          <cell r="BA8563">
            <v>9.99</v>
          </cell>
        </row>
        <row r="8564">
          <cell r="C8564" t="str">
            <v>4509 - TOOLS &amp; SUPPLIES</v>
          </cell>
          <cell r="D8564" t="str">
            <v>FRDBD120125A01F</v>
          </cell>
          <cell r="BA8564">
            <v>9.99</v>
          </cell>
        </row>
        <row r="8565">
          <cell r="C8565" t="str">
            <v>4509 - TOOLS &amp; SUPPLIES</v>
          </cell>
          <cell r="D8565" t="str">
            <v>FRDBD140125A01C</v>
          </cell>
          <cell r="BA8565">
            <v>9.99</v>
          </cell>
        </row>
        <row r="8566">
          <cell r="C8566" t="str">
            <v>4509 - TOOLS &amp; SUPPLIES</v>
          </cell>
          <cell r="D8566" t="str">
            <v>FRDBD140125A01F</v>
          </cell>
          <cell r="BA8566">
            <v>9.99</v>
          </cell>
        </row>
        <row r="8567">
          <cell r="C8567" t="str">
            <v>4509 - TOOLS &amp; SUPPLIES</v>
          </cell>
          <cell r="D8567" t="str">
            <v>FRPBD045063101C</v>
          </cell>
          <cell r="BA8567">
            <v>3.49</v>
          </cell>
        </row>
        <row r="8568">
          <cell r="C8568" t="str">
            <v>4509 - TOOLS &amp; SUPPLIES</v>
          </cell>
          <cell r="D8568" t="str">
            <v>HT33250</v>
          </cell>
          <cell r="BA8568">
            <v>6.99</v>
          </cell>
        </row>
        <row r="8569">
          <cell r="C8569" t="str">
            <v>4509 - TOOLS &amp; SUPPLIES</v>
          </cell>
          <cell r="D8569" t="str">
            <v>MT977</v>
          </cell>
          <cell r="BA8569">
            <v>1.99</v>
          </cell>
        </row>
        <row r="8570">
          <cell r="C8570" t="str">
            <v>4509 - TOOLS &amp; SUPPLIES</v>
          </cell>
          <cell r="D8570" t="str">
            <v>SPPC0630</v>
          </cell>
          <cell r="BA8570">
            <v>11.99</v>
          </cell>
        </row>
        <row r="8571">
          <cell r="C8571" t="str">
            <v>4509 - TOOLS &amp; SUPPLIES</v>
          </cell>
          <cell r="D8571" t="str">
            <v>ST33158</v>
          </cell>
          <cell r="BA8571">
            <v>9.99</v>
          </cell>
        </row>
        <row r="8572">
          <cell r="C8572" t="str">
            <v>4509 - TOOLS &amp; SUPPLIES</v>
          </cell>
          <cell r="D8572" t="str">
            <v>ST39524</v>
          </cell>
          <cell r="BA8572">
            <v>322.99</v>
          </cell>
        </row>
        <row r="8573">
          <cell r="C8573" t="str">
            <v>4509 - TOOLS &amp; SUPPLIES</v>
          </cell>
          <cell r="D8573" t="str">
            <v>ST37478</v>
          </cell>
          <cell r="BA8573">
            <v>329.99</v>
          </cell>
        </row>
        <row r="8574">
          <cell r="C8574" t="str">
            <v>4509 - TOOLS &amp; SUPPLIES</v>
          </cell>
          <cell r="D8574" t="str">
            <v>ST38648</v>
          </cell>
          <cell r="BA8574">
            <v>199.99</v>
          </cell>
        </row>
        <row r="8575">
          <cell r="C8575" t="str">
            <v>4509 - TOOLS &amp; SUPPLIES</v>
          </cell>
          <cell r="D8575" t="str">
            <v>VBBC12</v>
          </cell>
          <cell r="BA8575">
            <v>22.99</v>
          </cell>
        </row>
        <row r="8576">
          <cell r="C8576" t="str">
            <v>4509 - TOOLS &amp; SUPPLIES</v>
          </cell>
          <cell r="D8576" t="str">
            <v>VBCF2HC</v>
          </cell>
          <cell r="BA8576">
            <v>34.99</v>
          </cell>
        </row>
        <row r="8577">
          <cell r="C8577" t="str">
            <v>4509 - TOOLS &amp; SUPPLIES</v>
          </cell>
          <cell r="D8577" t="str">
            <v>MIL48-22-2760</v>
          </cell>
          <cell r="BA8577">
            <v>16.989999999999998</v>
          </cell>
        </row>
        <row r="8578">
          <cell r="C8578" t="str">
            <v>4509 - TOOLS &amp; SUPPLIES</v>
          </cell>
          <cell r="D8578" t="str">
            <v>MK5377MG</v>
          </cell>
          <cell r="BA8578">
            <v>229.99</v>
          </cell>
        </row>
        <row r="8579">
          <cell r="C8579" t="str">
            <v>4509 - TOOLS &amp; SUPPLIES</v>
          </cell>
          <cell r="D8579" t="str">
            <v>3M56060NA</v>
          </cell>
          <cell r="BA8579">
            <v>4.09</v>
          </cell>
        </row>
        <row r="8580">
          <cell r="C8580" t="str">
            <v>4509 - TOOLS &amp; SUPPLIES</v>
          </cell>
          <cell r="D8580" t="str">
            <v>3M25220NA</v>
          </cell>
          <cell r="BA8580">
            <v>4.29</v>
          </cell>
        </row>
        <row r="8581">
          <cell r="C8581" t="str">
            <v>4509 - TOOLS &amp; SUPPLIES</v>
          </cell>
          <cell r="D8581" t="str">
            <v>PT158938</v>
          </cell>
          <cell r="BA8581">
            <v>31.99</v>
          </cell>
        </row>
        <row r="8582">
          <cell r="C8582" t="str">
            <v>4509 - TOOLS &amp; SUPPLIES</v>
          </cell>
          <cell r="D8582" t="str">
            <v>MKXRJ04Z</v>
          </cell>
          <cell r="BA8582">
            <v>149.99</v>
          </cell>
        </row>
        <row r="8583">
          <cell r="C8583" t="str">
            <v>4509 - TOOLS &amp; SUPPLIES</v>
          </cell>
          <cell r="D8583" t="str">
            <v>MIL296</v>
          </cell>
          <cell r="BA8583">
            <v>5.99</v>
          </cell>
        </row>
        <row r="8584">
          <cell r="C8584" t="str">
            <v>4509 - TOOLS &amp; SUPPLIES</v>
          </cell>
          <cell r="D8584" t="str">
            <v>MIL330-24</v>
          </cell>
          <cell r="BA8584">
            <v>9.99</v>
          </cell>
        </row>
        <row r="8585">
          <cell r="C8585" t="str">
            <v>4509 - TOOLS &amp; SUPPLIES</v>
          </cell>
          <cell r="D8585" t="str">
            <v>MIL4004</v>
          </cell>
          <cell r="BA8585">
            <v>16.989999999999998</v>
          </cell>
        </row>
        <row r="8586">
          <cell r="C8586" t="str">
            <v>4509 - TOOLS &amp; SUPPLIES</v>
          </cell>
          <cell r="D8586" t="str">
            <v>MILTI16SC-F</v>
          </cell>
          <cell r="BA8586">
            <v>161.99</v>
          </cell>
        </row>
        <row r="8587">
          <cell r="C8587" t="str">
            <v>4509 - TOOLS &amp; SUPPLIES</v>
          </cell>
          <cell r="D8587" t="str">
            <v>WPGARS604TEG</v>
          </cell>
          <cell r="BA8587">
            <v>299.99</v>
          </cell>
        </row>
        <row r="8588">
          <cell r="C8588" t="str">
            <v>4509 - TOOLS &amp; SUPPLIES</v>
          </cell>
          <cell r="D8588" t="str">
            <v>MIL49-22-4006</v>
          </cell>
          <cell r="BA8588">
            <v>57.99</v>
          </cell>
        </row>
        <row r="8589">
          <cell r="C8589" t="str">
            <v>4509 - TOOLS &amp; SUPPLIES</v>
          </cell>
          <cell r="D8589" t="str">
            <v>MIL49-66-4513</v>
          </cell>
          <cell r="BA8589">
            <v>7.59</v>
          </cell>
        </row>
        <row r="8590">
          <cell r="C8590" t="str">
            <v>4509 - TOOLS &amp; SUPPLIES</v>
          </cell>
          <cell r="D8590" t="str">
            <v>FRDBD050063101C</v>
          </cell>
          <cell r="BA8590">
            <v>4.59</v>
          </cell>
        </row>
        <row r="8591">
          <cell r="C8591" t="str">
            <v>4509 - TOOLS &amp; SUPPLIES</v>
          </cell>
          <cell r="D8591" t="str">
            <v>FRDBD040125701F</v>
          </cell>
          <cell r="BA8591">
            <v>4.79</v>
          </cell>
        </row>
        <row r="8592">
          <cell r="C8592" t="str">
            <v>4509 - TOOLS &amp; SUPPLIES</v>
          </cell>
          <cell r="D8592" t="str">
            <v>FRDBD050250701F</v>
          </cell>
          <cell r="BA8592">
            <v>4.99</v>
          </cell>
        </row>
        <row r="8593">
          <cell r="C8593" t="str">
            <v>4509 - TOOLS &amp; SUPPLIES</v>
          </cell>
          <cell r="D8593" t="str">
            <v>FRDBD050040101F</v>
          </cell>
          <cell r="BA8593">
            <v>4.99</v>
          </cell>
        </row>
        <row r="8594">
          <cell r="C8594" t="str">
            <v>4509 - TOOLS &amp; SUPPLIES</v>
          </cell>
          <cell r="D8594" t="str">
            <v>FRDBD050125X01F</v>
          </cell>
          <cell r="BA8594">
            <v>4.99</v>
          </cell>
        </row>
        <row r="8595">
          <cell r="C8595" t="str">
            <v>4509 - TOOLS &amp; SUPPLIES</v>
          </cell>
          <cell r="D8595" t="str">
            <v>FRDBD120125G01F</v>
          </cell>
          <cell r="BA8595">
            <v>9.99</v>
          </cell>
        </row>
        <row r="8596">
          <cell r="C8596" t="str">
            <v>4509 - TOOLS &amp; SUPPLIES</v>
          </cell>
          <cell r="D8596" t="str">
            <v>FRDBD140125G01C</v>
          </cell>
          <cell r="BA8596">
            <v>10.99</v>
          </cell>
        </row>
        <row r="8597">
          <cell r="C8597" t="str">
            <v>4509 - TOOLS &amp; SUPPLIES</v>
          </cell>
          <cell r="D8597" t="str">
            <v>FRDBD140125G01F</v>
          </cell>
          <cell r="BA8597">
            <v>9.99</v>
          </cell>
        </row>
        <row r="8598">
          <cell r="C8598" t="str">
            <v>4509 - TOOLS &amp; SUPPLIES</v>
          </cell>
          <cell r="D8598" t="str">
            <v>FRPBD040063101C</v>
          </cell>
          <cell r="BA8598">
            <v>2.79</v>
          </cell>
        </row>
        <row r="8599">
          <cell r="C8599" t="str">
            <v>4509 - TOOLS &amp; SUPPLIES</v>
          </cell>
          <cell r="D8599" t="str">
            <v>FRPBD070125L01C</v>
          </cell>
          <cell r="BA8599">
            <v>4.29</v>
          </cell>
        </row>
        <row r="8600">
          <cell r="C8600" t="str">
            <v>4509 - TOOLS &amp; SUPPLIES</v>
          </cell>
          <cell r="D8600" t="str">
            <v>FRPBD030063105F</v>
          </cell>
          <cell r="BA8600">
            <v>3.29</v>
          </cell>
        </row>
        <row r="8601">
          <cell r="C8601" t="str">
            <v>4509 - TOOLS &amp; SUPPLIES</v>
          </cell>
          <cell r="D8601" t="str">
            <v>MIL650-48</v>
          </cell>
          <cell r="BA8601">
            <v>42.99</v>
          </cell>
        </row>
        <row r="8602">
          <cell r="C8602" t="str">
            <v>4509 - TOOLS &amp; SUPPLIES</v>
          </cell>
          <cell r="D8602" t="str">
            <v>MIL650-72</v>
          </cell>
          <cell r="BA8602">
            <v>74.989999999999995</v>
          </cell>
        </row>
        <row r="8603">
          <cell r="C8603" t="str">
            <v>4509 - TOOLS &amp; SUPPLIES</v>
          </cell>
          <cell r="D8603" t="str">
            <v>SKSPT77WML-01</v>
          </cell>
          <cell r="BA8603">
            <v>219.99</v>
          </cell>
        </row>
        <row r="8604">
          <cell r="C8604" t="str">
            <v>4509 - TOOLS &amp; SUPPLIES</v>
          </cell>
          <cell r="D8604" t="str">
            <v>BULKPROPANE</v>
          </cell>
          <cell r="BA8604">
            <v>2.4900000000000002</v>
          </cell>
        </row>
        <row r="8605">
          <cell r="C8605" t="str">
            <v>4509 - TOOLS &amp; SUPPLIES</v>
          </cell>
          <cell r="D8605" t="str">
            <v>SPPC1010</v>
          </cell>
          <cell r="BA8605">
            <v>199.99</v>
          </cell>
        </row>
        <row r="8606">
          <cell r="C8606" t="str">
            <v>4509 - TOOLS &amp; SUPPLIES</v>
          </cell>
          <cell r="D8606" t="str">
            <v>ZC69585</v>
          </cell>
          <cell r="BA8606">
            <v>22.99</v>
          </cell>
        </row>
        <row r="8607">
          <cell r="C8607" t="str">
            <v>4509 - TOOLS &amp; SUPPLIES</v>
          </cell>
          <cell r="D8607" t="str">
            <v>FRDND050400H10I</v>
          </cell>
          <cell r="BA8607">
            <v>14.99</v>
          </cell>
        </row>
        <row r="8608">
          <cell r="C8608" t="str">
            <v>4509 - TOOLS &amp; SUPPLIES</v>
          </cell>
          <cell r="D8608" t="str">
            <v>FRDND050320H10I</v>
          </cell>
          <cell r="BA8608">
            <v>14.99</v>
          </cell>
        </row>
        <row r="8609">
          <cell r="C8609" t="str">
            <v>4509 - TOOLS &amp; SUPPLIES</v>
          </cell>
          <cell r="D8609" t="str">
            <v>FRDND050220H10I</v>
          </cell>
          <cell r="BA8609">
            <v>14.99</v>
          </cell>
        </row>
        <row r="8610">
          <cell r="C8610" t="str">
            <v>4509 - TOOLS &amp; SUPPLIES</v>
          </cell>
          <cell r="D8610" t="str">
            <v>FRDND050180H10I</v>
          </cell>
          <cell r="BA8610">
            <v>14.99</v>
          </cell>
        </row>
        <row r="8611">
          <cell r="C8611" t="str">
            <v>4509 - TOOLS &amp; SUPPLIES</v>
          </cell>
          <cell r="D8611" t="str">
            <v>FRDND050120H10I</v>
          </cell>
          <cell r="BA8611">
            <v>14.99</v>
          </cell>
        </row>
        <row r="8612">
          <cell r="C8612" t="str">
            <v>4509 - TOOLS &amp; SUPPLIES</v>
          </cell>
          <cell r="D8612" t="str">
            <v>FRDND050150H10I</v>
          </cell>
          <cell r="BA8612">
            <v>14.99</v>
          </cell>
        </row>
        <row r="8613">
          <cell r="C8613" t="str">
            <v>4509 - TOOLS &amp; SUPPLIES</v>
          </cell>
          <cell r="D8613" t="str">
            <v>FRDND050080H10I</v>
          </cell>
          <cell r="BA8613">
            <v>14.99</v>
          </cell>
        </row>
        <row r="8614">
          <cell r="C8614" t="str">
            <v>4509 - TOOLS &amp; SUPPLIES</v>
          </cell>
          <cell r="D8614" t="str">
            <v>FRDCD050320H15G</v>
          </cell>
          <cell r="BA8614">
            <v>9.99</v>
          </cell>
        </row>
        <row r="8615">
          <cell r="C8615" t="str">
            <v>4509 - TOOLS &amp; SUPPLIES</v>
          </cell>
          <cell r="D8615" t="str">
            <v>FRDCD050180H15G</v>
          </cell>
          <cell r="BA8615">
            <v>9.99</v>
          </cell>
        </row>
        <row r="8616">
          <cell r="C8616" t="str">
            <v>4509 - TOOLS &amp; SUPPLIES</v>
          </cell>
          <cell r="D8616" t="str">
            <v>FRDCD050040H15G</v>
          </cell>
          <cell r="BA8616">
            <v>5.39</v>
          </cell>
        </row>
        <row r="8617">
          <cell r="C8617" t="str">
            <v>4509 - TOOLS &amp; SUPPLIES</v>
          </cell>
          <cell r="D8617" t="str">
            <v>MIL48-22-2706</v>
          </cell>
          <cell r="BA8617">
            <v>22.99</v>
          </cell>
        </row>
        <row r="8618">
          <cell r="C8618" t="str">
            <v>4509 - TOOLS &amp; SUPPLIES</v>
          </cell>
          <cell r="D8618" t="str">
            <v>JL7500M</v>
          </cell>
          <cell r="BA8618">
            <v>5.99</v>
          </cell>
        </row>
        <row r="8619">
          <cell r="C8619" t="str">
            <v>4509 - TOOLS &amp; SUPPLIES</v>
          </cell>
          <cell r="D8619" t="str">
            <v>JLRAS170BORA</v>
          </cell>
          <cell r="BA8619">
            <v>13.99</v>
          </cell>
        </row>
        <row r="8620">
          <cell r="C8620" t="str">
            <v>4509 - TOOLS &amp; SUPPLIES</v>
          </cell>
          <cell r="D8620" t="str">
            <v>PL11417N</v>
          </cell>
          <cell r="BA8620">
            <v>26.79</v>
          </cell>
        </row>
        <row r="8621">
          <cell r="C8621" t="str">
            <v>4509 - TOOLS &amp; SUPPLIES</v>
          </cell>
          <cell r="D8621" t="str">
            <v>DWA4216</v>
          </cell>
          <cell r="BA8621">
            <v>52.99</v>
          </cell>
        </row>
        <row r="8622">
          <cell r="C8622" t="str">
            <v>4509 - TOOLS &amp; SUPPLIES</v>
          </cell>
          <cell r="D8622" t="str">
            <v>DIX00500</v>
          </cell>
          <cell r="BA8622">
            <v>8.69</v>
          </cell>
        </row>
        <row r="8623">
          <cell r="C8623" t="str">
            <v>4509 - TOOLS &amp; SUPPLIES</v>
          </cell>
          <cell r="D8623" t="str">
            <v>FRDBD120125G01C</v>
          </cell>
          <cell r="BA8623">
            <v>9.99</v>
          </cell>
        </row>
        <row r="8624">
          <cell r="C8624" t="str">
            <v>4509 - TOOLS &amp; SUPPLIES</v>
          </cell>
          <cell r="D8624" t="str">
            <v>MIL49-56-9300</v>
          </cell>
          <cell r="BA8624">
            <v>10.99</v>
          </cell>
        </row>
        <row r="8625">
          <cell r="C8625" t="str">
            <v>4509 - TOOLS &amp; SUPPLIES</v>
          </cell>
          <cell r="D8625" t="str">
            <v>MIL49-56-9255</v>
          </cell>
          <cell r="BA8625">
            <v>59.99</v>
          </cell>
        </row>
        <row r="8626">
          <cell r="C8626" t="str">
            <v>4509 - TOOLS &amp; SUPPLIES</v>
          </cell>
          <cell r="D8626" t="str">
            <v>MIL49-56-9210</v>
          </cell>
          <cell r="BA8626">
            <v>29.99</v>
          </cell>
        </row>
        <row r="8627">
          <cell r="C8627" t="str">
            <v>4509 - TOOLS &amp; SUPPLIES</v>
          </cell>
          <cell r="D8627" t="str">
            <v>MIL49-56-9215</v>
          </cell>
          <cell r="BA8627">
            <v>29.69</v>
          </cell>
        </row>
        <row r="8628">
          <cell r="C8628" t="str">
            <v>4509 - TOOLS &amp; SUPPLIES</v>
          </cell>
          <cell r="D8628" t="str">
            <v>MIL49-56-9265</v>
          </cell>
          <cell r="BA8628">
            <v>51.99</v>
          </cell>
        </row>
        <row r="8629">
          <cell r="C8629" t="str">
            <v>4509 - TOOLS &amp; SUPPLIES</v>
          </cell>
          <cell r="D8629" t="str">
            <v>MIL49-56-9280</v>
          </cell>
          <cell r="BA8629">
            <v>133.99</v>
          </cell>
        </row>
        <row r="8630">
          <cell r="C8630" t="str">
            <v>4509 - TOOLS &amp; SUPPLIES</v>
          </cell>
          <cell r="D8630" t="str">
            <v>MIL49-56-9220</v>
          </cell>
          <cell r="BA8630">
            <v>39.99</v>
          </cell>
        </row>
        <row r="8631">
          <cell r="C8631" t="str">
            <v>4509 - TOOLS &amp; SUPPLIES</v>
          </cell>
          <cell r="D8631" t="str">
            <v>MIL49-56-9230</v>
          </cell>
          <cell r="BA8631">
            <v>45.99</v>
          </cell>
        </row>
        <row r="8632">
          <cell r="C8632" t="str">
            <v>4509 - TOOLS &amp; SUPPLIES</v>
          </cell>
          <cell r="D8632" t="str">
            <v>MIL49-56-9240</v>
          </cell>
          <cell r="BA8632">
            <v>49.99</v>
          </cell>
        </row>
        <row r="8633">
          <cell r="C8633" t="str">
            <v>4509 - TOOLS &amp; SUPPLIES</v>
          </cell>
          <cell r="D8633" t="str">
            <v>MIL49-56-9275</v>
          </cell>
          <cell r="BA8633">
            <v>87.99</v>
          </cell>
        </row>
        <row r="8634">
          <cell r="C8634" t="str">
            <v>4509 - TOOLS &amp; SUPPLIES</v>
          </cell>
          <cell r="D8634" t="str">
            <v>SV5982105</v>
          </cell>
          <cell r="BA8634">
            <v>119.99</v>
          </cell>
        </row>
        <row r="8635">
          <cell r="C8635" t="str">
            <v>4509 - TOOLS &amp; SUPPLIES</v>
          </cell>
          <cell r="D8635" t="str">
            <v>SV5985005</v>
          </cell>
          <cell r="BA8635">
            <v>82.99</v>
          </cell>
        </row>
        <row r="8636">
          <cell r="C8636" t="str">
            <v>4509 - TOOLS &amp; SUPPLIES</v>
          </cell>
          <cell r="D8636" t="str">
            <v>FREDCX045080B01F</v>
          </cell>
          <cell r="BA8636">
            <v>10.99</v>
          </cell>
        </row>
        <row r="8637">
          <cell r="C8637" t="str">
            <v>4509 - TOOLS &amp; SUPPLIES</v>
          </cell>
          <cell r="D8637" t="str">
            <v>FREDCX045060B01F</v>
          </cell>
          <cell r="BA8637">
            <v>10.99</v>
          </cell>
        </row>
        <row r="8638">
          <cell r="C8638" t="str">
            <v>4509 - TOOLS &amp; SUPPLIES</v>
          </cell>
          <cell r="D8638" t="str">
            <v>FREDCX045040B01F</v>
          </cell>
          <cell r="BA8638">
            <v>10.99</v>
          </cell>
        </row>
        <row r="8639">
          <cell r="C8639" t="str">
            <v>4509 - TOOLS &amp; SUPPLIES</v>
          </cell>
          <cell r="D8639" t="str">
            <v>DWHT75900</v>
          </cell>
          <cell r="BA8639">
            <v>39.99</v>
          </cell>
        </row>
        <row r="8640">
          <cell r="C8640" t="str">
            <v>4509 - TOOLS &amp; SUPPLIES</v>
          </cell>
          <cell r="D8640" t="str">
            <v>SKSPT70V-11</v>
          </cell>
          <cell r="BA8640">
            <v>779.99</v>
          </cell>
        </row>
        <row r="8641">
          <cell r="C8641" t="str">
            <v>4509 - TOOLS &amp; SUPPLIES</v>
          </cell>
          <cell r="D8641" t="str">
            <v>DWDW6804</v>
          </cell>
          <cell r="BA8641">
            <v>11.99</v>
          </cell>
        </row>
        <row r="8642">
          <cell r="C8642" t="str">
            <v>4509 - TOOLS &amp; SUPPLIES</v>
          </cell>
          <cell r="D8642" t="str">
            <v>DWDW6815</v>
          </cell>
          <cell r="BA8642">
            <v>11.99</v>
          </cell>
        </row>
        <row r="8643">
          <cell r="C8643" t="str">
            <v>4509 - TOOLS &amp; SUPPLIES</v>
          </cell>
          <cell r="D8643" t="str">
            <v>DWDW6825</v>
          </cell>
          <cell r="BA8643">
            <v>11.99</v>
          </cell>
        </row>
        <row r="8644">
          <cell r="C8644" t="str">
            <v>4509 - TOOLS &amp; SUPPLIES</v>
          </cell>
          <cell r="D8644" t="str">
            <v>SI483503</v>
          </cell>
          <cell r="BA8644">
            <v>15.99</v>
          </cell>
        </row>
        <row r="8645">
          <cell r="C8645" t="str">
            <v>4509 - TOOLS &amp; SUPPLIES</v>
          </cell>
          <cell r="D8645" t="str">
            <v>DPWV-30</v>
          </cell>
          <cell r="BA8645">
            <v>0.53</v>
          </cell>
        </row>
        <row r="8646">
          <cell r="C8646" t="str">
            <v>4509 - TOOLS &amp; SUPPLIES</v>
          </cell>
          <cell r="D8646" t="str">
            <v>MIL2997-22</v>
          </cell>
          <cell r="BA8646">
            <v>399.99</v>
          </cell>
        </row>
        <row r="8647">
          <cell r="C8647" t="str">
            <v>4509 - TOOLS &amp; SUPPLIES</v>
          </cell>
          <cell r="D8647" t="str">
            <v>ST10550M</v>
          </cell>
          <cell r="BA8647">
            <v>21.49</v>
          </cell>
        </row>
        <row r="8648">
          <cell r="C8648" t="str">
            <v>4509 - TOOLS &amp; SUPPLIES</v>
          </cell>
          <cell r="D8648" t="str">
            <v>STFMHT36325</v>
          </cell>
          <cell r="BA8648">
            <v>35.99</v>
          </cell>
        </row>
        <row r="8649">
          <cell r="C8649" t="str">
            <v>4509 - TOOLS &amp; SUPPLIES</v>
          </cell>
          <cell r="D8649" t="str">
            <v>STFMHT36335S</v>
          </cell>
          <cell r="BA8649">
            <v>45.99</v>
          </cell>
        </row>
        <row r="8650">
          <cell r="C8650" t="str">
            <v>4509 - TOOLS &amp; SUPPLIES</v>
          </cell>
          <cell r="D8650" t="str">
            <v>STFMHT38325S</v>
          </cell>
          <cell r="BA8650">
            <v>24.99</v>
          </cell>
        </row>
        <row r="8651">
          <cell r="C8651" t="str">
            <v>4509 - TOOLS &amp; SUPPLIES</v>
          </cell>
          <cell r="D8651" t="str">
            <v>LEN20565S614R</v>
          </cell>
          <cell r="BA8651">
            <v>4.99</v>
          </cell>
        </row>
        <row r="8652">
          <cell r="C8652" t="str">
            <v>4509 - TOOLS &amp; SUPPLIES</v>
          </cell>
          <cell r="D8652" t="str">
            <v>3M07058</v>
          </cell>
          <cell r="BA8652">
            <v>0.99</v>
          </cell>
        </row>
        <row r="8653">
          <cell r="C8653" t="str">
            <v>4509 - TOOLS &amp; SUPPLIES</v>
          </cell>
          <cell r="D8653" t="str">
            <v>HY3025</v>
          </cell>
          <cell r="BA8653">
            <v>1.39</v>
          </cell>
        </row>
        <row r="8654">
          <cell r="C8654" t="str">
            <v>4509 - TOOLS &amp; SUPPLIES</v>
          </cell>
          <cell r="D8654" t="str">
            <v>MAS312D</v>
          </cell>
          <cell r="BA8654">
            <v>14.99</v>
          </cell>
        </row>
        <row r="8655">
          <cell r="C8655" t="str">
            <v>4509 - TOOLS &amp; SUPPLIES</v>
          </cell>
          <cell r="D8655" t="str">
            <v>MINFH64019</v>
          </cell>
          <cell r="BA8655">
            <v>3.49</v>
          </cell>
        </row>
        <row r="8656">
          <cell r="C8656" t="str">
            <v>4509 - TOOLS &amp; SUPPLIES</v>
          </cell>
          <cell r="D8656" t="str">
            <v>MINFH64059</v>
          </cell>
          <cell r="BA8656">
            <v>25.99</v>
          </cell>
        </row>
        <row r="8657">
          <cell r="C8657" t="str">
            <v>4509 - TOOLS &amp; SUPPLIES</v>
          </cell>
          <cell r="D8657" t="str">
            <v>MINFH64087</v>
          </cell>
          <cell r="BA8657">
            <v>1.99</v>
          </cell>
        </row>
        <row r="8658">
          <cell r="C8658" t="str">
            <v>4509 - TOOLS &amp; SUPPLIES</v>
          </cell>
          <cell r="D8658" t="str">
            <v>BM65543</v>
          </cell>
          <cell r="BA8658">
            <v>19.989999999999998</v>
          </cell>
        </row>
        <row r="8659">
          <cell r="C8659" t="str">
            <v>4509 - TOOLS &amp; SUPPLIES</v>
          </cell>
          <cell r="D8659" t="str">
            <v>BM20364</v>
          </cell>
          <cell r="BA8659">
            <v>10.99</v>
          </cell>
        </row>
        <row r="8660">
          <cell r="C8660" t="str">
            <v>4509 - TOOLS &amp; SUPPLIES</v>
          </cell>
          <cell r="D8660" t="str">
            <v>BM63800</v>
          </cell>
          <cell r="BA8660">
            <v>15.99</v>
          </cell>
        </row>
        <row r="8661">
          <cell r="C8661" t="str">
            <v>4509 - TOOLS &amp; SUPPLIES</v>
          </cell>
          <cell r="D8661" t="str">
            <v>BM50003</v>
          </cell>
          <cell r="BA8661">
            <v>6.99</v>
          </cell>
        </row>
        <row r="8662">
          <cell r="C8662" t="str">
            <v>4509 - TOOLS &amp; SUPPLIES</v>
          </cell>
          <cell r="D8662" t="str">
            <v>BM48401</v>
          </cell>
          <cell r="BA8662">
            <v>7.99</v>
          </cell>
        </row>
        <row r="8663">
          <cell r="C8663" t="str">
            <v>4509 - TOOLS &amp; SUPPLIES</v>
          </cell>
          <cell r="D8663" t="str">
            <v>BM53800</v>
          </cell>
          <cell r="BA8663">
            <v>10.99</v>
          </cell>
        </row>
        <row r="8664">
          <cell r="C8664" t="str">
            <v>4509 - TOOLS &amp; SUPPLIES</v>
          </cell>
          <cell r="D8664" t="str">
            <v>BM95401</v>
          </cell>
          <cell r="BA8664">
            <v>7.59</v>
          </cell>
        </row>
        <row r="8665">
          <cell r="C8665" t="str">
            <v>4509 - TOOLS &amp; SUPPLIES</v>
          </cell>
          <cell r="D8665" t="str">
            <v>BM84221</v>
          </cell>
          <cell r="BA8665">
            <v>8.99</v>
          </cell>
        </row>
        <row r="8666">
          <cell r="C8666" t="str">
            <v>4509 - TOOLS &amp; SUPPLIES</v>
          </cell>
          <cell r="D8666" t="str">
            <v>BM84223</v>
          </cell>
          <cell r="BA8666">
            <v>14.99</v>
          </cell>
        </row>
        <row r="8667">
          <cell r="C8667" t="str">
            <v>4509 - TOOLS &amp; SUPPLIES</v>
          </cell>
          <cell r="D8667" t="str">
            <v>CRSG1G-6</v>
          </cell>
          <cell r="BA8667">
            <v>4.99</v>
          </cell>
        </row>
        <row r="8668">
          <cell r="C8668" t="str">
            <v>4509 - TOOLS &amp; SUPPLIES</v>
          </cell>
          <cell r="D8668" t="str">
            <v>MINFH64053</v>
          </cell>
          <cell r="BA8668">
            <v>10.99</v>
          </cell>
        </row>
        <row r="8669">
          <cell r="C8669" t="str">
            <v>4509 - TOOLS &amp; SUPPLIES</v>
          </cell>
          <cell r="D8669" t="str">
            <v>LHU9493AK</v>
          </cell>
          <cell r="BA8669">
            <v>4.29</v>
          </cell>
        </row>
        <row r="8670">
          <cell r="C8670" t="str">
            <v>4509 - TOOLS &amp; SUPPLIES</v>
          </cell>
          <cell r="D8670" t="str">
            <v>MINFH64017</v>
          </cell>
          <cell r="BA8670">
            <v>3.29</v>
          </cell>
        </row>
        <row r="8671">
          <cell r="C8671" t="str">
            <v>4509 - TOOLS &amp; SUPPLIES</v>
          </cell>
          <cell r="D8671" t="str">
            <v>LH16361</v>
          </cell>
          <cell r="BA8671">
            <v>14.99</v>
          </cell>
        </row>
        <row r="8672">
          <cell r="C8672" t="str">
            <v>4509 - TOOLS &amp; SUPPLIES</v>
          </cell>
          <cell r="D8672" t="str">
            <v>LH12605</v>
          </cell>
          <cell r="BA8672">
            <v>7.59</v>
          </cell>
        </row>
        <row r="8673">
          <cell r="C8673" t="str">
            <v>4509 - TOOLS &amp; SUPPLIES</v>
          </cell>
          <cell r="D8673" t="str">
            <v>TIOBT130</v>
          </cell>
          <cell r="BA8673">
            <v>34.99</v>
          </cell>
        </row>
        <row r="8674">
          <cell r="C8674" t="str">
            <v>4509 - TOOLS &amp; SUPPLIES</v>
          </cell>
          <cell r="D8674" t="str">
            <v>LH15661</v>
          </cell>
          <cell r="BA8674">
            <v>2.09</v>
          </cell>
        </row>
        <row r="8675">
          <cell r="C8675" t="str">
            <v>4509 - TOOLS &amp; SUPPLIES</v>
          </cell>
          <cell r="D8675" t="str">
            <v>MAS3TRILF</v>
          </cell>
          <cell r="BA8675">
            <v>27.99</v>
          </cell>
        </row>
        <row r="8676">
          <cell r="C8676" t="str">
            <v>4509 - TOOLS &amp; SUPPLIES</v>
          </cell>
          <cell r="D8676" t="str">
            <v>LH99912</v>
          </cell>
          <cell r="BA8676">
            <v>4.59</v>
          </cell>
        </row>
        <row r="8677">
          <cell r="C8677" t="str">
            <v>4509 - TOOLS &amp; SUPPLIES</v>
          </cell>
          <cell r="D8677" t="str">
            <v>MINFH64056</v>
          </cell>
          <cell r="BA8677">
            <v>13.99</v>
          </cell>
        </row>
        <row r="8678">
          <cell r="C8678" t="str">
            <v>4509 - TOOLS &amp; SUPPLIES</v>
          </cell>
          <cell r="D8678" t="str">
            <v>ZJ1016</v>
          </cell>
          <cell r="BA8678">
            <v>27.99</v>
          </cell>
        </row>
        <row r="8679">
          <cell r="C8679" t="str">
            <v>4509 - TOOLS &amp; SUPPLIES</v>
          </cell>
          <cell r="D8679" t="str">
            <v>QCTS35</v>
          </cell>
          <cell r="BA8679">
            <v>179.99</v>
          </cell>
        </row>
        <row r="8680">
          <cell r="C8680" t="str">
            <v>4509 - TOOLS &amp; SUPPLIES</v>
          </cell>
          <cell r="D8680" t="str">
            <v>MINFH64088-1</v>
          </cell>
          <cell r="BA8680">
            <v>1.99</v>
          </cell>
        </row>
        <row r="8681">
          <cell r="C8681" t="str">
            <v>4509 - TOOLS &amp; SUPPLIES</v>
          </cell>
          <cell r="D8681" t="str">
            <v>MINFH64088</v>
          </cell>
          <cell r="BA8681">
            <v>2.39</v>
          </cell>
        </row>
        <row r="8682">
          <cell r="C8682" t="str">
            <v>4509 - TOOLS &amp; SUPPLIES</v>
          </cell>
          <cell r="D8682" t="str">
            <v>N220-582</v>
          </cell>
          <cell r="BA8682">
            <v>2.79</v>
          </cell>
        </row>
        <row r="8683">
          <cell r="C8683" t="str">
            <v>4509 - TOOLS &amp; SUPPLIES</v>
          </cell>
          <cell r="D8683" t="str">
            <v>N303-990</v>
          </cell>
          <cell r="BA8683">
            <v>6.99</v>
          </cell>
        </row>
        <row r="8684">
          <cell r="C8684" t="str">
            <v>4509 - TOOLS &amp; SUPPLIES</v>
          </cell>
          <cell r="D8684" t="str">
            <v>QCTS27</v>
          </cell>
          <cell r="BA8684">
            <v>179.99</v>
          </cell>
        </row>
        <row r="8685">
          <cell r="C8685" t="str">
            <v>4509 - TOOLS &amp; SUPPLIES</v>
          </cell>
          <cell r="D8685" t="str">
            <v>FG-O3812-03</v>
          </cell>
          <cell r="BA8685">
            <v>14.99</v>
          </cell>
        </row>
        <row r="8686">
          <cell r="C8686" t="str">
            <v>4509 - TOOLS &amp; SUPPLIES</v>
          </cell>
          <cell r="D8686" t="str">
            <v>LH16350</v>
          </cell>
          <cell r="BA8686">
            <v>8.69</v>
          </cell>
        </row>
        <row r="8687">
          <cell r="C8687" t="str">
            <v>4509 - TOOLS &amp; SUPPLIES</v>
          </cell>
          <cell r="D8687" t="str">
            <v>JLCS2</v>
          </cell>
          <cell r="BA8687">
            <v>12.99</v>
          </cell>
        </row>
        <row r="8688">
          <cell r="C8688" t="str">
            <v>4509 - TOOLS &amp; SUPPLIES</v>
          </cell>
          <cell r="D8688" t="str">
            <v>11315</v>
          </cell>
          <cell r="BA8688">
            <v>6.99</v>
          </cell>
        </row>
        <row r="8689">
          <cell r="C8689" t="str">
            <v>4509 - TOOLS &amp; SUPPLIES</v>
          </cell>
          <cell r="D8689" t="str">
            <v>HK05015</v>
          </cell>
          <cell r="BA8689">
            <v>1.99</v>
          </cell>
        </row>
        <row r="8690">
          <cell r="C8690" t="str">
            <v>4509 - TOOLS &amp; SUPPLIES</v>
          </cell>
          <cell r="D8690" t="str">
            <v>PG11804</v>
          </cell>
          <cell r="BA8690">
            <v>6.99</v>
          </cell>
        </row>
        <row r="8691">
          <cell r="C8691" t="str">
            <v>4509 - TOOLS &amp; SUPPLIES</v>
          </cell>
          <cell r="D8691" t="str">
            <v>STHT37243</v>
          </cell>
          <cell r="BA8691">
            <v>14.99</v>
          </cell>
        </row>
        <row r="8692">
          <cell r="C8692" t="str">
            <v>4509 - TOOLS &amp; SUPPLIES</v>
          </cell>
          <cell r="D8692" t="str">
            <v>PP416</v>
          </cell>
          <cell r="BA8692">
            <v>2.79</v>
          </cell>
        </row>
        <row r="8693">
          <cell r="C8693" t="str">
            <v>4509 - TOOLS &amp; SUPPLIES</v>
          </cell>
          <cell r="D8693" t="str">
            <v>PP411SC</v>
          </cell>
          <cell r="BA8693">
            <v>3.19</v>
          </cell>
        </row>
        <row r="8694">
          <cell r="C8694" t="str">
            <v>4509 - TOOLS &amp; SUPPLIES</v>
          </cell>
          <cell r="D8694" t="str">
            <v>NMWB888</v>
          </cell>
          <cell r="BA8694">
            <v>0.99</v>
          </cell>
        </row>
        <row r="8695">
          <cell r="C8695" t="str">
            <v>4509 - TOOLS &amp; SUPPLIES</v>
          </cell>
          <cell r="D8695" t="str">
            <v>34885</v>
          </cell>
          <cell r="BA8695">
            <v>169.99</v>
          </cell>
        </row>
        <row r="8696">
          <cell r="C8696" t="str">
            <v>4509 - TOOLS &amp; SUPPLIES</v>
          </cell>
          <cell r="D8696" t="str">
            <v>HY3004</v>
          </cell>
          <cell r="BA8696">
            <v>1.39</v>
          </cell>
        </row>
        <row r="8697">
          <cell r="C8697" t="str">
            <v>4509 - TOOLS &amp; SUPPLIES</v>
          </cell>
          <cell r="D8697" t="str">
            <v>STHT71839</v>
          </cell>
          <cell r="BA8697">
            <v>18.989999999999998</v>
          </cell>
        </row>
        <row r="8698">
          <cell r="C8698" t="str">
            <v>4509 - TOOLS &amp; SUPPLIES</v>
          </cell>
          <cell r="D8698" t="str">
            <v>VCJL40114</v>
          </cell>
          <cell r="BA8698">
            <v>24.99</v>
          </cell>
        </row>
        <row r="8699">
          <cell r="C8699" t="str">
            <v>4509 - TOOLS &amp; SUPPLIES</v>
          </cell>
          <cell r="D8699" t="str">
            <v>CLCC11</v>
          </cell>
          <cell r="BA8699">
            <v>5.99</v>
          </cell>
        </row>
        <row r="8700">
          <cell r="C8700" t="str">
            <v>4509 - TOOLS &amp; SUPPLIES</v>
          </cell>
          <cell r="D8700" t="str">
            <v>PE588HR-RET</v>
          </cell>
          <cell r="BA8700">
            <v>82.99</v>
          </cell>
        </row>
        <row r="8701">
          <cell r="C8701" t="str">
            <v>4509 - TOOLS &amp; SUPPLIES</v>
          </cell>
          <cell r="D8701" t="str">
            <v>STHT30817S</v>
          </cell>
          <cell r="BA8701">
            <v>8.99</v>
          </cell>
        </row>
        <row r="8702">
          <cell r="C8702" t="str">
            <v>4509 - TOOLS &amp; SUPPLIES</v>
          </cell>
          <cell r="D8702" t="str">
            <v>SIBDA155</v>
          </cell>
          <cell r="BA8702">
            <v>22.69</v>
          </cell>
        </row>
        <row r="8703">
          <cell r="C8703" t="str">
            <v>4509 - TOOLS &amp; SUPPLIES</v>
          </cell>
          <cell r="D8703" t="str">
            <v>NN0345001</v>
          </cell>
          <cell r="BA8703">
            <v>59.99</v>
          </cell>
        </row>
        <row r="8704">
          <cell r="C8704" t="str">
            <v>4509 - TOOLS &amp; SUPPLIES</v>
          </cell>
          <cell r="D8704" t="str">
            <v>PU403620</v>
          </cell>
          <cell r="BA8704">
            <v>15.19</v>
          </cell>
        </row>
        <row r="8705">
          <cell r="C8705" t="str">
            <v>4509 - TOOLS &amp; SUPPLIES</v>
          </cell>
          <cell r="D8705" t="str">
            <v>PU403625</v>
          </cell>
          <cell r="BA8705">
            <v>19.29</v>
          </cell>
        </row>
        <row r="8706">
          <cell r="C8706" t="str">
            <v>4509 - TOOLS &amp; SUPPLIES</v>
          </cell>
          <cell r="D8706" t="str">
            <v>3M99433</v>
          </cell>
          <cell r="BA8706">
            <v>0.49</v>
          </cell>
        </row>
        <row r="8707">
          <cell r="C8707" t="str">
            <v>4509 - TOOLS &amp; SUPPLIES</v>
          </cell>
          <cell r="D8707" t="str">
            <v>3M1230A</v>
          </cell>
          <cell r="BA8707">
            <v>7.59</v>
          </cell>
        </row>
        <row r="8708">
          <cell r="C8708" t="str">
            <v>4509 - TOOLS &amp; SUPPLIES</v>
          </cell>
          <cell r="D8708" t="str">
            <v>DQB11942</v>
          </cell>
          <cell r="BA8708">
            <v>25.99</v>
          </cell>
        </row>
        <row r="8709">
          <cell r="C8709" t="str">
            <v>4509 - TOOLS &amp; SUPPLIES</v>
          </cell>
          <cell r="D8709" t="str">
            <v>D6224-2</v>
          </cell>
          <cell r="BA8709">
            <v>419.99</v>
          </cell>
        </row>
        <row r="8710">
          <cell r="C8710" t="str">
            <v>4509 - TOOLS &amp; SUPPLIES</v>
          </cell>
          <cell r="D8710" t="str">
            <v>WBRR6579</v>
          </cell>
          <cell r="BA8710">
            <v>3.49</v>
          </cell>
        </row>
        <row r="8711">
          <cell r="C8711" t="str">
            <v>4509 - TOOLS &amp; SUPPLIES</v>
          </cell>
          <cell r="D8711" t="str">
            <v>WOO1233-2</v>
          </cell>
          <cell r="BA8711">
            <v>3.59</v>
          </cell>
        </row>
        <row r="8712">
          <cell r="C8712" t="str">
            <v>4509 - TOOLS &amp; SUPPLIES</v>
          </cell>
          <cell r="D8712" t="str">
            <v>WOORR014</v>
          </cell>
          <cell r="BA8712">
            <v>6.99</v>
          </cell>
        </row>
        <row r="8713">
          <cell r="C8713" t="str">
            <v>4509 - TOOLS &amp; SUPPLIES</v>
          </cell>
          <cell r="D8713" t="str">
            <v>WBRR301</v>
          </cell>
          <cell r="BA8713">
            <v>6.49</v>
          </cell>
        </row>
        <row r="8714">
          <cell r="C8714" t="str">
            <v>4509 - TOOLS &amp; SUPPLIES</v>
          </cell>
          <cell r="D8714" t="str">
            <v>D1532-2</v>
          </cell>
          <cell r="BA8714">
            <v>629.99</v>
          </cell>
        </row>
        <row r="8715">
          <cell r="C8715" t="str">
            <v>4509 - TOOLS &amp; SUPPLIES</v>
          </cell>
          <cell r="D8715" t="str">
            <v>WOORR302-61</v>
          </cell>
          <cell r="BA8715">
            <v>6.99</v>
          </cell>
        </row>
        <row r="8716">
          <cell r="C8716" t="str">
            <v>4509 - TOOLS &amp; SUPPLIES</v>
          </cell>
          <cell r="D8716" t="str">
            <v>WOORR303-41</v>
          </cell>
          <cell r="BA8716">
            <v>5.99</v>
          </cell>
        </row>
        <row r="8717">
          <cell r="C8717" t="str">
            <v>4509 - TOOLS &amp; SUPPLIES</v>
          </cell>
          <cell r="D8717" t="str">
            <v>WOORR303-61</v>
          </cell>
          <cell r="BA8717">
            <v>6.99</v>
          </cell>
        </row>
        <row r="8718">
          <cell r="C8718" t="str">
            <v>4509 - TOOLS &amp; SUPPLIES</v>
          </cell>
          <cell r="D8718" t="str">
            <v>HOM40-00031</v>
          </cell>
          <cell r="BA8718">
            <v>1.69</v>
          </cell>
        </row>
        <row r="8719">
          <cell r="C8719" t="str">
            <v>4509 - TOOLS &amp; SUPPLIES</v>
          </cell>
          <cell r="D8719" t="str">
            <v>HY42036</v>
          </cell>
          <cell r="BA8719">
            <v>2.39</v>
          </cell>
        </row>
        <row r="8720">
          <cell r="C8720" t="str">
            <v>4509 - TOOLS &amp; SUPPLIES</v>
          </cell>
          <cell r="D8720" t="str">
            <v>3M916</v>
          </cell>
          <cell r="BA8720">
            <v>4.59</v>
          </cell>
        </row>
        <row r="8721">
          <cell r="C8721" t="str">
            <v>4509 - TOOLS &amp; SUPPLIES</v>
          </cell>
          <cell r="D8721" t="str">
            <v>00740C</v>
          </cell>
          <cell r="BA8721">
            <v>4.59</v>
          </cell>
        </row>
        <row r="8722">
          <cell r="C8722" t="str">
            <v>4509 - TOOLS &amp; SUPPLIES</v>
          </cell>
          <cell r="D8722" t="str">
            <v>3M2020OR36</v>
          </cell>
          <cell r="BA8722">
            <v>4.79</v>
          </cell>
        </row>
        <row r="8723">
          <cell r="C8723" t="str">
            <v>4509 - TOOLS &amp; SUPPLIES</v>
          </cell>
          <cell r="D8723" t="str">
            <v>3M2020PLUS-24AP</v>
          </cell>
          <cell r="BA8723">
            <v>3.29</v>
          </cell>
        </row>
        <row r="8724">
          <cell r="C8724" t="str">
            <v>4509 - TOOLS &amp; SUPPLIES</v>
          </cell>
          <cell r="D8724" t="str">
            <v>3M2020PLUS-48TP</v>
          </cell>
          <cell r="BA8724">
            <v>6.99</v>
          </cell>
        </row>
        <row r="8725">
          <cell r="C8725" t="str">
            <v>4509 - TOOLS &amp; SUPPLIES</v>
          </cell>
          <cell r="D8725" t="str">
            <v>3MPPP8BB</v>
          </cell>
          <cell r="BA8725">
            <v>7.99</v>
          </cell>
        </row>
        <row r="8726">
          <cell r="C8726" t="str">
            <v>4509 - TOOLS &amp; SUPPLIES</v>
          </cell>
          <cell r="D8726" t="str">
            <v>FG659</v>
          </cell>
          <cell r="BA8726">
            <v>8.99</v>
          </cell>
        </row>
        <row r="8727">
          <cell r="C8727" t="str">
            <v>4509 - TOOLS &amp; SUPPLIES</v>
          </cell>
          <cell r="D8727" t="str">
            <v>MINJL-PS023L</v>
          </cell>
          <cell r="BA8727">
            <v>1.39</v>
          </cell>
        </row>
        <row r="8728">
          <cell r="C8728" t="str">
            <v>4509 - TOOLS &amp; SUPPLIES</v>
          </cell>
          <cell r="D8728" t="str">
            <v>LINRC136</v>
          </cell>
          <cell r="BA8728">
            <v>8.99</v>
          </cell>
        </row>
        <row r="8729">
          <cell r="C8729" t="str">
            <v>4509 - TOOLS &amp; SUPPLIES</v>
          </cell>
          <cell r="D8729" t="str">
            <v>LINWC1123-3</v>
          </cell>
          <cell r="BA8729">
            <v>4.29</v>
          </cell>
        </row>
        <row r="8730">
          <cell r="C8730" t="str">
            <v>4509 - TOOLS &amp; SUPPLIES</v>
          </cell>
          <cell r="D8730" t="str">
            <v>LINWC1123-4</v>
          </cell>
          <cell r="BA8730">
            <v>6.99</v>
          </cell>
        </row>
        <row r="8731">
          <cell r="C8731" t="str">
            <v>4509 - TOOLS &amp; SUPPLIES</v>
          </cell>
          <cell r="D8731" t="str">
            <v>MR7512</v>
          </cell>
          <cell r="BA8731">
            <v>47.99</v>
          </cell>
        </row>
        <row r="8732">
          <cell r="C8732" t="str">
            <v>4509 - TOOLS &amp; SUPPLIES</v>
          </cell>
          <cell r="D8732" t="str">
            <v>R661-9</v>
          </cell>
          <cell r="BA8732">
            <v>4.59</v>
          </cell>
        </row>
        <row r="8733">
          <cell r="C8733" t="str">
            <v>4509 - TOOLS &amp; SUPPLIES</v>
          </cell>
          <cell r="D8733" t="str">
            <v>WOO1123-2</v>
          </cell>
          <cell r="BA8733">
            <v>5.39</v>
          </cell>
        </row>
        <row r="8734">
          <cell r="C8734" t="str">
            <v>4509 - TOOLS &amp; SUPPLIES</v>
          </cell>
          <cell r="D8734" t="str">
            <v>FS1512</v>
          </cell>
          <cell r="BA8734">
            <v>379.99</v>
          </cell>
        </row>
        <row r="8735">
          <cell r="C8735" t="str">
            <v>4509 - TOOLS &amp; SUPPLIES</v>
          </cell>
          <cell r="D8735" t="str">
            <v>LINWC2164-3</v>
          </cell>
          <cell r="BA8735">
            <v>10.99</v>
          </cell>
        </row>
        <row r="8736">
          <cell r="C8736" t="str">
            <v>4509 - TOOLS &amp; SUPPLIES</v>
          </cell>
          <cell r="D8736" t="str">
            <v>FS4006</v>
          </cell>
          <cell r="BA8736">
            <v>99.99</v>
          </cell>
        </row>
        <row r="8737">
          <cell r="C8737" t="str">
            <v>4509 - TOOLS &amp; SUPPLIES</v>
          </cell>
          <cell r="D8737" t="str">
            <v>LINWC2164-25</v>
          </cell>
          <cell r="BA8737">
            <v>8.99</v>
          </cell>
        </row>
        <row r="8738">
          <cell r="C8738" t="str">
            <v>4509 - TOOLS &amp; SUPPLIES</v>
          </cell>
          <cell r="D8738" t="str">
            <v>ASAF2L</v>
          </cell>
          <cell r="BA8738">
            <v>4.29</v>
          </cell>
        </row>
        <row r="8739">
          <cell r="C8739" t="str">
            <v>4509 - TOOLS &amp; SUPPLIES</v>
          </cell>
          <cell r="D8739" t="str">
            <v>51125</v>
          </cell>
          <cell r="BA8739">
            <v>8.99</v>
          </cell>
        </row>
        <row r="8740">
          <cell r="C8740" t="str">
            <v>4509 - TOOLS &amp; SUPPLIES</v>
          </cell>
          <cell r="D8740" t="str">
            <v>WOO1123-3</v>
          </cell>
          <cell r="BA8740">
            <v>5.49</v>
          </cell>
        </row>
        <row r="8741">
          <cell r="C8741" t="str">
            <v>4509 - TOOLS &amp; SUPPLIES</v>
          </cell>
          <cell r="D8741" t="str">
            <v>MINJL-PS063L</v>
          </cell>
          <cell r="BA8741">
            <v>2.19</v>
          </cell>
        </row>
        <row r="8742">
          <cell r="C8742" t="str">
            <v>4509 - TOOLS &amp; SUPPLIES</v>
          </cell>
          <cell r="D8742" t="str">
            <v>WOORR308-41</v>
          </cell>
          <cell r="BA8742">
            <v>7.59</v>
          </cell>
        </row>
        <row r="8743">
          <cell r="C8743" t="str">
            <v>4509 - TOOLS &amp; SUPPLIES</v>
          </cell>
          <cell r="D8743" t="str">
            <v>3M2020-48A</v>
          </cell>
          <cell r="BA8743">
            <v>4.79</v>
          </cell>
        </row>
        <row r="8744">
          <cell r="C8744" t="str">
            <v>4509 - TOOLS &amp; SUPPLIES</v>
          </cell>
          <cell r="D8744" t="str">
            <v>MINA22500</v>
          </cell>
          <cell r="BA8744">
            <v>6.99</v>
          </cell>
        </row>
        <row r="8745">
          <cell r="C8745" t="str">
            <v>4509 - TOOLS &amp; SUPPLIES</v>
          </cell>
          <cell r="D8745" t="str">
            <v>HOM5850</v>
          </cell>
          <cell r="BA8745">
            <v>6.49</v>
          </cell>
        </row>
        <row r="8746">
          <cell r="C8746" t="str">
            <v>4509 - TOOLS &amp; SUPPLIES</v>
          </cell>
          <cell r="D8746" t="str">
            <v>WOO1123-1</v>
          </cell>
          <cell r="BA8746">
            <v>3.29</v>
          </cell>
        </row>
        <row r="8747">
          <cell r="C8747" t="str">
            <v>4509 - TOOLS &amp; SUPPLIES</v>
          </cell>
          <cell r="D8747" t="str">
            <v>HY11180</v>
          </cell>
          <cell r="BA8747">
            <v>13.99</v>
          </cell>
        </row>
        <row r="8748">
          <cell r="C8748" t="str">
            <v>4509 - TOOLS &amp; SUPPLIES</v>
          </cell>
          <cell r="D8748" t="str">
            <v>MINJL-PS01-1</v>
          </cell>
          <cell r="BA8748">
            <v>1.39</v>
          </cell>
        </row>
        <row r="8749">
          <cell r="C8749" t="str">
            <v>4509 - TOOLS &amp; SUPPLIES</v>
          </cell>
          <cell r="D8749" t="str">
            <v>3M311DC</v>
          </cell>
          <cell r="BA8749">
            <v>5.99</v>
          </cell>
        </row>
        <row r="8750">
          <cell r="C8750" t="str">
            <v>4509 - TOOLS &amp; SUPPLIES</v>
          </cell>
          <cell r="D8750" t="str">
            <v>INT4137</v>
          </cell>
          <cell r="BA8750">
            <v>12.99</v>
          </cell>
        </row>
        <row r="8751">
          <cell r="C8751" t="str">
            <v>4509 - TOOLS &amp; SUPPLIES</v>
          </cell>
          <cell r="D8751" t="str">
            <v>INT4139</v>
          </cell>
          <cell r="BA8751">
            <v>21.99</v>
          </cell>
        </row>
        <row r="8752">
          <cell r="C8752" t="str">
            <v>4509 - TOOLS &amp; SUPPLIES</v>
          </cell>
          <cell r="D8752" t="str">
            <v>INT84140</v>
          </cell>
          <cell r="BA8752">
            <v>16.989999999999998</v>
          </cell>
        </row>
        <row r="8753">
          <cell r="C8753" t="str">
            <v>4509 - TOOLS &amp; SUPPLIES</v>
          </cell>
          <cell r="D8753" t="str">
            <v>HY42047</v>
          </cell>
          <cell r="BA8753">
            <v>3.99</v>
          </cell>
        </row>
        <row r="8754">
          <cell r="C8754" t="str">
            <v>4509 - TOOLS &amp; SUPPLIES</v>
          </cell>
          <cell r="D8754" t="str">
            <v>HY42330</v>
          </cell>
          <cell r="BA8754">
            <v>4.99</v>
          </cell>
        </row>
        <row r="8755">
          <cell r="C8755" t="str">
            <v>4509 - TOOLS &amp; SUPPLIES</v>
          </cell>
          <cell r="D8755" t="str">
            <v>MR7504</v>
          </cell>
          <cell r="BA8755">
            <v>27.99</v>
          </cell>
        </row>
        <row r="8756">
          <cell r="C8756" t="str">
            <v>4509 - TOOLS &amp; SUPPLIES</v>
          </cell>
          <cell r="D8756" t="str">
            <v>3M81399</v>
          </cell>
          <cell r="BA8756">
            <v>2.89</v>
          </cell>
        </row>
        <row r="8757">
          <cell r="C8757" t="str">
            <v>4509 - TOOLS &amp; SUPPLIES</v>
          </cell>
          <cell r="D8757" t="str">
            <v>3MAMF48</v>
          </cell>
          <cell r="BA8757">
            <v>19.95</v>
          </cell>
        </row>
        <row r="8758">
          <cell r="C8758" t="str">
            <v>4509 - TOOLS &amp; SUPPLIES</v>
          </cell>
          <cell r="D8758" t="str">
            <v>FS1508</v>
          </cell>
          <cell r="BA8758">
            <v>199.99</v>
          </cell>
        </row>
        <row r="8759">
          <cell r="C8759" t="str">
            <v>4509 - TOOLS &amp; SUPPLIES</v>
          </cell>
          <cell r="D8759" t="str">
            <v>10852</v>
          </cell>
          <cell r="BA8759">
            <v>27.99</v>
          </cell>
        </row>
        <row r="8760">
          <cell r="C8760" t="str">
            <v>4509 - TOOLS &amp; SUPPLIES</v>
          </cell>
          <cell r="D8760" t="str">
            <v>7308</v>
          </cell>
          <cell r="BA8760">
            <v>269.99</v>
          </cell>
        </row>
        <row r="8761">
          <cell r="C8761" t="str">
            <v>4509 - TOOLS &amp; SUPPLIES</v>
          </cell>
          <cell r="D8761" t="str">
            <v>ASHO2</v>
          </cell>
          <cell r="BA8761">
            <v>4.29</v>
          </cell>
        </row>
        <row r="8762">
          <cell r="C8762" t="str">
            <v>4509 - TOOLS &amp; SUPPLIES</v>
          </cell>
          <cell r="D8762" t="str">
            <v>017-13</v>
          </cell>
          <cell r="BA8762">
            <v>9.99</v>
          </cell>
        </row>
        <row r="8763">
          <cell r="C8763" t="str">
            <v>4509 - TOOLS &amp; SUPPLIES</v>
          </cell>
          <cell r="D8763" t="str">
            <v>010-04</v>
          </cell>
          <cell r="BA8763">
            <v>17.89</v>
          </cell>
        </row>
        <row r="8764">
          <cell r="C8764" t="str">
            <v>4509 - TOOLS &amp; SUPPLIES</v>
          </cell>
          <cell r="D8764" t="str">
            <v>DP01104</v>
          </cell>
          <cell r="BA8764">
            <v>14.99</v>
          </cell>
        </row>
        <row r="8765">
          <cell r="C8765" t="str">
            <v>4509 - TOOLS &amp; SUPPLIES</v>
          </cell>
          <cell r="D8765" t="str">
            <v>3M7447</v>
          </cell>
          <cell r="BA8765">
            <v>3.29</v>
          </cell>
        </row>
        <row r="8766">
          <cell r="C8766" t="str">
            <v>4509 - TOOLS &amp; SUPPLIES</v>
          </cell>
          <cell r="D8766" t="str">
            <v>FS2006</v>
          </cell>
          <cell r="BA8766">
            <v>119.99</v>
          </cell>
        </row>
        <row r="8767">
          <cell r="C8767" t="str">
            <v>4509 - TOOLS &amp; SUPPLIES</v>
          </cell>
          <cell r="D8767" t="str">
            <v>HY10620</v>
          </cell>
          <cell r="BA8767">
            <v>37.99</v>
          </cell>
        </row>
        <row r="8768">
          <cell r="C8768" t="str">
            <v>4509 - TOOLS &amp; SUPPLIES</v>
          </cell>
          <cell r="D8768" t="str">
            <v>017-04</v>
          </cell>
          <cell r="BA8768">
            <v>14.99</v>
          </cell>
        </row>
        <row r="8769">
          <cell r="C8769" t="str">
            <v>4509 - TOOLS &amp; SUPPLIES</v>
          </cell>
          <cell r="D8769" t="str">
            <v>EN20256</v>
          </cell>
          <cell r="BA8769">
            <v>3.99</v>
          </cell>
        </row>
        <row r="8770">
          <cell r="C8770" t="str">
            <v>4509 - TOOLS &amp; SUPPLIES</v>
          </cell>
          <cell r="D8770" t="str">
            <v>3M20201A</v>
          </cell>
          <cell r="BA8770">
            <v>2.99</v>
          </cell>
        </row>
        <row r="8771">
          <cell r="C8771" t="str">
            <v>4509 - TOOLS &amp; SUPPLIES</v>
          </cell>
          <cell r="D8771" t="str">
            <v>ZIN14446</v>
          </cell>
          <cell r="BA8771">
            <v>47.99</v>
          </cell>
        </row>
        <row r="8772">
          <cell r="C8772" t="str">
            <v>4509 - TOOLS &amp; SUPPLIES</v>
          </cell>
          <cell r="D8772" t="str">
            <v>FS1510</v>
          </cell>
          <cell r="BA8772">
            <v>299.99</v>
          </cell>
        </row>
        <row r="8773">
          <cell r="C8773" t="str">
            <v>4509 - TOOLS &amp; SUPPLIES</v>
          </cell>
          <cell r="D8773" t="str">
            <v>HY06108</v>
          </cell>
          <cell r="BA8773">
            <v>7.99</v>
          </cell>
        </row>
        <row r="8774">
          <cell r="C8774" t="str">
            <v>4509 - TOOLS &amp; SUPPLIES</v>
          </cell>
          <cell r="D8774" t="str">
            <v>AI7202</v>
          </cell>
          <cell r="BA8774">
            <v>6.99</v>
          </cell>
        </row>
        <row r="8775">
          <cell r="C8775" t="str">
            <v>4509 - TOOLS &amp; SUPPLIES</v>
          </cell>
          <cell r="D8775" t="str">
            <v>AI7206</v>
          </cell>
          <cell r="BA8775">
            <v>6.99</v>
          </cell>
        </row>
        <row r="8776">
          <cell r="C8776" t="str">
            <v>4509 - TOOLS &amp; SUPPLIES</v>
          </cell>
          <cell r="D8776" t="str">
            <v>LINMR738</v>
          </cell>
          <cell r="BA8776">
            <v>3.99</v>
          </cell>
        </row>
        <row r="8777">
          <cell r="C8777" t="str">
            <v>4509 - TOOLS &amp; SUPPLIES</v>
          </cell>
          <cell r="D8777" t="str">
            <v>800006</v>
          </cell>
          <cell r="BA8777">
            <v>34.99</v>
          </cell>
        </row>
        <row r="8778">
          <cell r="C8778" t="str">
            <v>4509 - TOOLS &amp; SUPPLIES</v>
          </cell>
          <cell r="D8778" t="str">
            <v>3MFB12</v>
          </cell>
          <cell r="BA8778">
            <v>29.99</v>
          </cell>
        </row>
        <row r="8779">
          <cell r="C8779" t="str">
            <v>4509 - TOOLS &amp; SUPPLIES</v>
          </cell>
          <cell r="D8779" t="str">
            <v>11513</v>
          </cell>
          <cell r="BA8779">
            <v>1.49</v>
          </cell>
        </row>
        <row r="8780">
          <cell r="C8780" t="str">
            <v>4509 - TOOLS &amp; SUPPLIES</v>
          </cell>
          <cell r="D8780" t="str">
            <v>01540</v>
          </cell>
          <cell r="BA8780">
            <v>1.79</v>
          </cell>
        </row>
        <row r="8781">
          <cell r="C8781" t="str">
            <v>4509 - TOOLS &amp; SUPPLIES</v>
          </cell>
          <cell r="D8781" t="str">
            <v>HY28030</v>
          </cell>
          <cell r="BA8781">
            <v>39.99</v>
          </cell>
        </row>
        <row r="8782">
          <cell r="C8782" t="str">
            <v>4509 - TOOLS &amp; SUPPLIES</v>
          </cell>
          <cell r="D8782" t="str">
            <v>11511</v>
          </cell>
          <cell r="BA8782">
            <v>0.99</v>
          </cell>
        </row>
        <row r="8783">
          <cell r="C8783" t="str">
            <v>4509 - TOOLS &amp; SUPPLIES</v>
          </cell>
          <cell r="D8783" t="str">
            <v>00610C</v>
          </cell>
          <cell r="BA8783">
            <v>2.69</v>
          </cell>
        </row>
        <row r="8784">
          <cell r="C8784" t="str">
            <v>4509 - TOOLS &amp; SUPPLIES</v>
          </cell>
          <cell r="D8784" t="str">
            <v>HY06878</v>
          </cell>
          <cell r="BA8784">
            <v>15.99</v>
          </cell>
        </row>
        <row r="8785">
          <cell r="C8785" t="str">
            <v>4509 - TOOLS &amp; SUPPLIES</v>
          </cell>
          <cell r="D8785" t="str">
            <v>015-13</v>
          </cell>
          <cell r="BA8785">
            <v>14.99</v>
          </cell>
        </row>
        <row r="8786">
          <cell r="C8786" t="str">
            <v>4509 - TOOLS &amp; SUPPLIES</v>
          </cell>
          <cell r="D8786" t="str">
            <v>EN250003</v>
          </cell>
          <cell r="BA8786">
            <v>5.59</v>
          </cell>
        </row>
        <row r="8787">
          <cell r="C8787" t="str">
            <v>4509 - TOOLS &amp; SUPPLIES</v>
          </cell>
          <cell r="D8787" t="str">
            <v>HY09014</v>
          </cell>
          <cell r="BA8787">
            <v>14.99</v>
          </cell>
        </row>
        <row r="8788">
          <cell r="C8788" t="str">
            <v>4509 - TOOLS &amp; SUPPLIES</v>
          </cell>
          <cell r="D8788" t="str">
            <v>HY13125</v>
          </cell>
          <cell r="BA8788">
            <v>16.989999999999998</v>
          </cell>
        </row>
        <row r="8789">
          <cell r="C8789" t="str">
            <v>4509 - TOOLS &amp; SUPPLIES</v>
          </cell>
          <cell r="D8789" t="str">
            <v>HY06358</v>
          </cell>
          <cell r="BA8789">
            <v>9.99</v>
          </cell>
        </row>
        <row r="8790">
          <cell r="C8790" t="str">
            <v>4509 - TOOLS &amp; SUPPLIES</v>
          </cell>
          <cell r="D8790" t="str">
            <v>HY06408</v>
          </cell>
          <cell r="BA8790">
            <v>9.99</v>
          </cell>
        </row>
        <row r="8791">
          <cell r="C8791" t="str">
            <v>4509 - TOOLS &amp; SUPPLIES</v>
          </cell>
          <cell r="D8791" t="str">
            <v>INALF201L02560HR</v>
          </cell>
          <cell r="BA8791">
            <v>24.99</v>
          </cell>
        </row>
        <row r="8792">
          <cell r="C8792" t="str">
            <v>4509 - TOOLS &amp; SUPPLIES</v>
          </cell>
          <cell r="D8792" t="str">
            <v>3M07060</v>
          </cell>
          <cell r="BA8792">
            <v>0.99</v>
          </cell>
        </row>
        <row r="8793">
          <cell r="C8793" t="str">
            <v>4509 - TOOLS &amp; SUPPLIES</v>
          </cell>
          <cell r="D8793" t="str">
            <v>3M25100NA</v>
          </cell>
          <cell r="BA8793">
            <v>4.3899999999999997</v>
          </cell>
        </row>
        <row r="8794">
          <cell r="C8794" t="str">
            <v>4509 - TOOLS &amp; SUPPLIES</v>
          </cell>
          <cell r="D8794" t="str">
            <v>3M2093EL24N</v>
          </cell>
          <cell r="BA8794">
            <v>7.59</v>
          </cell>
        </row>
        <row r="8795">
          <cell r="C8795" t="str">
            <v>4509 - TOOLS &amp; SUPPLIES</v>
          </cell>
          <cell r="D8795" t="str">
            <v>3M2093EL36N</v>
          </cell>
          <cell r="BA8795">
            <v>8.99</v>
          </cell>
        </row>
        <row r="8796">
          <cell r="C8796" t="str">
            <v>4509 - TOOLS &amp; SUPPLIES</v>
          </cell>
          <cell r="D8796" t="str">
            <v>NOR49268</v>
          </cell>
          <cell r="BA8796">
            <v>19.989999999999998</v>
          </cell>
        </row>
        <row r="8797">
          <cell r="C8797" t="str">
            <v>4509 - TOOLS &amp; SUPPLIES</v>
          </cell>
          <cell r="D8797" t="str">
            <v>NOR49270</v>
          </cell>
          <cell r="BA8797">
            <v>19.989999999999998</v>
          </cell>
        </row>
        <row r="8798">
          <cell r="C8798" t="str">
            <v>4509 - TOOLS &amp; SUPPLIES</v>
          </cell>
          <cell r="D8798" t="str">
            <v>NOR49271</v>
          </cell>
          <cell r="BA8798">
            <v>22.99</v>
          </cell>
        </row>
        <row r="8799">
          <cell r="C8799" t="str">
            <v>4509 - TOOLS &amp; SUPPLIES</v>
          </cell>
          <cell r="D8799" t="str">
            <v>PU140853100</v>
          </cell>
          <cell r="BA8799">
            <v>22.99</v>
          </cell>
        </row>
        <row r="8800">
          <cell r="C8800" t="str">
            <v>4509 - TOOLS &amp; SUPPLIES</v>
          </cell>
          <cell r="D8800" t="str">
            <v>11105EA</v>
          </cell>
          <cell r="BA8800">
            <v>0.19</v>
          </cell>
        </row>
        <row r="8801">
          <cell r="C8801" t="str">
            <v>4509 - TOOLS &amp; SUPPLIES</v>
          </cell>
          <cell r="D8801" t="str">
            <v>3400C</v>
          </cell>
          <cell r="BA8801">
            <v>2.19</v>
          </cell>
        </row>
        <row r="8802">
          <cell r="C8802" t="str">
            <v>4509 - TOOLS &amp; SUPPLIES</v>
          </cell>
          <cell r="D8802" t="str">
            <v>03410C</v>
          </cell>
          <cell r="BA8802">
            <v>1.49</v>
          </cell>
        </row>
        <row r="8803">
          <cell r="C8803" t="str">
            <v>4509 - TOOLS &amp; SUPPLIES</v>
          </cell>
          <cell r="D8803" t="str">
            <v>01500C</v>
          </cell>
          <cell r="BA8803">
            <v>1.29</v>
          </cell>
        </row>
        <row r="8804">
          <cell r="C8804" t="str">
            <v>4509 - TOOLS &amp; SUPPLIES</v>
          </cell>
          <cell r="D8804" t="str">
            <v>WOO1123-21</v>
          </cell>
          <cell r="BA8804">
            <v>6.99</v>
          </cell>
        </row>
        <row r="8805">
          <cell r="C8805" t="str">
            <v>4509 - TOOLS &amp; SUPPLIES</v>
          </cell>
          <cell r="D8805" t="str">
            <v>WOOF5116-43</v>
          </cell>
          <cell r="BA8805">
            <v>22.99</v>
          </cell>
        </row>
        <row r="8806">
          <cell r="C8806" t="str">
            <v>4509 - TOOLS &amp; SUPPLIES</v>
          </cell>
          <cell r="D8806" t="str">
            <v>WOOR017-4</v>
          </cell>
          <cell r="BA8806">
            <v>8.69</v>
          </cell>
        </row>
        <row r="8807">
          <cell r="C8807" t="str">
            <v>4509 - TOOLS &amp; SUPPLIES</v>
          </cell>
          <cell r="D8807" t="str">
            <v>WOO4053-4</v>
          </cell>
          <cell r="BA8807">
            <v>4.49</v>
          </cell>
        </row>
        <row r="8808">
          <cell r="C8808" t="str">
            <v>4509 - TOOLS &amp; SUPPLIES</v>
          </cell>
          <cell r="D8808" t="str">
            <v>3M88590EA</v>
          </cell>
          <cell r="BA8808">
            <v>0.69</v>
          </cell>
        </row>
        <row r="8809">
          <cell r="C8809" t="str">
            <v>4509 - TOOLS &amp; SUPPLIES</v>
          </cell>
          <cell r="D8809" t="str">
            <v>EN201013</v>
          </cell>
          <cell r="BA8809">
            <v>7.99</v>
          </cell>
        </row>
        <row r="8810">
          <cell r="C8810" t="str">
            <v>4509 - TOOLS &amp; SUPPLIES</v>
          </cell>
          <cell r="D8810" t="str">
            <v>WOOF5119-4</v>
          </cell>
          <cell r="BA8810">
            <v>17.989999999999998</v>
          </cell>
        </row>
        <row r="8811">
          <cell r="C8811" t="str">
            <v>4509 - TOOLS &amp; SUPPLIES</v>
          </cell>
          <cell r="D8811" t="str">
            <v>3MAMF72</v>
          </cell>
          <cell r="BA8811">
            <v>13.99</v>
          </cell>
        </row>
        <row r="8812">
          <cell r="C8812" t="str">
            <v>4509 - TOOLS &amp; SUPPLIES</v>
          </cell>
          <cell r="D8812" t="str">
            <v>3MAMF99</v>
          </cell>
          <cell r="BA8812">
            <v>24.99</v>
          </cell>
        </row>
        <row r="8813">
          <cell r="C8813" t="str">
            <v>4509 - TOOLS &amp; SUPPLIES</v>
          </cell>
          <cell r="D8813" t="str">
            <v>FXS1510</v>
          </cell>
          <cell r="BA8813">
            <v>399.99</v>
          </cell>
        </row>
        <row r="8814">
          <cell r="C8814" t="str">
            <v>4509 - TOOLS &amp; SUPPLIES</v>
          </cell>
          <cell r="D8814" t="str">
            <v>GG6027002</v>
          </cell>
          <cell r="BA8814">
            <v>8.69</v>
          </cell>
        </row>
        <row r="8815">
          <cell r="C8815" t="str">
            <v>4509 - TOOLS &amp; SUPPLIES</v>
          </cell>
          <cell r="D8815" t="str">
            <v>3M209748EC</v>
          </cell>
          <cell r="BA8815">
            <v>10.99</v>
          </cell>
        </row>
        <row r="8816">
          <cell r="C8816" t="str">
            <v>4509 - TOOLS &amp; SUPPLIES</v>
          </cell>
          <cell r="D8816" t="str">
            <v>3M209736EC</v>
          </cell>
          <cell r="BA8816">
            <v>9.99</v>
          </cell>
        </row>
        <row r="8817">
          <cell r="C8817" t="str">
            <v>4509 - TOOLS &amp; SUPPLIES</v>
          </cell>
          <cell r="D8817" t="str">
            <v>INTPSC50</v>
          </cell>
          <cell r="BA8817">
            <v>7.99</v>
          </cell>
        </row>
        <row r="8818">
          <cell r="C8818" t="str">
            <v>4509 - TOOLS &amp; SUPPLIES</v>
          </cell>
          <cell r="D8818" t="str">
            <v>WBF0010-9</v>
          </cell>
          <cell r="BA8818">
            <v>5.39</v>
          </cell>
        </row>
        <row r="8819">
          <cell r="C8819" t="str">
            <v>4509 - TOOLS &amp; SUPPLIES</v>
          </cell>
          <cell r="D8819" t="str">
            <v>LINMT701-116</v>
          </cell>
          <cell r="BA8819">
            <v>6.49</v>
          </cell>
        </row>
        <row r="8820">
          <cell r="C8820" t="str">
            <v>4509 - TOOLS &amp; SUPPLIES</v>
          </cell>
          <cell r="D8820" t="str">
            <v>NOR49262</v>
          </cell>
          <cell r="BA8820">
            <v>17.989999999999998</v>
          </cell>
        </row>
        <row r="8821">
          <cell r="C8821" t="str">
            <v>4509 - TOOLS &amp; SUPPLIES</v>
          </cell>
          <cell r="D8821" t="str">
            <v>NOR49264</v>
          </cell>
          <cell r="BA8821">
            <v>18.989999999999998</v>
          </cell>
        </row>
        <row r="8822">
          <cell r="C8822" t="str">
            <v>4509 - TOOLS &amp; SUPPLIES</v>
          </cell>
          <cell r="D8822" t="str">
            <v>NOR49265</v>
          </cell>
          <cell r="BA8822">
            <v>19.989999999999998</v>
          </cell>
        </row>
        <row r="8823">
          <cell r="C8823" t="str">
            <v>4509 - TOOLS &amp; SUPPLIES</v>
          </cell>
          <cell r="D8823" t="str">
            <v>GG6045002</v>
          </cell>
          <cell r="BA8823">
            <v>10.99</v>
          </cell>
        </row>
        <row r="8824">
          <cell r="C8824" t="str">
            <v>4509 - TOOLS &amp; SUPPLIES</v>
          </cell>
          <cell r="D8824" t="str">
            <v>5GALBUCKBFS</v>
          </cell>
          <cell r="BA8824">
            <v>7.59</v>
          </cell>
        </row>
        <row r="8825">
          <cell r="C8825" t="str">
            <v>4509 - TOOLS &amp; SUPPLIES</v>
          </cell>
          <cell r="D8825" t="str">
            <v>LINMR101-26</v>
          </cell>
          <cell r="BA8825">
            <v>6.99</v>
          </cell>
        </row>
        <row r="8826">
          <cell r="C8826" t="str">
            <v>4509 - TOOLS &amp; SUPPLIES</v>
          </cell>
          <cell r="D8826" t="str">
            <v>LINMR101-54</v>
          </cell>
          <cell r="BA8826">
            <v>8.69</v>
          </cell>
        </row>
        <row r="8827">
          <cell r="C8827" t="str">
            <v>4509 - TOOLS &amp; SUPPLIES</v>
          </cell>
          <cell r="D8827" t="str">
            <v>LINMR102-24</v>
          </cell>
          <cell r="BA8827">
            <v>6.99</v>
          </cell>
        </row>
        <row r="8828">
          <cell r="C8828" t="str">
            <v>4509 - TOOLS &amp; SUPPLIES</v>
          </cell>
          <cell r="D8828" t="str">
            <v>LINMS738</v>
          </cell>
          <cell r="BA8828">
            <v>6.99</v>
          </cell>
        </row>
        <row r="8829">
          <cell r="C8829" t="str">
            <v>4509 - TOOLS &amp; SUPPLIES</v>
          </cell>
          <cell r="D8829" t="str">
            <v>6065003</v>
          </cell>
          <cell r="BA8829">
            <v>6.99</v>
          </cell>
        </row>
        <row r="8830">
          <cell r="C8830" t="str">
            <v>4509 - TOOLS &amp; SUPPLIES</v>
          </cell>
          <cell r="D8830" t="str">
            <v>K0290001</v>
          </cell>
          <cell r="BA8830">
            <v>8.99</v>
          </cell>
        </row>
        <row r="8831">
          <cell r="C8831" t="str">
            <v>4509 - TOOLS &amp; SUPPLIES</v>
          </cell>
          <cell r="D8831" t="str">
            <v>6074004</v>
          </cell>
          <cell r="BA8831">
            <v>9.99</v>
          </cell>
        </row>
        <row r="8832">
          <cell r="C8832" t="str">
            <v>4509 - TOOLS &amp; SUPPLIES</v>
          </cell>
          <cell r="D8832" t="str">
            <v>3780</v>
          </cell>
          <cell r="BA8832">
            <v>0.79</v>
          </cell>
        </row>
        <row r="8833">
          <cell r="C8833" t="str">
            <v>4509 - TOOLS &amp; SUPPLIES</v>
          </cell>
          <cell r="D8833" t="str">
            <v>FG661</v>
          </cell>
          <cell r="BA8833">
            <v>4.59</v>
          </cell>
        </row>
        <row r="8834">
          <cell r="C8834" t="str">
            <v>4509 - TOOLS &amp; SUPPLIES</v>
          </cell>
          <cell r="D8834" t="str">
            <v>10750</v>
          </cell>
          <cell r="BA8834">
            <v>11.99</v>
          </cell>
        </row>
        <row r="8835">
          <cell r="C8835" t="str">
            <v>4509 - TOOLS &amp; SUPPLIES</v>
          </cell>
          <cell r="D8835" t="str">
            <v>GR243161</v>
          </cell>
          <cell r="BA8835">
            <v>46.09</v>
          </cell>
        </row>
        <row r="8836">
          <cell r="C8836" t="str">
            <v>4509 - TOOLS &amp; SUPPLIES</v>
          </cell>
          <cell r="D8836" t="str">
            <v>GR246215</v>
          </cell>
          <cell r="BA8836">
            <v>39.99</v>
          </cell>
        </row>
        <row r="8837">
          <cell r="C8837" t="str">
            <v>4509 - TOOLS &amp; SUPPLIES</v>
          </cell>
          <cell r="D8837" t="str">
            <v>GR286312</v>
          </cell>
          <cell r="BA8837">
            <v>47.29</v>
          </cell>
        </row>
        <row r="8838">
          <cell r="C8838" t="str">
            <v>4509 - TOOLS &amp; SUPPLIES</v>
          </cell>
          <cell r="D8838" t="str">
            <v>GR286310</v>
          </cell>
          <cell r="BA8838">
            <v>47.29</v>
          </cell>
        </row>
        <row r="8839">
          <cell r="C8839" t="str">
            <v>4509 - TOOLS &amp; SUPPLIES</v>
          </cell>
          <cell r="D8839" t="str">
            <v>GR286510</v>
          </cell>
          <cell r="BA8839">
            <v>40.49</v>
          </cell>
        </row>
        <row r="8840">
          <cell r="C8840" t="str">
            <v>4509 - TOOLS &amp; SUPPLIES</v>
          </cell>
          <cell r="D8840" t="str">
            <v>GRLP515</v>
          </cell>
          <cell r="BA8840">
            <v>46.39</v>
          </cell>
        </row>
        <row r="8841">
          <cell r="C8841" t="str">
            <v>4509 - TOOLS &amp; SUPPLIES</v>
          </cell>
          <cell r="D8841" t="str">
            <v>GRLP415</v>
          </cell>
          <cell r="BA8841">
            <v>46.39</v>
          </cell>
        </row>
        <row r="8842">
          <cell r="C8842" t="str">
            <v>4509 - TOOLS &amp; SUPPLIES</v>
          </cell>
          <cell r="D8842" t="str">
            <v>GR286512</v>
          </cell>
          <cell r="BA8842">
            <v>47.29</v>
          </cell>
        </row>
        <row r="8843">
          <cell r="C8843" t="str">
            <v>4509 - TOOLS &amp; SUPPLIES</v>
          </cell>
          <cell r="D8843" t="str">
            <v>GR286515</v>
          </cell>
          <cell r="BA8843">
            <v>43.79</v>
          </cell>
        </row>
        <row r="8844">
          <cell r="C8844" t="str">
            <v>4509 - TOOLS &amp; SUPPLIES</v>
          </cell>
          <cell r="D8844" t="str">
            <v>WOORR941-41</v>
          </cell>
          <cell r="BA8844">
            <v>5.99</v>
          </cell>
        </row>
        <row r="8845">
          <cell r="C8845" t="str">
            <v>4509 - TOOLS &amp; SUPPLIES</v>
          </cell>
          <cell r="D8845" t="str">
            <v>GPP06100</v>
          </cell>
          <cell r="BA8845">
            <v>1.79</v>
          </cell>
        </row>
        <row r="8846">
          <cell r="C8846" t="str">
            <v>4509 - TOOLS &amp; SUPPLIES</v>
          </cell>
          <cell r="D8846" t="str">
            <v>PPG010-13</v>
          </cell>
          <cell r="BA8846">
            <v>9.99</v>
          </cell>
        </row>
        <row r="8847">
          <cell r="C8847" t="str">
            <v>4509 - TOOLS &amp; SUPPLIES</v>
          </cell>
          <cell r="D8847" t="str">
            <v>PPG861/01</v>
          </cell>
          <cell r="BA8847">
            <v>19.39</v>
          </cell>
        </row>
        <row r="8848">
          <cell r="C8848" t="str">
            <v>4509 - TOOLS &amp; SUPPLIES</v>
          </cell>
          <cell r="D8848" t="str">
            <v>PPG011-13</v>
          </cell>
          <cell r="BA8848">
            <v>9.99</v>
          </cell>
        </row>
        <row r="8849">
          <cell r="C8849" t="str">
            <v>4509 - TOOLS &amp; SUPPLIES</v>
          </cell>
          <cell r="D8849" t="str">
            <v>DOW99046685</v>
          </cell>
          <cell r="BA8849">
            <v>79.989999999999995</v>
          </cell>
        </row>
        <row r="8850">
          <cell r="C8850" t="str">
            <v>4509 - TOOLS &amp; SUPPLIES</v>
          </cell>
          <cell r="D8850" t="str">
            <v>3M20060G4</v>
          </cell>
          <cell r="BA8850">
            <v>6.99</v>
          </cell>
        </row>
        <row r="8851">
          <cell r="C8851" t="str">
            <v>4509 - TOOLS &amp; SUPPLIES</v>
          </cell>
          <cell r="D8851" t="str">
            <v>3M20100G4</v>
          </cell>
          <cell r="BA8851">
            <v>6.99</v>
          </cell>
        </row>
        <row r="8852">
          <cell r="C8852" t="str">
            <v>4509 - TOOLS &amp; SUPPLIES</v>
          </cell>
          <cell r="D8852" t="str">
            <v>3M2020-36A</v>
          </cell>
          <cell r="BA8852">
            <v>3.79</v>
          </cell>
        </row>
        <row r="8853">
          <cell r="C8853" t="str">
            <v>4509 - TOOLS &amp; SUPPLIES</v>
          </cell>
          <cell r="D8853" t="str">
            <v>3M20320G4</v>
          </cell>
          <cell r="BA8853">
            <v>6.99</v>
          </cell>
        </row>
        <row r="8854">
          <cell r="C8854" t="str">
            <v>4509 - TOOLS &amp; SUPPLIES</v>
          </cell>
          <cell r="D8854" t="str">
            <v>3M2060112</v>
          </cell>
          <cell r="BA8854">
            <v>7.59</v>
          </cell>
        </row>
        <row r="8855">
          <cell r="C8855" t="str">
            <v>4509 - TOOLS &amp; SUPPLIES</v>
          </cell>
          <cell r="D8855" t="str">
            <v>3M20908100</v>
          </cell>
          <cell r="BA8855">
            <v>4.59</v>
          </cell>
        </row>
        <row r="8856">
          <cell r="C8856" t="str">
            <v>4509 - TOOLS &amp; SUPPLIES</v>
          </cell>
          <cell r="D8856" t="str">
            <v>3M2090880</v>
          </cell>
          <cell r="BA8856">
            <v>4.59</v>
          </cell>
        </row>
        <row r="8857">
          <cell r="C8857" t="str">
            <v>4509 - TOOLS &amp; SUPPLIES</v>
          </cell>
          <cell r="D8857" t="str">
            <v>3M2145</v>
          </cell>
          <cell r="BA8857">
            <v>6.99</v>
          </cell>
        </row>
        <row r="8858">
          <cell r="C8858" t="str">
            <v>4509 - TOOLS &amp; SUPPLIES</v>
          </cell>
          <cell r="D8858" t="str">
            <v>3M5142.1</v>
          </cell>
          <cell r="BA8858">
            <v>2.79</v>
          </cell>
        </row>
        <row r="8859">
          <cell r="C8859" t="str">
            <v>4509 - TOOLS &amp; SUPPLIES</v>
          </cell>
          <cell r="D8859" t="str">
            <v>3M26150TRI-3</v>
          </cell>
          <cell r="BA8859">
            <v>4.29</v>
          </cell>
        </row>
        <row r="8860">
          <cell r="C8860" t="str">
            <v>4509 - TOOLS &amp; SUPPLIES</v>
          </cell>
          <cell r="D8860" t="str">
            <v>3M905654DCPS</v>
          </cell>
          <cell r="BA8860">
            <v>29.99</v>
          </cell>
        </row>
        <row r="8861">
          <cell r="C8861" t="str">
            <v>4509 - TOOLS &amp; SUPPLIES</v>
          </cell>
          <cell r="D8861" t="str">
            <v>3M9125280025</v>
          </cell>
          <cell r="BA8861">
            <v>5.69</v>
          </cell>
        </row>
        <row r="8862">
          <cell r="C8862" t="str">
            <v>4509 - TOOLS &amp; SUPPLIES</v>
          </cell>
          <cell r="D8862" t="str">
            <v>3MCT3010DC</v>
          </cell>
          <cell r="BA8862">
            <v>11.99</v>
          </cell>
        </row>
        <row r="8863">
          <cell r="C8863" t="str">
            <v>4509 - TOOLS &amp; SUPPLIES</v>
          </cell>
          <cell r="D8863" t="str">
            <v>TB46091</v>
          </cell>
          <cell r="BA8863">
            <v>9.99</v>
          </cell>
        </row>
        <row r="8864">
          <cell r="C8864" t="str">
            <v>4509 - TOOLS &amp; SUPPLIES</v>
          </cell>
          <cell r="D8864" t="str">
            <v>HT45730</v>
          </cell>
          <cell r="BA8864">
            <v>7.59</v>
          </cell>
        </row>
        <row r="8865">
          <cell r="C8865" t="str">
            <v>4509 - TOOLS &amp; SUPPLIES</v>
          </cell>
          <cell r="D8865" t="str">
            <v>MCWB01411S</v>
          </cell>
          <cell r="BA8865">
            <v>4.59</v>
          </cell>
        </row>
        <row r="8866">
          <cell r="C8866" t="str">
            <v>4509 - TOOLS &amp; SUPPLIES</v>
          </cell>
          <cell r="D8866" t="str">
            <v>SL01520C</v>
          </cell>
          <cell r="BA8866">
            <v>1.99</v>
          </cell>
        </row>
        <row r="8867">
          <cell r="C8867" t="str">
            <v>4509 - TOOLS &amp; SUPPLIES</v>
          </cell>
          <cell r="D8867" t="str">
            <v>SL3000ZS</v>
          </cell>
          <cell r="BA8867">
            <v>1.69</v>
          </cell>
        </row>
        <row r="8868">
          <cell r="C8868" t="str">
            <v>4509 - TOOLS &amp; SUPPLIES</v>
          </cell>
          <cell r="D8868" t="str">
            <v>WBQ3208212</v>
          </cell>
          <cell r="BA8868">
            <v>11.99</v>
          </cell>
        </row>
        <row r="8869">
          <cell r="C8869" t="str">
            <v>4509 - TOOLS &amp; SUPPLIES</v>
          </cell>
          <cell r="D8869" t="str">
            <v>WBR054</v>
          </cell>
          <cell r="BA8869">
            <v>25.99</v>
          </cell>
        </row>
        <row r="8870">
          <cell r="C8870" t="str">
            <v>4509 - TOOLS &amp; SUPPLIES</v>
          </cell>
          <cell r="D8870" t="str">
            <v>WBR056</v>
          </cell>
          <cell r="BA8870">
            <v>37.99</v>
          </cell>
        </row>
        <row r="8871">
          <cell r="C8871" t="str">
            <v>4509 - TOOLS &amp; SUPPLIES</v>
          </cell>
          <cell r="D8871" t="str">
            <v>WL6206</v>
          </cell>
          <cell r="BA8871">
            <v>199.99</v>
          </cell>
        </row>
        <row r="8872">
          <cell r="C8872" t="str">
            <v>4509 - TOOLS &amp; SUPPLIES</v>
          </cell>
          <cell r="D8872" t="str">
            <v>3M99403EA</v>
          </cell>
          <cell r="BA8872">
            <v>0.67</v>
          </cell>
        </row>
        <row r="8873">
          <cell r="C8873" t="str">
            <v>4509 - TOOLS &amp; SUPPLIES</v>
          </cell>
          <cell r="D8873" t="str">
            <v>WB1123-112</v>
          </cell>
          <cell r="BA8873">
            <v>4.59</v>
          </cell>
        </row>
        <row r="8874">
          <cell r="C8874" t="str">
            <v>4509 - TOOLS &amp; SUPPLIES</v>
          </cell>
          <cell r="D8874" t="str">
            <v>PS2854560</v>
          </cell>
          <cell r="BA8874">
            <v>1.39</v>
          </cell>
        </row>
        <row r="8875">
          <cell r="C8875" t="str">
            <v>4509 - TOOLS &amp; SUPPLIES</v>
          </cell>
          <cell r="D8875" t="str">
            <v>PS2900876</v>
          </cell>
          <cell r="BA8875">
            <v>1.99</v>
          </cell>
        </row>
        <row r="8876">
          <cell r="C8876" t="str">
            <v>4509 - TOOLS &amp; SUPPLIES</v>
          </cell>
          <cell r="D8876" t="str">
            <v>OLY52102A01</v>
          </cell>
          <cell r="BA8876">
            <v>21.39</v>
          </cell>
        </row>
        <row r="8877">
          <cell r="C8877" t="str">
            <v>4509 - TOOLS &amp; SUPPLIES</v>
          </cell>
          <cell r="D8877" t="str">
            <v>RB2388000</v>
          </cell>
          <cell r="BA8877">
            <v>42.99</v>
          </cell>
        </row>
        <row r="8878">
          <cell r="C8878" t="str">
            <v>4509 - TOOLS &amp; SUPPLIES</v>
          </cell>
          <cell r="D8878" t="str">
            <v>LPRC1144</v>
          </cell>
          <cell r="BA8878">
            <v>3.49</v>
          </cell>
        </row>
        <row r="8879">
          <cell r="C8879" t="str">
            <v>4509 - TOOLS &amp; SUPPLIES</v>
          </cell>
          <cell r="D8879" t="str">
            <v>LPPD7100-9</v>
          </cell>
          <cell r="BA8879">
            <v>11.99</v>
          </cell>
        </row>
        <row r="8880">
          <cell r="C8880" t="str">
            <v>4509 - TOOLS &amp; SUPPLIES</v>
          </cell>
          <cell r="D8880" t="str">
            <v>3M7731LF</v>
          </cell>
          <cell r="BA8880">
            <v>0.5</v>
          </cell>
        </row>
        <row r="8881">
          <cell r="C8881" t="str">
            <v>4509 - TOOLS &amp; SUPPLIES</v>
          </cell>
          <cell r="D8881" t="str">
            <v>MT6286</v>
          </cell>
          <cell r="BA8881">
            <v>2.59</v>
          </cell>
        </row>
        <row r="8882">
          <cell r="C8882" t="str">
            <v>4509 - TOOLS &amp; SUPPLIES</v>
          </cell>
          <cell r="D8882" t="str">
            <v>LINPD7010-7</v>
          </cell>
          <cell r="BA8882">
            <v>4.99</v>
          </cell>
        </row>
        <row r="8883">
          <cell r="C8883" t="str">
            <v>4509 - TOOLS &amp; SUPPLIES</v>
          </cell>
          <cell r="D8883" t="str">
            <v>3MM1000</v>
          </cell>
          <cell r="BA8883">
            <v>22.99</v>
          </cell>
        </row>
        <row r="8884">
          <cell r="C8884" t="str">
            <v>4509 - TOOLS &amp; SUPPLIES</v>
          </cell>
          <cell r="D8884" t="str">
            <v>ITW4RS27</v>
          </cell>
          <cell r="BA8884">
            <v>17.989999999999998</v>
          </cell>
        </row>
        <row r="8885">
          <cell r="C8885" t="str">
            <v>4509 - TOOLS &amp; SUPPLIES</v>
          </cell>
          <cell r="D8885" t="str">
            <v>POW50630</v>
          </cell>
          <cell r="BA8885">
            <v>13.49</v>
          </cell>
        </row>
        <row r="8886">
          <cell r="C8886" t="str">
            <v>4509 - TOOLS &amp; SUPPLIES</v>
          </cell>
          <cell r="D8886" t="str">
            <v>P27SL2</v>
          </cell>
          <cell r="BA8886">
            <v>19.29</v>
          </cell>
        </row>
        <row r="8887">
          <cell r="C8887" t="str">
            <v>4509 - TOOLS &amp; SUPPLIES</v>
          </cell>
          <cell r="D8887" t="str">
            <v>SYL42021</v>
          </cell>
          <cell r="BA8887">
            <v>9.99</v>
          </cell>
        </row>
        <row r="8888">
          <cell r="C8888" t="str">
            <v>4509 - TOOLS &amp; SUPPLIES</v>
          </cell>
          <cell r="D8888" t="str">
            <v>SYL41929</v>
          </cell>
          <cell r="BA8888">
            <v>18.989999999999998</v>
          </cell>
        </row>
        <row r="8889">
          <cell r="C8889" t="str">
            <v>4509 - TOOLS &amp; SUPPLIES</v>
          </cell>
          <cell r="D8889" t="str">
            <v>SYL42053</v>
          </cell>
          <cell r="BA8889">
            <v>7.99</v>
          </cell>
        </row>
        <row r="8890">
          <cell r="C8890" t="str">
            <v>4509 - TOOLS &amp; SUPPLIES</v>
          </cell>
          <cell r="D8890" t="str">
            <v>SYL42035</v>
          </cell>
          <cell r="BA8890">
            <v>8.99</v>
          </cell>
        </row>
        <row r="8891">
          <cell r="C8891" t="str">
            <v>4509 - TOOLS &amp; SUPPLIES</v>
          </cell>
          <cell r="D8891" t="str">
            <v>SYL42023</v>
          </cell>
          <cell r="BA8891">
            <v>9.99</v>
          </cell>
        </row>
        <row r="8892">
          <cell r="C8892" t="str">
            <v>4509 - TOOLS &amp; SUPPLIES</v>
          </cell>
          <cell r="D8892" t="str">
            <v>SYL42036</v>
          </cell>
          <cell r="BA8892">
            <v>8.99</v>
          </cell>
        </row>
        <row r="8893">
          <cell r="C8893" t="str">
            <v>4509 - TOOLS &amp; SUPPLIES</v>
          </cell>
          <cell r="D8893" t="str">
            <v>SYL42018</v>
          </cell>
          <cell r="BA8893">
            <v>9.99</v>
          </cell>
        </row>
        <row r="8894">
          <cell r="C8894" t="str">
            <v>4509 - TOOLS &amp; SUPPLIES</v>
          </cell>
          <cell r="D8894" t="str">
            <v>SYL42019</v>
          </cell>
          <cell r="BA8894">
            <v>9.99</v>
          </cell>
        </row>
        <row r="8895">
          <cell r="C8895" t="str">
            <v>4509 - TOOLS &amp; SUPPLIES</v>
          </cell>
          <cell r="D8895" t="str">
            <v>SYL42017</v>
          </cell>
          <cell r="BA8895">
            <v>8.99</v>
          </cell>
        </row>
        <row r="8896">
          <cell r="C8896" t="str">
            <v>4509 - TOOLS &amp; SUPPLIES</v>
          </cell>
          <cell r="D8896" t="str">
            <v>SYL42052</v>
          </cell>
          <cell r="BA8896">
            <v>7.99</v>
          </cell>
        </row>
        <row r="8897">
          <cell r="C8897" t="str">
            <v>4509 - TOOLS &amp; SUPPLIES</v>
          </cell>
          <cell r="D8897" t="str">
            <v>SYL42016</v>
          </cell>
          <cell r="BA8897">
            <v>8.99</v>
          </cell>
        </row>
        <row r="8898">
          <cell r="C8898" t="str">
            <v>4509 - TOOLS &amp; SUPPLIES</v>
          </cell>
          <cell r="D8898" t="str">
            <v>SYL42014</v>
          </cell>
          <cell r="BA8898">
            <v>6.99</v>
          </cell>
        </row>
        <row r="8899">
          <cell r="C8899" t="str">
            <v>4509 - TOOLS &amp; SUPPLIES</v>
          </cell>
          <cell r="D8899" t="str">
            <v>SYL42012</v>
          </cell>
          <cell r="BA8899">
            <v>6.99</v>
          </cell>
        </row>
        <row r="8900">
          <cell r="C8900" t="str">
            <v>4509 - TOOLS &amp; SUPPLIES</v>
          </cell>
          <cell r="D8900" t="str">
            <v>SYL42015</v>
          </cell>
          <cell r="BA8900">
            <v>6.99</v>
          </cell>
        </row>
        <row r="8901">
          <cell r="C8901" t="str">
            <v>4509 - TOOLS &amp; SUPPLIES</v>
          </cell>
          <cell r="D8901" t="str">
            <v>SYL42013</v>
          </cell>
          <cell r="BA8901">
            <v>6.99</v>
          </cell>
        </row>
        <row r="8902">
          <cell r="C8902" t="str">
            <v>4509 - TOOLS &amp; SUPPLIES</v>
          </cell>
          <cell r="D8902" t="str">
            <v>SYL40687</v>
          </cell>
          <cell r="BA8902">
            <v>12.99</v>
          </cell>
        </row>
        <row r="8903">
          <cell r="C8903" t="str">
            <v>4509 - TOOLS &amp; SUPPLIES</v>
          </cell>
          <cell r="D8903" t="str">
            <v>SYL40688</v>
          </cell>
          <cell r="BA8903">
            <v>19.989999999999998</v>
          </cell>
        </row>
        <row r="8904">
          <cell r="C8904" t="str">
            <v>4509 - TOOLS &amp; SUPPLIES</v>
          </cell>
          <cell r="D8904" t="str">
            <v>SYL58886</v>
          </cell>
          <cell r="BA8904">
            <v>9.99</v>
          </cell>
        </row>
        <row r="8905">
          <cell r="C8905" t="str">
            <v>4509 - TOOLS &amp; SUPPLIES</v>
          </cell>
          <cell r="D8905" t="str">
            <v>SYL10562</v>
          </cell>
          <cell r="BA8905">
            <v>4.79</v>
          </cell>
        </row>
        <row r="8906">
          <cell r="C8906" t="str">
            <v>4509 - TOOLS &amp; SUPPLIES</v>
          </cell>
          <cell r="D8906" t="str">
            <v>SYL58885</v>
          </cell>
          <cell r="BA8906">
            <v>10.99</v>
          </cell>
        </row>
        <row r="8907">
          <cell r="C8907" t="str">
            <v>4509 - TOOLS &amp; SUPPLIES</v>
          </cell>
          <cell r="D8907" t="str">
            <v>MINORTLPL13</v>
          </cell>
          <cell r="BA8907">
            <v>4.29</v>
          </cell>
        </row>
        <row r="8908">
          <cell r="C8908" t="str">
            <v>4509 - TOOLS &amp; SUPPLIES</v>
          </cell>
          <cell r="D8908" t="str">
            <v>ORCW511725</v>
          </cell>
          <cell r="BA8908">
            <v>29.99</v>
          </cell>
        </row>
        <row r="8909">
          <cell r="C8909" t="str">
            <v>4509 - TOOLS &amp; SUPPLIES</v>
          </cell>
          <cell r="D8909" t="str">
            <v>PZ4473526</v>
          </cell>
          <cell r="BA8909">
            <v>2.99</v>
          </cell>
        </row>
        <row r="8910">
          <cell r="C8910" t="str">
            <v>4509 - TOOLS &amp; SUPPLIES</v>
          </cell>
          <cell r="D8910" t="str">
            <v>COBP410B-SP-L</v>
          </cell>
          <cell r="BA8910">
            <v>5.69</v>
          </cell>
        </row>
        <row r="8911">
          <cell r="C8911" t="str">
            <v>4509 - TOOLS &amp; SUPPLIES</v>
          </cell>
          <cell r="D8911" t="str">
            <v>ENL92BP-4</v>
          </cell>
          <cell r="BA8911">
            <v>14.99</v>
          </cell>
        </row>
        <row r="8912">
          <cell r="C8912" t="str">
            <v>4509 - TOOLS &amp; SUPPLIES</v>
          </cell>
          <cell r="D8912" t="str">
            <v>EB522BP-2</v>
          </cell>
          <cell r="BA8912">
            <v>9.99</v>
          </cell>
        </row>
        <row r="8913">
          <cell r="C8913" t="str">
            <v>4509 - TOOLS &amp; SUPPLIES</v>
          </cell>
          <cell r="D8913" t="str">
            <v>EBE93BP-4</v>
          </cell>
          <cell r="BA8913">
            <v>9.99</v>
          </cell>
        </row>
        <row r="8914">
          <cell r="C8914" t="str">
            <v>4509 - TOOLS &amp; SUPPLIES</v>
          </cell>
          <cell r="D8914" t="str">
            <v>EBE95BP-4</v>
          </cell>
          <cell r="BA8914">
            <v>9.99</v>
          </cell>
        </row>
        <row r="8915">
          <cell r="C8915" t="str">
            <v>4509 - TOOLS &amp; SUPPLIES</v>
          </cell>
          <cell r="D8915" t="str">
            <v>EBL91SPB-8</v>
          </cell>
          <cell r="BA8915">
            <v>22.99</v>
          </cell>
        </row>
        <row r="8916">
          <cell r="C8916" t="str">
            <v>4509 - TOOLS &amp; SUPPLIES</v>
          </cell>
          <cell r="D8916" t="str">
            <v>FC8T9CW</v>
          </cell>
          <cell r="BA8916">
            <v>11.99</v>
          </cell>
        </row>
        <row r="8917">
          <cell r="C8917" t="str">
            <v>4509 - TOOLS &amp; SUPPLIES</v>
          </cell>
          <cell r="D8917" t="str">
            <v>VT0500365</v>
          </cell>
          <cell r="BA8917">
            <v>36.79</v>
          </cell>
        </row>
        <row r="8918">
          <cell r="C8918" t="str">
            <v>4509 - TOOLS &amp; SUPPLIES</v>
          </cell>
          <cell r="D8918" t="str">
            <v>SYL18044</v>
          </cell>
          <cell r="BA8918">
            <v>1.59</v>
          </cell>
        </row>
        <row r="8919">
          <cell r="C8919" t="str">
            <v>4509 - TOOLS &amp; SUPPLIES</v>
          </cell>
          <cell r="D8919" t="str">
            <v>SYL19404</v>
          </cell>
          <cell r="BA8919">
            <v>2.89</v>
          </cell>
        </row>
        <row r="8920">
          <cell r="C8920" t="str">
            <v>4509 - TOOLS &amp; SUPPLIES</v>
          </cell>
          <cell r="D8920" t="str">
            <v>COL14SLED</v>
          </cell>
          <cell r="BA8920">
            <v>69.989999999999995</v>
          </cell>
        </row>
        <row r="8921">
          <cell r="C8921" t="str">
            <v>4509 - TOOLS &amp; SUPPLIES</v>
          </cell>
          <cell r="D8921" t="str">
            <v>SYL19380</v>
          </cell>
          <cell r="BA8921">
            <v>2.79</v>
          </cell>
        </row>
        <row r="8922">
          <cell r="C8922" t="str">
            <v>4509 - TOOLS &amp; SUPPLIES</v>
          </cell>
          <cell r="D8922" t="str">
            <v>CO710</v>
          </cell>
          <cell r="BA8922">
            <v>45.99</v>
          </cell>
        </row>
        <row r="8923">
          <cell r="C8923" t="str">
            <v>4509 - TOOLS &amp; SUPPLIES</v>
          </cell>
          <cell r="D8923" t="str">
            <v>ENE91LP-16</v>
          </cell>
          <cell r="BA8923">
            <v>17.989999999999998</v>
          </cell>
        </row>
        <row r="8924">
          <cell r="C8924" t="str">
            <v>4509 - TOOLS &amp; SUPPLIES</v>
          </cell>
          <cell r="D8924" t="str">
            <v>SYL21371</v>
          </cell>
          <cell r="BA8924">
            <v>13.99</v>
          </cell>
        </row>
        <row r="8925">
          <cell r="C8925" t="str">
            <v>4509 - TOOLS &amp; SUPPLIES</v>
          </cell>
          <cell r="D8925" t="str">
            <v>ENL522BP</v>
          </cell>
          <cell r="BA8925">
            <v>18.989999999999998</v>
          </cell>
        </row>
        <row r="8926">
          <cell r="C8926" t="str">
            <v>4509 - TOOLS &amp; SUPPLIES</v>
          </cell>
          <cell r="D8926" t="str">
            <v>SYL52555</v>
          </cell>
          <cell r="BA8926">
            <v>3.29</v>
          </cell>
        </row>
        <row r="8927">
          <cell r="C8927" t="str">
            <v>4509 - TOOLS &amp; SUPPLIES</v>
          </cell>
          <cell r="D8927" t="str">
            <v>SYL52551</v>
          </cell>
          <cell r="BA8927">
            <v>3.29</v>
          </cell>
        </row>
        <row r="8928">
          <cell r="C8928" t="str">
            <v>4509 - TOOLS &amp; SUPPLIES</v>
          </cell>
          <cell r="D8928" t="str">
            <v>SYL52549</v>
          </cell>
          <cell r="BA8928">
            <v>3.29</v>
          </cell>
        </row>
        <row r="8929">
          <cell r="C8929" t="str">
            <v>4509 - TOOLS &amp; SUPPLIES</v>
          </cell>
          <cell r="D8929" t="str">
            <v>TNI2423</v>
          </cell>
          <cell r="BA8929">
            <v>14.99</v>
          </cell>
        </row>
        <row r="8930">
          <cell r="C8930" t="str">
            <v>4509 - TOOLS &amp; SUPPLIES</v>
          </cell>
          <cell r="D8930" t="str">
            <v>ENE92LP-16</v>
          </cell>
          <cell r="BA8930">
            <v>17.989999999999998</v>
          </cell>
        </row>
        <row r="8931">
          <cell r="C8931" t="str">
            <v>4509 - TOOLS &amp; SUPPLIES</v>
          </cell>
          <cell r="D8931" t="str">
            <v>PZ5370036</v>
          </cell>
          <cell r="BA8931">
            <v>29.99</v>
          </cell>
        </row>
        <row r="8932">
          <cell r="C8932" t="str">
            <v>4509 - TOOLS &amp; SUPPLIES</v>
          </cell>
          <cell r="D8932" t="str">
            <v>CO2589SW0002</v>
          </cell>
          <cell r="BA8932">
            <v>99.99</v>
          </cell>
        </row>
        <row r="8933">
          <cell r="C8933" t="str">
            <v>4509 - TOOLS &amp; SUPPLIES</v>
          </cell>
          <cell r="D8933" t="str">
            <v>ORHLB500T32P</v>
          </cell>
          <cell r="BA8933">
            <v>5.69</v>
          </cell>
        </row>
        <row r="8934">
          <cell r="C8934" t="str">
            <v>4509 - TOOLS &amp; SUPPLIES</v>
          </cell>
          <cell r="D8934" t="str">
            <v>TNID7111</v>
          </cell>
          <cell r="BA8934">
            <v>15.09</v>
          </cell>
        </row>
        <row r="8935">
          <cell r="C8935" t="str">
            <v>4509 - TOOLS &amp; SUPPLIES</v>
          </cell>
          <cell r="D8935" t="str">
            <v>ENEVEL152S</v>
          </cell>
          <cell r="BA8935">
            <v>8.99</v>
          </cell>
        </row>
        <row r="8936">
          <cell r="C8936" t="str">
            <v>4509 - TOOLS &amp; SUPPLIES</v>
          </cell>
          <cell r="D8936" t="str">
            <v>SYL73888</v>
          </cell>
          <cell r="BA8936">
            <v>7.99</v>
          </cell>
        </row>
        <row r="8937">
          <cell r="C8937" t="str">
            <v>4509 - TOOLS &amp; SUPPLIES</v>
          </cell>
          <cell r="D8937" t="str">
            <v>SYL74076</v>
          </cell>
          <cell r="BA8937">
            <v>2.89</v>
          </cell>
        </row>
        <row r="8938">
          <cell r="C8938" t="str">
            <v>4509 - TOOLS &amp; SUPPLIES</v>
          </cell>
          <cell r="D8938" t="str">
            <v>SYL74081</v>
          </cell>
          <cell r="BA8938">
            <v>3.79</v>
          </cell>
        </row>
        <row r="8939">
          <cell r="C8939" t="str">
            <v>4509 - TOOLS &amp; SUPPLIES</v>
          </cell>
          <cell r="D8939" t="str">
            <v>SYL73954</v>
          </cell>
          <cell r="BA8939">
            <v>7.59</v>
          </cell>
        </row>
        <row r="8940">
          <cell r="C8940" t="str">
            <v>4509 - TOOLS &amp; SUPPLIES</v>
          </cell>
          <cell r="D8940" t="str">
            <v>SYL79626</v>
          </cell>
          <cell r="BA8940">
            <v>16.09</v>
          </cell>
        </row>
        <row r="8941">
          <cell r="C8941" t="str">
            <v>4509 - TOOLS &amp; SUPPLIES</v>
          </cell>
          <cell r="D8941" t="str">
            <v>SYL79284</v>
          </cell>
          <cell r="BA8941">
            <v>6.99</v>
          </cell>
        </row>
        <row r="8942">
          <cell r="C8942" t="str">
            <v>4509 - TOOLS &amp; SUPPLIES</v>
          </cell>
          <cell r="D8942" t="str">
            <v>SYL52582</v>
          </cell>
          <cell r="BA8942">
            <v>15.49</v>
          </cell>
        </row>
        <row r="8943">
          <cell r="C8943" t="str">
            <v>4509 - TOOLS &amp; SUPPLIES</v>
          </cell>
          <cell r="D8943" t="str">
            <v>SYL74061</v>
          </cell>
          <cell r="BA8943">
            <v>19.59</v>
          </cell>
        </row>
        <row r="8944">
          <cell r="C8944" t="str">
            <v>4509 - TOOLS &amp; SUPPLIES</v>
          </cell>
          <cell r="D8944" t="str">
            <v>SYL74047</v>
          </cell>
          <cell r="BA8944">
            <v>10.49</v>
          </cell>
        </row>
        <row r="8945">
          <cell r="C8945" t="str">
            <v>4509 - TOOLS &amp; SUPPLIES</v>
          </cell>
          <cell r="D8945" t="str">
            <v>SYL73675</v>
          </cell>
          <cell r="BA8945">
            <v>24.09</v>
          </cell>
        </row>
        <row r="8946">
          <cell r="C8946" t="str">
            <v>4509 - TOOLS &amp; SUPPLIES</v>
          </cell>
          <cell r="D8946" t="str">
            <v>SYL79173</v>
          </cell>
          <cell r="BA8946">
            <v>10.69</v>
          </cell>
        </row>
        <row r="8947">
          <cell r="C8947" t="str">
            <v>4509 - TOOLS &amp; SUPPLIES</v>
          </cell>
          <cell r="D8947" t="str">
            <v>SYL15160</v>
          </cell>
          <cell r="BA8947">
            <v>3.09</v>
          </cell>
        </row>
        <row r="8948">
          <cell r="C8948" t="str">
            <v>4509 - TOOLS &amp; SUPPLIES</v>
          </cell>
          <cell r="D8948" t="str">
            <v>SYL58865</v>
          </cell>
          <cell r="BA8948">
            <v>8.69</v>
          </cell>
        </row>
        <row r="8949">
          <cell r="C8949" t="str">
            <v>4509 - TOOLS &amp; SUPPLIES</v>
          </cell>
          <cell r="D8949" t="str">
            <v>SYL58920</v>
          </cell>
          <cell r="BA8949">
            <v>7.59</v>
          </cell>
        </row>
        <row r="8950">
          <cell r="C8950" t="str">
            <v>4509 - TOOLS &amp; SUPPLIES</v>
          </cell>
          <cell r="D8950" t="str">
            <v>NEBO5659</v>
          </cell>
          <cell r="BA8950">
            <v>24.19</v>
          </cell>
        </row>
        <row r="8951">
          <cell r="C8951" t="str">
            <v>4509 - TOOLS &amp; SUPPLIES</v>
          </cell>
          <cell r="D8951" t="str">
            <v>NEBWLT0019</v>
          </cell>
          <cell r="BA8951">
            <v>7.09</v>
          </cell>
        </row>
        <row r="8952">
          <cell r="C8952" t="str">
            <v>4509 - TOOLS &amp; SUPPLIES</v>
          </cell>
          <cell r="D8952" t="str">
            <v>NEBO6392</v>
          </cell>
          <cell r="BA8952">
            <v>27.69</v>
          </cell>
        </row>
        <row r="8953">
          <cell r="C8953" t="str">
            <v>4509 - TOOLS &amp; SUPPLIES</v>
          </cell>
          <cell r="D8953" t="str">
            <v>SCN65</v>
          </cell>
          <cell r="BA8953">
            <v>465.99</v>
          </cell>
        </row>
        <row r="8954">
          <cell r="C8954" t="str">
            <v>4509 - TOOLS &amp; SUPPLIES</v>
          </cell>
          <cell r="D8954" t="str">
            <v>SP10E0001N</v>
          </cell>
          <cell r="BA8954">
            <v>279.99</v>
          </cell>
        </row>
        <row r="8955">
          <cell r="C8955" t="str">
            <v>4509 - TOOLS &amp; SUPPLIES</v>
          </cell>
          <cell r="D8955" t="str">
            <v>SP10X0003N</v>
          </cell>
          <cell r="BA8955">
            <v>349.99</v>
          </cell>
        </row>
        <row r="8956">
          <cell r="C8956" t="str">
            <v>4509 - TOOLS &amp; SUPPLIES</v>
          </cell>
          <cell r="D8956" t="str">
            <v>4G0001N</v>
          </cell>
          <cell r="BA8956">
            <v>219.99</v>
          </cell>
        </row>
        <row r="8957">
          <cell r="C8957" t="str">
            <v>4509 - TOOLS &amp; SUPPLIES</v>
          </cell>
          <cell r="D8957" t="str">
            <v>GRTFR83</v>
          </cell>
          <cell r="BA8957">
            <v>271.99</v>
          </cell>
        </row>
        <row r="8958">
          <cell r="C8958" t="str">
            <v>4509 - TOOLS &amp; SUPPLIES</v>
          </cell>
          <cell r="D8958" t="str">
            <v>SPPC0567</v>
          </cell>
          <cell r="BA8958">
            <v>15.59</v>
          </cell>
        </row>
        <row r="8959">
          <cell r="C8959" t="str">
            <v>4509 - TOOLS &amp; SUPPLIES</v>
          </cell>
          <cell r="D8959" t="str">
            <v>SPPC0468</v>
          </cell>
          <cell r="BA8959">
            <v>1.69</v>
          </cell>
        </row>
        <row r="8960">
          <cell r="C8960" t="str">
            <v>4509 - TOOLS &amp; SUPPLIES</v>
          </cell>
          <cell r="D8960" t="str">
            <v>SPPC0466</v>
          </cell>
          <cell r="BA8960">
            <v>1.59</v>
          </cell>
        </row>
        <row r="8961">
          <cell r="C8961" t="str">
            <v>4509 - TOOLS &amp; SUPPLIES</v>
          </cell>
          <cell r="D8961" t="str">
            <v>SPPC0492</v>
          </cell>
          <cell r="BA8961">
            <v>4.29</v>
          </cell>
        </row>
        <row r="8962">
          <cell r="C8962" t="str">
            <v>4509 - TOOLS &amp; SUPPLIES</v>
          </cell>
          <cell r="D8962" t="str">
            <v>SPPC0493</v>
          </cell>
          <cell r="BA8962">
            <v>7.09</v>
          </cell>
        </row>
        <row r="8963">
          <cell r="C8963" t="str">
            <v>4509 - TOOLS &amp; SUPPLIES</v>
          </cell>
          <cell r="D8963" t="str">
            <v>SPPC0495</v>
          </cell>
          <cell r="BA8963">
            <v>7.09</v>
          </cell>
        </row>
        <row r="8964">
          <cell r="C8964" t="str">
            <v>4509 - TOOLS &amp; SUPPLIES</v>
          </cell>
          <cell r="D8964" t="str">
            <v>SPPC0469</v>
          </cell>
          <cell r="BA8964">
            <v>1.69</v>
          </cell>
        </row>
        <row r="8965">
          <cell r="C8965" t="str">
            <v>4509 - TOOLS &amp; SUPPLIES</v>
          </cell>
          <cell r="D8965" t="str">
            <v>SPPC0490</v>
          </cell>
          <cell r="BA8965">
            <v>5.09</v>
          </cell>
        </row>
        <row r="8966">
          <cell r="C8966" t="str">
            <v>4509 - TOOLS &amp; SUPPLIES</v>
          </cell>
          <cell r="D8966" t="str">
            <v>SPPC0494</v>
          </cell>
          <cell r="BA8966">
            <v>4.79</v>
          </cell>
        </row>
        <row r="8967">
          <cell r="C8967" t="str">
            <v>4509 - TOOLS &amp; SUPPLIES</v>
          </cell>
          <cell r="D8967" t="str">
            <v>SPPC0573</v>
          </cell>
          <cell r="BA8967">
            <v>2.59</v>
          </cell>
        </row>
        <row r="8968">
          <cell r="C8968" t="str">
            <v>4509 - TOOLS &amp; SUPPLIES</v>
          </cell>
          <cell r="D8968" t="str">
            <v>SPPC0574</v>
          </cell>
          <cell r="BA8968">
            <v>1.69</v>
          </cell>
        </row>
        <row r="8969">
          <cell r="C8969" t="str">
            <v>4509 - TOOLS &amp; SUPPLIES</v>
          </cell>
          <cell r="D8969" t="str">
            <v>SP760102N</v>
          </cell>
          <cell r="BA8969">
            <v>219.99</v>
          </cell>
        </row>
        <row r="8970">
          <cell r="C8970" t="str">
            <v>4509 - TOOLS &amp; SUPPLIES</v>
          </cell>
          <cell r="D8970" t="str">
            <v>STPHT150C</v>
          </cell>
          <cell r="BA8970">
            <v>22.99</v>
          </cell>
        </row>
        <row r="8971">
          <cell r="C8971" t="str">
            <v>4509 - TOOLS &amp; SUPPLIES</v>
          </cell>
          <cell r="D8971" t="str">
            <v>STPHT250C</v>
          </cell>
          <cell r="BA8971">
            <v>37.99</v>
          </cell>
        </row>
        <row r="8972">
          <cell r="C8972" t="str">
            <v>4509 - TOOLS &amp; SUPPLIES</v>
          </cell>
          <cell r="D8972" t="str">
            <v>IC91510</v>
          </cell>
          <cell r="BA8972">
            <v>2.89</v>
          </cell>
        </row>
        <row r="8973">
          <cell r="C8973" t="str">
            <v>4509 - TOOLS &amp; SUPPLIES</v>
          </cell>
          <cell r="D8973" t="str">
            <v>METNR38AKM</v>
          </cell>
          <cell r="BA8973">
            <v>299.99</v>
          </cell>
        </row>
        <row r="8974">
          <cell r="C8974" t="str">
            <v>4509 - TOOLS &amp; SUPPLIES</v>
          </cell>
          <cell r="D8974" t="str">
            <v>METNV65AH2M</v>
          </cell>
          <cell r="BA8974">
            <v>400.99</v>
          </cell>
        </row>
        <row r="8975">
          <cell r="C8975" t="str">
            <v>4509 - TOOLS &amp; SUPPLIES</v>
          </cell>
          <cell r="D8975" t="str">
            <v>GRSB150</v>
          </cell>
          <cell r="BA8975">
            <v>275.99</v>
          </cell>
        </row>
        <row r="8976">
          <cell r="C8976" t="str">
            <v>4509 - TOOLS &amp; SUPPLIES</v>
          </cell>
          <cell r="D8976" t="str">
            <v>GRTCS250</v>
          </cell>
          <cell r="BA8976">
            <v>336.99</v>
          </cell>
        </row>
        <row r="8977">
          <cell r="C8977" t="str">
            <v>4509 - TOOLS &amp; SUPPLIES</v>
          </cell>
          <cell r="D8977" t="str">
            <v>HPNR83A5S</v>
          </cell>
          <cell r="BA8977">
            <v>329.99</v>
          </cell>
        </row>
        <row r="8978">
          <cell r="C8978" t="str">
            <v>4509 - TOOLS &amp; SUPPLIES</v>
          </cell>
          <cell r="D8978" t="str">
            <v>CS00001</v>
          </cell>
          <cell r="BA8978">
            <v>3.89</v>
          </cell>
        </row>
        <row r="8979">
          <cell r="C8979" t="str">
            <v>4509 - TOOLS &amp; SUPPLIES</v>
          </cell>
          <cell r="D8979" t="str">
            <v>PC1280</v>
          </cell>
          <cell r="BA8979">
            <v>329.99</v>
          </cell>
        </row>
        <row r="8980">
          <cell r="C8980" t="str">
            <v>4509 - TOOLS &amp; SUPPLIES</v>
          </cell>
          <cell r="D8980" t="str">
            <v>PC344</v>
          </cell>
          <cell r="BA8980">
            <v>45.99</v>
          </cell>
        </row>
        <row r="8981">
          <cell r="C8981" t="str">
            <v>4509 - TOOLS &amp; SUPPLIES</v>
          </cell>
          <cell r="D8981" t="str">
            <v>U116A</v>
          </cell>
          <cell r="BA8981">
            <v>8.99</v>
          </cell>
        </row>
        <row r="8982">
          <cell r="C8982" t="str">
            <v>4509 - TOOLS &amp; SUPPLIES</v>
          </cell>
          <cell r="D8982" t="str">
            <v>12225ALNM</v>
          </cell>
          <cell r="BA8982">
            <v>3.29</v>
          </cell>
        </row>
        <row r="8983">
          <cell r="C8983" t="str">
            <v>4509 - TOOLS &amp; SUPPLIES</v>
          </cell>
          <cell r="D8983" t="str">
            <v>AA13090</v>
          </cell>
          <cell r="BA8983">
            <v>3.79</v>
          </cell>
        </row>
        <row r="8984">
          <cell r="C8984" t="str">
            <v>4509 - TOOLS &amp; SUPPLIES</v>
          </cell>
          <cell r="D8984" t="str">
            <v>21423HBS</v>
          </cell>
          <cell r="BA8984">
            <v>3.29</v>
          </cell>
        </row>
        <row r="8985">
          <cell r="C8985" t="str">
            <v>4509 - TOOLS &amp; SUPPLIES</v>
          </cell>
          <cell r="D8985" t="str">
            <v>FC17351</v>
          </cell>
          <cell r="BA8985">
            <v>4.99</v>
          </cell>
        </row>
        <row r="8986">
          <cell r="C8986" t="str">
            <v>4509 - TOOLS &amp; SUPPLIES</v>
          </cell>
          <cell r="D8986" t="str">
            <v>PL18-207</v>
          </cell>
          <cell r="BA8986">
            <v>12.99</v>
          </cell>
        </row>
        <row r="8987">
          <cell r="C8987" t="str">
            <v>4509 - TOOLS &amp; SUPPLIES</v>
          </cell>
          <cell r="D8987" t="str">
            <v>CPPSM0404</v>
          </cell>
          <cell r="BA8987">
            <v>5.89</v>
          </cell>
        </row>
        <row r="8988">
          <cell r="C8988" t="str">
            <v>4509 - TOOLS &amp; SUPPLIES</v>
          </cell>
          <cell r="D8988" t="str">
            <v>CPPSM0604</v>
          </cell>
          <cell r="BA8988">
            <v>7.59</v>
          </cell>
        </row>
        <row r="8989">
          <cell r="C8989" t="str">
            <v>4509 - TOOLS &amp; SUPPLIES</v>
          </cell>
          <cell r="D8989" t="str">
            <v>AIRHOSE1450</v>
          </cell>
          <cell r="BA8989">
            <v>35.99</v>
          </cell>
        </row>
        <row r="8990">
          <cell r="C8990" t="str">
            <v>4509 - TOOLS &amp; SUPPLIES</v>
          </cell>
          <cell r="D8990" t="str">
            <v>AIRHOSE14100</v>
          </cell>
          <cell r="BA8990">
            <v>44.99</v>
          </cell>
        </row>
        <row r="8991">
          <cell r="C8991" t="str">
            <v>4509 - TOOLS &amp; SUPPLIES</v>
          </cell>
          <cell r="D8991" t="str">
            <v>LMHFZ3825YW2</v>
          </cell>
          <cell r="BA8991">
            <v>21.99</v>
          </cell>
        </row>
        <row r="8992">
          <cell r="C8992" t="str">
            <v>4509 - TOOLS &amp; SUPPLIES</v>
          </cell>
          <cell r="D8992" t="str">
            <v>PE21-123</v>
          </cell>
          <cell r="BA8992">
            <v>2.99</v>
          </cell>
        </row>
        <row r="8993">
          <cell r="C8993" t="str">
            <v>4509 - TOOLS &amp; SUPPLIES</v>
          </cell>
          <cell r="D8993" t="str">
            <v>24343MALF</v>
          </cell>
          <cell r="BA8993">
            <v>34.99</v>
          </cell>
        </row>
        <row r="8994">
          <cell r="C8994" t="str">
            <v>4509 - TOOLS &amp; SUPPLIES</v>
          </cell>
          <cell r="D8994" t="str">
            <v>24444MALR</v>
          </cell>
          <cell r="BA8994">
            <v>29.99</v>
          </cell>
        </row>
        <row r="8995">
          <cell r="C8995" t="str">
            <v>4509 - TOOLS &amp; SUPPLIES</v>
          </cell>
          <cell r="D8995" t="str">
            <v>GRPU14SPLD</v>
          </cell>
          <cell r="BA8995">
            <v>2.69</v>
          </cell>
        </row>
        <row r="8996">
          <cell r="C8996" t="str">
            <v>4509 - TOOLS &amp; SUPPLIES</v>
          </cell>
          <cell r="D8996" t="str">
            <v>AL17383</v>
          </cell>
          <cell r="BA8996">
            <v>9.99</v>
          </cell>
        </row>
        <row r="8997">
          <cell r="C8997" t="str">
            <v>4509 - TOOLS &amp; SUPPLIES</v>
          </cell>
          <cell r="D8997" t="str">
            <v>1503DL</v>
          </cell>
          <cell r="BA8997">
            <v>3.39</v>
          </cell>
        </row>
        <row r="8998">
          <cell r="C8998" t="str">
            <v>4509 - TOOLS &amp; SUPPLIES</v>
          </cell>
          <cell r="D8998" t="str">
            <v>1504BSDL</v>
          </cell>
          <cell r="BA8998">
            <v>10.29</v>
          </cell>
        </row>
        <row r="8999">
          <cell r="C8999" t="str">
            <v>4509 - TOOLS &amp; SUPPLIES</v>
          </cell>
          <cell r="D8999" t="str">
            <v>CPPFX4050GS16XS</v>
          </cell>
          <cell r="BA8999">
            <v>79.989999999999995</v>
          </cell>
        </row>
        <row r="9000">
          <cell r="C9000" t="str">
            <v>4509 - TOOLS &amp; SUPPLIES</v>
          </cell>
          <cell r="D9000" t="str">
            <v>CPRF040804</v>
          </cell>
          <cell r="BA9000">
            <v>10.49</v>
          </cell>
        </row>
        <row r="9001">
          <cell r="C9001" t="str">
            <v>4509 - TOOLS &amp; SUPPLIES</v>
          </cell>
          <cell r="D9001" t="str">
            <v>CPPFE61004TR</v>
          </cell>
          <cell r="BA9001">
            <v>118.99</v>
          </cell>
        </row>
        <row r="9002">
          <cell r="C9002" t="str">
            <v>4509 - TOOLS &amp; SUPPLIES</v>
          </cell>
          <cell r="D9002" t="str">
            <v>CP161-DL</v>
          </cell>
          <cell r="BA9002">
            <v>8.2899999999999991</v>
          </cell>
        </row>
        <row r="9003">
          <cell r="C9003" t="str">
            <v>4509 - TOOLS &amp; SUPPLIES</v>
          </cell>
          <cell r="D9003" t="str">
            <v>CP3122-15X-DPB</v>
          </cell>
          <cell r="BA9003">
            <v>37.090000000000003</v>
          </cell>
        </row>
        <row r="9004">
          <cell r="C9004" t="str">
            <v>4509 - TOOLS &amp; SUPPLIES</v>
          </cell>
          <cell r="D9004" t="str">
            <v>CPPFE40504TR</v>
          </cell>
          <cell r="BA9004">
            <v>42.79</v>
          </cell>
        </row>
        <row r="9005">
          <cell r="C9005" t="str">
            <v>4509 - TOOLS &amp; SUPPLIES</v>
          </cell>
          <cell r="D9005" t="str">
            <v>CP1603-BAG</v>
          </cell>
          <cell r="BA9005">
            <v>4.49</v>
          </cell>
        </row>
        <row r="9006">
          <cell r="C9006" t="str">
            <v>4509 - TOOLS &amp; SUPPLIES</v>
          </cell>
          <cell r="D9006" t="str">
            <v>PHS0406</v>
          </cell>
          <cell r="BA9006">
            <v>7.39</v>
          </cell>
        </row>
        <row r="9007">
          <cell r="C9007" t="str">
            <v>4509 - TOOLS &amp; SUPPLIES</v>
          </cell>
          <cell r="D9007" t="str">
            <v>CPPFE4100TRS15X</v>
          </cell>
          <cell r="BA9007">
            <v>76.989999999999995</v>
          </cell>
        </row>
        <row r="9008">
          <cell r="C9008" t="str">
            <v>4509 - TOOLS &amp; SUPPLIES</v>
          </cell>
          <cell r="D9008" t="str">
            <v>EDT22S</v>
          </cell>
          <cell r="BA9008">
            <v>108.99</v>
          </cell>
        </row>
        <row r="9009">
          <cell r="C9009" t="str">
            <v>4509 - TOOLS &amp; SUPPLIES</v>
          </cell>
          <cell r="D9009" t="str">
            <v>GR14SPLTDF</v>
          </cell>
          <cell r="BA9009">
            <v>15.79</v>
          </cell>
        </row>
        <row r="9010">
          <cell r="C9010" t="str">
            <v>4509 - TOOLS &amp; SUPPLIES</v>
          </cell>
          <cell r="D9010" t="str">
            <v>GRF14MCID</v>
          </cell>
          <cell r="BA9010">
            <v>5.99</v>
          </cell>
        </row>
        <row r="9011">
          <cell r="C9011" t="str">
            <v>4509 - TOOLS &amp; SUPPLIES</v>
          </cell>
          <cell r="D9011" t="str">
            <v>GRF14FCIB</v>
          </cell>
          <cell r="BA9011">
            <v>4.29</v>
          </cell>
        </row>
        <row r="9012">
          <cell r="C9012" t="str">
            <v>4509 - TOOLS &amp; SUPPLIES</v>
          </cell>
          <cell r="D9012" t="str">
            <v>GR14SPLTD</v>
          </cell>
          <cell r="BA9012">
            <v>16.989999999999998</v>
          </cell>
        </row>
        <row r="9013">
          <cell r="C9013" t="str">
            <v>4509 - TOOLS &amp; SUPPLIES</v>
          </cell>
          <cell r="D9013" t="str">
            <v>GRFKIT14</v>
          </cell>
          <cell r="BA9013">
            <v>6.29</v>
          </cell>
        </row>
        <row r="9014">
          <cell r="C9014" t="str">
            <v>4509 - TOOLS &amp; SUPPLIES</v>
          </cell>
          <cell r="D9014" t="str">
            <v>GRF14SPB2</v>
          </cell>
          <cell r="BA9014">
            <v>3.29</v>
          </cell>
        </row>
        <row r="9015">
          <cell r="C9015" t="str">
            <v>4509 - TOOLS &amp; SUPPLIES</v>
          </cell>
          <cell r="D9015" t="str">
            <v>BTFP72318</v>
          </cell>
          <cell r="BA9015">
            <v>3.99</v>
          </cell>
        </row>
        <row r="9016">
          <cell r="C9016" t="str">
            <v>4509 - TOOLS &amp; SUPPLIES</v>
          </cell>
          <cell r="D9016" t="str">
            <v>BTFP72319</v>
          </cell>
          <cell r="BA9016">
            <v>3.99</v>
          </cell>
        </row>
        <row r="9017">
          <cell r="C9017" t="str">
            <v>4509 - TOOLS &amp; SUPPLIES</v>
          </cell>
          <cell r="D9017" t="str">
            <v>GRPU38SPLD</v>
          </cell>
          <cell r="BA9017">
            <v>20.69</v>
          </cell>
        </row>
        <row r="9018">
          <cell r="C9018" t="str">
            <v>4509 - TOOLS &amp; SUPPLIES</v>
          </cell>
          <cell r="D9018" t="str">
            <v>PC0351</v>
          </cell>
          <cell r="BA9018">
            <v>5.19</v>
          </cell>
        </row>
        <row r="9019">
          <cell r="C9019" t="str">
            <v>4509 - TOOLS &amp; SUPPLIES</v>
          </cell>
          <cell r="D9019" t="str">
            <v>GRFKIT7</v>
          </cell>
          <cell r="BA9019">
            <v>8.39</v>
          </cell>
        </row>
        <row r="9020">
          <cell r="C9020" t="str">
            <v>4509 - TOOLS &amp; SUPPLIES</v>
          </cell>
          <cell r="D9020" t="str">
            <v>GRFTINFLG2</v>
          </cell>
          <cell r="BA9020">
            <v>18.89</v>
          </cell>
        </row>
        <row r="9021">
          <cell r="C9021" t="str">
            <v>4509 - TOOLS &amp; SUPPLIES</v>
          </cell>
          <cell r="D9021" t="str">
            <v>GRTO8AZ</v>
          </cell>
          <cell r="BA9021">
            <v>4.1900000000000004</v>
          </cell>
        </row>
        <row r="9022">
          <cell r="C9022" t="str">
            <v>4509 - TOOLS &amp; SUPPLIES</v>
          </cell>
          <cell r="D9022" t="str">
            <v>CPRF040904</v>
          </cell>
          <cell r="BA9022">
            <v>13.49</v>
          </cell>
        </row>
        <row r="9023">
          <cell r="C9023" t="str">
            <v>4509 - TOOLS &amp; SUPPLIES</v>
          </cell>
          <cell r="D9023" t="str">
            <v>CP150UDL</v>
          </cell>
          <cell r="BA9023">
            <v>12.69</v>
          </cell>
        </row>
        <row r="9024">
          <cell r="C9024" t="str">
            <v>4509 - TOOLS &amp; SUPPLIES</v>
          </cell>
          <cell r="D9024" t="str">
            <v>SPPC0656</v>
          </cell>
          <cell r="BA9024">
            <v>21.79</v>
          </cell>
        </row>
        <row r="9025">
          <cell r="C9025" t="str">
            <v>4509 - TOOLS &amp; SUPPLIES</v>
          </cell>
          <cell r="D9025" t="str">
            <v>GRCO16AS</v>
          </cell>
          <cell r="BA9025">
            <v>7.59</v>
          </cell>
        </row>
        <row r="9026">
          <cell r="C9026" t="str">
            <v>4509 - TOOLS &amp; SUPPLIES</v>
          </cell>
          <cell r="D9026" t="str">
            <v>FRDFB323DUOH01G</v>
          </cell>
          <cell r="BA9026">
            <v>18.989999999999998</v>
          </cell>
        </row>
        <row r="9027">
          <cell r="C9027" t="str">
            <v>4509 - TOOLS &amp; SUPPLIES</v>
          </cell>
          <cell r="D9027" t="str">
            <v>FRDFB323TOOL01G</v>
          </cell>
          <cell r="BA9027">
            <v>9.99</v>
          </cell>
        </row>
        <row r="9028">
          <cell r="C9028" t="str">
            <v>4509 - TOOLS &amp; SUPPLIES</v>
          </cell>
          <cell r="D9028" t="str">
            <v>FRDFBBLOCAST03G</v>
          </cell>
          <cell r="BA9028">
            <v>8.69</v>
          </cell>
        </row>
        <row r="9029">
          <cell r="C9029" t="str">
            <v>4509 - TOOLS &amp; SUPPLIES</v>
          </cell>
          <cell r="D9029" t="str">
            <v>FRDFBBLOCBFN01G</v>
          </cell>
          <cell r="BA9029">
            <v>5.99</v>
          </cell>
        </row>
        <row r="9030">
          <cell r="C9030" t="str">
            <v>4509 - TOOLS &amp; SUPPLIES</v>
          </cell>
          <cell r="D9030" t="str">
            <v>FRDFBBLOCCRS01G</v>
          </cell>
          <cell r="BA9030">
            <v>2.59</v>
          </cell>
        </row>
        <row r="9031">
          <cell r="C9031" t="str">
            <v>4509 - TOOLS &amp; SUPPLIES</v>
          </cell>
          <cell r="D9031" t="str">
            <v>FRDFBBLOCBMD01G</v>
          </cell>
          <cell r="BA9031">
            <v>5.99</v>
          </cell>
        </row>
        <row r="9032">
          <cell r="C9032" t="str">
            <v>4509 - TOOLS &amp; SUPPLIES</v>
          </cell>
          <cell r="D9032" t="str">
            <v>FRDFBBLOCCRS03G</v>
          </cell>
          <cell r="BA9032">
            <v>6.99</v>
          </cell>
        </row>
        <row r="9033">
          <cell r="C9033" t="str">
            <v>4509 - TOOLS &amp; SUPPLIES</v>
          </cell>
          <cell r="D9033" t="str">
            <v>FRDFBBLOCFIN01G</v>
          </cell>
          <cell r="BA9033">
            <v>2.59</v>
          </cell>
        </row>
        <row r="9034">
          <cell r="C9034" t="str">
            <v>4509 - TOOLS &amp; SUPPLIES</v>
          </cell>
          <cell r="D9034" t="str">
            <v>FRDFBBLOCFIN03G</v>
          </cell>
          <cell r="BA9034">
            <v>6.99</v>
          </cell>
        </row>
        <row r="9035">
          <cell r="C9035" t="str">
            <v>4509 - TOOLS &amp; SUPPLIES</v>
          </cell>
          <cell r="D9035" t="str">
            <v>FRDFBBLOCMED01G</v>
          </cell>
          <cell r="BA9035">
            <v>2.59</v>
          </cell>
        </row>
        <row r="9036">
          <cell r="C9036" t="str">
            <v>4509 - TOOLS &amp; SUPPLIES</v>
          </cell>
          <cell r="D9036" t="str">
            <v>FRDFBBLOCMED03G</v>
          </cell>
          <cell r="BA9036">
            <v>6.99</v>
          </cell>
        </row>
        <row r="9037">
          <cell r="C9037" t="str">
            <v>4509 - TOOLS &amp; SUPPLIES</v>
          </cell>
          <cell r="D9037" t="str">
            <v>FRDFBBLOCMFN01G</v>
          </cell>
          <cell r="BA9037">
            <v>2.59</v>
          </cell>
        </row>
        <row r="9038">
          <cell r="C9038" t="str">
            <v>4509 - TOOLS &amp; SUPPLIES</v>
          </cell>
          <cell r="D9038" t="str">
            <v>FRDFBBLOCUFN01G</v>
          </cell>
          <cell r="BA9038">
            <v>2.59</v>
          </cell>
        </row>
        <row r="9039">
          <cell r="C9039" t="str">
            <v>4509 - TOOLS &amp; SUPPLIES</v>
          </cell>
          <cell r="D9039" t="str">
            <v>FRDFBCOMBCRS01G</v>
          </cell>
          <cell r="BA9039">
            <v>3.49</v>
          </cell>
        </row>
        <row r="9040">
          <cell r="C9040" t="str">
            <v>4509 - TOOLS &amp; SUPPLIES</v>
          </cell>
          <cell r="D9040" t="str">
            <v>FRDFBCOMBFIN01G</v>
          </cell>
          <cell r="BA9040">
            <v>3.49</v>
          </cell>
        </row>
        <row r="9041">
          <cell r="C9041" t="str">
            <v>4509 - TOOLS &amp; SUPPLIES</v>
          </cell>
          <cell r="D9041" t="str">
            <v>FRDFBCOMBMED01G</v>
          </cell>
          <cell r="BA9041">
            <v>3.49</v>
          </cell>
        </row>
        <row r="9042">
          <cell r="C9042" t="str">
            <v>4509 - TOOLS &amp; SUPPLIES</v>
          </cell>
          <cell r="D9042" t="str">
            <v>FRDFBCOMBMFN01G</v>
          </cell>
          <cell r="BA9042">
            <v>3.49</v>
          </cell>
        </row>
        <row r="9043">
          <cell r="C9043" t="str">
            <v>4509 - TOOLS &amp; SUPPLIES</v>
          </cell>
          <cell r="D9043" t="str">
            <v>FRDFBCOMBUFN01G</v>
          </cell>
          <cell r="BA9043">
            <v>3.49</v>
          </cell>
        </row>
        <row r="9044">
          <cell r="C9044" t="str">
            <v>4509 - TOOLS &amp; SUPPLIES</v>
          </cell>
          <cell r="D9044" t="str">
            <v>FRDFPFLEXFIN02G</v>
          </cell>
          <cell r="BA9044">
            <v>3.49</v>
          </cell>
        </row>
        <row r="9045">
          <cell r="C9045" t="str">
            <v>4509 - TOOLS &amp; SUPPLIES</v>
          </cell>
          <cell r="D9045" t="str">
            <v>FRDFPFLEXMED02G</v>
          </cell>
          <cell r="BA9045">
            <v>3.49</v>
          </cell>
        </row>
        <row r="9046">
          <cell r="C9046" t="str">
            <v>4509 - TOOLS &amp; SUPPLIES</v>
          </cell>
          <cell r="D9046" t="str">
            <v>FRDFPFLEXMFN02G</v>
          </cell>
          <cell r="BA9046">
            <v>3.49</v>
          </cell>
        </row>
        <row r="9047">
          <cell r="C9047" t="str">
            <v>4509 - TOOLS &amp; SUPPLIES</v>
          </cell>
          <cell r="D9047" t="str">
            <v>FRDFPFLEXUFN02G</v>
          </cell>
          <cell r="BA9047">
            <v>3.49</v>
          </cell>
        </row>
        <row r="9048">
          <cell r="C9048" t="str">
            <v>4509 - TOOLS &amp; SUPPLIES</v>
          </cell>
          <cell r="D9048" t="str">
            <v>FRDNS323080S05G</v>
          </cell>
          <cell r="BA9048">
            <v>5.99</v>
          </cell>
        </row>
        <row r="9049">
          <cell r="C9049" t="str">
            <v>4509 - TOOLS &amp; SUPPLIES</v>
          </cell>
          <cell r="D9049" t="str">
            <v>FRDNS323100S05G</v>
          </cell>
          <cell r="BA9049">
            <v>5.99</v>
          </cell>
        </row>
        <row r="9050">
          <cell r="C9050" t="str">
            <v>4509 - TOOLS &amp; SUPPLIES</v>
          </cell>
          <cell r="D9050" t="str">
            <v>FRDNS323120S05G</v>
          </cell>
          <cell r="BA9050">
            <v>5.99</v>
          </cell>
        </row>
        <row r="9051">
          <cell r="C9051" t="str">
            <v>4509 - TOOLS &amp; SUPPLIES</v>
          </cell>
          <cell r="D9051" t="str">
            <v>FRDNS323150S05G</v>
          </cell>
          <cell r="BA9051">
            <v>5.99</v>
          </cell>
        </row>
        <row r="9052">
          <cell r="C9052" t="str">
            <v>4509 - TOOLS &amp; SUPPLIES</v>
          </cell>
          <cell r="D9052" t="str">
            <v>FRDNS323220S05G</v>
          </cell>
          <cell r="BA9052">
            <v>5.99</v>
          </cell>
        </row>
        <row r="9053">
          <cell r="C9053" t="str">
            <v>4509 - TOOLS &amp; SUPPLIES</v>
          </cell>
          <cell r="D9053" t="str">
            <v>FRDNS323320S05G</v>
          </cell>
          <cell r="BA9053">
            <v>5.99</v>
          </cell>
        </row>
        <row r="9054">
          <cell r="C9054" t="str">
            <v>4509 - TOOLS &amp; SUPPLIES</v>
          </cell>
          <cell r="D9054" t="str">
            <v>FRDNS323400S05G</v>
          </cell>
          <cell r="BA9054">
            <v>5.99</v>
          </cell>
        </row>
        <row r="9055">
          <cell r="C9055" t="str">
            <v>4509 - TOOLS &amp; SUPPLIES</v>
          </cell>
          <cell r="D9055" t="str">
            <v>FRDNS431080H05G</v>
          </cell>
          <cell r="BA9055">
            <v>6.99</v>
          </cell>
        </row>
        <row r="9056">
          <cell r="C9056" t="str">
            <v>4509 - TOOLS &amp; SUPPLIES</v>
          </cell>
          <cell r="D9056" t="str">
            <v>FRDNS431100H05G</v>
          </cell>
          <cell r="BA9056">
            <v>6.99</v>
          </cell>
        </row>
        <row r="9057">
          <cell r="C9057" t="str">
            <v>4509 - TOOLS &amp; SUPPLIES</v>
          </cell>
          <cell r="D9057" t="str">
            <v>FRDNS431120H05G</v>
          </cell>
          <cell r="BA9057">
            <v>6.99</v>
          </cell>
        </row>
        <row r="9058">
          <cell r="C9058" t="str">
            <v>4509 - TOOLS &amp; SUPPLIES</v>
          </cell>
          <cell r="D9058" t="str">
            <v>FRDNS431180H05G</v>
          </cell>
          <cell r="BA9058">
            <v>6.99</v>
          </cell>
        </row>
        <row r="9059">
          <cell r="C9059" t="str">
            <v>4509 - TOOLS &amp; SUPPLIES</v>
          </cell>
          <cell r="D9059" t="str">
            <v>FRDNS431220H05G</v>
          </cell>
          <cell r="BA9059">
            <v>6.99</v>
          </cell>
        </row>
        <row r="9060">
          <cell r="C9060" t="str">
            <v>4509 - TOOLS &amp; SUPPLIES</v>
          </cell>
          <cell r="D9060" t="str">
            <v>FRDNS431320H05G</v>
          </cell>
          <cell r="BA9060">
            <v>6.99</v>
          </cell>
        </row>
        <row r="9061">
          <cell r="C9061" t="str">
            <v>4509 - TOOLS &amp; SUPPLIES</v>
          </cell>
          <cell r="D9061" t="str">
            <v>HOMYB88063L</v>
          </cell>
          <cell r="BA9061">
            <v>9.99</v>
          </cell>
        </row>
        <row r="9062">
          <cell r="C9062" t="str">
            <v>4509 - TOOLS &amp; SUPPLIES</v>
          </cell>
          <cell r="D9062" t="str">
            <v>FRDCS323060S10G</v>
          </cell>
          <cell r="BA9062">
            <v>6.49</v>
          </cell>
        </row>
        <row r="9063">
          <cell r="C9063" t="str">
            <v>4509 - TOOLS &amp; SUPPLIES</v>
          </cell>
          <cell r="D9063" t="str">
            <v>FRDCS323080S10G</v>
          </cell>
          <cell r="BA9063">
            <v>6.49</v>
          </cell>
        </row>
        <row r="9064">
          <cell r="C9064" t="str">
            <v>4509 - TOOLS &amp; SUPPLIES</v>
          </cell>
          <cell r="D9064" t="str">
            <v>FRDCS323100010W</v>
          </cell>
          <cell r="BA9064">
            <v>6.99</v>
          </cell>
        </row>
        <row r="9065">
          <cell r="C9065" t="str">
            <v>4509 - TOOLS &amp; SUPPLIES</v>
          </cell>
          <cell r="D9065" t="str">
            <v>FRDCS323100S10G</v>
          </cell>
          <cell r="BA9065">
            <v>6.49</v>
          </cell>
        </row>
        <row r="9066">
          <cell r="C9066" t="str">
            <v>4509 - TOOLS &amp; SUPPLIES</v>
          </cell>
          <cell r="D9066" t="str">
            <v>FRDCS323120S10G</v>
          </cell>
          <cell r="BA9066">
            <v>6.49</v>
          </cell>
        </row>
        <row r="9067">
          <cell r="C9067" t="str">
            <v>4509 - TOOLS &amp; SUPPLIES</v>
          </cell>
          <cell r="D9067" t="str">
            <v>FRDCS323150S10G</v>
          </cell>
          <cell r="BA9067">
            <v>6.49</v>
          </cell>
        </row>
        <row r="9068">
          <cell r="C9068" t="str">
            <v>4509 - TOOLS &amp; SUPPLIES</v>
          </cell>
          <cell r="D9068" t="str">
            <v>FRDCS323200010W</v>
          </cell>
          <cell r="BA9068">
            <v>6.49</v>
          </cell>
        </row>
        <row r="9069">
          <cell r="C9069" t="str">
            <v>4509 - TOOLS &amp; SUPPLIES</v>
          </cell>
          <cell r="D9069" t="str">
            <v>FRDCS323220S10G</v>
          </cell>
          <cell r="BA9069">
            <v>6.49</v>
          </cell>
        </row>
        <row r="9070">
          <cell r="C9070" t="str">
            <v>4509 - TOOLS &amp; SUPPLIES</v>
          </cell>
          <cell r="D9070" t="str">
            <v>FRDCS323320S10G</v>
          </cell>
          <cell r="BA9070">
            <v>6.49</v>
          </cell>
        </row>
        <row r="9071">
          <cell r="C9071" t="str">
            <v>4509 - TOOLS &amp; SUPPLIES</v>
          </cell>
          <cell r="D9071" t="str">
            <v>FRDCS323400S10G</v>
          </cell>
          <cell r="BA9071">
            <v>6.49</v>
          </cell>
        </row>
        <row r="9072">
          <cell r="C9072" t="str">
            <v>4509 - TOOLS &amp; SUPPLIES</v>
          </cell>
          <cell r="D9072" t="str">
            <v>FRDCS323400S10W</v>
          </cell>
          <cell r="BA9072">
            <v>6.99</v>
          </cell>
        </row>
        <row r="9073">
          <cell r="C9073" t="str">
            <v>4509 - TOOLS &amp; SUPPLIES</v>
          </cell>
          <cell r="D9073" t="str">
            <v>FRDCS323600S10W</v>
          </cell>
          <cell r="BA9073">
            <v>6.99</v>
          </cell>
        </row>
        <row r="9074">
          <cell r="C9074" t="str">
            <v>4509 - TOOLS &amp; SUPPLIES</v>
          </cell>
          <cell r="D9074" t="str">
            <v>FRDCS323ASTS08G</v>
          </cell>
          <cell r="BA9074">
            <v>6.99</v>
          </cell>
        </row>
        <row r="9075">
          <cell r="C9075" t="str">
            <v>4509 - TOOLS &amp; SUPPLIES</v>
          </cell>
          <cell r="D9075" t="str">
            <v>FRDCS323ASTS10G</v>
          </cell>
          <cell r="BA9075">
            <v>6.99</v>
          </cell>
        </row>
        <row r="9076">
          <cell r="C9076" t="str">
            <v>4509 - TOOLS &amp; SUPPLIES</v>
          </cell>
          <cell r="D9076" t="str">
            <v>FRDCS431100S10G</v>
          </cell>
          <cell r="BA9076">
            <v>6.99</v>
          </cell>
        </row>
        <row r="9077">
          <cell r="C9077" t="str">
            <v>4509 - TOOLS &amp; SUPPLIES</v>
          </cell>
          <cell r="D9077" t="str">
            <v>FRDCS431120S10G</v>
          </cell>
          <cell r="BA9077">
            <v>6.99</v>
          </cell>
        </row>
        <row r="9078">
          <cell r="C9078" t="str">
            <v>4509 - TOOLS &amp; SUPPLIES</v>
          </cell>
          <cell r="D9078" t="str">
            <v>FRDCS431180S10G</v>
          </cell>
          <cell r="BA9078">
            <v>6.99</v>
          </cell>
        </row>
        <row r="9079">
          <cell r="C9079" t="str">
            <v>4509 - TOOLS &amp; SUPPLIES</v>
          </cell>
          <cell r="D9079" t="str">
            <v>FRDCS431220S10G</v>
          </cell>
          <cell r="BA9079">
            <v>6.99</v>
          </cell>
        </row>
        <row r="9080">
          <cell r="C9080" t="str">
            <v>4509 - TOOLS &amp; SUPPLIES</v>
          </cell>
          <cell r="D9080" t="str">
            <v>FRDCS431320S10G</v>
          </cell>
          <cell r="BA9080">
            <v>6.99</v>
          </cell>
        </row>
        <row r="9081">
          <cell r="C9081" t="str">
            <v>4509 - TOOLS &amp; SUPPLIES</v>
          </cell>
          <cell r="D9081" t="str">
            <v>FRDCP060GNPN02G</v>
          </cell>
          <cell r="BA9081">
            <v>3.49</v>
          </cell>
        </row>
        <row r="9082">
          <cell r="C9082" t="str">
            <v>4509 - TOOLS &amp; SUPPLIES</v>
          </cell>
          <cell r="D9082" t="str">
            <v>FRDCP060SFNN02G</v>
          </cell>
          <cell r="BA9082">
            <v>3.49</v>
          </cell>
        </row>
        <row r="9083">
          <cell r="C9083" t="str">
            <v>4509 - TOOLS &amp; SUPPLIES</v>
          </cell>
          <cell r="D9083" t="str">
            <v>FRDCP060UFNN02G</v>
          </cell>
          <cell r="BA9083">
            <v>3.49</v>
          </cell>
        </row>
        <row r="9084">
          <cell r="C9084" t="str">
            <v>4509 - TOOLS &amp; SUPPLIES</v>
          </cell>
          <cell r="D9084" t="str">
            <v>FRDCP060VFNN02G</v>
          </cell>
          <cell r="BA9084">
            <v>3.49</v>
          </cell>
        </row>
        <row r="9085">
          <cell r="C9085" t="str">
            <v>4509 - TOOLS &amp; SUPPLIES</v>
          </cell>
          <cell r="D9085" t="str">
            <v>FRDNT925HAND01T</v>
          </cell>
          <cell r="BA9085">
            <v>10.99</v>
          </cell>
        </row>
        <row r="9086">
          <cell r="C9086" t="str">
            <v>4509 - TOOLS &amp; SUPPLIES</v>
          </cell>
          <cell r="D9086" t="str">
            <v>HCP21H</v>
          </cell>
          <cell r="BA9086">
            <v>7.99</v>
          </cell>
        </row>
        <row r="9087">
          <cell r="C9087" t="str">
            <v>4509 - TOOLS &amp; SUPPLIES</v>
          </cell>
          <cell r="D9087" t="str">
            <v>MD03939</v>
          </cell>
          <cell r="BA9087">
            <v>3.99</v>
          </cell>
        </row>
        <row r="9088">
          <cell r="C9088" t="str">
            <v>4509 - TOOLS &amp; SUPPLIES</v>
          </cell>
          <cell r="D9088" t="str">
            <v>82099904</v>
          </cell>
          <cell r="BA9088">
            <v>15.99</v>
          </cell>
        </row>
        <row r="9089">
          <cell r="C9089" t="str">
            <v>4509 - TOOLS &amp; SUPPLIES</v>
          </cell>
          <cell r="D9089" t="str">
            <v>MLSF1499348</v>
          </cell>
          <cell r="BA9089">
            <v>37.99</v>
          </cell>
        </row>
        <row r="9090">
          <cell r="C9090" t="str">
            <v>4509 - TOOLS &amp; SUPPLIES</v>
          </cell>
          <cell r="D9090" t="str">
            <v>ST10189C</v>
          </cell>
          <cell r="BA9090">
            <v>7.99</v>
          </cell>
        </row>
        <row r="9091">
          <cell r="C9091" t="str">
            <v>4509 - TOOLS &amp; SUPPLIES</v>
          </cell>
          <cell r="D9091" t="str">
            <v>ST11921A</v>
          </cell>
          <cell r="BA9091">
            <v>14.99</v>
          </cell>
        </row>
        <row r="9092">
          <cell r="C9092" t="str">
            <v>4509 - TOOLS &amp; SUPPLIES</v>
          </cell>
          <cell r="D9092" t="str">
            <v>ST15334</v>
          </cell>
          <cell r="BA9092">
            <v>18.989999999999998</v>
          </cell>
        </row>
        <row r="9093">
          <cell r="C9093" t="str">
            <v>4509 - TOOLS &amp; SUPPLIES</v>
          </cell>
          <cell r="D9093" t="str">
            <v>ST20556</v>
          </cell>
          <cell r="BA9093">
            <v>12.99</v>
          </cell>
        </row>
        <row r="9094">
          <cell r="C9094" t="str">
            <v>4509 - TOOLS &amp; SUPPLIES</v>
          </cell>
          <cell r="D9094" t="str">
            <v>MT92</v>
          </cell>
          <cell r="BA9094">
            <v>7.99</v>
          </cell>
        </row>
        <row r="9095">
          <cell r="C9095" t="str">
            <v>4509 - TOOLS &amp; SUPPLIES</v>
          </cell>
          <cell r="D9095" t="str">
            <v>SAWHORSE</v>
          </cell>
          <cell r="BA9095">
            <v>49.99</v>
          </cell>
        </row>
        <row r="9096">
          <cell r="C9096" t="str">
            <v>4509 - TOOLS &amp; SUPPLIES</v>
          </cell>
          <cell r="D9096" t="str">
            <v>MIL2626-20</v>
          </cell>
          <cell r="BA9096">
            <v>169.99</v>
          </cell>
        </row>
        <row r="9097">
          <cell r="C9097" t="str">
            <v>4509 - TOOLS &amp; SUPPLIES</v>
          </cell>
          <cell r="D9097" t="str">
            <v>1619X01570</v>
          </cell>
          <cell r="BA9097">
            <v>27.99</v>
          </cell>
        </row>
        <row r="9098">
          <cell r="C9098" t="str">
            <v>4509 - TOOLS &amp; SUPPLIES</v>
          </cell>
          <cell r="D9098" t="str">
            <v>2610321608</v>
          </cell>
          <cell r="BA9098">
            <v>12.89</v>
          </cell>
        </row>
        <row r="9099">
          <cell r="C9099" t="str">
            <v>4509 - TOOLS &amp; SUPPLIES</v>
          </cell>
          <cell r="D9099" t="str">
            <v>TRI4DH</v>
          </cell>
          <cell r="BA9099">
            <v>19.989999999999998</v>
          </cell>
        </row>
        <row r="9100">
          <cell r="C9100" t="str">
            <v>4509 - TOOLS &amp; SUPPLIES</v>
          </cell>
          <cell r="D9100" t="str">
            <v>MK6408K</v>
          </cell>
          <cell r="BA9100">
            <v>100.99</v>
          </cell>
        </row>
        <row r="9101">
          <cell r="C9101" t="str">
            <v>4509 - TOOLS &amp; SUPPLIES</v>
          </cell>
          <cell r="D9101" t="str">
            <v>DHS</v>
          </cell>
          <cell r="BA9101">
            <v>10.99</v>
          </cell>
        </row>
        <row r="9102">
          <cell r="C9102" t="str">
            <v>4509 - TOOLS &amp; SUPPLIES</v>
          </cell>
          <cell r="D9102" t="str">
            <v>HT09048</v>
          </cell>
          <cell r="BA9102">
            <v>39.99</v>
          </cell>
        </row>
        <row r="9103">
          <cell r="C9103" t="str">
            <v>4509 - TOOLS &amp; SUPPLIES</v>
          </cell>
          <cell r="D9103" t="str">
            <v>AI7318</v>
          </cell>
          <cell r="BA9103">
            <v>3.99</v>
          </cell>
        </row>
        <row r="9104">
          <cell r="C9104" t="str">
            <v>4509 - TOOLS &amp; SUPPLIES</v>
          </cell>
          <cell r="D9104" t="str">
            <v>AI7320</v>
          </cell>
          <cell r="BA9104">
            <v>3.99</v>
          </cell>
        </row>
        <row r="9105">
          <cell r="C9105" t="str">
            <v>4509 - TOOLS &amp; SUPPLIES</v>
          </cell>
          <cell r="D9105" t="str">
            <v>AL13010</v>
          </cell>
          <cell r="BA9105">
            <v>12.99</v>
          </cell>
        </row>
        <row r="9106">
          <cell r="C9106" t="str">
            <v>4509 - TOOLS &amp; SUPPLIES</v>
          </cell>
          <cell r="D9106" t="str">
            <v>AI7155</v>
          </cell>
          <cell r="BA9106">
            <v>29.99</v>
          </cell>
        </row>
        <row r="9107">
          <cell r="C9107" t="str">
            <v>4509 - TOOLS &amp; SUPPLIES</v>
          </cell>
          <cell r="D9107" t="str">
            <v>LX1805723</v>
          </cell>
          <cell r="BA9107">
            <v>16.989999999999998</v>
          </cell>
        </row>
        <row r="9108">
          <cell r="C9108" t="str">
            <v>4509 - TOOLS &amp; SUPPLIES</v>
          </cell>
          <cell r="D9108" t="str">
            <v>ST15113</v>
          </cell>
          <cell r="BA9108">
            <v>39.99</v>
          </cell>
        </row>
        <row r="9109">
          <cell r="C9109" t="str">
            <v>4509 - TOOLS &amp; SUPPLIES</v>
          </cell>
          <cell r="D9109" t="str">
            <v>STHT20138</v>
          </cell>
          <cell r="BA9109">
            <v>9.99</v>
          </cell>
        </row>
        <row r="9110">
          <cell r="C9110" t="str">
            <v>4509 - TOOLS &amp; SUPPLIES</v>
          </cell>
          <cell r="D9110" t="str">
            <v>ST20807</v>
          </cell>
          <cell r="BA9110">
            <v>6.99</v>
          </cell>
        </row>
        <row r="9111">
          <cell r="C9111" t="str">
            <v>4509 - TOOLS &amp; SUPPLIES</v>
          </cell>
          <cell r="D9111" t="str">
            <v>STHT20348</v>
          </cell>
          <cell r="BA9111">
            <v>15.99</v>
          </cell>
        </row>
        <row r="9112">
          <cell r="C9112" t="str">
            <v>4509 - TOOLS &amp; SUPPLIES</v>
          </cell>
          <cell r="D9112" t="str">
            <v>ST15106</v>
          </cell>
          <cell r="BA9112">
            <v>7.39</v>
          </cell>
        </row>
        <row r="9113">
          <cell r="C9113" t="str">
            <v>4509 - TOOLS &amp; SUPPLIES</v>
          </cell>
          <cell r="D9113" t="str">
            <v>ST15-106A</v>
          </cell>
          <cell r="BA9113">
            <v>15.99</v>
          </cell>
        </row>
        <row r="9114">
          <cell r="C9114" t="str">
            <v>4509 - TOOLS &amp; SUPPLIES</v>
          </cell>
          <cell r="D9114" t="str">
            <v>ST15556</v>
          </cell>
          <cell r="BA9114">
            <v>15.99</v>
          </cell>
        </row>
        <row r="9115">
          <cell r="C9115" t="str">
            <v>4509 - TOOLS &amp; SUPPLIES</v>
          </cell>
          <cell r="D9115" t="str">
            <v>ST15206</v>
          </cell>
          <cell r="BA9115">
            <v>9.99</v>
          </cell>
        </row>
        <row r="9116">
          <cell r="C9116" t="str">
            <v>4509 - TOOLS &amp; SUPPLIES</v>
          </cell>
          <cell r="D9116" t="str">
            <v>ST20045</v>
          </cell>
          <cell r="BA9116">
            <v>19.989999999999998</v>
          </cell>
        </row>
        <row r="9117">
          <cell r="C9117" t="str">
            <v>4509 - TOOLS &amp; SUPPLIES</v>
          </cell>
          <cell r="D9117" t="str">
            <v>MCDUS</v>
          </cell>
          <cell r="BA9117">
            <v>7.59</v>
          </cell>
        </row>
        <row r="9118">
          <cell r="C9118" t="str">
            <v>4509 - TOOLS &amp; SUPPLIES</v>
          </cell>
          <cell r="D9118" t="str">
            <v>STHT60025</v>
          </cell>
          <cell r="BA9118">
            <v>13.99</v>
          </cell>
        </row>
        <row r="9119">
          <cell r="C9119" t="str">
            <v>4509 - TOOLS &amp; SUPPLIES</v>
          </cell>
          <cell r="D9119" t="str">
            <v>CRCS5166</v>
          </cell>
          <cell r="BA9119">
            <v>5.39</v>
          </cell>
        </row>
        <row r="9120">
          <cell r="C9120" t="str">
            <v>4509 - TOOLS &amp; SUPPLIES</v>
          </cell>
          <cell r="D9120" t="str">
            <v>CRCP2112</v>
          </cell>
          <cell r="BA9120">
            <v>3.39</v>
          </cell>
        </row>
        <row r="9121">
          <cell r="C9121" t="str">
            <v>4509 - TOOLS &amp; SUPPLIES</v>
          </cell>
          <cell r="D9121" t="str">
            <v>CRCP36</v>
          </cell>
          <cell r="BA9121">
            <v>5.79</v>
          </cell>
        </row>
        <row r="9122">
          <cell r="C9122" t="str">
            <v>4509 - TOOLS &amp; SUPPLIES</v>
          </cell>
          <cell r="D9122" t="str">
            <v>CRCS4PCS</v>
          </cell>
          <cell r="BA9122">
            <v>13.19</v>
          </cell>
        </row>
        <row r="9123">
          <cell r="C9123" t="str">
            <v>4509 - TOOLS &amp; SUPPLIES</v>
          </cell>
          <cell r="D9123" t="str">
            <v>CRCS14112</v>
          </cell>
          <cell r="BA9123">
            <v>3.99</v>
          </cell>
        </row>
        <row r="9124">
          <cell r="C9124" t="str">
            <v>4509 - TOOLS &amp; SUPPLIES</v>
          </cell>
          <cell r="D9124" t="str">
            <v>ST66052</v>
          </cell>
          <cell r="BA9124">
            <v>10.99</v>
          </cell>
        </row>
        <row r="9125">
          <cell r="C9125" t="str">
            <v>4509 - TOOLS &amp; SUPPLIES</v>
          </cell>
          <cell r="D9125" t="str">
            <v>STHT71800</v>
          </cell>
          <cell r="BA9125">
            <v>11.99</v>
          </cell>
        </row>
        <row r="9126">
          <cell r="C9126" t="str">
            <v>4509 - TOOLS &amp; SUPPLIES</v>
          </cell>
          <cell r="D9126" t="str">
            <v>STHT71801</v>
          </cell>
          <cell r="BA9126">
            <v>11.99</v>
          </cell>
        </row>
        <row r="9127">
          <cell r="C9127" t="str">
            <v>4509 - TOOLS &amp; SUPPLIES</v>
          </cell>
          <cell r="D9127" t="str">
            <v>EKL10022</v>
          </cell>
          <cell r="BA9127">
            <v>19.989999999999998</v>
          </cell>
        </row>
        <row r="9128">
          <cell r="C9128" t="str">
            <v>4509 - TOOLS &amp; SUPPLIES</v>
          </cell>
          <cell r="D9128" t="str">
            <v>STHT51512</v>
          </cell>
          <cell r="BA9128">
            <v>16.989999999999998</v>
          </cell>
        </row>
        <row r="9129">
          <cell r="C9129" t="str">
            <v>4509 - TOOLS &amp; SUPPLIES</v>
          </cell>
          <cell r="D9129" t="str">
            <v>ST51616</v>
          </cell>
          <cell r="BA9129">
            <v>10.99</v>
          </cell>
        </row>
        <row r="9130">
          <cell r="C9130" t="str">
            <v>4509 - TOOLS &amp; SUPPLIES</v>
          </cell>
          <cell r="D9130" t="str">
            <v>ST51177</v>
          </cell>
          <cell r="BA9130">
            <v>34.99</v>
          </cell>
        </row>
        <row r="9131">
          <cell r="C9131" t="str">
            <v>4509 - TOOLS &amp; SUPPLIES</v>
          </cell>
          <cell r="D9131" t="str">
            <v>ST51167</v>
          </cell>
          <cell r="BA9131">
            <v>32.99</v>
          </cell>
        </row>
        <row r="9132">
          <cell r="C9132" t="str">
            <v>4509 - TOOLS &amp; SUPPLIES</v>
          </cell>
          <cell r="D9132" t="str">
            <v>EH16</v>
          </cell>
          <cell r="BA9132">
            <v>18.989999999999998</v>
          </cell>
        </row>
        <row r="9133">
          <cell r="C9133" t="str">
            <v>4509 - TOOLS &amp; SUPPLIES</v>
          </cell>
          <cell r="D9133" t="str">
            <v>CF1</v>
          </cell>
          <cell r="BA9133">
            <v>35.99</v>
          </cell>
        </row>
        <row r="9134">
          <cell r="C9134" t="str">
            <v>4509 - TOOLS &amp; SUPPLIES</v>
          </cell>
          <cell r="D9134" t="str">
            <v>E3-20S</v>
          </cell>
          <cell r="BA9134">
            <v>29.99</v>
          </cell>
        </row>
        <row r="9135">
          <cell r="C9135" t="str">
            <v>4509 - TOOLS &amp; SUPPLIES</v>
          </cell>
          <cell r="D9135" t="str">
            <v>ST51165</v>
          </cell>
          <cell r="BA9135">
            <v>29.99</v>
          </cell>
        </row>
        <row r="9136">
          <cell r="C9136" t="str">
            <v>4509 - TOOLS &amp; SUPPLIES</v>
          </cell>
          <cell r="D9136" t="str">
            <v>E3-28SM</v>
          </cell>
          <cell r="BA9136">
            <v>37.99</v>
          </cell>
        </row>
        <row r="9137">
          <cell r="C9137" t="str">
            <v>4509 - TOOLS &amp; SUPPLIES</v>
          </cell>
          <cell r="D9137" t="str">
            <v>UGT30576</v>
          </cell>
          <cell r="BA9137">
            <v>21.99</v>
          </cell>
        </row>
        <row r="9138">
          <cell r="C9138" t="str">
            <v>4509 - TOOLS &amp; SUPPLIES</v>
          </cell>
          <cell r="D9138" t="str">
            <v>NN0136401</v>
          </cell>
          <cell r="BA9138">
            <v>84.99</v>
          </cell>
        </row>
        <row r="9139">
          <cell r="C9139" t="str">
            <v>4509 - TOOLS &amp; SUPPLIES</v>
          </cell>
          <cell r="D9139" t="str">
            <v>DWDDF1351500</v>
          </cell>
          <cell r="BA9139">
            <v>21.99</v>
          </cell>
        </row>
        <row r="9140">
          <cell r="C9140" t="str">
            <v>4509 - TOOLS &amp; SUPPLIES</v>
          </cell>
          <cell r="D9140" t="str">
            <v>CH38</v>
          </cell>
          <cell r="BA9140">
            <v>59.99</v>
          </cell>
        </row>
        <row r="9141">
          <cell r="C9141" t="str">
            <v>4509 - TOOLS &amp; SUPPLIES</v>
          </cell>
          <cell r="D9141" t="str">
            <v>FS999ML</v>
          </cell>
          <cell r="BA9141">
            <v>34.99</v>
          </cell>
        </row>
        <row r="9142">
          <cell r="C9142" t="str">
            <v>4509 - TOOLS &amp; SUPPLIES</v>
          </cell>
          <cell r="D9142" t="str">
            <v>GNRM16</v>
          </cell>
          <cell r="BA9142">
            <v>2.69</v>
          </cell>
        </row>
        <row r="9143">
          <cell r="C9143" t="str">
            <v>4509 - TOOLS &amp; SUPPLIES</v>
          </cell>
          <cell r="D9143" t="str">
            <v>E311</v>
          </cell>
          <cell r="BA9143">
            <v>34.99</v>
          </cell>
        </row>
        <row r="9144">
          <cell r="C9144" t="str">
            <v>4509 - TOOLS &amp; SUPPLIES</v>
          </cell>
          <cell r="D9144" t="str">
            <v>DWHT51138X</v>
          </cell>
          <cell r="BA9144">
            <v>54.99</v>
          </cell>
        </row>
        <row r="9145">
          <cell r="C9145" t="str">
            <v>4509 - TOOLS &amp; SUPPLIES</v>
          </cell>
          <cell r="D9145" t="str">
            <v>UTHS-4</v>
          </cell>
          <cell r="BA9145">
            <v>0.01</v>
          </cell>
        </row>
        <row r="9146">
          <cell r="C9146" t="str">
            <v>4509 - TOOLS &amp; SUPPLIES</v>
          </cell>
          <cell r="D9146" t="str">
            <v>IRW102L3</v>
          </cell>
          <cell r="BA9146">
            <v>15.99</v>
          </cell>
        </row>
        <row r="9147">
          <cell r="C9147" t="str">
            <v>4509 - TOOLS &amp; SUPPLIES</v>
          </cell>
          <cell r="D9147" t="str">
            <v>MIL48-22-3510</v>
          </cell>
          <cell r="BA9147">
            <v>14.99</v>
          </cell>
        </row>
        <row r="9148">
          <cell r="C9148" t="str">
            <v>4509 - TOOLS &amp; SUPPLIES</v>
          </cell>
          <cell r="D9148" t="str">
            <v>IRW2078218</v>
          </cell>
          <cell r="BA9148">
            <v>16.989999999999998</v>
          </cell>
        </row>
        <row r="9149">
          <cell r="C9149" t="str">
            <v>4509 - TOOLS &amp; SUPPLIES</v>
          </cell>
          <cell r="D9149" t="str">
            <v>VCJL-NP008</v>
          </cell>
          <cell r="BA9149">
            <v>5.99</v>
          </cell>
        </row>
        <row r="9150">
          <cell r="C9150" t="str">
            <v>4509 - TOOLS &amp; SUPPLIES</v>
          </cell>
          <cell r="D9150" t="str">
            <v>ST84110</v>
          </cell>
          <cell r="BA9150">
            <v>18.989999999999998</v>
          </cell>
        </row>
        <row r="9151">
          <cell r="C9151" t="str">
            <v>4509 - TOOLS &amp; SUPPLIES</v>
          </cell>
          <cell r="D9151" t="str">
            <v>IRW2078709</v>
          </cell>
          <cell r="BA9151">
            <v>31.99</v>
          </cell>
        </row>
        <row r="9152">
          <cell r="C9152" t="str">
            <v>4509 - TOOLS &amp; SUPPLIES</v>
          </cell>
          <cell r="D9152" t="str">
            <v>IRW2078306</v>
          </cell>
          <cell r="BA9152">
            <v>16.989999999999998</v>
          </cell>
        </row>
        <row r="9153">
          <cell r="C9153" t="str">
            <v>4509 - TOOLS &amp; SUPPLIES</v>
          </cell>
          <cell r="D9153" t="str">
            <v>IRW2078308</v>
          </cell>
          <cell r="BA9153">
            <v>19.989999999999998</v>
          </cell>
        </row>
        <row r="9154">
          <cell r="C9154" t="str">
            <v>4509 - TOOLS &amp; SUPPLIES</v>
          </cell>
          <cell r="D9154" t="str">
            <v>LMP8</v>
          </cell>
          <cell r="BA9154">
            <v>16.989999999999998</v>
          </cell>
        </row>
        <row r="9155">
          <cell r="C9155" t="str">
            <v>4509 - TOOLS &amp; SUPPLIES</v>
          </cell>
          <cell r="D9155" t="str">
            <v>369RNLP</v>
          </cell>
          <cell r="BA9155">
            <v>32.99</v>
          </cell>
        </row>
        <row r="9156">
          <cell r="C9156" t="str">
            <v>4509 - TOOLS &amp; SUPPLIES</v>
          </cell>
          <cell r="D9156" t="str">
            <v>IRW2078318</v>
          </cell>
          <cell r="BA9156">
            <v>18.989999999999998</v>
          </cell>
        </row>
        <row r="9157">
          <cell r="C9157" t="str">
            <v>4509 - TOOLS &amp; SUPPLIES</v>
          </cell>
          <cell r="D9157" t="str">
            <v>SYL50047</v>
          </cell>
          <cell r="BA9157">
            <v>7.89</v>
          </cell>
        </row>
        <row r="9158">
          <cell r="C9158" t="str">
            <v>4509 - TOOLS &amp; SUPPLIES</v>
          </cell>
          <cell r="D9158" t="str">
            <v>VC5079835</v>
          </cell>
          <cell r="BA9158">
            <v>32.99</v>
          </cell>
        </row>
        <row r="9159">
          <cell r="C9159" t="str">
            <v>4509 - TOOLS &amp; SUPPLIES</v>
          </cell>
          <cell r="D9159" t="str">
            <v>VC5082516</v>
          </cell>
          <cell r="BA9159">
            <v>39.99</v>
          </cell>
        </row>
        <row r="9160">
          <cell r="C9160" t="str">
            <v>4509 - TOOLS &amp; SUPPLIES</v>
          </cell>
          <cell r="D9160" t="str">
            <v>PS5383500</v>
          </cell>
          <cell r="BA9160">
            <v>19.989999999999998</v>
          </cell>
        </row>
        <row r="9161">
          <cell r="C9161" t="str">
            <v>4509 - TOOLS &amp; SUPPLIES</v>
          </cell>
          <cell r="D9161" t="str">
            <v>TSM2R</v>
          </cell>
          <cell r="BA9161">
            <v>17.989999999999998</v>
          </cell>
        </row>
        <row r="9162">
          <cell r="C9162" t="str">
            <v>4509 - TOOLS &amp; SUPPLIES</v>
          </cell>
          <cell r="D9162" t="str">
            <v>TSM3R</v>
          </cell>
          <cell r="BA9162">
            <v>17.989999999999998</v>
          </cell>
        </row>
        <row r="9163">
          <cell r="C9163" t="str">
            <v>4509 - TOOLS &amp; SUPPLIES</v>
          </cell>
          <cell r="D9163" t="str">
            <v>TSM1R</v>
          </cell>
          <cell r="BA9163">
            <v>17.989999999999998</v>
          </cell>
        </row>
        <row r="9164">
          <cell r="C9164" t="str">
            <v>4509 - TOOLS &amp; SUPPLIES</v>
          </cell>
          <cell r="D9164" t="str">
            <v>MPC-3</v>
          </cell>
          <cell r="BA9164">
            <v>17.989999999999998</v>
          </cell>
        </row>
        <row r="9165">
          <cell r="C9165" t="str">
            <v>4509 - TOOLS &amp; SUPPLIES</v>
          </cell>
          <cell r="D9165" t="str">
            <v>CRWMPC3N-06</v>
          </cell>
          <cell r="BA9165">
            <v>15.99</v>
          </cell>
        </row>
        <row r="9166">
          <cell r="C9166" t="str">
            <v>4509 - TOOLS &amp; SUPPLIES</v>
          </cell>
          <cell r="D9166" t="str">
            <v>117-SGS</v>
          </cell>
          <cell r="BA9166">
            <v>60.49</v>
          </cell>
        </row>
        <row r="9167">
          <cell r="C9167" t="str">
            <v>4509 - TOOLS &amp; SUPPLIES</v>
          </cell>
          <cell r="D9167" t="str">
            <v>CRWDF10D</v>
          </cell>
          <cell r="BA9167">
            <v>17.989999999999998</v>
          </cell>
        </row>
        <row r="9168">
          <cell r="C9168" t="str">
            <v>4509 - TOOLS &amp; SUPPLIES</v>
          </cell>
          <cell r="D9168" t="str">
            <v>MIL48-22-7408</v>
          </cell>
          <cell r="BA9168">
            <v>17.989999999999998</v>
          </cell>
        </row>
        <row r="9169">
          <cell r="C9169" t="str">
            <v>4509 - TOOLS &amp; SUPPLIES</v>
          </cell>
          <cell r="D9169" t="str">
            <v>MIL48-22-7410</v>
          </cell>
          <cell r="BA9169">
            <v>21.99</v>
          </cell>
        </row>
        <row r="9170">
          <cell r="C9170" t="str">
            <v>4509 - TOOLS &amp; SUPPLIES</v>
          </cell>
          <cell r="D9170" t="str">
            <v>VC5186804</v>
          </cell>
          <cell r="BA9170">
            <v>16.989999999999998</v>
          </cell>
        </row>
        <row r="9171">
          <cell r="C9171" t="str">
            <v>4509 - TOOLS &amp; SUPPLIES</v>
          </cell>
          <cell r="D9171" t="str">
            <v>MC34CW</v>
          </cell>
          <cell r="BA9171">
            <v>8.69</v>
          </cell>
        </row>
        <row r="9172">
          <cell r="C9172" t="str">
            <v>4509 - TOOLS &amp; SUPPLIES</v>
          </cell>
          <cell r="D9172" t="str">
            <v>ST16974</v>
          </cell>
          <cell r="BA9172">
            <v>11.99</v>
          </cell>
        </row>
        <row r="9173">
          <cell r="C9173" t="str">
            <v>4509 - TOOLS &amp; SUPPLIES</v>
          </cell>
          <cell r="D9173" t="str">
            <v>ST16975</v>
          </cell>
          <cell r="BA9173">
            <v>12.99</v>
          </cell>
        </row>
        <row r="9174">
          <cell r="C9174" t="str">
            <v>4509 - TOOLS &amp; SUPPLIES</v>
          </cell>
          <cell r="D9174" t="str">
            <v>ST16977</v>
          </cell>
          <cell r="BA9174">
            <v>13.99</v>
          </cell>
        </row>
        <row r="9175">
          <cell r="C9175" t="str">
            <v>4509 - TOOLS &amp; SUPPLIES</v>
          </cell>
          <cell r="D9175" t="str">
            <v>ST16978</v>
          </cell>
          <cell r="BA9175">
            <v>13.99</v>
          </cell>
        </row>
        <row r="9176">
          <cell r="C9176" t="str">
            <v>4509 - TOOLS &amp; SUPPLIES</v>
          </cell>
          <cell r="D9176" t="str">
            <v>ST16979</v>
          </cell>
          <cell r="BA9176">
            <v>15.99</v>
          </cell>
        </row>
        <row r="9177">
          <cell r="C9177" t="str">
            <v>4509 - TOOLS &amp; SUPPLIES</v>
          </cell>
          <cell r="D9177" t="str">
            <v>ST16980</v>
          </cell>
          <cell r="BA9177">
            <v>16.989999999999998</v>
          </cell>
        </row>
        <row r="9178">
          <cell r="C9178" t="str">
            <v>4509 - TOOLS &amp; SUPPLIES</v>
          </cell>
          <cell r="D9178" t="str">
            <v>ST16150</v>
          </cell>
          <cell r="BA9178">
            <v>12.99</v>
          </cell>
        </row>
        <row r="9179">
          <cell r="C9179" t="str">
            <v>4509 - TOOLS &amp; SUPPLIES</v>
          </cell>
          <cell r="D9179" t="str">
            <v>ST16300</v>
          </cell>
          <cell r="BA9179">
            <v>34.99</v>
          </cell>
        </row>
        <row r="9180">
          <cell r="C9180" t="str">
            <v>4509 - TOOLS &amp; SUPPLIES</v>
          </cell>
          <cell r="D9180" t="str">
            <v>ST16973</v>
          </cell>
          <cell r="BA9180">
            <v>11.99</v>
          </cell>
        </row>
        <row r="9181">
          <cell r="C9181" t="str">
            <v>4509 - TOOLS &amp; SUPPLIES</v>
          </cell>
          <cell r="D9181" t="str">
            <v>ST16970</v>
          </cell>
          <cell r="BA9181">
            <v>25.99</v>
          </cell>
        </row>
        <row r="9182">
          <cell r="C9182" t="str">
            <v>4509 - TOOLS &amp; SUPPLIES</v>
          </cell>
          <cell r="D9182" t="str">
            <v>ST16316</v>
          </cell>
          <cell r="BA9182">
            <v>14.99</v>
          </cell>
        </row>
        <row r="9183">
          <cell r="C9183" t="str">
            <v>4509 - TOOLS &amp; SUPPLIES</v>
          </cell>
          <cell r="D9183" t="str">
            <v>FRDMAPLCH2020</v>
          </cell>
          <cell r="BA9183">
            <v>22.99</v>
          </cell>
        </row>
        <row r="9184">
          <cell r="C9184" t="str">
            <v>4509 - TOOLS &amp; SUPPLIES</v>
          </cell>
          <cell r="D9184" t="str">
            <v>FRDMAPLCH2030</v>
          </cell>
          <cell r="BA9184">
            <v>16.989999999999998</v>
          </cell>
        </row>
        <row r="9185">
          <cell r="C9185" t="str">
            <v>4509 - TOOLS &amp; SUPPLIES</v>
          </cell>
          <cell r="D9185" t="str">
            <v>FRDMAPLCH2010</v>
          </cell>
          <cell r="BA9185">
            <v>22.99</v>
          </cell>
        </row>
        <row r="9186">
          <cell r="C9186" t="str">
            <v>4509 - TOOLS &amp; SUPPLIES</v>
          </cell>
          <cell r="D9186" t="str">
            <v>FRDMAPLCH2000</v>
          </cell>
          <cell r="BA9186">
            <v>27.99</v>
          </cell>
        </row>
        <row r="9187">
          <cell r="C9187" t="str">
            <v>4509 - TOOLS &amp; SUPPLIES</v>
          </cell>
          <cell r="D9187" t="str">
            <v>FRDMAPLCH2040</v>
          </cell>
          <cell r="BA9187">
            <v>21.99</v>
          </cell>
        </row>
        <row r="9188">
          <cell r="C9188" t="str">
            <v>4509 - TOOLS &amp; SUPPLIES</v>
          </cell>
          <cell r="D9188" t="str">
            <v>FRDMAPLCH2050</v>
          </cell>
          <cell r="BA9188">
            <v>24.99</v>
          </cell>
        </row>
        <row r="9189">
          <cell r="C9189" t="str">
            <v>4509 - TOOLS &amp; SUPPLIES</v>
          </cell>
          <cell r="D9189" t="str">
            <v>ST58111</v>
          </cell>
          <cell r="BA9189">
            <v>2.99</v>
          </cell>
        </row>
        <row r="9190">
          <cell r="C9190" t="str">
            <v>4509 - TOOLS &amp; SUPPLIES</v>
          </cell>
          <cell r="D9190" t="str">
            <v>ST58230</v>
          </cell>
          <cell r="BA9190">
            <v>8.99</v>
          </cell>
        </row>
        <row r="9191">
          <cell r="C9191" t="str">
            <v>4509 - TOOLS &amp; SUPPLIES</v>
          </cell>
          <cell r="D9191" t="str">
            <v>ST58911</v>
          </cell>
          <cell r="BA9191">
            <v>4.29</v>
          </cell>
        </row>
        <row r="9192">
          <cell r="C9192" t="str">
            <v>4509 - TOOLS &amp; SUPPLIES</v>
          </cell>
          <cell r="D9192" t="str">
            <v>ST58112</v>
          </cell>
          <cell r="BA9192">
            <v>2.99</v>
          </cell>
        </row>
        <row r="9193">
          <cell r="C9193" t="str">
            <v>4509 - TOOLS &amp; SUPPLIES</v>
          </cell>
          <cell r="D9193" t="str">
            <v>ST58912</v>
          </cell>
          <cell r="BA9193">
            <v>4.29</v>
          </cell>
        </row>
        <row r="9194">
          <cell r="C9194" t="str">
            <v>4509 - TOOLS &amp; SUPPLIES</v>
          </cell>
          <cell r="D9194" t="str">
            <v>ST58113</v>
          </cell>
          <cell r="BA9194">
            <v>2.59</v>
          </cell>
        </row>
        <row r="9195">
          <cell r="C9195" t="str">
            <v>4509 - TOOLS &amp; SUPPLIES</v>
          </cell>
          <cell r="D9195" t="str">
            <v>10HRB</v>
          </cell>
          <cell r="BA9195">
            <v>16.989999999999998</v>
          </cell>
        </row>
        <row r="9196">
          <cell r="C9196" t="str">
            <v>4509 - TOOLS &amp; SUPPLIES</v>
          </cell>
          <cell r="D9196" t="str">
            <v>12MBF</v>
          </cell>
          <cell r="BA9196">
            <v>13.99</v>
          </cell>
        </row>
        <row r="9197">
          <cell r="C9197" t="str">
            <v>4509 - TOOLS &amp; SUPPLIES</v>
          </cell>
          <cell r="D9197" t="str">
            <v>6MB21825</v>
          </cell>
          <cell r="BA9197">
            <v>7.99</v>
          </cell>
        </row>
        <row r="9198">
          <cell r="C9198" t="str">
            <v>4509 - TOOLS &amp; SUPPLIES</v>
          </cell>
          <cell r="D9198" t="str">
            <v>532RCF</v>
          </cell>
          <cell r="BA9198">
            <v>6.99</v>
          </cell>
        </row>
        <row r="9199">
          <cell r="C9199" t="str">
            <v>4509 - TOOLS &amp; SUPPLIES</v>
          </cell>
          <cell r="D9199" t="str">
            <v>RC01888</v>
          </cell>
          <cell r="BA9199">
            <v>5.69</v>
          </cell>
        </row>
        <row r="9200">
          <cell r="C9200" t="str">
            <v>4509 - TOOLS &amp; SUPPLIES</v>
          </cell>
          <cell r="D9200" t="str">
            <v>CR21860NNN</v>
          </cell>
          <cell r="BA9200">
            <v>10.99</v>
          </cell>
        </row>
        <row r="9201">
          <cell r="C9201" t="str">
            <v>4509 - TOOLS &amp; SUPPLIES</v>
          </cell>
          <cell r="D9201" t="str">
            <v>CR21862NN</v>
          </cell>
          <cell r="BA9201">
            <v>10.99</v>
          </cell>
        </row>
        <row r="9202">
          <cell r="C9202" t="str">
            <v>4509 - TOOLS &amp; SUPPLIES</v>
          </cell>
          <cell r="D9202" t="str">
            <v>ART50</v>
          </cell>
          <cell r="BA9202">
            <v>19.989999999999998</v>
          </cell>
        </row>
        <row r="9203">
          <cell r="C9203" t="str">
            <v>4509 - TOOLS &amp; SUPPLIES</v>
          </cell>
          <cell r="D9203" t="str">
            <v>GRR11</v>
          </cell>
          <cell r="BA9203">
            <v>25.89</v>
          </cell>
        </row>
        <row r="9204">
          <cell r="C9204" t="str">
            <v>4509 - TOOLS &amp; SUPPLIES</v>
          </cell>
          <cell r="D9204" t="str">
            <v>HT38</v>
          </cell>
          <cell r="BA9204">
            <v>39.99</v>
          </cell>
        </row>
        <row r="9205">
          <cell r="C9205" t="str">
            <v>4509 - TOOLS &amp; SUPPLIES</v>
          </cell>
          <cell r="D9205" t="str">
            <v>VC7862089</v>
          </cell>
          <cell r="BA9205">
            <v>25.99</v>
          </cell>
        </row>
        <row r="9206">
          <cell r="C9206" t="str">
            <v>4509 - TOOLS &amp; SUPPLIES</v>
          </cell>
          <cell r="D9206" t="str">
            <v>ARHT50</v>
          </cell>
          <cell r="BA9206">
            <v>38.69</v>
          </cell>
        </row>
        <row r="9207">
          <cell r="C9207" t="str">
            <v>4509 - TOOLS &amp; SUPPLIES</v>
          </cell>
          <cell r="D9207" t="str">
            <v>ST69122</v>
          </cell>
          <cell r="BA9207">
            <v>9.99</v>
          </cell>
        </row>
        <row r="9208">
          <cell r="C9208" t="str">
            <v>4509 - TOOLS &amp; SUPPLIES</v>
          </cell>
          <cell r="D9208" t="str">
            <v>ST21399</v>
          </cell>
          <cell r="BA9208">
            <v>13.99</v>
          </cell>
        </row>
        <row r="9209">
          <cell r="C9209" t="str">
            <v>4509 - TOOLS &amp; SUPPLIES</v>
          </cell>
          <cell r="D9209" t="str">
            <v>PROCCSDC2K</v>
          </cell>
          <cell r="BA9209">
            <v>639.99</v>
          </cell>
        </row>
        <row r="9210">
          <cell r="C9210" t="str">
            <v>4509 - TOOLS &amp; SUPPLIES</v>
          </cell>
          <cell r="D9210" t="str">
            <v>FRDNTSL12B</v>
          </cell>
          <cell r="BA9210">
            <v>5.69</v>
          </cell>
        </row>
        <row r="9211">
          <cell r="C9211" t="str">
            <v>4509 - TOOLS &amp; SUPPLIES</v>
          </cell>
          <cell r="D9211" t="str">
            <v>FRDNTSL716B</v>
          </cell>
          <cell r="BA9211">
            <v>5.69</v>
          </cell>
        </row>
        <row r="9212">
          <cell r="C9212" t="str">
            <v>4509 - TOOLS &amp; SUPPLIES</v>
          </cell>
          <cell r="D9212" t="str">
            <v>FRDNTSL516B</v>
          </cell>
          <cell r="BA9212">
            <v>4.99</v>
          </cell>
        </row>
        <row r="9213">
          <cell r="C9213" t="str">
            <v>4509 - TOOLS &amp; SUPPLIES</v>
          </cell>
          <cell r="D9213" t="str">
            <v>FRDNTSL38B</v>
          </cell>
          <cell r="BA9213">
            <v>4.99</v>
          </cell>
        </row>
        <row r="9214">
          <cell r="C9214" t="str">
            <v>4509 - TOOLS &amp; SUPPLIES</v>
          </cell>
          <cell r="D9214" t="str">
            <v>FRDNTSL14B</v>
          </cell>
          <cell r="BA9214">
            <v>4.99</v>
          </cell>
        </row>
        <row r="9215">
          <cell r="C9215" t="str">
            <v>4509 - TOOLS &amp; SUPPLIES</v>
          </cell>
          <cell r="D9215" t="str">
            <v>73250SC</v>
          </cell>
          <cell r="BA9215">
            <v>6.59</v>
          </cell>
        </row>
        <row r="9216">
          <cell r="C9216" t="str">
            <v>4509 - TOOLS &amp; SUPPLIES</v>
          </cell>
          <cell r="D9216" t="str">
            <v>400SHB</v>
          </cell>
          <cell r="BA9216">
            <v>10.99</v>
          </cell>
        </row>
        <row r="9217">
          <cell r="C9217" t="str">
            <v>4509 - TOOLS &amp; SUPPLIES</v>
          </cell>
          <cell r="D9217" t="str">
            <v>300SHB</v>
          </cell>
          <cell r="BA9217">
            <v>14.99</v>
          </cell>
        </row>
        <row r="9218">
          <cell r="C9218" t="str">
            <v>4509 - TOOLS &amp; SUPPLIES</v>
          </cell>
          <cell r="D9218" t="str">
            <v>ST132600</v>
          </cell>
          <cell r="BA9218">
            <v>1.99</v>
          </cell>
        </row>
        <row r="9219">
          <cell r="C9219" t="str">
            <v>4509 - TOOLS &amp; SUPPLIES</v>
          </cell>
          <cell r="D9219" t="str">
            <v>N220-574</v>
          </cell>
          <cell r="BA9219">
            <v>1.99</v>
          </cell>
        </row>
        <row r="9220">
          <cell r="C9220" t="str">
            <v>4509 - TOOLS &amp; SUPPLIES</v>
          </cell>
          <cell r="D9220" t="str">
            <v>512QC</v>
          </cell>
          <cell r="BA9220">
            <v>34.99</v>
          </cell>
        </row>
        <row r="9221">
          <cell r="C9221" t="str">
            <v>4509 - TOOLS &amp; SUPPLIES</v>
          </cell>
          <cell r="D9221" t="str">
            <v>518QC</v>
          </cell>
          <cell r="BA9221">
            <v>34.99</v>
          </cell>
        </row>
        <row r="9222">
          <cell r="C9222" t="str">
            <v>4509 - TOOLS &amp; SUPPLIES</v>
          </cell>
          <cell r="D9222" t="str">
            <v>536QC</v>
          </cell>
          <cell r="BA9222">
            <v>42.99</v>
          </cell>
        </row>
        <row r="9223">
          <cell r="C9223" t="str">
            <v>4509 - TOOLS &amp; SUPPLIES</v>
          </cell>
          <cell r="D9223" t="str">
            <v>IRW225102</v>
          </cell>
          <cell r="BA9223">
            <v>3.99</v>
          </cell>
        </row>
        <row r="9224">
          <cell r="C9224" t="str">
            <v>4509 - TOOLS &amp; SUPPLIES</v>
          </cell>
          <cell r="D9224" t="str">
            <v>IRW225106</v>
          </cell>
          <cell r="BA9224">
            <v>11.99</v>
          </cell>
        </row>
        <row r="9225">
          <cell r="C9225" t="str">
            <v>4509 - TOOLS &amp; SUPPLIES</v>
          </cell>
          <cell r="D9225" t="str">
            <v>IRW5412</v>
          </cell>
          <cell r="BA9225">
            <v>15.99</v>
          </cell>
        </row>
        <row r="9226">
          <cell r="C9226" t="str">
            <v>4509 - TOOLS &amp; SUPPLIES</v>
          </cell>
          <cell r="D9226" t="str">
            <v>IRW546</v>
          </cell>
          <cell r="BA9226">
            <v>14.99</v>
          </cell>
        </row>
        <row r="9227">
          <cell r="C9227" t="str">
            <v>4509 - TOOLS &amp; SUPPLIES</v>
          </cell>
          <cell r="D9227" t="str">
            <v>MIL1190</v>
          </cell>
          <cell r="BA9227">
            <v>18.989999999999998</v>
          </cell>
        </row>
        <row r="9228">
          <cell r="C9228" t="str">
            <v>4509 - TOOLS &amp; SUPPLIES</v>
          </cell>
          <cell r="D9228" t="str">
            <v>IRW59400CD</v>
          </cell>
          <cell r="BA9228">
            <v>12.99</v>
          </cell>
        </row>
        <row r="9229">
          <cell r="C9229" t="str">
            <v>4509 - TOOLS &amp; SUPPLIES</v>
          </cell>
          <cell r="D9229" t="str">
            <v>1LJD</v>
          </cell>
          <cell r="BA9229">
            <v>16.989999999999998</v>
          </cell>
        </row>
        <row r="9230">
          <cell r="C9230" t="str">
            <v>4509 - TOOLS &amp; SUPPLIES</v>
          </cell>
          <cell r="D9230" t="str">
            <v>3DMP</v>
          </cell>
          <cell r="BA9230">
            <v>10.99</v>
          </cell>
        </row>
        <row r="9231">
          <cell r="C9231" t="str">
            <v>4509 - TOOLS &amp; SUPPLIES</v>
          </cell>
          <cell r="D9231" t="str">
            <v>5DMP</v>
          </cell>
          <cell r="BA9231">
            <v>16.989999999999998</v>
          </cell>
        </row>
        <row r="9232">
          <cell r="C9232" t="str">
            <v>4509 - TOOLS &amp; SUPPLIES</v>
          </cell>
          <cell r="D9232" t="str">
            <v>17DMP</v>
          </cell>
          <cell r="BA9232">
            <v>13.09</v>
          </cell>
        </row>
        <row r="9233">
          <cell r="C9233" t="str">
            <v>4509 - TOOLS &amp; SUPPLIES</v>
          </cell>
          <cell r="D9233" t="str">
            <v>500DMP</v>
          </cell>
          <cell r="BA9233">
            <v>6.99</v>
          </cell>
        </row>
        <row r="9234">
          <cell r="C9234" t="str">
            <v>4509 - TOOLS &amp; SUPPLIES</v>
          </cell>
          <cell r="D9234" t="str">
            <v>22TMP</v>
          </cell>
          <cell r="BA9234">
            <v>10.99</v>
          </cell>
        </row>
        <row r="9235">
          <cell r="C9235" t="str">
            <v>4509 - TOOLS &amp; SUPPLIES</v>
          </cell>
          <cell r="D9235" t="str">
            <v>1500D</v>
          </cell>
          <cell r="BA9235">
            <v>8.69</v>
          </cell>
        </row>
        <row r="9236">
          <cell r="C9236" t="str">
            <v>4509 - TOOLS &amp; SUPPLIES</v>
          </cell>
          <cell r="D9236" t="str">
            <v>175DMP</v>
          </cell>
          <cell r="BA9236">
            <v>17.989999999999998</v>
          </cell>
        </row>
        <row r="9237">
          <cell r="C9237" t="str">
            <v>4509 - TOOLS &amp; SUPPLIES</v>
          </cell>
          <cell r="D9237" t="str">
            <v>175DLH</v>
          </cell>
          <cell r="BA9237">
            <v>19.989999999999998</v>
          </cell>
        </row>
        <row r="9238">
          <cell r="C9238" t="str">
            <v>4509 - TOOLS &amp; SUPPLIES</v>
          </cell>
          <cell r="D9238" t="str">
            <v>CRFE300-02</v>
          </cell>
          <cell r="BA9238">
            <v>49.99</v>
          </cell>
        </row>
        <row r="9239">
          <cell r="C9239" t="str">
            <v>4509 - TOOLS &amp; SUPPLIES</v>
          </cell>
          <cell r="D9239" t="str">
            <v>ST34106</v>
          </cell>
          <cell r="BA9239">
            <v>17.989999999999998</v>
          </cell>
        </row>
        <row r="9240">
          <cell r="C9240" t="str">
            <v>4509 - TOOLS &amp; SUPPLIES</v>
          </cell>
          <cell r="D9240" t="str">
            <v>ST33212</v>
          </cell>
          <cell r="BA9240">
            <v>10.99</v>
          </cell>
        </row>
        <row r="9241">
          <cell r="C9241" t="str">
            <v>4509 - TOOLS &amp; SUPPLIES</v>
          </cell>
          <cell r="D9241" t="str">
            <v>ST33312</v>
          </cell>
          <cell r="BA9241">
            <v>9.99</v>
          </cell>
        </row>
        <row r="9242">
          <cell r="C9242" t="str">
            <v>4509 - TOOLS &amp; SUPPLIES</v>
          </cell>
          <cell r="D9242" t="str">
            <v>ST33116</v>
          </cell>
          <cell r="BA9242">
            <v>9.99</v>
          </cell>
        </row>
        <row r="9243">
          <cell r="C9243" t="str">
            <v>4509 - TOOLS &amp; SUPPLIES</v>
          </cell>
          <cell r="D9243" t="str">
            <v>ST30455</v>
          </cell>
          <cell r="BA9243">
            <v>5.99</v>
          </cell>
        </row>
        <row r="9244">
          <cell r="C9244" t="str">
            <v>4509 - TOOLS &amp; SUPPLIES</v>
          </cell>
          <cell r="D9244" t="str">
            <v>ST33425</v>
          </cell>
          <cell r="BA9244">
            <v>12.99</v>
          </cell>
        </row>
        <row r="9245">
          <cell r="C9245" t="str">
            <v>4509 - TOOLS &amp; SUPPLIES</v>
          </cell>
          <cell r="D9245" t="str">
            <v>ST33430</v>
          </cell>
          <cell r="BA9245">
            <v>18.989999999999998</v>
          </cell>
        </row>
        <row r="9246">
          <cell r="C9246" t="str">
            <v>4509 - TOOLS &amp; SUPPLIES</v>
          </cell>
          <cell r="D9246" t="str">
            <v>ST34130</v>
          </cell>
          <cell r="BA9246">
            <v>22.99</v>
          </cell>
        </row>
        <row r="9247">
          <cell r="C9247" t="str">
            <v>4509 - TOOLS &amp; SUPPLIES</v>
          </cell>
          <cell r="D9247" t="str">
            <v>ST33735</v>
          </cell>
          <cell r="BA9247">
            <v>37.99</v>
          </cell>
        </row>
        <row r="9248">
          <cell r="C9248" t="str">
            <v>4509 - TOOLS &amp; SUPPLIES</v>
          </cell>
          <cell r="D9248" t="str">
            <v>ST33740</v>
          </cell>
          <cell r="BA9248">
            <v>42.99</v>
          </cell>
        </row>
        <row r="9249">
          <cell r="C9249" t="str">
            <v>4509 - TOOLS &amp; SUPPLIES</v>
          </cell>
          <cell r="D9249" t="str">
            <v>ST33730</v>
          </cell>
          <cell r="BA9249">
            <v>34.99</v>
          </cell>
        </row>
        <row r="9250">
          <cell r="C9250" t="str">
            <v>4509 - TOOLS &amp; SUPPLIES</v>
          </cell>
          <cell r="D9250" t="str">
            <v>FMHT33338</v>
          </cell>
          <cell r="BA9250">
            <v>29.99</v>
          </cell>
        </row>
        <row r="9251">
          <cell r="C9251" t="str">
            <v>4509 - TOOLS &amp; SUPPLIES</v>
          </cell>
          <cell r="D9251" t="str">
            <v>JC25MON61DB</v>
          </cell>
          <cell r="BA9251">
            <v>17.79</v>
          </cell>
        </row>
        <row r="9252">
          <cell r="C9252" t="str">
            <v>4509 - TOOLS &amp; SUPPLIES</v>
          </cell>
          <cell r="D9252" t="str">
            <v>ST33835</v>
          </cell>
          <cell r="BA9252">
            <v>18.989999999999998</v>
          </cell>
        </row>
        <row r="9253">
          <cell r="C9253" t="str">
            <v>4509 - TOOLS &amp; SUPPLIES</v>
          </cell>
          <cell r="D9253" t="str">
            <v>ST33725</v>
          </cell>
          <cell r="BA9253">
            <v>25.99</v>
          </cell>
        </row>
        <row r="9254">
          <cell r="C9254" t="str">
            <v>4509 - TOOLS &amp; SUPPLIES</v>
          </cell>
          <cell r="D9254" t="str">
            <v>ST34790</v>
          </cell>
          <cell r="BA9254">
            <v>16.989999999999998</v>
          </cell>
        </row>
        <row r="9255">
          <cell r="C9255" t="str">
            <v>4509 - TOOLS &amp; SUPPLIES</v>
          </cell>
          <cell r="D9255" t="str">
            <v>ST34793</v>
          </cell>
          <cell r="BA9255">
            <v>22.99</v>
          </cell>
        </row>
        <row r="9256">
          <cell r="C9256" t="str">
            <v>4509 - TOOLS &amp; SUPPLIES</v>
          </cell>
          <cell r="D9256" t="str">
            <v>STHT30825</v>
          </cell>
          <cell r="BA9256">
            <v>9.99</v>
          </cell>
        </row>
        <row r="9257">
          <cell r="C9257" t="str">
            <v>4509 - TOOLS &amp; SUPPLIES</v>
          </cell>
          <cell r="D9257" t="str">
            <v>ST33525</v>
          </cell>
          <cell r="BA9257">
            <v>15.99</v>
          </cell>
        </row>
        <row r="9258">
          <cell r="C9258" t="str">
            <v>4509 - TOOLS &amp; SUPPLIES</v>
          </cell>
          <cell r="D9258" t="str">
            <v>GG106425</v>
          </cell>
          <cell r="BA9258">
            <v>14.99</v>
          </cell>
        </row>
        <row r="9259">
          <cell r="C9259" t="str">
            <v>4509 - TOOLS &amp; SUPPLIES</v>
          </cell>
          <cell r="D9259" t="str">
            <v>ST34103</v>
          </cell>
          <cell r="BA9259">
            <v>12.99</v>
          </cell>
        </row>
        <row r="9260">
          <cell r="C9260" t="str">
            <v>4509 - TOOLS &amp; SUPPLIES</v>
          </cell>
          <cell r="D9260" t="str">
            <v>CI4065</v>
          </cell>
          <cell r="BA9260">
            <v>59.99</v>
          </cell>
        </row>
        <row r="9261">
          <cell r="C9261" t="str">
            <v>4509 - TOOLS &amp; SUPPLIES</v>
          </cell>
          <cell r="D9261" t="str">
            <v>DWHT36925S</v>
          </cell>
          <cell r="BA9261">
            <v>32.99</v>
          </cell>
        </row>
        <row r="9262">
          <cell r="C9262" t="str">
            <v>4509 - TOOLS &amp; SUPPLIES</v>
          </cell>
          <cell r="D9262" t="str">
            <v>DWHT36935S</v>
          </cell>
          <cell r="BA9262">
            <v>39.99</v>
          </cell>
        </row>
        <row r="9263">
          <cell r="C9263" t="str">
            <v>4509 - TOOLS &amp; SUPPLIES</v>
          </cell>
          <cell r="D9263" t="str">
            <v>DWHT33924</v>
          </cell>
          <cell r="BA9263">
            <v>25.79</v>
          </cell>
        </row>
        <row r="9264">
          <cell r="C9264" t="str">
            <v>4509 - TOOLS &amp; SUPPLIES</v>
          </cell>
          <cell r="D9264" t="str">
            <v>MIL48-22-1725</v>
          </cell>
          <cell r="BA9264">
            <v>16.989999999999998</v>
          </cell>
        </row>
        <row r="9265">
          <cell r="C9265" t="str">
            <v>4509 - TOOLS &amp; SUPPLIES</v>
          </cell>
          <cell r="D9265" t="str">
            <v>MIL48-22-1225M</v>
          </cell>
          <cell r="BA9265">
            <v>29.99</v>
          </cell>
        </row>
        <row r="9266">
          <cell r="C9266" t="str">
            <v>4509 - TOOLS &amp; SUPPLIES</v>
          </cell>
          <cell r="D9266" t="str">
            <v>MIL48-22-0225M</v>
          </cell>
          <cell r="BA9266">
            <v>19.79</v>
          </cell>
        </row>
        <row r="9267">
          <cell r="C9267" t="str">
            <v>4509 - TOOLS &amp; SUPPLIES</v>
          </cell>
          <cell r="D9267" t="str">
            <v>MIL48-22-0216M</v>
          </cell>
          <cell r="BA9267">
            <v>25.99</v>
          </cell>
        </row>
        <row r="9268">
          <cell r="C9268" t="str">
            <v>4509 - TOOLS &amp; SUPPLIES</v>
          </cell>
          <cell r="D9268" t="str">
            <v>MIL48-22-0230</v>
          </cell>
          <cell r="BA9268">
            <v>29.99</v>
          </cell>
        </row>
        <row r="9269">
          <cell r="C9269" t="str">
            <v>4509 - TOOLS &amp; SUPPLIES</v>
          </cell>
          <cell r="D9269" t="str">
            <v>MIL48-22-0335</v>
          </cell>
          <cell r="BA9269">
            <v>34.99</v>
          </cell>
        </row>
        <row r="9270">
          <cell r="C9270" t="str">
            <v>4509 - TOOLS &amp; SUPPLIES</v>
          </cell>
          <cell r="D9270" t="str">
            <v>3850MP</v>
          </cell>
          <cell r="BA9270">
            <v>11.99</v>
          </cell>
        </row>
        <row r="9271">
          <cell r="C9271" t="str">
            <v>4509 - TOOLS &amp; SUPPLIES</v>
          </cell>
          <cell r="D9271" t="str">
            <v>1450SBN</v>
          </cell>
          <cell r="BA9271">
            <v>10.99</v>
          </cell>
        </row>
        <row r="9272">
          <cell r="C9272" t="str">
            <v>4509 - TOOLS &amp; SUPPLIES</v>
          </cell>
          <cell r="D9272" t="str">
            <v>LH16365</v>
          </cell>
          <cell r="BA9272">
            <v>12.59</v>
          </cell>
        </row>
        <row r="9273">
          <cell r="C9273" t="str">
            <v>4509 - TOOLS &amp; SUPPLIES</v>
          </cell>
          <cell r="D9273" t="str">
            <v>316100BNR</v>
          </cell>
          <cell r="BA9273">
            <v>11.99</v>
          </cell>
        </row>
        <row r="9274">
          <cell r="C9274" t="str">
            <v>4509 - TOOLS &amp; SUPPLIES</v>
          </cell>
          <cell r="D9274" t="str">
            <v>1450NR</v>
          </cell>
          <cell r="BA9274">
            <v>13.99</v>
          </cell>
        </row>
        <row r="9275">
          <cell r="C9275" t="str">
            <v>4509 - TOOLS &amp; SUPPLIES</v>
          </cell>
          <cell r="D9275" t="str">
            <v>12525YNR</v>
          </cell>
          <cell r="BA9275">
            <v>7.59</v>
          </cell>
        </row>
        <row r="9276">
          <cell r="C9276" t="str">
            <v>4509 - TOOLS &amp; SUPPLIES</v>
          </cell>
          <cell r="D9276" t="str">
            <v>BM50816</v>
          </cell>
          <cell r="BA9276">
            <v>6.49</v>
          </cell>
        </row>
        <row r="9277">
          <cell r="C9277" t="str">
            <v>4509 - TOOLS &amp; SUPPLIES</v>
          </cell>
          <cell r="D9277" t="str">
            <v>BM42607</v>
          </cell>
          <cell r="BA9277">
            <v>6.49</v>
          </cell>
        </row>
        <row r="9278">
          <cell r="C9278" t="str">
            <v>4509 - TOOLS &amp; SUPPLIES</v>
          </cell>
          <cell r="D9278" t="str">
            <v>BM50815</v>
          </cell>
          <cell r="BA9278">
            <v>6.49</v>
          </cell>
        </row>
        <row r="9279">
          <cell r="C9279" t="str">
            <v>4509 - TOOLS &amp; SUPPLIES</v>
          </cell>
          <cell r="D9279" t="str">
            <v>14100TP</v>
          </cell>
          <cell r="BA9279">
            <v>10.99</v>
          </cell>
        </row>
        <row r="9280">
          <cell r="C9280" t="str">
            <v>4509 - TOOLS &amp; SUPPLIES</v>
          </cell>
          <cell r="D9280" t="str">
            <v>C10712</v>
          </cell>
          <cell r="BA9280">
            <v>7.59</v>
          </cell>
        </row>
        <row r="9281">
          <cell r="C9281" t="str">
            <v>4509 - TOOLS &amp; SUPPLIES</v>
          </cell>
          <cell r="D9281" t="str">
            <v>NM15634</v>
          </cell>
          <cell r="BA9281">
            <v>2.69</v>
          </cell>
        </row>
        <row r="9282">
          <cell r="C9282" t="str">
            <v>4509 - TOOLS &amp; SUPPLIES</v>
          </cell>
          <cell r="D9282" t="str">
            <v>PR34714</v>
          </cell>
          <cell r="BA9282">
            <v>4.29</v>
          </cell>
        </row>
        <row r="9283">
          <cell r="C9283" t="str">
            <v>4509 - TOOLS &amp; SUPPLIES</v>
          </cell>
          <cell r="D9283" t="str">
            <v>16510PPT</v>
          </cell>
          <cell r="BA9283">
            <v>7.99</v>
          </cell>
        </row>
        <row r="9284">
          <cell r="C9284" t="str">
            <v>4509 - TOOLS &amp; SUPPLIES</v>
          </cell>
          <cell r="D9284" t="str">
            <v>1450TDRY</v>
          </cell>
          <cell r="BA9284">
            <v>3.79</v>
          </cell>
        </row>
        <row r="9285">
          <cell r="C9285" t="str">
            <v>4509 - TOOLS &amp; SUPPLIES</v>
          </cell>
          <cell r="D9285" t="str">
            <v>1250TR</v>
          </cell>
          <cell r="BA9285">
            <v>16.989999999999998</v>
          </cell>
        </row>
        <row r="9286">
          <cell r="C9286" t="str">
            <v>4509 - TOOLS &amp; SUPPLIES</v>
          </cell>
          <cell r="D9286" t="str">
            <v>1450NFR</v>
          </cell>
          <cell r="BA9286">
            <v>2.79</v>
          </cell>
        </row>
        <row r="9287">
          <cell r="C9287" t="str">
            <v>4509 - TOOLS &amp; SUPPLIES</v>
          </cell>
          <cell r="D9287" t="str">
            <v>18260NST</v>
          </cell>
          <cell r="BA9287">
            <v>3.79</v>
          </cell>
        </row>
        <row r="9288">
          <cell r="C9288" t="str">
            <v>4509 - TOOLS &amp; SUPPLIES</v>
          </cell>
          <cell r="D9288" t="str">
            <v>18525NST</v>
          </cell>
          <cell r="BA9288">
            <v>7.59</v>
          </cell>
        </row>
        <row r="9289">
          <cell r="C9289" t="str">
            <v>4509 - TOOLS &amp; SUPPLIES</v>
          </cell>
          <cell r="D9289" t="str">
            <v>181050NST</v>
          </cell>
          <cell r="BA9289">
            <v>6.29</v>
          </cell>
        </row>
        <row r="9290">
          <cell r="C9290" t="str">
            <v>4509 - TOOLS &amp; SUPPLIES</v>
          </cell>
          <cell r="D9290" t="str">
            <v>BM60540</v>
          </cell>
          <cell r="BA9290">
            <v>2.99</v>
          </cell>
        </row>
        <row r="9291">
          <cell r="C9291" t="str">
            <v>4509 - TOOLS &amp; SUPPLIES</v>
          </cell>
          <cell r="D9291" t="str">
            <v>JT14255</v>
          </cell>
          <cell r="BA9291">
            <v>0.99</v>
          </cell>
        </row>
        <row r="9292">
          <cell r="C9292" t="str">
            <v>4509 - TOOLS &amp; SUPPLIES</v>
          </cell>
          <cell r="D9292" t="str">
            <v>NST1814P</v>
          </cell>
          <cell r="BA9292">
            <v>3.09</v>
          </cell>
        </row>
        <row r="9293">
          <cell r="C9293" t="str">
            <v>4509 - TOOLS &amp; SUPPLIES</v>
          </cell>
          <cell r="D9293" t="str">
            <v>18550ONT</v>
          </cell>
          <cell r="BA9293">
            <v>7.59</v>
          </cell>
        </row>
        <row r="9294">
          <cell r="C9294" t="str">
            <v>4509 - TOOLS &amp; SUPPLIES</v>
          </cell>
          <cell r="D9294" t="str">
            <v>SIST43915</v>
          </cell>
          <cell r="BA9294">
            <v>25.99</v>
          </cell>
        </row>
        <row r="9295">
          <cell r="C9295" t="str">
            <v>4509 - TOOLS &amp; SUPPLIES</v>
          </cell>
          <cell r="D9295" t="str">
            <v>4BCHALK</v>
          </cell>
          <cell r="BA9295">
            <v>2.39</v>
          </cell>
        </row>
        <row r="9296">
          <cell r="C9296" t="str">
            <v>4509 - TOOLS &amp; SUPPLIES</v>
          </cell>
          <cell r="D9296" t="str">
            <v>IRW64901</v>
          </cell>
          <cell r="BA9296">
            <v>3.49</v>
          </cell>
        </row>
        <row r="9297">
          <cell r="C9297" t="str">
            <v>4509 - TOOLS &amp; SUPPLIES</v>
          </cell>
          <cell r="D9297" t="str">
            <v>IRW65101</v>
          </cell>
          <cell r="BA9297">
            <v>11.99</v>
          </cell>
        </row>
        <row r="9298">
          <cell r="C9298" t="str">
            <v>4509 - TOOLS &amp; SUPPLIES</v>
          </cell>
          <cell r="D9298" t="str">
            <v>4RCHALK</v>
          </cell>
          <cell r="BA9298">
            <v>1.49</v>
          </cell>
        </row>
        <row r="9299">
          <cell r="C9299" t="str">
            <v>4509 - TOOLS &amp; SUPPLIES</v>
          </cell>
          <cell r="D9299" t="str">
            <v>5RCHALK</v>
          </cell>
          <cell r="BA9299">
            <v>27.99</v>
          </cell>
        </row>
        <row r="9300">
          <cell r="C9300" t="str">
            <v>4509 - TOOLS &amp; SUPPLIES</v>
          </cell>
          <cell r="D9300" t="str">
            <v>IRW64902</v>
          </cell>
          <cell r="BA9300">
            <v>3.49</v>
          </cell>
        </row>
        <row r="9301">
          <cell r="C9301" t="str">
            <v>4509 - TOOLS &amp; SUPPLIES</v>
          </cell>
          <cell r="D9301" t="str">
            <v>IRW4935520</v>
          </cell>
          <cell r="BA9301">
            <v>3.79</v>
          </cell>
        </row>
        <row r="9302">
          <cell r="C9302" t="str">
            <v>4509 - TOOLS &amp; SUPPLIES</v>
          </cell>
          <cell r="D9302" t="str">
            <v>BL816</v>
          </cell>
          <cell r="BA9302">
            <v>5.89</v>
          </cell>
        </row>
        <row r="9303">
          <cell r="C9303" t="str">
            <v>4509 - TOOLS &amp; SUPPLIES</v>
          </cell>
          <cell r="D9303" t="str">
            <v>RLBL816R</v>
          </cell>
          <cell r="BA9303">
            <v>6.19</v>
          </cell>
        </row>
        <row r="9304">
          <cell r="C9304" t="str">
            <v>4509 - TOOLS &amp; SUPPLIES</v>
          </cell>
          <cell r="D9304" t="str">
            <v>BL54</v>
          </cell>
          <cell r="BA9304">
            <v>26.09</v>
          </cell>
        </row>
        <row r="9305">
          <cell r="C9305" t="str">
            <v>4509 - TOOLS &amp; SUPPLIES</v>
          </cell>
          <cell r="D9305" t="str">
            <v>IRW65102</v>
          </cell>
          <cell r="BA9305">
            <v>9.99</v>
          </cell>
        </row>
        <row r="9306">
          <cell r="C9306" t="str">
            <v>4509 - TOOLS &amp; SUPPLIES</v>
          </cell>
          <cell r="D9306" t="str">
            <v>IRW64905</v>
          </cell>
          <cell r="BA9306">
            <v>3.79</v>
          </cell>
        </row>
        <row r="9307">
          <cell r="C9307" t="str">
            <v>4509 - TOOLS &amp; SUPPLIES</v>
          </cell>
          <cell r="D9307" t="str">
            <v>IRW65105</v>
          </cell>
          <cell r="BA9307">
            <v>15.99</v>
          </cell>
        </row>
        <row r="9308">
          <cell r="C9308" t="str">
            <v>4509 - TOOLS &amp; SUPPLIES</v>
          </cell>
          <cell r="D9308" t="str">
            <v>IRW64908</v>
          </cell>
          <cell r="BA9308">
            <v>2.19</v>
          </cell>
        </row>
        <row r="9309">
          <cell r="C9309" t="str">
            <v>4509 - TOOLS &amp; SUPPLIES</v>
          </cell>
          <cell r="D9309" t="str">
            <v>IRW64904</v>
          </cell>
          <cell r="BA9309">
            <v>3.79</v>
          </cell>
        </row>
        <row r="9310">
          <cell r="C9310" t="str">
            <v>4509 - TOOLS &amp; SUPPLIES</v>
          </cell>
          <cell r="D9310" t="str">
            <v>IRW65201</v>
          </cell>
          <cell r="BA9310">
            <v>9.99</v>
          </cell>
        </row>
        <row r="9311">
          <cell r="C9311" t="str">
            <v>4509 - TOOLS &amp; SUPPLIES</v>
          </cell>
          <cell r="D9311" t="str">
            <v>IRW1932876</v>
          </cell>
          <cell r="BA9311">
            <v>12.99</v>
          </cell>
        </row>
        <row r="9312">
          <cell r="C9312" t="str">
            <v>4509 - TOOLS &amp; SUPPLIES</v>
          </cell>
          <cell r="D9312" t="str">
            <v>IRW1932887</v>
          </cell>
          <cell r="BA9312">
            <v>13.99</v>
          </cell>
        </row>
        <row r="9313">
          <cell r="C9313" t="str">
            <v>4509 - TOOLS &amp; SUPPLIES</v>
          </cell>
          <cell r="D9313" t="str">
            <v>W2078218</v>
          </cell>
          <cell r="BA9313">
            <v>0</v>
          </cell>
        </row>
        <row r="9314">
          <cell r="C9314" t="str">
            <v>4509 - TOOLS &amp; SUPPLIES</v>
          </cell>
          <cell r="D9314" t="str">
            <v>IRW1932872</v>
          </cell>
          <cell r="BA9314">
            <v>5.69</v>
          </cell>
        </row>
        <row r="9315">
          <cell r="C9315" t="str">
            <v>4509 - TOOLS &amp; SUPPLIES</v>
          </cell>
          <cell r="D9315" t="str">
            <v>IRW1932874</v>
          </cell>
          <cell r="BA9315">
            <v>9.99</v>
          </cell>
        </row>
        <row r="9316">
          <cell r="C9316" t="str">
            <v>4509 - TOOLS &amp; SUPPLIES</v>
          </cell>
          <cell r="D9316" t="str">
            <v>IRWIWHT48442RC</v>
          </cell>
          <cell r="BA9316">
            <v>11.99</v>
          </cell>
        </row>
        <row r="9317">
          <cell r="C9317" t="str">
            <v>4509 - TOOLS &amp; SUPPLIES</v>
          </cell>
          <cell r="D9317" t="str">
            <v>IRWIWHT48445</v>
          </cell>
          <cell r="BA9317">
            <v>16.989999999999998</v>
          </cell>
        </row>
        <row r="9318">
          <cell r="C9318" t="str">
            <v>4509 - TOOLS &amp; SUPPLIES</v>
          </cell>
          <cell r="D9318" t="str">
            <v>IRW1932885</v>
          </cell>
          <cell r="BA9318">
            <v>7.59</v>
          </cell>
        </row>
        <row r="9319">
          <cell r="C9319" t="str">
            <v>4509 - TOOLS &amp; SUPPLIES</v>
          </cell>
          <cell r="D9319" t="str">
            <v>IRW1932881</v>
          </cell>
          <cell r="BA9319">
            <v>6.49</v>
          </cell>
        </row>
        <row r="9320">
          <cell r="C9320" t="str">
            <v>4509 - TOOLS &amp; SUPPLIES</v>
          </cell>
          <cell r="D9320" t="str">
            <v>IRW1932880</v>
          </cell>
          <cell r="BA9320">
            <v>6.49</v>
          </cell>
        </row>
        <row r="9321">
          <cell r="C9321" t="str">
            <v>4509 - TOOLS &amp; SUPPLIES</v>
          </cell>
          <cell r="D9321" t="str">
            <v>IRW65202</v>
          </cell>
          <cell r="BA9321">
            <v>9.99</v>
          </cell>
        </row>
        <row r="9322">
          <cell r="C9322" t="str">
            <v>4509 - TOOLS &amp; SUPPLIES</v>
          </cell>
          <cell r="D9322" t="str">
            <v>IRW1932883</v>
          </cell>
          <cell r="BA9322">
            <v>11.99</v>
          </cell>
        </row>
        <row r="9323">
          <cell r="C9323" t="str">
            <v>4509 - TOOLS &amp; SUPPLIES</v>
          </cell>
          <cell r="D9323" t="str">
            <v>11706CLR</v>
          </cell>
          <cell r="BA9323">
            <v>17.989999999999998</v>
          </cell>
        </row>
        <row r="9324">
          <cell r="C9324" t="str">
            <v>4509 - TOOLS &amp; SUPPLIES</v>
          </cell>
          <cell r="D9324" t="str">
            <v>11712CLR</v>
          </cell>
          <cell r="BA9324">
            <v>17.989999999999998</v>
          </cell>
        </row>
        <row r="9325">
          <cell r="C9325" t="str">
            <v>4509 - TOOLS &amp; SUPPLIES</v>
          </cell>
          <cell r="D9325" t="str">
            <v>CRCL50</v>
          </cell>
          <cell r="BA9325">
            <v>9.99</v>
          </cell>
        </row>
        <row r="9326">
          <cell r="C9326" t="str">
            <v>4509 - TOOLS &amp; SUPPLIES</v>
          </cell>
          <cell r="D9326" t="str">
            <v>CRCLA100AB</v>
          </cell>
          <cell r="BA9326">
            <v>12.99</v>
          </cell>
        </row>
        <row r="9327">
          <cell r="C9327" t="str">
            <v>4509 - TOOLS &amp; SUPPLIES</v>
          </cell>
          <cell r="D9327" t="str">
            <v>CML10006</v>
          </cell>
          <cell r="BA9327">
            <v>5.39</v>
          </cell>
        </row>
        <row r="9328">
          <cell r="C9328" t="str">
            <v>4509 - TOOLS &amp; SUPPLIES</v>
          </cell>
          <cell r="D9328" t="str">
            <v>ST47099</v>
          </cell>
          <cell r="BA9328">
            <v>9.99</v>
          </cell>
        </row>
        <row r="9329">
          <cell r="C9329" t="str">
            <v>4509 - TOOLS &amp; SUPPLIES</v>
          </cell>
          <cell r="D9329" t="str">
            <v>ST47-140L</v>
          </cell>
          <cell r="BA9329">
            <v>12.99</v>
          </cell>
        </row>
        <row r="9330">
          <cell r="C9330" t="str">
            <v>4509 - TOOLS &amp; SUPPLIES</v>
          </cell>
          <cell r="D9330" t="str">
            <v>ST47681L</v>
          </cell>
          <cell r="BA9330">
            <v>18.989999999999998</v>
          </cell>
        </row>
        <row r="9331">
          <cell r="C9331" t="str">
            <v>4509 - TOOLS &amp; SUPPLIES</v>
          </cell>
          <cell r="D9331" t="str">
            <v>STR11406</v>
          </cell>
          <cell r="BA9331">
            <v>10.99</v>
          </cell>
        </row>
        <row r="9332">
          <cell r="C9332" t="str">
            <v>4509 - TOOLS &amp; SUPPLIES</v>
          </cell>
          <cell r="D9332" t="str">
            <v>13351CML</v>
          </cell>
          <cell r="BA9332">
            <v>10.99</v>
          </cell>
        </row>
        <row r="9333">
          <cell r="C9333" t="str">
            <v>4509 - TOOLS &amp; SUPPLIES</v>
          </cell>
          <cell r="D9333" t="str">
            <v>MIL48-22-3990</v>
          </cell>
          <cell r="BA9333">
            <v>19.989999999999998</v>
          </cell>
        </row>
        <row r="9334">
          <cell r="C9334" t="str">
            <v>4509 - TOOLS &amp; SUPPLIES</v>
          </cell>
          <cell r="D9334" t="str">
            <v>DWHT48333RC</v>
          </cell>
          <cell r="BA9334">
            <v>13.99</v>
          </cell>
        </row>
        <row r="9335">
          <cell r="C9335" t="str">
            <v>4509 - TOOLS &amp; SUPPLIES</v>
          </cell>
          <cell r="D9335" t="str">
            <v>DWHT47374L</v>
          </cell>
          <cell r="BA9335">
            <v>13.99</v>
          </cell>
        </row>
        <row r="9336">
          <cell r="C9336" t="str">
            <v>4509 - TOOLS &amp; SUPPLIES</v>
          </cell>
          <cell r="D9336" t="str">
            <v>BLC49400</v>
          </cell>
          <cell r="BA9336">
            <v>1.69</v>
          </cell>
        </row>
        <row r="9337">
          <cell r="C9337" t="str">
            <v>4509 - TOOLS &amp; SUPPLIES</v>
          </cell>
          <cell r="D9337" t="str">
            <v>IRW66404</v>
          </cell>
          <cell r="BA9337">
            <v>1.39</v>
          </cell>
        </row>
        <row r="9338">
          <cell r="C9338" t="str">
            <v>4509 - TOOLS &amp; SUPPLIES</v>
          </cell>
          <cell r="D9338" t="str">
            <v>IRW66402</v>
          </cell>
          <cell r="BA9338">
            <v>1.39</v>
          </cell>
        </row>
        <row r="9339">
          <cell r="C9339" t="str">
            <v>4509 - TOOLS &amp; SUPPLIES</v>
          </cell>
          <cell r="D9339" t="str">
            <v>DT52100</v>
          </cell>
          <cell r="BA9339">
            <v>1.39</v>
          </cell>
        </row>
        <row r="9340">
          <cell r="C9340" t="str">
            <v>4509 - TOOLS &amp; SUPPLIES</v>
          </cell>
          <cell r="D9340" t="str">
            <v>IRW66401</v>
          </cell>
          <cell r="BA9340">
            <v>1.39</v>
          </cell>
        </row>
        <row r="9341">
          <cell r="C9341" t="str">
            <v>4509 - TOOLS &amp; SUPPLIES</v>
          </cell>
          <cell r="D9341" t="str">
            <v>IRW66406</v>
          </cell>
          <cell r="BA9341">
            <v>1.39</v>
          </cell>
        </row>
        <row r="9342">
          <cell r="C9342" t="str">
            <v>4509 - TOOLS &amp; SUPPLIES</v>
          </cell>
          <cell r="D9342" t="str">
            <v>49600YLC</v>
          </cell>
          <cell r="BA9342">
            <v>1.69</v>
          </cell>
        </row>
        <row r="9343">
          <cell r="C9343" t="str">
            <v>4509 - TOOLS &amp; SUPPLIES</v>
          </cell>
          <cell r="D9343" t="str">
            <v>CH10382</v>
          </cell>
          <cell r="BA9343">
            <v>1.69</v>
          </cell>
        </row>
        <row r="9344">
          <cell r="C9344" t="str">
            <v>4509 - TOOLS &amp; SUPPLIES</v>
          </cell>
          <cell r="D9344" t="str">
            <v>SF38262PP</v>
          </cell>
          <cell r="BA9344">
            <v>2.79</v>
          </cell>
        </row>
        <row r="9345">
          <cell r="C9345" t="str">
            <v>4509 - TOOLS &amp; SUPPLIES</v>
          </cell>
          <cell r="D9345" t="str">
            <v>SBMM</v>
          </cell>
          <cell r="BA9345">
            <v>4.79</v>
          </cell>
        </row>
        <row r="9346">
          <cell r="C9346" t="str">
            <v>4509 - TOOLS &amp; SUPPLIES</v>
          </cell>
          <cell r="D9346" t="str">
            <v>CARPEN</v>
          </cell>
          <cell r="BA9346">
            <v>0.89</v>
          </cell>
        </row>
        <row r="9347">
          <cell r="C9347" t="str">
            <v>4509 - TOOLS &amp; SUPPLIES</v>
          </cell>
          <cell r="D9347" t="str">
            <v>IRW66300</v>
          </cell>
          <cell r="BA9347">
            <v>0.99</v>
          </cell>
        </row>
        <row r="9348">
          <cell r="C9348" t="str">
            <v>4509 - TOOLS &amp; SUPPLIES</v>
          </cell>
          <cell r="D9348" t="str">
            <v>DT14100</v>
          </cell>
          <cell r="BA9348">
            <v>0.79</v>
          </cell>
        </row>
        <row r="9349">
          <cell r="C9349" t="str">
            <v>4509 - TOOLS &amp; SUPPLIES</v>
          </cell>
          <cell r="D9349" t="str">
            <v>IRW66301</v>
          </cell>
          <cell r="BA9349">
            <v>0.99</v>
          </cell>
        </row>
        <row r="9350">
          <cell r="C9350" t="str">
            <v>4509 - TOOLS &amp; SUPPLIES</v>
          </cell>
          <cell r="D9350" t="str">
            <v>RT05505</v>
          </cell>
          <cell r="BA9350">
            <v>21.99</v>
          </cell>
        </row>
        <row r="9351">
          <cell r="C9351" t="str">
            <v>4509 - TOOLS &amp; SUPPLIES</v>
          </cell>
          <cell r="D9351" t="str">
            <v>RT05506</v>
          </cell>
          <cell r="BA9351">
            <v>25.99</v>
          </cell>
        </row>
        <row r="9352">
          <cell r="C9352" t="str">
            <v>4509 - TOOLS &amp; SUPPLIES</v>
          </cell>
          <cell r="D9352" t="str">
            <v>KE05514</v>
          </cell>
          <cell r="BA9352">
            <v>12.99</v>
          </cell>
        </row>
        <row r="9353">
          <cell r="C9353" t="str">
            <v>4509 - TOOLS &amp; SUPPLIES</v>
          </cell>
          <cell r="D9353" t="str">
            <v>KE05516</v>
          </cell>
          <cell r="BA9353">
            <v>16.989999999999998</v>
          </cell>
        </row>
        <row r="9354">
          <cell r="C9354" t="str">
            <v>4509 - TOOLS &amp; SUPPLIES</v>
          </cell>
          <cell r="D9354" t="str">
            <v>DJHRTD227</v>
          </cell>
          <cell r="BA9354">
            <v>21.99</v>
          </cell>
        </row>
        <row r="9355">
          <cell r="C9355" t="str">
            <v>4509 - TOOLS &amp; SUPPLIES</v>
          </cell>
          <cell r="D9355" t="str">
            <v>MCFH64052</v>
          </cell>
          <cell r="BA9355">
            <v>21.99</v>
          </cell>
        </row>
        <row r="9356">
          <cell r="C9356" t="str">
            <v>4509 - TOOLS &amp; SUPPLIES</v>
          </cell>
          <cell r="D9356" t="str">
            <v>KE06224</v>
          </cell>
          <cell r="BA9356">
            <v>1.29</v>
          </cell>
        </row>
        <row r="9357">
          <cell r="C9357" t="str">
            <v>4509 - TOOLS &amp; SUPPLIES</v>
          </cell>
          <cell r="D9357" t="str">
            <v>KEA06224Z</v>
          </cell>
          <cell r="BA9357">
            <v>2.99</v>
          </cell>
        </row>
        <row r="9358">
          <cell r="C9358" t="str">
            <v>4509 - TOOLS &amp; SUPPLIES</v>
          </cell>
          <cell r="D9358" t="str">
            <v>KE06235</v>
          </cell>
          <cell r="BA9358">
            <v>1.39</v>
          </cell>
        </row>
        <row r="9359">
          <cell r="C9359" t="str">
            <v>4509 - TOOLS &amp; SUPPLIES</v>
          </cell>
          <cell r="D9359" t="str">
            <v>BRS85140</v>
          </cell>
          <cell r="BA9359">
            <v>1.99</v>
          </cell>
        </row>
        <row r="9360">
          <cell r="C9360" t="str">
            <v>4509 - TOOLS &amp; SUPPLIES</v>
          </cell>
          <cell r="D9360" t="str">
            <v>SS9434</v>
          </cell>
          <cell r="BA9360">
            <v>17.989999999999998</v>
          </cell>
        </row>
        <row r="9361">
          <cell r="C9361" t="str">
            <v>4509 - TOOLS &amp; SUPPLIES</v>
          </cell>
          <cell r="D9361" t="str">
            <v>SF100SF</v>
          </cell>
          <cell r="BA9361">
            <v>29.99</v>
          </cell>
        </row>
        <row r="9362">
          <cell r="C9362" t="str">
            <v>4509 - TOOLS &amp; SUPPLIES</v>
          </cell>
          <cell r="D9362" t="str">
            <v>DW0150</v>
          </cell>
          <cell r="BA9362">
            <v>31.99</v>
          </cell>
        </row>
        <row r="9363">
          <cell r="C9363" t="str">
            <v>4509 - TOOLS &amp; SUPPLIES</v>
          </cell>
          <cell r="D9363" t="str">
            <v>ITW40088</v>
          </cell>
          <cell r="BA9363">
            <v>119.99</v>
          </cell>
        </row>
        <row r="9364">
          <cell r="C9364" t="str">
            <v>4509 - TOOLS &amp; SUPPLIES</v>
          </cell>
          <cell r="D9364" t="str">
            <v>CLC1161</v>
          </cell>
          <cell r="BA9364">
            <v>24.99</v>
          </cell>
        </row>
        <row r="9365">
          <cell r="C9365" t="str">
            <v>4509 - TOOLS &amp; SUPPLIES</v>
          </cell>
          <cell r="D9365" t="str">
            <v>MKXMT03Z</v>
          </cell>
          <cell r="BA9365">
            <v>159.99</v>
          </cell>
        </row>
        <row r="9366">
          <cell r="C9366" t="str">
            <v>4509 - TOOLS &amp; SUPPLIES</v>
          </cell>
          <cell r="D9366" t="str">
            <v>CLCLTH11P</v>
          </cell>
          <cell r="BA9366">
            <v>32.99</v>
          </cell>
        </row>
        <row r="9367">
          <cell r="C9367" t="str">
            <v>4509 - TOOLS &amp; SUPPLIES</v>
          </cell>
          <cell r="D9367" t="str">
            <v>AI4443</v>
          </cell>
          <cell r="BA9367">
            <v>3.99</v>
          </cell>
        </row>
        <row r="9368">
          <cell r="C9368" t="str">
            <v>4509 - TOOLS &amp; SUPPLIES</v>
          </cell>
          <cell r="D9368" t="str">
            <v>3M9005</v>
          </cell>
          <cell r="BA9368">
            <v>4.99</v>
          </cell>
        </row>
        <row r="9369">
          <cell r="C9369" t="str">
            <v>4509 - TOOLS &amp; SUPPLIES</v>
          </cell>
          <cell r="D9369" t="str">
            <v>AI7156</v>
          </cell>
          <cell r="BA9369">
            <v>6.99</v>
          </cell>
        </row>
        <row r="9370">
          <cell r="C9370" t="str">
            <v>4509 - TOOLS &amp; SUPPLIES</v>
          </cell>
          <cell r="D9370" t="str">
            <v>AI7242</v>
          </cell>
          <cell r="BA9370">
            <v>10.99</v>
          </cell>
        </row>
        <row r="9371">
          <cell r="C9371" t="str">
            <v>4509 - TOOLS &amp; SUPPLIES</v>
          </cell>
          <cell r="D9371" t="str">
            <v>DW4301</v>
          </cell>
          <cell r="BA9371">
            <v>5.99</v>
          </cell>
        </row>
        <row r="9372">
          <cell r="C9372" t="str">
            <v>4509 - TOOLS &amp; SUPPLIES</v>
          </cell>
          <cell r="D9372" t="str">
            <v>3M99406EA</v>
          </cell>
          <cell r="BA9372">
            <v>1.39</v>
          </cell>
        </row>
        <row r="9373">
          <cell r="C9373" t="str">
            <v>4509 - TOOLS &amp; SUPPLIES</v>
          </cell>
          <cell r="D9373" t="str">
            <v>3M02115EA</v>
          </cell>
          <cell r="BA9373">
            <v>2.79</v>
          </cell>
        </row>
        <row r="9374">
          <cell r="C9374" t="str">
            <v>4509 - TOOLS &amp; SUPPLIES</v>
          </cell>
          <cell r="D9374" t="str">
            <v>3M02114EA</v>
          </cell>
          <cell r="BA9374">
            <v>106.99</v>
          </cell>
        </row>
        <row r="9375">
          <cell r="C9375" t="str">
            <v>4509 - TOOLS &amp; SUPPLIES</v>
          </cell>
          <cell r="D9375" t="str">
            <v>3M02112EA</v>
          </cell>
          <cell r="BA9375">
            <v>0.55000000000000004</v>
          </cell>
        </row>
        <row r="9376">
          <cell r="C9376" t="str">
            <v>4509 - TOOLS &amp; SUPPLIES</v>
          </cell>
          <cell r="D9376" t="str">
            <v>3M99401EA</v>
          </cell>
          <cell r="BA9376">
            <v>0.59</v>
          </cell>
        </row>
        <row r="9377">
          <cell r="C9377" t="str">
            <v>4509 - TOOLS &amp; SUPPLIES</v>
          </cell>
          <cell r="D9377" t="str">
            <v>3M88591EA</v>
          </cell>
          <cell r="BA9377">
            <v>0.72</v>
          </cell>
        </row>
        <row r="9378">
          <cell r="C9378" t="str">
            <v>4509 - TOOLS &amp; SUPPLIES</v>
          </cell>
          <cell r="D9378" t="str">
            <v>AI7186</v>
          </cell>
          <cell r="BA9378">
            <v>11.99</v>
          </cell>
        </row>
        <row r="9379">
          <cell r="C9379" t="str">
            <v>4509 - TOOLS &amp; SUPPLIES</v>
          </cell>
          <cell r="D9379" t="str">
            <v>AI3283</v>
          </cell>
          <cell r="BA9379">
            <v>17.989999999999998</v>
          </cell>
        </row>
        <row r="9380">
          <cell r="C9380" t="str">
            <v>4509 - TOOLS &amp; SUPPLIES</v>
          </cell>
          <cell r="D9380" t="str">
            <v>AI3282</v>
          </cell>
          <cell r="BA9380">
            <v>17.989999999999998</v>
          </cell>
        </row>
        <row r="9381">
          <cell r="C9381" t="str">
            <v>4509 - TOOLS &amp; SUPPLIES</v>
          </cell>
          <cell r="D9381" t="str">
            <v>AI3281</v>
          </cell>
          <cell r="BA9381">
            <v>17.989999999999998</v>
          </cell>
        </row>
        <row r="9382">
          <cell r="C9382" t="str">
            <v>4509 - TOOLS &amp; SUPPLIES</v>
          </cell>
          <cell r="D9382" t="str">
            <v>AI3280</v>
          </cell>
          <cell r="BA9382">
            <v>17.989999999999998</v>
          </cell>
        </row>
        <row r="9383">
          <cell r="C9383" t="str">
            <v>4509 - TOOLS &amp; SUPPLIES</v>
          </cell>
          <cell r="D9383" t="str">
            <v>3M99436</v>
          </cell>
          <cell r="BA9383">
            <v>16.989999999999998</v>
          </cell>
        </row>
        <row r="9384">
          <cell r="C9384" t="str">
            <v>4509 - TOOLS &amp; SUPPLIES</v>
          </cell>
          <cell r="D9384" t="str">
            <v>AI7300</v>
          </cell>
          <cell r="BA9384">
            <v>5.99</v>
          </cell>
        </row>
        <row r="9385">
          <cell r="C9385" t="str">
            <v>4509 - TOOLS &amp; SUPPLIES</v>
          </cell>
          <cell r="D9385" t="str">
            <v>AI7301</v>
          </cell>
          <cell r="BA9385">
            <v>5.99</v>
          </cell>
        </row>
        <row r="9386">
          <cell r="C9386" t="str">
            <v>4509 - TOOLS &amp; SUPPLIES</v>
          </cell>
          <cell r="D9386" t="str">
            <v>AI7302</v>
          </cell>
          <cell r="BA9386">
            <v>5.99</v>
          </cell>
        </row>
        <row r="9387">
          <cell r="C9387" t="str">
            <v>4509 - TOOLS &amp; SUPPLIES</v>
          </cell>
          <cell r="D9387" t="str">
            <v>AI7303</v>
          </cell>
          <cell r="BA9387">
            <v>5.99</v>
          </cell>
        </row>
        <row r="9388">
          <cell r="C9388" t="str">
            <v>4509 - TOOLS &amp; SUPPLIES</v>
          </cell>
          <cell r="D9388" t="str">
            <v>AI7233</v>
          </cell>
          <cell r="BA9388">
            <v>9.99</v>
          </cell>
        </row>
        <row r="9389">
          <cell r="C9389" t="str">
            <v>4509 - TOOLS &amp; SUPPLIES</v>
          </cell>
          <cell r="D9389" t="str">
            <v>AI4638</v>
          </cell>
          <cell r="BA9389">
            <v>3.99</v>
          </cell>
        </row>
        <row r="9390">
          <cell r="C9390" t="str">
            <v>4509 - TOOLS &amp; SUPPLIES</v>
          </cell>
          <cell r="D9390" t="str">
            <v>AI4637</v>
          </cell>
          <cell r="BA9390">
            <v>3.99</v>
          </cell>
        </row>
        <row r="9391">
          <cell r="C9391" t="str">
            <v>4509 - TOOLS &amp; SUPPLIES</v>
          </cell>
          <cell r="D9391" t="str">
            <v>AI7261</v>
          </cell>
          <cell r="BA9391">
            <v>5.69</v>
          </cell>
        </row>
        <row r="9392">
          <cell r="C9392" t="str">
            <v>4509 - TOOLS &amp; SUPPLIES</v>
          </cell>
          <cell r="D9392" t="str">
            <v>AI7263</v>
          </cell>
          <cell r="BA9392">
            <v>5.69</v>
          </cell>
        </row>
        <row r="9393">
          <cell r="C9393" t="str">
            <v>4509 - TOOLS &amp; SUPPLIES</v>
          </cell>
          <cell r="D9393" t="str">
            <v>AI7266</v>
          </cell>
          <cell r="BA9393">
            <v>5.69</v>
          </cell>
        </row>
        <row r="9394">
          <cell r="C9394" t="str">
            <v>4509 - TOOLS &amp; SUPPLIES</v>
          </cell>
          <cell r="D9394" t="str">
            <v>AI7267</v>
          </cell>
          <cell r="BA9394">
            <v>5.69</v>
          </cell>
        </row>
        <row r="9395">
          <cell r="C9395" t="str">
            <v>4509 - TOOLS &amp; SUPPLIES</v>
          </cell>
          <cell r="D9395" t="str">
            <v>AI4486</v>
          </cell>
          <cell r="BA9395">
            <v>3.49</v>
          </cell>
        </row>
        <row r="9396">
          <cell r="C9396" t="str">
            <v>4509 - TOOLS &amp; SUPPLIES</v>
          </cell>
          <cell r="D9396" t="str">
            <v>AI7800</v>
          </cell>
          <cell r="BA9396">
            <v>16.989999999999998</v>
          </cell>
        </row>
        <row r="9397">
          <cell r="C9397" t="str">
            <v>4509 - TOOLS &amp; SUPPLIES</v>
          </cell>
          <cell r="D9397" t="str">
            <v>3M99422EA</v>
          </cell>
          <cell r="BA9397">
            <v>0.99</v>
          </cell>
        </row>
        <row r="9398">
          <cell r="C9398" t="str">
            <v>4509 - TOOLS &amp; SUPPLIES</v>
          </cell>
          <cell r="D9398" t="str">
            <v>3M99421EA</v>
          </cell>
          <cell r="BA9398">
            <v>0.99</v>
          </cell>
        </row>
        <row r="9399">
          <cell r="C9399" t="str">
            <v>4509 - TOOLS &amp; SUPPLIES</v>
          </cell>
          <cell r="D9399" t="str">
            <v>3M99420EA</v>
          </cell>
          <cell r="BA9399">
            <v>0.99</v>
          </cell>
        </row>
        <row r="9400">
          <cell r="C9400" t="str">
            <v>4509 - TOOLS &amp; SUPPLIES</v>
          </cell>
          <cell r="D9400" t="str">
            <v>3M99419EA</v>
          </cell>
          <cell r="BA9400">
            <v>0.99</v>
          </cell>
        </row>
        <row r="9401">
          <cell r="C9401" t="str">
            <v>4509 - TOOLS &amp; SUPPLIES</v>
          </cell>
          <cell r="D9401" t="str">
            <v>3M9001</v>
          </cell>
          <cell r="BA9401">
            <v>4.99</v>
          </cell>
        </row>
        <row r="9402">
          <cell r="C9402" t="str">
            <v>4509 - TOOLS &amp; SUPPLIES</v>
          </cell>
          <cell r="D9402" t="str">
            <v>3M9002</v>
          </cell>
          <cell r="BA9402">
            <v>4.99</v>
          </cell>
        </row>
        <row r="9403">
          <cell r="C9403" t="str">
            <v>4509 - TOOLS &amp; SUPPLIES</v>
          </cell>
          <cell r="D9403" t="str">
            <v>3M9003</v>
          </cell>
          <cell r="BA9403">
            <v>4.99</v>
          </cell>
        </row>
        <row r="9404">
          <cell r="C9404" t="str">
            <v>4509 - TOOLS &amp; SUPPLIES</v>
          </cell>
          <cell r="D9404" t="str">
            <v>3M99411EA</v>
          </cell>
          <cell r="BA9404">
            <v>0.4</v>
          </cell>
        </row>
        <row r="9405">
          <cell r="C9405" t="str">
            <v>4509 - TOOLS &amp; SUPPLIES</v>
          </cell>
          <cell r="D9405" t="str">
            <v>AI4447</v>
          </cell>
          <cell r="BA9405">
            <v>6.49</v>
          </cell>
        </row>
        <row r="9406">
          <cell r="C9406" t="str">
            <v>4509 - TOOLS &amp; SUPPLIES</v>
          </cell>
          <cell r="D9406" t="str">
            <v>3M9089</v>
          </cell>
          <cell r="BA9406">
            <v>5.69</v>
          </cell>
        </row>
        <row r="9407">
          <cell r="C9407" t="str">
            <v>4509 - TOOLS &amp; SUPPLIES</v>
          </cell>
          <cell r="D9407" t="str">
            <v>3M9090</v>
          </cell>
          <cell r="BA9407">
            <v>5.69</v>
          </cell>
        </row>
        <row r="9408">
          <cell r="C9408" t="str">
            <v>4509 - TOOLS &amp; SUPPLIES</v>
          </cell>
          <cell r="D9408" t="str">
            <v>3M99438</v>
          </cell>
          <cell r="BA9408">
            <v>15.99</v>
          </cell>
        </row>
        <row r="9409">
          <cell r="C9409" t="str">
            <v>4509 - TOOLS &amp; SUPPLIES</v>
          </cell>
          <cell r="D9409" t="str">
            <v>3M99432</v>
          </cell>
          <cell r="BA9409">
            <v>0.49</v>
          </cell>
        </row>
        <row r="9410">
          <cell r="C9410" t="str">
            <v>4509 - TOOLS &amp; SUPPLIES</v>
          </cell>
          <cell r="D9410" t="str">
            <v>MT14389</v>
          </cell>
          <cell r="BA9410">
            <v>16.989999999999998</v>
          </cell>
        </row>
        <row r="9411">
          <cell r="C9411" t="str">
            <v>4509 - TOOLS &amp; SUPPLIES</v>
          </cell>
          <cell r="D9411" t="str">
            <v>3M9292</v>
          </cell>
          <cell r="BA9411">
            <v>6.99</v>
          </cell>
        </row>
        <row r="9412">
          <cell r="C9412" t="str">
            <v>4509 - TOOLS &amp; SUPPLIES</v>
          </cell>
          <cell r="D9412" t="str">
            <v>3M908</v>
          </cell>
          <cell r="BA9412">
            <v>3.99</v>
          </cell>
        </row>
        <row r="9413">
          <cell r="C9413" t="str">
            <v>4509 - TOOLS &amp; SUPPLIES</v>
          </cell>
          <cell r="D9413" t="str">
            <v>3M20908150</v>
          </cell>
          <cell r="BA9413">
            <v>4.59</v>
          </cell>
        </row>
        <row r="9414">
          <cell r="C9414" t="str">
            <v>4509 - TOOLS &amp; SUPPLIES</v>
          </cell>
          <cell r="D9414" t="str">
            <v>AI7309</v>
          </cell>
          <cell r="BA9414">
            <v>3.99</v>
          </cell>
        </row>
        <row r="9415">
          <cell r="C9415" t="str">
            <v>4509 - TOOLS &amp; SUPPLIES</v>
          </cell>
          <cell r="D9415" t="str">
            <v>3MCP040</v>
          </cell>
          <cell r="BA9415">
            <v>4.79</v>
          </cell>
        </row>
        <row r="9416">
          <cell r="C9416" t="str">
            <v>4509 - TOOLS &amp; SUPPLIES</v>
          </cell>
          <cell r="D9416" t="str">
            <v>3MCP041</v>
          </cell>
          <cell r="BA9416">
            <v>4.79</v>
          </cell>
        </row>
        <row r="9417">
          <cell r="C9417" t="str">
            <v>4509 - TOOLS &amp; SUPPLIES</v>
          </cell>
          <cell r="D9417" t="str">
            <v>3MDISC5IN5PK60</v>
          </cell>
          <cell r="BA9417">
            <v>6.99</v>
          </cell>
        </row>
        <row r="9418">
          <cell r="C9418" t="str">
            <v>4509 - TOOLS &amp; SUPPLIES</v>
          </cell>
          <cell r="D9418" t="str">
            <v>3MDISC5IN5PK120</v>
          </cell>
          <cell r="BA9418">
            <v>6.99</v>
          </cell>
        </row>
        <row r="9419">
          <cell r="C9419" t="str">
            <v>4509 - TOOLS &amp; SUPPLIES</v>
          </cell>
          <cell r="D9419" t="str">
            <v>3M27253</v>
          </cell>
          <cell r="BA9419">
            <v>6.99</v>
          </cell>
        </row>
        <row r="9420">
          <cell r="C9420" t="str">
            <v>4509 - TOOLS &amp; SUPPLIES</v>
          </cell>
          <cell r="D9420" t="str">
            <v>GATOR9027</v>
          </cell>
          <cell r="BA9420">
            <v>14.99</v>
          </cell>
        </row>
        <row r="9421">
          <cell r="C9421" t="str">
            <v>4509 - TOOLS &amp; SUPPLIES</v>
          </cell>
          <cell r="D9421" t="str">
            <v>GATOR7127</v>
          </cell>
          <cell r="BA9421">
            <v>7.99</v>
          </cell>
        </row>
        <row r="9422">
          <cell r="C9422" t="str">
            <v>4509 - TOOLS &amp; SUPPLIES</v>
          </cell>
          <cell r="D9422" t="str">
            <v>GATOR7365</v>
          </cell>
          <cell r="BA9422">
            <v>6.99</v>
          </cell>
        </row>
        <row r="9423">
          <cell r="C9423" t="str">
            <v>4509 - TOOLS &amp; SUPPLIES</v>
          </cell>
          <cell r="D9423" t="str">
            <v>GATOR7362</v>
          </cell>
          <cell r="BA9423">
            <v>6.49</v>
          </cell>
        </row>
        <row r="9424">
          <cell r="C9424" t="str">
            <v>4509 - TOOLS &amp; SUPPLIES</v>
          </cell>
          <cell r="D9424" t="str">
            <v>GATOR4199</v>
          </cell>
          <cell r="BA9424">
            <v>9.99</v>
          </cell>
        </row>
        <row r="9425">
          <cell r="C9425" t="str">
            <v>4509 - TOOLS &amp; SUPPLIES</v>
          </cell>
          <cell r="D9425" t="str">
            <v>GATOR4200</v>
          </cell>
          <cell r="BA9425">
            <v>9.99</v>
          </cell>
        </row>
        <row r="9426">
          <cell r="C9426" t="str">
            <v>4509 - TOOLS &amp; SUPPLIES</v>
          </cell>
          <cell r="D9426" t="str">
            <v>GATOR4204</v>
          </cell>
          <cell r="BA9426">
            <v>9.99</v>
          </cell>
        </row>
        <row r="9427">
          <cell r="C9427" t="str">
            <v>4509 - TOOLS &amp; SUPPLIES</v>
          </cell>
          <cell r="D9427" t="str">
            <v>FRDND050180H40I</v>
          </cell>
          <cell r="BA9427">
            <v>27.99</v>
          </cell>
        </row>
        <row r="9428">
          <cell r="C9428" t="str">
            <v>4509 - TOOLS &amp; SUPPLIES</v>
          </cell>
          <cell r="D9428" t="str">
            <v>FRDND050150H40I</v>
          </cell>
          <cell r="BA9428">
            <v>27.99</v>
          </cell>
        </row>
        <row r="9429">
          <cell r="C9429" t="str">
            <v>4509 - TOOLS &amp; SUPPLIES</v>
          </cell>
          <cell r="D9429" t="str">
            <v>FRDND050120H40I</v>
          </cell>
          <cell r="BA9429">
            <v>27.99</v>
          </cell>
        </row>
        <row r="9430">
          <cell r="C9430" t="str">
            <v>4509 - TOOLS &amp; SUPPLIES</v>
          </cell>
          <cell r="D9430" t="str">
            <v>FRDND050100H40I</v>
          </cell>
          <cell r="BA9430">
            <v>27.99</v>
          </cell>
        </row>
        <row r="9431">
          <cell r="C9431" t="str">
            <v>4509 - TOOLS &amp; SUPPLIES</v>
          </cell>
          <cell r="D9431" t="str">
            <v>FRDND050220H40I</v>
          </cell>
          <cell r="BA9431">
            <v>27.99</v>
          </cell>
        </row>
        <row r="9432">
          <cell r="C9432" t="str">
            <v>4509 - TOOLS &amp; SUPPLIES</v>
          </cell>
          <cell r="D9432" t="str">
            <v>FRDND050320H40I</v>
          </cell>
          <cell r="BA9432">
            <v>27.99</v>
          </cell>
        </row>
        <row r="9433">
          <cell r="C9433" t="str">
            <v>4509 - TOOLS &amp; SUPPLIES</v>
          </cell>
          <cell r="D9433" t="str">
            <v>FRDND050100H10I</v>
          </cell>
          <cell r="BA9433">
            <v>14.99</v>
          </cell>
        </row>
        <row r="9434">
          <cell r="C9434" t="str">
            <v>4509 - TOOLS &amp; SUPPLIES</v>
          </cell>
          <cell r="D9434" t="str">
            <v>FRDND050080H40I</v>
          </cell>
          <cell r="BA9434">
            <v>27.99</v>
          </cell>
        </row>
        <row r="9435">
          <cell r="C9435" t="str">
            <v>4509 - TOOLS &amp; SUPPLIES</v>
          </cell>
          <cell r="D9435" t="str">
            <v>FRDND050060H40I</v>
          </cell>
          <cell r="BA9435">
            <v>27.99</v>
          </cell>
        </row>
        <row r="9436">
          <cell r="C9436" t="str">
            <v>4509 - TOOLS &amp; SUPPLIES</v>
          </cell>
          <cell r="D9436" t="str">
            <v>FRDND050400H40I</v>
          </cell>
          <cell r="BA9436">
            <v>27.99</v>
          </cell>
        </row>
        <row r="9437">
          <cell r="C9437" t="str">
            <v>4509 - TOOLS &amp; SUPPLIES</v>
          </cell>
          <cell r="D9437" t="str">
            <v>FRDND060060H10I</v>
          </cell>
          <cell r="BA9437">
            <v>16.989999999999998</v>
          </cell>
        </row>
        <row r="9438">
          <cell r="C9438" t="str">
            <v>4509 - TOOLS &amp; SUPPLIES</v>
          </cell>
          <cell r="D9438" t="str">
            <v>FRDND060080H10I</v>
          </cell>
          <cell r="BA9438">
            <v>16.989999999999998</v>
          </cell>
        </row>
        <row r="9439">
          <cell r="C9439" t="str">
            <v>4509 - TOOLS &amp; SUPPLIES</v>
          </cell>
          <cell r="D9439" t="str">
            <v>FRDND060100H10I</v>
          </cell>
          <cell r="BA9439">
            <v>16.989999999999998</v>
          </cell>
        </row>
        <row r="9440">
          <cell r="C9440" t="str">
            <v>4509 - TOOLS &amp; SUPPLIES</v>
          </cell>
          <cell r="D9440" t="str">
            <v>FRDND060120H10I</v>
          </cell>
          <cell r="BA9440">
            <v>16.989999999999998</v>
          </cell>
        </row>
        <row r="9441">
          <cell r="C9441" t="str">
            <v>4509 - TOOLS &amp; SUPPLIES</v>
          </cell>
          <cell r="D9441" t="str">
            <v>FRDND060180H10I</v>
          </cell>
          <cell r="BA9441">
            <v>16.989999999999998</v>
          </cell>
        </row>
        <row r="9442">
          <cell r="C9442" t="str">
            <v>4509 - TOOLS &amp; SUPPLIES</v>
          </cell>
          <cell r="D9442" t="str">
            <v>FRDND060220H10I</v>
          </cell>
          <cell r="BA9442">
            <v>16.989999999999998</v>
          </cell>
        </row>
        <row r="9443">
          <cell r="C9443" t="str">
            <v>4509 - TOOLS &amp; SUPPLIES</v>
          </cell>
          <cell r="D9443" t="str">
            <v>FRDND060150H10I</v>
          </cell>
          <cell r="BA9443">
            <v>16.989999999999998</v>
          </cell>
        </row>
        <row r="9444">
          <cell r="C9444" t="str">
            <v>4509 - TOOLS &amp; SUPPLIES</v>
          </cell>
          <cell r="D9444" t="str">
            <v>FRDND060320H10I</v>
          </cell>
          <cell r="BA9444">
            <v>16.989999999999998</v>
          </cell>
        </row>
        <row r="9445">
          <cell r="C9445" t="str">
            <v>4509 - TOOLS &amp; SUPPLIES</v>
          </cell>
          <cell r="D9445" t="str">
            <v>FRDND060400H10I</v>
          </cell>
          <cell r="BA9445">
            <v>16.989999999999998</v>
          </cell>
        </row>
        <row r="9446">
          <cell r="C9446" t="str">
            <v>4509 - TOOLS &amp; SUPPLIES</v>
          </cell>
          <cell r="D9446" t="str">
            <v>FRDND050120H60P</v>
          </cell>
          <cell r="BA9446">
            <v>29.99</v>
          </cell>
        </row>
        <row r="9447">
          <cell r="C9447" t="str">
            <v>4509 - TOOLS &amp; SUPPLIES</v>
          </cell>
          <cell r="D9447" t="str">
            <v>FRDND050220H60P</v>
          </cell>
          <cell r="BA9447">
            <v>29.99</v>
          </cell>
        </row>
        <row r="9448">
          <cell r="C9448" t="str">
            <v>4509 - TOOLS &amp; SUPPLIES</v>
          </cell>
          <cell r="D9448" t="str">
            <v>FRDND050150H60P</v>
          </cell>
          <cell r="BA9448">
            <v>29.99</v>
          </cell>
        </row>
        <row r="9449">
          <cell r="C9449" t="str">
            <v>4509 - TOOLS &amp; SUPPLIES</v>
          </cell>
          <cell r="D9449" t="str">
            <v>FRDND234080S10N</v>
          </cell>
          <cell r="BA9449">
            <v>9.99</v>
          </cell>
        </row>
        <row r="9450">
          <cell r="C9450" t="str">
            <v>4509 - TOOLS &amp; SUPPLIES</v>
          </cell>
          <cell r="D9450" t="str">
            <v>FRDND234320S10N</v>
          </cell>
          <cell r="BA9450">
            <v>9.99</v>
          </cell>
        </row>
        <row r="9451">
          <cell r="C9451" t="str">
            <v>4509 - TOOLS &amp; SUPPLIES</v>
          </cell>
          <cell r="D9451" t="str">
            <v>FRDND911150H05G</v>
          </cell>
          <cell r="BA9451">
            <v>8.69</v>
          </cell>
        </row>
        <row r="9452">
          <cell r="C9452" t="str">
            <v>4509 - TOOLS &amp; SUPPLIES</v>
          </cell>
          <cell r="D9452" t="str">
            <v>FRDCB321ASTS05G</v>
          </cell>
          <cell r="BA9452">
            <v>14.99</v>
          </cell>
        </row>
        <row r="9453">
          <cell r="C9453" t="str">
            <v>4509 - TOOLS &amp; SUPPLIES</v>
          </cell>
          <cell r="D9453" t="str">
            <v>FRDCT318ASTH12G</v>
          </cell>
          <cell r="BA9453">
            <v>8.99</v>
          </cell>
        </row>
        <row r="9454">
          <cell r="C9454" t="str">
            <v>4509 - TOOLS &amp; SUPPLIES</v>
          </cell>
          <cell r="D9454" t="str">
            <v>FRDCT334ASTH12G</v>
          </cell>
          <cell r="BA9454">
            <v>9.99</v>
          </cell>
        </row>
        <row r="9455">
          <cell r="C9455" t="str">
            <v>4509 - TOOLS &amp; SUPPLIES</v>
          </cell>
          <cell r="D9455" t="str">
            <v>FRDCT318080H10G</v>
          </cell>
          <cell r="BA9455">
            <v>7.59</v>
          </cell>
        </row>
        <row r="9456">
          <cell r="C9456" t="str">
            <v>4509 - TOOLS &amp; SUPPLIES</v>
          </cell>
          <cell r="D9456" t="str">
            <v>FRDCT318120H10G</v>
          </cell>
          <cell r="BA9456">
            <v>7.59</v>
          </cell>
        </row>
        <row r="9457">
          <cell r="C9457" t="str">
            <v>4509 - TOOLS &amp; SUPPLIES</v>
          </cell>
          <cell r="D9457" t="str">
            <v>FRDCT318220H10G</v>
          </cell>
          <cell r="BA9457">
            <v>7.59</v>
          </cell>
        </row>
        <row r="9458">
          <cell r="C9458" t="str">
            <v>4509 - TOOLS &amp; SUPPLIES</v>
          </cell>
          <cell r="D9458" t="str">
            <v>FRDCT334080H10G</v>
          </cell>
          <cell r="BA9458">
            <v>7.59</v>
          </cell>
        </row>
        <row r="9459">
          <cell r="C9459" t="str">
            <v>4509 - TOOLS &amp; SUPPLIES</v>
          </cell>
          <cell r="D9459" t="str">
            <v>FRDCT334120H10G</v>
          </cell>
          <cell r="BA9459">
            <v>7.59</v>
          </cell>
        </row>
        <row r="9460">
          <cell r="C9460" t="str">
            <v>4509 - TOOLS &amp; SUPPLIES</v>
          </cell>
          <cell r="D9460" t="str">
            <v>FRDCT334220H10G</v>
          </cell>
          <cell r="BA9460">
            <v>7.59</v>
          </cell>
        </row>
        <row r="9461">
          <cell r="C9461" t="str">
            <v>4509 - TOOLS &amp; SUPPLIES</v>
          </cell>
          <cell r="D9461" t="str">
            <v>FRDCD050ASTH15G</v>
          </cell>
          <cell r="BA9461">
            <v>10.99</v>
          </cell>
        </row>
        <row r="9462">
          <cell r="C9462" t="str">
            <v>4509 - TOOLS &amp; SUPPLIES</v>
          </cell>
          <cell r="D9462" t="str">
            <v>AI7011</v>
          </cell>
          <cell r="BA9462">
            <v>11.99</v>
          </cell>
        </row>
        <row r="9463">
          <cell r="C9463" t="str">
            <v>4509 - TOOLS &amp; SUPPLIES</v>
          </cell>
          <cell r="D9463" t="str">
            <v>ITWC32CW</v>
          </cell>
          <cell r="BA9463">
            <v>15.99</v>
          </cell>
        </row>
        <row r="9464">
          <cell r="C9464" t="str">
            <v>4509 - TOOLS &amp; SUPPLIES</v>
          </cell>
          <cell r="D9464" t="str">
            <v>P27SL5</v>
          </cell>
          <cell r="BA9464">
            <v>17.59</v>
          </cell>
        </row>
        <row r="9465">
          <cell r="C9465" t="str">
            <v>4509 - TOOLS &amp; SUPPLIES</v>
          </cell>
          <cell r="D9465" t="str">
            <v>P22AC2</v>
          </cell>
          <cell r="BA9465">
            <v>18.89</v>
          </cell>
        </row>
        <row r="9466">
          <cell r="C9466" t="str">
            <v>4509 - TOOLS &amp; SUPPLIES</v>
          </cell>
          <cell r="D9466" t="str">
            <v>P22AC4</v>
          </cell>
          <cell r="BA9466">
            <v>18.89</v>
          </cell>
        </row>
        <row r="9467">
          <cell r="C9467" t="str">
            <v>4509 - TOOLS &amp; SUPPLIES</v>
          </cell>
          <cell r="D9467" t="str">
            <v>HT02250</v>
          </cell>
          <cell r="BA9467">
            <v>7.99</v>
          </cell>
        </row>
        <row r="9468">
          <cell r="C9468" t="str">
            <v>4509 - TOOLS &amp; SUPPLIES</v>
          </cell>
          <cell r="D9468" t="str">
            <v>HY02100</v>
          </cell>
          <cell r="BA9468">
            <v>8.99</v>
          </cell>
        </row>
        <row r="9469">
          <cell r="C9469" t="str">
            <v>4509 - TOOLS &amp; SUPPLIES</v>
          </cell>
          <cell r="D9469" t="str">
            <v>HY02150</v>
          </cell>
          <cell r="BA9469">
            <v>7.59</v>
          </cell>
        </row>
        <row r="9470">
          <cell r="C9470" t="str">
            <v>4509 - TOOLS &amp; SUPPLIES</v>
          </cell>
          <cell r="D9470" t="str">
            <v>HY02300</v>
          </cell>
          <cell r="BA9470">
            <v>7.99</v>
          </cell>
        </row>
        <row r="9471">
          <cell r="C9471" t="str">
            <v>4509 - TOOLS &amp; SUPPLIES</v>
          </cell>
          <cell r="D9471" t="str">
            <v>HY05520</v>
          </cell>
          <cell r="BA9471">
            <v>1.19</v>
          </cell>
        </row>
        <row r="9472">
          <cell r="C9472" t="str">
            <v>4509 - TOOLS &amp; SUPPLIES</v>
          </cell>
          <cell r="D9472" t="str">
            <v>HY05530</v>
          </cell>
          <cell r="BA9472">
            <v>1.49</v>
          </cell>
        </row>
        <row r="9473">
          <cell r="C9473" t="str">
            <v>4509 - TOOLS &amp; SUPPLIES</v>
          </cell>
          <cell r="D9473" t="str">
            <v>HY05540</v>
          </cell>
          <cell r="BA9473">
            <v>1.49</v>
          </cell>
        </row>
        <row r="9474">
          <cell r="C9474" t="str">
            <v>4509 - TOOLS &amp; SUPPLIES</v>
          </cell>
          <cell r="D9474" t="str">
            <v>HT06158</v>
          </cell>
          <cell r="BA9474">
            <v>7.99</v>
          </cell>
        </row>
        <row r="9475">
          <cell r="C9475" t="str">
            <v>4509 - TOOLS &amp; SUPPLIES</v>
          </cell>
          <cell r="D9475" t="str">
            <v>HY33170</v>
          </cell>
          <cell r="BA9475">
            <v>5.99</v>
          </cell>
        </row>
        <row r="9476">
          <cell r="C9476" t="str">
            <v>4509 - TOOLS &amp; SUPPLIES</v>
          </cell>
          <cell r="D9476" t="str">
            <v>HY09263</v>
          </cell>
          <cell r="BA9476">
            <v>10.99</v>
          </cell>
        </row>
        <row r="9477">
          <cell r="C9477" t="str">
            <v>4509 - TOOLS &amp; SUPPLIES</v>
          </cell>
          <cell r="D9477" t="str">
            <v>HY09214</v>
          </cell>
          <cell r="BA9477">
            <v>6.89</v>
          </cell>
        </row>
        <row r="9478">
          <cell r="C9478" t="str">
            <v>4509 - TOOLS &amp; SUPPLIES</v>
          </cell>
          <cell r="D9478" t="str">
            <v>HY09212</v>
          </cell>
          <cell r="BA9478">
            <v>6.19</v>
          </cell>
        </row>
        <row r="9479">
          <cell r="C9479" t="str">
            <v>4509 - TOOLS &amp; SUPPLIES</v>
          </cell>
          <cell r="D9479" t="str">
            <v>8EDTK</v>
          </cell>
          <cell r="BA9479">
            <v>10.99</v>
          </cell>
        </row>
        <row r="9480">
          <cell r="C9480" t="str">
            <v>4509 - TOOLS &amp; SUPPLIES</v>
          </cell>
          <cell r="D9480" t="str">
            <v>MTBSTK12P</v>
          </cell>
          <cell r="BA9480">
            <v>10.99</v>
          </cell>
        </row>
        <row r="9481">
          <cell r="C9481" t="str">
            <v>4509 - TOOLS &amp; SUPPLIES</v>
          </cell>
          <cell r="D9481" t="str">
            <v>ST10778</v>
          </cell>
          <cell r="BA9481">
            <v>10.99</v>
          </cell>
        </row>
        <row r="9482">
          <cell r="C9482" t="str">
            <v>4509 - TOOLS &amp; SUPPLIES</v>
          </cell>
          <cell r="D9482" t="str">
            <v>VUL6780126</v>
          </cell>
          <cell r="BA9482">
            <v>13.99</v>
          </cell>
        </row>
        <row r="9483">
          <cell r="C9483" t="str">
            <v>4509 - TOOLS &amp; SUPPLIES</v>
          </cell>
          <cell r="D9483" t="str">
            <v>NEBO6723-12PK</v>
          </cell>
          <cell r="BA9483">
            <v>15.29</v>
          </cell>
        </row>
        <row r="9484">
          <cell r="C9484" t="str">
            <v>4509 - TOOLS &amp; SUPPLIES</v>
          </cell>
          <cell r="D9484" t="str">
            <v>NEBO6722-12PK</v>
          </cell>
          <cell r="BA9484">
            <v>15.29</v>
          </cell>
        </row>
        <row r="9485">
          <cell r="C9485" t="str">
            <v>4509 - TOOLS &amp; SUPPLIES</v>
          </cell>
          <cell r="D9485" t="str">
            <v>NEBO6721-12PK</v>
          </cell>
          <cell r="BA9485">
            <v>12.89</v>
          </cell>
        </row>
        <row r="9486">
          <cell r="C9486" t="str">
            <v>4509 - TOOLS &amp; SUPPLIES</v>
          </cell>
          <cell r="D9486" t="str">
            <v>ST10099</v>
          </cell>
          <cell r="BA9486">
            <v>6.99</v>
          </cell>
        </row>
        <row r="9487">
          <cell r="C9487" t="str">
            <v>4509 - TOOLS &amp; SUPPLIES</v>
          </cell>
          <cell r="D9487" t="str">
            <v>ST10179</v>
          </cell>
          <cell r="BA9487">
            <v>8.69</v>
          </cell>
        </row>
        <row r="9488">
          <cell r="C9488" t="str">
            <v>4509 - TOOLS &amp; SUPPLIES</v>
          </cell>
          <cell r="D9488" t="str">
            <v>ST10209</v>
          </cell>
          <cell r="BA9488">
            <v>5.99</v>
          </cell>
        </row>
        <row r="9489">
          <cell r="C9489" t="str">
            <v>4509 - TOOLS &amp; SUPPLIES</v>
          </cell>
          <cell r="D9489" t="str">
            <v>ST10299</v>
          </cell>
          <cell r="BA9489">
            <v>6.99</v>
          </cell>
        </row>
        <row r="9490">
          <cell r="C9490" t="str">
            <v>4509 - TOOLS &amp; SUPPLIES</v>
          </cell>
          <cell r="D9490" t="str">
            <v>ST10499</v>
          </cell>
          <cell r="BA9490">
            <v>7.99</v>
          </cell>
        </row>
        <row r="9491">
          <cell r="C9491" t="str">
            <v>4509 - TOOLS &amp; SUPPLIES</v>
          </cell>
          <cell r="D9491" t="str">
            <v>ST11937</v>
          </cell>
          <cell r="BA9491">
            <v>3.49</v>
          </cell>
        </row>
        <row r="9492">
          <cell r="C9492" t="str">
            <v>4509 - TOOLS &amp; SUPPLIES</v>
          </cell>
          <cell r="D9492" t="str">
            <v>IRW2082101</v>
          </cell>
          <cell r="BA9492">
            <v>5.99</v>
          </cell>
        </row>
        <row r="9493">
          <cell r="C9493" t="str">
            <v>4509 - TOOLS &amp; SUPPLIES</v>
          </cell>
          <cell r="D9493" t="str">
            <v>DWHT10035</v>
          </cell>
          <cell r="BA9493">
            <v>16.989999999999998</v>
          </cell>
        </row>
        <row r="9494">
          <cell r="C9494" t="str">
            <v>4509 - TOOLS &amp; SUPPLIES</v>
          </cell>
          <cell r="D9494" t="str">
            <v>HY42070</v>
          </cell>
          <cell r="BA9494">
            <v>19.989999999999998</v>
          </cell>
        </row>
        <row r="9495">
          <cell r="C9495" t="str">
            <v>4509 - TOOLS &amp; SUPPLIES</v>
          </cell>
          <cell r="D9495" t="str">
            <v>ST10399</v>
          </cell>
          <cell r="BA9495">
            <v>6.99</v>
          </cell>
        </row>
        <row r="9496">
          <cell r="C9496" t="str">
            <v>4509 - TOOLS &amp; SUPPLIES</v>
          </cell>
          <cell r="D9496" t="str">
            <v>TUTRU-MTL-0004</v>
          </cell>
          <cell r="BA9496">
            <v>51.99</v>
          </cell>
        </row>
        <row r="9497">
          <cell r="C9497" t="str">
            <v>4509 - TOOLS &amp; SUPPLIES</v>
          </cell>
          <cell r="D9497" t="str">
            <v>MIL48-22-1500</v>
          </cell>
          <cell r="BA9497">
            <v>8.99</v>
          </cell>
        </row>
        <row r="9498">
          <cell r="C9498" t="str">
            <v>4509 - TOOLS &amp; SUPPLIES</v>
          </cell>
          <cell r="D9498" t="str">
            <v>NMCP075</v>
          </cell>
          <cell r="BA9498">
            <v>10.89</v>
          </cell>
        </row>
        <row r="9499">
          <cell r="C9499" t="str">
            <v>4509 - TOOLS &amp; SUPPLIES</v>
          </cell>
          <cell r="D9499" t="str">
            <v>NMCP076</v>
          </cell>
          <cell r="BA9499">
            <v>11.19</v>
          </cell>
        </row>
        <row r="9500">
          <cell r="C9500" t="str">
            <v>4509 - TOOLS &amp; SUPPLIES</v>
          </cell>
          <cell r="D9500" t="str">
            <v>NMAP002</v>
          </cell>
          <cell r="BA9500">
            <v>52.99</v>
          </cell>
        </row>
        <row r="9501">
          <cell r="C9501" t="str">
            <v>4509 - TOOLS &amp; SUPPLIES</v>
          </cell>
          <cell r="D9501" t="str">
            <v>NMAP006</v>
          </cell>
          <cell r="BA9501">
            <v>257.99</v>
          </cell>
        </row>
        <row r="9502">
          <cell r="C9502" t="str">
            <v>4509 - TOOLS &amp; SUPPLIES</v>
          </cell>
          <cell r="D9502" t="str">
            <v>HY02870</v>
          </cell>
          <cell r="BA9502">
            <v>14.99</v>
          </cell>
        </row>
        <row r="9503">
          <cell r="C9503" t="str">
            <v>4509 - TOOLS &amp; SUPPLIES</v>
          </cell>
          <cell r="D9503" t="str">
            <v>HY05550</v>
          </cell>
          <cell r="BA9503">
            <v>2.19</v>
          </cell>
        </row>
        <row r="9504">
          <cell r="C9504" t="str">
            <v>4509 - TOOLS &amp; SUPPLIES</v>
          </cell>
          <cell r="D9504" t="str">
            <v>HY09510</v>
          </cell>
          <cell r="BA9504">
            <v>5.99</v>
          </cell>
        </row>
        <row r="9505">
          <cell r="C9505" t="str">
            <v>4509 - TOOLS &amp; SUPPLIES</v>
          </cell>
          <cell r="D9505" t="str">
            <v>4FLEXJK</v>
          </cell>
          <cell r="BA9505">
            <v>13.99</v>
          </cell>
        </row>
        <row r="9506">
          <cell r="C9506" t="str">
            <v>4509 - TOOLS &amp; SUPPLIES</v>
          </cell>
          <cell r="D9506" t="str">
            <v>HY02750</v>
          </cell>
          <cell r="BA9506">
            <v>12.99</v>
          </cell>
        </row>
        <row r="9507">
          <cell r="C9507" t="str">
            <v>4509 - TOOLS &amp; SUPPLIES</v>
          </cell>
          <cell r="D9507" t="str">
            <v>HY02550</v>
          </cell>
          <cell r="BA9507">
            <v>9.99</v>
          </cell>
        </row>
        <row r="9508">
          <cell r="C9508" t="str">
            <v>4509 - TOOLS &amp; SUPPLIES</v>
          </cell>
          <cell r="D9508" t="str">
            <v>KNIFECAMO</v>
          </cell>
          <cell r="BA9508">
            <v>16.989999999999998</v>
          </cell>
        </row>
        <row r="9509">
          <cell r="C9509" t="str">
            <v>4509 - TOOLS &amp; SUPPLIES</v>
          </cell>
          <cell r="D9509" t="str">
            <v>ST10779</v>
          </cell>
          <cell r="BA9509">
            <v>11.99</v>
          </cell>
        </row>
        <row r="9510">
          <cell r="C9510" t="str">
            <v>4509 - TOOLS &amp; SUPPLIES</v>
          </cell>
          <cell r="D9510" t="str">
            <v>ST10788</v>
          </cell>
          <cell r="BA9510">
            <v>10.99</v>
          </cell>
        </row>
        <row r="9511">
          <cell r="C9511" t="str">
            <v>4509 - TOOLS &amp; SUPPLIES</v>
          </cell>
          <cell r="D9511" t="str">
            <v>HY05510</v>
          </cell>
          <cell r="BA9511">
            <v>0.99</v>
          </cell>
        </row>
        <row r="9512">
          <cell r="C9512" t="str">
            <v>4509 - TOOLS &amp; SUPPLIES</v>
          </cell>
          <cell r="D9512" t="str">
            <v>HY45700</v>
          </cell>
          <cell r="BA9512">
            <v>6.99</v>
          </cell>
        </row>
        <row r="9513">
          <cell r="C9513" t="str">
            <v>4509 - TOOLS &amp; SUPPLIES</v>
          </cell>
          <cell r="D9513" t="str">
            <v>K13-50N</v>
          </cell>
          <cell r="BA9513">
            <v>0.74</v>
          </cell>
        </row>
        <row r="9514">
          <cell r="C9514" t="str">
            <v>4509 - TOOLS &amp; SUPPLIES</v>
          </cell>
          <cell r="D9514" t="str">
            <v>SLK12113</v>
          </cell>
          <cell r="BA9514">
            <v>21.99</v>
          </cell>
        </row>
        <row r="9515">
          <cell r="C9515" t="str">
            <v>4509 - TOOLS &amp; SUPPLIES</v>
          </cell>
          <cell r="D9515" t="str">
            <v>GRTO4AS</v>
          </cell>
          <cell r="BA9515">
            <v>2.99</v>
          </cell>
        </row>
        <row r="9516">
          <cell r="C9516" t="str">
            <v>4509 - TOOLS &amp; SUPPLIES</v>
          </cell>
          <cell r="D9516" t="str">
            <v>TRU-FMK-0004</v>
          </cell>
          <cell r="BA9516">
            <v>24.69</v>
          </cell>
        </row>
        <row r="9517">
          <cell r="C9517" t="str">
            <v>4509 - TOOLS &amp; SUPPLIES</v>
          </cell>
          <cell r="D9517" t="str">
            <v>TRU-FMK-0005</v>
          </cell>
          <cell r="BA9517">
            <v>29.19</v>
          </cell>
        </row>
        <row r="9518">
          <cell r="C9518" t="str">
            <v>4509 - TOOLS &amp; SUPPLIES</v>
          </cell>
          <cell r="D9518" t="str">
            <v>TRU-FMK-0006</v>
          </cell>
          <cell r="BA9518">
            <v>20.89</v>
          </cell>
        </row>
        <row r="9519">
          <cell r="C9519" t="str">
            <v>4509 - TOOLS &amp; SUPPLIES</v>
          </cell>
          <cell r="D9519" t="str">
            <v>TRU-FMK-1000</v>
          </cell>
          <cell r="BA9519">
            <v>14.19</v>
          </cell>
        </row>
        <row r="9520">
          <cell r="C9520" t="str">
            <v>4509 - TOOLS &amp; SUPPLIES</v>
          </cell>
          <cell r="D9520" t="str">
            <v>TRU-FMK-1003</v>
          </cell>
          <cell r="BA9520">
            <v>38.69</v>
          </cell>
        </row>
        <row r="9521">
          <cell r="C9521" t="str">
            <v>4509 - TOOLS &amp; SUPPLIES</v>
          </cell>
          <cell r="D9521" t="str">
            <v>TRU-FMK-1011</v>
          </cell>
          <cell r="BA9521">
            <v>10.69</v>
          </cell>
        </row>
        <row r="9522">
          <cell r="C9522" t="str">
            <v>4509 - TOOLS &amp; SUPPLIES</v>
          </cell>
          <cell r="D9522" t="str">
            <v>NEBTHA-HND-0017</v>
          </cell>
          <cell r="BA9522">
            <v>26.79</v>
          </cell>
        </row>
        <row r="9523">
          <cell r="C9523" t="str">
            <v>4509 - TOOLS &amp; SUPPLIES</v>
          </cell>
          <cell r="D9523" t="str">
            <v>TRU-FXK-0001</v>
          </cell>
          <cell r="BA9523">
            <v>33.29</v>
          </cell>
        </row>
        <row r="9524">
          <cell r="C9524" t="str">
            <v>4509 - TOOLS &amp; SUPPLIES</v>
          </cell>
          <cell r="D9524" t="str">
            <v>TRU-ACC-1002</v>
          </cell>
          <cell r="BA9524">
            <v>7.79</v>
          </cell>
        </row>
        <row r="9525">
          <cell r="C9525" t="str">
            <v>4509 - TOOLS &amp; SUPPLIES</v>
          </cell>
          <cell r="D9525" t="str">
            <v>HY10510</v>
          </cell>
          <cell r="BA9525">
            <v>8.99</v>
          </cell>
        </row>
        <row r="9526">
          <cell r="C9526" t="str">
            <v>4509 - TOOLS &amp; SUPPLIES</v>
          </cell>
          <cell r="D9526" t="str">
            <v>HY10540</v>
          </cell>
          <cell r="BA9526">
            <v>13.99</v>
          </cell>
        </row>
        <row r="9527">
          <cell r="C9527" t="str">
            <v>4509 - TOOLS &amp; SUPPLIES</v>
          </cell>
          <cell r="D9527" t="str">
            <v>UGT81103</v>
          </cell>
          <cell r="BA9527">
            <v>11.09</v>
          </cell>
        </row>
        <row r="9528">
          <cell r="C9528" t="str">
            <v>4509 - TOOLS &amp; SUPPLIES</v>
          </cell>
          <cell r="D9528" t="str">
            <v>RO8104952</v>
          </cell>
          <cell r="BA9528">
            <v>5.99</v>
          </cell>
        </row>
        <row r="9529">
          <cell r="C9529" t="str">
            <v>4509 - TOOLS &amp; SUPPLIES</v>
          </cell>
          <cell r="D9529" t="str">
            <v>HANDYPAINTPAIL</v>
          </cell>
          <cell r="BA9529">
            <v>10.99</v>
          </cell>
        </row>
        <row r="9530">
          <cell r="C9530" t="str">
            <v>4509 - TOOLS &amp; SUPPLIES</v>
          </cell>
          <cell r="D9530" t="str">
            <v>PAINTPAILLINER</v>
          </cell>
          <cell r="BA9530">
            <v>4.99</v>
          </cell>
        </row>
        <row r="9531">
          <cell r="C9531" t="str">
            <v>4509 - TOOLS &amp; SUPPLIES</v>
          </cell>
          <cell r="D9531" t="str">
            <v>HY02350</v>
          </cell>
          <cell r="BA9531">
            <v>9.99</v>
          </cell>
        </row>
        <row r="9532">
          <cell r="C9532" t="str">
            <v>4509 - TOOLS &amp; SUPPLIES</v>
          </cell>
          <cell r="D9532" t="str">
            <v>HY45600</v>
          </cell>
          <cell r="BA9532">
            <v>11.99</v>
          </cell>
        </row>
        <row r="9533">
          <cell r="C9533" t="str">
            <v>4509 - TOOLS &amp; SUPPLIES</v>
          </cell>
          <cell r="D9533" t="str">
            <v>HY13050</v>
          </cell>
          <cell r="BA9533">
            <v>6.99</v>
          </cell>
        </row>
        <row r="9534">
          <cell r="C9534" t="str">
            <v>4509 - TOOLS &amp; SUPPLIES</v>
          </cell>
          <cell r="D9534" t="str">
            <v>HT09059</v>
          </cell>
          <cell r="BA9534">
            <v>13.99</v>
          </cell>
        </row>
        <row r="9535">
          <cell r="C9535" t="str">
            <v>4509 - TOOLS &amp; SUPPLIES</v>
          </cell>
          <cell r="D9535" t="str">
            <v>C052253L</v>
          </cell>
          <cell r="BA9535">
            <v>19.989999999999998</v>
          </cell>
        </row>
        <row r="9536">
          <cell r="C9536" t="str">
            <v>4509 - TOOLS &amp; SUPPLIES</v>
          </cell>
          <cell r="D9536" t="str">
            <v>MC150053L</v>
          </cell>
          <cell r="BA9536">
            <v>6.49</v>
          </cell>
        </row>
        <row r="9537">
          <cell r="C9537" t="str">
            <v>4509 - TOOLS &amp; SUPPLIES</v>
          </cell>
          <cell r="D9537" t="str">
            <v>15343H7</v>
          </cell>
          <cell r="BA9537">
            <v>21.99</v>
          </cell>
        </row>
        <row r="9538">
          <cell r="C9538" t="str">
            <v>4509 - TOOLS &amp; SUPPLIES</v>
          </cell>
          <cell r="D9538" t="str">
            <v>RUS7771830</v>
          </cell>
          <cell r="BA9538">
            <v>6.99</v>
          </cell>
        </row>
        <row r="9539">
          <cell r="C9539" t="str">
            <v>4509 - TOOLS &amp; SUPPLIES</v>
          </cell>
          <cell r="D9539" t="str">
            <v>MT97</v>
          </cell>
          <cell r="BA9539">
            <v>8.69</v>
          </cell>
        </row>
        <row r="9540">
          <cell r="C9540" t="str">
            <v>4509 - TOOLS &amp; SUPPLIES</v>
          </cell>
          <cell r="D9540" t="str">
            <v>MT912</v>
          </cell>
          <cell r="BA9540">
            <v>14.99</v>
          </cell>
        </row>
        <row r="9541">
          <cell r="C9541" t="str">
            <v>4509 - TOOLS &amp; SUPPLIES</v>
          </cell>
          <cell r="D9541" t="str">
            <v>VUL6785380</v>
          </cell>
          <cell r="BA9541">
            <v>12.99</v>
          </cell>
        </row>
        <row r="9542">
          <cell r="C9542" t="str">
            <v>4509 - TOOLS &amp; SUPPLIES</v>
          </cell>
          <cell r="D9542" t="str">
            <v>VC1829159</v>
          </cell>
          <cell r="BA9542">
            <v>6.99</v>
          </cell>
        </row>
        <row r="9543">
          <cell r="C9543" t="str">
            <v>4509 - TOOLS &amp; SUPPLIES</v>
          </cell>
          <cell r="D9543" t="str">
            <v>MTRM771</v>
          </cell>
          <cell r="BA9543">
            <v>12.99</v>
          </cell>
        </row>
        <row r="9544">
          <cell r="C9544" t="str">
            <v>4509 - TOOLS &amp; SUPPLIES</v>
          </cell>
          <cell r="D9544" t="str">
            <v>MC151003L</v>
          </cell>
          <cell r="BA9544">
            <v>11.99</v>
          </cell>
        </row>
        <row r="9545">
          <cell r="C9545" t="str">
            <v>4509 - TOOLS &amp; SUPPLIES</v>
          </cell>
          <cell r="D9545" t="str">
            <v>MTRRF94C</v>
          </cell>
          <cell r="BA9545">
            <v>11.99</v>
          </cell>
        </row>
        <row r="9546">
          <cell r="C9546" t="str">
            <v>4509 - TOOLS &amp; SUPPLIES</v>
          </cell>
          <cell r="D9546" t="str">
            <v>MT145D</v>
          </cell>
          <cell r="BA9546">
            <v>49.99</v>
          </cell>
        </row>
        <row r="9547">
          <cell r="C9547" t="str">
            <v>4509 - TOOLS &amp; SUPPLIES</v>
          </cell>
          <cell r="D9547" t="str">
            <v>MT40</v>
          </cell>
          <cell r="BA9547">
            <v>13.99</v>
          </cell>
        </row>
        <row r="9548">
          <cell r="C9548" t="str">
            <v>4509 - TOOLS &amp; SUPPLIES</v>
          </cell>
          <cell r="D9548" t="str">
            <v>MT28</v>
          </cell>
          <cell r="BA9548">
            <v>11.99</v>
          </cell>
        </row>
        <row r="9549">
          <cell r="C9549" t="str">
            <v>4509 - TOOLS &amp; SUPPLIES</v>
          </cell>
          <cell r="D9549" t="str">
            <v>MT819</v>
          </cell>
          <cell r="BA9549">
            <v>22.99</v>
          </cell>
        </row>
        <row r="9550">
          <cell r="C9550" t="str">
            <v>4509 - TOOLS &amp; SUPPLIES</v>
          </cell>
          <cell r="D9550" t="str">
            <v>285WRNT</v>
          </cell>
          <cell r="BA9550">
            <v>5.39</v>
          </cell>
        </row>
        <row r="9551">
          <cell r="C9551" t="str">
            <v>4509 - TOOLS &amp; SUPPLIES</v>
          </cell>
          <cell r="D9551" t="str">
            <v>ST42287</v>
          </cell>
          <cell r="BA9551">
            <v>4.29</v>
          </cell>
        </row>
        <row r="9552">
          <cell r="C9552" t="str">
            <v>4509 - TOOLS &amp; SUPPLIES</v>
          </cell>
          <cell r="D9552" t="str">
            <v>JL3896</v>
          </cell>
          <cell r="BA9552">
            <v>84.99</v>
          </cell>
        </row>
        <row r="9553">
          <cell r="C9553" t="str">
            <v>4509 - TOOLS &amp; SUPPLIES</v>
          </cell>
          <cell r="D9553" t="str">
            <v>MIL500M.48</v>
          </cell>
          <cell r="BA9553">
            <v>37.99</v>
          </cell>
        </row>
        <row r="9554">
          <cell r="C9554" t="str">
            <v>4509 - TOOLS &amp; SUPPLIES</v>
          </cell>
          <cell r="D9554" t="str">
            <v>MIL540-48</v>
          </cell>
          <cell r="BA9554">
            <v>19.989999999999998</v>
          </cell>
        </row>
        <row r="9555">
          <cell r="C9555" t="str">
            <v>4509 - TOOLS &amp; SUPPLIES</v>
          </cell>
          <cell r="D9555" t="str">
            <v>MILEM71.8</v>
          </cell>
          <cell r="BA9555">
            <v>22.99</v>
          </cell>
        </row>
        <row r="9556">
          <cell r="C9556" t="str">
            <v>4509 - TOOLS &amp; SUPPLIES</v>
          </cell>
          <cell r="D9556" t="str">
            <v>MIL500M.24</v>
          </cell>
          <cell r="BA9556">
            <v>25.99</v>
          </cell>
        </row>
        <row r="9557">
          <cell r="C9557" t="str">
            <v>4509 - TOOLS &amp; SUPPLIES</v>
          </cell>
          <cell r="D9557" t="str">
            <v>MIL540-24</v>
          </cell>
          <cell r="BA9557">
            <v>13.99</v>
          </cell>
        </row>
        <row r="9558">
          <cell r="C9558" t="str">
            <v>4509 - TOOLS &amp; SUPPLIES</v>
          </cell>
          <cell r="D9558" t="str">
            <v>MIL650-24</v>
          </cell>
          <cell r="BA9558">
            <v>32.99</v>
          </cell>
        </row>
        <row r="9559">
          <cell r="C9559" t="str">
            <v>4509 - TOOLS &amp; SUPPLIES</v>
          </cell>
          <cell r="D9559" t="str">
            <v>MILE75.48</v>
          </cell>
          <cell r="BA9559">
            <v>55.99</v>
          </cell>
        </row>
        <row r="9560">
          <cell r="C9560" t="str">
            <v>4509 - TOOLS &amp; SUPPLIES</v>
          </cell>
          <cell r="D9560" t="str">
            <v>VC7210974</v>
          </cell>
          <cell r="BA9560">
            <v>3.99</v>
          </cell>
        </row>
        <row r="9561">
          <cell r="C9561" t="str">
            <v>4509 - TOOLS &amp; SUPPLIES</v>
          </cell>
          <cell r="D9561" t="str">
            <v>ST42193</v>
          </cell>
          <cell r="BA9561">
            <v>2.39</v>
          </cell>
        </row>
        <row r="9562">
          <cell r="C9562" t="str">
            <v>4509 - TOOLS &amp; SUPPLIES</v>
          </cell>
          <cell r="D9562" t="str">
            <v>ST43524</v>
          </cell>
          <cell r="BA9562">
            <v>27.99</v>
          </cell>
        </row>
        <row r="9563">
          <cell r="C9563" t="str">
            <v>4509 - TOOLS &amp; SUPPLIES</v>
          </cell>
          <cell r="D9563" t="str">
            <v>ST38532</v>
          </cell>
          <cell r="BA9563">
            <v>379.99</v>
          </cell>
        </row>
        <row r="9564">
          <cell r="C9564" t="str">
            <v>4509 - TOOLS &amp; SUPPLIES</v>
          </cell>
          <cell r="D9564" t="str">
            <v>ST43548</v>
          </cell>
          <cell r="BA9564">
            <v>34.99</v>
          </cell>
        </row>
        <row r="9565">
          <cell r="C9565" t="str">
            <v>4509 - TOOLS &amp; SUPPLIES</v>
          </cell>
          <cell r="D9565" t="str">
            <v>ST29840</v>
          </cell>
          <cell r="BA9565">
            <v>169.99</v>
          </cell>
        </row>
        <row r="9566">
          <cell r="C9566" t="str">
            <v>4509 - TOOLS &amp; SUPPLIES</v>
          </cell>
          <cell r="D9566" t="str">
            <v>MILEM81.12</v>
          </cell>
          <cell r="BA9566">
            <v>15.99</v>
          </cell>
        </row>
        <row r="9567">
          <cell r="C9567" t="str">
            <v>4509 - TOOLS &amp; SUPPLIES</v>
          </cell>
          <cell r="D9567" t="str">
            <v>ST25100</v>
          </cell>
          <cell r="BA9567">
            <v>69.989999999999995</v>
          </cell>
        </row>
        <row r="9568">
          <cell r="C9568" t="str">
            <v>4509 - TOOLS &amp; SUPPLIES</v>
          </cell>
          <cell r="D9568" t="str">
            <v>T196HSL24</v>
          </cell>
          <cell r="BA9568">
            <v>119.99</v>
          </cell>
        </row>
        <row r="9569">
          <cell r="C9569" t="str">
            <v>4509 - TOOLS &amp; SUPPLIES</v>
          </cell>
          <cell r="D9569" t="str">
            <v>T196HSL48</v>
          </cell>
          <cell r="BA9569">
            <v>179.99</v>
          </cell>
        </row>
        <row r="9570">
          <cell r="C9570" t="str">
            <v>4509 - TOOLS &amp; SUPPLIES</v>
          </cell>
          <cell r="D9570" t="str">
            <v>ST37816</v>
          </cell>
          <cell r="BA9570">
            <v>199.99</v>
          </cell>
        </row>
        <row r="9571">
          <cell r="C9571" t="str">
            <v>4509 - TOOLS &amp; SUPPLIES</v>
          </cell>
          <cell r="D9571" t="str">
            <v>7748-O</v>
          </cell>
          <cell r="BA9571">
            <v>14.99</v>
          </cell>
        </row>
        <row r="9572">
          <cell r="C9572" t="str">
            <v>4509 - TOOLS &amp; SUPPLIES</v>
          </cell>
          <cell r="D9572" t="str">
            <v>175-O</v>
          </cell>
          <cell r="BA9572">
            <v>7.99</v>
          </cell>
        </row>
        <row r="9573">
          <cell r="C9573" t="str">
            <v>4509 - TOOLS &amp; SUPPLIES</v>
          </cell>
          <cell r="D9573" t="str">
            <v>SL196</v>
          </cell>
          <cell r="BA9573">
            <v>379.99</v>
          </cell>
        </row>
        <row r="9574">
          <cell r="C9574" t="str">
            <v>4509 - TOOLS &amp; SUPPLIES</v>
          </cell>
          <cell r="D9574" t="str">
            <v>SL37472</v>
          </cell>
          <cell r="BA9574">
            <v>279.99</v>
          </cell>
        </row>
        <row r="9575">
          <cell r="C9575" t="str">
            <v>4509 - TOOLS &amp; SUPPLIES</v>
          </cell>
          <cell r="D9575" t="str">
            <v>MIL720</v>
          </cell>
          <cell r="BA9575">
            <v>6.49</v>
          </cell>
        </row>
        <row r="9576">
          <cell r="C9576" t="str">
            <v>4509 - TOOLS &amp; SUPPLIES</v>
          </cell>
          <cell r="D9576" t="str">
            <v>ST46222</v>
          </cell>
          <cell r="BA9576">
            <v>14.99</v>
          </cell>
        </row>
        <row r="9577">
          <cell r="C9577" t="str">
            <v>4509 - TOOLS &amp; SUPPLIES</v>
          </cell>
          <cell r="D9577" t="str">
            <v>MILE250</v>
          </cell>
          <cell r="BA9577">
            <v>14.99</v>
          </cell>
        </row>
        <row r="9578">
          <cell r="C9578" t="str">
            <v>4509 - TOOLS &amp; SUPPLIES</v>
          </cell>
          <cell r="D9578" t="str">
            <v>RAS1</v>
          </cell>
          <cell r="BA9578">
            <v>9.99</v>
          </cell>
        </row>
        <row r="9579">
          <cell r="C9579" t="str">
            <v>4509 - TOOLS &amp; SUPPLIES</v>
          </cell>
          <cell r="D9579" t="str">
            <v>CS7</v>
          </cell>
          <cell r="BA9579">
            <v>17.989999999999998</v>
          </cell>
        </row>
        <row r="9580">
          <cell r="C9580" t="str">
            <v>4509 - TOOLS &amp; SUPPLIES</v>
          </cell>
          <cell r="D9580" t="str">
            <v>ST45011</v>
          </cell>
          <cell r="BA9580">
            <v>22.99</v>
          </cell>
        </row>
        <row r="9581">
          <cell r="C9581" t="str">
            <v>4509 - TOOLS &amp; SUPPLIES</v>
          </cell>
          <cell r="D9581" t="str">
            <v>MILMLSQ040</v>
          </cell>
          <cell r="BA9581">
            <v>14.99</v>
          </cell>
        </row>
        <row r="9582">
          <cell r="C9582" t="str">
            <v>4509 - TOOLS &amp; SUPPLIES</v>
          </cell>
          <cell r="D9582" t="str">
            <v>JTS48</v>
          </cell>
          <cell r="BA9582">
            <v>17.989999999999998</v>
          </cell>
        </row>
        <row r="9583">
          <cell r="C9583" t="str">
            <v>4509 - TOOLS &amp; SUPPLIES</v>
          </cell>
          <cell r="D9583" t="str">
            <v>S0101</v>
          </cell>
          <cell r="BA9583">
            <v>12.99</v>
          </cell>
        </row>
        <row r="9584">
          <cell r="C9584" t="str">
            <v>4509 - TOOLS &amp; SUPPLIES</v>
          </cell>
          <cell r="D9584" t="str">
            <v>S0107</v>
          </cell>
          <cell r="BA9584">
            <v>21.99</v>
          </cell>
        </row>
        <row r="9585">
          <cell r="C9585" t="str">
            <v>4509 - TOOLS &amp; SUPPLIES</v>
          </cell>
          <cell r="D9585" t="str">
            <v>ST45300</v>
          </cell>
          <cell r="BA9585">
            <v>13.99</v>
          </cell>
        </row>
        <row r="9586">
          <cell r="C9586" t="str">
            <v>4509 - TOOLS &amp; SUPPLIES</v>
          </cell>
          <cell r="D9586" t="str">
            <v>ST45912</v>
          </cell>
          <cell r="BA9586">
            <v>5.09</v>
          </cell>
        </row>
        <row r="9587">
          <cell r="C9587" t="str">
            <v>4509 - TOOLS &amp; SUPPLIES</v>
          </cell>
          <cell r="D9587" t="str">
            <v>ST45500</v>
          </cell>
          <cell r="BA9587">
            <v>7.99</v>
          </cell>
        </row>
        <row r="9588">
          <cell r="C9588" t="str">
            <v>4509 - TOOLS &amp; SUPPLIES</v>
          </cell>
          <cell r="D9588" t="str">
            <v>ST46053</v>
          </cell>
          <cell r="BA9588">
            <v>19.989999999999998</v>
          </cell>
        </row>
        <row r="9589">
          <cell r="C9589" t="str">
            <v>4509 - TOOLS &amp; SUPPLIES</v>
          </cell>
          <cell r="D9589" t="str">
            <v>T001WZ</v>
          </cell>
          <cell r="BA9589">
            <v>29.99</v>
          </cell>
        </row>
        <row r="9590">
          <cell r="C9590" t="str">
            <v>4509 - TOOLS &amp; SUPPLIES</v>
          </cell>
          <cell r="D9590" t="str">
            <v>AM25332100</v>
          </cell>
          <cell r="BA9590">
            <v>25.99</v>
          </cell>
        </row>
        <row r="9591">
          <cell r="C9591" t="str">
            <v>4509 - TOOLS &amp; SUPPLIES</v>
          </cell>
          <cell r="D9591" t="str">
            <v>UGT43106</v>
          </cell>
          <cell r="BA9591">
            <v>25.99</v>
          </cell>
        </row>
        <row r="9592">
          <cell r="C9592" t="str">
            <v>4509 - TOOLS &amp; SUPPLIES</v>
          </cell>
          <cell r="D9592" t="str">
            <v>SHVLFLHSP</v>
          </cell>
          <cell r="BA9592">
            <v>29.99</v>
          </cell>
        </row>
        <row r="9593">
          <cell r="C9593" t="str">
            <v>4509 - TOOLS &amp; SUPPLIES</v>
          </cell>
          <cell r="D9593" t="str">
            <v>UGT45520</v>
          </cell>
          <cell r="BA9593">
            <v>39.99</v>
          </cell>
        </row>
        <row r="9594">
          <cell r="C9594" t="str">
            <v>4509 - TOOLS &amp; SUPPLIES</v>
          </cell>
          <cell r="D9594" t="str">
            <v>PCL-F</v>
          </cell>
          <cell r="BA9594">
            <v>31.99</v>
          </cell>
        </row>
        <row r="9595">
          <cell r="C9595" t="str">
            <v>4509 - TOOLS &amp; SUPPLIES</v>
          </cell>
          <cell r="D9595" t="str">
            <v>LS34609PCL-P</v>
          </cell>
          <cell r="BA9595">
            <v>13.99</v>
          </cell>
        </row>
        <row r="9596">
          <cell r="C9596" t="str">
            <v>4509 - TOOLS &amp; SUPPLIES</v>
          </cell>
          <cell r="D9596" t="str">
            <v>LS34608</v>
          </cell>
          <cell r="BA9596">
            <v>13.99</v>
          </cell>
        </row>
        <row r="9597">
          <cell r="C9597" t="str">
            <v>4509 - TOOLS &amp; SUPPLIES</v>
          </cell>
          <cell r="D9597" t="str">
            <v>VC9769118</v>
          </cell>
          <cell r="BA9597">
            <v>35.99</v>
          </cell>
        </row>
        <row r="9598">
          <cell r="C9598" t="str">
            <v>4509 - TOOLS &amp; SUPPLIES</v>
          </cell>
          <cell r="D9598" t="str">
            <v>PRLF</v>
          </cell>
          <cell r="BA9598">
            <v>29.99</v>
          </cell>
        </row>
        <row r="9599">
          <cell r="C9599" t="str">
            <v>4509 - TOOLS &amp; SUPPLIES</v>
          </cell>
          <cell r="D9599" t="str">
            <v>SHVLPRDHRP</v>
          </cell>
          <cell r="BA9599">
            <v>29.99</v>
          </cell>
        </row>
        <row r="9600">
          <cell r="C9600" t="str">
            <v>4509 - TOOLS &amp; SUPPLIES</v>
          </cell>
          <cell r="D9600" t="str">
            <v>SHVLPRDHSP</v>
          </cell>
          <cell r="BA9600">
            <v>29.99</v>
          </cell>
        </row>
        <row r="9601">
          <cell r="C9601" t="str">
            <v>4509 - TOOLS &amp; SUPPLIES</v>
          </cell>
          <cell r="D9601" t="str">
            <v>RLHFSHOVEL</v>
          </cell>
          <cell r="BA9601">
            <v>14.99</v>
          </cell>
        </row>
        <row r="9602">
          <cell r="C9602" t="str">
            <v>4509 - TOOLS &amp; SUPPLIES</v>
          </cell>
          <cell r="D9602" t="str">
            <v>SLHFSHOVEL</v>
          </cell>
          <cell r="BA9602">
            <v>14.99</v>
          </cell>
        </row>
        <row r="9603">
          <cell r="C9603" t="str">
            <v>4509 - TOOLS &amp; SUPPLIES</v>
          </cell>
          <cell r="D9603" t="str">
            <v>AA70600</v>
          </cell>
          <cell r="BA9603">
            <v>12.99</v>
          </cell>
        </row>
        <row r="9604">
          <cell r="C9604" t="str">
            <v>4509 - TOOLS &amp; SUPPLIES</v>
          </cell>
          <cell r="D9604" t="str">
            <v>HOEFHPF</v>
          </cell>
          <cell r="BA9604">
            <v>34.99</v>
          </cell>
        </row>
        <row r="9605">
          <cell r="C9605" t="str">
            <v>4509 - TOOLS &amp; SUPPLIES</v>
          </cell>
          <cell r="D9605" t="str">
            <v>AGH</v>
          </cell>
          <cell r="BA9605">
            <v>29.99</v>
          </cell>
        </row>
        <row r="9606">
          <cell r="C9606" t="str">
            <v>4509 - TOOLS &amp; SUPPLIES</v>
          </cell>
          <cell r="D9606" t="str">
            <v>VC4919478</v>
          </cell>
          <cell r="BA9606">
            <v>62.99</v>
          </cell>
        </row>
        <row r="9607">
          <cell r="C9607" t="str">
            <v>4509 - TOOLS &amp; SUPPLIES</v>
          </cell>
          <cell r="D9607" t="str">
            <v>PH22019</v>
          </cell>
          <cell r="BA9607">
            <v>31.99</v>
          </cell>
        </row>
        <row r="9608">
          <cell r="C9608" t="str">
            <v>4509 - TOOLS &amp; SUPPLIES</v>
          </cell>
          <cell r="D9608" t="str">
            <v>VC34512</v>
          </cell>
          <cell r="BA9608">
            <v>29.99</v>
          </cell>
        </row>
        <row r="9609">
          <cell r="C9609" t="str">
            <v>4509 - TOOLS &amp; SUPPLIES</v>
          </cell>
          <cell r="D9609" t="str">
            <v>VC9626169</v>
          </cell>
          <cell r="BA9609">
            <v>37.99</v>
          </cell>
        </row>
        <row r="9610">
          <cell r="C9610" t="str">
            <v>4509 - TOOLS &amp; SUPPLIES</v>
          </cell>
          <cell r="D9610" t="str">
            <v>VC34513</v>
          </cell>
          <cell r="BA9610">
            <v>32.99</v>
          </cell>
        </row>
        <row r="9611">
          <cell r="C9611" t="str">
            <v>4509 - TOOLS &amp; SUPPLIES</v>
          </cell>
          <cell r="D9611" t="str">
            <v>UGT30582</v>
          </cell>
          <cell r="BA9611">
            <v>42.99</v>
          </cell>
        </row>
        <row r="9612">
          <cell r="C9612" t="str">
            <v>4509 - TOOLS &amp; SUPPLIES</v>
          </cell>
          <cell r="D9612" t="str">
            <v>AH20619</v>
          </cell>
          <cell r="BA9612">
            <v>34.99</v>
          </cell>
        </row>
        <row r="9613">
          <cell r="C9613" t="str">
            <v>4509 - TOOLS &amp; SUPPLIES</v>
          </cell>
          <cell r="D9613" t="str">
            <v>MA32914</v>
          </cell>
          <cell r="BA9613">
            <v>35.99</v>
          </cell>
        </row>
        <row r="9614">
          <cell r="C9614" t="str">
            <v>4509 - TOOLS &amp; SUPPLIES</v>
          </cell>
          <cell r="D9614" t="str">
            <v>VSH</v>
          </cell>
          <cell r="BA9614">
            <v>35.99</v>
          </cell>
        </row>
        <row r="9615">
          <cell r="C9615" t="str">
            <v>4509 - TOOLS &amp; SUPPLIES</v>
          </cell>
          <cell r="D9615" t="str">
            <v>AJC007SF</v>
          </cell>
          <cell r="BA9615">
            <v>0.79</v>
          </cell>
        </row>
        <row r="9616">
          <cell r="C9616" t="str">
            <v>4509 - TOOLS &amp; SUPPLIES</v>
          </cell>
          <cell r="D9616" t="str">
            <v>HC112H</v>
          </cell>
          <cell r="BA9616">
            <v>19.989999999999998</v>
          </cell>
        </row>
        <row r="9617">
          <cell r="C9617" t="str">
            <v>4509 - TOOLS &amp; SUPPLIES</v>
          </cell>
          <cell r="D9617" t="str">
            <v>MC32932</v>
          </cell>
          <cell r="BA9617">
            <v>22.99</v>
          </cell>
        </row>
        <row r="9618">
          <cell r="C9618" t="str">
            <v>4509 - TOOLS &amp; SUPPLIES</v>
          </cell>
          <cell r="D9618" t="str">
            <v>AJC004R10</v>
          </cell>
          <cell r="BA9618">
            <v>3.29</v>
          </cell>
        </row>
        <row r="9619">
          <cell r="C9619" t="str">
            <v>4509 - TOOLS &amp; SUPPLIES</v>
          </cell>
          <cell r="D9619" t="str">
            <v>AJC002SG100</v>
          </cell>
          <cell r="BA9619">
            <v>34.590000000000003</v>
          </cell>
        </row>
        <row r="9620">
          <cell r="C9620" t="str">
            <v>4509 - TOOLS &amp; SUPPLIES</v>
          </cell>
          <cell r="D9620" t="str">
            <v>ST55818</v>
          </cell>
          <cell r="BA9620">
            <v>12.99</v>
          </cell>
        </row>
        <row r="9621">
          <cell r="C9621" t="str">
            <v>4509 - TOOLS &amp; SUPPLIES</v>
          </cell>
          <cell r="D9621" t="str">
            <v>ST55116</v>
          </cell>
          <cell r="BA9621">
            <v>13.99</v>
          </cell>
        </row>
        <row r="9622">
          <cell r="C9622" t="str">
            <v>4509 - TOOLS &amp; SUPPLIES</v>
          </cell>
          <cell r="D9622" t="str">
            <v>DWHT55524</v>
          </cell>
          <cell r="BA9622">
            <v>17.989999999999998</v>
          </cell>
        </row>
        <row r="9623">
          <cell r="C9623" t="str">
            <v>4509 - TOOLS &amp; SUPPLIES</v>
          </cell>
          <cell r="D9623" t="str">
            <v>WB33529</v>
          </cell>
          <cell r="BA9623">
            <v>89.99</v>
          </cell>
        </row>
        <row r="9624">
          <cell r="C9624" t="str">
            <v>4509 - TOOLS &amp; SUPPLIES</v>
          </cell>
          <cell r="D9624" t="str">
            <v>6CFWB</v>
          </cell>
          <cell r="BA9624">
            <v>119.99</v>
          </cell>
        </row>
        <row r="9625">
          <cell r="C9625" t="str">
            <v>4509 - TOOLS &amp; SUPPLIES</v>
          </cell>
          <cell r="D9625" t="str">
            <v>TTR6FF25</v>
          </cell>
          <cell r="BA9625">
            <v>165.99</v>
          </cell>
        </row>
        <row r="9626">
          <cell r="C9626" t="str">
            <v>4509 - TOOLS &amp; SUPPLIES</v>
          </cell>
          <cell r="D9626" t="str">
            <v>BRM638</v>
          </cell>
          <cell r="BA9626">
            <v>17.989999999999998</v>
          </cell>
        </row>
        <row r="9627">
          <cell r="C9627" t="str">
            <v>4509 - TOOLS &amp; SUPPLIES</v>
          </cell>
          <cell r="D9627" t="str">
            <v>TB11643</v>
          </cell>
          <cell r="BA9627">
            <v>7.59</v>
          </cell>
        </row>
        <row r="9628">
          <cell r="C9628" t="str">
            <v>4509 - TOOLS &amp; SUPPLIES</v>
          </cell>
          <cell r="D9628" t="str">
            <v>WB01319S</v>
          </cell>
          <cell r="BA9628">
            <v>3.99</v>
          </cell>
        </row>
        <row r="9629">
          <cell r="C9629" t="str">
            <v>4509 - TOOLS &amp; SUPPLIES</v>
          </cell>
          <cell r="D9629" t="str">
            <v>MTHX08012</v>
          </cell>
          <cell r="BA9629">
            <v>10.99</v>
          </cell>
        </row>
        <row r="9630">
          <cell r="C9630" t="str">
            <v>4509 - TOOLS &amp; SUPPLIES</v>
          </cell>
          <cell r="D9630" t="str">
            <v>BRUSH203</v>
          </cell>
          <cell r="BA9630">
            <v>5.99</v>
          </cell>
        </row>
        <row r="9631">
          <cell r="C9631" t="str">
            <v>4509 - TOOLS &amp; SUPPLIES</v>
          </cell>
          <cell r="D9631" t="str">
            <v>BRUSH226</v>
          </cell>
          <cell r="BA9631">
            <v>4.99</v>
          </cell>
        </row>
        <row r="9632">
          <cell r="C9632" t="str">
            <v>4509 - TOOLS &amp; SUPPLIES</v>
          </cell>
          <cell r="D9632" t="str">
            <v>BRUSH408</v>
          </cell>
          <cell r="BA9632">
            <v>11.99</v>
          </cell>
        </row>
        <row r="9633">
          <cell r="C9633" t="str">
            <v>4509 - TOOLS &amp; SUPPLIES</v>
          </cell>
          <cell r="D9633" t="str">
            <v>BWYX0000/EA</v>
          </cell>
          <cell r="BA9633">
            <v>4.29</v>
          </cell>
        </row>
        <row r="9634">
          <cell r="C9634" t="str">
            <v>4509 - TOOLS &amp; SUPPLIES</v>
          </cell>
          <cell r="D9634" t="str">
            <v>VAL880077199</v>
          </cell>
          <cell r="BA9634">
            <v>6.99</v>
          </cell>
        </row>
        <row r="9635">
          <cell r="C9635" t="str">
            <v>4509 - TOOLS &amp; SUPPLIES</v>
          </cell>
          <cell r="D9635" t="str">
            <v>SX-8B</v>
          </cell>
          <cell r="BA9635">
            <v>16.989999999999998</v>
          </cell>
        </row>
        <row r="9636">
          <cell r="C9636" t="str">
            <v>4509 - TOOLS &amp; SUPPLIES</v>
          </cell>
          <cell r="D9636" t="str">
            <v>1GPPS</v>
          </cell>
          <cell r="BA9636">
            <v>18.989999999999998</v>
          </cell>
        </row>
        <row r="9637">
          <cell r="C9637" t="str">
            <v>4509 - TOOLS &amp; SUPPLIES</v>
          </cell>
          <cell r="D9637" t="str">
            <v>CHAP2GAL</v>
          </cell>
          <cell r="BA9637">
            <v>49.99</v>
          </cell>
        </row>
        <row r="9638">
          <cell r="C9638" t="str">
            <v>4509 - TOOLS &amp; SUPPLIES</v>
          </cell>
          <cell r="D9638" t="str">
            <v>SS1G</v>
          </cell>
          <cell r="BA9638">
            <v>45.99</v>
          </cell>
        </row>
        <row r="9639">
          <cell r="C9639" t="str">
            <v>4509 - TOOLS &amp; SUPPLIES</v>
          </cell>
          <cell r="D9639" t="str">
            <v>VWP470-120</v>
          </cell>
          <cell r="BA9639">
            <v>51.99</v>
          </cell>
        </row>
        <row r="9640">
          <cell r="C9640" t="str">
            <v>4509 - TOOLS &amp; SUPPLIES</v>
          </cell>
          <cell r="D9640" t="str">
            <v>VWP470-112</v>
          </cell>
          <cell r="BA9640">
            <v>13.89</v>
          </cell>
        </row>
        <row r="9641">
          <cell r="C9641" t="str">
            <v>4509 - TOOLS &amp; SUPPLIES</v>
          </cell>
          <cell r="D9641" t="str">
            <v>25SBA</v>
          </cell>
          <cell r="BA9641">
            <v>8.99</v>
          </cell>
        </row>
        <row r="9642">
          <cell r="C9642" t="str">
            <v>4509 - TOOLS &amp; SUPPLIES</v>
          </cell>
          <cell r="D9642" t="str">
            <v>2PB</v>
          </cell>
          <cell r="BA9642">
            <v>7.59</v>
          </cell>
        </row>
        <row r="9643">
          <cell r="C9643" t="str">
            <v>4509 - TOOLS &amp; SUPPLIES</v>
          </cell>
          <cell r="D9643" t="str">
            <v>3PB</v>
          </cell>
          <cell r="BA9643">
            <v>10.99</v>
          </cell>
        </row>
        <row r="9644">
          <cell r="C9644" t="str">
            <v>4509 - TOOLS &amp; SUPPLIES</v>
          </cell>
          <cell r="D9644" t="str">
            <v>8PPK</v>
          </cell>
          <cell r="BA9644">
            <v>16.989999999999998</v>
          </cell>
        </row>
        <row r="9645">
          <cell r="C9645" t="str">
            <v>4509 - TOOLS &amp; SUPPLIES</v>
          </cell>
          <cell r="D9645" t="str">
            <v>E233115</v>
          </cell>
          <cell r="BA9645">
            <v>6.49</v>
          </cell>
        </row>
        <row r="9646">
          <cell r="C9646" t="str">
            <v>4509 - TOOLS &amp; SUPPLIES</v>
          </cell>
          <cell r="D9646" t="str">
            <v>PREFHR00144</v>
          </cell>
          <cell r="BA9646">
            <v>12.39</v>
          </cell>
        </row>
        <row r="9647">
          <cell r="C9647" t="str">
            <v>4509 - TOOLS &amp; SUPPLIES</v>
          </cell>
          <cell r="D9647" t="str">
            <v>LIN1120-2</v>
          </cell>
          <cell r="BA9647">
            <v>5.39</v>
          </cell>
        </row>
        <row r="9648">
          <cell r="C9648" t="str">
            <v>4509 - TOOLS &amp; SUPPLIES</v>
          </cell>
          <cell r="D9648" t="str">
            <v>PS1447200</v>
          </cell>
          <cell r="BA9648">
            <v>1.39</v>
          </cell>
        </row>
        <row r="9649">
          <cell r="C9649" t="str">
            <v>4509 - TOOLS &amp; SUPPLIES</v>
          </cell>
          <cell r="D9649" t="str">
            <v>LIN2832-2</v>
          </cell>
          <cell r="BA9649">
            <v>6.99</v>
          </cell>
        </row>
        <row r="9650">
          <cell r="C9650" t="str">
            <v>4509 - TOOLS &amp; SUPPLIES</v>
          </cell>
          <cell r="D9650" t="str">
            <v>WC2140-1.5</v>
          </cell>
          <cell r="BA9650">
            <v>3.29</v>
          </cell>
        </row>
        <row r="9651">
          <cell r="C9651" t="str">
            <v>4509 - TOOLS &amp; SUPPLIES</v>
          </cell>
          <cell r="D9651" t="str">
            <v>WC2140-2</v>
          </cell>
          <cell r="BA9651">
            <v>3.49</v>
          </cell>
        </row>
        <row r="9652">
          <cell r="C9652" t="str">
            <v>4509 - TOOLS &amp; SUPPLIES</v>
          </cell>
          <cell r="D9652" t="str">
            <v>WC2140-2.5</v>
          </cell>
          <cell r="BA9652">
            <v>4.99</v>
          </cell>
        </row>
        <row r="9653">
          <cell r="C9653" t="str">
            <v>4509 - TOOLS &amp; SUPPLIES</v>
          </cell>
          <cell r="D9653" t="str">
            <v>WC2140-3</v>
          </cell>
          <cell r="BA9653">
            <v>5.99</v>
          </cell>
        </row>
        <row r="9654">
          <cell r="C9654" t="str">
            <v>4509 - TOOLS &amp; SUPPLIES</v>
          </cell>
          <cell r="D9654" t="str">
            <v>WC2160-3</v>
          </cell>
          <cell r="BA9654">
            <v>10.99</v>
          </cell>
        </row>
        <row r="9655">
          <cell r="C9655" t="str">
            <v>4509 - TOOLS &amp; SUPPLIES</v>
          </cell>
          <cell r="D9655" t="str">
            <v>WC2164-2</v>
          </cell>
          <cell r="BA9655">
            <v>7.99</v>
          </cell>
        </row>
        <row r="9656">
          <cell r="C9656" t="str">
            <v>4509 - TOOLS &amp; SUPPLIES</v>
          </cell>
          <cell r="D9656" t="str">
            <v>WC2453-2</v>
          </cell>
          <cell r="BA9656">
            <v>10.99</v>
          </cell>
        </row>
        <row r="9657">
          <cell r="C9657" t="str">
            <v>4509 - TOOLS &amp; SUPPLIES</v>
          </cell>
          <cell r="D9657" t="str">
            <v>MW427310008</v>
          </cell>
          <cell r="BA9657">
            <v>4.79</v>
          </cell>
        </row>
        <row r="9658">
          <cell r="C9658" t="str">
            <v>4509 - TOOLS &amp; SUPPLIES</v>
          </cell>
          <cell r="D9658" t="str">
            <v>MW427320008</v>
          </cell>
          <cell r="BA9658">
            <v>5.09</v>
          </cell>
        </row>
        <row r="9659">
          <cell r="C9659" t="str">
            <v>4509 - TOOLS &amp; SUPPLIES</v>
          </cell>
          <cell r="D9659" t="str">
            <v>MW427340008</v>
          </cell>
          <cell r="BA9659">
            <v>6.49</v>
          </cell>
        </row>
        <row r="9660">
          <cell r="C9660" t="str">
            <v>4509 - TOOLS &amp; SUPPLIES</v>
          </cell>
          <cell r="D9660" t="str">
            <v>MW427350008</v>
          </cell>
          <cell r="BA9660">
            <v>6.99</v>
          </cell>
        </row>
        <row r="9661">
          <cell r="C9661" t="str">
            <v>4509 - TOOLS &amp; SUPPLIES</v>
          </cell>
          <cell r="D9661" t="str">
            <v>UABS5</v>
          </cell>
          <cell r="BA9661">
            <v>6.99</v>
          </cell>
        </row>
        <row r="9662">
          <cell r="C9662" t="str">
            <v>4509 - TOOLS &amp; SUPPLIES</v>
          </cell>
          <cell r="D9662" t="str">
            <v>PS9840687</v>
          </cell>
          <cell r="BA9662">
            <v>0.89</v>
          </cell>
        </row>
        <row r="9663">
          <cell r="C9663" t="str">
            <v>4509 - TOOLS &amp; SUPPLIES</v>
          </cell>
          <cell r="D9663" t="str">
            <v>PS0942540</v>
          </cell>
          <cell r="BA9663">
            <v>0.99</v>
          </cell>
        </row>
        <row r="9664">
          <cell r="C9664" t="str">
            <v>4509 - TOOLS &amp; SUPPLIES</v>
          </cell>
          <cell r="D9664" t="str">
            <v>PS2249985</v>
          </cell>
          <cell r="BA9664">
            <v>1.69</v>
          </cell>
        </row>
        <row r="9665">
          <cell r="C9665" t="str">
            <v>4509 - TOOLS &amp; SUPPLIES</v>
          </cell>
          <cell r="D9665" t="str">
            <v>PS3456506</v>
          </cell>
          <cell r="BA9665">
            <v>2.39</v>
          </cell>
        </row>
        <row r="9666">
          <cell r="C9666" t="str">
            <v>4509 - TOOLS &amp; SUPPLIES</v>
          </cell>
          <cell r="D9666" t="str">
            <v>PS6063515</v>
          </cell>
          <cell r="BA9666">
            <v>4.59</v>
          </cell>
        </row>
        <row r="9667">
          <cell r="C9667" t="str">
            <v>4509 - TOOLS &amp; SUPPLIES</v>
          </cell>
          <cell r="D9667" t="str">
            <v>PS2916245</v>
          </cell>
          <cell r="BA9667">
            <v>2.99</v>
          </cell>
        </row>
        <row r="9668">
          <cell r="C9668" t="str">
            <v>4509 - TOOLS &amp; SUPPLIES</v>
          </cell>
          <cell r="D9668" t="str">
            <v>PU080225</v>
          </cell>
          <cell r="BA9668">
            <v>15.99</v>
          </cell>
        </row>
        <row r="9669">
          <cell r="C9669" t="str">
            <v>4509 - TOOLS &amp; SUPPLIES</v>
          </cell>
          <cell r="D9669" t="str">
            <v>PU080310</v>
          </cell>
          <cell r="BA9669">
            <v>9.99</v>
          </cell>
        </row>
        <row r="9670">
          <cell r="C9670" t="str">
            <v>4509 - TOOLS &amp; SUPPLIES</v>
          </cell>
          <cell r="D9670" t="str">
            <v>PU080315</v>
          </cell>
          <cell r="BA9670">
            <v>10.99</v>
          </cell>
        </row>
        <row r="9671">
          <cell r="C9671" t="str">
            <v>4509 - TOOLS &amp; SUPPLIES</v>
          </cell>
          <cell r="D9671" t="str">
            <v>PU080320</v>
          </cell>
          <cell r="BA9671">
            <v>13.99</v>
          </cell>
        </row>
        <row r="9672">
          <cell r="C9672" t="str">
            <v>4509 - TOOLS &amp; SUPPLIES</v>
          </cell>
          <cell r="D9672" t="str">
            <v>PU080325</v>
          </cell>
          <cell r="BA9672">
            <v>14.99</v>
          </cell>
        </row>
        <row r="9673">
          <cell r="C9673" t="str">
            <v>4509 - TOOLS &amp; SUPPLIES</v>
          </cell>
          <cell r="D9673" t="str">
            <v>PU080330</v>
          </cell>
          <cell r="BA9673">
            <v>18.989999999999998</v>
          </cell>
        </row>
        <row r="9674">
          <cell r="C9674" t="str">
            <v>4509 - TOOLS &amp; SUPPLIES</v>
          </cell>
          <cell r="D9674" t="str">
            <v>PU152725</v>
          </cell>
          <cell r="BA9674">
            <v>17.989999999999998</v>
          </cell>
        </row>
        <row r="9675">
          <cell r="C9675" t="str">
            <v>4509 - TOOLS &amp; SUPPLIES</v>
          </cell>
          <cell r="D9675" t="str">
            <v>Q3108</v>
          </cell>
          <cell r="BA9675">
            <v>2.59</v>
          </cell>
        </row>
        <row r="9676">
          <cell r="C9676" t="str">
            <v>4509 - TOOLS &amp; SUPPLIES</v>
          </cell>
          <cell r="D9676" t="str">
            <v>Q310815</v>
          </cell>
          <cell r="BA9676">
            <v>3.49</v>
          </cell>
        </row>
        <row r="9677">
          <cell r="C9677" t="str">
            <v>4509 - TOOLS &amp; SUPPLIES</v>
          </cell>
          <cell r="D9677" t="str">
            <v>Q310825</v>
          </cell>
          <cell r="BA9677">
            <v>6.99</v>
          </cell>
        </row>
        <row r="9678">
          <cell r="C9678" t="str">
            <v>4509 - TOOLS &amp; SUPPLIES</v>
          </cell>
          <cell r="D9678" t="str">
            <v>Q31083</v>
          </cell>
          <cell r="BA9678">
            <v>7.99</v>
          </cell>
        </row>
        <row r="9679">
          <cell r="C9679" t="str">
            <v>4509 - TOOLS &amp; SUPPLIES</v>
          </cell>
          <cell r="D9679" t="str">
            <v>W415325</v>
          </cell>
          <cell r="BA9679">
            <v>18.989999999999998</v>
          </cell>
        </row>
        <row r="9680">
          <cell r="C9680" t="str">
            <v>4509 - TOOLS &amp; SUPPLIES</v>
          </cell>
          <cell r="D9680" t="str">
            <v>WBQ31082</v>
          </cell>
          <cell r="BA9680">
            <v>4.59</v>
          </cell>
        </row>
        <row r="9681">
          <cell r="C9681" t="str">
            <v>4509 - TOOLS &amp; SUPPLIES</v>
          </cell>
          <cell r="D9681" t="str">
            <v>WBQ32082</v>
          </cell>
          <cell r="BA9681">
            <v>7.99</v>
          </cell>
        </row>
        <row r="9682">
          <cell r="C9682" t="str">
            <v>4509 - TOOLS &amp; SUPPLIES</v>
          </cell>
          <cell r="D9682" t="str">
            <v>WOQ31084</v>
          </cell>
          <cell r="BA9682">
            <v>10.99</v>
          </cell>
        </row>
        <row r="9683">
          <cell r="C9683" t="str">
            <v>4509 - TOOLS &amp; SUPPLIES</v>
          </cell>
          <cell r="D9683" t="str">
            <v>WOQ32081</v>
          </cell>
          <cell r="BA9683">
            <v>5.39</v>
          </cell>
        </row>
        <row r="9684">
          <cell r="C9684" t="str">
            <v>4509 - TOOLS &amp; SUPPLIES</v>
          </cell>
          <cell r="D9684" t="str">
            <v>Z1120202</v>
          </cell>
          <cell r="BA9684">
            <v>9.99</v>
          </cell>
        </row>
        <row r="9685">
          <cell r="C9685" t="str">
            <v>4509 - TOOLS &amp; SUPPLIES</v>
          </cell>
          <cell r="D9685" t="str">
            <v>PPWV20</v>
          </cell>
          <cell r="BA9685">
            <v>0.38</v>
          </cell>
        </row>
        <row r="9686">
          <cell r="C9686" t="str">
            <v>4509 - TOOLS &amp; SUPPLIES</v>
          </cell>
          <cell r="D9686" t="str">
            <v>JM8500-D1</v>
          </cell>
          <cell r="BA9686">
            <v>0.25</v>
          </cell>
        </row>
        <row r="9687">
          <cell r="C9687" t="str">
            <v>4509 - TOOLS &amp; SUPPLIES</v>
          </cell>
          <cell r="D9687" t="str">
            <v>JM8500-D3</v>
          </cell>
          <cell r="BA9687">
            <v>0.52</v>
          </cell>
        </row>
        <row r="9688">
          <cell r="C9688" t="str">
            <v>4509 - TOOLS &amp; SUPPLIES</v>
          </cell>
          <cell r="D9688" t="str">
            <v>JM2FB</v>
          </cell>
          <cell r="BA9688">
            <v>1.39</v>
          </cell>
        </row>
        <row r="9689">
          <cell r="C9689" t="str">
            <v>4509 - TOOLS &amp; SUPPLIES</v>
          </cell>
          <cell r="D9689" t="str">
            <v>PS850520</v>
          </cell>
          <cell r="BA9689">
            <v>1.19</v>
          </cell>
        </row>
        <row r="9690">
          <cell r="C9690" t="str">
            <v>4509 - TOOLS &amp; SUPPLIES</v>
          </cell>
          <cell r="D9690" t="str">
            <v>4FB</v>
          </cell>
          <cell r="BA9690">
            <v>0.5</v>
          </cell>
        </row>
        <row r="9691">
          <cell r="C9691" t="str">
            <v>4509 - TOOLS &amp; SUPPLIES</v>
          </cell>
          <cell r="D9691" t="str">
            <v>MTJR008</v>
          </cell>
          <cell r="BA9691">
            <v>24.99</v>
          </cell>
        </row>
        <row r="9692">
          <cell r="C9692" t="str">
            <v>4509 - TOOLS &amp; SUPPLIES</v>
          </cell>
          <cell r="D9692" t="str">
            <v>MR701-2-4</v>
          </cell>
          <cell r="BA9692">
            <v>5.39</v>
          </cell>
        </row>
        <row r="9693">
          <cell r="C9693" t="str">
            <v>4509 - TOOLS &amp; SUPPLIES</v>
          </cell>
          <cell r="D9693" t="str">
            <v>MR701-2-6</v>
          </cell>
          <cell r="BA9693">
            <v>6.49</v>
          </cell>
        </row>
        <row r="9694">
          <cell r="C9694" t="str">
            <v>4509 - TOOLS &amp; SUPPLIES</v>
          </cell>
          <cell r="D9694" t="str">
            <v>R105</v>
          </cell>
          <cell r="BA9694">
            <v>5.99</v>
          </cell>
        </row>
        <row r="9695">
          <cell r="C9695" t="str">
            <v>4509 - TOOLS &amp; SUPPLIES</v>
          </cell>
          <cell r="D9695" t="str">
            <v>RT300</v>
          </cell>
          <cell r="BA9695">
            <v>5.39</v>
          </cell>
        </row>
        <row r="9696">
          <cell r="C9696" t="str">
            <v>4509 - TOOLS &amp; SUPPLIES</v>
          </cell>
          <cell r="D9696" t="str">
            <v>R9149</v>
          </cell>
          <cell r="BA9696">
            <v>10.99</v>
          </cell>
        </row>
        <row r="9697">
          <cell r="C9697" t="str">
            <v>4509 - TOOLS &amp; SUPPLIES</v>
          </cell>
          <cell r="D9697" t="str">
            <v>MS200</v>
          </cell>
          <cell r="BA9697">
            <v>6.99</v>
          </cell>
        </row>
        <row r="9698">
          <cell r="C9698" t="str">
            <v>4509 - TOOLS &amp; SUPPLIES</v>
          </cell>
          <cell r="D9698" t="str">
            <v>LPRS682</v>
          </cell>
          <cell r="BA9698">
            <v>10.99</v>
          </cell>
        </row>
        <row r="9699">
          <cell r="C9699" t="str">
            <v>4509 - TOOLS &amp; SUPPLIES</v>
          </cell>
          <cell r="D9699" t="str">
            <v>RO55</v>
          </cell>
          <cell r="BA9699">
            <v>29.99</v>
          </cell>
        </row>
        <row r="9700">
          <cell r="C9700" t="str">
            <v>4509 - TOOLS &amp; SUPPLIES</v>
          </cell>
          <cell r="D9700" t="str">
            <v>RO57</v>
          </cell>
          <cell r="BA9700">
            <v>44.99</v>
          </cell>
        </row>
        <row r="9701">
          <cell r="C9701" t="str">
            <v>4509 - TOOLS &amp; SUPPLIES</v>
          </cell>
          <cell r="D9701" t="str">
            <v>TLEP816</v>
          </cell>
          <cell r="BA9701">
            <v>49.99</v>
          </cell>
        </row>
        <row r="9702">
          <cell r="C9702" t="str">
            <v>4509 - TOOLS &amp; SUPPLIES</v>
          </cell>
          <cell r="D9702" t="str">
            <v>WP48MT</v>
          </cell>
          <cell r="BA9702">
            <v>5.69</v>
          </cell>
        </row>
        <row r="9703">
          <cell r="C9703" t="str">
            <v>4509 - TOOLS &amp; SUPPLIES</v>
          </cell>
          <cell r="D9703" t="str">
            <v>PP91FIMP</v>
          </cell>
          <cell r="BA9703">
            <v>2.29</v>
          </cell>
        </row>
        <row r="9704">
          <cell r="C9704" t="str">
            <v>4509 - TOOLS &amp; SUPPLIES</v>
          </cell>
          <cell r="D9704" t="str">
            <v>WORR013</v>
          </cell>
          <cell r="BA9704">
            <v>5.39</v>
          </cell>
        </row>
        <row r="9705">
          <cell r="C9705" t="str">
            <v>4509 - TOOLS &amp; SUPPLIES</v>
          </cell>
          <cell r="D9705" t="str">
            <v>R016</v>
          </cell>
          <cell r="BA9705">
            <v>7.99</v>
          </cell>
        </row>
        <row r="9706">
          <cell r="C9706" t="str">
            <v>4509 - TOOLS &amp; SUPPLIES</v>
          </cell>
          <cell r="D9706" t="str">
            <v>R017</v>
          </cell>
          <cell r="BA9706">
            <v>8.69</v>
          </cell>
        </row>
        <row r="9707">
          <cell r="C9707" t="str">
            <v>4509 - TOOLS &amp; SUPPLIES</v>
          </cell>
          <cell r="D9707" t="str">
            <v>9HDRF5</v>
          </cell>
          <cell r="BA9707">
            <v>4.99</v>
          </cell>
        </row>
        <row r="9708">
          <cell r="C9708" t="str">
            <v>4509 - TOOLS &amp; SUPPLIES</v>
          </cell>
          <cell r="D9708" t="str">
            <v>WOR5019</v>
          </cell>
          <cell r="BA9708">
            <v>5.39</v>
          </cell>
        </row>
        <row r="9709">
          <cell r="C9709" t="str">
            <v>4509 - TOOLS &amp; SUPPLIES</v>
          </cell>
          <cell r="D9709" t="str">
            <v>RF100-11</v>
          </cell>
          <cell r="BA9709">
            <v>2.99</v>
          </cell>
        </row>
        <row r="9710">
          <cell r="C9710" t="str">
            <v>4509 - TOOLS &amp; SUPPLIES</v>
          </cell>
          <cell r="D9710" t="str">
            <v>96PRCK</v>
          </cell>
          <cell r="BA9710">
            <v>8.99</v>
          </cell>
        </row>
        <row r="9711">
          <cell r="C9711" t="str">
            <v>4509 - TOOLS &amp; SUPPLIES</v>
          </cell>
          <cell r="D9711" t="str">
            <v>9SFRC</v>
          </cell>
          <cell r="BA9711">
            <v>1.69</v>
          </cell>
        </row>
        <row r="9712">
          <cell r="C9712" t="str">
            <v>4509 - TOOLS &amp; SUPPLIES</v>
          </cell>
          <cell r="D9712" t="str">
            <v>R101-9</v>
          </cell>
          <cell r="BA9712">
            <v>5.39</v>
          </cell>
        </row>
        <row r="9713">
          <cell r="C9713" t="str">
            <v>4509 - TOOLS &amp; SUPPLIES</v>
          </cell>
          <cell r="D9713" t="str">
            <v>R239</v>
          </cell>
          <cell r="BA9713">
            <v>5.39</v>
          </cell>
        </row>
        <row r="9714">
          <cell r="C9714" t="str">
            <v>4509 - TOOLS &amp; SUPPLIES</v>
          </cell>
          <cell r="D9714" t="str">
            <v>R2409</v>
          </cell>
          <cell r="BA9714">
            <v>5.69</v>
          </cell>
        </row>
        <row r="9715">
          <cell r="C9715" t="str">
            <v>4509 - TOOLS &amp; SUPPLIES</v>
          </cell>
          <cell r="D9715" t="str">
            <v>R241</v>
          </cell>
          <cell r="BA9715">
            <v>4.59</v>
          </cell>
        </row>
        <row r="9716">
          <cell r="C9716" t="str">
            <v>4509 - TOOLS &amp; SUPPLIES</v>
          </cell>
          <cell r="D9716" t="str">
            <v>WOR2419</v>
          </cell>
          <cell r="BA9716">
            <v>6.49</v>
          </cell>
        </row>
        <row r="9717">
          <cell r="C9717" t="str">
            <v>4509 - TOOLS &amp; SUPPLIES</v>
          </cell>
          <cell r="D9717" t="str">
            <v>R242</v>
          </cell>
          <cell r="BA9717">
            <v>6.99</v>
          </cell>
        </row>
        <row r="9718">
          <cell r="C9718" t="str">
            <v>4509 - TOOLS &amp; SUPPLIES</v>
          </cell>
          <cell r="D9718" t="str">
            <v>R243</v>
          </cell>
          <cell r="BA9718">
            <v>6.99</v>
          </cell>
        </row>
        <row r="9719">
          <cell r="C9719" t="str">
            <v>4509 - TOOLS &amp; SUPPLIES</v>
          </cell>
          <cell r="D9719" t="str">
            <v>R282</v>
          </cell>
          <cell r="BA9719">
            <v>4.79</v>
          </cell>
        </row>
        <row r="9720">
          <cell r="C9720" t="str">
            <v>4509 - TOOLS &amp; SUPPLIES</v>
          </cell>
          <cell r="D9720" t="str">
            <v>WOR7259</v>
          </cell>
          <cell r="BA9720">
            <v>10.99</v>
          </cell>
        </row>
        <row r="9721">
          <cell r="C9721" t="str">
            <v>4509 - TOOLS &amp; SUPPLIES</v>
          </cell>
          <cell r="D9721" t="str">
            <v>WORR30045</v>
          </cell>
          <cell r="BA9721">
            <v>4.99</v>
          </cell>
        </row>
        <row r="9722">
          <cell r="C9722" t="str">
            <v>4509 - TOOLS &amp; SUPPLIES</v>
          </cell>
          <cell r="D9722" t="str">
            <v>WORR30145</v>
          </cell>
          <cell r="BA9722">
            <v>5.69</v>
          </cell>
        </row>
        <row r="9723">
          <cell r="C9723" t="str">
            <v>4509 - TOOLS &amp; SUPPLIES</v>
          </cell>
          <cell r="D9723" t="str">
            <v>WORR30245</v>
          </cell>
          <cell r="BA9723">
            <v>5.99</v>
          </cell>
        </row>
        <row r="9724">
          <cell r="C9724" t="str">
            <v>4509 - TOOLS &amp; SUPPLIES</v>
          </cell>
          <cell r="D9724" t="str">
            <v>RR641</v>
          </cell>
          <cell r="BA9724">
            <v>5.39</v>
          </cell>
        </row>
        <row r="9725">
          <cell r="C9725" t="str">
            <v>4509 - TOOLS &amp; SUPPLIES</v>
          </cell>
          <cell r="D9725" t="str">
            <v>WORR7269</v>
          </cell>
          <cell r="BA9725">
            <v>7.59</v>
          </cell>
        </row>
        <row r="9726">
          <cell r="C9726" t="str">
            <v>4509 - TOOLS &amp; SUPPLIES</v>
          </cell>
          <cell r="D9726" t="str">
            <v>LINMT101-11-4</v>
          </cell>
          <cell r="BA9726">
            <v>5.99</v>
          </cell>
        </row>
        <row r="9727">
          <cell r="C9727" t="str">
            <v>4509 - TOOLS &amp; SUPPLIES</v>
          </cell>
          <cell r="D9727" t="str">
            <v>LINRC110</v>
          </cell>
          <cell r="BA9727">
            <v>2.4900000000000002</v>
          </cell>
        </row>
        <row r="9728">
          <cell r="C9728" t="str">
            <v>4509 - TOOLS &amp; SUPPLIES</v>
          </cell>
          <cell r="D9728" t="str">
            <v>LINRC142</v>
          </cell>
          <cell r="BA9728">
            <v>4.59</v>
          </cell>
        </row>
        <row r="9729">
          <cell r="C9729" t="str">
            <v>4509 - TOOLS &amp; SUPPLIES</v>
          </cell>
          <cell r="D9729" t="str">
            <v>LINRC145</v>
          </cell>
          <cell r="BA9729">
            <v>5.99</v>
          </cell>
        </row>
        <row r="9730">
          <cell r="C9730" t="str">
            <v>4509 - TOOLS &amp; SUPPLIES</v>
          </cell>
          <cell r="D9730" t="str">
            <v>LINMR200-2-6</v>
          </cell>
          <cell r="BA9730">
            <v>6.49</v>
          </cell>
        </row>
        <row r="9731">
          <cell r="C9731" t="str">
            <v>4509 - TOOLS &amp; SUPPLIES</v>
          </cell>
          <cell r="D9731" t="str">
            <v>LINMR200-5-4</v>
          </cell>
          <cell r="BA9731">
            <v>8.69</v>
          </cell>
        </row>
        <row r="9732">
          <cell r="C9732" t="str">
            <v>4509 - TOOLS &amp; SUPPLIES</v>
          </cell>
          <cell r="D9732" t="str">
            <v>RC113</v>
          </cell>
          <cell r="BA9732">
            <v>2.39</v>
          </cell>
        </row>
        <row r="9733">
          <cell r="C9733" t="str">
            <v>4509 - TOOLS &amp; SUPPLIES</v>
          </cell>
          <cell r="D9733" t="str">
            <v>RC143</v>
          </cell>
          <cell r="BA9733">
            <v>4.79</v>
          </cell>
        </row>
        <row r="9734">
          <cell r="C9734" t="str">
            <v>4509 - TOOLS &amp; SUPPLIES</v>
          </cell>
          <cell r="D9734" t="str">
            <v>PS34036</v>
          </cell>
          <cell r="BA9734">
            <v>5.89</v>
          </cell>
        </row>
        <row r="9735">
          <cell r="C9735" t="str">
            <v>4509 - TOOLS &amp; SUPPLIES</v>
          </cell>
          <cell r="D9735" t="str">
            <v>PS41440</v>
          </cell>
          <cell r="BA9735">
            <v>2.09</v>
          </cell>
        </row>
        <row r="9736">
          <cell r="C9736" t="str">
            <v>4509 - TOOLS &amp; SUPPLIES</v>
          </cell>
          <cell r="D9736" t="str">
            <v>PS41450</v>
          </cell>
          <cell r="BA9736">
            <v>1.79</v>
          </cell>
        </row>
        <row r="9737">
          <cell r="C9737" t="str">
            <v>4509 - TOOLS &amp; SUPPLIES</v>
          </cell>
          <cell r="D9737" t="str">
            <v>PS41650</v>
          </cell>
          <cell r="BA9737">
            <v>2.09</v>
          </cell>
        </row>
        <row r="9738">
          <cell r="C9738" t="str">
            <v>4509 - TOOLS &amp; SUPPLIES</v>
          </cell>
          <cell r="D9738" t="str">
            <v>PS612WMR</v>
          </cell>
          <cell r="BA9738">
            <v>2.09</v>
          </cell>
        </row>
        <row r="9739">
          <cell r="C9739" t="str">
            <v>4509 - TOOLS &amp; SUPPLIES</v>
          </cell>
          <cell r="D9739" t="str">
            <v>PS612WMR11</v>
          </cell>
          <cell r="BA9739">
            <v>1.89</v>
          </cell>
        </row>
        <row r="9740">
          <cell r="C9740" t="str">
            <v>4509 - TOOLS &amp; SUPPLIES</v>
          </cell>
          <cell r="D9740" t="str">
            <v>PS612WMR22</v>
          </cell>
          <cell r="BA9740">
            <v>2.4900000000000002</v>
          </cell>
        </row>
        <row r="9741">
          <cell r="C9741" t="str">
            <v>4509 - TOOLS &amp; SUPPLIES</v>
          </cell>
          <cell r="D9741" t="str">
            <v>SHU03100</v>
          </cell>
          <cell r="BA9741">
            <v>1.49</v>
          </cell>
        </row>
        <row r="9742">
          <cell r="C9742" t="str">
            <v>4509 - TOOLS &amp; SUPPLIES</v>
          </cell>
          <cell r="D9742" t="str">
            <v>R402</v>
          </cell>
          <cell r="BA9742">
            <v>4.99</v>
          </cell>
        </row>
        <row r="9743">
          <cell r="C9743" t="str">
            <v>4509 - TOOLS &amp; SUPPLIES</v>
          </cell>
          <cell r="D9743" t="str">
            <v>R406</v>
          </cell>
          <cell r="BA9743">
            <v>1.69</v>
          </cell>
        </row>
        <row r="9744">
          <cell r="C9744" t="str">
            <v>4509 - TOOLS &amp; SUPPLIES</v>
          </cell>
          <cell r="D9744" t="str">
            <v>LINRM400</v>
          </cell>
          <cell r="BA9744">
            <v>5.99</v>
          </cell>
        </row>
        <row r="9745">
          <cell r="C9745" t="str">
            <v>4509 - TOOLS &amp; SUPPLIES</v>
          </cell>
          <cell r="D9745" t="str">
            <v>RM410</v>
          </cell>
          <cell r="BA9745">
            <v>0.99</v>
          </cell>
        </row>
        <row r="9746">
          <cell r="C9746" t="str">
            <v>4509 - TOOLS &amp; SUPPLIES</v>
          </cell>
          <cell r="D9746" t="str">
            <v>LINRM705</v>
          </cell>
          <cell r="BA9746">
            <v>2.99</v>
          </cell>
        </row>
        <row r="9747">
          <cell r="C9747" t="str">
            <v>4509 - TOOLS &amp; SUPPLIES</v>
          </cell>
          <cell r="D9747" t="str">
            <v>MPTRAY</v>
          </cell>
          <cell r="BA9747">
            <v>4.29</v>
          </cell>
        </row>
        <row r="9748">
          <cell r="C9748" t="str">
            <v>4509 - TOOLS &amp; SUPPLIES</v>
          </cell>
          <cell r="D9748" t="str">
            <v>LT35045</v>
          </cell>
          <cell r="BA9748">
            <v>5.39</v>
          </cell>
        </row>
        <row r="9749">
          <cell r="C9749" t="str">
            <v>4509 - TOOLS &amp; SUPPLIES</v>
          </cell>
          <cell r="D9749" t="str">
            <v>B35PP5QT</v>
          </cell>
          <cell r="BA9749">
            <v>7.99</v>
          </cell>
        </row>
        <row r="9750">
          <cell r="C9750" t="str">
            <v>4509 - TOOLS &amp; SUPPLIES</v>
          </cell>
          <cell r="D9750" t="str">
            <v>ENCORE01605</v>
          </cell>
          <cell r="BA9750">
            <v>4.99</v>
          </cell>
        </row>
        <row r="9751">
          <cell r="C9751" t="str">
            <v>4509 - TOOLS &amp; SUPPLIES</v>
          </cell>
          <cell r="D9751" t="str">
            <v>LT55640</v>
          </cell>
          <cell r="BA9751">
            <v>6.99</v>
          </cell>
        </row>
        <row r="9752">
          <cell r="C9752" t="str">
            <v>4509 - TOOLS &amp; SUPPLIES</v>
          </cell>
          <cell r="D9752" t="str">
            <v>PPGBWY16010/EA</v>
          </cell>
          <cell r="BA9752">
            <v>2.39</v>
          </cell>
        </row>
        <row r="9753">
          <cell r="C9753" t="str">
            <v>4509 - TOOLS &amp; SUPPLIES</v>
          </cell>
          <cell r="D9753" t="str">
            <v>51640PP5GL</v>
          </cell>
          <cell r="BA9753">
            <v>10.99</v>
          </cell>
        </row>
        <row r="9754">
          <cell r="C9754" t="str">
            <v>4509 - TOOLS &amp; SUPPLIES</v>
          </cell>
          <cell r="D9754" t="str">
            <v>S00200</v>
          </cell>
          <cell r="BA9754">
            <v>1.89</v>
          </cell>
        </row>
        <row r="9755">
          <cell r="C9755" t="str">
            <v>4509 - TOOLS &amp; SUPPLIES</v>
          </cell>
          <cell r="D9755" t="str">
            <v>S00100</v>
          </cell>
          <cell r="BA9755">
            <v>1.99</v>
          </cell>
        </row>
        <row r="9756">
          <cell r="C9756" t="str">
            <v>4509 - TOOLS &amp; SUPPLIES</v>
          </cell>
          <cell r="D9756" t="str">
            <v>3M110</v>
          </cell>
          <cell r="BA9756">
            <v>4.99</v>
          </cell>
        </row>
        <row r="9757">
          <cell r="C9757" t="str">
            <v>4509 - TOOLS &amp; SUPPLIES</v>
          </cell>
          <cell r="D9757" t="str">
            <v>3M110H</v>
          </cell>
          <cell r="BA9757">
            <v>4.99</v>
          </cell>
        </row>
        <row r="9758">
          <cell r="C9758" t="str">
            <v>4509 - TOOLS &amp; SUPPLIES</v>
          </cell>
          <cell r="D9758" t="str">
            <v>3M9058600000</v>
          </cell>
          <cell r="BA9758">
            <v>3.79</v>
          </cell>
        </row>
        <row r="9759">
          <cell r="C9759" t="str">
            <v>4509 - TOOLS &amp; SUPPLIES</v>
          </cell>
          <cell r="D9759" t="str">
            <v>3MM3000</v>
          </cell>
          <cell r="BA9759">
            <v>55.99</v>
          </cell>
        </row>
        <row r="9760">
          <cell r="C9760" t="str">
            <v>4509 - TOOLS &amp; SUPPLIES</v>
          </cell>
          <cell r="D9760" t="str">
            <v>HY02970</v>
          </cell>
          <cell r="BA9760">
            <v>8.99</v>
          </cell>
        </row>
        <row r="9761">
          <cell r="C9761" t="str">
            <v>4509 - TOOLS &amp; SUPPLIES</v>
          </cell>
          <cell r="D9761" t="str">
            <v>HY45810</v>
          </cell>
          <cell r="BA9761">
            <v>9.99</v>
          </cell>
        </row>
        <row r="9762">
          <cell r="C9762" t="str">
            <v>4509 - TOOLS &amp; SUPPLIES</v>
          </cell>
          <cell r="D9762" t="str">
            <v>ATCSP</v>
          </cell>
          <cell r="BA9762">
            <v>2.59</v>
          </cell>
        </row>
        <row r="9763">
          <cell r="C9763" t="str">
            <v>4509 - TOOLS &amp; SUPPLIES</v>
          </cell>
          <cell r="D9763" t="str">
            <v>912DC</v>
          </cell>
          <cell r="BA9763">
            <v>2.99</v>
          </cell>
        </row>
        <row r="9764">
          <cell r="C9764" t="str">
            <v>4509 - TOOLS &amp; SUPPLIES</v>
          </cell>
          <cell r="D9764" t="str">
            <v>912PDC4</v>
          </cell>
          <cell r="BA9764">
            <v>2.19</v>
          </cell>
        </row>
        <row r="9765">
          <cell r="C9765" t="str">
            <v>4509 - TOOLS &amp; SUPPLIES</v>
          </cell>
          <cell r="D9765" t="str">
            <v>EC-912</v>
          </cell>
          <cell r="BA9765">
            <v>2.99</v>
          </cell>
        </row>
        <row r="9766">
          <cell r="C9766" t="str">
            <v>4509 - TOOLS &amp; SUPPLIES</v>
          </cell>
          <cell r="D9766" t="str">
            <v>GTDCL02</v>
          </cell>
          <cell r="BA9766">
            <v>2.4900000000000002</v>
          </cell>
        </row>
        <row r="9767">
          <cell r="C9767" t="str">
            <v>4509 - TOOLS &amp; SUPPLIES</v>
          </cell>
          <cell r="D9767" t="str">
            <v>PPG28730/EA</v>
          </cell>
          <cell r="BA9767">
            <v>4.29</v>
          </cell>
        </row>
        <row r="9768">
          <cell r="C9768" t="str">
            <v>4509 - TOOLS &amp; SUPPLIES</v>
          </cell>
          <cell r="D9768" t="str">
            <v>PPG59326/EA</v>
          </cell>
          <cell r="BA9768">
            <v>18.59</v>
          </cell>
        </row>
        <row r="9769">
          <cell r="C9769" t="str">
            <v>4509 - TOOLS &amp; SUPPLIES</v>
          </cell>
          <cell r="D9769" t="str">
            <v>TC58901</v>
          </cell>
          <cell r="BA9769">
            <v>24.99</v>
          </cell>
        </row>
        <row r="9770">
          <cell r="C9770" t="str">
            <v>4509 - TOOLS &amp; SUPPLIES</v>
          </cell>
          <cell r="D9770" t="str">
            <v>WB2JC-912</v>
          </cell>
          <cell r="BA9770">
            <v>4.99</v>
          </cell>
        </row>
        <row r="9771">
          <cell r="C9771" t="str">
            <v>4509 - TOOLS &amp; SUPPLIES</v>
          </cell>
          <cell r="D9771" t="str">
            <v>WBU91248</v>
          </cell>
          <cell r="BA9771">
            <v>2.79</v>
          </cell>
        </row>
        <row r="9772">
          <cell r="C9772" t="str">
            <v>4509 - TOOLS &amp; SUPPLIES</v>
          </cell>
          <cell r="D9772" t="str">
            <v>6180MP</v>
          </cell>
          <cell r="BA9772">
            <v>3.29</v>
          </cell>
        </row>
        <row r="9773">
          <cell r="C9773" t="str">
            <v>4509 - TOOLS &amp; SUPPLIES</v>
          </cell>
          <cell r="D9773" t="str">
            <v>9180MP</v>
          </cell>
          <cell r="BA9773">
            <v>3.99</v>
          </cell>
        </row>
        <row r="9774">
          <cell r="C9774" t="str">
            <v>4509 - TOOLS &amp; SUPPLIES</v>
          </cell>
          <cell r="D9774" t="str">
            <v>TC12212</v>
          </cell>
          <cell r="BA9774">
            <v>4.79</v>
          </cell>
        </row>
        <row r="9775">
          <cell r="C9775" t="str">
            <v>4509 - TOOLS &amp; SUPPLIES</v>
          </cell>
          <cell r="D9775" t="str">
            <v>TC12912</v>
          </cell>
          <cell r="BA9775">
            <v>3.99</v>
          </cell>
        </row>
        <row r="9776">
          <cell r="C9776" t="str">
            <v>4509 - TOOLS &amp; SUPPLIES</v>
          </cell>
          <cell r="D9776" t="str">
            <v>AB00006</v>
          </cell>
          <cell r="BA9776">
            <v>4.79</v>
          </cell>
        </row>
        <row r="9777">
          <cell r="C9777" t="str">
            <v>4509 - TOOLS &amp; SUPPLIES</v>
          </cell>
          <cell r="D9777" t="str">
            <v>6T1AFL</v>
          </cell>
          <cell r="BA9777">
            <v>139.99</v>
          </cell>
        </row>
        <row r="9778">
          <cell r="C9778" t="str">
            <v>4509 - TOOLS &amp; SUPPLIES</v>
          </cell>
          <cell r="D9778" t="str">
            <v>8T1AFL</v>
          </cell>
          <cell r="BA9778">
            <v>199.99</v>
          </cell>
        </row>
        <row r="9779">
          <cell r="C9779" t="str">
            <v>4509 - TOOLS &amp; SUPPLIES</v>
          </cell>
          <cell r="D9779" t="str">
            <v>6TIFL</v>
          </cell>
          <cell r="BA9779">
            <v>119.99</v>
          </cell>
        </row>
        <row r="9780">
          <cell r="C9780" t="str">
            <v>4509 - TOOLS &amp; SUPPLIES</v>
          </cell>
          <cell r="D9780" t="str">
            <v>8TIFL</v>
          </cell>
          <cell r="BA9780">
            <v>169.99</v>
          </cell>
        </row>
        <row r="9781">
          <cell r="C9781" t="str">
            <v>4509 - TOOLS &amp; SUPPLIES</v>
          </cell>
          <cell r="D9781" t="str">
            <v>FS2008</v>
          </cell>
          <cell r="BA9781">
            <v>144.99</v>
          </cell>
        </row>
        <row r="9782">
          <cell r="C9782" t="str">
            <v>4509 - TOOLS &amp; SUPPLIES</v>
          </cell>
          <cell r="D9782" t="str">
            <v>ST611-48</v>
          </cell>
          <cell r="BA9782">
            <v>18.989999999999998</v>
          </cell>
        </row>
        <row r="9783">
          <cell r="C9783" t="str">
            <v>4509 - TOOLS &amp; SUPPLIES</v>
          </cell>
          <cell r="D9783" t="str">
            <v>68TARP</v>
          </cell>
          <cell r="BA9783">
            <v>4.49</v>
          </cell>
        </row>
        <row r="9784">
          <cell r="C9784" t="str">
            <v>4509 - TOOLS &amp; SUPPLIES</v>
          </cell>
          <cell r="D9784" t="str">
            <v>T0608BB70</v>
          </cell>
          <cell r="BA9784">
            <v>5.39</v>
          </cell>
        </row>
        <row r="9785">
          <cell r="C9785" t="str">
            <v>4509 - TOOLS &amp; SUPPLIES</v>
          </cell>
          <cell r="D9785" t="str">
            <v>PST2030BB90BLU</v>
          </cell>
          <cell r="BA9785">
            <v>48.59</v>
          </cell>
        </row>
        <row r="9786">
          <cell r="C9786" t="str">
            <v>4509 - TOOLS &amp; SUPPLIES</v>
          </cell>
          <cell r="D9786" t="str">
            <v>PS9112673</v>
          </cell>
          <cell r="BA9786">
            <v>14.99</v>
          </cell>
        </row>
        <row r="9787">
          <cell r="C9787" t="str">
            <v>4509 - TOOLS &amp; SUPPLIES</v>
          </cell>
          <cell r="D9787" t="str">
            <v>PS9108663</v>
          </cell>
          <cell r="BA9787">
            <v>10.99</v>
          </cell>
        </row>
        <row r="9788">
          <cell r="C9788" t="str">
            <v>4509 - TOOLS &amp; SUPPLIES</v>
          </cell>
          <cell r="D9788" t="str">
            <v>PS9331315</v>
          </cell>
          <cell r="BA9788">
            <v>119.99</v>
          </cell>
        </row>
        <row r="9789">
          <cell r="C9789" t="str">
            <v>4509 - TOOLS &amp; SUPPLIES</v>
          </cell>
          <cell r="D9789" t="str">
            <v>PS9228339</v>
          </cell>
          <cell r="BA9789">
            <v>49.99</v>
          </cell>
        </row>
        <row r="9790">
          <cell r="C9790" t="str">
            <v>4509 - TOOLS &amp; SUPPLIES</v>
          </cell>
          <cell r="D9790" t="str">
            <v>PS9114158</v>
          </cell>
          <cell r="BA9790">
            <v>21.99</v>
          </cell>
        </row>
        <row r="9791">
          <cell r="C9791" t="str">
            <v>4509 - TOOLS &amp; SUPPLIES</v>
          </cell>
          <cell r="D9791" t="str">
            <v>57TARP</v>
          </cell>
          <cell r="BA9791">
            <v>1.99</v>
          </cell>
        </row>
        <row r="9792">
          <cell r="C9792" t="str">
            <v>4509 - TOOLS &amp; SUPPLIES</v>
          </cell>
          <cell r="D9792" t="str">
            <v>1020TARPM</v>
          </cell>
          <cell r="BA9792">
            <v>32.99</v>
          </cell>
        </row>
        <row r="9793">
          <cell r="C9793" t="str">
            <v>4509 - TOOLS &amp; SUPPLIES</v>
          </cell>
          <cell r="D9793" t="str">
            <v>4060TARPM</v>
          </cell>
          <cell r="BA9793">
            <v>199.99</v>
          </cell>
        </row>
        <row r="9794">
          <cell r="C9794" t="str">
            <v>4509 - TOOLS &amp; SUPPLIES</v>
          </cell>
          <cell r="D9794" t="str">
            <v>1216BTARPLD</v>
          </cell>
          <cell r="BA9794">
            <v>32.99</v>
          </cell>
        </row>
        <row r="9795">
          <cell r="C9795" t="str">
            <v>4509 - TOOLS &amp; SUPPLIES</v>
          </cell>
          <cell r="D9795" t="str">
            <v>1220BTARPLD</v>
          </cell>
          <cell r="BA9795">
            <v>34.99</v>
          </cell>
        </row>
        <row r="9796">
          <cell r="C9796" t="str">
            <v>4509 - TOOLS &amp; SUPPLIES</v>
          </cell>
          <cell r="D9796" t="str">
            <v>GRETARP810</v>
          </cell>
          <cell r="BA9796">
            <v>4.6900000000000004</v>
          </cell>
        </row>
        <row r="9797">
          <cell r="C9797" t="str">
            <v>4509 - TOOLS &amp; SUPPLIES</v>
          </cell>
          <cell r="D9797" t="str">
            <v>PST1620BB70</v>
          </cell>
          <cell r="BA9797">
            <v>27.99</v>
          </cell>
        </row>
        <row r="9798">
          <cell r="C9798" t="str">
            <v>4509 - TOOLS &amp; SUPPLIES</v>
          </cell>
          <cell r="D9798" t="str">
            <v>2020TARP</v>
          </cell>
          <cell r="BA9798">
            <v>59.99</v>
          </cell>
        </row>
        <row r="9799">
          <cell r="C9799" t="str">
            <v>4509 - TOOLS &amp; SUPPLIES</v>
          </cell>
          <cell r="D9799" t="str">
            <v>FT30810</v>
          </cell>
          <cell r="BA9799">
            <v>10.09</v>
          </cell>
        </row>
        <row r="9800">
          <cell r="C9800" t="str">
            <v>4509 - TOOLS &amp; SUPPLIES</v>
          </cell>
          <cell r="D9800" t="str">
            <v>FT31012</v>
          </cell>
          <cell r="BA9800">
            <v>15.19</v>
          </cell>
        </row>
        <row r="9801">
          <cell r="C9801" t="str">
            <v>4509 - TOOLS &amp; SUPPLIES</v>
          </cell>
          <cell r="D9801" t="str">
            <v>FT31620</v>
          </cell>
          <cell r="BA9801">
            <v>39.090000000000003</v>
          </cell>
        </row>
        <row r="9802">
          <cell r="C9802" t="str">
            <v>4509 - TOOLS &amp; SUPPLIES</v>
          </cell>
          <cell r="D9802" t="str">
            <v>GWON48100</v>
          </cell>
          <cell r="BA9802">
            <v>27.99</v>
          </cell>
        </row>
        <row r="9803">
          <cell r="C9803" t="str">
            <v>4509 - TOOLS &amp; SUPPLIES</v>
          </cell>
          <cell r="D9803" t="str">
            <v>AMXBX344100</v>
          </cell>
          <cell r="BA9803">
            <v>13.99</v>
          </cell>
        </row>
        <row r="9804">
          <cell r="C9804" t="str">
            <v>4509 - TOOLS &amp; SUPPLIES</v>
          </cell>
          <cell r="D9804" t="str">
            <v>AMXBX346100</v>
          </cell>
          <cell r="BA9804">
            <v>13.99</v>
          </cell>
        </row>
        <row r="9805">
          <cell r="C9805" t="str">
            <v>4509 - TOOLS &amp; SUPPLIES</v>
          </cell>
          <cell r="D9805" t="str">
            <v>AMXBX348100</v>
          </cell>
          <cell r="BA9805">
            <v>13.99</v>
          </cell>
        </row>
        <row r="9806">
          <cell r="C9806" t="str">
            <v>4509 - TOOLS &amp; SUPPLIES</v>
          </cell>
          <cell r="D9806" t="str">
            <v>CLC439</v>
          </cell>
          <cell r="BA9806">
            <v>6.49</v>
          </cell>
        </row>
        <row r="9807">
          <cell r="C9807" t="str">
            <v>4509 - TOOLS &amp; SUPPLIES</v>
          </cell>
          <cell r="D9807" t="str">
            <v>CLC6714</v>
          </cell>
          <cell r="BA9807">
            <v>139.99</v>
          </cell>
        </row>
        <row r="9808">
          <cell r="C9808" t="str">
            <v>4509 - TOOLS &amp; SUPPLIES</v>
          </cell>
          <cell r="D9808" t="str">
            <v>CLC1614</v>
          </cell>
          <cell r="BA9808">
            <v>109.99</v>
          </cell>
        </row>
        <row r="9809">
          <cell r="C9809" t="str">
            <v>4509 - TOOLS &amp; SUPPLIES</v>
          </cell>
          <cell r="D9809" t="str">
            <v>CLC5608</v>
          </cell>
          <cell r="BA9809">
            <v>99.99</v>
          </cell>
        </row>
        <row r="9810">
          <cell r="C9810" t="str">
            <v>4509 - TOOLS &amp; SUPPLIES</v>
          </cell>
          <cell r="D9810" t="str">
            <v>CLCC6</v>
          </cell>
          <cell r="BA9810">
            <v>5.99</v>
          </cell>
        </row>
        <row r="9811">
          <cell r="C9811" t="str">
            <v>4509 - TOOLS &amp; SUPPLIES</v>
          </cell>
          <cell r="D9811" t="str">
            <v>YFT300</v>
          </cell>
          <cell r="BA9811">
            <v>2.99</v>
          </cell>
        </row>
        <row r="9812">
          <cell r="C9812" t="str">
            <v>4509 - TOOLS &amp; SUPPLIES</v>
          </cell>
          <cell r="D9812" t="str">
            <v>18730DT</v>
          </cell>
          <cell r="BA9812">
            <v>8.69</v>
          </cell>
        </row>
        <row r="9813">
          <cell r="C9813" t="str">
            <v>4509 - TOOLS &amp; SUPPLIES</v>
          </cell>
          <cell r="D9813" t="str">
            <v>TP03075</v>
          </cell>
          <cell r="BA9813">
            <v>6.49</v>
          </cell>
        </row>
        <row r="9814">
          <cell r="C9814" t="str">
            <v>4509 - TOOLS &amp; SUPPLIES</v>
          </cell>
          <cell r="D9814" t="str">
            <v>CH16103</v>
          </cell>
          <cell r="BA9814">
            <v>6.99</v>
          </cell>
        </row>
        <row r="9815">
          <cell r="C9815" t="str">
            <v>4509 - TOOLS &amp; SUPPLIES</v>
          </cell>
          <cell r="D9815" t="str">
            <v>CH16031</v>
          </cell>
          <cell r="BA9815">
            <v>25.99</v>
          </cell>
        </row>
        <row r="9816">
          <cell r="C9816" t="str">
            <v>4509 - TOOLS &amp; SUPPLIES</v>
          </cell>
          <cell r="D9816" t="str">
            <v>CH17007</v>
          </cell>
          <cell r="BA9816">
            <v>4.99</v>
          </cell>
        </row>
        <row r="9817">
          <cell r="C9817" t="str">
            <v>4509 - TOOLS &amp; SUPPLIES</v>
          </cell>
          <cell r="D9817" t="str">
            <v>CH17004</v>
          </cell>
          <cell r="BA9817">
            <v>2.99</v>
          </cell>
        </row>
        <row r="9818">
          <cell r="C9818" t="str">
            <v>4509 - TOOLS &amp; SUPPLIES</v>
          </cell>
          <cell r="D9818" t="str">
            <v>CH17000</v>
          </cell>
          <cell r="BA9818">
            <v>2.99</v>
          </cell>
        </row>
        <row r="9819">
          <cell r="C9819" t="str">
            <v>4509 - TOOLS &amp; SUPPLIES</v>
          </cell>
          <cell r="D9819" t="str">
            <v>CH17001</v>
          </cell>
          <cell r="BA9819">
            <v>2.99</v>
          </cell>
        </row>
        <row r="9820">
          <cell r="C9820" t="str">
            <v>4509 - TOOLS &amp; SUPPLIES</v>
          </cell>
          <cell r="D9820" t="str">
            <v>CH17002</v>
          </cell>
          <cell r="BA9820">
            <v>2.99</v>
          </cell>
        </row>
        <row r="9821">
          <cell r="C9821" t="str">
            <v>4509 - TOOLS &amp; SUPPLIES</v>
          </cell>
          <cell r="D9821" t="str">
            <v>CH17003</v>
          </cell>
          <cell r="BA9821">
            <v>2.99</v>
          </cell>
        </row>
        <row r="9822">
          <cell r="C9822" t="str">
            <v>4509 - TOOLS &amp; SUPPLIES</v>
          </cell>
          <cell r="D9822" t="str">
            <v>CH17005</v>
          </cell>
          <cell r="BA9822">
            <v>2.99</v>
          </cell>
        </row>
        <row r="9823">
          <cell r="C9823" t="str">
            <v>4509 - TOOLS &amp; SUPPLIES</v>
          </cell>
          <cell r="D9823" t="str">
            <v>CH17021</v>
          </cell>
          <cell r="BA9823">
            <v>2.99</v>
          </cell>
        </row>
        <row r="9824">
          <cell r="C9824" t="str">
            <v>4509 - TOOLS &amp; SUPPLIES</v>
          </cell>
          <cell r="D9824" t="str">
            <v>3M9128080025T</v>
          </cell>
          <cell r="BA9824">
            <v>19.989999999999998</v>
          </cell>
        </row>
        <row r="9825">
          <cell r="C9825" t="str">
            <v>4509 - TOOLS &amp; SUPPLIES</v>
          </cell>
          <cell r="D9825" t="str">
            <v>PR-95-U004L</v>
          </cell>
          <cell r="BA9825">
            <v>44.99</v>
          </cell>
        </row>
        <row r="9826">
          <cell r="C9826" t="str">
            <v>4509 - TOOLS &amp; SUPPLIES</v>
          </cell>
          <cell r="D9826" t="str">
            <v>MIL48-73-4011</v>
          </cell>
          <cell r="BA9826">
            <v>3.99</v>
          </cell>
        </row>
        <row r="9827">
          <cell r="C9827" t="str">
            <v>4509 - TOOLS &amp; SUPPLIES</v>
          </cell>
          <cell r="D9827" t="str">
            <v>MIL48-73-4002</v>
          </cell>
          <cell r="BA9827">
            <v>9.99</v>
          </cell>
        </row>
        <row r="9828">
          <cell r="C9828" t="str">
            <v>4509 - TOOLS &amp; SUPPLIES</v>
          </cell>
          <cell r="D9828" t="str">
            <v>MIL48-73-4014</v>
          </cell>
          <cell r="BA9828">
            <v>22.99</v>
          </cell>
        </row>
        <row r="9829">
          <cell r="C9829" t="str">
            <v>4509 - TOOLS &amp; SUPPLIES</v>
          </cell>
          <cell r="D9829" t="str">
            <v>MIL48-73-4001</v>
          </cell>
          <cell r="BA9829">
            <v>3.09</v>
          </cell>
        </row>
        <row r="9830">
          <cell r="C9830" t="str">
            <v>4509 - TOOLS &amp; SUPPLIES</v>
          </cell>
          <cell r="D9830" t="str">
            <v>MIL48-73-4004</v>
          </cell>
          <cell r="BA9830">
            <v>13.99</v>
          </cell>
        </row>
        <row r="9831">
          <cell r="C9831" t="str">
            <v>4509 - TOOLS &amp; SUPPLIES</v>
          </cell>
          <cell r="D9831" t="str">
            <v>3M90541</v>
          </cell>
          <cell r="BA9831">
            <v>72.989999999999995</v>
          </cell>
        </row>
        <row r="9832">
          <cell r="C9832" t="str">
            <v>4509 - TOOLS &amp; SUPPLIES</v>
          </cell>
          <cell r="D9832" t="str">
            <v>CLC361</v>
          </cell>
          <cell r="BA9832">
            <v>31.99</v>
          </cell>
        </row>
        <row r="9833">
          <cell r="C9833" t="str">
            <v>4509 - TOOLS &amp; SUPPLIES</v>
          </cell>
          <cell r="D9833" t="str">
            <v>HP3142</v>
          </cell>
          <cell r="BA9833">
            <v>6.59</v>
          </cell>
        </row>
        <row r="9834">
          <cell r="C9834" t="str">
            <v>4509 - TOOLS &amp; SUPPLIES</v>
          </cell>
          <cell r="D9834" t="str">
            <v>QC37002</v>
          </cell>
          <cell r="BA9834">
            <v>57.99</v>
          </cell>
        </row>
        <row r="9835">
          <cell r="C9835" t="str">
            <v>4509 - TOOLS &amp; SUPPLIES</v>
          </cell>
          <cell r="D9835" t="str">
            <v>PS6O18</v>
          </cell>
          <cell r="BA9835">
            <v>9.99</v>
          </cell>
        </row>
        <row r="9836">
          <cell r="C9836" t="str">
            <v>4509 - TOOLS &amp; SUPPLIES</v>
          </cell>
          <cell r="D9836" t="str">
            <v>6OUTLET</v>
          </cell>
          <cell r="BA9836">
            <v>15.99</v>
          </cell>
        </row>
        <row r="9837">
          <cell r="C9837" t="str">
            <v>4509 - TOOLS &amp; SUPPLIES</v>
          </cell>
          <cell r="D9837" t="str">
            <v>ET-201A</v>
          </cell>
          <cell r="BA9837">
            <v>5.69</v>
          </cell>
        </row>
        <row r="9838">
          <cell r="C9838" t="str">
            <v>4509 - TOOLS &amp; SUPPLIES</v>
          </cell>
          <cell r="D9838" t="str">
            <v>BP914</v>
          </cell>
          <cell r="BA9838">
            <v>6.99</v>
          </cell>
        </row>
        <row r="9839">
          <cell r="C9839" t="str">
            <v>4509 - TOOLS &amp; SUPPLIES</v>
          </cell>
          <cell r="D9839" t="str">
            <v>SYL15103</v>
          </cell>
          <cell r="BA9839">
            <v>3.19</v>
          </cell>
        </row>
        <row r="9840">
          <cell r="C9840" t="str">
            <v>4509 - TOOLS &amp; SUPPLIES</v>
          </cell>
          <cell r="D9840" t="str">
            <v>SYL15149</v>
          </cell>
          <cell r="BA9840">
            <v>2.89</v>
          </cell>
        </row>
        <row r="9841">
          <cell r="C9841" t="str">
            <v>4509 - TOOLS &amp; SUPPLIES</v>
          </cell>
          <cell r="D9841" t="str">
            <v>SYL15476</v>
          </cell>
          <cell r="BA9841">
            <v>4.99</v>
          </cell>
        </row>
        <row r="9842">
          <cell r="C9842" t="str">
            <v>4509 - TOOLS &amp; SUPPLIES</v>
          </cell>
          <cell r="D9842" t="str">
            <v>SYL52550</v>
          </cell>
          <cell r="BA9842">
            <v>3.29</v>
          </cell>
        </row>
        <row r="9843">
          <cell r="C9843" t="str">
            <v>4509 - TOOLS &amp; SUPPLIES</v>
          </cell>
          <cell r="D9843" t="str">
            <v>FEBPQ300T3/CL</v>
          </cell>
          <cell r="BA9843">
            <v>2.09</v>
          </cell>
        </row>
        <row r="9844">
          <cell r="C9844" t="str">
            <v>4509 - TOOLS &amp; SUPPLIES</v>
          </cell>
          <cell r="D9844" t="str">
            <v>500T3C</v>
          </cell>
          <cell r="BA9844">
            <v>5.69</v>
          </cell>
        </row>
        <row r="9845">
          <cell r="C9845" t="str">
            <v>4509 - TOOLS &amp; SUPPLIES</v>
          </cell>
          <cell r="D9845" t="str">
            <v>SYL21781</v>
          </cell>
          <cell r="BA9845">
            <v>5.99</v>
          </cell>
        </row>
        <row r="9846">
          <cell r="C9846" t="str">
            <v>4509 - TOOLS &amp; SUPPLIES</v>
          </cell>
          <cell r="D9846" t="str">
            <v>NEBO6700</v>
          </cell>
          <cell r="BA9846">
            <v>14.79</v>
          </cell>
        </row>
        <row r="9847">
          <cell r="C9847" t="str">
            <v>4509 - TOOLS &amp; SUPPLIES</v>
          </cell>
          <cell r="D9847" t="str">
            <v>NEBO6859</v>
          </cell>
          <cell r="BA9847">
            <v>23.49</v>
          </cell>
        </row>
        <row r="9848">
          <cell r="C9848" t="str">
            <v>4509 - TOOLS &amp; SUPPLIES</v>
          </cell>
          <cell r="D9848" t="str">
            <v>NEBO3004862</v>
          </cell>
          <cell r="BA9848">
            <v>25.99</v>
          </cell>
        </row>
        <row r="9849">
          <cell r="C9849" t="str">
            <v>4509 - TOOLS &amp; SUPPLIES</v>
          </cell>
          <cell r="D9849" t="str">
            <v>NEBO6907</v>
          </cell>
          <cell r="BA9849">
            <v>26.19</v>
          </cell>
        </row>
        <row r="9850">
          <cell r="C9850" t="str">
            <v>4509 - TOOLS &amp; SUPPLIES</v>
          </cell>
          <cell r="D9850" t="str">
            <v>E04170</v>
          </cell>
          <cell r="BA9850">
            <v>10.99</v>
          </cell>
        </row>
        <row r="9851">
          <cell r="C9851" t="str">
            <v>4509 - TOOLS &amp; SUPPLIES</v>
          </cell>
          <cell r="D9851" t="str">
            <v>PZ4764767</v>
          </cell>
          <cell r="BA9851">
            <v>22.99</v>
          </cell>
        </row>
        <row r="9852">
          <cell r="C9852" t="str">
            <v>4509 - TOOLS &amp; SUPPLIES</v>
          </cell>
          <cell r="D9852" t="str">
            <v>PZ1365899</v>
          </cell>
          <cell r="BA9852">
            <v>34.99</v>
          </cell>
        </row>
        <row r="9853">
          <cell r="C9853" t="str">
            <v>4509 - TOOLS &amp; SUPPLIES</v>
          </cell>
          <cell r="D9853" t="str">
            <v>NEB-WLT-0015</v>
          </cell>
          <cell r="BA9853">
            <v>30.29</v>
          </cell>
        </row>
        <row r="9854">
          <cell r="C9854" t="str">
            <v>4509 - TOOLS &amp; SUPPLIES</v>
          </cell>
          <cell r="D9854" t="str">
            <v>GTO-HX-WL4000DT</v>
          </cell>
          <cell r="BA9854">
            <v>82.99</v>
          </cell>
        </row>
        <row r="9855">
          <cell r="C9855" t="str">
            <v>4509 - TOOLS &amp; SUPPLIES</v>
          </cell>
          <cell r="D9855" t="str">
            <v>PZ4461687</v>
          </cell>
          <cell r="BA9855">
            <v>2.39</v>
          </cell>
        </row>
        <row r="9856">
          <cell r="C9856" t="str">
            <v>4509 - TOOLS &amp; SUPPLIES</v>
          </cell>
          <cell r="D9856" t="str">
            <v>EC103100SJ</v>
          </cell>
          <cell r="BA9856">
            <v>179.99</v>
          </cell>
        </row>
        <row r="9857">
          <cell r="C9857" t="str">
            <v>4509 - TOOLS &amp; SUPPLIES</v>
          </cell>
          <cell r="D9857" t="str">
            <v>EC103100TB20A</v>
          </cell>
          <cell r="BA9857">
            <v>249.99</v>
          </cell>
        </row>
        <row r="9858">
          <cell r="C9858" t="str">
            <v>4509 - TOOLS &amp; SUPPLIES</v>
          </cell>
          <cell r="D9858" t="str">
            <v>EC10350SJ</v>
          </cell>
          <cell r="BA9858">
            <v>129.99</v>
          </cell>
        </row>
        <row r="9859">
          <cell r="C9859" t="str">
            <v>4509 - TOOLS &amp; SUPPLIES</v>
          </cell>
          <cell r="D9859" t="str">
            <v>EC10350TB20A</v>
          </cell>
          <cell r="BA9859">
            <v>129.99</v>
          </cell>
        </row>
        <row r="9860">
          <cell r="C9860" t="str">
            <v>4509 - TOOLS &amp; SUPPLIES</v>
          </cell>
          <cell r="D9860" t="str">
            <v>EC123100</v>
          </cell>
          <cell r="BA9860">
            <v>87.99</v>
          </cell>
        </row>
        <row r="9861">
          <cell r="C9861" t="str">
            <v>4509 - TOOLS &amp; SUPPLIES</v>
          </cell>
          <cell r="D9861" t="str">
            <v>EC123100SJ</v>
          </cell>
          <cell r="BA9861">
            <v>109.99</v>
          </cell>
        </row>
        <row r="9862">
          <cell r="C9862" t="str">
            <v>4509 - TOOLS &amp; SUPPLIES</v>
          </cell>
          <cell r="D9862" t="str">
            <v>EC123100Y</v>
          </cell>
          <cell r="BA9862">
            <v>99.99</v>
          </cell>
        </row>
        <row r="9863">
          <cell r="C9863" t="str">
            <v>4509 - TOOLS &amp; SUPPLIES</v>
          </cell>
          <cell r="D9863" t="str">
            <v>PZORP511825</v>
          </cell>
          <cell r="BA9863">
            <v>54.99</v>
          </cell>
        </row>
        <row r="9864">
          <cell r="C9864" t="str">
            <v>4509 - TOOLS &amp; SUPPLIES</v>
          </cell>
          <cell r="D9864" t="str">
            <v>EC12325Y</v>
          </cell>
          <cell r="BA9864">
            <v>49.99</v>
          </cell>
        </row>
        <row r="9865">
          <cell r="C9865" t="str">
            <v>4509 - TOOLS &amp; SUPPLIES</v>
          </cell>
          <cell r="D9865" t="str">
            <v>EC1232TT</v>
          </cell>
          <cell r="BA9865">
            <v>22.99</v>
          </cell>
        </row>
        <row r="9866">
          <cell r="C9866" t="str">
            <v>4509 - TOOLS &amp; SUPPLIES</v>
          </cell>
          <cell r="D9866" t="str">
            <v>PZORP511830</v>
          </cell>
          <cell r="BA9866">
            <v>79.989999999999995</v>
          </cell>
        </row>
        <row r="9867">
          <cell r="C9867" t="str">
            <v>4509 - TOOLS &amp; SUPPLIES</v>
          </cell>
          <cell r="D9867" t="str">
            <v>EC12350TT</v>
          </cell>
          <cell r="BA9867">
            <v>89.99</v>
          </cell>
        </row>
        <row r="9868">
          <cell r="C9868" t="str">
            <v>4509 - TOOLS &amp; SUPPLIES</v>
          </cell>
          <cell r="D9868" t="str">
            <v>EC12350Y</v>
          </cell>
          <cell r="BA9868">
            <v>79.989999999999995</v>
          </cell>
        </row>
        <row r="9869">
          <cell r="C9869" t="str">
            <v>4509 - TOOLS &amp; SUPPLIES</v>
          </cell>
          <cell r="D9869" t="str">
            <v>EC143100SJ</v>
          </cell>
          <cell r="BA9869">
            <v>89.99</v>
          </cell>
        </row>
        <row r="9870">
          <cell r="C9870" t="str">
            <v>4509 - TOOLS &amp; SUPPLIES</v>
          </cell>
          <cell r="D9870" t="str">
            <v>EC14325SJ</v>
          </cell>
          <cell r="BA9870">
            <v>37.99</v>
          </cell>
        </row>
        <row r="9871">
          <cell r="C9871" t="str">
            <v>4509 - TOOLS &amp; SUPPLIES</v>
          </cell>
          <cell r="D9871" t="str">
            <v>EC14325Y</v>
          </cell>
          <cell r="BA9871">
            <v>37.99</v>
          </cell>
        </row>
        <row r="9872">
          <cell r="C9872" t="str">
            <v>4509 - TOOLS &amp; SUPPLIES</v>
          </cell>
          <cell r="D9872" t="str">
            <v>PZ7431901</v>
          </cell>
          <cell r="BA9872">
            <v>57.99</v>
          </cell>
        </row>
        <row r="9873">
          <cell r="C9873" t="str">
            <v>4509 - TOOLS &amp; SUPPLIES</v>
          </cell>
          <cell r="D9873" t="str">
            <v>PZOR501635</v>
          </cell>
          <cell r="BA9873">
            <v>25.99</v>
          </cell>
        </row>
        <row r="9874">
          <cell r="C9874" t="str">
            <v>4509 - TOOLS &amp; SUPPLIES</v>
          </cell>
          <cell r="D9874" t="str">
            <v>EC16325O</v>
          </cell>
          <cell r="BA9874">
            <v>12.99</v>
          </cell>
        </row>
        <row r="9875">
          <cell r="C9875" t="str">
            <v>4509 - TOOLS &amp; SUPPLIES</v>
          </cell>
          <cell r="D9875" t="str">
            <v>PZ4352019</v>
          </cell>
          <cell r="BA9875">
            <v>12.99</v>
          </cell>
        </row>
        <row r="9876">
          <cell r="C9876" t="str">
            <v>4509 - TOOLS &amp; SUPPLIES</v>
          </cell>
          <cell r="D9876" t="str">
            <v>PZ3790326</v>
          </cell>
          <cell r="BA9876">
            <v>119.99</v>
          </cell>
        </row>
        <row r="9877">
          <cell r="C9877" t="str">
            <v>4509 - TOOLS &amp; SUPPLIES</v>
          </cell>
          <cell r="D9877" t="str">
            <v>PZ4346466</v>
          </cell>
          <cell r="BA9877">
            <v>67.989999999999995</v>
          </cell>
        </row>
        <row r="9878">
          <cell r="C9878" t="str">
            <v>4509 - TOOLS &amp; SUPPLIES</v>
          </cell>
          <cell r="D9878" t="str">
            <v>PZ4481545</v>
          </cell>
          <cell r="BA9878">
            <v>4.79</v>
          </cell>
        </row>
        <row r="9879">
          <cell r="C9879" t="str">
            <v>4509 - TOOLS &amp; SUPPLIES</v>
          </cell>
          <cell r="D9879" t="str">
            <v>PZOR500825</v>
          </cell>
          <cell r="BA9879">
            <v>37.99</v>
          </cell>
        </row>
        <row r="9880">
          <cell r="C9880" t="str">
            <v>4509 - TOOLS &amp; SUPPLIES</v>
          </cell>
          <cell r="D9880" t="str">
            <v>PZ4366472</v>
          </cell>
          <cell r="BA9880">
            <v>47.99</v>
          </cell>
        </row>
        <row r="9881">
          <cell r="C9881" t="str">
            <v>4509 - TOOLS &amp; SUPPLIES</v>
          </cell>
          <cell r="D9881" t="str">
            <v>PZ4326849</v>
          </cell>
          <cell r="BA9881">
            <v>14.99</v>
          </cell>
        </row>
        <row r="9882">
          <cell r="C9882" t="str">
            <v>4509 - TOOLS &amp; SUPPLIES</v>
          </cell>
          <cell r="D9882" t="str">
            <v>PZ4343323</v>
          </cell>
          <cell r="BA9882">
            <v>39.99</v>
          </cell>
        </row>
        <row r="9883">
          <cell r="C9883" t="str">
            <v>4509 - TOOLS &amp; SUPPLIES</v>
          </cell>
          <cell r="D9883" t="str">
            <v>BZ304182</v>
          </cell>
          <cell r="BA9883">
            <v>5.99</v>
          </cell>
        </row>
        <row r="9884">
          <cell r="C9884" t="str">
            <v>4509 - TOOLS &amp; SUPPLIES</v>
          </cell>
          <cell r="D9884" t="str">
            <v>KCOLBSR-120</v>
          </cell>
          <cell r="BA9884">
            <v>8.99</v>
          </cell>
        </row>
        <row r="9885">
          <cell r="C9885" t="str">
            <v>4509 - TOOLS &amp; SUPPLIES</v>
          </cell>
          <cell r="D9885" t="str">
            <v>WHS20OZ</v>
          </cell>
          <cell r="BA9885">
            <v>4.59</v>
          </cell>
        </row>
        <row r="9886">
          <cell r="C9886" t="str">
            <v>4509 - TOOLS &amp; SUPPLIES</v>
          </cell>
          <cell r="D9886" t="str">
            <v>PTLUBE</v>
          </cell>
          <cell r="BA9886">
            <v>6.99</v>
          </cell>
        </row>
        <row r="9887">
          <cell r="C9887" t="str">
            <v>4509 - TOOLS &amp; SUPPLIES</v>
          </cell>
          <cell r="D9887" t="str">
            <v>HPRO23</v>
          </cell>
          <cell r="BA9887">
            <v>4.99</v>
          </cell>
        </row>
        <row r="9888">
          <cell r="C9888" t="str">
            <v>4509 - TOOLS &amp; SUPPLIES</v>
          </cell>
          <cell r="D9888" t="str">
            <v>TC09301-A</v>
          </cell>
          <cell r="BA9888">
            <v>3.29</v>
          </cell>
        </row>
        <row r="9889">
          <cell r="C9889" t="str">
            <v>4509 - TOOLS &amp; SUPPLIES</v>
          </cell>
          <cell r="D9889" t="str">
            <v>SB32/1L</v>
          </cell>
          <cell r="BA9889">
            <v>2.99</v>
          </cell>
        </row>
        <row r="9890">
          <cell r="C9890" t="str">
            <v>4509 - TOOLS &amp; SUPPLIES</v>
          </cell>
          <cell r="D9890" t="str">
            <v>CLCI923X</v>
          </cell>
          <cell r="BA9890">
            <v>29.99</v>
          </cell>
        </row>
        <row r="9891">
          <cell r="C9891" t="str">
            <v>4509 - TOOLS &amp; SUPPLIES</v>
          </cell>
          <cell r="D9891" t="str">
            <v>KC75130</v>
          </cell>
          <cell r="BA9891">
            <v>3.29</v>
          </cell>
        </row>
        <row r="9892">
          <cell r="C9892" t="str">
            <v>4509 - TOOLS &amp; SUPPLIES</v>
          </cell>
          <cell r="D9892" t="str">
            <v>BI10520</v>
          </cell>
          <cell r="BA9892">
            <v>13.99</v>
          </cell>
        </row>
        <row r="9893">
          <cell r="C9893" t="str">
            <v>4509 - TOOLS &amp; SUPPLIES</v>
          </cell>
          <cell r="D9893" t="str">
            <v>BI10521</v>
          </cell>
          <cell r="BA9893">
            <v>4.79</v>
          </cell>
        </row>
        <row r="9894">
          <cell r="C9894" t="str">
            <v>4509 - TOOLS &amp; SUPPLIES</v>
          </cell>
          <cell r="D9894" t="str">
            <v>BI10526</v>
          </cell>
          <cell r="BA9894">
            <v>24.99</v>
          </cell>
        </row>
        <row r="9895">
          <cell r="C9895" t="str">
            <v>4509 - TOOLS &amp; SUPPLIES</v>
          </cell>
          <cell r="D9895" t="str">
            <v>BI60200</v>
          </cell>
          <cell r="BA9895">
            <v>5.39</v>
          </cell>
        </row>
        <row r="9896">
          <cell r="C9896" t="str">
            <v>4509 - TOOLS &amp; SUPPLIES</v>
          </cell>
          <cell r="D9896" t="str">
            <v>BI60229C</v>
          </cell>
          <cell r="BA9896">
            <v>3.99</v>
          </cell>
        </row>
        <row r="9897">
          <cell r="C9897" t="str">
            <v>4509 - TOOLS &amp; SUPPLIES</v>
          </cell>
          <cell r="D9897" t="str">
            <v>PPG57250</v>
          </cell>
          <cell r="BA9897">
            <v>3.79</v>
          </cell>
        </row>
        <row r="9898">
          <cell r="C9898" t="str">
            <v>4509 - TOOLS &amp; SUPPLIES</v>
          </cell>
          <cell r="D9898" t="str">
            <v>PPG57251</v>
          </cell>
          <cell r="BA9898">
            <v>12.29</v>
          </cell>
        </row>
        <row r="9899">
          <cell r="C9899" t="str">
            <v>4509 - TOOLS &amp; SUPPLIES</v>
          </cell>
          <cell r="D9899" t="str">
            <v>PPG57253</v>
          </cell>
          <cell r="BA9899">
            <v>24.49</v>
          </cell>
        </row>
        <row r="9900">
          <cell r="C9900" t="str">
            <v>4509 - TOOLS &amp; SUPPLIES</v>
          </cell>
          <cell r="D9900" t="str">
            <v>RAG05210</v>
          </cell>
          <cell r="BA9900">
            <v>22.99</v>
          </cell>
        </row>
        <row r="9901">
          <cell r="C9901" t="str">
            <v>4509 - TOOLS &amp; SUPPLIES</v>
          </cell>
          <cell r="D9901" t="str">
            <v>RAG75260</v>
          </cell>
          <cell r="BA9901">
            <v>13.99</v>
          </cell>
        </row>
        <row r="9902">
          <cell r="C9902" t="str">
            <v>4509 - TOOLS &amp; SUPPLIES</v>
          </cell>
          <cell r="D9902" t="str">
            <v>RB10811</v>
          </cell>
          <cell r="BA9902">
            <v>4.99</v>
          </cell>
        </row>
        <row r="9903">
          <cell r="C9903" t="str">
            <v>4509 - TOOLS &amp; SUPPLIES</v>
          </cell>
          <cell r="D9903" t="str">
            <v>13GTB120</v>
          </cell>
          <cell r="BA9903">
            <v>18.989999999999998</v>
          </cell>
        </row>
        <row r="9904">
          <cell r="C9904" t="str">
            <v>4509 - TOOLS &amp; SUPPLIES</v>
          </cell>
          <cell r="D9904" t="str">
            <v>CTBAG50</v>
          </cell>
          <cell r="BA9904">
            <v>29.99</v>
          </cell>
        </row>
        <row r="9905">
          <cell r="C9905" t="str">
            <v>4509 - TOOLS &amp; SUPPLIES</v>
          </cell>
          <cell r="D9905" t="str">
            <v>PAHK33DS042B</v>
          </cell>
          <cell r="BA9905">
            <v>15.99</v>
          </cell>
        </row>
        <row r="9906">
          <cell r="C9906" t="str">
            <v>4509 - TOOLS &amp; SUPPLIES</v>
          </cell>
          <cell r="D9906" t="str">
            <v>PEB30</v>
          </cell>
          <cell r="BA9906">
            <v>5.49</v>
          </cell>
        </row>
        <row r="9907">
          <cell r="C9907" t="str">
            <v>4509 - TOOLS &amp; SUPPLIES</v>
          </cell>
          <cell r="D9907" t="str">
            <v>HK3014</v>
          </cell>
          <cell r="BA9907">
            <v>1.39</v>
          </cell>
        </row>
        <row r="9908">
          <cell r="C9908" t="str">
            <v>4509 - TOOLS &amp; SUPPLIES</v>
          </cell>
          <cell r="D9908" t="str">
            <v>KOPHG</v>
          </cell>
          <cell r="BA9908">
            <v>1.39</v>
          </cell>
        </row>
        <row r="9909">
          <cell r="C9909" t="str">
            <v>4509 - TOOLS &amp; SUPPLIES</v>
          </cell>
          <cell r="D9909" t="str">
            <v>TS11</v>
          </cell>
          <cell r="BA9909">
            <v>29.99</v>
          </cell>
        </row>
        <row r="9910">
          <cell r="C9910" t="str">
            <v>4509 - TOOLS &amp; SUPPLIES</v>
          </cell>
          <cell r="D9910" t="str">
            <v>CLCV230</v>
          </cell>
          <cell r="BA9910">
            <v>27.99</v>
          </cell>
        </row>
        <row r="9911">
          <cell r="C9911" t="str">
            <v>4509 - TOOLS &amp; SUPPLIES</v>
          </cell>
          <cell r="D9911" t="str">
            <v>CLCG340</v>
          </cell>
          <cell r="BA9911">
            <v>44.99</v>
          </cell>
        </row>
        <row r="9912">
          <cell r="C9912" t="str">
            <v>4509 - TOOLS &amp; SUPPLIES</v>
          </cell>
          <cell r="D9912" t="str">
            <v>CLCV229</v>
          </cell>
          <cell r="BA9912">
            <v>10.99</v>
          </cell>
        </row>
        <row r="9913">
          <cell r="C9913" t="str">
            <v>4509 - TOOLS &amp; SUPPLIES</v>
          </cell>
          <cell r="D9913" t="str">
            <v>CLC345</v>
          </cell>
          <cell r="BA9913">
            <v>37.99</v>
          </cell>
        </row>
        <row r="9914">
          <cell r="C9914" t="str">
            <v>4509 - TOOLS &amp; SUPPLIES</v>
          </cell>
          <cell r="D9914" t="str">
            <v>GF00815</v>
          </cell>
          <cell r="BA9914">
            <v>119.99</v>
          </cell>
        </row>
        <row r="9915">
          <cell r="C9915" t="str">
            <v>4509 - TOOLS &amp; SUPPLIES</v>
          </cell>
          <cell r="D9915" t="str">
            <v>PS6068944</v>
          </cell>
          <cell r="BA9915">
            <v>4.79</v>
          </cell>
        </row>
        <row r="9916">
          <cell r="C9916" t="str">
            <v>4509 - TOOLS &amp; SUPPLIES</v>
          </cell>
          <cell r="D9916" t="str">
            <v>AA2K0003N</v>
          </cell>
          <cell r="BA9916">
            <v>479.99</v>
          </cell>
        </row>
        <row r="9917">
          <cell r="C9917" t="str">
            <v>4509 - TOOLS &amp; SUPPLIES</v>
          </cell>
          <cell r="D9917" t="str">
            <v>SENKD28ASBF</v>
          </cell>
          <cell r="BA9917">
            <v>129.99</v>
          </cell>
        </row>
        <row r="9918">
          <cell r="C9918" t="str">
            <v>4509 - TOOLS &amp; SUPPLIES</v>
          </cell>
          <cell r="D9918" t="str">
            <v>GRPU38100C</v>
          </cell>
          <cell r="BA9918">
            <v>74.989999999999995</v>
          </cell>
        </row>
        <row r="9919">
          <cell r="C9919" t="str">
            <v>4509 - TOOLS &amp; SUPPLIES</v>
          </cell>
          <cell r="D9919" t="str">
            <v>AAPC0101</v>
          </cell>
          <cell r="BA9919">
            <v>6.99</v>
          </cell>
        </row>
        <row r="9920">
          <cell r="C9920" t="str">
            <v>4509 - TOOLS &amp; SUPPLIES</v>
          </cell>
          <cell r="D9920" t="str">
            <v>AAPC0643</v>
          </cell>
          <cell r="BA9920">
            <v>2.19</v>
          </cell>
        </row>
        <row r="9921">
          <cell r="C9921" t="str">
            <v>4509 - TOOLS &amp; SUPPLIES</v>
          </cell>
          <cell r="D9921" t="str">
            <v>AASLS25XP</v>
          </cell>
          <cell r="BA9921">
            <v>329.99</v>
          </cell>
        </row>
        <row r="9922">
          <cell r="C9922" t="str">
            <v>4509 - TOOLS &amp; SUPPLIES</v>
          </cell>
          <cell r="D9922" t="str">
            <v>MKMAC5200</v>
          </cell>
          <cell r="BA9922">
            <v>499.99</v>
          </cell>
        </row>
        <row r="9923">
          <cell r="C9923" t="str">
            <v>4509 - TOOLS &amp; SUPPLIES</v>
          </cell>
          <cell r="D9923" t="str">
            <v>AA18049</v>
          </cell>
          <cell r="BA9923">
            <v>8.99</v>
          </cell>
        </row>
        <row r="9924">
          <cell r="C9924" t="str">
            <v>4509 - TOOLS &amp; SUPPLIES</v>
          </cell>
          <cell r="D9924" t="str">
            <v>PC0977</v>
          </cell>
          <cell r="BA9924">
            <v>67.989999999999995</v>
          </cell>
        </row>
        <row r="9925">
          <cell r="C9925" t="str">
            <v>4509 - TOOLS &amp; SUPPLIES</v>
          </cell>
          <cell r="D9925" t="str">
            <v>SPPC0978</v>
          </cell>
          <cell r="BA9925">
            <v>119.99</v>
          </cell>
        </row>
        <row r="9926">
          <cell r="C9926" t="str">
            <v>4509 - TOOLS &amp; SUPPLIES</v>
          </cell>
          <cell r="D9926" t="str">
            <v>PC0979</v>
          </cell>
          <cell r="BA9926">
            <v>94.99</v>
          </cell>
        </row>
        <row r="9927">
          <cell r="C9927" t="str">
            <v>4509 - TOOLS &amp; SUPPLIES</v>
          </cell>
          <cell r="D9927" t="str">
            <v>AA4192472</v>
          </cell>
          <cell r="BA9927">
            <v>2.59</v>
          </cell>
        </row>
        <row r="9928">
          <cell r="C9928" t="str">
            <v>4509 - TOOLS &amp; SUPPLIES</v>
          </cell>
          <cell r="D9928" t="str">
            <v>LID5G</v>
          </cell>
          <cell r="BA9928">
            <v>3.29</v>
          </cell>
        </row>
        <row r="9929">
          <cell r="C9929" t="str">
            <v>4509 - TOOLS &amp; SUPPLIES</v>
          </cell>
          <cell r="D9929" t="str">
            <v>DW2541IR</v>
          </cell>
          <cell r="BA9929">
            <v>5.69</v>
          </cell>
        </row>
        <row r="9930">
          <cell r="C9930" t="str">
            <v>4509 - TOOLS &amp; SUPPLIES</v>
          </cell>
          <cell r="D9930" t="str">
            <v>PC1131</v>
          </cell>
          <cell r="BA9930">
            <v>499.99</v>
          </cell>
        </row>
        <row r="9931">
          <cell r="C9931" t="str">
            <v>4509 - TOOLS &amp; SUPPLIES</v>
          </cell>
          <cell r="D9931" t="str">
            <v>ST20526</v>
          </cell>
          <cell r="BA9931">
            <v>16.989999999999998</v>
          </cell>
        </row>
        <row r="9932">
          <cell r="C9932" t="str">
            <v>4509 - TOOLS &amp; SUPPLIES</v>
          </cell>
          <cell r="D9932" t="str">
            <v>AJC070-MS</v>
          </cell>
          <cell r="BA9932">
            <v>151.99</v>
          </cell>
        </row>
        <row r="9933">
          <cell r="C9933" t="str">
            <v>4509 - TOOLS &amp; SUPPLIES</v>
          </cell>
          <cell r="D9933" t="str">
            <v>GT842</v>
          </cell>
          <cell r="BA9933">
            <v>11.99</v>
          </cell>
        </row>
        <row r="9934">
          <cell r="C9934" t="str">
            <v>4509 - TOOLS &amp; SUPPLIES</v>
          </cell>
          <cell r="D9934" t="str">
            <v>ARRHT300</v>
          </cell>
          <cell r="BA9934">
            <v>24.99</v>
          </cell>
        </row>
        <row r="9935">
          <cell r="C9935" t="str">
            <v>4509 - TOOLS &amp; SUPPLIES</v>
          </cell>
          <cell r="D9935" t="str">
            <v>FMSD-20-MAC13KUE</v>
          </cell>
          <cell r="BA9935">
            <v>684.99</v>
          </cell>
        </row>
        <row r="9936">
          <cell r="C9936" t="str">
            <v>4509 - TOOLS &amp; SUPPLIES</v>
          </cell>
          <cell r="D9936" t="str">
            <v>AA2008118</v>
          </cell>
          <cell r="BA9936">
            <v>5.99</v>
          </cell>
        </row>
        <row r="9937">
          <cell r="C9937" t="str">
            <v>4509 - TOOLS &amp; SUPPLIES</v>
          </cell>
          <cell r="D9937" t="str">
            <v>VC1044809</v>
          </cell>
          <cell r="BA9937">
            <v>8.99</v>
          </cell>
        </row>
        <row r="9938">
          <cell r="C9938" t="str">
            <v>4509 - TOOLS &amp; SUPPLIES</v>
          </cell>
          <cell r="D9938" t="str">
            <v>SV9067133</v>
          </cell>
          <cell r="BA9938">
            <v>19.989999999999998</v>
          </cell>
        </row>
        <row r="9939">
          <cell r="C9939" t="str">
            <v>4509 - TOOLS &amp; SUPPLIES</v>
          </cell>
          <cell r="D9939" t="str">
            <v>AA2068765</v>
          </cell>
          <cell r="BA9939">
            <v>31.99</v>
          </cell>
        </row>
        <row r="9940">
          <cell r="C9940" t="str">
            <v>4509 - TOOLS &amp; SUPPLIES</v>
          </cell>
          <cell r="D9940" t="str">
            <v>DW2700</v>
          </cell>
          <cell r="BA9940">
            <v>13.89</v>
          </cell>
        </row>
        <row r="9941">
          <cell r="C9941" t="str">
            <v>4509 - TOOLS &amp; SUPPLIES</v>
          </cell>
          <cell r="D9941" t="str">
            <v>DW2701</v>
          </cell>
          <cell r="BA9941">
            <v>18.989999999999998</v>
          </cell>
        </row>
        <row r="9942">
          <cell r="C9942" t="str">
            <v>4509 - TOOLS &amp; SUPPLIES</v>
          </cell>
          <cell r="D9942" t="str">
            <v>AA22220</v>
          </cell>
          <cell r="BA9942">
            <v>19.989999999999998</v>
          </cell>
        </row>
        <row r="9943">
          <cell r="C9943" t="str">
            <v>4509 - TOOLS &amp; SUPPLIES</v>
          </cell>
          <cell r="D9943" t="str">
            <v>M7R</v>
          </cell>
          <cell r="BA9943">
            <v>19.989999999999998</v>
          </cell>
        </row>
        <row r="9944">
          <cell r="C9944" t="str">
            <v>4509 - TOOLS &amp; SUPPLIES</v>
          </cell>
          <cell r="D9944" t="str">
            <v>CC4060</v>
          </cell>
          <cell r="BA9944">
            <v>8.69</v>
          </cell>
        </row>
        <row r="9945">
          <cell r="C9945" t="str">
            <v>4509 - TOOLS &amp; SUPPLIES</v>
          </cell>
          <cell r="D9945" t="str">
            <v>CC4080</v>
          </cell>
          <cell r="BA9945">
            <v>5.89</v>
          </cell>
        </row>
        <row r="9946">
          <cell r="C9946" t="str">
            <v>4509 - TOOLS &amp; SUPPLIES</v>
          </cell>
          <cell r="D9946" t="str">
            <v>130DMP</v>
          </cell>
          <cell r="BA9946">
            <v>8.99</v>
          </cell>
        </row>
        <row r="9947">
          <cell r="C9947" t="str">
            <v>4509 - TOOLS &amp; SUPPLIES</v>
          </cell>
          <cell r="D9947" t="str">
            <v>150DMP</v>
          </cell>
          <cell r="BA9947">
            <v>14.99</v>
          </cell>
        </row>
        <row r="9948">
          <cell r="C9948" t="str">
            <v>4509 - TOOLS &amp; SUPPLIES</v>
          </cell>
          <cell r="D9948" t="str">
            <v>SCBW</v>
          </cell>
          <cell r="BA9948">
            <v>7.99</v>
          </cell>
        </row>
        <row r="9949">
          <cell r="C9949" t="str">
            <v>4509 - TOOLS &amp; SUPPLIES</v>
          </cell>
          <cell r="D9949" t="str">
            <v>ST11939</v>
          </cell>
          <cell r="BA9949">
            <v>7.59</v>
          </cell>
        </row>
        <row r="9950">
          <cell r="C9950" t="str">
            <v>4509 - TOOLS &amp; SUPPLIES</v>
          </cell>
          <cell r="D9950" t="str">
            <v>ST33716</v>
          </cell>
          <cell r="BA9950">
            <v>25.99</v>
          </cell>
        </row>
        <row r="9951">
          <cell r="C9951" t="str">
            <v>4509 - TOOLS &amp; SUPPLIES</v>
          </cell>
          <cell r="D9951" t="str">
            <v>MT3512D</v>
          </cell>
          <cell r="BA9951">
            <v>15.99</v>
          </cell>
        </row>
        <row r="9952">
          <cell r="C9952" t="str">
            <v>4509 - TOOLS &amp; SUPPLIES</v>
          </cell>
          <cell r="D9952" t="str">
            <v>MT6262</v>
          </cell>
          <cell r="BA9952">
            <v>2.59</v>
          </cell>
        </row>
        <row r="9953">
          <cell r="C9953" t="str">
            <v>4509 - TOOLS &amp; SUPPLIES</v>
          </cell>
          <cell r="D9953" t="str">
            <v>DK36022</v>
          </cell>
          <cell r="BA9953">
            <v>11.99</v>
          </cell>
        </row>
        <row r="9954">
          <cell r="C9954" t="str">
            <v>4509 - TOOLS &amp; SUPPLIES</v>
          </cell>
          <cell r="D9954" t="str">
            <v>MTBSTK8P</v>
          </cell>
          <cell r="BA9954">
            <v>8.99</v>
          </cell>
        </row>
        <row r="9955">
          <cell r="C9955" t="str">
            <v>4509 - TOOLS &amp; SUPPLIES</v>
          </cell>
          <cell r="D9955" t="str">
            <v>MTBSTK10P</v>
          </cell>
          <cell r="BA9955">
            <v>9.99</v>
          </cell>
        </row>
        <row r="9956">
          <cell r="C9956" t="str">
            <v>4509 - TOOLS &amp; SUPPLIES</v>
          </cell>
          <cell r="D9956" t="str">
            <v>PSFH64058</v>
          </cell>
          <cell r="BA9956">
            <v>19.989999999999998</v>
          </cell>
        </row>
        <row r="9957">
          <cell r="C9957" t="str">
            <v>4509 - TOOLS &amp; SUPPLIES</v>
          </cell>
          <cell r="D9957" t="str">
            <v>PS0079665</v>
          </cell>
          <cell r="BA9957">
            <v>3.79</v>
          </cell>
        </row>
        <row r="9958">
          <cell r="C9958" t="str">
            <v>4509 - TOOLS &amp; SUPPLIES</v>
          </cell>
          <cell r="D9958" t="str">
            <v>LC1102</v>
          </cell>
          <cell r="BA9958">
            <v>13.99</v>
          </cell>
        </row>
        <row r="9959">
          <cell r="C9959" t="str">
            <v>4509 - TOOLS &amp; SUPPLIES</v>
          </cell>
          <cell r="D9959" t="str">
            <v>L1031</v>
          </cell>
          <cell r="BA9959">
            <v>6.99</v>
          </cell>
        </row>
        <row r="9960">
          <cell r="C9960" t="str">
            <v>4509 - TOOLS &amp; SUPPLIES</v>
          </cell>
          <cell r="D9960" t="str">
            <v>LIB7492283</v>
          </cell>
          <cell r="BA9960">
            <v>10.99</v>
          </cell>
        </row>
        <row r="9961">
          <cell r="C9961" t="str">
            <v>4509 - TOOLS &amp; SUPPLIES</v>
          </cell>
          <cell r="D9961" t="str">
            <v>QM202ZQK</v>
          </cell>
          <cell r="BA9961">
            <v>4.99</v>
          </cell>
        </row>
        <row r="9962">
          <cell r="C9962" t="str">
            <v>4509 - TOOLS &amp; SUPPLIES</v>
          </cell>
          <cell r="D9962" t="str">
            <v>BRM00857SUS</v>
          </cell>
          <cell r="BA9962">
            <v>42.99</v>
          </cell>
        </row>
        <row r="9963">
          <cell r="C9963" t="str">
            <v>4509 - TOOLS &amp; SUPPLIES</v>
          </cell>
          <cell r="D9963" t="str">
            <v>DSWB</v>
          </cell>
          <cell r="BA9963">
            <v>4.3899999999999997</v>
          </cell>
        </row>
        <row r="9964">
          <cell r="C9964" t="str">
            <v>4509 - TOOLS &amp; SUPPLIES</v>
          </cell>
          <cell r="D9964" t="str">
            <v>PB533</v>
          </cell>
          <cell r="BA9964">
            <v>18.989999999999998</v>
          </cell>
        </row>
        <row r="9965">
          <cell r="C9965" t="str">
            <v>4509 - TOOLS &amp; SUPPLIES</v>
          </cell>
          <cell r="D9965" t="str">
            <v>WB00319S</v>
          </cell>
          <cell r="BA9965">
            <v>3.29</v>
          </cell>
        </row>
        <row r="9966">
          <cell r="C9966" t="str">
            <v>4509 - TOOLS &amp; SUPPLIES</v>
          </cell>
          <cell r="D9966" t="str">
            <v>PPWV10</v>
          </cell>
          <cell r="BA9966">
            <v>0.27</v>
          </cell>
        </row>
        <row r="9967">
          <cell r="C9967" t="str">
            <v>4509 - TOOLS &amp; SUPPLIES</v>
          </cell>
          <cell r="D9967" t="str">
            <v>PS150025</v>
          </cell>
          <cell r="BA9967">
            <v>2.39</v>
          </cell>
        </row>
        <row r="9968">
          <cell r="C9968" t="str">
            <v>4509 - TOOLS &amp; SUPPLIES</v>
          </cell>
          <cell r="D9968" t="str">
            <v>GM807704-1001</v>
          </cell>
          <cell r="BA9968">
            <v>6.99</v>
          </cell>
        </row>
        <row r="9969">
          <cell r="C9969" t="str">
            <v>4509 - TOOLS &amp; SUPPLIES</v>
          </cell>
          <cell r="D9969" t="str">
            <v>LS34602</v>
          </cell>
          <cell r="BA9969">
            <v>31.99</v>
          </cell>
        </row>
        <row r="9970">
          <cell r="C9970" t="str">
            <v>4509 - TOOLS &amp; SUPPLIES</v>
          </cell>
          <cell r="D9970" t="str">
            <v>SHH00119</v>
          </cell>
          <cell r="BA9970">
            <v>22.99</v>
          </cell>
        </row>
        <row r="9971">
          <cell r="C9971" t="str">
            <v>4509 - TOOLS &amp; SUPPLIES</v>
          </cell>
          <cell r="D9971" t="str">
            <v>SM21060</v>
          </cell>
          <cell r="BA9971">
            <v>42.99</v>
          </cell>
        </row>
        <row r="9972">
          <cell r="C9972" t="str">
            <v>4509 - TOOLS &amp; SUPPLIES</v>
          </cell>
          <cell r="D9972" t="str">
            <v>WSMAUL8</v>
          </cell>
          <cell r="BA9972">
            <v>42.99</v>
          </cell>
        </row>
        <row r="9973">
          <cell r="C9973" t="str">
            <v>4509 - TOOLS &amp; SUPPLIES</v>
          </cell>
          <cell r="D9973" t="str">
            <v>DHFSFBG</v>
          </cell>
          <cell r="BA9973">
            <v>39.99</v>
          </cell>
        </row>
        <row r="9974">
          <cell r="C9974" t="str">
            <v>4509 - TOOLS &amp; SUPPLIES</v>
          </cell>
          <cell r="D9974" t="str">
            <v>DHDSFBG</v>
          </cell>
          <cell r="BA9974">
            <v>29.99</v>
          </cell>
        </row>
        <row r="9975">
          <cell r="C9975" t="str">
            <v>4509 - TOOLS &amp; SUPPLIES</v>
          </cell>
          <cell r="D9975" t="str">
            <v>LHCVFBG</v>
          </cell>
          <cell r="BA9975">
            <v>29.99</v>
          </cell>
        </row>
        <row r="9976">
          <cell r="C9976" t="str">
            <v>4509 - TOOLS &amp; SUPPLIES</v>
          </cell>
          <cell r="D9976" t="str">
            <v>R14AL</v>
          </cell>
          <cell r="BA9976">
            <v>14.99</v>
          </cell>
        </row>
        <row r="9977">
          <cell r="C9977" t="str">
            <v>4509 - TOOLS &amp; SUPPLIES</v>
          </cell>
          <cell r="D9977" t="str">
            <v>VC2668267</v>
          </cell>
          <cell r="BA9977">
            <v>34.99</v>
          </cell>
        </row>
        <row r="9978">
          <cell r="C9978" t="str">
            <v>4509 - TOOLS &amp; SUPPLIES</v>
          </cell>
          <cell r="D9978" t="str">
            <v>31908PES-F</v>
          </cell>
          <cell r="BA9978">
            <v>31.99</v>
          </cell>
        </row>
        <row r="9979">
          <cell r="C9979" t="str">
            <v>4509 - TOOLS &amp; SUPPLIES</v>
          </cell>
          <cell r="D9979" t="str">
            <v>WB77309</v>
          </cell>
          <cell r="BA9979">
            <v>179.99</v>
          </cell>
        </row>
        <row r="9980">
          <cell r="C9980" t="str">
            <v>4509 - TOOLS &amp; SUPPLIES</v>
          </cell>
          <cell r="D9980" t="str">
            <v>6SWB</v>
          </cell>
          <cell r="BA9980">
            <v>119.99</v>
          </cell>
        </row>
        <row r="9981">
          <cell r="C9981" t="str">
            <v>4509 - TOOLS &amp; SUPPLIES</v>
          </cell>
          <cell r="D9981" t="str">
            <v>HK42020B</v>
          </cell>
          <cell r="BA9981">
            <v>16.989999999999998</v>
          </cell>
        </row>
        <row r="9982">
          <cell r="C9982" t="str">
            <v>4509 - TOOLS &amp; SUPPLIES</v>
          </cell>
          <cell r="D9982" t="str">
            <v>WOODCHISEL2</v>
          </cell>
          <cell r="BA9982">
            <v>18.989999999999998</v>
          </cell>
        </row>
        <row r="9983">
          <cell r="C9983" t="str">
            <v>4509 - TOOLS &amp; SUPPLIES</v>
          </cell>
          <cell r="D9983" t="str">
            <v>AA20286</v>
          </cell>
          <cell r="BA9983">
            <v>15.99</v>
          </cell>
        </row>
        <row r="9984">
          <cell r="C9984" t="str">
            <v>4509 - TOOLS &amp; SUPPLIES</v>
          </cell>
          <cell r="D9984" t="str">
            <v>GT803</v>
          </cell>
          <cell r="BA9984">
            <v>5.39</v>
          </cell>
        </row>
        <row r="9985">
          <cell r="C9985" t="str">
            <v>4509 - TOOLS &amp; SUPPLIES</v>
          </cell>
          <cell r="D9985" t="str">
            <v>CR21862N</v>
          </cell>
          <cell r="BA9985">
            <v>10.99</v>
          </cell>
        </row>
        <row r="9986">
          <cell r="C9986" t="str">
            <v>4509 - TOOLS &amp; SUPPLIES</v>
          </cell>
          <cell r="D9986" t="str">
            <v>OA50683</v>
          </cell>
          <cell r="BA9986">
            <v>29.99</v>
          </cell>
        </row>
        <row r="9987">
          <cell r="C9987" t="str">
            <v>4509 - TOOLS &amp; SUPPLIES</v>
          </cell>
          <cell r="D9987" t="str">
            <v>AA20879</v>
          </cell>
          <cell r="BA9987">
            <v>18.989999999999998</v>
          </cell>
        </row>
        <row r="9988">
          <cell r="C9988" t="str">
            <v>4509 - TOOLS &amp; SUPPLIES</v>
          </cell>
          <cell r="D9988" t="str">
            <v>SV9030433</v>
          </cell>
          <cell r="BA9988">
            <v>22.99</v>
          </cell>
        </row>
        <row r="9989">
          <cell r="C9989" t="str">
            <v>4509 - TOOLS &amp; SUPPLIES</v>
          </cell>
          <cell r="D9989" t="str">
            <v>SV9058533</v>
          </cell>
          <cell r="BA9989">
            <v>7.99</v>
          </cell>
        </row>
        <row r="9990">
          <cell r="C9990" t="str">
            <v>4509 - TOOLS &amp; SUPPLIES</v>
          </cell>
          <cell r="D9990" t="str">
            <v>CRNERTRWEL</v>
          </cell>
          <cell r="BA9990">
            <v>11.99</v>
          </cell>
        </row>
        <row r="9991">
          <cell r="C9991" t="str">
            <v>4509 - TOOLS &amp; SUPPLIES</v>
          </cell>
          <cell r="D9991" t="str">
            <v>AA51027</v>
          </cell>
          <cell r="BA9991">
            <v>1.39</v>
          </cell>
        </row>
        <row r="9992">
          <cell r="C9992" t="str">
            <v>4509 - TOOLS &amp; SUPPLIES</v>
          </cell>
          <cell r="D9992" t="str">
            <v>AA51028</v>
          </cell>
          <cell r="BA9992">
            <v>1.39</v>
          </cell>
        </row>
        <row r="9993">
          <cell r="C9993" t="str">
            <v>4509 - TOOLS &amp; SUPPLIES</v>
          </cell>
          <cell r="D9993" t="str">
            <v>AA54318</v>
          </cell>
          <cell r="BA9993">
            <v>1.39</v>
          </cell>
        </row>
        <row r="9994">
          <cell r="C9994" t="str">
            <v>4509 - TOOLS &amp; SUPPLIES</v>
          </cell>
          <cell r="D9994" t="str">
            <v>AA76588</v>
          </cell>
          <cell r="BA9994">
            <v>1.39</v>
          </cell>
        </row>
        <row r="9995">
          <cell r="C9995" t="str">
            <v>4509 - TOOLS &amp; SUPPLIES</v>
          </cell>
          <cell r="D9995" t="str">
            <v>RO203037</v>
          </cell>
          <cell r="BA9995">
            <v>9.99</v>
          </cell>
        </row>
        <row r="9996">
          <cell r="C9996" t="str">
            <v>4509 - TOOLS &amp; SUPPLIES</v>
          </cell>
          <cell r="D9996" t="str">
            <v>RO1913830</v>
          </cell>
          <cell r="BA9996">
            <v>6.99</v>
          </cell>
        </row>
        <row r="9997">
          <cell r="C9997" t="str">
            <v>4509 - TOOLS &amp; SUPPLIES</v>
          </cell>
          <cell r="D9997" t="str">
            <v>RO7215830</v>
          </cell>
          <cell r="BA9997">
            <v>10.99</v>
          </cell>
        </row>
        <row r="9998">
          <cell r="C9998" t="str">
            <v>4509 - TOOLS &amp; SUPPLIES</v>
          </cell>
          <cell r="D9998" t="str">
            <v>RO7213830</v>
          </cell>
          <cell r="BA9998">
            <v>10.99</v>
          </cell>
        </row>
        <row r="9999">
          <cell r="C9999" t="str">
            <v>4509 - TOOLS &amp; SUPPLIES</v>
          </cell>
          <cell r="D9999" t="str">
            <v>AI7308</v>
          </cell>
          <cell r="BA9999">
            <v>3.99</v>
          </cell>
        </row>
        <row r="10000">
          <cell r="C10000" t="str">
            <v>4509 - TOOLS &amp; SUPPLIES</v>
          </cell>
          <cell r="D10000" t="str">
            <v>AI4487</v>
          </cell>
          <cell r="BA10000">
            <v>3.49</v>
          </cell>
        </row>
        <row r="10001">
          <cell r="C10001" t="str">
            <v>4509 - TOOLS &amp; SUPPLIES</v>
          </cell>
          <cell r="D10001" t="str">
            <v>AI4255</v>
          </cell>
          <cell r="BA10001">
            <v>31.99</v>
          </cell>
        </row>
        <row r="10002">
          <cell r="C10002" t="str">
            <v>4509 - TOOLS &amp; SUPPLIES</v>
          </cell>
          <cell r="D10002" t="str">
            <v>AI4633</v>
          </cell>
          <cell r="BA10002">
            <v>3.99</v>
          </cell>
        </row>
        <row r="10003">
          <cell r="C10003" t="str">
            <v>4509 - TOOLS &amp; SUPPLIES</v>
          </cell>
          <cell r="D10003" t="str">
            <v>AI4632</v>
          </cell>
          <cell r="BA10003">
            <v>3.99</v>
          </cell>
        </row>
        <row r="10004">
          <cell r="C10004" t="str">
            <v>4509 - TOOLS &amp; SUPPLIES</v>
          </cell>
          <cell r="D10004" t="str">
            <v>AI4441</v>
          </cell>
          <cell r="BA10004">
            <v>3.99</v>
          </cell>
        </row>
        <row r="10005">
          <cell r="C10005" t="str">
            <v>4509 - TOOLS &amp; SUPPLIES</v>
          </cell>
          <cell r="D10005" t="str">
            <v>AI4440</v>
          </cell>
          <cell r="BA10005">
            <v>3.99</v>
          </cell>
        </row>
        <row r="10006">
          <cell r="C10006" t="str">
            <v>4509 - TOOLS &amp; SUPPLIES</v>
          </cell>
          <cell r="D10006" t="str">
            <v>AI3260</v>
          </cell>
          <cell r="BA10006">
            <v>10.99</v>
          </cell>
        </row>
        <row r="10007">
          <cell r="C10007" t="str">
            <v>4509 - TOOLS &amp; SUPPLIES</v>
          </cell>
          <cell r="D10007" t="str">
            <v>AI3263</v>
          </cell>
          <cell r="BA10007">
            <v>14.99</v>
          </cell>
        </row>
        <row r="10008">
          <cell r="C10008" t="str">
            <v>4509 - TOOLS &amp; SUPPLIES</v>
          </cell>
          <cell r="D10008" t="str">
            <v>AI3265</v>
          </cell>
          <cell r="BA10008">
            <v>15.99</v>
          </cell>
        </row>
        <row r="10009">
          <cell r="C10009" t="str">
            <v>4509 - TOOLS &amp; SUPPLIES</v>
          </cell>
          <cell r="D10009" t="str">
            <v>AI3267</v>
          </cell>
          <cell r="BA10009">
            <v>22.99</v>
          </cell>
        </row>
        <row r="10010">
          <cell r="C10010" t="str">
            <v>4509 - TOOLS &amp; SUPPLIES</v>
          </cell>
          <cell r="D10010" t="str">
            <v>AI3272</v>
          </cell>
          <cell r="BA10010">
            <v>11.99</v>
          </cell>
        </row>
        <row r="10011">
          <cell r="C10011" t="str">
            <v>4509 - TOOLS &amp; SUPPLIES</v>
          </cell>
          <cell r="D10011" t="str">
            <v>AI3275</v>
          </cell>
          <cell r="BA10011">
            <v>12.99</v>
          </cell>
        </row>
        <row r="10012">
          <cell r="C10012" t="str">
            <v>4509 - TOOLS &amp; SUPPLIES</v>
          </cell>
          <cell r="D10012" t="str">
            <v>AI3277</v>
          </cell>
          <cell r="BA10012">
            <v>16.989999999999998</v>
          </cell>
        </row>
        <row r="10013">
          <cell r="C10013" t="str">
            <v>4509 - TOOLS &amp; SUPPLIES</v>
          </cell>
          <cell r="D10013" t="str">
            <v>AI3279</v>
          </cell>
          <cell r="BA10013">
            <v>0.99</v>
          </cell>
        </row>
        <row r="10014">
          <cell r="C10014" t="str">
            <v>4509 - TOOLS &amp; SUPPLIES</v>
          </cell>
          <cell r="D10014" t="str">
            <v>AI7280</v>
          </cell>
          <cell r="BA10014">
            <v>8.69</v>
          </cell>
        </row>
        <row r="10015">
          <cell r="C10015" t="str">
            <v>4509 - TOOLS &amp; SUPPLIES</v>
          </cell>
          <cell r="D10015" t="str">
            <v>AI7010</v>
          </cell>
          <cell r="BA10015">
            <v>11.99</v>
          </cell>
        </row>
        <row r="10016">
          <cell r="C10016" t="str">
            <v>4509 - TOOLS &amp; SUPPLIES</v>
          </cell>
          <cell r="D10016" t="str">
            <v>AI7012</v>
          </cell>
          <cell r="BA10016">
            <v>11.99</v>
          </cell>
        </row>
        <row r="10017">
          <cell r="C10017" t="str">
            <v>4509 - TOOLS &amp; SUPPLIES</v>
          </cell>
          <cell r="D10017" t="str">
            <v>TC10501</v>
          </cell>
          <cell r="BA10017">
            <v>2.59</v>
          </cell>
        </row>
        <row r="10018">
          <cell r="C10018" t="str">
            <v>4509 - TOOLS &amp; SUPPLIES</v>
          </cell>
          <cell r="D10018" t="str">
            <v>AA10447</v>
          </cell>
          <cell r="BA10018">
            <v>42.99</v>
          </cell>
        </row>
        <row r="10019">
          <cell r="C10019" t="str">
            <v>4509 - TOOLS &amp; SUPPLIES</v>
          </cell>
          <cell r="D10019" t="str">
            <v>WBJC-1020</v>
          </cell>
          <cell r="BA10019">
            <v>4.99</v>
          </cell>
        </row>
        <row r="10020">
          <cell r="C10020" t="str">
            <v>4509 - TOOLS &amp; SUPPLIES</v>
          </cell>
          <cell r="D10020" t="str">
            <v>AA10539</v>
          </cell>
          <cell r="BA10020">
            <v>14.99</v>
          </cell>
        </row>
        <row r="10021">
          <cell r="C10021" t="str">
            <v>4509 - TOOLS &amp; SUPPLIES</v>
          </cell>
          <cell r="D10021" t="str">
            <v>CDT10S</v>
          </cell>
          <cell r="BA10021">
            <v>46.49</v>
          </cell>
        </row>
        <row r="10022">
          <cell r="C10022" t="str">
            <v>4509 - TOOLS &amp; SUPPLIES</v>
          </cell>
          <cell r="D10022" t="str">
            <v>345RS4PK</v>
          </cell>
          <cell r="BA10022">
            <v>34.99</v>
          </cell>
        </row>
        <row r="10023">
          <cell r="C10023" t="str">
            <v>4509 - TOOLS &amp; SUPPLIES</v>
          </cell>
          <cell r="D10023" t="str">
            <v>AA1096155</v>
          </cell>
          <cell r="BA10023">
            <v>6.49</v>
          </cell>
        </row>
        <row r="10024">
          <cell r="C10024" t="str">
            <v>4509 - TOOLS &amp; SUPPLIES</v>
          </cell>
          <cell r="D10024" t="str">
            <v>PS4310553</v>
          </cell>
          <cell r="BA10024">
            <v>3.49</v>
          </cell>
        </row>
        <row r="10025">
          <cell r="C10025" t="str">
            <v>4509 - TOOLS &amp; SUPPLIES</v>
          </cell>
          <cell r="D10025" t="str">
            <v>LP7000-7</v>
          </cell>
          <cell r="BA10025">
            <v>8.69</v>
          </cell>
        </row>
        <row r="10026">
          <cell r="C10026" t="str">
            <v>4509 - TOOLS &amp; SUPPLIES</v>
          </cell>
          <cell r="D10026" t="str">
            <v>LPMT200-11</v>
          </cell>
          <cell r="BA10026">
            <v>6.49</v>
          </cell>
        </row>
        <row r="10027">
          <cell r="C10027" t="str">
            <v>4509 - TOOLS &amp; SUPPLIES</v>
          </cell>
          <cell r="D10027" t="str">
            <v>LPMR200-2-4</v>
          </cell>
          <cell r="BA10027">
            <v>3.99</v>
          </cell>
        </row>
        <row r="10028">
          <cell r="C10028" t="str">
            <v>4509 - TOOLS &amp; SUPPLIES</v>
          </cell>
          <cell r="D10028" t="str">
            <v>ETBS-EXT</v>
          </cell>
          <cell r="BA10028">
            <v>20.99</v>
          </cell>
        </row>
        <row r="10029">
          <cell r="C10029" t="str">
            <v>4509 - TOOLS &amp; SUPPLIES</v>
          </cell>
          <cell r="D10029" t="str">
            <v>ETB6</v>
          </cell>
          <cell r="BA10029">
            <v>6.69</v>
          </cell>
        </row>
        <row r="10030">
          <cell r="C10030" t="str">
            <v>4509 - TOOLS &amp; SUPPLIES</v>
          </cell>
          <cell r="D10030" t="str">
            <v>ETB8</v>
          </cell>
          <cell r="BA10030">
            <v>7.49</v>
          </cell>
        </row>
        <row r="10031">
          <cell r="C10031" t="str">
            <v>4509 - TOOLS &amp; SUPPLIES</v>
          </cell>
          <cell r="D10031" t="str">
            <v>ETB10</v>
          </cell>
          <cell r="BA10031">
            <v>8.49</v>
          </cell>
        </row>
        <row r="10032">
          <cell r="C10032" t="str">
            <v>4509 - TOOLS &amp; SUPPLIES</v>
          </cell>
          <cell r="D10032" t="str">
            <v>ETB50S</v>
          </cell>
          <cell r="BA10032">
            <v>12.29</v>
          </cell>
        </row>
        <row r="10033">
          <cell r="C10033" t="str">
            <v>4509 - TOOLS &amp; SUPPLIES</v>
          </cell>
          <cell r="D10033" t="str">
            <v>ETB62S</v>
          </cell>
          <cell r="BA10033">
            <v>12.79</v>
          </cell>
        </row>
        <row r="10034">
          <cell r="C10034" t="str">
            <v>4509 - TOOLS &amp; SUPPLIES</v>
          </cell>
          <cell r="D10034" t="str">
            <v>ETB75S</v>
          </cell>
          <cell r="BA10034">
            <v>13.39</v>
          </cell>
        </row>
        <row r="10035">
          <cell r="C10035" t="str">
            <v>4509 - TOOLS &amp; SUPPLIES</v>
          </cell>
          <cell r="D10035" t="str">
            <v>U274LFA</v>
          </cell>
          <cell r="BA10035">
            <v>11.99</v>
          </cell>
        </row>
        <row r="10036">
          <cell r="C10036" t="str">
            <v>4509 - TOOLS &amp; SUPPLIES</v>
          </cell>
          <cell r="D10036" t="str">
            <v>AA45311</v>
          </cell>
          <cell r="BA10036">
            <v>24.99</v>
          </cell>
        </row>
        <row r="10037">
          <cell r="C10037" t="str">
            <v>4509 - TOOLS &amp; SUPPLIES</v>
          </cell>
          <cell r="D10037" t="str">
            <v>SL25462</v>
          </cell>
          <cell r="BA10037">
            <v>14.99</v>
          </cell>
        </row>
        <row r="10038">
          <cell r="C10038" t="str">
            <v>4509 - TOOLS &amp; SUPPLIES</v>
          </cell>
          <cell r="D10038" t="str">
            <v>AA30868</v>
          </cell>
          <cell r="BA10038">
            <v>10.99</v>
          </cell>
        </row>
        <row r="10039">
          <cell r="C10039" t="str">
            <v>4509 - TOOLS &amp; SUPPLIES</v>
          </cell>
          <cell r="D10039" t="str">
            <v>STR25459</v>
          </cell>
          <cell r="BA10039">
            <v>15.99</v>
          </cell>
        </row>
        <row r="10040">
          <cell r="C10040" t="str">
            <v>4509 - TOOLS &amp; SUPPLIES</v>
          </cell>
          <cell r="D10040" t="str">
            <v>AA34915</v>
          </cell>
          <cell r="BA10040">
            <v>7.59</v>
          </cell>
        </row>
        <row r="10041">
          <cell r="C10041" t="str">
            <v>4509 - TOOLS &amp; SUPPLIES</v>
          </cell>
          <cell r="D10041" t="str">
            <v>AA70736</v>
          </cell>
          <cell r="BA10041">
            <v>2.99</v>
          </cell>
        </row>
        <row r="10042">
          <cell r="C10042" t="str">
            <v>4509 - TOOLS &amp; SUPPLIES</v>
          </cell>
          <cell r="D10042" t="str">
            <v>AA20283</v>
          </cell>
          <cell r="BA10042">
            <v>19.989999999999998</v>
          </cell>
        </row>
        <row r="10043">
          <cell r="C10043" t="str">
            <v>4509 - TOOLS &amp; SUPPLIES</v>
          </cell>
          <cell r="D10043" t="str">
            <v>SG1PR</v>
          </cell>
          <cell r="BA10043">
            <v>2.59</v>
          </cell>
        </row>
        <row r="10044">
          <cell r="C10044" t="str">
            <v>4509 - TOOLS &amp; SUPPLIES</v>
          </cell>
          <cell r="D10044" t="str">
            <v>MLVEN24200N</v>
          </cell>
          <cell r="BA10044">
            <v>7.59</v>
          </cell>
        </row>
        <row r="10045">
          <cell r="C10045" t="str">
            <v>4509 - TOOLS &amp; SUPPLIES</v>
          </cell>
          <cell r="D10045" t="str">
            <v>AA7011216</v>
          </cell>
          <cell r="BA10045">
            <v>39.99</v>
          </cell>
        </row>
        <row r="10046">
          <cell r="C10046" t="str">
            <v>4509 - TOOLS &amp; SUPPLIES</v>
          </cell>
          <cell r="D10046" t="str">
            <v>AMES63000</v>
          </cell>
          <cell r="BA10046">
            <v>74.989999999999995</v>
          </cell>
        </row>
        <row r="10047">
          <cell r="C10047" t="str">
            <v>4509 - TOOLS &amp; SUPPLIES</v>
          </cell>
          <cell r="D10047" t="str">
            <v>AA7023393</v>
          </cell>
          <cell r="BA10047">
            <v>7.99</v>
          </cell>
        </row>
        <row r="10048">
          <cell r="C10048" t="str">
            <v>4509 - TOOLS &amp; SUPPLIES</v>
          </cell>
          <cell r="D10048" t="str">
            <v>AA7114291</v>
          </cell>
          <cell r="BA10048">
            <v>42.99</v>
          </cell>
        </row>
        <row r="10049">
          <cell r="C10049" t="str">
            <v>4509 - TOOLS &amp; SUPPLIES</v>
          </cell>
          <cell r="D10049" t="str">
            <v>AA73702</v>
          </cell>
          <cell r="BA10049">
            <v>37.99</v>
          </cell>
        </row>
        <row r="10050">
          <cell r="C10050" t="str">
            <v>4509 - TOOLS &amp; SUPPLIES</v>
          </cell>
          <cell r="D10050" t="str">
            <v>AA6065221</v>
          </cell>
          <cell r="BA10050">
            <v>15.99</v>
          </cell>
        </row>
        <row r="10051">
          <cell r="C10051" t="str">
            <v>4509 - TOOLS &amp; SUPPLIES</v>
          </cell>
          <cell r="D10051" t="str">
            <v>IRW3072001</v>
          </cell>
          <cell r="BA10051">
            <v>14.99</v>
          </cell>
        </row>
        <row r="10052">
          <cell r="C10052" t="str">
            <v>4509 - TOOLS &amp; SUPPLIES</v>
          </cell>
          <cell r="D10052" t="str">
            <v>IRW2059</v>
          </cell>
          <cell r="BA10052">
            <v>1.49</v>
          </cell>
        </row>
        <row r="10053">
          <cell r="C10053" t="str">
            <v>4509 - TOOLS &amp; SUPPLIES</v>
          </cell>
          <cell r="D10053" t="str">
            <v>IRW2060</v>
          </cell>
          <cell r="BA10053">
            <v>1.49</v>
          </cell>
        </row>
        <row r="10054">
          <cell r="C10054" t="str">
            <v>4509 - TOOLS &amp; SUPPLIES</v>
          </cell>
          <cell r="D10054" t="str">
            <v>IRW2089</v>
          </cell>
          <cell r="BA10054">
            <v>1.49</v>
          </cell>
        </row>
        <row r="10055">
          <cell r="C10055" t="str">
            <v>4509 - TOOLS &amp; SUPPLIES</v>
          </cell>
          <cell r="D10055" t="str">
            <v>CTAPE1000</v>
          </cell>
          <cell r="BA10055">
            <v>11.99</v>
          </cell>
        </row>
        <row r="10056">
          <cell r="C10056" t="str">
            <v>4509 - TOOLS &amp; SUPPLIES</v>
          </cell>
          <cell r="D10056" t="str">
            <v>IRW233250</v>
          </cell>
          <cell r="BA10056">
            <v>4.99</v>
          </cell>
        </row>
        <row r="10057">
          <cell r="C10057" t="str">
            <v>4509 - TOOLS &amp; SUPPLIES</v>
          </cell>
          <cell r="D10057" t="str">
            <v>ACCUTRAXREFILL</v>
          </cell>
          <cell r="BA10057">
            <v>4.79</v>
          </cell>
        </row>
        <row r="10058">
          <cell r="C10058" t="str">
            <v>4509 - TOOLS &amp; SUPPLIES</v>
          </cell>
          <cell r="D10058" t="str">
            <v>JL1405-0900</v>
          </cell>
          <cell r="BA10058">
            <v>6.99</v>
          </cell>
        </row>
        <row r="10059">
          <cell r="C10059" t="str">
            <v>4509 - TOOLS &amp; SUPPLIES</v>
          </cell>
          <cell r="D10059" t="str">
            <v>MILEM75.10</v>
          </cell>
          <cell r="BA10059">
            <v>19.989999999999998</v>
          </cell>
        </row>
        <row r="10060">
          <cell r="C10060" t="str">
            <v>4509 - TOOLS &amp; SUPPLIES</v>
          </cell>
          <cell r="D10060" t="str">
            <v>IRW2087100</v>
          </cell>
          <cell r="BA10060">
            <v>5.39</v>
          </cell>
        </row>
        <row r="10061">
          <cell r="C10061" t="str">
            <v>4509 - TOOLS &amp; SUPPLIES</v>
          </cell>
          <cell r="D10061" t="str">
            <v>IRW225104</v>
          </cell>
          <cell r="BA10061">
            <v>8.99</v>
          </cell>
        </row>
        <row r="10062">
          <cell r="C10062" t="str">
            <v>4509 - TOOLS &amp; SUPPLIES</v>
          </cell>
          <cell r="D10062" t="str">
            <v>IRW12411</v>
          </cell>
          <cell r="BA10062">
            <v>12.99</v>
          </cell>
        </row>
        <row r="10063">
          <cell r="C10063" t="str">
            <v>4509 - TOOLS &amp; SUPPLIES</v>
          </cell>
          <cell r="D10063" t="str">
            <v>5GGSS</v>
          </cell>
          <cell r="BA10063">
            <v>2.39</v>
          </cell>
        </row>
        <row r="10064">
          <cell r="C10064" t="str">
            <v>4509 - TOOLS &amp; SUPPLIES</v>
          </cell>
          <cell r="D10064" t="str">
            <v>PP10201</v>
          </cell>
          <cell r="BA10064">
            <v>0.99</v>
          </cell>
        </row>
        <row r="10065">
          <cell r="C10065" t="str">
            <v>4509 - TOOLS &amp; SUPPLIES</v>
          </cell>
          <cell r="D10065" t="str">
            <v>PP412IMP</v>
          </cell>
          <cell r="BA10065">
            <v>1.49</v>
          </cell>
        </row>
        <row r="10066">
          <cell r="C10066" t="str">
            <v>4509 - TOOLS &amp; SUPPLIES</v>
          </cell>
          <cell r="D10066" t="str">
            <v>00745C</v>
          </cell>
          <cell r="BA10066">
            <v>4.99</v>
          </cell>
        </row>
        <row r="10067">
          <cell r="C10067" t="str">
            <v>4509 - TOOLS &amp; SUPPLIES</v>
          </cell>
          <cell r="D10067" t="str">
            <v>731</v>
          </cell>
          <cell r="BA10067">
            <v>1.19</v>
          </cell>
        </row>
        <row r="10068">
          <cell r="C10068" t="str">
            <v>4509 - TOOLS &amp; SUPPLIES</v>
          </cell>
          <cell r="D10068" t="str">
            <v>50440</v>
          </cell>
          <cell r="BA10068">
            <v>6.99</v>
          </cell>
        </row>
        <row r="10069">
          <cell r="C10069" t="str">
            <v>4509 - TOOLS &amp; SUPPLIES</v>
          </cell>
          <cell r="D10069" t="str">
            <v>TC58905</v>
          </cell>
          <cell r="BA10069">
            <v>3.39</v>
          </cell>
        </row>
        <row r="10070">
          <cell r="C10070" t="str">
            <v>4509 - TOOLS &amp; SUPPLIES</v>
          </cell>
          <cell r="D10070" t="str">
            <v>16040</v>
          </cell>
          <cell r="BA10070">
            <v>2.09</v>
          </cell>
        </row>
        <row r="10071">
          <cell r="C10071" t="str">
            <v>4509 - TOOLS &amp; SUPPLIES</v>
          </cell>
          <cell r="D10071" t="str">
            <v>PP9TMPT</v>
          </cell>
          <cell r="BA10071">
            <v>3.59</v>
          </cell>
        </row>
        <row r="10072">
          <cell r="C10072" t="str">
            <v>4509 - TOOLS &amp; SUPPLIES</v>
          </cell>
          <cell r="D10072" t="str">
            <v>PP16</v>
          </cell>
          <cell r="BA10072">
            <v>1.59</v>
          </cell>
        </row>
        <row r="10073">
          <cell r="C10073" t="str">
            <v>4509 - TOOLS &amp; SUPPLIES</v>
          </cell>
          <cell r="D10073" t="str">
            <v>3M26060</v>
          </cell>
          <cell r="BA10073">
            <v>3.89</v>
          </cell>
        </row>
        <row r="10074">
          <cell r="C10074" t="str">
            <v>4509 - TOOLS &amp; SUPPLIES</v>
          </cell>
          <cell r="D10074" t="str">
            <v>PP10202</v>
          </cell>
          <cell r="BA10074">
            <v>1.19</v>
          </cell>
        </row>
        <row r="10075">
          <cell r="C10075" t="str">
            <v>4509 - TOOLS &amp; SUPPLIES</v>
          </cell>
          <cell r="D10075" t="str">
            <v>PP319SC</v>
          </cell>
          <cell r="BA10075">
            <v>2.4900000000000002</v>
          </cell>
        </row>
        <row r="10076">
          <cell r="C10076" t="str">
            <v>4509 - TOOLS &amp; SUPPLIES</v>
          </cell>
          <cell r="D10076" t="str">
            <v>GSM100</v>
          </cell>
          <cell r="BA10076">
            <v>1.99</v>
          </cell>
        </row>
        <row r="10077">
          <cell r="C10077" t="str">
            <v>4509 - TOOLS &amp; SUPPLIES</v>
          </cell>
          <cell r="D10077" t="str">
            <v>5105</v>
          </cell>
          <cell r="BA10077">
            <v>3.19</v>
          </cell>
        </row>
        <row r="10078">
          <cell r="C10078" t="str">
            <v>4509 - TOOLS &amp; SUPPLIES</v>
          </cell>
          <cell r="D10078" t="str">
            <v>22500</v>
          </cell>
          <cell r="BA10078">
            <v>5.79</v>
          </cell>
        </row>
        <row r="10079">
          <cell r="C10079" t="str">
            <v>4509 - TOOLS &amp; SUPPLIES</v>
          </cell>
          <cell r="D10079" t="str">
            <v>FREFB012</v>
          </cell>
          <cell r="BA10079">
            <v>25.29</v>
          </cell>
        </row>
        <row r="10080">
          <cell r="C10080" t="str">
            <v>4509 - TOOLS &amp; SUPPLIES</v>
          </cell>
          <cell r="D10080" t="str">
            <v>PFE60504TR</v>
          </cell>
          <cell r="BA10080">
            <v>66.989999999999995</v>
          </cell>
        </row>
        <row r="10081">
          <cell r="C10081" t="str">
            <v>4509 - TOOLS &amp; SUPPLIES</v>
          </cell>
          <cell r="D10081" t="str">
            <v>KPUF3</v>
          </cell>
          <cell r="BA10081">
            <v>67.989999999999995</v>
          </cell>
        </row>
        <row r="10082">
          <cell r="C10082" t="str">
            <v>4509 - TOOLS &amp; SUPPLIES</v>
          </cell>
          <cell r="D10082" t="str">
            <v>89348</v>
          </cell>
          <cell r="BA10082">
            <v>7.59</v>
          </cell>
        </row>
        <row r="10083">
          <cell r="C10083" t="str">
            <v>4509 - TOOLS &amp; SUPPLIES</v>
          </cell>
          <cell r="D10083" t="str">
            <v>89572</v>
          </cell>
          <cell r="BA10083">
            <v>6.79</v>
          </cell>
        </row>
        <row r="10084">
          <cell r="C10084" t="str">
            <v>4509 - TOOLS &amp; SUPPLIES</v>
          </cell>
          <cell r="D10084" t="str">
            <v>PPPM72532</v>
          </cell>
          <cell r="BA10084">
            <v>4.59</v>
          </cell>
        </row>
        <row r="10085">
          <cell r="C10085" t="str">
            <v>4509 - TOOLS &amp; SUPPLIES</v>
          </cell>
          <cell r="D10085" t="str">
            <v>WV40</v>
          </cell>
          <cell r="BA10085">
            <v>1.39</v>
          </cell>
        </row>
        <row r="10086">
          <cell r="C10086" t="str">
            <v>4509 - TOOLS &amp; SUPPLIES</v>
          </cell>
          <cell r="D10086" t="str">
            <v>R053</v>
          </cell>
          <cell r="BA10086">
            <v>14.79</v>
          </cell>
        </row>
        <row r="10087">
          <cell r="C10087" t="str">
            <v>4509 - TOOLS &amp; SUPPLIES</v>
          </cell>
          <cell r="D10087" t="str">
            <v>84005</v>
          </cell>
          <cell r="BA10087">
            <v>5.69</v>
          </cell>
        </row>
        <row r="10088">
          <cell r="C10088" t="str">
            <v>4509 - TOOLS &amp; SUPPLIES</v>
          </cell>
          <cell r="D10088" t="str">
            <v>PM72533</v>
          </cell>
          <cell r="BA10088">
            <v>11.19</v>
          </cell>
        </row>
        <row r="10089">
          <cell r="C10089" t="str">
            <v>4509 - TOOLS &amp; SUPPLIES</v>
          </cell>
          <cell r="D10089" t="str">
            <v>FDW6756-U</v>
          </cell>
          <cell r="BA10089">
            <v>22.99</v>
          </cell>
        </row>
        <row r="10090">
          <cell r="C10090" t="str">
            <v>4509 - TOOLS &amp; SUPPLIES</v>
          </cell>
          <cell r="D10090" t="str">
            <v>PPR22040</v>
          </cell>
          <cell r="BA10090">
            <v>1.29</v>
          </cell>
        </row>
        <row r="10091">
          <cell r="C10091" t="str">
            <v>4509 - TOOLS &amp; SUPPLIES</v>
          </cell>
          <cell r="D10091" t="str">
            <v>PPPTL</v>
          </cell>
          <cell r="BA10091">
            <v>0.55000000000000004</v>
          </cell>
        </row>
        <row r="10092">
          <cell r="C10092" t="str">
            <v>4509 - TOOLS &amp; SUPPLIES</v>
          </cell>
          <cell r="D10092" t="str">
            <v>PPDPT</v>
          </cell>
          <cell r="BA10092">
            <v>3.39</v>
          </cell>
        </row>
        <row r="10093">
          <cell r="C10093" t="str">
            <v>4509 - TOOLS &amp; SUPPLIES</v>
          </cell>
          <cell r="D10093" t="str">
            <v>PP2GGSS</v>
          </cell>
          <cell r="BA10093">
            <v>1.49</v>
          </cell>
        </row>
        <row r="10094">
          <cell r="C10094" t="str">
            <v>4509 - TOOLS &amp; SUPPLIES</v>
          </cell>
          <cell r="D10094" t="str">
            <v>PP619</v>
          </cell>
          <cell r="BA10094">
            <v>2.59</v>
          </cell>
        </row>
        <row r="10095">
          <cell r="C10095" t="str">
            <v>4509 - TOOLS &amp; SUPPLIES</v>
          </cell>
          <cell r="D10095" t="str">
            <v>TC10901</v>
          </cell>
          <cell r="BA10095">
            <v>2.09</v>
          </cell>
        </row>
        <row r="10096">
          <cell r="C10096" t="str">
            <v>4509 - TOOLS &amp; SUPPLIES</v>
          </cell>
          <cell r="D10096" t="str">
            <v>TC30138</v>
          </cell>
          <cell r="BA10096">
            <v>1.99</v>
          </cell>
        </row>
        <row r="10097">
          <cell r="C10097" t="str">
            <v>4509 - TOOLS &amp; SUPPLIES</v>
          </cell>
          <cell r="D10097" t="str">
            <v>PFPIC3-2.5</v>
          </cell>
          <cell r="BA10097">
            <v>12.89</v>
          </cell>
        </row>
        <row r="10098">
          <cell r="C10098" t="str">
            <v>4509 - TOOLS &amp; SUPPLIES</v>
          </cell>
          <cell r="D10098" t="str">
            <v>SL00630</v>
          </cell>
          <cell r="BA10098">
            <v>3.19</v>
          </cell>
        </row>
        <row r="10099">
          <cell r="C10099" t="str">
            <v>4509 - TOOLS &amp; SUPPLIES</v>
          </cell>
          <cell r="D10099" t="str">
            <v>WB1123</v>
          </cell>
          <cell r="BA10099">
            <v>7.59</v>
          </cell>
        </row>
        <row r="10100">
          <cell r="C10100" t="str">
            <v>4509 - TOOLS &amp; SUPPLIES</v>
          </cell>
          <cell r="D10100" t="str">
            <v>PAC20AS</v>
          </cell>
          <cell r="BA10100">
            <v>5.19</v>
          </cell>
        </row>
        <row r="10101">
          <cell r="C10101" t="str">
            <v>4509 - TOOLS &amp; SUPPLIES</v>
          </cell>
          <cell r="D10101" t="str">
            <v>PAC25AS</v>
          </cell>
          <cell r="BA10101">
            <v>6.29</v>
          </cell>
        </row>
        <row r="10102">
          <cell r="C10102" t="str">
            <v>4509 - TOOLS &amp; SUPPLIES</v>
          </cell>
          <cell r="D10102" t="str">
            <v>PFPIC1-2.5</v>
          </cell>
          <cell r="BA10102">
            <v>9.7899999999999991</v>
          </cell>
        </row>
        <row r="10103">
          <cell r="C10103" t="str">
            <v>4509 - TOOLS &amp; SUPPLIES</v>
          </cell>
          <cell r="D10103" t="str">
            <v>PAC2OAVS</v>
          </cell>
          <cell r="BA10103">
            <v>5.19</v>
          </cell>
        </row>
        <row r="10104">
          <cell r="C10104" t="str">
            <v>4509 - TOOLS &amp; SUPPLIES</v>
          </cell>
          <cell r="D10104" t="str">
            <v>PAC25AVS</v>
          </cell>
          <cell r="BA10104">
            <v>6.19</v>
          </cell>
        </row>
        <row r="10105">
          <cell r="C10105" t="str">
            <v>4509 - TOOLS &amp; SUPPLIES</v>
          </cell>
          <cell r="D10105" t="str">
            <v>WGBZ01-50</v>
          </cell>
          <cell r="BA10105">
            <v>8.99</v>
          </cell>
        </row>
        <row r="10106">
          <cell r="C10106" t="str">
            <v>4509 - TOOLS &amp; SUPPLIES</v>
          </cell>
          <cell r="D10106" t="str">
            <v>MIL48-09-5055</v>
          </cell>
          <cell r="BA10106">
            <v>10.79</v>
          </cell>
        </row>
        <row r="10107">
          <cell r="C10107" t="str">
            <v>4509 - TOOLS &amp; SUPPLIES</v>
          </cell>
          <cell r="D10107" t="str">
            <v>512BAGTIEB</v>
          </cell>
          <cell r="BA10107">
            <v>9.89</v>
          </cell>
        </row>
        <row r="10108">
          <cell r="C10108" t="str">
            <v>4509 - TOOLS &amp; SUPPLIES</v>
          </cell>
          <cell r="D10108" t="str">
            <v>CLC51452</v>
          </cell>
          <cell r="BA10108">
            <v>199.99</v>
          </cell>
        </row>
        <row r="10109">
          <cell r="C10109" t="str">
            <v>4509 - TOOLS &amp; SUPPLIES</v>
          </cell>
          <cell r="D10109" t="str">
            <v>CLC54531</v>
          </cell>
          <cell r="BA10109">
            <v>299.99</v>
          </cell>
        </row>
        <row r="10110">
          <cell r="C10110" t="str">
            <v>4509 - TOOLS &amp; SUPPLIES</v>
          </cell>
          <cell r="D10110" t="str">
            <v>CLCG361</v>
          </cell>
          <cell r="BA10110">
            <v>35.99</v>
          </cell>
        </row>
        <row r="10111">
          <cell r="C10111" t="str">
            <v>4509 - TOOLS &amp; SUPPLIES</v>
          </cell>
          <cell r="D10111" t="str">
            <v>NEBOTU573</v>
          </cell>
          <cell r="BA10111">
            <v>11.39</v>
          </cell>
        </row>
        <row r="10112">
          <cell r="C10112" t="str">
            <v>4509 - TOOLS &amp; SUPPLIES</v>
          </cell>
          <cell r="D10112" t="str">
            <v>FCFCSPFPWH</v>
          </cell>
          <cell r="BA10112">
            <v>4.49</v>
          </cell>
        </row>
        <row r="10113">
          <cell r="C10113" t="str">
            <v>4509 - TOOLS &amp; SUPPLIES</v>
          </cell>
          <cell r="D10113" t="str">
            <v>NEBOTU571</v>
          </cell>
          <cell r="BA10113">
            <v>7.99</v>
          </cell>
        </row>
        <row r="10114">
          <cell r="C10114" t="str">
            <v>4509 - TOOLS &amp; SUPPLIES</v>
          </cell>
          <cell r="D10114" t="str">
            <v>NEBOTU180F</v>
          </cell>
          <cell r="BA10114">
            <v>2.59</v>
          </cell>
        </row>
        <row r="10115">
          <cell r="C10115" t="str">
            <v>4509 - TOOLS &amp; SUPPLIES</v>
          </cell>
          <cell r="D10115" t="str">
            <v>NEBO4327</v>
          </cell>
          <cell r="BA10115">
            <v>20.79</v>
          </cell>
        </row>
        <row r="10116">
          <cell r="C10116" t="str">
            <v>4509 - TOOLS &amp; SUPPLIES</v>
          </cell>
          <cell r="D10116" t="str">
            <v>GRF14PLTD</v>
          </cell>
          <cell r="BA10116">
            <v>3.89</v>
          </cell>
        </row>
        <row r="10117">
          <cell r="C10117" t="str">
            <v>4509 - TOOLS &amp; SUPPLIES</v>
          </cell>
          <cell r="D10117" t="str">
            <v>GRF14SPB</v>
          </cell>
          <cell r="BA10117">
            <v>3.09</v>
          </cell>
        </row>
        <row r="10118">
          <cell r="C10118" t="str">
            <v>4509 - TOOLS &amp; SUPPLIES</v>
          </cell>
          <cell r="D10118" t="str">
            <v>IP9531-1</v>
          </cell>
          <cell r="BA10118">
            <v>6.99</v>
          </cell>
        </row>
        <row r="10119">
          <cell r="C10119" t="str">
            <v>4509 - TOOLS &amp; SUPPLIES</v>
          </cell>
          <cell r="D10119" t="str">
            <v>IP9532-1.5</v>
          </cell>
          <cell r="BA10119">
            <v>8.99</v>
          </cell>
        </row>
        <row r="10120">
          <cell r="C10120" t="str">
            <v>4509 - TOOLS &amp; SUPPLIES</v>
          </cell>
          <cell r="D10120" t="str">
            <v>IP9533-2</v>
          </cell>
          <cell r="BA10120">
            <v>10.99</v>
          </cell>
        </row>
        <row r="10121">
          <cell r="C10121" t="str">
            <v>4509 - TOOLS &amp; SUPPLIES</v>
          </cell>
          <cell r="D10121" t="str">
            <v>MF05679EA</v>
          </cell>
          <cell r="BA10121">
            <v>4.09</v>
          </cell>
        </row>
        <row r="10122">
          <cell r="C10122" t="str">
            <v>4509 - TOOLS &amp; SUPPLIES</v>
          </cell>
          <cell r="D10122" t="str">
            <v>MF05680EA</v>
          </cell>
          <cell r="BA10122">
            <v>5.59</v>
          </cell>
        </row>
        <row r="10123">
          <cell r="C10123" t="str">
            <v>4509 - TOOLS &amp; SUPPLIES</v>
          </cell>
          <cell r="D10123" t="str">
            <v>MF05682EA</v>
          </cell>
          <cell r="BA10123">
            <v>5.39</v>
          </cell>
        </row>
        <row r="10124">
          <cell r="C10124" t="str">
            <v>4509 - TOOLS &amp; SUPPLIES</v>
          </cell>
          <cell r="D10124" t="str">
            <v>MF05683EA</v>
          </cell>
          <cell r="BA10124">
            <v>7.79</v>
          </cell>
        </row>
        <row r="10125">
          <cell r="C10125" t="str">
            <v>4509 - TOOLS &amp; SUPPLIES</v>
          </cell>
          <cell r="D10125" t="str">
            <v>MF52561EA</v>
          </cell>
          <cell r="BA10125">
            <v>2.29</v>
          </cell>
        </row>
        <row r="10126">
          <cell r="C10126" t="str">
            <v>4509 - TOOLS &amp; SUPPLIES</v>
          </cell>
          <cell r="D10126" t="str">
            <v>MF52562EA</v>
          </cell>
          <cell r="BA10126">
            <v>2.89</v>
          </cell>
        </row>
        <row r="10127">
          <cell r="C10127" t="str">
            <v>4509 - TOOLS &amp; SUPPLIES</v>
          </cell>
          <cell r="D10127" t="str">
            <v>MF52564EA</v>
          </cell>
          <cell r="BA10127">
            <v>4.49</v>
          </cell>
        </row>
        <row r="10128">
          <cell r="C10128" t="str">
            <v>4509 - TOOLS &amp; SUPPLIES</v>
          </cell>
          <cell r="D10128" t="str">
            <v>MF52565EA</v>
          </cell>
          <cell r="BA10128">
            <v>5.79</v>
          </cell>
        </row>
        <row r="10129">
          <cell r="C10129" t="str">
            <v>4509 - TOOLS &amp; SUPPLIES</v>
          </cell>
          <cell r="D10129" t="str">
            <v>MF52566EA</v>
          </cell>
          <cell r="BA10129">
            <v>5.39</v>
          </cell>
        </row>
        <row r="10130">
          <cell r="C10130" t="str">
            <v>4509 - TOOLS &amp; SUPPLIES</v>
          </cell>
          <cell r="D10130" t="str">
            <v>MF52567EA</v>
          </cell>
          <cell r="BA10130">
            <v>5.79</v>
          </cell>
        </row>
        <row r="10131">
          <cell r="C10131" t="str">
            <v>4509 - TOOLS &amp; SUPPLIES</v>
          </cell>
          <cell r="D10131" t="str">
            <v>MF52568EA</v>
          </cell>
          <cell r="BA10131">
            <v>7.99</v>
          </cell>
        </row>
        <row r="10132">
          <cell r="C10132" t="str">
            <v>4509 - TOOLS &amp; SUPPLIES</v>
          </cell>
          <cell r="D10132" t="str">
            <v>MF52569EA</v>
          </cell>
          <cell r="BA10132">
            <v>10.59</v>
          </cell>
        </row>
        <row r="10133">
          <cell r="C10133" t="str">
            <v>4509 - TOOLS &amp; SUPPLIES</v>
          </cell>
          <cell r="D10133" t="str">
            <v>MF52570EA</v>
          </cell>
          <cell r="BA10133">
            <v>9.59</v>
          </cell>
        </row>
        <row r="10134">
          <cell r="C10134" t="str">
            <v>4509 - TOOLS &amp; SUPPLIES</v>
          </cell>
          <cell r="D10134" t="str">
            <v>MF52571EA</v>
          </cell>
          <cell r="BA10134">
            <v>11.99</v>
          </cell>
        </row>
        <row r="10135">
          <cell r="C10135" t="str">
            <v>4509 - TOOLS &amp; SUPPLIES</v>
          </cell>
          <cell r="D10135" t="str">
            <v>MF52572EA</v>
          </cell>
          <cell r="BA10135">
            <v>14.59</v>
          </cell>
        </row>
        <row r="10136">
          <cell r="C10136" t="str">
            <v>4509 - TOOLS &amp; SUPPLIES</v>
          </cell>
          <cell r="D10136" t="str">
            <v>MF52574EA</v>
          </cell>
          <cell r="BA10136">
            <v>19.989999999999998</v>
          </cell>
        </row>
        <row r="10137">
          <cell r="C10137" t="str">
            <v>4509 - TOOLS &amp; SUPPLIES</v>
          </cell>
          <cell r="D10137" t="str">
            <v>ATEK</v>
          </cell>
          <cell r="BA10137">
            <v>2.19</v>
          </cell>
        </row>
        <row r="10138">
          <cell r="C10138" t="str">
            <v>4509 - TOOLS &amp; SUPPLIES</v>
          </cell>
          <cell r="D10138" t="str">
            <v>SA903</v>
          </cell>
          <cell r="BA10138">
            <v>82.99</v>
          </cell>
        </row>
        <row r="10139">
          <cell r="C10139" t="str">
            <v>4509 - TOOLS &amp; SUPPLIES</v>
          </cell>
          <cell r="D10139" t="str">
            <v>VBB215L</v>
          </cell>
          <cell r="BA10139">
            <v>18.989999999999998</v>
          </cell>
        </row>
        <row r="10140">
          <cell r="C10140" t="str">
            <v>4509 - TOOLS &amp; SUPPLIES</v>
          </cell>
          <cell r="D10140" t="str">
            <v>VBBC10</v>
          </cell>
          <cell r="BA10140">
            <v>17.989999999999998</v>
          </cell>
        </row>
        <row r="10141">
          <cell r="C10141" t="str">
            <v>4509 - TOOLS &amp; SUPPLIES</v>
          </cell>
          <cell r="D10141" t="str">
            <v>MIL48-22-9035</v>
          </cell>
          <cell r="BA10141">
            <v>16.989999999999998</v>
          </cell>
        </row>
        <row r="10142">
          <cell r="C10142" t="str">
            <v>4509 - TOOLS &amp; SUPPLIES</v>
          </cell>
          <cell r="D10142" t="str">
            <v>MIL48-22-9034</v>
          </cell>
          <cell r="BA10142">
            <v>13.99</v>
          </cell>
        </row>
        <row r="10143">
          <cell r="C10143" t="str">
            <v>4509 - TOOLS &amp; SUPPLIES</v>
          </cell>
          <cell r="D10143" t="str">
            <v>ATPB1</v>
          </cell>
          <cell r="BA10143">
            <v>8.69</v>
          </cell>
        </row>
        <row r="10144">
          <cell r="C10144" t="str">
            <v>4509 - TOOLS &amp; SUPPLIES</v>
          </cell>
          <cell r="D10144" t="str">
            <v>VC4665550</v>
          </cell>
          <cell r="BA10144">
            <v>19.989999999999998</v>
          </cell>
        </row>
        <row r="10145">
          <cell r="C10145" t="str">
            <v>4509 - TOOLS &amp; SUPPLIES</v>
          </cell>
          <cell r="D10145" t="str">
            <v>GRWB36T</v>
          </cell>
          <cell r="BA10145">
            <v>29.99</v>
          </cell>
        </row>
        <row r="10146">
          <cell r="C10146" t="str">
            <v>4509 - TOOLS &amp; SUPPLIES</v>
          </cell>
          <cell r="D10146" t="str">
            <v>E92BP</v>
          </cell>
          <cell r="BA10146">
            <v>5.99</v>
          </cell>
        </row>
        <row r="10147">
          <cell r="C10147" t="str">
            <v>4509 - TOOLS &amp; SUPPLIES</v>
          </cell>
          <cell r="D10147" t="str">
            <v>E92BP2</v>
          </cell>
          <cell r="BA10147">
            <v>3.79</v>
          </cell>
        </row>
        <row r="10148">
          <cell r="C10148" t="str">
            <v>4509 - TOOLS &amp; SUPPLIES</v>
          </cell>
          <cell r="D10148" t="str">
            <v>GRPUR14100C</v>
          </cell>
          <cell r="BA10148">
            <v>59.99</v>
          </cell>
        </row>
        <row r="10149">
          <cell r="C10149" t="str">
            <v>4509 - TOOLS &amp; SUPPLIES</v>
          </cell>
          <cell r="D10149" t="str">
            <v>GRPUR3850C</v>
          </cell>
          <cell r="BA10149">
            <v>36.19</v>
          </cell>
        </row>
        <row r="10150">
          <cell r="C10150" t="str">
            <v>4509 - TOOLS &amp; SUPPLIES</v>
          </cell>
          <cell r="D10150" t="str">
            <v>ST55033</v>
          </cell>
          <cell r="BA10150">
            <v>12.99</v>
          </cell>
        </row>
        <row r="10151">
          <cell r="C10151" t="str">
            <v>4509 - TOOLS &amp; SUPPLIES</v>
          </cell>
          <cell r="D10151" t="str">
            <v>SGC405</v>
          </cell>
          <cell r="BA10151">
            <v>8.99</v>
          </cell>
        </row>
        <row r="10152">
          <cell r="C10152" t="str">
            <v>4509 - TOOLS &amp; SUPPLIES</v>
          </cell>
          <cell r="D10152" t="str">
            <v>3250CB</v>
          </cell>
          <cell r="BA10152">
            <v>15.99</v>
          </cell>
        </row>
        <row r="10153">
          <cell r="C10153" t="str">
            <v>4509 - TOOLS &amp; SUPPLIES</v>
          </cell>
          <cell r="D10153" t="str">
            <v>MTRM772</v>
          </cell>
          <cell r="BA10153">
            <v>21.99</v>
          </cell>
        </row>
        <row r="10154">
          <cell r="C10154" t="str">
            <v>4509 - TOOLS &amp; SUPPLIES</v>
          </cell>
          <cell r="D10154" t="str">
            <v>LR26</v>
          </cell>
          <cell r="BA10154">
            <v>13.99</v>
          </cell>
        </row>
        <row r="10155">
          <cell r="C10155" t="str">
            <v>4509 - TOOLS &amp; SUPPLIES</v>
          </cell>
          <cell r="D10155" t="str">
            <v>UGT64309</v>
          </cell>
          <cell r="BA10155">
            <v>13.99</v>
          </cell>
        </row>
        <row r="10156">
          <cell r="C10156" t="str">
            <v>4509 - TOOLS &amp; SUPPLIES</v>
          </cell>
          <cell r="D10156" t="str">
            <v>RAKELWH22T</v>
          </cell>
          <cell r="BA10156">
            <v>16.989999999999998</v>
          </cell>
        </row>
        <row r="10157">
          <cell r="C10157" t="str">
            <v>4509 - TOOLS &amp; SUPPLIES</v>
          </cell>
          <cell r="D10157" t="str">
            <v>ST55045</v>
          </cell>
          <cell r="BA10157">
            <v>6.49</v>
          </cell>
        </row>
        <row r="10158">
          <cell r="C10158" t="str">
            <v>4509 - TOOLS &amp; SUPPLIES</v>
          </cell>
          <cell r="D10158" t="str">
            <v>ST55117</v>
          </cell>
          <cell r="BA10158">
            <v>14.99</v>
          </cell>
        </row>
        <row r="10159">
          <cell r="C10159" t="str">
            <v>4509 - TOOLS &amp; SUPPLIES</v>
          </cell>
          <cell r="D10159" t="str">
            <v>ST55515</v>
          </cell>
          <cell r="BA10159">
            <v>12.99</v>
          </cell>
        </row>
        <row r="10160">
          <cell r="C10160" t="str">
            <v>4509 - TOOLS &amp; SUPPLIES</v>
          </cell>
          <cell r="D10160" t="str">
            <v>ST55525</v>
          </cell>
          <cell r="BA10160">
            <v>19.989999999999998</v>
          </cell>
        </row>
        <row r="10161">
          <cell r="C10161" t="str">
            <v>4509 - TOOLS &amp; SUPPLIES</v>
          </cell>
          <cell r="D10161" t="str">
            <v>ST55526</v>
          </cell>
          <cell r="BA10161">
            <v>16.989999999999998</v>
          </cell>
        </row>
        <row r="10162">
          <cell r="C10162" t="str">
            <v>4509 - TOOLS &amp; SUPPLIES</v>
          </cell>
          <cell r="D10162" t="str">
            <v>WD490026</v>
          </cell>
          <cell r="BA10162">
            <v>6.99</v>
          </cell>
        </row>
        <row r="10163">
          <cell r="C10163" t="str">
            <v>4509 - TOOLS &amp; SUPPLIES</v>
          </cell>
          <cell r="D10163" t="str">
            <v>WLAC19-2</v>
          </cell>
          <cell r="BA10163">
            <v>15.99</v>
          </cell>
        </row>
        <row r="10164">
          <cell r="C10164" t="str">
            <v>4509 - TOOLS &amp; SUPPLIES</v>
          </cell>
          <cell r="D10164" t="str">
            <v>SPPC0065</v>
          </cell>
          <cell r="BA10164">
            <v>82.49</v>
          </cell>
        </row>
        <row r="10165">
          <cell r="C10165" t="str">
            <v>4509 - TOOLS &amp; SUPPLIES</v>
          </cell>
          <cell r="D10165" t="str">
            <v>PL576-25A</v>
          </cell>
          <cell r="BA10165">
            <v>19.989999999999998</v>
          </cell>
        </row>
        <row r="10166">
          <cell r="C10166" t="str">
            <v>4510 - MISC HARDWARE &amp; HINGES</v>
          </cell>
          <cell r="D10166" t="str">
            <v>MT41202</v>
          </cell>
          <cell r="BA10166">
            <v>4.99</v>
          </cell>
        </row>
        <row r="10167">
          <cell r="C10167" t="str">
            <v>4510 - MISC HARDWARE &amp; HINGES</v>
          </cell>
          <cell r="D10167" t="str">
            <v>MD50154</v>
          </cell>
          <cell r="BA10167">
            <v>2.39</v>
          </cell>
        </row>
        <row r="10168">
          <cell r="C10168" t="str">
            <v>4510 - MISC HARDWARE &amp; HINGES</v>
          </cell>
          <cell r="D10168" t="str">
            <v>H150003EA</v>
          </cell>
          <cell r="BA10168">
            <v>0.13</v>
          </cell>
        </row>
        <row r="10169">
          <cell r="C10169" t="str">
            <v>4510 - MISC HARDWARE &amp; HINGES</v>
          </cell>
          <cell r="D10169" t="str">
            <v>H150015EA</v>
          </cell>
          <cell r="BA10169">
            <v>0.43</v>
          </cell>
        </row>
        <row r="10170">
          <cell r="C10170" t="str">
            <v>4510 - MISC HARDWARE &amp; HINGES</v>
          </cell>
          <cell r="D10170" t="str">
            <v>H150021EA</v>
          </cell>
          <cell r="BA10170">
            <v>0.75</v>
          </cell>
        </row>
        <row r="10171">
          <cell r="C10171" t="str">
            <v>4510 - MISC HARDWARE &amp; HINGES</v>
          </cell>
          <cell r="D10171" t="str">
            <v>H150027EA</v>
          </cell>
          <cell r="BA10171">
            <v>2.19</v>
          </cell>
        </row>
        <row r="10172">
          <cell r="C10172" t="str">
            <v>4510 - MISC HARDWARE &amp; HINGES</v>
          </cell>
          <cell r="D10172" t="str">
            <v>H150030EA</v>
          </cell>
          <cell r="BA10172">
            <v>2.69</v>
          </cell>
        </row>
        <row r="10173">
          <cell r="C10173" t="str">
            <v>4510 - MISC HARDWARE &amp; HINGES</v>
          </cell>
          <cell r="D10173" t="str">
            <v>H180147EA</v>
          </cell>
          <cell r="BA10173">
            <v>0.16</v>
          </cell>
        </row>
        <row r="10174">
          <cell r="C10174" t="str">
            <v>4510 - MISC HARDWARE &amp; HINGES</v>
          </cell>
          <cell r="D10174" t="str">
            <v>GATOR7282</v>
          </cell>
          <cell r="BA10174">
            <v>11.99</v>
          </cell>
        </row>
        <row r="10175">
          <cell r="C10175" t="str">
            <v>4510 - MISC HARDWARE &amp; HINGES</v>
          </cell>
          <cell r="D10175" t="str">
            <v>GATOR7283</v>
          </cell>
          <cell r="BA10175">
            <v>11.99</v>
          </cell>
        </row>
        <row r="10176">
          <cell r="C10176" t="str">
            <v>4510 - MISC HARDWARE &amp; HINGES</v>
          </cell>
          <cell r="D10176" t="str">
            <v>GATOR7284</v>
          </cell>
          <cell r="BA10176">
            <v>11.99</v>
          </cell>
        </row>
        <row r="10177">
          <cell r="C10177" t="str">
            <v>4510 - MISC HARDWARE &amp; HINGES</v>
          </cell>
          <cell r="D10177" t="str">
            <v>GATOR7289</v>
          </cell>
          <cell r="BA10177">
            <v>9.39</v>
          </cell>
        </row>
        <row r="10178">
          <cell r="C10178" t="str">
            <v>4510 - MISC HARDWARE &amp; HINGES</v>
          </cell>
          <cell r="D10178" t="str">
            <v>GATOR7287</v>
          </cell>
          <cell r="BA10178">
            <v>9.2899999999999991</v>
          </cell>
        </row>
        <row r="10179">
          <cell r="C10179" t="str">
            <v>4510 - MISC HARDWARE &amp; HINGES</v>
          </cell>
          <cell r="D10179" t="str">
            <v>GATOR7286</v>
          </cell>
          <cell r="BA10179">
            <v>9.2899999999999991</v>
          </cell>
        </row>
        <row r="10180">
          <cell r="C10180" t="str">
            <v>4510 - MISC HARDWARE &amp; HINGES</v>
          </cell>
          <cell r="D10180" t="str">
            <v>GATOR7285</v>
          </cell>
          <cell r="BA10180">
            <v>9.09</v>
          </cell>
        </row>
        <row r="10181">
          <cell r="C10181" t="str">
            <v>4510 - MISC HARDWARE &amp; HINGES</v>
          </cell>
          <cell r="D10181" t="str">
            <v>GATOR9026</v>
          </cell>
          <cell r="BA10181">
            <v>10.69</v>
          </cell>
        </row>
        <row r="10182">
          <cell r="C10182" t="str">
            <v>4510 - MISC HARDWARE &amp; HINGES</v>
          </cell>
          <cell r="D10182" t="str">
            <v>GATOR9025</v>
          </cell>
          <cell r="BA10182">
            <v>10.69</v>
          </cell>
        </row>
        <row r="10183">
          <cell r="C10183" t="str">
            <v>4510 - MISC HARDWARE &amp; HINGES</v>
          </cell>
          <cell r="D10183" t="str">
            <v>GATOR9024</v>
          </cell>
          <cell r="BA10183">
            <v>10.69</v>
          </cell>
        </row>
        <row r="10184">
          <cell r="C10184" t="str">
            <v>4510 - MISC HARDWARE &amp; HINGES</v>
          </cell>
          <cell r="D10184" t="str">
            <v>GATOR9023</v>
          </cell>
          <cell r="BA10184">
            <v>10.69</v>
          </cell>
        </row>
        <row r="10185">
          <cell r="C10185" t="str">
            <v>4510 - MISC HARDWARE &amp; HINGES</v>
          </cell>
          <cell r="D10185" t="str">
            <v>GATOR9022</v>
          </cell>
          <cell r="BA10185">
            <v>10.69</v>
          </cell>
        </row>
        <row r="10186">
          <cell r="C10186" t="str">
            <v>4510 - MISC HARDWARE &amp; HINGES</v>
          </cell>
          <cell r="D10186" t="str">
            <v>GATOR9021GA</v>
          </cell>
          <cell r="BA10186">
            <v>12.29</v>
          </cell>
        </row>
        <row r="10187">
          <cell r="C10187" t="str">
            <v>4510 - MISC HARDWARE &amp; HINGES</v>
          </cell>
          <cell r="D10187" t="str">
            <v>GATOR9020</v>
          </cell>
          <cell r="BA10187">
            <v>11.59</v>
          </cell>
        </row>
        <row r="10188">
          <cell r="C10188" t="str">
            <v>4510 - MISC HARDWARE &amp; HINGES</v>
          </cell>
          <cell r="D10188" t="str">
            <v>GATOR4339</v>
          </cell>
          <cell r="BA10188">
            <v>18.79</v>
          </cell>
        </row>
        <row r="10189">
          <cell r="C10189" t="str">
            <v>4510 - MISC HARDWARE &amp; HINGES</v>
          </cell>
          <cell r="D10189" t="str">
            <v>GATOR4348</v>
          </cell>
          <cell r="BA10189">
            <v>18.79</v>
          </cell>
        </row>
        <row r="10190">
          <cell r="C10190" t="str">
            <v>4510 - MISC HARDWARE &amp; HINGES</v>
          </cell>
          <cell r="D10190" t="str">
            <v>GATOR3727</v>
          </cell>
          <cell r="BA10190">
            <v>11.49</v>
          </cell>
        </row>
        <row r="10191">
          <cell r="C10191" t="str">
            <v>4510 - MISC HARDWARE &amp; HINGES</v>
          </cell>
          <cell r="D10191" t="str">
            <v>GATOR7281</v>
          </cell>
          <cell r="BA10191">
            <v>11.99</v>
          </cell>
        </row>
        <row r="10192">
          <cell r="C10192" t="str">
            <v>4510 - MISC HARDWARE &amp; HINGES</v>
          </cell>
          <cell r="D10192" t="str">
            <v>MF53218EA</v>
          </cell>
          <cell r="BA10192">
            <v>2.19</v>
          </cell>
        </row>
        <row r="10193">
          <cell r="C10193" t="str">
            <v>4510 - MISC HARDWARE &amp; HINGES</v>
          </cell>
          <cell r="D10193" t="str">
            <v>MF53219EA</v>
          </cell>
          <cell r="BA10193">
            <v>2.29</v>
          </cell>
        </row>
        <row r="10194">
          <cell r="C10194" t="str">
            <v>4510 - MISC HARDWARE &amp; HINGES</v>
          </cell>
          <cell r="D10194" t="str">
            <v>MF53220EA</v>
          </cell>
          <cell r="BA10194">
            <v>5.39</v>
          </cell>
        </row>
        <row r="10195">
          <cell r="C10195" t="str">
            <v>4510 - MISC HARDWARE &amp; HINGES</v>
          </cell>
          <cell r="D10195" t="str">
            <v>MF53221EA</v>
          </cell>
          <cell r="BA10195">
            <v>6.59</v>
          </cell>
        </row>
        <row r="10196">
          <cell r="C10196" t="str">
            <v>4510 - MISC HARDWARE &amp; HINGES</v>
          </cell>
          <cell r="D10196" t="str">
            <v>MF53222EA</v>
          </cell>
          <cell r="BA10196">
            <v>12.99</v>
          </cell>
        </row>
        <row r="10197">
          <cell r="C10197" t="str">
            <v>4510 - MISC HARDWARE &amp; HINGES</v>
          </cell>
          <cell r="D10197" t="str">
            <v>MF53225EA</v>
          </cell>
          <cell r="BA10197">
            <v>8.59</v>
          </cell>
        </row>
        <row r="10198">
          <cell r="C10198" t="str">
            <v>4510 - MISC HARDWARE &amp; HINGES</v>
          </cell>
          <cell r="D10198" t="str">
            <v>MF53226EA</v>
          </cell>
          <cell r="BA10198">
            <v>10.59</v>
          </cell>
        </row>
        <row r="10199">
          <cell r="C10199" t="str">
            <v>4510 - MISC HARDWARE &amp; HINGES</v>
          </cell>
          <cell r="D10199" t="str">
            <v>MF53227EA</v>
          </cell>
          <cell r="BA10199">
            <v>12.59</v>
          </cell>
        </row>
        <row r="10200">
          <cell r="C10200" t="str">
            <v>4510 - MISC HARDWARE &amp; HINGES</v>
          </cell>
          <cell r="D10200" t="str">
            <v>BK108-904</v>
          </cell>
          <cell r="BA10200">
            <v>14.99</v>
          </cell>
        </row>
        <row r="10201">
          <cell r="C10201" t="str">
            <v>4510 - MISC HARDWARE &amp; HINGES</v>
          </cell>
          <cell r="D10201" t="str">
            <v>SV9066833</v>
          </cell>
          <cell r="BA10201">
            <v>9.99</v>
          </cell>
        </row>
        <row r="10202">
          <cell r="C10202" t="str">
            <v>4510 - MISC HARDWARE &amp; HINGES</v>
          </cell>
          <cell r="D10202" t="str">
            <v>GRFLEX14100C</v>
          </cell>
          <cell r="BA10202">
            <v>59.49</v>
          </cell>
        </row>
        <row r="10203">
          <cell r="C10203" t="str">
            <v>4510 - MISC HARDWARE &amp; HINGES</v>
          </cell>
          <cell r="D10203" t="str">
            <v>GRFLEX1450C</v>
          </cell>
          <cell r="BA10203">
            <v>43.99</v>
          </cell>
        </row>
        <row r="10204">
          <cell r="C10204" t="str">
            <v>4510 - MISC HARDWARE &amp; HINGES</v>
          </cell>
          <cell r="D10204" t="str">
            <v>CRM2P</v>
          </cell>
          <cell r="BA10204">
            <v>26.39</v>
          </cell>
        </row>
        <row r="10205">
          <cell r="C10205" t="str">
            <v>4510 - MISC HARDWARE &amp; HINGES</v>
          </cell>
          <cell r="D10205" t="str">
            <v>SA3200</v>
          </cell>
          <cell r="BA10205">
            <v>154.99</v>
          </cell>
        </row>
        <row r="10206">
          <cell r="C10206" t="str">
            <v>4510 - MISC HARDWARE &amp; HINGES</v>
          </cell>
          <cell r="D10206" t="str">
            <v>SD9112R500B</v>
          </cell>
          <cell r="BA10206">
            <v>58.49</v>
          </cell>
        </row>
        <row r="10207">
          <cell r="C10207" t="str">
            <v>4510 - MISC HARDWARE &amp; HINGES</v>
          </cell>
          <cell r="D10207" t="str">
            <v>SD9112SS-R100</v>
          </cell>
          <cell r="BA10207">
            <v>51.49</v>
          </cell>
        </row>
        <row r="10208">
          <cell r="C10208" t="str">
            <v>4510 - MISC HARDWARE &amp; HINGES</v>
          </cell>
          <cell r="D10208" t="str">
            <v>SD9212SS-R100</v>
          </cell>
          <cell r="BA10208">
            <v>67.989999999999995</v>
          </cell>
        </row>
        <row r="10209">
          <cell r="C10209" t="str">
            <v>4510 - MISC HARDWARE &amp; HINGES</v>
          </cell>
          <cell r="D10209" t="str">
            <v>STN22-R24</v>
          </cell>
          <cell r="BA10209">
            <v>51.49</v>
          </cell>
        </row>
        <row r="10210">
          <cell r="C10210" t="str">
            <v>4510 - MISC HARDWARE &amp; HINGES</v>
          </cell>
          <cell r="D10210" t="str">
            <v>N220-335</v>
          </cell>
          <cell r="BA10210">
            <v>5.99</v>
          </cell>
        </row>
        <row r="10211">
          <cell r="C10211" t="str">
            <v>4510 - MISC HARDWARE &amp; HINGES</v>
          </cell>
          <cell r="D10211" t="str">
            <v>QRBR78040</v>
          </cell>
          <cell r="BA10211">
            <v>19.989999999999998</v>
          </cell>
        </row>
        <row r="10212">
          <cell r="C10212" t="str">
            <v>4510 - MISC HARDWARE &amp; HINGES</v>
          </cell>
          <cell r="D10212" t="str">
            <v>QRBR38120</v>
          </cell>
          <cell r="BA10212">
            <v>19.989999999999998</v>
          </cell>
        </row>
        <row r="10213">
          <cell r="C10213" t="str">
            <v>4510 - MISC HARDWARE &amp; HINGES</v>
          </cell>
          <cell r="D10213" t="str">
            <v>AS160</v>
          </cell>
          <cell r="BA10213">
            <v>49.99</v>
          </cell>
        </row>
        <row r="10214">
          <cell r="C10214" t="str">
            <v>4510 - MISC HARDWARE &amp; HINGES</v>
          </cell>
          <cell r="D10214" t="str">
            <v>MD85548</v>
          </cell>
          <cell r="BA10214">
            <v>44.99</v>
          </cell>
        </row>
        <row r="10215">
          <cell r="C10215" t="str">
            <v>4510 - MISC HARDWARE &amp; HINGES</v>
          </cell>
          <cell r="D10215" t="str">
            <v>AMRBP813WD</v>
          </cell>
          <cell r="BA10215">
            <v>2.59</v>
          </cell>
        </row>
        <row r="10216">
          <cell r="C10216" t="str">
            <v>4510 - MISC HARDWARE &amp; HINGES</v>
          </cell>
          <cell r="D10216" t="str">
            <v>AMRBP814WD</v>
          </cell>
          <cell r="BA10216">
            <v>1.19</v>
          </cell>
        </row>
        <row r="10217">
          <cell r="C10217" t="str">
            <v>4510 - MISC HARDWARE &amp; HINGES</v>
          </cell>
          <cell r="D10217" t="str">
            <v>AMRBP811WD</v>
          </cell>
          <cell r="BA10217">
            <v>2.99</v>
          </cell>
        </row>
        <row r="10218">
          <cell r="C10218" t="str">
            <v>4510 - MISC HARDWARE &amp; HINGES</v>
          </cell>
          <cell r="D10218" t="str">
            <v>AMRBP86526D</v>
          </cell>
          <cell r="BA10218">
            <v>3.49</v>
          </cell>
        </row>
        <row r="10219">
          <cell r="C10219" t="str">
            <v>4510 - MISC HARDWARE &amp; HINGES</v>
          </cell>
          <cell r="D10219" t="str">
            <v>AMRBP803PW</v>
          </cell>
          <cell r="BA10219">
            <v>2.99</v>
          </cell>
        </row>
        <row r="10220">
          <cell r="C10220" t="str">
            <v>4510 - MISC HARDWARE &amp; HINGES</v>
          </cell>
          <cell r="D10220" t="str">
            <v>AMRBP3429BB</v>
          </cell>
          <cell r="BA10220">
            <v>5.99</v>
          </cell>
        </row>
        <row r="10221">
          <cell r="C10221" t="str">
            <v>4510 - MISC HARDWARE &amp; HINGES</v>
          </cell>
          <cell r="D10221" t="str">
            <v>AMRBP4611A14</v>
          </cell>
          <cell r="BA10221">
            <v>8.09</v>
          </cell>
        </row>
        <row r="10222">
          <cell r="C10222" t="str">
            <v>4510 - MISC HARDWARE &amp; HINGES</v>
          </cell>
          <cell r="D10222" t="str">
            <v>AMRBP341626</v>
          </cell>
          <cell r="BA10222">
            <v>2.99</v>
          </cell>
        </row>
        <row r="10223">
          <cell r="C10223" t="str">
            <v>4510 - MISC HARDWARE &amp; HINGES</v>
          </cell>
          <cell r="D10223" t="str">
            <v>AMR848LB</v>
          </cell>
          <cell r="BA10223">
            <v>2.79</v>
          </cell>
        </row>
        <row r="10224">
          <cell r="C10224" t="str">
            <v>4510 - MISC HARDWARE &amp; HINGES</v>
          </cell>
          <cell r="D10224" t="str">
            <v>LJ301226</v>
          </cell>
          <cell r="BA10224">
            <v>3.09</v>
          </cell>
        </row>
        <row r="10225">
          <cell r="C10225" t="str">
            <v>4510 - MISC HARDWARE &amp; HINGES</v>
          </cell>
          <cell r="D10225" t="str">
            <v>AMRBP3401CB</v>
          </cell>
          <cell r="BA10225">
            <v>2.99</v>
          </cell>
        </row>
        <row r="10226">
          <cell r="C10226" t="str">
            <v>4510 - MISC HARDWARE &amp; HINGES</v>
          </cell>
          <cell r="D10226" t="str">
            <v>SG30105</v>
          </cell>
          <cell r="BA10226">
            <v>8.99</v>
          </cell>
        </row>
        <row r="10227">
          <cell r="C10227" t="str">
            <v>4510 - MISC HARDWARE &amp; HINGES</v>
          </cell>
          <cell r="D10227" t="str">
            <v>MD04929</v>
          </cell>
          <cell r="BA10227">
            <v>5.99</v>
          </cell>
        </row>
        <row r="10228">
          <cell r="C10228" t="str">
            <v>4510 - MISC HARDWARE &amp; HINGES</v>
          </cell>
          <cell r="D10228" t="str">
            <v>SG30116</v>
          </cell>
          <cell r="BA10228">
            <v>7.59</v>
          </cell>
        </row>
        <row r="10229">
          <cell r="C10229" t="str">
            <v>4510 - MISC HARDWARE &amp; HINGES</v>
          </cell>
          <cell r="D10229" t="str">
            <v>THFC2</v>
          </cell>
          <cell r="BA10229">
            <v>4.99</v>
          </cell>
        </row>
        <row r="10230">
          <cell r="C10230" t="str">
            <v>4510 - MISC HARDWARE &amp; HINGES</v>
          </cell>
          <cell r="D10230" t="str">
            <v>H55099</v>
          </cell>
          <cell r="BA10230">
            <v>6.99</v>
          </cell>
        </row>
        <row r="10231">
          <cell r="C10231" t="str">
            <v>4510 - MISC HARDWARE &amp; HINGES</v>
          </cell>
          <cell r="D10231" t="str">
            <v>3MRF6730</v>
          </cell>
          <cell r="BA10231">
            <v>4.99</v>
          </cell>
        </row>
        <row r="10232">
          <cell r="C10232" t="str">
            <v>4510 - MISC HARDWARE &amp; HINGES</v>
          </cell>
          <cell r="D10232" t="str">
            <v>3MRF6731</v>
          </cell>
          <cell r="BA10232">
            <v>5.39</v>
          </cell>
        </row>
        <row r="10233">
          <cell r="C10233" t="str">
            <v>4510 - MISC HARDWARE &amp; HINGES</v>
          </cell>
          <cell r="D10233" t="str">
            <v>013100RHK</v>
          </cell>
          <cell r="BA10233">
            <v>0.99</v>
          </cell>
        </row>
        <row r="10234">
          <cell r="C10234" t="str">
            <v>4510 - MISC HARDWARE &amp; HINGES</v>
          </cell>
          <cell r="D10234" t="str">
            <v>013001SCK</v>
          </cell>
          <cell r="BA10234">
            <v>0.63</v>
          </cell>
        </row>
        <row r="10235">
          <cell r="C10235" t="str">
            <v>4510 - MISC HARDWARE &amp; HINGES</v>
          </cell>
          <cell r="D10235" t="str">
            <v>013001DCK</v>
          </cell>
          <cell r="BA10235">
            <v>0.57999999999999996</v>
          </cell>
        </row>
        <row r="10236">
          <cell r="C10236" t="str">
            <v>4510 - MISC HARDWARE &amp; HINGES</v>
          </cell>
          <cell r="D10236" t="str">
            <v>013301CPK</v>
          </cell>
          <cell r="BA10236">
            <v>1.49</v>
          </cell>
        </row>
        <row r="10237">
          <cell r="C10237" t="str">
            <v>4510 - MISC HARDWARE &amp; HINGES</v>
          </cell>
          <cell r="D10237" t="str">
            <v>CH10490</v>
          </cell>
          <cell r="BA10237">
            <v>29.99</v>
          </cell>
        </row>
        <row r="10238">
          <cell r="C10238" t="str">
            <v>4510 - MISC HARDWARE &amp; HINGES</v>
          </cell>
          <cell r="D10238" t="str">
            <v>KV208BLK300</v>
          </cell>
          <cell r="BA10238">
            <v>10.99</v>
          </cell>
        </row>
        <row r="10239">
          <cell r="C10239" t="str">
            <v>4510 - MISC HARDWARE &amp; HINGES</v>
          </cell>
          <cell r="D10239" t="str">
            <v>MD68676</v>
          </cell>
          <cell r="BA10239">
            <v>25.99</v>
          </cell>
        </row>
        <row r="10240">
          <cell r="C10240" t="str">
            <v>4510 - MISC HARDWARE &amp; HINGES</v>
          </cell>
          <cell r="D10240" t="str">
            <v>U10166</v>
          </cell>
          <cell r="BA10240">
            <v>4.59</v>
          </cell>
        </row>
        <row r="10241">
          <cell r="C10241" t="str">
            <v>4510 - MISC HARDWARE &amp; HINGES</v>
          </cell>
          <cell r="D10241" t="str">
            <v>MD69612</v>
          </cell>
          <cell r="BA10241">
            <v>9.99</v>
          </cell>
        </row>
        <row r="10242">
          <cell r="C10242" t="str">
            <v>4510 - MISC HARDWARE &amp; HINGES</v>
          </cell>
          <cell r="D10242" t="str">
            <v>H50141</v>
          </cell>
          <cell r="BA10242">
            <v>9.99</v>
          </cell>
        </row>
        <row r="10243">
          <cell r="C10243" t="str">
            <v>4510 - MISC HARDWARE &amp; HINGES</v>
          </cell>
          <cell r="D10243" t="str">
            <v>KV208BLK400</v>
          </cell>
          <cell r="BA10243">
            <v>13.99</v>
          </cell>
        </row>
        <row r="10244">
          <cell r="C10244" t="str">
            <v>4510 - MISC HARDWARE &amp; HINGES</v>
          </cell>
          <cell r="D10244" t="str">
            <v>MD69554</v>
          </cell>
          <cell r="BA10244">
            <v>17.989999999999998</v>
          </cell>
        </row>
        <row r="10245">
          <cell r="C10245" t="str">
            <v>4510 - MISC HARDWARE &amp; HINGES</v>
          </cell>
          <cell r="D10245" t="str">
            <v>MD68437</v>
          </cell>
          <cell r="BA10245">
            <v>37.99</v>
          </cell>
        </row>
        <row r="10246">
          <cell r="C10246" t="str">
            <v>4510 - MISC HARDWARE &amp; HINGES</v>
          </cell>
          <cell r="D10246" t="str">
            <v>MD68429</v>
          </cell>
          <cell r="BA10246">
            <v>19.989999999999998</v>
          </cell>
        </row>
        <row r="10247">
          <cell r="C10247" t="str">
            <v>4510 - MISC HARDWARE &amp; HINGES</v>
          </cell>
          <cell r="D10247" t="str">
            <v>P7635</v>
          </cell>
          <cell r="BA10247">
            <v>5.69</v>
          </cell>
        </row>
        <row r="10248">
          <cell r="C10248" t="str">
            <v>4510 - MISC HARDWARE &amp; HINGES</v>
          </cell>
          <cell r="D10248" t="str">
            <v>H50142</v>
          </cell>
          <cell r="BA10248">
            <v>10.99</v>
          </cell>
        </row>
        <row r="10249">
          <cell r="C10249" t="str">
            <v>4510 - MISC HARDWARE &amp; HINGES</v>
          </cell>
          <cell r="D10249" t="str">
            <v>MD04283</v>
          </cell>
          <cell r="BA10249">
            <v>6.99</v>
          </cell>
        </row>
        <row r="10250">
          <cell r="C10250" t="str">
            <v>4510 - MISC HARDWARE &amp; HINGES</v>
          </cell>
          <cell r="D10250" t="str">
            <v>N130-765</v>
          </cell>
          <cell r="BA10250">
            <v>12.99</v>
          </cell>
        </row>
        <row r="10251">
          <cell r="C10251" t="str">
            <v>4510 - MISC HARDWARE &amp; HINGES</v>
          </cell>
          <cell r="D10251" t="str">
            <v>N130-799</v>
          </cell>
          <cell r="BA10251">
            <v>14.99</v>
          </cell>
        </row>
        <row r="10252">
          <cell r="C10252" t="str">
            <v>4510 - MISC HARDWARE &amp; HINGES</v>
          </cell>
          <cell r="D10252" t="str">
            <v>U9495</v>
          </cell>
          <cell r="BA10252">
            <v>8.69</v>
          </cell>
        </row>
        <row r="10253">
          <cell r="C10253" t="str">
            <v>4510 - MISC HARDWARE &amp; HINGES</v>
          </cell>
          <cell r="D10253" t="str">
            <v>MD68510</v>
          </cell>
          <cell r="BA10253">
            <v>25.99</v>
          </cell>
        </row>
        <row r="10254">
          <cell r="C10254" t="str">
            <v>4510 - MISC HARDWARE &amp; HINGES</v>
          </cell>
          <cell r="D10254" t="str">
            <v>MD81679</v>
          </cell>
          <cell r="BA10254">
            <v>19.989999999999998</v>
          </cell>
        </row>
        <row r="10255">
          <cell r="C10255" t="str">
            <v>4510 - MISC HARDWARE &amp; HINGES</v>
          </cell>
          <cell r="D10255" t="str">
            <v>MD69633</v>
          </cell>
          <cell r="BA10255">
            <v>13.99</v>
          </cell>
        </row>
        <row r="10256">
          <cell r="C10256" t="str">
            <v>4510 - MISC HARDWARE &amp; HINGES</v>
          </cell>
          <cell r="D10256" t="str">
            <v>B684</v>
          </cell>
          <cell r="BA10256">
            <v>11.99</v>
          </cell>
        </row>
        <row r="10257">
          <cell r="C10257" t="str">
            <v>4510 - MISC HARDWARE &amp; HINGES</v>
          </cell>
          <cell r="D10257" t="str">
            <v>MD81927</v>
          </cell>
          <cell r="BA10257">
            <v>14.99</v>
          </cell>
        </row>
        <row r="10258">
          <cell r="C10258" t="str">
            <v>4510 - MISC HARDWARE &amp; HINGES</v>
          </cell>
          <cell r="D10258" t="str">
            <v>MAS5400D</v>
          </cell>
          <cell r="BA10258">
            <v>44.99</v>
          </cell>
        </row>
        <row r="10259">
          <cell r="C10259" t="str">
            <v>4510 - MISC HARDWARE &amp; HINGES</v>
          </cell>
          <cell r="D10259" t="str">
            <v>NSR3436</v>
          </cell>
          <cell r="BA10259">
            <v>10.99</v>
          </cell>
        </row>
        <row r="10260">
          <cell r="C10260" t="str">
            <v>4510 - MISC HARDWARE &amp; HINGES</v>
          </cell>
          <cell r="D10260" t="str">
            <v>NSR3430</v>
          </cell>
          <cell r="BA10260">
            <v>9.99</v>
          </cell>
        </row>
        <row r="10261">
          <cell r="C10261" t="str">
            <v>4510 - MISC HARDWARE &amp; HINGES</v>
          </cell>
          <cell r="D10261" t="str">
            <v>E2456</v>
          </cell>
          <cell r="BA10261">
            <v>4.79</v>
          </cell>
        </row>
        <row r="10262">
          <cell r="C10262" t="str">
            <v>4510 - MISC HARDWARE &amp; HINGES</v>
          </cell>
          <cell r="D10262" t="str">
            <v>WAD776-CS</v>
          </cell>
          <cell r="BA10262">
            <v>3.99</v>
          </cell>
        </row>
        <row r="10263">
          <cell r="C10263" t="str">
            <v>4510 - MISC HARDWARE &amp; HINGES</v>
          </cell>
          <cell r="D10263" t="str">
            <v>WM775-CS</v>
          </cell>
          <cell r="BA10263">
            <v>3.99</v>
          </cell>
        </row>
        <row r="10264">
          <cell r="C10264" t="str">
            <v>4510 - MISC HARDWARE &amp; HINGES</v>
          </cell>
          <cell r="D10264" t="str">
            <v>CAHH35US10B</v>
          </cell>
          <cell r="BA10264">
            <v>13.89</v>
          </cell>
        </row>
        <row r="10265">
          <cell r="C10265" t="str">
            <v>4510 - MISC HARDWARE &amp; HINGES</v>
          </cell>
          <cell r="D10265" t="str">
            <v>N351-453</v>
          </cell>
          <cell r="BA10265">
            <v>8.99</v>
          </cell>
        </row>
        <row r="10266">
          <cell r="C10266" t="str">
            <v>4510 - MISC HARDWARE &amp; HINGES</v>
          </cell>
          <cell r="D10266" t="str">
            <v>N351-454</v>
          </cell>
          <cell r="BA10266">
            <v>2.99</v>
          </cell>
        </row>
        <row r="10267">
          <cell r="C10267" t="str">
            <v>4510 - MISC HARDWARE &amp; HINGES</v>
          </cell>
          <cell r="D10267" t="str">
            <v>N351-455</v>
          </cell>
          <cell r="BA10267">
            <v>4.99</v>
          </cell>
        </row>
        <row r="10268">
          <cell r="C10268" t="str">
            <v>4510 - MISC HARDWARE &amp; HINGES</v>
          </cell>
          <cell r="D10268" t="str">
            <v>N351-456</v>
          </cell>
          <cell r="BA10268">
            <v>5.99</v>
          </cell>
        </row>
        <row r="10269">
          <cell r="C10269" t="str">
            <v>4510 - MISC HARDWARE &amp; HINGES</v>
          </cell>
          <cell r="D10269" t="str">
            <v>N351-457</v>
          </cell>
          <cell r="BA10269">
            <v>7.59</v>
          </cell>
        </row>
        <row r="10270">
          <cell r="C10270" t="str">
            <v>4510 - MISC HARDWARE &amp; HINGES</v>
          </cell>
          <cell r="D10270" t="str">
            <v>N351-458</v>
          </cell>
          <cell r="BA10270">
            <v>13.99</v>
          </cell>
        </row>
        <row r="10271">
          <cell r="C10271" t="str">
            <v>4510 - MISC HARDWARE &amp; HINGES</v>
          </cell>
          <cell r="D10271" t="str">
            <v>N351-459</v>
          </cell>
          <cell r="BA10271">
            <v>17.989999999999998</v>
          </cell>
        </row>
        <row r="10272">
          <cell r="C10272" t="str">
            <v>4510 - MISC HARDWARE &amp; HINGES</v>
          </cell>
          <cell r="D10272" t="str">
            <v>N351-461</v>
          </cell>
          <cell r="BA10272">
            <v>17.989999999999998</v>
          </cell>
        </row>
        <row r="10273">
          <cell r="C10273" t="str">
            <v>4510 - MISC HARDWARE &amp; HINGES</v>
          </cell>
          <cell r="D10273" t="str">
            <v>N351-462</v>
          </cell>
          <cell r="BA10273">
            <v>5.99</v>
          </cell>
        </row>
        <row r="10274">
          <cell r="C10274" t="str">
            <v>4510 - MISC HARDWARE &amp; HINGES</v>
          </cell>
          <cell r="D10274" t="str">
            <v>N351-470</v>
          </cell>
          <cell r="BA10274">
            <v>4.59</v>
          </cell>
        </row>
        <row r="10275">
          <cell r="C10275" t="str">
            <v>4510 - MISC HARDWARE &amp; HINGES</v>
          </cell>
          <cell r="D10275" t="str">
            <v>N351-471</v>
          </cell>
          <cell r="BA10275">
            <v>5.99</v>
          </cell>
        </row>
        <row r="10276">
          <cell r="C10276" t="str">
            <v>4510 - MISC HARDWARE &amp; HINGES</v>
          </cell>
          <cell r="D10276" t="str">
            <v>N351-472</v>
          </cell>
          <cell r="BA10276">
            <v>5.69</v>
          </cell>
        </row>
        <row r="10277">
          <cell r="C10277" t="str">
            <v>4510 - MISC HARDWARE &amp; HINGES</v>
          </cell>
          <cell r="D10277" t="str">
            <v>N351-504</v>
          </cell>
          <cell r="BA10277">
            <v>6.49</v>
          </cell>
        </row>
        <row r="10278">
          <cell r="C10278" t="str">
            <v>4510 - MISC HARDWARE &amp; HINGES</v>
          </cell>
          <cell r="D10278" t="str">
            <v>N351-505</v>
          </cell>
          <cell r="BA10278">
            <v>6.99</v>
          </cell>
        </row>
        <row r="10279">
          <cell r="C10279" t="str">
            <v>4510 - MISC HARDWARE &amp; HINGES</v>
          </cell>
          <cell r="D10279" t="str">
            <v>N351-506</v>
          </cell>
          <cell r="BA10279">
            <v>11.99</v>
          </cell>
        </row>
        <row r="10280">
          <cell r="C10280" t="str">
            <v>4510 - MISC HARDWARE &amp; HINGES</v>
          </cell>
          <cell r="D10280" t="str">
            <v>N351-463</v>
          </cell>
          <cell r="BA10280">
            <v>4.99</v>
          </cell>
        </row>
        <row r="10281">
          <cell r="C10281" t="str">
            <v>4510 - MISC HARDWARE &amp; HINGES</v>
          </cell>
          <cell r="D10281" t="str">
            <v>N351-464</v>
          </cell>
          <cell r="BA10281">
            <v>5.69</v>
          </cell>
        </row>
        <row r="10282">
          <cell r="C10282" t="str">
            <v>4510 - MISC HARDWARE &amp; HINGES</v>
          </cell>
          <cell r="D10282" t="str">
            <v>N351-465</v>
          </cell>
          <cell r="BA10282">
            <v>6.99</v>
          </cell>
        </row>
        <row r="10283">
          <cell r="C10283" t="str">
            <v>4510 - MISC HARDWARE &amp; HINGES</v>
          </cell>
          <cell r="D10283" t="str">
            <v>N351-473</v>
          </cell>
          <cell r="BA10283">
            <v>8.99</v>
          </cell>
        </row>
        <row r="10284">
          <cell r="C10284" t="str">
            <v>4510 - MISC HARDWARE &amp; HINGES</v>
          </cell>
          <cell r="D10284" t="str">
            <v>N351-474</v>
          </cell>
          <cell r="BA10284">
            <v>7.59</v>
          </cell>
        </row>
        <row r="10285">
          <cell r="C10285" t="str">
            <v>4510 - MISC HARDWARE &amp; HINGES</v>
          </cell>
          <cell r="D10285" t="str">
            <v>N351-475</v>
          </cell>
          <cell r="BA10285">
            <v>6.99</v>
          </cell>
        </row>
        <row r="10286">
          <cell r="C10286" t="str">
            <v>4510 - MISC HARDWARE &amp; HINGES</v>
          </cell>
          <cell r="D10286" t="str">
            <v>N351-476</v>
          </cell>
          <cell r="BA10286">
            <v>4.29</v>
          </cell>
        </row>
        <row r="10287">
          <cell r="C10287" t="str">
            <v>4510 - MISC HARDWARE &amp; HINGES</v>
          </cell>
          <cell r="D10287" t="str">
            <v>N351-477</v>
          </cell>
          <cell r="BA10287">
            <v>4.99</v>
          </cell>
        </row>
        <row r="10288">
          <cell r="C10288" t="str">
            <v>4510 - MISC HARDWARE &amp; HINGES</v>
          </cell>
          <cell r="D10288" t="str">
            <v>MAS702D</v>
          </cell>
          <cell r="BA10288">
            <v>2.69</v>
          </cell>
        </row>
        <row r="10289">
          <cell r="C10289" t="str">
            <v>4510 - MISC HARDWARE &amp; HINGES</v>
          </cell>
          <cell r="D10289" t="str">
            <v>N351-478</v>
          </cell>
          <cell r="BA10289">
            <v>6.99</v>
          </cell>
        </row>
        <row r="10290">
          <cell r="C10290" t="str">
            <v>4510 - MISC HARDWARE &amp; HINGES</v>
          </cell>
          <cell r="D10290" t="str">
            <v>N351-479</v>
          </cell>
          <cell r="BA10290">
            <v>5.99</v>
          </cell>
        </row>
        <row r="10291">
          <cell r="C10291" t="str">
            <v>4510 - MISC HARDWARE &amp; HINGES</v>
          </cell>
          <cell r="D10291" t="str">
            <v>N351-480</v>
          </cell>
          <cell r="BA10291">
            <v>7.59</v>
          </cell>
        </row>
        <row r="10292">
          <cell r="C10292" t="str">
            <v>4510 - MISC HARDWARE &amp; HINGES</v>
          </cell>
          <cell r="D10292" t="str">
            <v>N351-481</v>
          </cell>
          <cell r="BA10292">
            <v>4.79</v>
          </cell>
        </row>
        <row r="10293">
          <cell r="C10293" t="str">
            <v>4510 - MISC HARDWARE &amp; HINGES</v>
          </cell>
          <cell r="D10293" t="str">
            <v>N351-482</v>
          </cell>
          <cell r="BA10293">
            <v>3.49</v>
          </cell>
        </row>
        <row r="10294">
          <cell r="C10294" t="str">
            <v>4510 - MISC HARDWARE &amp; HINGES</v>
          </cell>
          <cell r="D10294" t="str">
            <v>N351-498</v>
          </cell>
          <cell r="BA10294">
            <v>7.99</v>
          </cell>
        </row>
        <row r="10295">
          <cell r="C10295" t="str">
            <v>4510 - MISC HARDWARE &amp; HINGES</v>
          </cell>
          <cell r="D10295" t="str">
            <v>N351-499</v>
          </cell>
          <cell r="BA10295">
            <v>9.99</v>
          </cell>
        </row>
        <row r="10296">
          <cell r="C10296" t="str">
            <v>4510 - MISC HARDWARE &amp; HINGES</v>
          </cell>
          <cell r="D10296" t="str">
            <v>N351-500</v>
          </cell>
          <cell r="BA10296">
            <v>7.99</v>
          </cell>
        </row>
        <row r="10297">
          <cell r="C10297" t="str">
            <v>4510 - MISC HARDWARE &amp; HINGES</v>
          </cell>
          <cell r="D10297" t="str">
            <v>N351-501</v>
          </cell>
          <cell r="BA10297">
            <v>15.99</v>
          </cell>
        </row>
        <row r="10298">
          <cell r="C10298" t="str">
            <v>4510 - MISC HARDWARE &amp; HINGES</v>
          </cell>
          <cell r="D10298" t="str">
            <v>N351-488</v>
          </cell>
          <cell r="BA10298">
            <v>6.49</v>
          </cell>
        </row>
        <row r="10299">
          <cell r="C10299" t="str">
            <v>4510 - MISC HARDWARE &amp; HINGES</v>
          </cell>
          <cell r="D10299" t="str">
            <v>N351-489</v>
          </cell>
          <cell r="BA10299">
            <v>8.99</v>
          </cell>
        </row>
        <row r="10300">
          <cell r="C10300" t="str">
            <v>4510 - MISC HARDWARE &amp; HINGES</v>
          </cell>
          <cell r="D10300" t="str">
            <v>N351-491</v>
          </cell>
          <cell r="BA10300">
            <v>8.99</v>
          </cell>
        </row>
        <row r="10301">
          <cell r="C10301" t="str">
            <v>4510 - MISC HARDWARE &amp; HINGES</v>
          </cell>
          <cell r="D10301" t="str">
            <v>N351-492</v>
          </cell>
          <cell r="BA10301">
            <v>14.99</v>
          </cell>
        </row>
        <row r="10302">
          <cell r="C10302" t="str">
            <v>4510 - MISC HARDWARE &amp; HINGES</v>
          </cell>
          <cell r="D10302" t="str">
            <v>N351-493</v>
          </cell>
          <cell r="BA10302">
            <v>15.99</v>
          </cell>
        </row>
        <row r="10303">
          <cell r="C10303" t="str">
            <v>4510 - MISC HARDWARE &amp; HINGES</v>
          </cell>
          <cell r="D10303" t="str">
            <v>N351-483</v>
          </cell>
          <cell r="BA10303">
            <v>4.79</v>
          </cell>
        </row>
        <row r="10304">
          <cell r="C10304" t="str">
            <v>4510 - MISC HARDWARE &amp; HINGES</v>
          </cell>
          <cell r="D10304" t="str">
            <v>N351-484</v>
          </cell>
          <cell r="BA10304">
            <v>5.69</v>
          </cell>
        </row>
        <row r="10305">
          <cell r="C10305" t="str">
            <v>4510 - MISC HARDWARE &amp; HINGES</v>
          </cell>
          <cell r="D10305" t="str">
            <v>N351-486</v>
          </cell>
          <cell r="BA10305">
            <v>6.99</v>
          </cell>
        </row>
        <row r="10306">
          <cell r="C10306" t="str">
            <v>4510 - MISC HARDWARE &amp; HINGES</v>
          </cell>
          <cell r="D10306" t="str">
            <v>N351-487</v>
          </cell>
          <cell r="BA10306">
            <v>7.99</v>
          </cell>
        </row>
        <row r="10307">
          <cell r="C10307" t="str">
            <v>4510 - MISC HARDWARE &amp; HINGES</v>
          </cell>
          <cell r="D10307" t="str">
            <v>N351-494</v>
          </cell>
          <cell r="BA10307">
            <v>5.99</v>
          </cell>
        </row>
        <row r="10308">
          <cell r="C10308" t="str">
            <v>4510 - MISC HARDWARE &amp; HINGES</v>
          </cell>
          <cell r="D10308" t="str">
            <v>N351-495</v>
          </cell>
          <cell r="BA10308">
            <v>7.99</v>
          </cell>
        </row>
        <row r="10309">
          <cell r="C10309" t="str">
            <v>4510 - MISC HARDWARE &amp; HINGES</v>
          </cell>
          <cell r="D10309" t="str">
            <v>N351-496</v>
          </cell>
          <cell r="BA10309">
            <v>5.99</v>
          </cell>
        </row>
        <row r="10310">
          <cell r="C10310" t="str">
            <v>4510 - MISC HARDWARE &amp; HINGES</v>
          </cell>
          <cell r="D10310" t="str">
            <v>N351-497</v>
          </cell>
          <cell r="BA10310">
            <v>7.59</v>
          </cell>
        </row>
        <row r="10311">
          <cell r="C10311" t="str">
            <v>4510 - MISC HARDWARE &amp; HINGES</v>
          </cell>
          <cell r="D10311" t="str">
            <v>N351-466</v>
          </cell>
          <cell r="BA10311">
            <v>8.99</v>
          </cell>
        </row>
        <row r="10312">
          <cell r="C10312" t="str">
            <v>4510 - MISC HARDWARE &amp; HINGES</v>
          </cell>
          <cell r="D10312" t="str">
            <v>N351-467</v>
          </cell>
          <cell r="BA10312">
            <v>10.99</v>
          </cell>
        </row>
        <row r="10313">
          <cell r="C10313" t="str">
            <v>4510 - MISC HARDWARE &amp; HINGES</v>
          </cell>
          <cell r="D10313" t="str">
            <v>N351-468</v>
          </cell>
          <cell r="BA10313">
            <v>14.99</v>
          </cell>
        </row>
        <row r="10314">
          <cell r="C10314" t="str">
            <v>4510 - MISC HARDWARE &amp; HINGES</v>
          </cell>
          <cell r="D10314" t="str">
            <v>N351-469</v>
          </cell>
          <cell r="BA10314">
            <v>16.989999999999998</v>
          </cell>
        </row>
        <row r="10315">
          <cell r="C10315" t="str">
            <v>4510 - MISC HARDWARE &amp; HINGES</v>
          </cell>
          <cell r="D10315" t="str">
            <v>N351-502</v>
          </cell>
          <cell r="BA10315">
            <v>8.69</v>
          </cell>
        </row>
        <row r="10316">
          <cell r="C10316" t="str">
            <v>4510 - MISC HARDWARE &amp; HINGES</v>
          </cell>
          <cell r="D10316" t="str">
            <v>N351-503</v>
          </cell>
          <cell r="BA10316">
            <v>6.99</v>
          </cell>
        </row>
        <row r="10317">
          <cell r="C10317" t="str">
            <v>4510 - MISC HARDWARE &amp; HINGES</v>
          </cell>
          <cell r="D10317" t="str">
            <v>N830-246</v>
          </cell>
          <cell r="BA10317">
            <v>6.99</v>
          </cell>
        </row>
        <row r="10318">
          <cell r="C10318" t="str">
            <v>4510 - MISC HARDWARE &amp; HINGES</v>
          </cell>
          <cell r="D10318" t="str">
            <v>830207</v>
          </cell>
          <cell r="BA10318">
            <v>3.89</v>
          </cell>
        </row>
        <row r="10319">
          <cell r="C10319" t="str">
            <v>4510 - MISC HARDWARE &amp; HINGES</v>
          </cell>
          <cell r="D10319" t="str">
            <v>N104-307</v>
          </cell>
          <cell r="BA10319">
            <v>3.49</v>
          </cell>
        </row>
        <row r="10320">
          <cell r="C10320" t="str">
            <v>4510 - MISC HARDWARE &amp; HINGES</v>
          </cell>
          <cell r="D10320" t="str">
            <v>MAS703D</v>
          </cell>
          <cell r="BA10320">
            <v>6.99</v>
          </cell>
        </row>
        <row r="10321">
          <cell r="C10321" t="str">
            <v>4510 - MISC HARDWARE &amp; HINGES</v>
          </cell>
          <cell r="D10321" t="str">
            <v>MD04200</v>
          </cell>
          <cell r="BA10321">
            <v>11.99</v>
          </cell>
        </row>
        <row r="10322">
          <cell r="C10322" t="str">
            <v>4510 - MISC HARDWARE &amp; HINGES</v>
          </cell>
          <cell r="D10322" t="str">
            <v>N830-202</v>
          </cell>
          <cell r="BA10322">
            <v>5.69</v>
          </cell>
        </row>
        <row r="10323">
          <cell r="C10323" t="str">
            <v>4510 - MISC HARDWARE &amp; HINGES</v>
          </cell>
          <cell r="D10323" t="str">
            <v>N830-205</v>
          </cell>
          <cell r="BA10323">
            <v>5.69</v>
          </cell>
        </row>
        <row r="10324">
          <cell r="C10324" t="str">
            <v>4510 - MISC HARDWARE &amp; HINGES</v>
          </cell>
          <cell r="D10324" t="str">
            <v>N830-226</v>
          </cell>
          <cell r="BA10324">
            <v>2.09</v>
          </cell>
        </row>
        <row r="10325">
          <cell r="C10325" t="str">
            <v>4510 - MISC HARDWARE &amp; HINGES</v>
          </cell>
          <cell r="D10325" t="str">
            <v>N830-250</v>
          </cell>
          <cell r="BA10325">
            <v>5.99</v>
          </cell>
        </row>
        <row r="10326">
          <cell r="C10326" t="str">
            <v>4510 - MISC HARDWARE &amp; HINGES</v>
          </cell>
          <cell r="D10326" t="str">
            <v>N100-032</v>
          </cell>
          <cell r="BA10326">
            <v>6.99</v>
          </cell>
        </row>
        <row r="10327">
          <cell r="C10327" t="str">
            <v>4510 - MISC HARDWARE &amp; HINGES</v>
          </cell>
          <cell r="D10327" t="str">
            <v>N100-049</v>
          </cell>
          <cell r="BA10327">
            <v>25.99</v>
          </cell>
        </row>
        <row r="10328">
          <cell r="C10328" t="str">
            <v>4510 - MISC HARDWARE &amp; HINGES</v>
          </cell>
          <cell r="D10328" t="str">
            <v>N100-051</v>
          </cell>
          <cell r="BA10328">
            <v>25.99</v>
          </cell>
        </row>
        <row r="10329">
          <cell r="C10329" t="str">
            <v>4510 - MISC HARDWARE &amp; HINGES</v>
          </cell>
          <cell r="D10329" t="str">
            <v>N100-052</v>
          </cell>
          <cell r="BA10329">
            <v>25.99</v>
          </cell>
        </row>
        <row r="10330">
          <cell r="C10330" t="str">
            <v>4510 - MISC HARDWARE &amp; HINGES</v>
          </cell>
          <cell r="D10330" t="str">
            <v>N100-057</v>
          </cell>
          <cell r="BA10330">
            <v>7.99</v>
          </cell>
        </row>
        <row r="10331">
          <cell r="C10331" t="str">
            <v>4510 - MISC HARDWARE &amp; HINGES</v>
          </cell>
          <cell r="D10331" t="str">
            <v>N100-115</v>
          </cell>
          <cell r="BA10331">
            <v>5.39</v>
          </cell>
        </row>
        <row r="10332">
          <cell r="C10332" t="str">
            <v>4510 - MISC HARDWARE &amp; HINGES</v>
          </cell>
          <cell r="D10332" t="str">
            <v>N100-289</v>
          </cell>
          <cell r="BA10332">
            <v>7.99</v>
          </cell>
        </row>
        <row r="10333">
          <cell r="C10333" t="str">
            <v>4510 - MISC HARDWARE &amp; HINGES</v>
          </cell>
          <cell r="D10333" t="str">
            <v>N100-313</v>
          </cell>
          <cell r="BA10333">
            <v>6.49</v>
          </cell>
        </row>
        <row r="10334">
          <cell r="C10334" t="str">
            <v>4510 - MISC HARDWARE &amp; HINGES</v>
          </cell>
          <cell r="D10334" t="str">
            <v>N100-875</v>
          </cell>
          <cell r="BA10334">
            <v>17.989999999999998</v>
          </cell>
        </row>
        <row r="10335">
          <cell r="C10335" t="str">
            <v>4510 - MISC HARDWARE &amp; HINGES</v>
          </cell>
          <cell r="D10335" t="str">
            <v>N101-121</v>
          </cell>
          <cell r="BA10335">
            <v>7.99</v>
          </cell>
        </row>
        <row r="10336">
          <cell r="C10336" t="str">
            <v>4510 - MISC HARDWARE &amp; HINGES</v>
          </cell>
          <cell r="D10336" t="str">
            <v>N101-162</v>
          </cell>
          <cell r="BA10336">
            <v>6.99</v>
          </cell>
        </row>
        <row r="10337">
          <cell r="C10337" t="str">
            <v>4510 - MISC HARDWARE &amp; HINGES</v>
          </cell>
          <cell r="D10337" t="str">
            <v>N101-337</v>
          </cell>
          <cell r="BA10337">
            <v>8.99</v>
          </cell>
        </row>
        <row r="10338">
          <cell r="C10338" t="str">
            <v>4510 - MISC HARDWARE &amp; HINGES</v>
          </cell>
          <cell r="D10338" t="str">
            <v>N101-394</v>
          </cell>
          <cell r="BA10338">
            <v>29.99</v>
          </cell>
        </row>
        <row r="10339">
          <cell r="C10339" t="str">
            <v>4510 - MISC HARDWARE &amp; HINGES</v>
          </cell>
          <cell r="D10339" t="str">
            <v>N101-410</v>
          </cell>
          <cell r="BA10339">
            <v>27.99</v>
          </cell>
        </row>
        <row r="10340">
          <cell r="C10340" t="str">
            <v>4510 - MISC HARDWARE &amp; HINGES</v>
          </cell>
          <cell r="D10340" t="str">
            <v>N101-451</v>
          </cell>
          <cell r="BA10340">
            <v>18.989999999999998</v>
          </cell>
        </row>
        <row r="10341">
          <cell r="C10341" t="str">
            <v>4510 - MISC HARDWARE &amp; HINGES</v>
          </cell>
          <cell r="D10341" t="str">
            <v>N101-600</v>
          </cell>
          <cell r="BA10341">
            <v>34.99</v>
          </cell>
        </row>
        <row r="10342">
          <cell r="C10342" t="str">
            <v>4510 - MISC HARDWARE &amp; HINGES</v>
          </cell>
          <cell r="D10342" t="str">
            <v>N102-020</v>
          </cell>
          <cell r="BA10342">
            <v>4.99</v>
          </cell>
        </row>
        <row r="10343">
          <cell r="C10343" t="str">
            <v>4510 - MISC HARDWARE &amp; HINGES</v>
          </cell>
          <cell r="D10343" t="str">
            <v>N102-053</v>
          </cell>
          <cell r="BA10343">
            <v>5.99</v>
          </cell>
        </row>
        <row r="10344">
          <cell r="C10344" t="str">
            <v>4510 - MISC HARDWARE &amp; HINGES</v>
          </cell>
          <cell r="D10344" t="str">
            <v>N102-145</v>
          </cell>
          <cell r="BA10344">
            <v>5.39</v>
          </cell>
        </row>
        <row r="10345">
          <cell r="C10345" t="str">
            <v>4510 - MISC HARDWARE &amp; HINGES</v>
          </cell>
          <cell r="D10345" t="str">
            <v>N102-178</v>
          </cell>
          <cell r="BA10345">
            <v>5.69</v>
          </cell>
        </row>
        <row r="10346">
          <cell r="C10346" t="str">
            <v>4510 - MISC HARDWARE &amp; HINGES</v>
          </cell>
          <cell r="D10346" t="str">
            <v>N102-277</v>
          </cell>
          <cell r="BA10346">
            <v>5.69</v>
          </cell>
        </row>
        <row r="10347">
          <cell r="C10347" t="str">
            <v>4510 - MISC HARDWARE &amp; HINGES</v>
          </cell>
          <cell r="D10347" t="str">
            <v>N102-384</v>
          </cell>
          <cell r="BA10347">
            <v>6.99</v>
          </cell>
        </row>
        <row r="10348">
          <cell r="C10348" t="str">
            <v>4510 - MISC HARDWARE &amp; HINGES</v>
          </cell>
          <cell r="D10348" t="str">
            <v>N102-459</v>
          </cell>
          <cell r="BA10348">
            <v>8.69</v>
          </cell>
        </row>
        <row r="10349">
          <cell r="C10349" t="str">
            <v>4510 - MISC HARDWARE &amp; HINGES</v>
          </cell>
          <cell r="D10349" t="str">
            <v>N102-855</v>
          </cell>
          <cell r="BA10349">
            <v>8.69</v>
          </cell>
        </row>
        <row r="10350">
          <cell r="C10350" t="str">
            <v>4510 - MISC HARDWARE &amp; HINGES</v>
          </cell>
          <cell r="D10350" t="str">
            <v>N102-921</v>
          </cell>
          <cell r="BA10350">
            <v>8.99</v>
          </cell>
        </row>
        <row r="10351">
          <cell r="C10351" t="str">
            <v>4510 - MISC HARDWARE &amp; HINGES</v>
          </cell>
          <cell r="D10351" t="str">
            <v>N102-962</v>
          </cell>
          <cell r="BA10351">
            <v>11.99</v>
          </cell>
        </row>
        <row r="10352">
          <cell r="C10352" t="str">
            <v>4510 - MISC HARDWARE &amp; HINGES</v>
          </cell>
          <cell r="D10352" t="str">
            <v>N103-176</v>
          </cell>
          <cell r="BA10352">
            <v>19.989999999999998</v>
          </cell>
        </row>
        <row r="10353">
          <cell r="C10353" t="str">
            <v>4510 - MISC HARDWARE &amp; HINGES</v>
          </cell>
          <cell r="D10353" t="str">
            <v>N103-259</v>
          </cell>
          <cell r="BA10353">
            <v>8.69</v>
          </cell>
        </row>
        <row r="10354">
          <cell r="C10354" t="str">
            <v>4510 - MISC HARDWARE &amp; HINGES</v>
          </cell>
          <cell r="D10354" t="str">
            <v>N103-291</v>
          </cell>
          <cell r="BA10354">
            <v>10.99</v>
          </cell>
        </row>
        <row r="10355">
          <cell r="C10355" t="str">
            <v>4510 - MISC HARDWARE &amp; HINGES</v>
          </cell>
          <cell r="D10355" t="str">
            <v>N106-815</v>
          </cell>
          <cell r="BA10355">
            <v>4.29</v>
          </cell>
        </row>
        <row r="10356">
          <cell r="C10356" t="str">
            <v>4510 - MISC HARDWARE &amp; HINGES</v>
          </cell>
          <cell r="D10356" t="str">
            <v>N109-009</v>
          </cell>
          <cell r="BA10356">
            <v>6.49</v>
          </cell>
        </row>
        <row r="10357">
          <cell r="C10357" t="str">
            <v>4510 - MISC HARDWARE &amp; HINGES</v>
          </cell>
          <cell r="D10357" t="str">
            <v>N109-013</v>
          </cell>
          <cell r="BA10357">
            <v>29.99</v>
          </cell>
        </row>
        <row r="10358">
          <cell r="C10358" t="str">
            <v>4510 - MISC HARDWARE &amp; HINGES</v>
          </cell>
          <cell r="D10358" t="str">
            <v>N109-015</v>
          </cell>
          <cell r="BA10358">
            <v>42.99</v>
          </cell>
        </row>
        <row r="10359">
          <cell r="C10359" t="str">
            <v>4510 - MISC HARDWARE &amp; HINGES</v>
          </cell>
          <cell r="D10359" t="str">
            <v>N109-020</v>
          </cell>
          <cell r="BA10359">
            <v>15.99</v>
          </cell>
        </row>
        <row r="10360">
          <cell r="C10360" t="str">
            <v>4510 - MISC HARDWARE &amp; HINGES</v>
          </cell>
          <cell r="D10360" t="str">
            <v>N109-023</v>
          </cell>
          <cell r="BA10360">
            <v>14.99</v>
          </cell>
        </row>
        <row r="10361">
          <cell r="C10361" t="str">
            <v>4510 - MISC HARDWARE &amp; HINGES</v>
          </cell>
          <cell r="D10361" t="str">
            <v>N109-024</v>
          </cell>
          <cell r="BA10361">
            <v>6.99</v>
          </cell>
        </row>
        <row r="10362">
          <cell r="C10362" t="str">
            <v>4510 - MISC HARDWARE &amp; HINGES</v>
          </cell>
          <cell r="D10362" t="str">
            <v>N109-050</v>
          </cell>
          <cell r="BA10362">
            <v>29.99</v>
          </cell>
        </row>
        <row r="10363">
          <cell r="C10363" t="str">
            <v>4510 - MISC HARDWARE &amp; HINGES</v>
          </cell>
          <cell r="D10363" t="str">
            <v>N109-070</v>
          </cell>
          <cell r="BA10363">
            <v>16.989999999999998</v>
          </cell>
        </row>
        <row r="10364">
          <cell r="C10364" t="str">
            <v>4510 - MISC HARDWARE &amp; HINGES</v>
          </cell>
          <cell r="D10364" t="str">
            <v>N109-080</v>
          </cell>
          <cell r="BA10364">
            <v>54.99</v>
          </cell>
        </row>
        <row r="10365">
          <cell r="C10365" t="str">
            <v>4510 - MISC HARDWARE &amp; HINGES</v>
          </cell>
          <cell r="D10365" t="str">
            <v>N192-217</v>
          </cell>
          <cell r="BA10365">
            <v>25.99</v>
          </cell>
        </row>
        <row r="10366">
          <cell r="C10366" t="str">
            <v>4510 - MISC HARDWARE &amp; HINGES</v>
          </cell>
          <cell r="D10366" t="str">
            <v>N112-102</v>
          </cell>
          <cell r="BA10366">
            <v>64.989999999999995</v>
          </cell>
        </row>
        <row r="10367">
          <cell r="C10367" t="str">
            <v>4510 - MISC HARDWARE &amp; HINGES</v>
          </cell>
          <cell r="D10367" t="str">
            <v>N112-888</v>
          </cell>
          <cell r="BA10367">
            <v>7.99</v>
          </cell>
        </row>
        <row r="10368">
          <cell r="C10368" t="str">
            <v>4510 - MISC HARDWARE &amp; HINGES</v>
          </cell>
          <cell r="D10368" t="str">
            <v>N113-050</v>
          </cell>
          <cell r="BA10368">
            <v>4.29</v>
          </cell>
        </row>
        <row r="10369">
          <cell r="C10369" t="str">
            <v>4510 - MISC HARDWARE &amp; HINGES</v>
          </cell>
          <cell r="D10369" t="str">
            <v>N113-134</v>
          </cell>
          <cell r="BA10369">
            <v>4.99</v>
          </cell>
        </row>
        <row r="10370">
          <cell r="C10370" t="str">
            <v>4510 - MISC HARDWARE &amp; HINGES</v>
          </cell>
          <cell r="D10370" t="str">
            <v>N113-233</v>
          </cell>
          <cell r="BA10370">
            <v>5.99</v>
          </cell>
        </row>
        <row r="10371">
          <cell r="C10371" t="str">
            <v>4510 - MISC HARDWARE &amp; HINGES</v>
          </cell>
          <cell r="D10371" t="str">
            <v>N113-308</v>
          </cell>
          <cell r="BA10371">
            <v>5.69</v>
          </cell>
        </row>
        <row r="10372">
          <cell r="C10372" t="str">
            <v>4510 - MISC HARDWARE &amp; HINGES</v>
          </cell>
          <cell r="D10372" t="str">
            <v>N113-399</v>
          </cell>
          <cell r="BA10372">
            <v>8.99</v>
          </cell>
        </row>
        <row r="10373">
          <cell r="C10373" t="str">
            <v>4510 - MISC HARDWARE &amp; HINGES</v>
          </cell>
          <cell r="D10373" t="str">
            <v>N113-456</v>
          </cell>
          <cell r="BA10373">
            <v>6.49</v>
          </cell>
        </row>
        <row r="10374">
          <cell r="C10374" t="str">
            <v>4510 - MISC HARDWARE &amp; HINGES</v>
          </cell>
          <cell r="D10374" t="str">
            <v>N113-704</v>
          </cell>
          <cell r="BA10374">
            <v>5.99</v>
          </cell>
        </row>
        <row r="10375">
          <cell r="C10375" t="str">
            <v>4510 - MISC HARDWARE &amp; HINGES</v>
          </cell>
          <cell r="D10375" t="str">
            <v>N113-753</v>
          </cell>
          <cell r="BA10375">
            <v>7.99</v>
          </cell>
        </row>
        <row r="10376">
          <cell r="C10376" t="str">
            <v>4510 - MISC HARDWARE &amp; HINGES</v>
          </cell>
          <cell r="D10376" t="str">
            <v>N113-795</v>
          </cell>
          <cell r="BA10376">
            <v>3.49</v>
          </cell>
        </row>
        <row r="10377">
          <cell r="C10377" t="str">
            <v>4510 - MISC HARDWARE &amp; HINGES</v>
          </cell>
          <cell r="D10377" t="str">
            <v>N113-845</v>
          </cell>
          <cell r="BA10377">
            <v>3.79</v>
          </cell>
        </row>
        <row r="10378">
          <cell r="C10378" t="str">
            <v>4510 - MISC HARDWARE &amp; HINGES</v>
          </cell>
          <cell r="D10378" t="str">
            <v>N113-928</v>
          </cell>
          <cell r="BA10378">
            <v>4.29</v>
          </cell>
        </row>
        <row r="10379">
          <cell r="C10379" t="str">
            <v>4510 - MISC HARDWARE &amp; HINGES</v>
          </cell>
          <cell r="D10379" t="str">
            <v>N113-969</v>
          </cell>
          <cell r="BA10379">
            <v>4.59</v>
          </cell>
        </row>
        <row r="10380">
          <cell r="C10380" t="str">
            <v>4510 - MISC HARDWARE &amp; HINGES</v>
          </cell>
          <cell r="D10380" t="str">
            <v>N114-025</v>
          </cell>
          <cell r="BA10380">
            <v>5.69</v>
          </cell>
        </row>
        <row r="10381">
          <cell r="C10381" t="str">
            <v>4510 - MISC HARDWARE &amp; HINGES</v>
          </cell>
          <cell r="D10381" t="str">
            <v>N114-116</v>
          </cell>
          <cell r="BA10381">
            <v>6.99</v>
          </cell>
        </row>
        <row r="10382">
          <cell r="C10382" t="str">
            <v>4510 - MISC HARDWARE &amp; HINGES</v>
          </cell>
          <cell r="D10382" t="str">
            <v>N114-314</v>
          </cell>
          <cell r="BA10382">
            <v>4.99</v>
          </cell>
        </row>
        <row r="10383">
          <cell r="C10383" t="str">
            <v>4510 - MISC HARDWARE &amp; HINGES</v>
          </cell>
          <cell r="D10383" t="str">
            <v>N114-355</v>
          </cell>
          <cell r="BA10383">
            <v>4.79</v>
          </cell>
        </row>
        <row r="10384">
          <cell r="C10384" t="str">
            <v>4510 - MISC HARDWARE &amp; HINGES</v>
          </cell>
          <cell r="D10384" t="str">
            <v>N114-405</v>
          </cell>
          <cell r="BA10384">
            <v>5.99</v>
          </cell>
        </row>
        <row r="10385">
          <cell r="C10385" t="str">
            <v>4510 - MISC HARDWARE &amp; HINGES</v>
          </cell>
          <cell r="D10385" t="str">
            <v>N116-699</v>
          </cell>
          <cell r="BA10385">
            <v>7.59</v>
          </cell>
        </row>
        <row r="10386">
          <cell r="C10386" t="str">
            <v>4510 - MISC HARDWARE &amp; HINGES</v>
          </cell>
          <cell r="D10386" t="str">
            <v>N116-715</v>
          </cell>
          <cell r="BA10386">
            <v>6.49</v>
          </cell>
        </row>
        <row r="10387">
          <cell r="C10387" t="str">
            <v>4510 - MISC HARDWARE &amp; HINGES</v>
          </cell>
          <cell r="D10387" t="str">
            <v>N116-830</v>
          </cell>
          <cell r="BA10387">
            <v>6.49</v>
          </cell>
        </row>
        <row r="10388">
          <cell r="C10388" t="str">
            <v>4510 - MISC HARDWARE &amp; HINGES</v>
          </cell>
          <cell r="D10388" t="str">
            <v>N116-855</v>
          </cell>
          <cell r="BA10388">
            <v>5.69</v>
          </cell>
        </row>
        <row r="10389">
          <cell r="C10389" t="str">
            <v>4510 - MISC HARDWARE &amp; HINGES</v>
          </cell>
          <cell r="D10389" t="str">
            <v>N117-002</v>
          </cell>
          <cell r="BA10389">
            <v>7.99</v>
          </cell>
        </row>
        <row r="10390">
          <cell r="C10390" t="str">
            <v>4510 - MISC HARDWARE &amp; HINGES</v>
          </cell>
          <cell r="D10390" t="str">
            <v>N117-663</v>
          </cell>
          <cell r="BA10390">
            <v>4.59</v>
          </cell>
        </row>
        <row r="10391">
          <cell r="C10391" t="str">
            <v>4510 - MISC HARDWARE &amp; HINGES</v>
          </cell>
          <cell r="D10391" t="str">
            <v>N117-713</v>
          </cell>
          <cell r="BA10391">
            <v>4.29</v>
          </cell>
        </row>
        <row r="10392">
          <cell r="C10392" t="str">
            <v>4510 - MISC HARDWARE &amp; HINGES</v>
          </cell>
          <cell r="D10392" t="str">
            <v>N117-853</v>
          </cell>
          <cell r="BA10392">
            <v>3.29</v>
          </cell>
        </row>
        <row r="10393">
          <cell r="C10393" t="str">
            <v>4510 - MISC HARDWARE &amp; HINGES</v>
          </cell>
          <cell r="D10393" t="str">
            <v>N117-911</v>
          </cell>
          <cell r="BA10393">
            <v>3.29</v>
          </cell>
        </row>
        <row r="10394">
          <cell r="C10394" t="str">
            <v>4510 - MISC HARDWARE &amp; HINGES</v>
          </cell>
          <cell r="D10394" t="str">
            <v>N117-952</v>
          </cell>
          <cell r="BA10394">
            <v>3.29</v>
          </cell>
        </row>
        <row r="10395">
          <cell r="C10395" t="str">
            <v>4510 - MISC HARDWARE &amp; HINGES</v>
          </cell>
          <cell r="D10395" t="str">
            <v>N117-994</v>
          </cell>
          <cell r="BA10395">
            <v>3.29</v>
          </cell>
        </row>
        <row r="10396">
          <cell r="C10396" t="str">
            <v>4510 - MISC HARDWARE &amp; HINGES</v>
          </cell>
          <cell r="D10396" t="str">
            <v>N118-323</v>
          </cell>
          <cell r="BA10396">
            <v>3.29</v>
          </cell>
        </row>
        <row r="10397">
          <cell r="C10397" t="str">
            <v>4510 - MISC HARDWARE &amp; HINGES</v>
          </cell>
          <cell r="D10397" t="str">
            <v>N118-471</v>
          </cell>
          <cell r="BA10397">
            <v>3.29</v>
          </cell>
        </row>
        <row r="10398">
          <cell r="C10398" t="str">
            <v>4510 - MISC HARDWARE &amp; HINGES</v>
          </cell>
          <cell r="D10398" t="str">
            <v>N118-828</v>
          </cell>
          <cell r="BA10398">
            <v>3.29</v>
          </cell>
        </row>
        <row r="10399">
          <cell r="C10399" t="str">
            <v>4510 - MISC HARDWARE &amp; HINGES</v>
          </cell>
          <cell r="D10399" t="str">
            <v>N118-869</v>
          </cell>
          <cell r="BA10399">
            <v>3.29</v>
          </cell>
        </row>
        <row r="10400">
          <cell r="C10400" t="str">
            <v>4510 - MISC HARDWARE &amp; HINGES</v>
          </cell>
          <cell r="D10400" t="str">
            <v>N118-893</v>
          </cell>
          <cell r="BA10400">
            <v>3.29</v>
          </cell>
        </row>
        <row r="10401">
          <cell r="C10401" t="str">
            <v>4510 - MISC HARDWARE &amp; HINGES</v>
          </cell>
          <cell r="D10401" t="str">
            <v>N118-927</v>
          </cell>
          <cell r="BA10401">
            <v>3.29</v>
          </cell>
        </row>
        <row r="10402">
          <cell r="C10402" t="str">
            <v>4510 - MISC HARDWARE &amp; HINGES</v>
          </cell>
          <cell r="D10402" t="str">
            <v>N118-968</v>
          </cell>
          <cell r="BA10402">
            <v>3.29</v>
          </cell>
        </row>
        <row r="10403">
          <cell r="C10403" t="str">
            <v>4510 - MISC HARDWARE &amp; HINGES</v>
          </cell>
          <cell r="D10403" t="str">
            <v>N119-040</v>
          </cell>
          <cell r="BA10403">
            <v>3.79</v>
          </cell>
        </row>
        <row r="10404">
          <cell r="C10404" t="str">
            <v>4510 - MISC HARDWARE &amp; HINGES</v>
          </cell>
          <cell r="D10404" t="str">
            <v>N119-198</v>
          </cell>
          <cell r="BA10404">
            <v>4.29</v>
          </cell>
        </row>
        <row r="10405">
          <cell r="C10405" t="str">
            <v>4510 - MISC HARDWARE &amp; HINGES</v>
          </cell>
          <cell r="D10405" t="str">
            <v>N119-222</v>
          </cell>
          <cell r="BA10405">
            <v>3.99</v>
          </cell>
        </row>
        <row r="10406">
          <cell r="C10406" t="str">
            <v>4510 - MISC HARDWARE &amp; HINGES</v>
          </cell>
          <cell r="D10406" t="str">
            <v>N119-263</v>
          </cell>
          <cell r="BA10406">
            <v>3.99</v>
          </cell>
        </row>
        <row r="10407">
          <cell r="C10407" t="str">
            <v>4510 - MISC HARDWARE &amp; HINGES</v>
          </cell>
          <cell r="D10407" t="str">
            <v>N119-628</v>
          </cell>
          <cell r="BA10407">
            <v>2.59</v>
          </cell>
        </row>
        <row r="10408">
          <cell r="C10408" t="str">
            <v>4510 - MISC HARDWARE &amp; HINGES</v>
          </cell>
          <cell r="D10408" t="str">
            <v>N119-644</v>
          </cell>
          <cell r="BA10408">
            <v>2.59</v>
          </cell>
        </row>
        <row r="10409">
          <cell r="C10409" t="str">
            <v>4510 - MISC HARDWARE &amp; HINGES</v>
          </cell>
          <cell r="D10409" t="str">
            <v>N119-669</v>
          </cell>
          <cell r="BA10409">
            <v>2.59</v>
          </cell>
        </row>
        <row r="10410">
          <cell r="C10410" t="str">
            <v>4510 - MISC HARDWARE &amp; HINGES</v>
          </cell>
          <cell r="D10410" t="str">
            <v>N119-685</v>
          </cell>
          <cell r="BA10410">
            <v>2.59</v>
          </cell>
        </row>
        <row r="10411">
          <cell r="C10411" t="str">
            <v>4510 - MISC HARDWARE &amp; HINGES</v>
          </cell>
          <cell r="D10411" t="str">
            <v>N119-701</v>
          </cell>
          <cell r="BA10411">
            <v>2.59</v>
          </cell>
        </row>
        <row r="10412">
          <cell r="C10412" t="str">
            <v>4510 - MISC HARDWARE &amp; HINGES</v>
          </cell>
          <cell r="D10412" t="str">
            <v>N119-727</v>
          </cell>
          <cell r="BA10412">
            <v>2.99</v>
          </cell>
        </row>
        <row r="10413">
          <cell r="C10413" t="str">
            <v>4510 - MISC HARDWARE &amp; HINGES</v>
          </cell>
          <cell r="D10413" t="str">
            <v>N120-378</v>
          </cell>
          <cell r="BA10413">
            <v>3.29</v>
          </cell>
        </row>
        <row r="10414">
          <cell r="C10414" t="str">
            <v>4510 - MISC HARDWARE &amp; HINGES</v>
          </cell>
          <cell r="D10414" t="str">
            <v>N120-402</v>
          </cell>
          <cell r="BA10414">
            <v>3.29</v>
          </cell>
        </row>
        <row r="10415">
          <cell r="C10415" t="str">
            <v>4510 - MISC HARDWARE &amp; HINGES</v>
          </cell>
          <cell r="D10415" t="str">
            <v>N120-626</v>
          </cell>
          <cell r="BA10415">
            <v>3.29</v>
          </cell>
        </row>
        <row r="10416">
          <cell r="C10416" t="str">
            <v>4510 - MISC HARDWARE &amp; HINGES</v>
          </cell>
          <cell r="D10416" t="str">
            <v>N120-659</v>
          </cell>
          <cell r="BA10416">
            <v>3.29</v>
          </cell>
        </row>
        <row r="10417">
          <cell r="C10417" t="str">
            <v>4510 - MISC HARDWARE &amp; HINGES</v>
          </cell>
          <cell r="D10417" t="str">
            <v>N120-816</v>
          </cell>
          <cell r="BA10417">
            <v>3.29</v>
          </cell>
        </row>
        <row r="10418">
          <cell r="C10418" t="str">
            <v>4510 - MISC HARDWARE &amp; HINGES</v>
          </cell>
          <cell r="D10418" t="str">
            <v>N120-857</v>
          </cell>
          <cell r="BA10418">
            <v>3.29</v>
          </cell>
        </row>
        <row r="10419">
          <cell r="C10419" t="str">
            <v>4510 - MISC HARDWARE &amp; HINGES</v>
          </cell>
          <cell r="D10419" t="str">
            <v>N121-277</v>
          </cell>
          <cell r="BA10419">
            <v>3.29</v>
          </cell>
        </row>
        <row r="10420">
          <cell r="C10420" t="str">
            <v>4510 - MISC HARDWARE &amp; HINGES</v>
          </cell>
          <cell r="D10420" t="str">
            <v>N121-319</v>
          </cell>
          <cell r="BA10420">
            <v>3.29</v>
          </cell>
        </row>
        <row r="10421">
          <cell r="C10421" t="str">
            <v>4510 - MISC HARDWARE &amp; HINGES</v>
          </cell>
          <cell r="D10421" t="str">
            <v>N121-533</v>
          </cell>
          <cell r="BA10421">
            <v>2.99</v>
          </cell>
        </row>
        <row r="10422">
          <cell r="C10422" t="str">
            <v>4510 - MISC HARDWARE &amp; HINGES</v>
          </cell>
          <cell r="D10422" t="str">
            <v>N121-574</v>
          </cell>
          <cell r="BA10422">
            <v>2.99</v>
          </cell>
        </row>
        <row r="10423">
          <cell r="C10423" t="str">
            <v>4510 - MISC HARDWARE &amp; HINGES</v>
          </cell>
          <cell r="D10423" t="str">
            <v>N121-616</v>
          </cell>
          <cell r="BA10423">
            <v>3.29</v>
          </cell>
        </row>
        <row r="10424">
          <cell r="C10424" t="str">
            <v>4510 - MISC HARDWARE &amp; HINGES</v>
          </cell>
          <cell r="D10424" t="str">
            <v>N121-665</v>
          </cell>
          <cell r="BA10424">
            <v>3.29</v>
          </cell>
        </row>
        <row r="10425">
          <cell r="C10425" t="str">
            <v>4510 - MISC HARDWARE &amp; HINGES</v>
          </cell>
          <cell r="D10425" t="str">
            <v>N121-715</v>
          </cell>
          <cell r="BA10425">
            <v>3.29</v>
          </cell>
        </row>
        <row r="10426">
          <cell r="C10426" t="str">
            <v>4510 - MISC HARDWARE &amp; HINGES</v>
          </cell>
          <cell r="D10426" t="str">
            <v>N121-756</v>
          </cell>
          <cell r="BA10426">
            <v>3.29</v>
          </cell>
        </row>
        <row r="10427">
          <cell r="C10427" t="str">
            <v>4510 - MISC HARDWARE &amp; HINGES</v>
          </cell>
          <cell r="D10427" t="str">
            <v>N122-168</v>
          </cell>
          <cell r="BA10427">
            <v>5.69</v>
          </cell>
        </row>
        <row r="10428">
          <cell r="C10428" t="str">
            <v>4510 - MISC HARDWARE &amp; HINGES</v>
          </cell>
          <cell r="D10428" t="str">
            <v>N122-242</v>
          </cell>
          <cell r="BA10428">
            <v>6.99</v>
          </cell>
        </row>
        <row r="10429">
          <cell r="C10429" t="str">
            <v>4510 - MISC HARDWARE &amp; HINGES</v>
          </cell>
          <cell r="D10429" t="str">
            <v>N122-622</v>
          </cell>
          <cell r="BA10429">
            <v>10.99</v>
          </cell>
        </row>
        <row r="10430">
          <cell r="C10430" t="str">
            <v>4510 - MISC HARDWARE &amp; HINGES</v>
          </cell>
          <cell r="D10430" t="str">
            <v>N122-671</v>
          </cell>
          <cell r="BA10430">
            <v>9.99</v>
          </cell>
        </row>
        <row r="10431">
          <cell r="C10431" t="str">
            <v>4510 - MISC HARDWARE &amp; HINGES</v>
          </cell>
          <cell r="D10431" t="str">
            <v>N127-365</v>
          </cell>
          <cell r="BA10431">
            <v>5.99</v>
          </cell>
        </row>
        <row r="10432">
          <cell r="C10432" t="str">
            <v>4510 - MISC HARDWARE &amp; HINGES</v>
          </cell>
          <cell r="D10432" t="str">
            <v>N127-449</v>
          </cell>
          <cell r="BA10432">
            <v>5.99</v>
          </cell>
        </row>
        <row r="10433">
          <cell r="C10433" t="str">
            <v>4510 - MISC HARDWARE &amp; HINGES</v>
          </cell>
          <cell r="D10433" t="str">
            <v>N127-514</v>
          </cell>
          <cell r="BA10433">
            <v>7.99</v>
          </cell>
        </row>
        <row r="10434">
          <cell r="C10434" t="str">
            <v>4510 - MISC HARDWARE &amp; HINGES</v>
          </cell>
          <cell r="D10434" t="str">
            <v>N127-605</v>
          </cell>
          <cell r="BA10434">
            <v>10.99</v>
          </cell>
        </row>
        <row r="10435">
          <cell r="C10435" t="str">
            <v>4510 - MISC HARDWARE &amp; HINGES</v>
          </cell>
          <cell r="D10435" t="str">
            <v>N127-878</v>
          </cell>
          <cell r="BA10435">
            <v>16.989999999999998</v>
          </cell>
        </row>
        <row r="10436">
          <cell r="C10436" t="str">
            <v>4510 - MISC HARDWARE &amp; HINGES</v>
          </cell>
          <cell r="D10436" t="str">
            <v>N127-969</v>
          </cell>
          <cell r="BA10436">
            <v>5.69</v>
          </cell>
        </row>
        <row r="10437">
          <cell r="C10437" t="str">
            <v>4510 - MISC HARDWARE &amp; HINGES</v>
          </cell>
          <cell r="D10437" t="str">
            <v>N128-017</v>
          </cell>
          <cell r="BA10437">
            <v>5.99</v>
          </cell>
        </row>
        <row r="10438">
          <cell r="C10438" t="str">
            <v>4510 - MISC HARDWARE &amp; HINGES</v>
          </cell>
          <cell r="D10438" t="str">
            <v>N128-074</v>
          </cell>
          <cell r="BA10438">
            <v>6.49</v>
          </cell>
        </row>
        <row r="10439">
          <cell r="C10439" t="str">
            <v>4510 - MISC HARDWARE &amp; HINGES</v>
          </cell>
          <cell r="D10439" t="str">
            <v>N128-157</v>
          </cell>
          <cell r="BA10439">
            <v>9.99</v>
          </cell>
        </row>
        <row r="10440">
          <cell r="C10440" t="str">
            <v>4510 - MISC HARDWARE &amp; HINGES</v>
          </cell>
          <cell r="D10440" t="str">
            <v>N128-355</v>
          </cell>
          <cell r="BA10440">
            <v>22.99</v>
          </cell>
        </row>
        <row r="10441">
          <cell r="C10441" t="str">
            <v>4510 - MISC HARDWARE &amp; HINGES</v>
          </cell>
          <cell r="D10441" t="str">
            <v>N128-439</v>
          </cell>
          <cell r="BA10441">
            <v>6.49</v>
          </cell>
        </row>
        <row r="10442">
          <cell r="C10442" t="str">
            <v>4510 - MISC HARDWARE &amp; HINGES</v>
          </cell>
          <cell r="D10442" t="str">
            <v>N128-512</v>
          </cell>
          <cell r="BA10442">
            <v>6.99</v>
          </cell>
        </row>
        <row r="10443">
          <cell r="C10443" t="str">
            <v>4510 - MISC HARDWARE &amp; HINGES</v>
          </cell>
          <cell r="D10443" t="str">
            <v>N128-587</v>
          </cell>
          <cell r="BA10443">
            <v>7.99</v>
          </cell>
        </row>
        <row r="10444">
          <cell r="C10444" t="str">
            <v>4510 - MISC HARDWARE &amp; HINGES</v>
          </cell>
          <cell r="D10444" t="str">
            <v>N128-652</v>
          </cell>
          <cell r="BA10444">
            <v>10.99</v>
          </cell>
        </row>
        <row r="10445">
          <cell r="C10445" t="str">
            <v>4510 - MISC HARDWARE &amp; HINGES</v>
          </cell>
          <cell r="D10445" t="str">
            <v>N128-900</v>
          </cell>
          <cell r="BA10445">
            <v>17.989999999999998</v>
          </cell>
        </row>
        <row r="10446">
          <cell r="C10446" t="str">
            <v>4510 - MISC HARDWARE &amp; HINGES</v>
          </cell>
          <cell r="D10446" t="str">
            <v>N129-007</v>
          </cell>
          <cell r="BA10446">
            <v>16.989999999999998</v>
          </cell>
        </row>
        <row r="10447">
          <cell r="C10447" t="str">
            <v>4510 - MISC HARDWARE &amp; HINGES</v>
          </cell>
          <cell r="D10447" t="str">
            <v>N129-023</v>
          </cell>
          <cell r="BA10447">
            <v>5.69</v>
          </cell>
        </row>
        <row r="10448">
          <cell r="C10448" t="str">
            <v>4510 - MISC HARDWARE &amp; HINGES</v>
          </cell>
          <cell r="D10448" t="str">
            <v>N129-155</v>
          </cell>
          <cell r="BA10448">
            <v>22.99</v>
          </cell>
        </row>
        <row r="10449">
          <cell r="C10449" t="str">
            <v>4510 - MISC HARDWARE &amp; HINGES</v>
          </cell>
          <cell r="D10449" t="str">
            <v>N129-171</v>
          </cell>
          <cell r="BA10449">
            <v>7.59</v>
          </cell>
        </row>
        <row r="10450">
          <cell r="C10450" t="str">
            <v>4510 - MISC HARDWARE &amp; HINGES</v>
          </cell>
          <cell r="D10450" t="str">
            <v>N129-213</v>
          </cell>
          <cell r="BA10450">
            <v>29.99</v>
          </cell>
        </row>
        <row r="10451">
          <cell r="C10451" t="str">
            <v>4510 - MISC HARDWARE &amp; HINGES</v>
          </cell>
          <cell r="D10451" t="str">
            <v>N129-221</v>
          </cell>
          <cell r="BA10451">
            <v>10.99</v>
          </cell>
        </row>
        <row r="10452">
          <cell r="C10452" t="str">
            <v>4510 - MISC HARDWARE &amp; HINGES</v>
          </cell>
          <cell r="D10452" t="str">
            <v>N129-577</v>
          </cell>
          <cell r="BA10452">
            <v>6.49</v>
          </cell>
        </row>
        <row r="10453">
          <cell r="C10453" t="str">
            <v>4510 - MISC HARDWARE &amp; HINGES</v>
          </cell>
          <cell r="D10453" t="str">
            <v>N129-627</v>
          </cell>
          <cell r="BA10453">
            <v>7.99</v>
          </cell>
        </row>
        <row r="10454">
          <cell r="C10454" t="str">
            <v>4510 - MISC HARDWARE &amp; HINGES</v>
          </cell>
          <cell r="D10454" t="str">
            <v>N130-732</v>
          </cell>
          <cell r="BA10454">
            <v>10.99</v>
          </cell>
        </row>
        <row r="10455">
          <cell r="C10455" t="str">
            <v>4510 - MISC HARDWARE &amp; HINGES</v>
          </cell>
          <cell r="D10455" t="str">
            <v>N145-920</v>
          </cell>
          <cell r="BA10455">
            <v>4.79</v>
          </cell>
        </row>
        <row r="10456">
          <cell r="C10456" t="str">
            <v>4510 - MISC HARDWARE &amp; HINGES</v>
          </cell>
          <cell r="D10456" t="str">
            <v>N145-946</v>
          </cell>
          <cell r="BA10456">
            <v>5.99</v>
          </cell>
        </row>
        <row r="10457">
          <cell r="C10457" t="str">
            <v>4510 - MISC HARDWARE &amp; HINGES</v>
          </cell>
          <cell r="D10457" t="str">
            <v>N146-043</v>
          </cell>
          <cell r="BA10457">
            <v>4.99</v>
          </cell>
        </row>
        <row r="10458">
          <cell r="C10458" t="str">
            <v>4510 - MISC HARDWARE &amp; HINGES</v>
          </cell>
          <cell r="D10458" t="str">
            <v>N146-068</v>
          </cell>
          <cell r="BA10458">
            <v>5.99</v>
          </cell>
        </row>
        <row r="10459">
          <cell r="C10459" t="str">
            <v>4510 - MISC HARDWARE &amp; HINGES</v>
          </cell>
          <cell r="D10459" t="str">
            <v>N146-159</v>
          </cell>
          <cell r="BA10459">
            <v>5.39</v>
          </cell>
        </row>
        <row r="10460">
          <cell r="C10460" t="str">
            <v>4510 - MISC HARDWARE &amp; HINGES</v>
          </cell>
          <cell r="D10460" t="str">
            <v>N146-175</v>
          </cell>
          <cell r="BA10460">
            <v>6.49</v>
          </cell>
        </row>
        <row r="10461">
          <cell r="C10461" t="str">
            <v>4510 - MISC HARDWARE &amp; HINGES</v>
          </cell>
          <cell r="D10461" t="str">
            <v>N146-258</v>
          </cell>
          <cell r="BA10461">
            <v>5.99</v>
          </cell>
        </row>
        <row r="10462">
          <cell r="C10462" t="str">
            <v>4510 - MISC HARDWARE &amp; HINGES</v>
          </cell>
          <cell r="D10462" t="str">
            <v>N146-290</v>
          </cell>
          <cell r="BA10462">
            <v>7.99</v>
          </cell>
        </row>
        <row r="10463">
          <cell r="C10463" t="str">
            <v>4510 - MISC HARDWARE &amp; HINGES</v>
          </cell>
          <cell r="D10463" t="str">
            <v>N146-373</v>
          </cell>
          <cell r="BA10463">
            <v>7.99</v>
          </cell>
        </row>
        <row r="10464">
          <cell r="C10464" t="str">
            <v>4510 - MISC HARDWARE &amp; HINGES</v>
          </cell>
          <cell r="D10464" t="str">
            <v>N146-399</v>
          </cell>
          <cell r="BA10464">
            <v>8.99</v>
          </cell>
        </row>
        <row r="10465">
          <cell r="C10465" t="str">
            <v>4510 - MISC HARDWARE &amp; HINGES</v>
          </cell>
          <cell r="D10465" t="str">
            <v>N146-951</v>
          </cell>
          <cell r="BA10465">
            <v>6.49</v>
          </cell>
        </row>
        <row r="10466">
          <cell r="C10466" t="str">
            <v>4510 - MISC HARDWARE &amp; HINGES</v>
          </cell>
          <cell r="D10466" t="str">
            <v>N148-304</v>
          </cell>
          <cell r="BA10466">
            <v>19.989999999999998</v>
          </cell>
        </row>
        <row r="10467">
          <cell r="C10467" t="str">
            <v>4510 - MISC HARDWARE &amp; HINGES</v>
          </cell>
          <cell r="D10467" t="str">
            <v>N148-320</v>
          </cell>
          <cell r="BA10467">
            <v>19.989999999999998</v>
          </cell>
        </row>
        <row r="10468">
          <cell r="C10468" t="str">
            <v>4510 - MISC HARDWARE &amp; HINGES</v>
          </cell>
          <cell r="D10468" t="str">
            <v>N149-625</v>
          </cell>
          <cell r="BA10468">
            <v>11.99</v>
          </cell>
        </row>
        <row r="10469">
          <cell r="C10469" t="str">
            <v>4510 - MISC HARDWARE &amp; HINGES</v>
          </cell>
          <cell r="D10469" t="str">
            <v>N149-898</v>
          </cell>
          <cell r="BA10469">
            <v>6.49</v>
          </cell>
        </row>
        <row r="10470">
          <cell r="C10470" t="str">
            <v>4510 - MISC HARDWARE &amp; HINGES</v>
          </cell>
          <cell r="D10470" t="str">
            <v>N151-118</v>
          </cell>
          <cell r="BA10470">
            <v>18.989999999999998</v>
          </cell>
        </row>
        <row r="10471">
          <cell r="C10471" t="str">
            <v>4510 - MISC HARDWARE &amp; HINGES</v>
          </cell>
          <cell r="D10471" t="str">
            <v>N151-167</v>
          </cell>
          <cell r="BA10471">
            <v>18.989999999999998</v>
          </cell>
        </row>
        <row r="10472">
          <cell r="C10472" t="str">
            <v>4510 - MISC HARDWARE &amp; HINGES</v>
          </cell>
          <cell r="D10472" t="str">
            <v>N151-225</v>
          </cell>
          <cell r="BA10472">
            <v>4.79</v>
          </cell>
        </row>
        <row r="10473">
          <cell r="C10473" t="str">
            <v>4510 - MISC HARDWARE &amp; HINGES</v>
          </cell>
          <cell r="D10473" t="str">
            <v>N151-431</v>
          </cell>
          <cell r="BA10473">
            <v>6.49</v>
          </cell>
        </row>
        <row r="10474">
          <cell r="C10474" t="str">
            <v>4510 - MISC HARDWARE &amp; HINGES</v>
          </cell>
          <cell r="D10474" t="str">
            <v>N151-449</v>
          </cell>
          <cell r="BA10474">
            <v>4.99</v>
          </cell>
        </row>
        <row r="10475">
          <cell r="C10475" t="str">
            <v>4510 - MISC HARDWARE &amp; HINGES</v>
          </cell>
          <cell r="D10475" t="str">
            <v>N151-480</v>
          </cell>
          <cell r="BA10475">
            <v>4.99</v>
          </cell>
        </row>
        <row r="10476">
          <cell r="C10476" t="str">
            <v>4510 - MISC HARDWARE &amp; HINGES</v>
          </cell>
          <cell r="D10476" t="str">
            <v>N151-522</v>
          </cell>
          <cell r="BA10476">
            <v>6.99</v>
          </cell>
        </row>
        <row r="10477">
          <cell r="C10477" t="str">
            <v>4510 - MISC HARDWARE &amp; HINGES</v>
          </cell>
          <cell r="D10477" t="str">
            <v>N151-555</v>
          </cell>
          <cell r="BA10477">
            <v>5.39</v>
          </cell>
        </row>
        <row r="10478">
          <cell r="C10478" t="str">
            <v>4510 - MISC HARDWARE &amp; HINGES</v>
          </cell>
          <cell r="D10478" t="str">
            <v>N151-621</v>
          </cell>
          <cell r="BA10478">
            <v>7.99</v>
          </cell>
        </row>
        <row r="10479">
          <cell r="C10479" t="str">
            <v>4510 - MISC HARDWARE &amp; HINGES</v>
          </cell>
          <cell r="D10479" t="str">
            <v>N151-654</v>
          </cell>
          <cell r="BA10479">
            <v>5.69</v>
          </cell>
        </row>
        <row r="10480">
          <cell r="C10480" t="str">
            <v>4510 - MISC HARDWARE &amp; HINGES</v>
          </cell>
          <cell r="D10480" t="str">
            <v>N151-688</v>
          </cell>
          <cell r="BA10480">
            <v>5.69</v>
          </cell>
        </row>
        <row r="10481">
          <cell r="C10481" t="str">
            <v>4510 - MISC HARDWARE &amp; HINGES</v>
          </cell>
          <cell r="D10481" t="str">
            <v>N151-738</v>
          </cell>
          <cell r="BA10481">
            <v>7.59</v>
          </cell>
        </row>
        <row r="10482">
          <cell r="C10482" t="str">
            <v>4510 - MISC HARDWARE &amp; HINGES</v>
          </cell>
          <cell r="D10482" t="str">
            <v>N152-058</v>
          </cell>
          <cell r="BA10482">
            <v>13.99</v>
          </cell>
        </row>
        <row r="10483">
          <cell r="C10483" t="str">
            <v>4510 - MISC HARDWARE &amp; HINGES</v>
          </cell>
          <cell r="D10483" t="str">
            <v>N154-526</v>
          </cell>
          <cell r="BA10483">
            <v>5.39</v>
          </cell>
        </row>
        <row r="10484">
          <cell r="C10484" t="str">
            <v>4510 - MISC HARDWARE &amp; HINGES</v>
          </cell>
          <cell r="D10484" t="str">
            <v>N156-042</v>
          </cell>
          <cell r="BA10484">
            <v>19.989999999999998</v>
          </cell>
        </row>
        <row r="10485">
          <cell r="C10485" t="str">
            <v>4510 - MISC HARDWARE &amp; HINGES</v>
          </cell>
          <cell r="D10485" t="str">
            <v>N162-370</v>
          </cell>
          <cell r="BA10485">
            <v>10.99</v>
          </cell>
        </row>
        <row r="10486">
          <cell r="C10486" t="str">
            <v>4510 - MISC HARDWARE &amp; HINGES</v>
          </cell>
          <cell r="D10486" t="str">
            <v>N162-388</v>
          </cell>
          <cell r="BA10486">
            <v>12.99</v>
          </cell>
        </row>
        <row r="10487">
          <cell r="C10487" t="str">
            <v>4510 - MISC HARDWARE &amp; HINGES</v>
          </cell>
          <cell r="D10487" t="str">
            <v>N162-594</v>
          </cell>
          <cell r="BA10487">
            <v>10.99</v>
          </cell>
        </row>
        <row r="10488">
          <cell r="C10488" t="str">
            <v>4510 - MISC HARDWARE &amp; HINGES</v>
          </cell>
          <cell r="D10488" t="str">
            <v>N165-472</v>
          </cell>
          <cell r="BA10488">
            <v>27.99</v>
          </cell>
        </row>
        <row r="10489">
          <cell r="C10489" t="str">
            <v>4510 - MISC HARDWARE &amp; HINGES</v>
          </cell>
          <cell r="D10489" t="str">
            <v>N165-480</v>
          </cell>
          <cell r="BA10489">
            <v>19.989999999999998</v>
          </cell>
        </row>
        <row r="10490">
          <cell r="C10490" t="str">
            <v>4510 - MISC HARDWARE &amp; HINGES</v>
          </cell>
          <cell r="D10490" t="str">
            <v>N165-498</v>
          </cell>
          <cell r="BA10490">
            <v>19.989999999999998</v>
          </cell>
        </row>
        <row r="10491">
          <cell r="C10491" t="str">
            <v>4510 - MISC HARDWARE &amp; HINGES</v>
          </cell>
          <cell r="D10491" t="str">
            <v>N165-506</v>
          </cell>
          <cell r="BA10491">
            <v>9.99</v>
          </cell>
        </row>
        <row r="10492">
          <cell r="C10492" t="str">
            <v>4510 - MISC HARDWARE &amp; HINGES</v>
          </cell>
          <cell r="D10492" t="str">
            <v>N165-555</v>
          </cell>
          <cell r="BA10492">
            <v>9.99</v>
          </cell>
        </row>
        <row r="10493">
          <cell r="C10493" t="str">
            <v>4510 - MISC HARDWARE &amp; HINGES</v>
          </cell>
          <cell r="D10493" t="str">
            <v>N165-902</v>
          </cell>
          <cell r="BA10493">
            <v>14.99</v>
          </cell>
        </row>
        <row r="10494">
          <cell r="C10494" t="str">
            <v>4510 - MISC HARDWARE &amp; HINGES</v>
          </cell>
          <cell r="D10494" t="str">
            <v>N168-815</v>
          </cell>
          <cell r="BA10494">
            <v>77.989999999999995</v>
          </cell>
        </row>
        <row r="10495">
          <cell r="C10495" t="str">
            <v>4510 - MISC HARDWARE &amp; HINGES</v>
          </cell>
          <cell r="D10495" t="str">
            <v>N170-738</v>
          </cell>
          <cell r="BA10495">
            <v>3.29</v>
          </cell>
        </row>
        <row r="10496">
          <cell r="C10496" t="str">
            <v>4510 - MISC HARDWARE &amp; HINGES</v>
          </cell>
          <cell r="D10496" t="str">
            <v>N170-746</v>
          </cell>
          <cell r="BA10496">
            <v>3.49</v>
          </cell>
        </row>
        <row r="10497">
          <cell r="C10497" t="str">
            <v>4510 - MISC HARDWARE &amp; HINGES</v>
          </cell>
          <cell r="D10497" t="str">
            <v>N171-066</v>
          </cell>
          <cell r="BA10497">
            <v>2.59</v>
          </cell>
        </row>
        <row r="10498">
          <cell r="C10498" t="str">
            <v>4510 - MISC HARDWARE &amp; HINGES</v>
          </cell>
          <cell r="D10498" t="str">
            <v>N171-082</v>
          </cell>
          <cell r="BA10498">
            <v>3.99</v>
          </cell>
        </row>
        <row r="10499">
          <cell r="C10499" t="str">
            <v>4510 - MISC HARDWARE &amp; HINGES</v>
          </cell>
          <cell r="D10499" t="str">
            <v>N173-823</v>
          </cell>
          <cell r="BA10499">
            <v>13.99</v>
          </cell>
        </row>
        <row r="10500">
          <cell r="C10500" t="str">
            <v>4510 - MISC HARDWARE &amp; HINGES</v>
          </cell>
          <cell r="D10500" t="str">
            <v>N177-196</v>
          </cell>
          <cell r="BA10500">
            <v>18.989999999999998</v>
          </cell>
        </row>
        <row r="10501">
          <cell r="C10501" t="str">
            <v>4510 - MISC HARDWARE &amp; HINGES</v>
          </cell>
          <cell r="D10501" t="str">
            <v>N178-616</v>
          </cell>
          <cell r="BA10501">
            <v>22.99</v>
          </cell>
        </row>
        <row r="10502">
          <cell r="C10502" t="str">
            <v>4510 - MISC HARDWARE &amp; HINGES</v>
          </cell>
          <cell r="D10502" t="str">
            <v>N179-155</v>
          </cell>
          <cell r="BA10502">
            <v>11.99</v>
          </cell>
        </row>
        <row r="10503">
          <cell r="C10503" t="str">
            <v>4510 - MISC HARDWARE &amp; HINGES</v>
          </cell>
          <cell r="D10503" t="str">
            <v>N179-156</v>
          </cell>
          <cell r="BA10503">
            <v>3.09</v>
          </cell>
        </row>
        <row r="10504">
          <cell r="C10504" t="str">
            <v>4510 - MISC HARDWARE &amp; HINGES</v>
          </cell>
          <cell r="D10504" t="str">
            <v>N179-157</v>
          </cell>
          <cell r="BA10504">
            <v>4.79</v>
          </cell>
        </row>
        <row r="10505">
          <cell r="C10505" t="str">
            <v>4510 - MISC HARDWARE &amp; HINGES</v>
          </cell>
          <cell r="D10505" t="str">
            <v>N179-158</v>
          </cell>
          <cell r="BA10505">
            <v>4.79</v>
          </cell>
        </row>
        <row r="10506">
          <cell r="C10506" t="str">
            <v>4510 - MISC HARDWARE &amp; HINGES</v>
          </cell>
          <cell r="D10506" t="str">
            <v>N179-432</v>
          </cell>
          <cell r="BA10506">
            <v>3.99</v>
          </cell>
        </row>
        <row r="10507">
          <cell r="C10507" t="str">
            <v>4510 - MISC HARDWARE &amp; HINGES</v>
          </cell>
          <cell r="D10507" t="str">
            <v>N179-515</v>
          </cell>
          <cell r="BA10507">
            <v>5.69</v>
          </cell>
        </row>
        <row r="10508">
          <cell r="C10508" t="str">
            <v>4510 - MISC HARDWARE &amp; HINGES</v>
          </cell>
          <cell r="D10508" t="str">
            <v>N179-531</v>
          </cell>
          <cell r="BA10508">
            <v>8.99</v>
          </cell>
        </row>
        <row r="10509">
          <cell r="C10509" t="str">
            <v>4510 - MISC HARDWARE &amp; HINGES</v>
          </cell>
          <cell r="D10509" t="str">
            <v>N179-549</v>
          </cell>
          <cell r="BA10509">
            <v>11.99</v>
          </cell>
        </row>
        <row r="10510">
          <cell r="C10510" t="str">
            <v>4510 - MISC HARDWARE &amp; HINGES</v>
          </cell>
          <cell r="D10510" t="str">
            <v>N179-564</v>
          </cell>
          <cell r="BA10510">
            <v>22.99</v>
          </cell>
        </row>
        <row r="10511">
          <cell r="C10511" t="str">
            <v>4510 - MISC HARDWARE &amp; HINGES</v>
          </cell>
          <cell r="D10511" t="str">
            <v>N179-572</v>
          </cell>
          <cell r="BA10511">
            <v>37.99</v>
          </cell>
        </row>
        <row r="10512">
          <cell r="C10512" t="str">
            <v>4510 - MISC HARDWARE &amp; HINGES</v>
          </cell>
          <cell r="D10512" t="str">
            <v>N179-622</v>
          </cell>
          <cell r="BA10512">
            <v>14.99</v>
          </cell>
        </row>
        <row r="10513">
          <cell r="C10513" t="str">
            <v>4510 - MISC HARDWARE &amp; HINGES</v>
          </cell>
          <cell r="D10513" t="str">
            <v>N179-630</v>
          </cell>
          <cell r="BA10513">
            <v>22.99</v>
          </cell>
        </row>
        <row r="10514">
          <cell r="C10514" t="str">
            <v>4510 - MISC HARDWARE &amp; HINGES</v>
          </cell>
          <cell r="D10514" t="str">
            <v>N179-655</v>
          </cell>
          <cell r="BA10514">
            <v>40.79</v>
          </cell>
        </row>
        <row r="10515">
          <cell r="C10515" t="str">
            <v>4510 - MISC HARDWARE &amp; HINGES</v>
          </cell>
          <cell r="D10515" t="str">
            <v>N182-568</v>
          </cell>
          <cell r="BA10515">
            <v>99.99</v>
          </cell>
        </row>
        <row r="10516">
          <cell r="C10516" t="str">
            <v>4510 - MISC HARDWARE &amp; HINGES</v>
          </cell>
          <cell r="D10516" t="str">
            <v>N183-780</v>
          </cell>
          <cell r="BA10516">
            <v>12.99</v>
          </cell>
        </row>
        <row r="10517">
          <cell r="C10517" t="str">
            <v>4510 - MISC HARDWARE &amp; HINGES</v>
          </cell>
          <cell r="D10517" t="str">
            <v>N184-259</v>
          </cell>
          <cell r="BA10517">
            <v>8.99</v>
          </cell>
        </row>
        <row r="10518">
          <cell r="C10518" t="str">
            <v>4510 - MISC HARDWARE &amp; HINGES</v>
          </cell>
          <cell r="D10518" t="str">
            <v>N184-275</v>
          </cell>
          <cell r="BA10518">
            <v>8.99</v>
          </cell>
        </row>
        <row r="10519">
          <cell r="C10519" t="str">
            <v>4510 - MISC HARDWARE &amp; HINGES</v>
          </cell>
          <cell r="D10519" t="str">
            <v>N184-291</v>
          </cell>
          <cell r="BA10519">
            <v>4.99</v>
          </cell>
        </row>
        <row r="10520">
          <cell r="C10520" t="str">
            <v>4510 - MISC HARDWARE &amp; HINGES</v>
          </cell>
          <cell r="D10520" t="str">
            <v>N184-556</v>
          </cell>
          <cell r="BA10520">
            <v>24.99</v>
          </cell>
        </row>
        <row r="10521">
          <cell r="C10521" t="str">
            <v>4510 - MISC HARDWARE &amp; HINGES</v>
          </cell>
          <cell r="D10521" t="str">
            <v>N184-572</v>
          </cell>
          <cell r="BA10521">
            <v>27.99</v>
          </cell>
        </row>
        <row r="10522">
          <cell r="C10522" t="str">
            <v>4510 - MISC HARDWARE &amp; HINGES</v>
          </cell>
          <cell r="D10522" t="str">
            <v>N185-199</v>
          </cell>
          <cell r="BA10522">
            <v>24.99</v>
          </cell>
        </row>
        <row r="10523">
          <cell r="C10523" t="str">
            <v>4510 - MISC HARDWARE &amp; HINGES</v>
          </cell>
          <cell r="D10523" t="str">
            <v>N185-207</v>
          </cell>
          <cell r="BA10523">
            <v>27.99</v>
          </cell>
        </row>
        <row r="10524">
          <cell r="C10524" t="str">
            <v>4510 - MISC HARDWARE &amp; HINGES</v>
          </cell>
          <cell r="D10524" t="str">
            <v>N185-991</v>
          </cell>
          <cell r="BA10524">
            <v>4.59</v>
          </cell>
        </row>
        <row r="10525">
          <cell r="C10525" t="str">
            <v>4510 - MISC HARDWARE &amp; HINGES</v>
          </cell>
          <cell r="D10525" t="str">
            <v>N186-866</v>
          </cell>
          <cell r="BA10525">
            <v>1.59</v>
          </cell>
        </row>
        <row r="10526">
          <cell r="C10526" t="str">
            <v>4510 - MISC HARDWARE &amp; HINGES</v>
          </cell>
          <cell r="D10526" t="str">
            <v>N190-819</v>
          </cell>
          <cell r="BA10526">
            <v>4.59</v>
          </cell>
        </row>
        <row r="10527">
          <cell r="C10527" t="str">
            <v>4510 - MISC HARDWARE &amp; HINGES</v>
          </cell>
          <cell r="D10527" t="str">
            <v>N192-211</v>
          </cell>
          <cell r="BA10527">
            <v>18.989999999999998</v>
          </cell>
        </row>
        <row r="10528">
          <cell r="C10528" t="str">
            <v>4510 - MISC HARDWARE &amp; HINGES</v>
          </cell>
          <cell r="D10528" t="str">
            <v>N195-644</v>
          </cell>
          <cell r="BA10528">
            <v>11.99</v>
          </cell>
        </row>
        <row r="10529">
          <cell r="C10529" t="str">
            <v>4510 - MISC HARDWARE &amp; HINGES</v>
          </cell>
          <cell r="D10529" t="str">
            <v>N195-651</v>
          </cell>
          <cell r="BA10529">
            <v>13.99</v>
          </cell>
        </row>
        <row r="10530">
          <cell r="C10530" t="str">
            <v>4510 - MISC HARDWARE &amp; HINGES</v>
          </cell>
          <cell r="D10530" t="str">
            <v>N195-669</v>
          </cell>
          <cell r="BA10530">
            <v>15.99</v>
          </cell>
        </row>
        <row r="10531">
          <cell r="C10531" t="str">
            <v>4510 - MISC HARDWARE &amp; HINGES</v>
          </cell>
          <cell r="D10531" t="str">
            <v>N195-677</v>
          </cell>
          <cell r="BA10531">
            <v>11.99</v>
          </cell>
        </row>
        <row r="10532">
          <cell r="C10532" t="str">
            <v>4510 - MISC HARDWARE &amp; HINGES</v>
          </cell>
          <cell r="D10532" t="str">
            <v>N196-444</v>
          </cell>
          <cell r="BA10532">
            <v>1.79</v>
          </cell>
        </row>
        <row r="10533">
          <cell r="C10533" t="str">
            <v>4510 - MISC HARDWARE &amp; HINGES</v>
          </cell>
          <cell r="D10533" t="str">
            <v>N199-158</v>
          </cell>
          <cell r="BA10533">
            <v>19.989999999999998</v>
          </cell>
        </row>
        <row r="10534">
          <cell r="C10534" t="str">
            <v>4510 - MISC HARDWARE &amp; HINGES</v>
          </cell>
          <cell r="D10534" t="str">
            <v>N199-372</v>
          </cell>
          <cell r="BA10534">
            <v>7.59</v>
          </cell>
        </row>
        <row r="10535">
          <cell r="C10535" t="str">
            <v>4510 - MISC HARDWARE &amp; HINGES</v>
          </cell>
          <cell r="D10535" t="str">
            <v>N200-303</v>
          </cell>
          <cell r="BA10535">
            <v>12.99</v>
          </cell>
        </row>
        <row r="10536">
          <cell r="C10536" t="str">
            <v>4510 - MISC HARDWARE &amp; HINGES</v>
          </cell>
          <cell r="D10536" t="str">
            <v>N203-752</v>
          </cell>
          <cell r="BA10536">
            <v>10.99</v>
          </cell>
        </row>
        <row r="10537">
          <cell r="C10537" t="str">
            <v>4510 - MISC HARDWARE &amp; HINGES</v>
          </cell>
          <cell r="D10537" t="str">
            <v>N203-760</v>
          </cell>
          <cell r="BA10537">
            <v>6.99</v>
          </cell>
        </row>
        <row r="10538">
          <cell r="C10538" t="str">
            <v>4510 - MISC HARDWARE &amp; HINGES</v>
          </cell>
          <cell r="D10538" t="str">
            <v>N206-920</v>
          </cell>
          <cell r="BA10538">
            <v>4.99</v>
          </cell>
        </row>
        <row r="10539">
          <cell r="C10539" t="str">
            <v>4510 - MISC HARDWARE &amp; HINGES</v>
          </cell>
          <cell r="D10539" t="str">
            <v>N208-033</v>
          </cell>
          <cell r="BA10539">
            <v>13.99</v>
          </cell>
        </row>
        <row r="10540">
          <cell r="C10540" t="str">
            <v>4510 - MISC HARDWARE &amp; HINGES</v>
          </cell>
          <cell r="D10540" t="str">
            <v>N208-611</v>
          </cell>
          <cell r="BA10540">
            <v>6.99</v>
          </cell>
        </row>
        <row r="10541">
          <cell r="C10541" t="str">
            <v>4510 - MISC HARDWARE &amp; HINGES</v>
          </cell>
          <cell r="D10541" t="str">
            <v>N208-637</v>
          </cell>
          <cell r="BA10541">
            <v>7.99</v>
          </cell>
        </row>
        <row r="10542">
          <cell r="C10542" t="str">
            <v>4510 - MISC HARDWARE &amp; HINGES</v>
          </cell>
          <cell r="D10542" t="str">
            <v>N213-561</v>
          </cell>
          <cell r="BA10542">
            <v>8.99</v>
          </cell>
        </row>
        <row r="10543">
          <cell r="C10543" t="str">
            <v>4510 - MISC HARDWARE &amp; HINGES</v>
          </cell>
          <cell r="D10543" t="str">
            <v>N213-603</v>
          </cell>
          <cell r="BA10543">
            <v>9.99</v>
          </cell>
        </row>
        <row r="10544">
          <cell r="C10544" t="str">
            <v>4510 - MISC HARDWARE &amp; HINGES</v>
          </cell>
          <cell r="D10544" t="str">
            <v>N214-078</v>
          </cell>
          <cell r="BA10544">
            <v>8.99</v>
          </cell>
        </row>
        <row r="10545">
          <cell r="C10545" t="str">
            <v>4510 - MISC HARDWARE &amp; HINGES</v>
          </cell>
          <cell r="D10545" t="str">
            <v>N214-092</v>
          </cell>
          <cell r="BA10545">
            <v>32.99</v>
          </cell>
        </row>
        <row r="10546">
          <cell r="C10546" t="str">
            <v>4510 - MISC HARDWARE &amp; HINGES</v>
          </cell>
          <cell r="D10546" t="str">
            <v>N215-897</v>
          </cell>
          <cell r="BA10546">
            <v>8.99</v>
          </cell>
        </row>
        <row r="10547">
          <cell r="C10547" t="str">
            <v>4510 - MISC HARDWARE &amp; HINGES</v>
          </cell>
          <cell r="D10547" t="str">
            <v>N218-891</v>
          </cell>
          <cell r="BA10547">
            <v>2.59</v>
          </cell>
        </row>
        <row r="10548">
          <cell r="C10548" t="str">
            <v>4510 - MISC HARDWARE &amp; HINGES</v>
          </cell>
          <cell r="D10548" t="str">
            <v>N218-925</v>
          </cell>
          <cell r="BA10548">
            <v>2.99</v>
          </cell>
        </row>
        <row r="10549">
          <cell r="C10549" t="str">
            <v>4510 - MISC HARDWARE &amp; HINGES</v>
          </cell>
          <cell r="D10549" t="str">
            <v>N220-061</v>
          </cell>
          <cell r="BA10549">
            <v>5.99</v>
          </cell>
        </row>
        <row r="10550">
          <cell r="C10550" t="str">
            <v>4510 - MISC HARDWARE &amp; HINGES</v>
          </cell>
          <cell r="D10550" t="str">
            <v>N220-087</v>
          </cell>
          <cell r="BA10550">
            <v>4.99</v>
          </cell>
        </row>
        <row r="10551">
          <cell r="C10551" t="str">
            <v>4510 - MISC HARDWARE &amp; HINGES</v>
          </cell>
          <cell r="D10551" t="str">
            <v>N220-103</v>
          </cell>
          <cell r="BA10551">
            <v>5.69</v>
          </cell>
        </row>
        <row r="10552">
          <cell r="C10552" t="str">
            <v>4510 - MISC HARDWARE &amp; HINGES</v>
          </cell>
          <cell r="D10552" t="str">
            <v>N220-111</v>
          </cell>
          <cell r="BA10552">
            <v>6.49</v>
          </cell>
        </row>
        <row r="10553">
          <cell r="C10553" t="str">
            <v>4510 - MISC HARDWARE &amp; HINGES</v>
          </cell>
          <cell r="D10553" t="str">
            <v>N220-129</v>
          </cell>
          <cell r="BA10553">
            <v>18.989999999999998</v>
          </cell>
        </row>
        <row r="10554">
          <cell r="C10554" t="str">
            <v>4510 - MISC HARDWARE &amp; HINGES</v>
          </cell>
          <cell r="D10554" t="str">
            <v>N220-137</v>
          </cell>
          <cell r="BA10554">
            <v>18.989999999999998</v>
          </cell>
        </row>
        <row r="10555">
          <cell r="C10555" t="str">
            <v>4510 - MISC HARDWARE &amp; HINGES</v>
          </cell>
          <cell r="D10555" t="str">
            <v>N220-178</v>
          </cell>
          <cell r="BA10555">
            <v>8.69</v>
          </cell>
        </row>
        <row r="10556">
          <cell r="C10556" t="str">
            <v>4510 - MISC HARDWARE &amp; HINGES</v>
          </cell>
          <cell r="D10556" t="str">
            <v>N220-186</v>
          </cell>
          <cell r="BA10556">
            <v>10.99</v>
          </cell>
        </row>
        <row r="10557">
          <cell r="C10557" t="str">
            <v>4510 - MISC HARDWARE &amp; HINGES</v>
          </cell>
          <cell r="D10557" t="str">
            <v>N220-327</v>
          </cell>
          <cell r="BA10557">
            <v>4.99</v>
          </cell>
        </row>
        <row r="10558">
          <cell r="C10558" t="str">
            <v>4510 - MISC HARDWARE &amp; HINGES</v>
          </cell>
          <cell r="D10558" t="str">
            <v>N220-426</v>
          </cell>
          <cell r="BA10558">
            <v>1.79</v>
          </cell>
        </row>
        <row r="10559">
          <cell r="C10559" t="str">
            <v>4510 - MISC HARDWARE &amp; HINGES</v>
          </cell>
          <cell r="D10559" t="str">
            <v>N220-434</v>
          </cell>
          <cell r="BA10559">
            <v>1.79</v>
          </cell>
        </row>
        <row r="10560">
          <cell r="C10560" t="str">
            <v>4510 - MISC HARDWARE &amp; HINGES</v>
          </cell>
          <cell r="D10560" t="str">
            <v>N220-483</v>
          </cell>
          <cell r="BA10560">
            <v>2.39</v>
          </cell>
        </row>
        <row r="10561">
          <cell r="C10561" t="str">
            <v>4510 - MISC HARDWARE &amp; HINGES</v>
          </cell>
          <cell r="D10561" t="str">
            <v>N220-491</v>
          </cell>
          <cell r="BA10561">
            <v>1.79</v>
          </cell>
        </row>
        <row r="10562">
          <cell r="C10562" t="str">
            <v>4510 - MISC HARDWARE &amp; HINGES</v>
          </cell>
          <cell r="D10562" t="str">
            <v>N220-517</v>
          </cell>
          <cell r="BA10562">
            <v>1.39</v>
          </cell>
        </row>
        <row r="10563">
          <cell r="C10563" t="str">
            <v>4510 - MISC HARDWARE &amp; HINGES</v>
          </cell>
          <cell r="D10563" t="str">
            <v>N220-665</v>
          </cell>
          <cell r="BA10563">
            <v>1.19</v>
          </cell>
        </row>
        <row r="10564">
          <cell r="C10564" t="str">
            <v>4510 - MISC HARDWARE &amp; HINGES</v>
          </cell>
          <cell r="D10564" t="str">
            <v>N220-673</v>
          </cell>
          <cell r="BA10564">
            <v>1.39</v>
          </cell>
        </row>
        <row r="10565">
          <cell r="C10565" t="str">
            <v>4510 - MISC HARDWARE &amp; HINGES</v>
          </cell>
          <cell r="D10565" t="str">
            <v>N220-681</v>
          </cell>
          <cell r="BA10565">
            <v>1.49</v>
          </cell>
        </row>
        <row r="10566">
          <cell r="C10566" t="str">
            <v>4510 - MISC HARDWARE &amp; HINGES</v>
          </cell>
          <cell r="D10566" t="str">
            <v>N220-699</v>
          </cell>
          <cell r="BA10566">
            <v>1.99</v>
          </cell>
        </row>
        <row r="10567">
          <cell r="C10567" t="str">
            <v>4510 - MISC HARDWARE &amp; HINGES</v>
          </cell>
          <cell r="D10567" t="str">
            <v>N220-707</v>
          </cell>
          <cell r="BA10567">
            <v>1.99</v>
          </cell>
        </row>
        <row r="10568">
          <cell r="C10568" t="str">
            <v>4510 - MISC HARDWARE &amp; HINGES</v>
          </cell>
          <cell r="D10568" t="str">
            <v>N220-715</v>
          </cell>
          <cell r="BA10568">
            <v>2.99</v>
          </cell>
        </row>
        <row r="10569">
          <cell r="C10569" t="str">
            <v>4510 - MISC HARDWARE &amp; HINGES</v>
          </cell>
          <cell r="D10569" t="str">
            <v>N220-723</v>
          </cell>
          <cell r="BA10569">
            <v>3.79</v>
          </cell>
        </row>
        <row r="10570">
          <cell r="C10570" t="str">
            <v>4510 - MISC HARDWARE &amp; HINGES</v>
          </cell>
          <cell r="D10570" t="str">
            <v>N220-863</v>
          </cell>
          <cell r="BA10570">
            <v>2.59</v>
          </cell>
        </row>
        <row r="10571">
          <cell r="C10571" t="str">
            <v>4510 - MISC HARDWARE &amp; HINGES</v>
          </cell>
          <cell r="D10571" t="str">
            <v>N221-051</v>
          </cell>
          <cell r="BA10571">
            <v>0.69</v>
          </cell>
        </row>
        <row r="10572">
          <cell r="C10572" t="str">
            <v>4510 - MISC HARDWARE &amp; HINGES</v>
          </cell>
          <cell r="D10572" t="str">
            <v>N221-069</v>
          </cell>
          <cell r="BA10572">
            <v>0.79</v>
          </cell>
        </row>
        <row r="10573">
          <cell r="C10573" t="str">
            <v>4510 - MISC HARDWARE &amp; HINGES</v>
          </cell>
          <cell r="D10573" t="str">
            <v>N221-077</v>
          </cell>
          <cell r="BA10573">
            <v>0.79</v>
          </cell>
        </row>
        <row r="10574">
          <cell r="C10574" t="str">
            <v>4510 - MISC HARDWARE &amp; HINGES</v>
          </cell>
          <cell r="D10574" t="str">
            <v>N221-101</v>
          </cell>
          <cell r="BA10574">
            <v>0.89</v>
          </cell>
        </row>
        <row r="10575">
          <cell r="C10575" t="str">
            <v>4510 - MISC HARDWARE &amp; HINGES</v>
          </cell>
          <cell r="D10575" t="str">
            <v>N221-119</v>
          </cell>
          <cell r="BA10575">
            <v>0.99</v>
          </cell>
        </row>
        <row r="10576">
          <cell r="C10576" t="str">
            <v>4510 - MISC HARDWARE &amp; HINGES</v>
          </cell>
          <cell r="D10576" t="str">
            <v>N221-127</v>
          </cell>
          <cell r="BA10576">
            <v>0.99</v>
          </cell>
        </row>
        <row r="10577">
          <cell r="C10577" t="str">
            <v>4510 - MISC HARDWARE &amp; HINGES</v>
          </cell>
          <cell r="D10577" t="str">
            <v>N221-135</v>
          </cell>
          <cell r="BA10577">
            <v>2.59</v>
          </cell>
        </row>
        <row r="10578">
          <cell r="C10578" t="str">
            <v>4510 - MISC HARDWARE &amp; HINGES</v>
          </cell>
          <cell r="D10578" t="str">
            <v>N221-143</v>
          </cell>
          <cell r="BA10578">
            <v>1.39</v>
          </cell>
        </row>
        <row r="10579">
          <cell r="C10579" t="str">
            <v>4510 - MISC HARDWARE &amp; HINGES</v>
          </cell>
          <cell r="D10579" t="str">
            <v>N221-218</v>
          </cell>
          <cell r="BA10579">
            <v>1.39</v>
          </cell>
        </row>
        <row r="10580">
          <cell r="C10580" t="str">
            <v>4510 - MISC HARDWARE &amp; HINGES</v>
          </cell>
          <cell r="D10580" t="str">
            <v>N221-226</v>
          </cell>
          <cell r="BA10580">
            <v>1.39</v>
          </cell>
        </row>
        <row r="10581">
          <cell r="C10581" t="str">
            <v>4510 - MISC HARDWARE &amp; HINGES</v>
          </cell>
          <cell r="D10581" t="str">
            <v>N221-234</v>
          </cell>
          <cell r="BA10581">
            <v>1.69</v>
          </cell>
        </row>
        <row r="10582">
          <cell r="C10582" t="str">
            <v>4510 - MISC HARDWARE &amp; HINGES</v>
          </cell>
          <cell r="D10582" t="str">
            <v>N221-242</v>
          </cell>
          <cell r="BA10582">
            <v>1.69</v>
          </cell>
        </row>
        <row r="10583">
          <cell r="C10583" t="str">
            <v>4510 - MISC HARDWARE &amp; HINGES</v>
          </cell>
          <cell r="D10583" t="str">
            <v>N221-267</v>
          </cell>
          <cell r="BA10583">
            <v>1.99</v>
          </cell>
        </row>
        <row r="10584">
          <cell r="C10584" t="str">
            <v>4510 - MISC HARDWARE &amp; HINGES</v>
          </cell>
          <cell r="D10584" t="str">
            <v>N221-275</v>
          </cell>
          <cell r="BA10584">
            <v>1.99</v>
          </cell>
        </row>
        <row r="10585">
          <cell r="C10585" t="str">
            <v>4510 - MISC HARDWARE &amp; HINGES</v>
          </cell>
          <cell r="D10585" t="str">
            <v>N221-283</v>
          </cell>
          <cell r="BA10585">
            <v>1.99</v>
          </cell>
        </row>
        <row r="10586">
          <cell r="C10586" t="str">
            <v>4510 - MISC HARDWARE &amp; HINGES</v>
          </cell>
          <cell r="D10586" t="str">
            <v>N221-291</v>
          </cell>
          <cell r="BA10586">
            <v>2.39</v>
          </cell>
        </row>
        <row r="10587">
          <cell r="C10587" t="str">
            <v>4510 - MISC HARDWARE &amp; HINGES</v>
          </cell>
          <cell r="D10587" t="str">
            <v>N221-309</v>
          </cell>
          <cell r="BA10587">
            <v>3.99</v>
          </cell>
        </row>
        <row r="10588">
          <cell r="C10588" t="str">
            <v>4510 - MISC HARDWARE &amp; HINGES</v>
          </cell>
          <cell r="D10588" t="str">
            <v>N221-317</v>
          </cell>
          <cell r="BA10588">
            <v>4.59</v>
          </cell>
        </row>
        <row r="10589">
          <cell r="C10589" t="str">
            <v>4510 - MISC HARDWARE &amp; HINGES</v>
          </cell>
          <cell r="D10589" t="str">
            <v>N221-325</v>
          </cell>
          <cell r="BA10589">
            <v>4.99</v>
          </cell>
        </row>
        <row r="10590">
          <cell r="C10590" t="str">
            <v>4510 - MISC HARDWARE &amp; HINGES</v>
          </cell>
          <cell r="D10590" t="str">
            <v>N221-333</v>
          </cell>
          <cell r="BA10590">
            <v>6.49</v>
          </cell>
        </row>
        <row r="10591">
          <cell r="C10591" t="str">
            <v>4510 - MISC HARDWARE &amp; HINGES</v>
          </cell>
          <cell r="D10591" t="str">
            <v>N221-341</v>
          </cell>
          <cell r="BA10591">
            <v>6.99</v>
          </cell>
        </row>
        <row r="10592">
          <cell r="C10592" t="str">
            <v>4510 - MISC HARDWARE &amp; HINGES</v>
          </cell>
          <cell r="D10592" t="str">
            <v>N221-721</v>
          </cell>
          <cell r="BA10592">
            <v>2.59</v>
          </cell>
        </row>
        <row r="10593">
          <cell r="C10593" t="str">
            <v>4510 - MISC HARDWARE &amp; HINGES</v>
          </cell>
          <cell r="D10593" t="str">
            <v>N221-739</v>
          </cell>
          <cell r="BA10593">
            <v>2.99</v>
          </cell>
        </row>
        <row r="10594">
          <cell r="C10594" t="str">
            <v>4510 - MISC HARDWARE &amp; HINGES</v>
          </cell>
          <cell r="D10594" t="str">
            <v>N221-747</v>
          </cell>
          <cell r="BA10594">
            <v>3.49</v>
          </cell>
        </row>
        <row r="10595">
          <cell r="C10595" t="str">
            <v>4510 - MISC HARDWARE &amp; HINGES</v>
          </cell>
          <cell r="D10595" t="str">
            <v>N221-754</v>
          </cell>
          <cell r="BA10595">
            <v>4.59</v>
          </cell>
        </row>
        <row r="10596">
          <cell r="C10596" t="str">
            <v>4510 - MISC HARDWARE &amp; HINGES</v>
          </cell>
          <cell r="D10596" t="str">
            <v>N221-762</v>
          </cell>
          <cell r="BA10596">
            <v>5.39</v>
          </cell>
        </row>
        <row r="10597">
          <cell r="C10597" t="str">
            <v>4510 - MISC HARDWARE &amp; HINGES</v>
          </cell>
          <cell r="D10597" t="str">
            <v>N221-846</v>
          </cell>
          <cell r="BA10597">
            <v>2.59</v>
          </cell>
        </row>
        <row r="10598">
          <cell r="C10598" t="str">
            <v>4510 - MISC HARDWARE &amp; HINGES</v>
          </cell>
          <cell r="D10598" t="str">
            <v>N221-853</v>
          </cell>
          <cell r="BA10598">
            <v>2.99</v>
          </cell>
        </row>
        <row r="10599">
          <cell r="C10599" t="str">
            <v>4510 - MISC HARDWARE &amp; HINGES</v>
          </cell>
          <cell r="D10599" t="str">
            <v>N221-861</v>
          </cell>
          <cell r="BA10599">
            <v>3.49</v>
          </cell>
        </row>
        <row r="10600">
          <cell r="C10600" t="str">
            <v>4510 - MISC HARDWARE &amp; HINGES</v>
          </cell>
          <cell r="D10600" t="str">
            <v>N222-075</v>
          </cell>
          <cell r="BA10600">
            <v>1.99</v>
          </cell>
        </row>
        <row r="10601">
          <cell r="C10601" t="str">
            <v>4510 - MISC HARDWARE &amp; HINGES</v>
          </cell>
          <cell r="D10601" t="str">
            <v>N222-109</v>
          </cell>
          <cell r="BA10601">
            <v>2.39</v>
          </cell>
        </row>
        <row r="10602">
          <cell r="C10602" t="str">
            <v>4510 - MISC HARDWARE &amp; HINGES</v>
          </cell>
          <cell r="D10602" t="str">
            <v>N222-125</v>
          </cell>
          <cell r="BA10602">
            <v>2.59</v>
          </cell>
        </row>
        <row r="10603">
          <cell r="C10603" t="str">
            <v>4510 - MISC HARDWARE &amp; HINGES</v>
          </cell>
          <cell r="D10603" t="str">
            <v>N222-158</v>
          </cell>
          <cell r="BA10603">
            <v>2.79</v>
          </cell>
        </row>
        <row r="10604">
          <cell r="C10604" t="str">
            <v>4510 - MISC HARDWARE &amp; HINGES</v>
          </cell>
          <cell r="D10604" t="str">
            <v>N222-174</v>
          </cell>
          <cell r="BA10604">
            <v>2.99</v>
          </cell>
        </row>
        <row r="10605">
          <cell r="C10605" t="str">
            <v>4510 - MISC HARDWARE &amp; HINGES</v>
          </cell>
          <cell r="D10605" t="str">
            <v>N222-349</v>
          </cell>
          <cell r="BA10605">
            <v>2.19</v>
          </cell>
        </row>
        <row r="10606">
          <cell r="C10606" t="str">
            <v>4510 - MISC HARDWARE &amp; HINGES</v>
          </cell>
          <cell r="D10606" t="str">
            <v>N223-867</v>
          </cell>
          <cell r="BA10606">
            <v>8.99</v>
          </cell>
        </row>
        <row r="10607">
          <cell r="C10607" t="str">
            <v>4510 - MISC HARDWARE &amp; HINGES</v>
          </cell>
          <cell r="D10607" t="str">
            <v>N223-875</v>
          </cell>
          <cell r="BA10607">
            <v>7.59</v>
          </cell>
        </row>
        <row r="10608">
          <cell r="C10608" t="str">
            <v>4510 - MISC HARDWARE &amp; HINGES</v>
          </cell>
          <cell r="D10608" t="str">
            <v>N225-557</v>
          </cell>
          <cell r="BA10608">
            <v>1.89</v>
          </cell>
        </row>
        <row r="10609">
          <cell r="C10609" t="str">
            <v>4510 - MISC HARDWARE &amp; HINGES</v>
          </cell>
          <cell r="D10609" t="str">
            <v>N225-987</v>
          </cell>
          <cell r="BA10609">
            <v>6.99</v>
          </cell>
        </row>
        <row r="10610">
          <cell r="C10610" t="str">
            <v>4510 - MISC HARDWARE &amp; HINGES</v>
          </cell>
          <cell r="D10610" t="str">
            <v>N226-373</v>
          </cell>
          <cell r="BA10610">
            <v>3.99</v>
          </cell>
        </row>
        <row r="10611">
          <cell r="C10611" t="str">
            <v>4510 - MISC HARDWARE &amp; HINGES</v>
          </cell>
          <cell r="D10611" t="str">
            <v>N226-381</v>
          </cell>
          <cell r="BA10611">
            <v>4.99</v>
          </cell>
        </row>
        <row r="10612">
          <cell r="C10612" t="str">
            <v>4510 - MISC HARDWARE &amp; HINGES</v>
          </cell>
          <cell r="D10612" t="str">
            <v>N235-291</v>
          </cell>
          <cell r="BA10612">
            <v>6.99</v>
          </cell>
        </row>
        <row r="10613">
          <cell r="C10613" t="str">
            <v>4510 - MISC HARDWARE &amp; HINGES</v>
          </cell>
          <cell r="D10613" t="str">
            <v>N235-309</v>
          </cell>
          <cell r="BA10613">
            <v>6.49</v>
          </cell>
        </row>
        <row r="10614">
          <cell r="C10614" t="str">
            <v>4510 - MISC HARDWARE &amp; HINGES</v>
          </cell>
          <cell r="D10614" t="str">
            <v>N238-212</v>
          </cell>
          <cell r="BA10614">
            <v>29.99</v>
          </cell>
        </row>
        <row r="10615">
          <cell r="C10615" t="str">
            <v>4510 - MISC HARDWARE &amp; HINGES</v>
          </cell>
          <cell r="D10615" t="str">
            <v>N243-659</v>
          </cell>
          <cell r="BA10615">
            <v>2.99</v>
          </cell>
        </row>
        <row r="10616">
          <cell r="C10616" t="str">
            <v>4510 - MISC HARDWARE &amp; HINGES</v>
          </cell>
          <cell r="D10616" t="str">
            <v>N244-780</v>
          </cell>
          <cell r="BA10616">
            <v>8.69</v>
          </cell>
        </row>
        <row r="10617">
          <cell r="C10617" t="str">
            <v>4510 - MISC HARDWARE &amp; HINGES</v>
          </cell>
          <cell r="D10617" t="str">
            <v>N244-806</v>
          </cell>
          <cell r="BA10617">
            <v>9.99</v>
          </cell>
        </row>
        <row r="10618">
          <cell r="C10618" t="str">
            <v>4510 - MISC HARDWARE &amp; HINGES</v>
          </cell>
          <cell r="D10618" t="str">
            <v>N244-996</v>
          </cell>
          <cell r="BA10618">
            <v>5.69</v>
          </cell>
        </row>
        <row r="10619">
          <cell r="C10619" t="str">
            <v>4510 - MISC HARDWARE &amp; HINGES</v>
          </cell>
          <cell r="D10619" t="str">
            <v>N245-001</v>
          </cell>
          <cell r="BA10619">
            <v>5.99</v>
          </cell>
        </row>
        <row r="10620">
          <cell r="C10620" t="str">
            <v>4510 - MISC HARDWARE &amp; HINGES</v>
          </cell>
          <cell r="D10620" t="str">
            <v>N245-019</v>
          </cell>
          <cell r="BA10620">
            <v>6.49</v>
          </cell>
        </row>
        <row r="10621">
          <cell r="C10621" t="str">
            <v>4510 - MISC HARDWARE &amp; HINGES</v>
          </cell>
          <cell r="D10621" t="str">
            <v>N245-027</v>
          </cell>
          <cell r="BA10621">
            <v>6.99</v>
          </cell>
        </row>
        <row r="10622">
          <cell r="C10622" t="str">
            <v>4510 - MISC HARDWARE &amp; HINGES</v>
          </cell>
          <cell r="D10622" t="str">
            <v>N245-779</v>
          </cell>
          <cell r="BA10622">
            <v>4.29</v>
          </cell>
        </row>
        <row r="10623">
          <cell r="C10623" t="str">
            <v>4510 - MISC HARDWARE &amp; HINGES</v>
          </cell>
          <cell r="D10623" t="str">
            <v>N246-041</v>
          </cell>
          <cell r="BA10623">
            <v>11.99</v>
          </cell>
        </row>
        <row r="10624">
          <cell r="C10624" t="str">
            <v>4510 - MISC HARDWARE &amp; HINGES</v>
          </cell>
          <cell r="D10624" t="str">
            <v>N248-443</v>
          </cell>
          <cell r="BA10624">
            <v>3.99</v>
          </cell>
        </row>
        <row r="10625">
          <cell r="C10625" t="str">
            <v>4510 - MISC HARDWARE &amp; HINGES</v>
          </cell>
          <cell r="D10625" t="str">
            <v>N248-450</v>
          </cell>
          <cell r="BA10625">
            <v>4.59</v>
          </cell>
        </row>
        <row r="10626">
          <cell r="C10626" t="str">
            <v>4510 - MISC HARDWARE &amp; HINGES</v>
          </cell>
          <cell r="D10626" t="str">
            <v>N260-190</v>
          </cell>
          <cell r="BA10626">
            <v>7.59</v>
          </cell>
        </row>
        <row r="10627">
          <cell r="C10627" t="str">
            <v>4510 - MISC HARDWARE &amp; HINGES</v>
          </cell>
          <cell r="D10627" t="str">
            <v>N260-208</v>
          </cell>
          <cell r="BA10627">
            <v>7.99</v>
          </cell>
        </row>
        <row r="10628">
          <cell r="C10628" t="str">
            <v>4510 - MISC HARDWARE &amp; HINGES</v>
          </cell>
          <cell r="D10628" t="str">
            <v>N260-596</v>
          </cell>
          <cell r="BA10628">
            <v>12.99</v>
          </cell>
        </row>
        <row r="10629">
          <cell r="C10629" t="str">
            <v>4510 - MISC HARDWARE &amp; HINGES</v>
          </cell>
          <cell r="D10629" t="str">
            <v>N260-604</v>
          </cell>
          <cell r="BA10629">
            <v>16.989999999999998</v>
          </cell>
        </row>
        <row r="10630">
          <cell r="C10630" t="str">
            <v>4510 - MISC HARDWARE &amp; HINGES</v>
          </cell>
          <cell r="D10630" t="str">
            <v>N262-972</v>
          </cell>
          <cell r="BA10630">
            <v>5.69</v>
          </cell>
        </row>
        <row r="10631">
          <cell r="C10631" t="str">
            <v>4510 - MISC HARDWARE &amp; HINGES</v>
          </cell>
          <cell r="D10631" t="str">
            <v>N266-470</v>
          </cell>
          <cell r="BA10631">
            <v>3.79</v>
          </cell>
        </row>
        <row r="10632">
          <cell r="C10632" t="str">
            <v>4510 - MISC HARDWARE &amp; HINGES</v>
          </cell>
          <cell r="D10632" t="str">
            <v>N266-471</v>
          </cell>
          <cell r="BA10632">
            <v>6.99</v>
          </cell>
        </row>
        <row r="10633">
          <cell r="C10633" t="str">
            <v>4510 - MISC HARDWARE &amp; HINGES</v>
          </cell>
          <cell r="D10633" t="str">
            <v>N266-472</v>
          </cell>
          <cell r="BA10633">
            <v>17.989999999999998</v>
          </cell>
        </row>
        <row r="10634">
          <cell r="C10634" t="str">
            <v>4510 - MISC HARDWARE &amp; HINGES</v>
          </cell>
          <cell r="D10634" t="str">
            <v>N266-473</v>
          </cell>
          <cell r="BA10634">
            <v>29.99</v>
          </cell>
        </row>
        <row r="10635">
          <cell r="C10635" t="str">
            <v>4510 - MISC HARDWARE &amp; HINGES</v>
          </cell>
          <cell r="D10635" t="str">
            <v>N266-474</v>
          </cell>
          <cell r="BA10635">
            <v>10.99</v>
          </cell>
        </row>
        <row r="10636">
          <cell r="C10636" t="str">
            <v>4510 - MISC HARDWARE &amp; HINGES</v>
          </cell>
          <cell r="D10636" t="str">
            <v>N266-475</v>
          </cell>
          <cell r="BA10636">
            <v>25.99</v>
          </cell>
        </row>
        <row r="10637">
          <cell r="C10637" t="str">
            <v>4510 - MISC HARDWARE &amp; HINGES</v>
          </cell>
          <cell r="D10637" t="str">
            <v>N269-068</v>
          </cell>
          <cell r="BA10637">
            <v>4.99</v>
          </cell>
        </row>
        <row r="10638">
          <cell r="C10638" t="str">
            <v>4510 - MISC HARDWARE &amp; HINGES</v>
          </cell>
          <cell r="D10638" t="str">
            <v>N273-557</v>
          </cell>
          <cell r="BA10638">
            <v>10.99</v>
          </cell>
        </row>
        <row r="10639">
          <cell r="C10639" t="str">
            <v>4510 - MISC HARDWARE &amp; HINGES</v>
          </cell>
          <cell r="D10639" t="str">
            <v>N279-695</v>
          </cell>
          <cell r="BA10639">
            <v>5.39</v>
          </cell>
        </row>
        <row r="10640">
          <cell r="C10640" t="str">
            <v>4510 - MISC HARDWARE &amp; HINGES</v>
          </cell>
          <cell r="D10640" t="str">
            <v>N285-544</v>
          </cell>
          <cell r="BA10640">
            <v>6.49</v>
          </cell>
        </row>
        <row r="10641">
          <cell r="C10641" t="str">
            <v>4510 - MISC HARDWARE &amp; HINGES</v>
          </cell>
          <cell r="D10641" t="str">
            <v>N285-551</v>
          </cell>
          <cell r="BA10641">
            <v>6.99</v>
          </cell>
        </row>
        <row r="10642">
          <cell r="C10642" t="str">
            <v>4510 - MISC HARDWARE &amp; HINGES</v>
          </cell>
          <cell r="D10642" t="str">
            <v>N285-569</v>
          </cell>
          <cell r="BA10642">
            <v>7.59</v>
          </cell>
        </row>
        <row r="10643">
          <cell r="C10643" t="str">
            <v>4510 - MISC HARDWARE &amp; HINGES</v>
          </cell>
          <cell r="D10643" t="str">
            <v>N301-630</v>
          </cell>
          <cell r="BA10643">
            <v>12.99</v>
          </cell>
        </row>
        <row r="10644">
          <cell r="C10644" t="str">
            <v>4510 - MISC HARDWARE &amp; HINGES</v>
          </cell>
          <cell r="D10644" t="str">
            <v>N305-953</v>
          </cell>
          <cell r="BA10644">
            <v>6.99</v>
          </cell>
        </row>
        <row r="10645">
          <cell r="C10645" t="str">
            <v>4510 - MISC HARDWARE &amp; HINGES</v>
          </cell>
          <cell r="D10645" t="str">
            <v>N305-961</v>
          </cell>
          <cell r="BA10645">
            <v>8.99</v>
          </cell>
        </row>
        <row r="10646">
          <cell r="C10646" t="str">
            <v>4510 - MISC HARDWARE &amp; HINGES</v>
          </cell>
          <cell r="D10646" t="str">
            <v>N305-979</v>
          </cell>
          <cell r="BA10646">
            <v>9.99</v>
          </cell>
        </row>
        <row r="10647">
          <cell r="C10647" t="str">
            <v>4510 - MISC HARDWARE &amp; HINGES</v>
          </cell>
          <cell r="D10647" t="str">
            <v>N305-987</v>
          </cell>
          <cell r="BA10647">
            <v>10.99</v>
          </cell>
        </row>
        <row r="10648">
          <cell r="C10648" t="str">
            <v>4510 - MISC HARDWARE &amp; HINGES</v>
          </cell>
          <cell r="D10648" t="str">
            <v>N325-464</v>
          </cell>
          <cell r="BA10648">
            <v>7.59</v>
          </cell>
        </row>
        <row r="10649">
          <cell r="C10649" t="str">
            <v>4510 - MISC HARDWARE &amp; HINGES</v>
          </cell>
          <cell r="D10649" t="str">
            <v>N325-480</v>
          </cell>
          <cell r="BA10649">
            <v>7.59</v>
          </cell>
        </row>
        <row r="10650">
          <cell r="C10650" t="str">
            <v>4510 - MISC HARDWARE &amp; HINGES</v>
          </cell>
          <cell r="D10650" t="str">
            <v>N325-506</v>
          </cell>
          <cell r="BA10650">
            <v>6.99</v>
          </cell>
        </row>
        <row r="10651">
          <cell r="C10651" t="str">
            <v>4510 - MISC HARDWARE &amp; HINGES</v>
          </cell>
          <cell r="D10651" t="str">
            <v>N325-522</v>
          </cell>
          <cell r="BA10651">
            <v>7.59</v>
          </cell>
        </row>
        <row r="10652">
          <cell r="C10652" t="str">
            <v>4510 - MISC HARDWARE &amp; HINGES</v>
          </cell>
          <cell r="D10652" t="str">
            <v>N325-548</v>
          </cell>
          <cell r="BA10652">
            <v>9.99</v>
          </cell>
        </row>
        <row r="10653">
          <cell r="C10653" t="str">
            <v>4510 - MISC HARDWARE &amp; HINGES</v>
          </cell>
          <cell r="D10653" t="str">
            <v>N327-031</v>
          </cell>
          <cell r="BA10653">
            <v>7.59</v>
          </cell>
        </row>
        <row r="10654">
          <cell r="C10654" t="str">
            <v>4510 - MISC HARDWARE &amp; HINGES</v>
          </cell>
          <cell r="D10654" t="str">
            <v>N330-738</v>
          </cell>
          <cell r="BA10654">
            <v>9.99</v>
          </cell>
        </row>
        <row r="10655">
          <cell r="C10655" t="str">
            <v>4510 - MISC HARDWARE &amp; HINGES</v>
          </cell>
          <cell r="D10655" t="str">
            <v>N330-761</v>
          </cell>
          <cell r="BA10655">
            <v>7.59</v>
          </cell>
        </row>
        <row r="10656">
          <cell r="C10656" t="str">
            <v>4510 - MISC HARDWARE &amp; HINGES</v>
          </cell>
          <cell r="D10656" t="str">
            <v>N330-795</v>
          </cell>
          <cell r="BA10656">
            <v>6.99</v>
          </cell>
        </row>
        <row r="10657">
          <cell r="C10657" t="str">
            <v>4510 - MISC HARDWARE &amp; HINGES</v>
          </cell>
          <cell r="D10657" t="str">
            <v>N330-829</v>
          </cell>
          <cell r="BA10657">
            <v>7.59</v>
          </cell>
        </row>
        <row r="10658">
          <cell r="C10658" t="str">
            <v>4510 - MISC HARDWARE &amp; HINGES</v>
          </cell>
          <cell r="D10658" t="str">
            <v>N330-886</v>
          </cell>
          <cell r="BA10658">
            <v>7.99</v>
          </cell>
        </row>
        <row r="10659">
          <cell r="C10659" t="str">
            <v>4510 - MISC HARDWARE &amp; HINGES</v>
          </cell>
          <cell r="D10659" t="str">
            <v>N331-009</v>
          </cell>
          <cell r="BA10659">
            <v>7.99</v>
          </cell>
        </row>
        <row r="10660">
          <cell r="C10660" t="str">
            <v>4510 - MISC HARDWARE &amp; HINGES</v>
          </cell>
          <cell r="D10660" t="str">
            <v>N331-066</v>
          </cell>
          <cell r="BA10660">
            <v>9.99</v>
          </cell>
        </row>
        <row r="10661">
          <cell r="C10661" t="str">
            <v>4510 - MISC HARDWARE &amp; HINGES</v>
          </cell>
          <cell r="D10661" t="str">
            <v>N331-082</v>
          </cell>
          <cell r="BA10661">
            <v>9.99</v>
          </cell>
        </row>
        <row r="10662">
          <cell r="C10662" t="str">
            <v>4510 - MISC HARDWARE &amp; HINGES</v>
          </cell>
          <cell r="D10662" t="str">
            <v>N331-132</v>
          </cell>
          <cell r="BA10662">
            <v>5.39</v>
          </cell>
        </row>
        <row r="10663">
          <cell r="C10663" t="str">
            <v>4510 - MISC HARDWARE &amp; HINGES</v>
          </cell>
          <cell r="D10663" t="str">
            <v>N331-140</v>
          </cell>
          <cell r="BA10663">
            <v>5.39</v>
          </cell>
        </row>
        <row r="10664">
          <cell r="C10664" t="str">
            <v>4510 - MISC HARDWARE &amp; HINGES</v>
          </cell>
          <cell r="D10664" t="str">
            <v>N335-001</v>
          </cell>
          <cell r="BA10664">
            <v>9.19</v>
          </cell>
        </row>
        <row r="10665">
          <cell r="C10665" t="str">
            <v>4510 - MISC HARDWARE &amp; HINGES</v>
          </cell>
          <cell r="D10665" t="str">
            <v>N335-232</v>
          </cell>
          <cell r="BA10665">
            <v>3.99</v>
          </cell>
        </row>
        <row r="10666">
          <cell r="C10666" t="str">
            <v>4510 - MISC HARDWARE &amp; HINGES</v>
          </cell>
          <cell r="D10666" t="str">
            <v>N335-703</v>
          </cell>
          <cell r="BA10666">
            <v>2.99</v>
          </cell>
        </row>
        <row r="10667">
          <cell r="C10667" t="str">
            <v>4510 - MISC HARDWARE &amp; HINGES</v>
          </cell>
          <cell r="D10667" t="str">
            <v>N335-885</v>
          </cell>
          <cell r="BA10667">
            <v>8.99</v>
          </cell>
        </row>
        <row r="10668">
          <cell r="C10668" t="str">
            <v>4510 - MISC HARDWARE &amp; HINGES</v>
          </cell>
          <cell r="D10668" t="str">
            <v>N335-901</v>
          </cell>
          <cell r="BA10668">
            <v>12.99</v>
          </cell>
        </row>
        <row r="10669">
          <cell r="C10669" t="str">
            <v>4510 - MISC HARDWARE &amp; HINGES</v>
          </cell>
          <cell r="D10669" t="str">
            <v>N342-600</v>
          </cell>
          <cell r="BA10669">
            <v>12.99</v>
          </cell>
        </row>
        <row r="10670">
          <cell r="C10670" t="str">
            <v>4510 - MISC HARDWARE &amp; HINGES</v>
          </cell>
          <cell r="D10670" t="str">
            <v>N342-618</v>
          </cell>
          <cell r="BA10670">
            <v>8.99</v>
          </cell>
        </row>
        <row r="10671">
          <cell r="C10671" t="str">
            <v>4510 - MISC HARDWARE &amp; HINGES</v>
          </cell>
          <cell r="D10671" t="str">
            <v>N342-626</v>
          </cell>
          <cell r="BA10671">
            <v>10.99</v>
          </cell>
        </row>
        <row r="10672">
          <cell r="C10672" t="str">
            <v>4510 - MISC HARDWARE &amp; HINGES</v>
          </cell>
          <cell r="D10672" t="str">
            <v>N343-475</v>
          </cell>
          <cell r="BA10672">
            <v>34.99</v>
          </cell>
        </row>
        <row r="10673">
          <cell r="C10673" t="str">
            <v>4510 - MISC HARDWARE &amp; HINGES</v>
          </cell>
          <cell r="D10673" t="str">
            <v>N344-838</v>
          </cell>
          <cell r="BA10673">
            <v>5.69</v>
          </cell>
        </row>
        <row r="10674">
          <cell r="C10674" t="str">
            <v>4510 - MISC HARDWARE &amp; HINGES</v>
          </cell>
          <cell r="D10674" t="str">
            <v>N344-846</v>
          </cell>
          <cell r="BA10674">
            <v>6.99</v>
          </cell>
        </row>
        <row r="10675">
          <cell r="C10675" t="str">
            <v>4510 - MISC HARDWARE &amp; HINGES</v>
          </cell>
          <cell r="D10675" t="str">
            <v>N344-853</v>
          </cell>
          <cell r="BA10675">
            <v>10.99</v>
          </cell>
        </row>
        <row r="10676">
          <cell r="C10676" t="str">
            <v>4510 - MISC HARDWARE &amp; HINGES</v>
          </cell>
          <cell r="D10676" t="str">
            <v>N344-960</v>
          </cell>
          <cell r="BA10676">
            <v>4.29</v>
          </cell>
        </row>
        <row r="10677">
          <cell r="C10677" t="str">
            <v>4510 - MISC HARDWARE &amp; HINGES</v>
          </cell>
          <cell r="D10677" t="str">
            <v>N346-201</v>
          </cell>
          <cell r="BA10677">
            <v>45.99</v>
          </cell>
        </row>
        <row r="10678">
          <cell r="C10678" t="str">
            <v>4510 - MISC HARDWARE &amp; HINGES</v>
          </cell>
          <cell r="D10678" t="str">
            <v>N348-284</v>
          </cell>
          <cell r="BA10678">
            <v>10.99</v>
          </cell>
        </row>
        <row r="10679">
          <cell r="C10679" t="str">
            <v>4510 - MISC HARDWARE &amp; HINGES</v>
          </cell>
          <cell r="D10679" t="str">
            <v>N348-417</v>
          </cell>
          <cell r="BA10679">
            <v>7.99</v>
          </cell>
        </row>
        <row r="10680">
          <cell r="C10680" t="str">
            <v>4510 - MISC HARDWARE &amp; HINGES</v>
          </cell>
          <cell r="D10680" t="str">
            <v>N348-425</v>
          </cell>
          <cell r="BA10680">
            <v>8.69</v>
          </cell>
        </row>
        <row r="10681">
          <cell r="C10681" t="str">
            <v>4510 - MISC HARDWARE &amp; HINGES</v>
          </cell>
          <cell r="D10681" t="str">
            <v>N348-458</v>
          </cell>
          <cell r="BA10681">
            <v>6.99</v>
          </cell>
        </row>
        <row r="10682">
          <cell r="C10682" t="str">
            <v>4510 - MISC HARDWARE &amp; HINGES</v>
          </cell>
          <cell r="D10682" t="str">
            <v>N348-946</v>
          </cell>
          <cell r="BA10682">
            <v>9.99</v>
          </cell>
        </row>
        <row r="10683">
          <cell r="C10683" t="str">
            <v>4510 - MISC HARDWARE &amp; HINGES</v>
          </cell>
          <cell r="D10683" t="str">
            <v>N350-322</v>
          </cell>
          <cell r="BA10683">
            <v>31.99</v>
          </cell>
        </row>
        <row r="10684">
          <cell r="C10684" t="str">
            <v>4510 - MISC HARDWARE &amp; HINGES</v>
          </cell>
          <cell r="D10684" t="str">
            <v>N350-355</v>
          </cell>
          <cell r="BA10684">
            <v>24.99</v>
          </cell>
        </row>
        <row r="10685">
          <cell r="C10685" t="str">
            <v>4510 - MISC HARDWARE &amp; HINGES</v>
          </cell>
          <cell r="D10685" t="str">
            <v>N350-363</v>
          </cell>
          <cell r="BA10685">
            <v>35.99</v>
          </cell>
        </row>
        <row r="10686">
          <cell r="C10686" t="str">
            <v>4510 - MISC HARDWARE &amp; HINGES</v>
          </cell>
          <cell r="D10686" t="str">
            <v>N350-769</v>
          </cell>
          <cell r="BA10686">
            <v>17.989999999999998</v>
          </cell>
        </row>
        <row r="10687">
          <cell r="C10687" t="str">
            <v>4510 - MISC HARDWARE &amp; HINGES</v>
          </cell>
          <cell r="D10687" t="str">
            <v>N350-777</v>
          </cell>
          <cell r="BA10687">
            <v>17.989999999999998</v>
          </cell>
        </row>
        <row r="10688">
          <cell r="C10688" t="str">
            <v>4510 - MISC HARDWARE &amp; HINGES</v>
          </cell>
          <cell r="D10688" t="str">
            <v>N350-827</v>
          </cell>
          <cell r="BA10688">
            <v>17.989999999999998</v>
          </cell>
        </row>
        <row r="10689">
          <cell r="C10689" t="str">
            <v>4510 - MISC HARDWARE &amp; HINGES</v>
          </cell>
          <cell r="D10689" t="str">
            <v>N350-835</v>
          </cell>
          <cell r="BA10689">
            <v>17.989999999999998</v>
          </cell>
        </row>
        <row r="10690">
          <cell r="C10690" t="str">
            <v>4510 - MISC HARDWARE &amp; HINGES</v>
          </cell>
          <cell r="D10690" t="str">
            <v>N612-060</v>
          </cell>
          <cell r="BA10690">
            <v>35.99</v>
          </cell>
        </row>
        <row r="10691">
          <cell r="C10691" t="str">
            <v>4510 - MISC HARDWARE &amp; HINGES</v>
          </cell>
          <cell r="D10691" t="str">
            <v>N612-061</v>
          </cell>
          <cell r="BA10691">
            <v>34.99</v>
          </cell>
        </row>
        <row r="10692">
          <cell r="C10692" t="str">
            <v>4510 - MISC HARDWARE &amp; HINGES</v>
          </cell>
          <cell r="D10692" t="str">
            <v>N612-062</v>
          </cell>
          <cell r="BA10692">
            <v>34.99</v>
          </cell>
        </row>
        <row r="10693">
          <cell r="C10693" t="str">
            <v>4510 - MISC HARDWARE &amp; HINGES</v>
          </cell>
          <cell r="D10693" t="str">
            <v>N825-006</v>
          </cell>
          <cell r="BA10693">
            <v>7.89</v>
          </cell>
        </row>
        <row r="10694">
          <cell r="C10694" t="str">
            <v>4510 - MISC HARDWARE &amp; HINGES</v>
          </cell>
          <cell r="D10694" t="str">
            <v>N830-101</v>
          </cell>
          <cell r="BA10694">
            <v>2.19</v>
          </cell>
        </row>
        <row r="10695">
          <cell r="C10695" t="str">
            <v>4510 - MISC HARDWARE &amp; HINGES</v>
          </cell>
          <cell r="D10695" t="str">
            <v>N830-116</v>
          </cell>
          <cell r="BA10695">
            <v>7.99</v>
          </cell>
        </row>
        <row r="10696">
          <cell r="C10696" t="str">
            <v>4510 - MISC HARDWARE &amp; HINGES</v>
          </cell>
          <cell r="D10696" t="str">
            <v>N830-118</v>
          </cell>
          <cell r="BA10696">
            <v>7.59</v>
          </cell>
        </row>
        <row r="10697">
          <cell r="C10697" t="str">
            <v>4510 - MISC HARDWARE &amp; HINGES</v>
          </cell>
          <cell r="D10697" t="str">
            <v>N830-127</v>
          </cell>
          <cell r="BA10697">
            <v>9.99</v>
          </cell>
        </row>
        <row r="10698">
          <cell r="C10698" t="str">
            <v>4510 - MISC HARDWARE &amp; HINGES</v>
          </cell>
          <cell r="D10698" t="str">
            <v>N830-128</v>
          </cell>
          <cell r="BA10698">
            <v>9.99</v>
          </cell>
        </row>
        <row r="10699">
          <cell r="C10699" t="str">
            <v>4510 - MISC HARDWARE &amp; HINGES</v>
          </cell>
          <cell r="D10699" t="str">
            <v>N830-133</v>
          </cell>
          <cell r="BA10699">
            <v>5.99</v>
          </cell>
        </row>
        <row r="10700">
          <cell r="C10700" t="str">
            <v>4510 - MISC HARDWARE &amp; HINGES</v>
          </cell>
          <cell r="D10700" t="str">
            <v>N830-157</v>
          </cell>
          <cell r="BA10700">
            <v>2.99</v>
          </cell>
        </row>
        <row r="10701">
          <cell r="C10701" t="str">
            <v>4510 - MISC HARDWARE &amp; HINGES</v>
          </cell>
          <cell r="D10701" t="str">
            <v>N830-158</v>
          </cell>
          <cell r="BA10701">
            <v>2.99</v>
          </cell>
        </row>
        <row r="10702">
          <cell r="C10702" t="str">
            <v>4510 - MISC HARDWARE &amp; HINGES</v>
          </cell>
          <cell r="D10702" t="str">
            <v>N830-161</v>
          </cell>
          <cell r="BA10702">
            <v>2.59</v>
          </cell>
        </row>
        <row r="10703">
          <cell r="C10703" t="str">
            <v>4510 - MISC HARDWARE &amp; HINGES</v>
          </cell>
          <cell r="D10703" t="str">
            <v>N830-200</v>
          </cell>
          <cell r="BA10703">
            <v>6.99</v>
          </cell>
        </row>
        <row r="10704">
          <cell r="C10704" t="str">
            <v>4510 - MISC HARDWARE &amp; HINGES</v>
          </cell>
          <cell r="D10704" t="str">
            <v>N830-201</v>
          </cell>
          <cell r="BA10704">
            <v>6.99</v>
          </cell>
        </row>
        <row r="10705">
          <cell r="C10705" t="str">
            <v>4510 - MISC HARDWARE &amp; HINGES</v>
          </cell>
          <cell r="D10705" t="str">
            <v>N830-206</v>
          </cell>
          <cell r="BA10705">
            <v>3.89</v>
          </cell>
        </row>
        <row r="10706">
          <cell r="C10706" t="str">
            <v>4510 - MISC HARDWARE &amp; HINGES</v>
          </cell>
          <cell r="D10706" t="str">
            <v>N830-208</v>
          </cell>
          <cell r="BA10706">
            <v>5.99</v>
          </cell>
        </row>
        <row r="10707">
          <cell r="C10707" t="str">
            <v>4510 - MISC HARDWARE &amp; HINGES</v>
          </cell>
          <cell r="D10707" t="str">
            <v>N830-209</v>
          </cell>
          <cell r="BA10707">
            <v>6.99</v>
          </cell>
        </row>
        <row r="10708">
          <cell r="C10708" t="str">
            <v>4510 - MISC HARDWARE &amp; HINGES</v>
          </cell>
          <cell r="D10708" t="str">
            <v>N830-210</v>
          </cell>
          <cell r="BA10708">
            <v>7.59</v>
          </cell>
        </row>
        <row r="10709">
          <cell r="C10709" t="str">
            <v>4510 - MISC HARDWARE &amp; HINGES</v>
          </cell>
          <cell r="D10709" t="str">
            <v>N830-211</v>
          </cell>
          <cell r="BA10709">
            <v>2.39</v>
          </cell>
        </row>
        <row r="10710">
          <cell r="C10710" t="str">
            <v>4510 - MISC HARDWARE &amp; HINGES</v>
          </cell>
          <cell r="D10710" t="str">
            <v>N830-212</v>
          </cell>
          <cell r="BA10710">
            <v>7.59</v>
          </cell>
        </row>
        <row r="10711">
          <cell r="C10711" t="str">
            <v>4510 - MISC HARDWARE &amp; HINGES</v>
          </cell>
          <cell r="D10711" t="str">
            <v>N830-213</v>
          </cell>
          <cell r="BA10711">
            <v>8.69</v>
          </cell>
        </row>
        <row r="10712">
          <cell r="C10712" t="str">
            <v>4510 - MISC HARDWARE &amp; HINGES</v>
          </cell>
          <cell r="D10712" t="str">
            <v>N830-214</v>
          </cell>
          <cell r="BA10712">
            <v>6.99</v>
          </cell>
        </row>
        <row r="10713">
          <cell r="C10713" t="str">
            <v>4510 - MISC HARDWARE &amp; HINGES</v>
          </cell>
          <cell r="D10713" t="str">
            <v>N830-228</v>
          </cell>
          <cell r="BA10713">
            <v>6.99</v>
          </cell>
        </row>
        <row r="10714">
          <cell r="C10714" t="str">
            <v>4510 - MISC HARDWARE &amp; HINGES</v>
          </cell>
          <cell r="D10714" t="str">
            <v>N830-231</v>
          </cell>
          <cell r="BA10714">
            <v>6.99</v>
          </cell>
        </row>
        <row r="10715">
          <cell r="C10715" t="str">
            <v>4510 - MISC HARDWARE &amp; HINGES</v>
          </cell>
          <cell r="D10715" t="str">
            <v>N830-320</v>
          </cell>
          <cell r="BA10715">
            <v>18.989999999999998</v>
          </cell>
        </row>
        <row r="10716">
          <cell r="C10716" t="str">
            <v>4510 - MISC HARDWARE &amp; HINGES</v>
          </cell>
          <cell r="D10716" t="str">
            <v>N830-322</v>
          </cell>
          <cell r="BA10716">
            <v>18.989999999999998</v>
          </cell>
        </row>
        <row r="10717">
          <cell r="C10717" t="str">
            <v>4510 - MISC HARDWARE &amp; HINGES</v>
          </cell>
          <cell r="D10717" t="str">
            <v>N830-323</v>
          </cell>
          <cell r="BA10717">
            <v>18.989999999999998</v>
          </cell>
        </row>
        <row r="10718">
          <cell r="C10718" t="str">
            <v>4510 - MISC HARDWARE &amp; HINGES</v>
          </cell>
          <cell r="D10718" t="str">
            <v>N830-325</v>
          </cell>
          <cell r="BA10718">
            <v>18.989999999999998</v>
          </cell>
        </row>
        <row r="10719">
          <cell r="C10719" t="str">
            <v>4510 - MISC HARDWARE &amp; HINGES</v>
          </cell>
          <cell r="D10719" t="str">
            <v>N830-326</v>
          </cell>
          <cell r="BA10719">
            <v>14.99</v>
          </cell>
        </row>
        <row r="10720">
          <cell r="C10720" t="str">
            <v>4510 - MISC HARDWARE &amp; HINGES</v>
          </cell>
          <cell r="D10720" t="str">
            <v>N830-328</v>
          </cell>
          <cell r="BA10720">
            <v>18.989999999999998</v>
          </cell>
        </row>
        <row r="10721">
          <cell r="C10721" t="str">
            <v>4510 - MISC HARDWARE &amp; HINGES</v>
          </cell>
          <cell r="D10721" t="str">
            <v>N881-904</v>
          </cell>
          <cell r="BA10721">
            <v>14.99</v>
          </cell>
        </row>
        <row r="10722">
          <cell r="C10722" t="str">
            <v>4510 - MISC HARDWARE &amp; HINGES</v>
          </cell>
          <cell r="D10722" t="str">
            <v>N881-912</v>
          </cell>
          <cell r="BA10722">
            <v>21.99</v>
          </cell>
        </row>
        <row r="10723">
          <cell r="C10723" t="str">
            <v>4510 - MISC HARDWARE &amp; HINGES</v>
          </cell>
          <cell r="D10723" t="str">
            <v>N881-920</v>
          </cell>
          <cell r="BA10723">
            <v>31.99</v>
          </cell>
        </row>
        <row r="10724">
          <cell r="C10724" t="str">
            <v>4510 - MISC HARDWARE &amp; HINGES</v>
          </cell>
          <cell r="D10724" t="str">
            <v>N104-380</v>
          </cell>
          <cell r="BA10724">
            <v>17.989999999999998</v>
          </cell>
        </row>
        <row r="10725">
          <cell r="C10725" t="str">
            <v>4510 - MISC HARDWARE &amp; HINGES</v>
          </cell>
          <cell r="D10725" t="str">
            <v>ST145160</v>
          </cell>
          <cell r="BA10725">
            <v>4.99</v>
          </cell>
        </row>
        <row r="10726">
          <cell r="C10726" t="str">
            <v>4510 - MISC HARDWARE &amp; HINGES</v>
          </cell>
          <cell r="D10726" t="str">
            <v>N161-760</v>
          </cell>
          <cell r="BA10726">
            <v>25.99</v>
          </cell>
        </row>
        <row r="10727">
          <cell r="C10727" t="str">
            <v>4510 - MISC HARDWARE &amp; HINGES</v>
          </cell>
          <cell r="D10727" t="str">
            <v>N179-333</v>
          </cell>
          <cell r="BA10727">
            <v>2.59</v>
          </cell>
        </row>
        <row r="10728">
          <cell r="C10728" t="str">
            <v>4510 - MISC HARDWARE &amp; HINGES</v>
          </cell>
          <cell r="D10728" t="str">
            <v>N179-663</v>
          </cell>
          <cell r="BA10728">
            <v>59.99</v>
          </cell>
        </row>
        <row r="10729">
          <cell r="C10729" t="str">
            <v>4510 - MISC HARDWARE &amp; HINGES</v>
          </cell>
          <cell r="D10729" t="str">
            <v>ST21398</v>
          </cell>
          <cell r="BA10729">
            <v>5.69</v>
          </cell>
        </row>
        <row r="10730">
          <cell r="C10730" t="str">
            <v>4510 - MISC HARDWARE &amp; HINGES</v>
          </cell>
          <cell r="D10730" t="str">
            <v>N220-160</v>
          </cell>
          <cell r="BA10730">
            <v>5.69</v>
          </cell>
        </row>
        <row r="10731">
          <cell r="C10731" t="str">
            <v>4510 - MISC HARDWARE &amp; HINGES</v>
          </cell>
          <cell r="D10731" t="str">
            <v>N220-509</v>
          </cell>
          <cell r="BA10731">
            <v>1.49</v>
          </cell>
        </row>
        <row r="10732">
          <cell r="C10732" t="str">
            <v>4510 - MISC HARDWARE &amp; HINGES</v>
          </cell>
          <cell r="D10732" t="str">
            <v>N234-971</v>
          </cell>
          <cell r="BA10732">
            <v>6.49</v>
          </cell>
        </row>
        <row r="10733">
          <cell r="C10733" t="str">
            <v>4510 - MISC HARDWARE &amp; HINGES</v>
          </cell>
          <cell r="D10733" t="str">
            <v>ST403506</v>
          </cell>
          <cell r="BA10733">
            <v>0.01</v>
          </cell>
        </row>
        <row r="10734">
          <cell r="C10734" t="str">
            <v>4510 - MISC HARDWARE &amp; HINGES</v>
          </cell>
          <cell r="D10734" t="str">
            <v>ST47400</v>
          </cell>
          <cell r="BA10734">
            <v>3.99</v>
          </cell>
        </row>
        <row r="10735">
          <cell r="C10735" t="str">
            <v>4510 - MISC HARDWARE &amp; HINGES</v>
          </cell>
          <cell r="D10735" t="str">
            <v>ST55104</v>
          </cell>
          <cell r="BA10735">
            <v>25.99</v>
          </cell>
        </row>
        <row r="10736">
          <cell r="C10736" t="str">
            <v>4510 - MISC HARDWARE &amp; HINGES</v>
          </cell>
          <cell r="D10736" t="str">
            <v>ST55114</v>
          </cell>
          <cell r="BA10736">
            <v>14.99</v>
          </cell>
        </row>
        <row r="10737">
          <cell r="C10737" t="str">
            <v>4510 - MISC HARDWARE &amp; HINGES</v>
          </cell>
          <cell r="D10737" t="str">
            <v>ST55115</v>
          </cell>
          <cell r="BA10737">
            <v>18.989999999999998</v>
          </cell>
        </row>
        <row r="10738">
          <cell r="C10738" t="str">
            <v>4510 - MISC HARDWARE &amp; HINGES</v>
          </cell>
          <cell r="D10738" t="str">
            <v>N830-132</v>
          </cell>
          <cell r="BA10738">
            <v>5.99</v>
          </cell>
        </row>
        <row r="10739">
          <cell r="C10739" t="str">
            <v>4510 - MISC HARDWARE &amp; HINGES</v>
          </cell>
          <cell r="D10739" t="str">
            <v>ST571010</v>
          </cell>
          <cell r="BA10739">
            <v>0.89</v>
          </cell>
        </row>
        <row r="10740">
          <cell r="C10740" t="str">
            <v>4510 - MISC HARDWARE &amp; HINGES</v>
          </cell>
          <cell r="D10740" t="str">
            <v>ST571020</v>
          </cell>
          <cell r="BA10740">
            <v>0.6</v>
          </cell>
        </row>
        <row r="10741">
          <cell r="C10741" t="str">
            <v>4510 - MISC HARDWARE &amp; HINGES</v>
          </cell>
          <cell r="D10741" t="str">
            <v>ST574230</v>
          </cell>
          <cell r="BA10741">
            <v>0.01</v>
          </cell>
        </row>
        <row r="10742">
          <cell r="C10742" t="str">
            <v>4510 - MISC HARDWARE &amp; HINGES</v>
          </cell>
          <cell r="D10742" t="str">
            <v>ST750110</v>
          </cell>
          <cell r="BA10742">
            <v>1.39</v>
          </cell>
        </row>
        <row r="10743">
          <cell r="C10743" t="str">
            <v>4510 - MISC HARDWARE &amp; HINGES</v>
          </cell>
          <cell r="D10743" t="str">
            <v>ST750171</v>
          </cell>
          <cell r="BA10743">
            <v>0.49</v>
          </cell>
        </row>
        <row r="10744">
          <cell r="C10744" t="str">
            <v>4510 - MISC HARDWARE &amp; HINGES</v>
          </cell>
          <cell r="D10744" t="str">
            <v>ST756262</v>
          </cell>
          <cell r="BA10744">
            <v>0.51</v>
          </cell>
        </row>
        <row r="10745">
          <cell r="C10745" t="str">
            <v>4510 - MISC HARDWARE &amp; HINGES</v>
          </cell>
          <cell r="D10745" t="str">
            <v>ST760840</v>
          </cell>
          <cell r="BA10745">
            <v>12.59</v>
          </cell>
        </row>
        <row r="10746">
          <cell r="C10746" t="str">
            <v>4510 - MISC HARDWARE &amp; HINGES</v>
          </cell>
          <cell r="D10746" t="str">
            <v>ST763865</v>
          </cell>
          <cell r="BA10746">
            <v>5.89</v>
          </cell>
        </row>
        <row r="10747">
          <cell r="C10747" t="str">
            <v>4510 - MISC HARDWARE &amp; HINGES</v>
          </cell>
          <cell r="D10747" t="str">
            <v>ST819050</v>
          </cell>
          <cell r="BA10747">
            <v>1.59</v>
          </cell>
        </row>
        <row r="10748">
          <cell r="C10748" t="str">
            <v>4510 - MISC HARDWARE &amp; HINGES</v>
          </cell>
          <cell r="D10748" t="str">
            <v>ST819110</v>
          </cell>
          <cell r="BA10748">
            <v>0.03</v>
          </cell>
        </row>
        <row r="10749">
          <cell r="C10749" t="str">
            <v>4510 - MISC HARDWARE &amp; HINGES</v>
          </cell>
          <cell r="D10749" t="str">
            <v>ST826065</v>
          </cell>
          <cell r="BA10749">
            <v>1.79</v>
          </cell>
        </row>
        <row r="10750">
          <cell r="C10750" t="str">
            <v>4510 - MISC HARDWARE &amp; HINGES</v>
          </cell>
          <cell r="D10750" t="str">
            <v>ST827691</v>
          </cell>
          <cell r="BA10750">
            <v>5.79</v>
          </cell>
        </row>
        <row r="10751">
          <cell r="C10751" t="str">
            <v>4510 - MISC HARDWARE &amp; HINGES</v>
          </cell>
          <cell r="D10751" t="str">
            <v>N830-197</v>
          </cell>
          <cell r="BA10751">
            <v>6.99</v>
          </cell>
        </row>
        <row r="10752">
          <cell r="C10752" t="str">
            <v>4510 - MISC HARDWARE &amp; HINGES</v>
          </cell>
          <cell r="D10752" t="str">
            <v>N830-198</v>
          </cell>
          <cell r="BA10752">
            <v>6.99</v>
          </cell>
        </row>
        <row r="10753">
          <cell r="C10753" t="str">
            <v>4510 - MISC HARDWARE &amp; HINGES</v>
          </cell>
          <cell r="D10753" t="str">
            <v>N830-203</v>
          </cell>
          <cell r="BA10753">
            <v>6.99</v>
          </cell>
        </row>
        <row r="10754">
          <cell r="C10754" t="str">
            <v>4510 - MISC HARDWARE &amp; HINGES</v>
          </cell>
          <cell r="D10754" t="str">
            <v>N830-204</v>
          </cell>
          <cell r="BA10754">
            <v>6.99</v>
          </cell>
        </row>
        <row r="10755">
          <cell r="C10755" t="str">
            <v>4510 - MISC HARDWARE &amp; HINGES</v>
          </cell>
          <cell r="D10755" t="str">
            <v>N830-225</v>
          </cell>
          <cell r="BA10755">
            <v>6.99</v>
          </cell>
        </row>
        <row r="10756">
          <cell r="C10756" t="str">
            <v>4510 - MISC HARDWARE &amp; HINGES</v>
          </cell>
          <cell r="D10756" t="str">
            <v>N830-227</v>
          </cell>
          <cell r="BA10756">
            <v>4.99</v>
          </cell>
        </row>
        <row r="10757">
          <cell r="C10757" t="str">
            <v>4510 - MISC HARDWARE &amp; HINGES</v>
          </cell>
          <cell r="D10757" t="str">
            <v>N830-229</v>
          </cell>
          <cell r="BA10757">
            <v>4.79</v>
          </cell>
        </row>
        <row r="10758">
          <cell r="C10758" t="str">
            <v>4510 - MISC HARDWARE &amp; HINGES</v>
          </cell>
          <cell r="D10758" t="str">
            <v>N830-230</v>
          </cell>
          <cell r="BA10758">
            <v>4.99</v>
          </cell>
        </row>
        <row r="10759">
          <cell r="C10759" t="str">
            <v>4510 - MISC HARDWARE &amp; HINGES</v>
          </cell>
          <cell r="D10759" t="str">
            <v>N830-232</v>
          </cell>
          <cell r="BA10759">
            <v>4.79</v>
          </cell>
        </row>
        <row r="10760">
          <cell r="C10760" t="str">
            <v>4510 - MISC HARDWARE &amp; HINGES</v>
          </cell>
          <cell r="D10760" t="str">
            <v>N830-242</v>
          </cell>
          <cell r="BA10760">
            <v>6.49</v>
          </cell>
        </row>
        <row r="10761">
          <cell r="C10761" t="str">
            <v>4510 - MISC HARDWARE &amp; HINGES</v>
          </cell>
          <cell r="D10761" t="str">
            <v>N830-243</v>
          </cell>
          <cell r="BA10761">
            <v>6.99</v>
          </cell>
        </row>
        <row r="10762">
          <cell r="C10762" t="str">
            <v>4510 - MISC HARDWARE &amp; HINGES</v>
          </cell>
          <cell r="D10762" t="str">
            <v>N830-245</v>
          </cell>
          <cell r="BA10762">
            <v>6.49</v>
          </cell>
        </row>
        <row r="10763">
          <cell r="C10763" t="str">
            <v>4510 - MISC HARDWARE &amp; HINGES</v>
          </cell>
          <cell r="D10763" t="str">
            <v>N830-248</v>
          </cell>
          <cell r="BA10763">
            <v>6.49</v>
          </cell>
        </row>
        <row r="10764">
          <cell r="C10764" t="str">
            <v>4510 - MISC HARDWARE &amp; HINGES</v>
          </cell>
          <cell r="D10764" t="str">
            <v>N830-249</v>
          </cell>
          <cell r="BA10764">
            <v>6.99</v>
          </cell>
        </row>
        <row r="10765">
          <cell r="C10765" t="str">
            <v>4510 - MISC HARDWARE &amp; HINGES</v>
          </cell>
          <cell r="D10765" t="str">
            <v>STDSHSN</v>
          </cell>
          <cell r="BA10765">
            <v>0.01</v>
          </cell>
        </row>
        <row r="10766">
          <cell r="C10766" t="str">
            <v>4510 - MISC HARDWARE &amp; HINGES</v>
          </cell>
          <cell r="D10766" t="str">
            <v>STIHKIT14F</v>
          </cell>
          <cell r="BA10766">
            <v>9.99</v>
          </cell>
        </row>
        <row r="10767">
          <cell r="C10767" t="str">
            <v>4510 - MISC HARDWARE &amp; HINGES</v>
          </cell>
          <cell r="D10767" t="str">
            <v>N830-117</v>
          </cell>
          <cell r="BA10767">
            <v>7.59</v>
          </cell>
        </row>
        <row r="10768">
          <cell r="C10768" t="str">
            <v>4510 - MISC HARDWARE &amp; HINGES</v>
          </cell>
          <cell r="D10768" t="str">
            <v>N830-162</v>
          </cell>
          <cell r="BA10768">
            <v>1.29</v>
          </cell>
        </row>
        <row r="10769">
          <cell r="C10769" t="str">
            <v>4510 - MISC HARDWARE &amp; HINGES</v>
          </cell>
          <cell r="D10769" t="str">
            <v>N830-163</v>
          </cell>
          <cell r="BA10769">
            <v>1.39</v>
          </cell>
        </row>
        <row r="10770">
          <cell r="C10770" t="str">
            <v>4510 - MISC HARDWARE &amp; HINGES</v>
          </cell>
          <cell r="D10770" t="str">
            <v>E2516</v>
          </cell>
          <cell r="BA10770">
            <v>6.99</v>
          </cell>
        </row>
        <row r="10771">
          <cell r="C10771" t="str">
            <v>4510 - MISC HARDWARE &amp; HINGES</v>
          </cell>
          <cell r="D10771" t="str">
            <v>K85278-15</v>
          </cell>
          <cell r="BA10771">
            <v>7.49</v>
          </cell>
        </row>
        <row r="10772">
          <cell r="C10772" t="str">
            <v>4510 - MISC HARDWARE &amp; HINGES</v>
          </cell>
          <cell r="D10772" t="str">
            <v>K85278-514</v>
          </cell>
          <cell r="BA10772">
            <v>2.89</v>
          </cell>
        </row>
        <row r="10773">
          <cell r="C10773" t="str">
            <v>4510 - MISC HARDWARE &amp; HINGES</v>
          </cell>
          <cell r="D10773" t="str">
            <v>32293TND-PS</v>
          </cell>
          <cell r="BA10773">
            <v>21.99</v>
          </cell>
        </row>
        <row r="10774">
          <cell r="C10774" t="str">
            <v>4510 - MISC HARDWARE &amp; HINGES</v>
          </cell>
          <cell r="D10774" t="str">
            <v>32303TND-PS</v>
          </cell>
          <cell r="BA10774">
            <v>16.989999999999998</v>
          </cell>
        </row>
        <row r="10775">
          <cell r="C10775" t="str">
            <v>4510 - MISC HARDWARE &amp; HINGES</v>
          </cell>
          <cell r="D10775" t="str">
            <v>21139PGL-PS</v>
          </cell>
          <cell r="BA10775">
            <v>1.99</v>
          </cell>
        </row>
        <row r="10776">
          <cell r="C10776" t="str">
            <v>4510 - MISC HARDWARE &amp; HINGES</v>
          </cell>
          <cell r="D10776" t="str">
            <v>21141PGL-PS</v>
          </cell>
          <cell r="BA10776">
            <v>2.99</v>
          </cell>
        </row>
        <row r="10777">
          <cell r="C10777" t="str">
            <v>4510 - MISC HARDWARE &amp; HINGES</v>
          </cell>
          <cell r="D10777" t="str">
            <v>21142PGL-PS</v>
          </cell>
          <cell r="BA10777">
            <v>3.79</v>
          </cell>
        </row>
        <row r="10778">
          <cell r="C10778" t="str">
            <v>4510 - MISC HARDWARE &amp; HINGES</v>
          </cell>
          <cell r="D10778" t="str">
            <v>N122-358</v>
          </cell>
          <cell r="BA10778">
            <v>5.99</v>
          </cell>
        </row>
        <row r="10779">
          <cell r="C10779" t="str">
            <v>4510 - MISC HARDWARE &amp; HINGES</v>
          </cell>
          <cell r="D10779" t="str">
            <v>LR-128-BC3L-PS</v>
          </cell>
          <cell r="BA10779">
            <v>8.99</v>
          </cell>
        </row>
        <row r="10780">
          <cell r="C10780" t="str">
            <v>4510 - MISC HARDWARE &amp; HINGES</v>
          </cell>
          <cell r="D10780" t="str">
            <v>N-011-PS</v>
          </cell>
          <cell r="BA10780">
            <v>3.79</v>
          </cell>
        </row>
        <row r="10781">
          <cell r="C10781" t="str">
            <v>4510 - MISC HARDWARE &amp; HINGES</v>
          </cell>
          <cell r="D10781" t="str">
            <v>N-012-PS</v>
          </cell>
          <cell r="BA10781">
            <v>3.79</v>
          </cell>
        </row>
        <row r="10782">
          <cell r="C10782" t="str">
            <v>4510 - MISC HARDWARE &amp; HINGES</v>
          </cell>
          <cell r="D10782" t="str">
            <v>N-013-PS</v>
          </cell>
          <cell r="BA10782">
            <v>3.79</v>
          </cell>
        </row>
        <row r="10783">
          <cell r="C10783" t="str">
            <v>4510 - MISC HARDWARE &amp; HINGES</v>
          </cell>
          <cell r="D10783" t="str">
            <v>N-014-PS</v>
          </cell>
          <cell r="BA10783">
            <v>3.79</v>
          </cell>
        </row>
        <row r="10784">
          <cell r="C10784" t="str">
            <v>4510 - MISC HARDWARE &amp; HINGES</v>
          </cell>
          <cell r="D10784" t="str">
            <v>N-015-PS</v>
          </cell>
          <cell r="BA10784">
            <v>3.79</v>
          </cell>
        </row>
        <row r="10785">
          <cell r="C10785" t="str">
            <v>4510 - MISC HARDWARE &amp; HINGES</v>
          </cell>
          <cell r="D10785" t="str">
            <v>N-016-PS</v>
          </cell>
          <cell r="BA10785">
            <v>3.79</v>
          </cell>
        </row>
        <row r="10786">
          <cell r="C10786" t="str">
            <v>4510 - MISC HARDWARE &amp; HINGES</v>
          </cell>
          <cell r="D10786" t="str">
            <v>N-017-PS</v>
          </cell>
          <cell r="BA10786">
            <v>3.79</v>
          </cell>
        </row>
        <row r="10787">
          <cell r="C10787" t="str">
            <v>4510 - MISC HARDWARE &amp; HINGES</v>
          </cell>
          <cell r="D10787" t="str">
            <v>N-018-PS</v>
          </cell>
          <cell r="BA10787">
            <v>3.79</v>
          </cell>
        </row>
        <row r="10788">
          <cell r="C10788" t="str">
            <v>4510 - MISC HARDWARE &amp; HINGES</v>
          </cell>
          <cell r="D10788" t="str">
            <v>N-019-PS</v>
          </cell>
          <cell r="BA10788">
            <v>3.79</v>
          </cell>
        </row>
        <row r="10789">
          <cell r="C10789" t="str">
            <v>4510 - MISC HARDWARE &amp; HINGES</v>
          </cell>
          <cell r="D10789" t="str">
            <v>N-020-PS</v>
          </cell>
          <cell r="BA10789">
            <v>3.79</v>
          </cell>
        </row>
        <row r="10790">
          <cell r="C10790" t="str">
            <v>4510 - MISC HARDWARE &amp; HINGES</v>
          </cell>
          <cell r="D10790" t="str">
            <v>N-Z041SN-3L-PS</v>
          </cell>
          <cell r="BA10790">
            <v>7.99</v>
          </cell>
        </row>
        <row r="10791">
          <cell r="C10791" t="str">
            <v>4510 - MISC HARDWARE &amp; HINGES</v>
          </cell>
          <cell r="D10791" t="str">
            <v>N-Z042SN-3L-PS</v>
          </cell>
          <cell r="BA10791">
            <v>7.99</v>
          </cell>
        </row>
        <row r="10792">
          <cell r="C10792" t="str">
            <v>4510 - MISC HARDWARE &amp; HINGES</v>
          </cell>
          <cell r="D10792" t="str">
            <v>N-Z043SN-3L-PS</v>
          </cell>
          <cell r="BA10792">
            <v>7.99</v>
          </cell>
        </row>
        <row r="10793">
          <cell r="C10793" t="str">
            <v>4510 - MISC HARDWARE &amp; HINGES</v>
          </cell>
          <cell r="D10793" t="str">
            <v>N-Z044SN-PS</v>
          </cell>
          <cell r="BA10793">
            <v>7.99</v>
          </cell>
        </row>
        <row r="10794">
          <cell r="C10794" t="str">
            <v>4510 - MISC HARDWARE &amp; HINGES</v>
          </cell>
          <cell r="D10794" t="str">
            <v>N-Z045SN-PS</v>
          </cell>
          <cell r="BA10794">
            <v>7.99</v>
          </cell>
        </row>
        <row r="10795">
          <cell r="C10795" t="str">
            <v>4510 - MISC HARDWARE &amp; HINGES</v>
          </cell>
          <cell r="D10795" t="str">
            <v>N-Z046SN-PS</v>
          </cell>
          <cell r="BA10795">
            <v>7.99</v>
          </cell>
        </row>
        <row r="10796">
          <cell r="C10796" t="str">
            <v>4510 - MISC HARDWARE &amp; HINGES</v>
          </cell>
          <cell r="D10796" t="str">
            <v>N-Z047SN-PS</v>
          </cell>
          <cell r="BA10796">
            <v>7.99</v>
          </cell>
        </row>
        <row r="10797">
          <cell r="C10797" t="str">
            <v>4510 - MISC HARDWARE &amp; HINGES</v>
          </cell>
          <cell r="D10797" t="str">
            <v>N-Z048SN-PS</v>
          </cell>
          <cell r="BA10797">
            <v>7.99</v>
          </cell>
        </row>
        <row r="10798">
          <cell r="C10798" t="str">
            <v>4510 - MISC HARDWARE &amp; HINGES</v>
          </cell>
          <cell r="D10798" t="str">
            <v>N-Z049SN-PS</v>
          </cell>
          <cell r="BA10798">
            <v>7.99</v>
          </cell>
        </row>
        <row r="10799">
          <cell r="C10799" t="str">
            <v>4510 - MISC HARDWARE &amp; HINGES</v>
          </cell>
          <cell r="D10799" t="str">
            <v>N-Z050SN-3L-PS</v>
          </cell>
          <cell r="BA10799">
            <v>7.99</v>
          </cell>
        </row>
        <row r="10800">
          <cell r="C10800" t="str">
            <v>4510 - MISC HARDWARE &amp; HINGES</v>
          </cell>
          <cell r="D10800" t="str">
            <v>N830-244</v>
          </cell>
          <cell r="BA10800">
            <v>2.59</v>
          </cell>
        </row>
        <row r="10801">
          <cell r="C10801" t="str">
            <v>4510 - MISC HARDWARE &amp; HINGES</v>
          </cell>
          <cell r="D10801" t="str">
            <v>N830-107</v>
          </cell>
          <cell r="BA10801">
            <v>6.99</v>
          </cell>
        </row>
        <row r="10802">
          <cell r="C10802" t="str">
            <v>4510 - MISC HARDWARE &amp; HINGES</v>
          </cell>
          <cell r="D10802" t="str">
            <v>N830-108</v>
          </cell>
          <cell r="BA10802">
            <v>6.99</v>
          </cell>
        </row>
        <row r="10803">
          <cell r="C10803" t="str">
            <v>4510 - MISC HARDWARE &amp; HINGES</v>
          </cell>
          <cell r="D10803" t="str">
            <v>N830-199</v>
          </cell>
          <cell r="BA10803">
            <v>4.99</v>
          </cell>
        </row>
        <row r="10804">
          <cell r="C10804" t="str">
            <v>4510 - MISC HARDWARE &amp; HINGES</v>
          </cell>
          <cell r="D10804" t="str">
            <v>N830-247</v>
          </cell>
          <cell r="BA10804">
            <v>5.99</v>
          </cell>
        </row>
        <row r="10805">
          <cell r="C10805" t="str">
            <v>4510 - MISC HARDWARE &amp; HINGES</v>
          </cell>
          <cell r="D10805" t="str">
            <v>E2483</v>
          </cell>
          <cell r="BA10805">
            <v>8.99</v>
          </cell>
        </row>
        <row r="10806">
          <cell r="C10806" t="str">
            <v>4510 - MISC HARDWARE &amp; HINGES</v>
          </cell>
          <cell r="D10806" t="str">
            <v>FG-03812-04</v>
          </cell>
          <cell r="BA10806">
            <v>8.99</v>
          </cell>
        </row>
        <row r="10807">
          <cell r="C10807" t="str">
            <v>4510 - MISC HARDWARE &amp; HINGES</v>
          </cell>
          <cell r="D10807" t="str">
            <v>N830-224</v>
          </cell>
          <cell r="BA10807">
            <v>4.99</v>
          </cell>
        </row>
        <row r="10808">
          <cell r="C10808" t="str">
            <v>4510 - MISC HARDWARE &amp; HINGES</v>
          </cell>
          <cell r="D10808" t="str">
            <v>N221-085</v>
          </cell>
          <cell r="BA10808">
            <v>0.89</v>
          </cell>
        </row>
        <row r="10809">
          <cell r="C10809" t="str">
            <v>4510 - MISC HARDWARE &amp; HINGES</v>
          </cell>
          <cell r="D10809" t="str">
            <v>N221-697</v>
          </cell>
          <cell r="BA10809">
            <v>3.79</v>
          </cell>
        </row>
        <row r="10810">
          <cell r="C10810" t="str">
            <v>4510 - MISC HARDWARE &amp; HINGES</v>
          </cell>
          <cell r="D10810" t="str">
            <v>N130-179</v>
          </cell>
          <cell r="BA10810">
            <v>10.99</v>
          </cell>
        </row>
        <row r="10811">
          <cell r="C10811" t="str">
            <v>4510 - MISC HARDWARE &amp; HINGES</v>
          </cell>
          <cell r="D10811" t="str">
            <v>N221-770</v>
          </cell>
          <cell r="BA10811">
            <v>8.69</v>
          </cell>
        </row>
        <row r="10812">
          <cell r="C10812" t="str">
            <v>4510 - MISC HARDWARE &amp; HINGES</v>
          </cell>
          <cell r="D10812" t="str">
            <v>AR259</v>
          </cell>
          <cell r="BA10812">
            <v>5.69</v>
          </cell>
        </row>
        <row r="10813">
          <cell r="C10813" t="str">
            <v>4510 - MISC HARDWARE &amp; HINGES</v>
          </cell>
          <cell r="D10813" t="str">
            <v>P7633</v>
          </cell>
          <cell r="BA10813">
            <v>4.99</v>
          </cell>
        </row>
        <row r="10814">
          <cell r="C10814" t="str">
            <v>4510 - MISC HARDWARE &amp; HINGES</v>
          </cell>
          <cell r="D10814" t="str">
            <v>FI5065</v>
          </cell>
          <cell r="BA10814">
            <v>12.99</v>
          </cell>
        </row>
        <row r="10815">
          <cell r="C10815" t="str">
            <v>4510 - MISC HARDWARE &amp; HINGES</v>
          </cell>
          <cell r="D10815" t="str">
            <v>N129-072</v>
          </cell>
          <cell r="BA10815">
            <v>6.99</v>
          </cell>
        </row>
        <row r="10816">
          <cell r="C10816" t="str">
            <v>4510 - MISC HARDWARE &amp; HINGES</v>
          </cell>
          <cell r="D10816" t="str">
            <v>13-201</v>
          </cell>
          <cell r="BA10816">
            <v>6.99</v>
          </cell>
        </row>
        <row r="10817">
          <cell r="C10817" t="str">
            <v>4510 - MISC HARDWARE &amp; HINGES</v>
          </cell>
          <cell r="D10817" t="str">
            <v>13-225</v>
          </cell>
          <cell r="BA10817">
            <v>5.99</v>
          </cell>
        </row>
        <row r="10818">
          <cell r="C10818" t="str">
            <v>4510 - MISC HARDWARE &amp; HINGES</v>
          </cell>
          <cell r="D10818" t="str">
            <v>PL13-235</v>
          </cell>
          <cell r="BA10818">
            <v>5.99</v>
          </cell>
        </row>
        <row r="10819">
          <cell r="C10819" t="str">
            <v>4510 - MISC HARDWARE &amp; HINGES</v>
          </cell>
          <cell r="D10819" t="str">
            <v>ETS5000</v>
          </cell>
          <cell r="BA10819">
            <v>25.99</v>
          </cell>
        </row>
        <row r="10820">
          <cell r="C10820" t="str">
            <v>4510 - MISC HARDWARE &amp; HINGES</v>
          </cell>
          <cell r="D10820" t="str">
            <v>N130-559</v>
          </cell>
          <cell r="BA10820">
            <v>7.99</v>
          </cell>
        </row>
        <row r="10821">
          <cell r="C10821" t="str">
            <v>4510 - MISC HARDWARE &amp; HINGES</v>
          </cell>
          <cell r="D10821" t="str">
            <v>N131-060</v>
          </cell>
          <cell r="BA10821">
            <v>7.99</v>
          </cell>
        </row>
        <row r="10822">
          <cell r="C10822" t="str">
            <v>4510 - MISC HARDWARE &amp; HINGES</v>
          </cell>
          <cell r="D10822" t="str">
            <v>N131-102</v>
          </cell>
          <cell r="BA10822">
            <v>8.99</v>
          </cell>
        </row>
        <row r="10823">
          <cell r="C10823" t="str">
            <v>4510 - MISC HARDWARE &amp; HINGES</v>
          </cell>
          <cell r="D10823" t="str">
            <v>ENPD10007200AL</v>
          </cell>
          <cell r="BA10823">
            <v>0</v>
          </cell>
        </row>
        <row r="10824">
          <cell r="C10824" t="str">
            <v>4510 - MISC HARDWARE &amp; HINGES</v>
          </cell>
          <cell r="D10824" t="str">
            <v>RACO146</v>
          </cell>
          <cell r="BA10824">
            <v>3.49</v>
          </cell>
        </row>
        <row r="10825">
          <cell r="C10825" t="str">
            <v>4510 - MISC HARDWARE &amp; HINGES</v>
          </cell>
          <cell r="D10825" t="str">
            <v>78HDGR1</v>
          </cell>
          <cell r="BA10825">
            <v>6.59</v>
          </cell>
        </row>
        <row r="10826">
          <cell r="C10826" t="str">
            <v>4510 - MISC HARDWARE &amp; HINGES</v>
          </cell>
          <cell r="D10826" t="str">
            <v>GR1HGRFG1</v>
          </cell>
          <cell r="BA10826">
            <v>6.59</v>
          </cell>
        </row>
        <row r="10827">
          <cell r="C10827" t="str">
            <v>4510 - MISC HARDWARE &amp; HINGES</v>
          </cell>
          <cell r="D10827" t="str">
            <v>GR112HGRFG1</v>
          </cell>
          <cell r="BA10827">
            <v>6.59</v>
          </cell>
        </row>
        <row r="10828">
          <cell r="C10828" t="str">
            <v>4510 - MISC HARDWARE &amp; HINGES</v>
          </cell>
          <cell r="D10828" t="str">
            <v>134HDGR1</v>
          </cell>
          <cell r="BA10828">
            <v>6.59</v>
          </cell>
        </row>
        <row r="10829">
          <cell r="C10829" t="str">
            <v>4510 - MISC HARDWARE &amp; HINGES</v>
          </cell>
          <cell r="D10829" t="str">
            <v>2HDGR1</v>
          </cell>
          <cell r="BA10829">
            <v>6.59</v>
          </cell>
        </row>
        <row r="10830">
          <cell r="C10830" t="str">
            <v>4510 - MISC HARDWARE &amp; HINGES</v>
          </cell>
          <cell r="D10830" t="str">
            <v>GRCR3DHDG</v>
          </cell>
          <cell r="BA10830">
            <v>183.99</v>
          </cell>
        </row>
        <row r="10831">
          <cell r="C10831" t="str">
            <v>4510 - MISC HARDWARE &amp; HINGES</v>
          </cell>
          <cell r="D10831" t="str">
            <v>GRCR19TRC</v>
          </cell>
          <cell r="BA10831">
            <v>17.489999999999998</v>
          </cell>
        </row>
        <row r="10832">
          <cell r="C10832" t="str">
            <v>4510 - MISC HARDWARE &amp; HINGES</v>
          </cell>
          <cell r="D10832" t="str">
            <v>GRCR5DHDG</v>
          </cell>
          <cell r="BA10832">
            <v>188.99</v>
          </cell>
        </row>
        <row r="10833">
          <cell r="C10833" t="str">
            <v>4510 - MISC HARDWARE &amp; HINGES</v>
          </cell>
          <cell r="D10833" t="str">
            <v>GRCR19DHDG</v>
          </cell>
          <cell r="BA10833">
            <v>169.99</v>
          </cell>
        </row>
        <row r="10834">
          <cell r="C10834" t="str">
            <v>4510 - MISC HARDWARE &amp; HINGES</v>
          </cell>
          <cell r="D10834" t="str">
            <v>GR8D1481M</v>
          </cell>
          <cell r="BA10834">
            <v>46.69</v>
          </cell>
        </row>
        <row r="10835">
          <cell r="C10835" t="str">
            <v>4510 - MISC HARDWARE &amp; HINGES</v>
          </cell>
          <cell r="D10835" t="str">
            <v>GR2121311M</v>
          </cell>
          <cell r="BA10835">
            <v>45.49</v>
          </cell>
        </row>
        <row r="10836">
          <cell r="C10836" t="str">
            <v>4510 - MISC HARDWARE &amp; HINGES</v>
          </cell>
          <cell r="D10836" t="str">
            <v>GR3141481M</v>
          </cell>
          <cell r="BA10836">
            <v>49.19</v>
          </cell>
        </row>
        <row r="10837">
          <cell r="C10837" t="str">
            <v>4510 - MISC HARDWARE &amp; HINGES</v>
          </cell>
          <cell r="D10837" t="str">
            <v>GR8D148HG1M</v>
          </cell>
          <cell r="BA10837">
            <v>54.99</v>
          </cell>
        </row>
        <row r="10838">
          <cell r="C10838" t="str">
            <v>4510 - MISC HARDWARE &amp; HINGES</v>
          </cell>
          <cell r="D10838" t="str">
            <v>GR212131HG1M</v>
          </cell>
          <cell r="BA10838">
            <v>48.79</v>
          </cell>
        </row>
        <row r="10839">
          <cell r="C10839" t="str">
            <v>4510 - MISC HARDWARE &amp; HINGES</v>
          </cell>
          <cell r="D10839" t="str">
            <v>WS8X1</v>
          </cell>
          <cell r="BA10839">
            <v>4.6900000000000004</v>
          </cell>
        </row>
        <row r="10840">
          <cell r="C10840" t="str">
            <v>4510 - MISC HARDWARE &amp; HINGES</v>
          </cell>
          <cell r="D10840" t="str">
            <v>HSP114MDTR1</v>
          </cell>
          <cell r="BA10840">
            <v>7.39</v>
          </cell>
        </row>
        <row r="10841">
          <cell r="C10841" t="str">
            <v>4510 - MISC HARDWARE &amp; HINGES</v>
          </cell>
          <cell r="D10841" t="str">
            <v>PPGPT</v>
          </cell>
          <cell r="BA10841">
            <v>1.39</v>
          </cell>
        </row>
        <row r="10842">
          <cell r="C10842" t="str">
            <v>4510 - MISC HARDWARE &amp; HINGES</v>
          </cell>
          <cell r="D10842" t="str">
            <v>N830-131</v>
          </cell>
          <cell r="BA10842">
            <v>5.69</v>
          </cell>
        </row>
        <row r="10843">
          <cell r="C10843" t="str">
            <v>4510 - MISC HARDWARE &amp; HINGES</v>
          </cell>
          <cell r="D10843" t="str">
            <v>U10161</v>
          </cell>
          <cell r="BA10843">
            <v>4.29</v>
          </cell>
        </row>
        <row r="10844">
          <cell r="C10844" t="str">
            <v>4510 - MISC HARDWARE &amp; HINGES</v>
          </cell>
          <cell r="D10844" t="str">
            <v>BHP134W</v>
          </cell>
          <cell r="BA10844">
            <v>10.59</v>
          </cell>
        </row>
        <row r="10845">
          <cell r="C10845" t="str">
            <v>4510 - MISC HARDWARE &amp; HINGES</v>
          </cell>
          <cell r="D10845" t="str">
            <v>BHP133W</v>
          </cell>
          <cell r="BA10845">
            <v>7.59</v>
          </cell>
        </row>
        <row r="10846">
          <cell r="C10846" t="str">
            <v>4510 - MISC HARDWARE &amp; HINGES</v>
          </cell>
          <cell r="D10846" t="str">
            <v>SPBW</v>
          </cell>
          <cell r="BA10846">
            <v>2.19</v>
          </cell>
        </row>
        <row r="10847">
          <cell r="C10847" t="str">
            <v>4510 - MISC HARDWARE &amp; HINGES</v>
          </cell>
          <cell r="D10847" t="str">
            <v>WSB</v>
          </cell>
          <cell r="BA10847">
            <v>3.19</v>
          </cell>
        </row>
        <row r="10848">
          <cell r="C10848" t="str">
            <v>4510 - MISC HARDWARE &amp; HINGES</v>
          </cell>
          <cell r="D10848" t="str">
            <v>ASB0040W</v>
          </cell>
          <cell r="BA10848">
            <v>2.59</v>
          </cell>
        </row>
        <row r="10849">
          <cell r="C10849" t="str">
            <v>4510 - MISC HARDWARE &amp; HINGES</v>
          </cell>
          <cell r="D10849" t="str">
            <v>N222-562</v>
          </cell>
          <cell r="BA10849">
            <v>3.29</v>
          </cell>
        </row>
        <row r="10850">
          <cell r="C10850" t="str">
            <v>4510 - MISC HARDWARE &amp; HINGES</v>
          </cell>
          <cell r="D10850" t="str">
            <v>ZUB14118214</v>
          </cell>
          <cell r="BA10850">
            <v>2.39</v>
          </cell>
        </row>
        <row r="10851">
          <cell r="C10851" t="str">
            <v>4510 - MISC HARDWARE &amp; HINGES</v>
          </cell>
          <cell r="D10851" t="str">
            <v>PDPA-250</v>
          </cell>
          <cell r="BA10851">
            <v>10.49</v>
          </cell>
        </row>
        <row r="10852">
          <cell r="C10852" t="str">
            <v>4510 - MISC HARDWARE &amp; HINGES</v>
          </cell>
          <cell r="D10852" t="str">
            <v>PDPAWL-200</v>
          </cell>
          <cell r="BA10852">
            <v>18.690000000000001</v>
          </cell>
        </row>
        <row r="10853">
          <cell r="C10853" t="str">
            <v>4510 - MISC HARDWARE &amp; HINGES</v>
          </cell>
          <cell r="D10853" t="str">
            <v>PDPAWL-250</v>
          </cell>
          <cell r="BA10853">
            <v>17.989999999999998</v>
          </cell>
        </row>
        <row r="10854">
          <cell r="C10854" t="str">
            <v>4510 - MISC HARDWARE &amp; HINGES</v>
          </cell>
          <cell r="D10854" t="str">
            <v>FST90</v>
          </cell>
          <cell r="BA10854">
            <v>0.49</v>
          </cell>
        </row>
        <row r="10855">
          <cell r="C10855" t="str">
            <v>4510 - MISC HARDWARE &amp; HINGES</v>
          </cell>
          <cell r="D10855" t="str">
            <v>DUMN2400B16</v>
          </cell>
          <cell r="BA10855">
            <v>17.989999999999998</v>
          </cell>
        </row>
        <row r="10856">
          <cell r="C10856" t="str">
            <v>4510 - MISC HARDWARE &amp; HINGES</v>
          </cell>
          <cell r="D10856" t="str">
            <v>EBHDA32E</v>
          </cell>
          <cell r="BA10856">
            <v>10.99</v>
          </cell>
        </row>
        <row r="10857">
          <cell r="C10857" t="str">
            <v>4510 - MISC HARDWARE &amp; HINGES</v>
          </cell>
          <cell r="D10857" t="str">
            <v>FAN3131HDC</v>
          </cell>
          <cell r="BA10857">
            <v>128.99</v>
          </cell>
        </row>
        <row r="10858">
          <cell r="C10858" t="str">
            <v>4510 - MISC HARDWARE &amp; HINGES</v>
          </cell>
          <cell r="D10858" t="str">
            <v>FANAC7DRHDG36</v>
          </cell>
          <cell r="BA10858">
            <v>43.69</v>
          </cell>
        </row>
        <row r="10859">
          <cell r="C10859" t="str">
            <v>4510 - MISC HARDWARE &amp; HINGES</v>
          </cell>
          <cell r="D10859" t="str">
            <v>FAN212131HDC</v>
          </cell>
          <cell r="BA10859">
            <v>189.99</v>
          </cell>
        </row>
        <row r="10860">
          <cell r="C10860" t="str">
            <v>4510 - MISC HARDWARE &amp; HINGES</v>
          </cell>
          <cell r="D10860" t="str">
            <v>12135ALNF</v>
          </cell>
          <cell r="BA10860">
            <v>3.49</v>
          </cell>
        </row>
        <row r="10861">
          <cell r="C10861" t="str">
            <v>4510 - MISC HARDWARE &amp; HINGES</v>
          </cell>
          <cell r="D10861" t="str">
            <v>12235ALNF</v>
          </cell>
          <cell r="BA10861">
            <v>3.49</v>
          </cell>
        </row>
        <row r="10862">
          <cell r="C10862" t="str">
            <v>4510 - MISC HARDWARE &amp; HINGES</v>
          </cell>
          <cell r="D10862" t="str">
            <v>13125ALCM</v>
          </cell>
          <cell r="BA10862">
            <v>6.99</v>
          </cell>
        </row>
        <row r="10863">
          <cell r="C10863" t="str">
            <v>4510 - MISC HARDWARE &amp; HINGES</v>
          </cell>
          <cell r="D10863" t="str">
            <v>AA1049923</v>
          </cell>
          <cell r="BA10863">
            <v>10.99</v>
          </cell>
        </row>
        <row r="10864">
          <cell r="C10864" t="str">
            <v>4510 - MISC HARDWARE &amp; HINGES</v>
          </cell>
          <cell r="D10864" t="str">
            <v>13101NCPS</v>
          </cell>
          <cell r="BA10864">
            <v>13.99</v>
          </cell>
        </row>
        <row r="10865">
          <cell r="C10865" t="str">
            <v>4510 - MISC HARDWARE &amp; HINGES</v>
          </cell>
          <cell r="D10865" t="str">
            <v>13135ALCF</v>
          </cell>
          <cell r="BA10865">
            <v>6.49</v>
          </cell>
        </row>
        <row r="10866">
          <cell r="C10866" t="str">
            <v>4510 - MISC HARDWARE &amp; HINGES</v>
          </cell>
          <cell r="D10866" t="str">
            <v>AA1050228</v>
          </cell>
          <cell r="BA10866">
            <v>3.79</v>
          </cell>
        </row>
        <row r="10867">
          <cell r="C10867" t="str">
            <v>4510 - MISC HARDWARE &amp; HINGES</v>
          </cell>
          <cell r="D10867" t="str">
            <v>AA13023</v>
          </cell>
          <cell r="BA10867">
            <v>2.99</v>
          </cell>
        </row>
        <row r="10868">
          <cell r="C10868" t="str">
            <v>4510 - MISC HARDWARE &amp; HINGES</v>
          </cell>
          <cell r="D10868" t="str">
            <v>13237HCF</v>
          </cell>
          <cell r="BA10868">
            <v>9.99</v>
          </cell>
        </row>
        <row r="10869">
          <cell r="C10869" t="str">
            <v>4510 - MISC HARDWARE &amp; HINGES</v>
          </cell>
          <cell r="D10869" t="str">
            <v>DZA019HCS</v>
          </cell>
          <cell r="BA10869">
            <v>13.99</v>
          </cell>
        </row>
        <row r="10870">
          <cell r="C10870" t="str">
            <v>4510 - MISC HARDWARE &amp; HINGES</v>
          </cell>
          <cell r="D10870" t="str">
            <v>3122-16X</v>
          </cell>
          <cell r="BA10870">
            <v>40.29</v>
          </cell>
        </row>
        <row r="10871">
          <cell r="C10871" t="str">
            <v>4510 - MISC HARDWARE &amp; HINGES</v>
          </cell>
          <cell r="D10871" t="str">
            <v>GRF14FCID2</v>
          </cell>
          <cell r="BA10871">
            <v>6.69</v>
          </cell>
        </row>
        <row r="10872">
          <cell r="C10872" t="str">
            <v>4510 - MISC HARDWARE &amp; HINGES</v>
          </cell>
          <cell r="D10872" t="str">
            <v>GRF14FCUD2</v>
          </cell>
          <cell r="BA10872">
            <v>8.2899999999999991</v>
          </cell>
        </row>
        <row r="10873">
          <cell r="C10873" t="str">
            <v>4510 - MISC HARDWARE &amp; HINGES</v>
          </cell>
          <cell r="D10873" t="str">
            <v>N830-141</v>
          </cell>
          <cell r="BA10873">
            <v>0.89</v>
          </cell>
        </row>
        <row r="10874">
          <cell r="C10874" t="str">
            <v>4510 - MISC HARDWARE &amp; HINGES</v>
          </cell>
          <cell r="D10874" t="str">
            <v>N830-142</v>
          </cell>
          <cell r="BA10874">
            <v>2.99</v>
          </cell>
        </row>
        <row r="10875">
          <cell r="C10875" t="str">
            <v>4510 - MISC HARDWARE &amp; HINGES</v>
          </cell>
          <cell r="D10875" t="str">
            <v>N830-143</v>
          </cell>
          <cell r="BA10875">
            <v>2.99</v>
          </cell>
        </row>
        <row r="10876">
          <cell r="C10876" t="str">
            <v>4510 - MISC HARDWARE &amp; HINGES</v>
          </cell>
          <cell r="D10876" t="str">
            <v>N830-151</v>
          </cell>
          <cell r="BA10876">
            <v>3.79</v>
          </cell>
        </row>
        <row r="10877">
          <cell r="C10877" t="str">
            <v>4510 - MISC HARDWARE &amp; HINGES</v>
          </cell>
          <cell r="D10877" t="str">
            <v>N830-152</v>
          </cell>
          <cell r="BA10877">
            <v>4.59</v>
          </cell>
        </row>
        <row r="10878">
          <cell r="C10878" t="str">
            <v>4510 - MISC HARDWARE &amp; HINGES</v>
          </cell>
          <cell r="D10878" t="str">
            <v>N830-153</v>
          </cell>
          <cell r="BA10878">
            <v>4.59</v>
          </cell>
        </row>
        <row r="10879">
          <cell r="C10879" t="str">
            <v>4510 - MISC HARDWARE &amp; HINGES</v>
          </cell>
          <cell r="D10879" t="str">
            <v>HB3814</v>
          </cell>
          <cell r="BA10879">
            <v>3.49</v>
          </cell>
        </row>
        <row r="10880">
          <cell r="C10880" t="str">
            <v>4510 - MISC HARDWARE &amp; HINGES</v>
          </cell>
          <cell r="D10880" t="str">
            <v>TF21-557GS</v>
          </cell>
          <cell r="BA10880">
            <v>2.59</v>
          </cell>
        </row>
        <row r="10881">
          <cell r="C10881" t="str">
            <v>4510 - MISC HARDWARE &amp; HINGES</v>
          </cell>
          <cell r="D10881" t="str">
            <v>FWA</v>
          </cell>
          <cell r="BA10881">
            <v>5.69</v>
          </cell>
        </row>
        <row r="10882">
          <cell r="C10882" t="str">
            <v>4510 - MISC HARDWARE &amp; HINGES</v>
          </cell>
          <cell r="D10882" t="str">
            <v>GJJ2</v>
          </cell>
          <cell r="BA10882">
            <v>56.49</v>
          </cell>
        </row>
        <row r="10883">
          <cell r="C10883" t="str">
            <v>4510 - MISC HARDWARE &amp; HINGES</v>
          </cell>
          <cell r="D10883" t="str">
            <v>AJC0194RS</v>
          </cell>
          <cell r="BA10883">
            <v>36.69</v>
          </cell>
        </row>
        <row r="10884">
          <cell r="C10884" t="str">
            <v>4510 - MISC HARDWARE &amp; HINGES</v>
          </cell>
          <cell r="D10884" t="str">
            <v>H312BLK</v>
          </cell>
          <cell r="BA10884">
            <v>0.79</v>
          </cell>
        </row>
        <row r="10885">
          <cell r="C10885" t="str">
            <v>4510 - MISC HARDWARE &amp; HINGES</v>
          </cell>
          <cell r="D10885" t="str">
            <v>H312BB</v>
          </cell>
          <cell r="BA10885">
            <v>3.99</v>
          </cell>
        </row>
        <row r="10886">
          <cell r="C10886" t="str">
            <v>4510 - MISC HARDWARE &amp; HINGES</v>
          </cell>
          <cell r="D10886" t="str">
            <v>H312ORBRRBB</v>
          </cell>
          <cell r="BA10886">
            <v>1.19</v>
          </cell>
        </row>
        <row r="10887">
          <cell r="C10887" t="str">
            <v>4510 - MISC HARDWARE &amp; HINGES</v>
          </cell>
          <cell r="D10887" t="str">
            <v>H312SNRRBB</v>
          </cell>
          <cell r="BA10887">
            <v>1.59</v>
          </cell>
        </row>
        <row r="10888">
          <cell r="C10888" t="str">
            <v>4510 - MISC HARDWARE &amp; HINGES</v>
          </cell>
          <cell r="D10888" t="str">
            <v>H312CBB</v>
          </cell>
          <cell r="BA10888">
            <v>1.69</v>
          </cell>
        </row>
        <row r="10889">
          <cell r="C10889" t="str">
            <v>4510 - MISC HARDWARE &amp; HINGES</v>
          </cell>
          <cell r="D10889" t="str">
            <v>FT-SOFTCLOSE-BL</v>
          </cell>
          <cell r="BA10889">
            <v>32.19</v>
          </cell>
        </row>
        <row r="10890">
          <cell r="C10890" t="str">
            <v>4510 - MISC HARDWARE &amp; HINGES</v>
          </cell>
          <cell r="D10890" t="str">
            <v>N100-834</v>
          </cell>
          <cell r="BA10890">
            <v>12.99</v>
          </cell>
        </row>
        <row r="10891">
          <cell r="C10891" t="str">
            <v>4510 - MISC HARDWARE &amp; HINGES</v>
          </cell>
          <cell r="D10891" t="str">
            <v>N104-786</v>
          </cell>
          <cell r="BA10891">
            <v>32.99</v>
          </cell>
        </row>
        <row r="10892">
          <cell r="C10892" t="str">
            <v>4510 - MISC HARDWARE &amp; HINGES</v>
          </cell>
          <cell r="D10892" t="str">
            <v>N105-213</v>
          </cell>
          <cell r="BA10892">
            <v>87.99</v>
          </cell>
        </row>
        <row r="10893">
          <cell r="C10893" t="str">
            <v>4510 - MISC HARDWARE &amp; HINGES</v>
          </cell>
          <cell r="D10893" t="str">
            <v>N131-490</v>
          </cell>
          <cell r="BA10893">
            <v>21.99</v>
          </cell>
        </row>
        <row r="10894">
          <cell r="C10894" t="str">
            <v>4510 - MISC HARDWARE &amp; HINGES</v>
          </cell>
          <cell r="D10894" t="str">
            <v>N174-268</v>
          </cell>
          <cell r="BA10894">
            <v>62.99</v>
          </cell>
        </row>
        <row r="10895">
          <cell r="C10895" t="str">
            <v>4510 - MISC HARDWARE &amp; HINGES</v>
          </cell>
          <cell r="D10895" t="str">
            <v>N104-349</v>
          </cell>
          <cell r="BA10895">
            <v>9.99</v>
          </cell>
        </row>
        <row r="10896">
          <cell r="C10896" t="str">
            <v>4510 - MISC HARDWARE &amp; HINGES</v>
          </cell>
          <cell r="D10896" t="str">
            <v>N104-752</v>
          </cell>
          <cell r="BA10896">
            <v>59.99</v>
          </cell>
        </row>
        <row r="10897">
          <cell r="C10897" t="str">
            <v>4510 - MISC HARDWARE &amp; HINGES</v>
          </cell>
          <cell r="D10897" t="str">
            <v>ORCOM4014-15</v>
          </cell>
          <cell r="BA10897">
            <v>4.1900000000000004</v>
          </cell>
        </row>
        <row r="10898">
          <cell r="C10898" t="str">
            <v>4510 - MISC HARDWARE &amp; HINGES</v>
          </cell>
          <cell r="D10898" t="str">
            <v>ORCOM4014-19</v>
          </cell>
          <cell r="BA10898">
            <v>4.59</v>
          </cell>
        </row>
        <row r="10899">
          <cell r="C10899" t="str">
            <v>4510 - MISC HARDWARE &amp; HINGES</v>
          </cell>
          <cell r="D10899" t="str">
            <v>H44SSRR</v>
          </cell>
          <cell r="BA10899">
            <v>7.19</v>
          </cell>
        </row>
        <row r="10900">
          <cell r="C10900" t="str">
            <v>4510 - MISC HARDWARE &amp; HINGES</v>
          </cell>
          <cell r="D10900" t="str">
            <v>H44BLKRRBB</v>
          </cell>
          <cell r="BA10900">
            <v>1.19</v>
          </cell>
        </row>
        <row r="10901">
          <cell r="C10901" t="str">
            <v>4510 - MISC HARDWARE &amp; HINGES</v>
          </cell>
          <cell r="D10901" t="str">
            <v>H44BBRRBB</v>
          </cell>
          <cell r="BA10901">
            <v>3.59</v>
          </cell>
        </row>
        <row r="10902">
          <cell r="C10902" t="str">
            <v>4510 - MISC HARDWARE &amp; HINGES</v>
          </cell>
          <cell r="D10902" t="str">
            <v>H44ORBRRBB</v>
          </cell>
          <cell r="BA10902">
            <v>1.79</v>
          </cell>
        </row>
        <row r="10903">
          <cell r="C10903" t="str">
            <v>4510 - MISC HARDWARE &amp; HINGES</v>
          </cell>
          <cell r="D10903" t="str">
            <v>H44SNRRBB</v>
          </cell>
          <cell r="BA10903">
            <v>1.89</v>
          </cell>
        </row>
        <row r="10904">
          <cell r="C10904" t="str">
            <v>4510 - MISC HARDWARE &amp; HINGES</v>
          </cell>
          <cell r="D10904" t="str">
            <v>H44CRRBB</v>
          </cell>
          <cell r="BA10904">
            <v>2.09</v>
          </cell>
        </row>
        <row r="10905">
          <cell r="C10905" t="str">
            <v>4510 - MISC HARDWARE &amp; HINGES</v>
          </cell>
          <cell r="D10905" t="str">
            <v>H44BLKRRSP</v>
          </cell>
          <cell r="BA10905">
            <v>5.19</v>
          </cell>
        </row>
        <row r="10906">
          <cell r="C10906" t="str">
            <v>4510 - MISC HARDWARE &amp; HINGES</v>
          </cell>
          <cell r="D10906" t="str">
            <v>H44BBRRSP</v>
          </cell>
          <cell r="BA10906">
            <v>5.59</v>
          </cell>
        </row>
        <row r="10907">
          <cell r="C10907" t="str">
            <v>4510 - MISC HARDWARE &amp; HINGES</v>
          </cell>
          <cell r="D10907" t="str">
            <v>H44ORBRRSP</v>
          </cell>
          <cell r="BA10907">
            <v>5.59</v>
          </cell>
        </row>
        <row r="10908">
          <cell r="C10908" t="str">
            <v>4510 - MISC HARDWARE &amp; HINGES</v>
          </cell>
          <cell r="D10908" t="str">
            <v>H44SNRRSP</v>
          </cell>
          <cell r="BA10908">
            <v>5.69</v>
          </cell>
        </row>
        <row r="10909">
          <cell r="C10909" t="str">
            <v>4510 - MISC HARDWARE &amp; HINGES</v>
          </cell>
          <cell r="D10909" t="str">
            <v>H44CRRSP</v>
          </cell>
          <cell r="BA10909">
            <v>5.89</v>
          </cell>
        </row>
        <row r="10910">
          <cell r="C10910" t="str">
            <v>4510 - MISC HARDWARE &amp; HINGES</v>
          </cell>
          <cell r="D10910" t="str">
            <v>H44SSRRSP</v>
          </cell>
          <cell r="BA10910">
            <v>13.99</v>
          </cell>
        </row>
        <row r="10911">
          <cell r="C10911" t="str">
            <v>4510 - MISC HARDWARE &amp; HINGES</v>
          </cell>
          <cell r="D10911" t="str">
            <v>H44BLKRRNRP</v>
          </cell>
          <cell r="BA10911">
            <v>1.29</v>
          </cell>
        </row>
        <row r="10912">
          <cell r="C10912" t="str">
            <v>4510 - MISC HARDWARE &amp; HINGES</v>
          </cell>
          <cell r="D10912" t="str">
            <v>H44BBRRNRP</v>
          </cell>
          <cell r="BA10912">
            <v>5.69</v>
          </cell>
        </row>
        <row r="10913">
          <cell r="C10913" t="str">
            <v>4510 - MISC HARDWARE &amp; HINGES</v>
          </cell>
          <cell r="D10913" t="str">
            <v>H44ORBRRNRP</v>
          </cell>
          <cell r="BA10913">
            <v>1.0900000000000001</v>
          </cell>
        </row>
        <row r="10914">
          <cell r="C10914" t="str">
            <v>4510 - MISC HARDWARE &amp; HINGES</v>
          </cell>
          <cell r="D10914" t="str">
            <v>H44SNRRNRP</v>
          </cell>
          <cell r="BA10914">
            <v>1.49</v>
          </cell>
        </row>
        <row r="10915">
          <cell r="C10915" t="str">
            <v>4510 - MISC HARDWARE &amp; HINGES</v>
          </cell>
          <cell r="D10915" t="str">
            <v>H44CRRNRP</v>
          </cell>
          <cell r="BA10915">
            <v>1.79</v>
          </cell>
        </row>
        <row r="10916">
          <cell r="C10916" t="str">
            <v>4510 - MISC HARDWARE &amp; HINGES</v>
          </cell>
          <cell r="D10916" t="str">
            <v>H44SSRRNRP</v>
          </cell>
          <cell r="BA10916">
            <v>7.49</v>
          </cell>
        </row>
        <row r="10917">
          <cell r="C10917" t="str">
            <v>4510 - MISC HARDWARE &amp; HINGES</v>
          </cell>
          <cell r="D10917" t="str">
            <v>FDB278US15</v>
          </cell>
          <cell r="BA10917">
            <v>17.489999999999998</v>
          </cell>
        </row>
        <row r="10918">
          <cell r="C10918" t="str">
            <v>4510 - MISC HARDWARE &amp; HINGES</v>
          </cell>
          <cell r="D10918" t="str">
            <v>FDB278US10B</v>
          </cell>
          <cell r="BA10918">
            <v>17.489999999999998</v>
          </cell>
        </row>
        <row r="10919">
          <cell r="C10919" t="str">
            <v>4510 - MISC HARDWARE &amp; HINGES</v>
          </cell>
          <cell r="D10919" t="str">
            <v>FDB278U19</v>
          </cell>
          <cell r="BA10919">
            <v>21.19</v>
          </cell>
        </row>
        <row r="10920">
          <cell r="C10920" t="str">
            <v>4510 - MISC HARDWARE &amp; HINGES</v>
          </cell>
          <cell r="D10920" t="str">
            <v>HPDSSN</v>
          </cell>
          <cell r="BA10920">
            <v>1.19</v>
          </cell>
        </row>
        <row r="10921">
          <cell r="C10921" t="str">
            <v>4510 - MISC HARDWARE &amp; HINGES</v>
          </cell>
          <cell r="D10921" t="str">
            <v>HPDSBL</v>
          </cell>
          <cell r="BA10921">
            <v>1.49</v>
          </cell>
        </row>
        <row r="10922">
          <cell r="C10922" t="str">
            <v>4510 - MISC HARDWARE &amp; HINGES</v>
          </cell>
          <cell r="D10922" t="str">
            <v>HPDSORB</v>
          </cell>
          <cell r="BA10922">
            <v>1.29</v>
          </cell>
        </row>
        <row r="10923">
          <cell r="C10923" t="str">
            <v>4510 - MISC HARDWARE &amp; HINGES</v>
          </cell>
          <cell r="D10923" t="str">
            <v>DSS10B</v>
          </cell>
          <cell r="BA10923">
            <v>0.35</v>
          </cell>
        </row>
        <row r="10924">
          <cell r="C10924" t="str">
            <v>4510 - MISC HARDWARE &amp; HINGES</v>
          </cell>
          <cell r="D10924" t="str">
            <v>DSS514</v>
          </cell>
          <cell r="BA10924">
            <v>0.53</v>
          </cell>
        </row>
        <row r="10925">
          <cell r="C10925" t="str">
            <v>4510 - MISC HARDWARE &amp; HINGES</v>
          </cell>
          <cell r="D10925" t="str">
            <v>U9271</v>
          </cell>
          <cell r="BA10925">
            <v>4.29</v>
          </cell>
        </row>
        <row r="10926">
          <cell r="C10926" t="str">
            <v>4510 - MISC HARDWARE &amp; HINGES</v>
          </cell>
          <cell r="D10926" t="str">
            <v>N830-103</v>
          </cell>
          <cell r="BA10926">
            <v>2.99</v>
          </cell>
        </row>
        <row r="10927">
          <cell r="C10927" t="str">
            <v>4510 - MISC HARDWARE &amp; HINGES</v>
          </cell>
          <cell r="D10927" t="str">
            <v>N830-112</v>
          </cell>
          <cell r="BA10927">
            <v>2.99</v>
          </cell>
        </row>
        <row r="10928">
          <cell r="C10928" t="str">
            <v>4510 - MISC HARDWARE &amp; HINGES</v>
          </cell>
          <cell r="D10928" t="str">
            <v>N830-102</v>
          </cell>
          <cell r="BA10928">
            <v>2.99</v>
          </cell>
        </row>
        <row r="10929">
          <cell r="C10929" t="str">
            <v>4510 - MISC HARDWARE &amp; HINGES</v>
          </cell>
          <cell r="D10929" t="str">
            <v>N830-123</v>
          </cell>
          <cell r="BA10929">
            <v>2.99</v>
          </cell>
        </row>
        <row r="10930">
          <cell r="C10930" t="str">
            <v>4510 - MISC HARDWARE &amp; HINGES</v>
          </cell>
          <cell r="D10930" t="str">
            <v>N830-121</v>
          </cell>
          <cell r="BA10930">
            <v>2.59</v>
          </cell>
        </row>
        <row r="10931">
          <cell r="C10931" t="str">
            <v>4510 - MISC HARDWARE &amp; HINGES</v>
          </cell>
          <cell r="D10931" t="str">
            <v>N830-111</v>
          </cell>
          <cell r="BA10931">
            <v>0.89</v>
          </cell>
        </row>
        <row r="10932">
          <cell r="C10932" t="str">
            <v>4510 - MISC HARDWARE &amp; HINGES</v>
          </cell>
          <cell r="D10932" t="str">
            <v>N830-122</v>
          </cell>
          <cell r="BA10932">
            <v>2.99</v>
          </cell>
        </row>
        <row r="10933">
          <cell r="C10933" t="str">
            <v>4510 - MISC HARDWARE &amp; HINGES</v>
          </cell>
          <cell r="D10933" t="str">
            <v>VIEWERSN</v>
          </cell>
          <cell r="BA10933">
            <v>7.59</v>
          </cell>
        </row>
        <row r="10934">
          <cell r="C10934" t="str">
            <v>4510 - MISC HARDWARE &amp; HINGES</v>
          </cell>
          <cell r="D10934" t="str">
            <v>VIEWERORB</v>
          </cell>
          <cell r="BA10934">
            <v>5.29</v>
          </cell>
        </row>
        <row r="10935">
          <cell r="C10935" t="str">
            <v>4510 - MISC HARDWARE &amp; HINGES</v>
          </cell>
          <cell r="D10935" t="str">
            <v>EZGLP01</v>
          </cell>
          <cell r="BA10935">
            <v>14.89</v>
          </cell>
        </row>
        <row r="10936">
          <cell r="C10936" t="str">
            <v>4510 - MISC HARDWARE &amp; HINGES</v>
          </cell>
          <cell r="D10936" t="str">
            <v>WGCKH</v>
          </cell>
          <cell r="BA10936">
            <v>23.39</v>
          </cell>
        </row>
        <row r="10937">
          <cell r="C10937" t="str">
            <v>4510 - MISC HARDWARE &amp; HINGES</v>
          </cell>
          <cell r="D10937" t="str">
            <v>80099</v>
          </cell>
          <cell r="BA10937">
            <v>42.99</v>
          </cell>
        </row>
        <row r="10938">
          <cell r="C10938" t="str">
            <v>4510 - MISC HARDWARE &amp; HINGES</v>
          </cell>
          <cell r="D10938" t="str">
            <v>4BFT</v>
          </cell>
          <cell r="BA10938">
            <v>3.49</v>
          </cell>
        </row>
        <row r="10939">
          <cell r="C10939" t="str">
            <v>4510 - MISC HARDWARE &amp; HINGES</v>
          </cell>
          <cell r="D10939" t="str">
            <v>5BFT</v>
          </cell>
          <cell r="BA10939">
            <v>3.89</v>
          </cell>
        </row>
        <row r="10940">
          <cell r="C10940" t="str">
            <v>4510 - MISC HARDWARE &amp; HINGES</v>
          </cell>
          <cell r="D10940" t="str">
            <v>6BFT</v>
          </cell>
          <cell r="BA10940">
            <v>4.6900000000000004</v>
          </cell>
        </row>
        <row r="10941">
          <cell r="C10941" t="str">
            <v>4510 - MISC HARDWARE &amp; HINGES</v>
          </cell>
          <cell r="D10941" t="str">
            <v>RENBF103P</v>
          </cell>
          <cell r="BA10941">
            <v>3.19</v>
          </cell>
        </row>
        <row r="10942">
          <cell r="C10942" t="str">
            <v>4510 - MISC HARDWARE &amp; HINGES</v>
          </cell>
          <cell r="D10942" t="str">
            <v>JWEN06351</v>
          </cell>
          <cell r="BA10942">
            <v>3.49</v>
          </cell>
        </row>
        <row r="10943">
          <cell r="C10943" t="str">
            <v>4510 - MISC HARDWARE &amp; HINGES</v>
          </cell>
          <cell r="D10943" t="str">
            <v>BPT40</v>
          </cell>
          <cell r="BA10943">
            <v>5.19</v>
          </cell>
        </row>
        <row r="10944">
          <cell r="C10944" t="str">
            <v>4510 - MISC HARDWARE &amp; HINGES</v>
          </cell>
          <cell r="D10944" t="str">
            <v>BPT50</v>
          </cell>
          <cell r="BA10944">
            <v>6.59</v>
          </cell>
        </row>
        <row r="10945">
          <cell r="C10945" t="str">
            <v>4510 - MISC HARDWARE &amp; HINGES</v>
          </cell>
          <cell r="D10945" t="str">
            <v>BPT60</v>
          </cell>
          <cell r="BA10945">
            <v>7.49</v>
          </cell>
        </row>
        <row r="10946">
          <cell r="C10946" t="str">
            <v>4510 - MISC HARDWARE &amp; HINGES</v>
          </cell>
          <cell r="D10946" t="str">
            <v>BPT80</v>
          </cell>
          <cell r="BA10946">
            <v>9.7899999999999991</v>
          </cell>
        </row>
        <row r="10947">
          <cell r="C10947" t="str">
            <v>4510 - MISC HARDWARE &amp; HINGES</v>
          </cell>
          <cell r="D10947" t="str">
            <v>280SWTKIT8</v>
          </cell>
          <cell r="BA10947">
            <v>56.49</v>
          </cell>
        </row>
        <row r="10948">
          <cell r="C10948" t="str">
            <v>4510 - MISC HARDWARE &amp; HINGES</v>
          </cell>
          <cell r="D10948" t="str">
            <v>ORFTSTBL6</v>
          </cell>
          <cell r="BA10948">
            <v>123.99</v>
          </cell>
        </row>
        <row r="10949">
          <cell r="C10949" t="str">
            <v>4510 - MISC HARDWARE &amp; HINGES</v>
          </cell>
          <cell r="D10949" t="str">
            <v>ORFTSTBL8</v>
          </cell>
          <cell r="BA10949">
            <v>176.99</v>
          </cell>
        </row>
        <row r="10950">
          <cell r="C10950" t="str">
            <v>4510 - MISC HARDWARE &amp; HINGES</v>
          </cell>
          <cell r="D10950" t="str">
            <v>ORFTSTSN6</v>
          </cell>
          <cell r="BA10950">
            <v>147.99</v>
          </cell>
        </row>
        <row r="10951">
          <cell r="C10951" t="str">
            <v>4510 - MISC HARDWARE &amp; HINGES</v>
          </cell>
          <cell r="D10951" t="str">
            <v>BPAFG</v>
          </cell>
          <cell r="BA10951">
            <v>1.19</v>
          </cell>
        </row>
        <row r="10952">
          <cell r="C10952" t="str">
            <v>4510 - MISC HARDWARE &amp; HINGES</v>
          </cell>
          <cell r="D10952" t="str">
            <v>BP6041</v>
          </cell>
          <cell r="BA10952">
            <v>1.89</v>
          </cell>
        </row>
        <row r="10953">
          <cell r="C10953" t="str">
            <v>4510 - MISC HARDWARE &amp; HINGES</v>
          </cell>
          <cell r="D10953" t="str">
            <v>LE1500PPK3</v>
          </cell>
          <cell r="BA10953">
            <v>16.989999999999998</v>
          </cell>
        </row>
        <row r="10954">
          <cell r="C10954" t="str">
            <v>4510 - MISC HARDWARE &amp; HINGES</v>
          </cell>
          <cell r="D10954" t="str">
            <v>PDH111</v>
          </cell>
          <cell r="BA10954">
            <v>15.49</v>
          </cell>
        </row>
        <row r="10955">
          <cell r="C10955" t="str">
            <v>4510 - MISC HARDWARE &amp; HINGES</v>
          </cell>
          <cell r="D10955" t="str">
            <v>PDHJ</v>
          </cell>
          <cell r="BA10955">
            <v>16.489999999999998</v>
          </cell>
        </row>
        <row r="10956">
          <cell r="C10956" t="str">
            <v>4510 - MISC HARDWARE &amp; HINGES</v>
          </cell>
          <cell r="D10956" t="str">
            <v>JSC1060</v>
          </cell>
          <cell r="BA10956">
            <v>37.090000000000003</v>
          </cell>
        </row>
        <row r="10957">
          <cell r="C10957" t="str">
            <v>4510 - MISC HARDWARE &amp; HINGES</v>
          </cell>
          <cell r="D10957" t="str">
            <v>1125PPK1</v>
          </cell>
          <cell r="BA10957">
            <v>13.99</v>
          </cell>
        </row>
        <row r="10958">
          <cell r="C10958" t="str">
            <v>4510 - MISC HARDWARE &amp; HINGES</v>
          </cell>
          <cell r="D10958" t="str">
            <v>PDFKIT-J</v>
          </cell>
          <cell r="BA10958">
            <v>8.99</v>
          </cell>
        </row>
        <row r="10959">
          <cell r="C10959" t="str">
            <v>4510 - MISC HARDWARE &amp; HINGES</v>
          </cell>
          <cell r="D10959" t="str">
            <v>MD02097</v>
          </cell>
          <cell r="BA10959">
            <v>3.29</v>
          </cell>
        </row>
        <row r="10960">
          <cell r="C10960" t="str">
            <v>4510 - MISC HARDWARE &amp; HINGES</v>
          </cell>
          <cell r="D10960" t="str">
            <v>MD02113</v>
          </cell>
          <cell r="BA10960">
            <v>6.49</v>
          </cell>
        </row>
        <row r="10961">
          <cell r="C10961" t="str">
            <v>4510 - MISC HARDWARE &amp; HINGES</v>
          </cell>
          <cell r="D10961" t="str">
            <v>MD02253</v>
          </cell>
          <cell r="BA10961">
            <v>3.49</v>
          </cell>
        </row>
        <row r="10962">
          <cell r="C10962" t="str">
            <v>4510 - MISC HARDWARE &amp; HINGES</v>
          </cell>
          <cell r="D10962" t="str">
            <v>MD02576</v>
          </cell>
          <cell r="BA10962">
            <v>8.99</v>
          </cell>
        </row>
        <row r="10963">
          <cell r="C10963" t="str">
            <v>4510 - MISC HARDWARE &amp; HINGES</v>
          </cell>
          <cell r="D10963" t="str">
            <v>MD02550</v>
          </cell>
          <cell r="BA10963">
            <v>8.99</v>
          </cell>
        </row>
        <row r="10964">
          <cell r="C10964" t="str">
            <v>4510 - MISC HARDWARE &amp; HINGES</v>
          </cell>
          <cell r="D10964" t="str">
            <v>MD63669</v>
          </cell>
          <cell r="BA10964">
            <v>10.99</v>
          </cell>
        </row>
        <row r="10965">
          <cell r="C10965" t="str">
            <v>4510 - MISC HARDWARE &amp; HINGES</v>
          </cell>
          <cell r="D10965" t="str">
            <v>MD63628</v>
          </cell>
          <cell r="BA10965">
            <v>10.99</v>
          </cell>
        </row>
        <row r="10966">
          <cell r="C10966" t="str">
            <v>4510 - MISC HARDWARE &amp; HINGES</v>
          </cell>
          <cell r="D10966" t="str">
            <v>MD06593</v>
          </cell>
          <cell r="BA10966">
            <v>5.99</v>
          </cell>
        </row>
        <row r="10967">
          <cell r="C10967" t="str">
            <v>4510 - MISC HARDWARE &amp; HINGES</v>
          </cell>
          <cell r="D10967" t="str">
            <v>MD06619</v>
          </cell>
          <cell r="BA10967">
            <v>6.49</v>
          </cell>
        </row>
        <row r="10968">
          <cell r="C10968" t="str">
            <v>4510 - MISC HARDWARE &amp; HINGES</v>
          </cell>
          <cell r="D10968" t="str">
            <v>MD43848</v>
          </cell>
          <cell r="BA10968">
            <v>14.99</v>
          </cell>
        </row>
        <row r="10969">
          <cell r="C10969" t="str">
            <v>4510 - MISC HARDWARE &amp; HINGES</v>
          </cell>
          <cell r="D10969" t="str">
            <v>MD71522</v>
          </cell>
          <cell r="BA10969">
            <v>3.99</v>
          </cell>
        </row>
        <row r="10970">
          <cell r="C10970" t="str">
            <v>4510 - MISC HARDWARE &amp; HINGES</v>
          </cell>
          <cell r="D10970" t="str">
            <v>MD06635</v>
          </cell>
          <cell r="BA10970">
            <v>6.99</v>
          </cell>
        </row>
        <row r="10971">
          <cell r="C10971" t="str">
            <v>4510 - MISC HARDWARE &amp; HINGES</v>
          </cell>
          <cell r="D10971" t="str">
            <v>MD05512</v>
          </cell>
          <cell r="BA10971">
            <v>12.99</v>
          </cell>
        </row>
        <row r="10972">
          <cell r="C10972" t="str">
            <v>4510 - MISC HARDWARE &amp; HINGES</v>
          </cell>
          <cell r="D10972" t="str">
            <v>MD47000</v>
          </cell>
          <cell r="BA10972">
            <v>12.99</v>
          </cell>
        </row>
        <row r="10973">
          <cell r="C10973" t="str">
            <v>4510 - MISC HARDWARE &amp; HINGES</v>
          </cell>
          <cell r="D10973" t="str">
            <v>MD08243</v>
          </cell>
          <cell r="BA10973">
            <v>16.989999999999998</v>
          </cell>
        </row>
        <row r="10974">
          <cell r="C10974" t="str">
            <v>4510 - MISC HARDWARE &amp; HINGES</v>
          </cell>
          <cell r="D10974" t="str">
            <v>MD11056</v>
          </cell>
          <cell r="BA10974">
            <v>12.99</v>
          </cell>
        </row>
        <row r="10975">
          <cell r="C10975" t="str">
            <v>4510 - MISC HARDWARE &amp; HINGES</v>
          </cell>
          <cell r="D10975" t="str">
            <v>MD11882</v>
          </cell>
          <cell r="BA10975">
            <v>13.99</v>
          </cell>
        </row>
        <row r="10976">
          <cell r="C10976" t="str">
            <v>4510 - MISC HARDWARE &amp; HINGES</v>
          </cell>
          <cell r="D10976" t="str">
            <v>LIFTHANDLE</v>
          </cell>
          <cell r="BA10976">
            <v>0.56999999999999995</v>
          </cell>
        </row>
        <row r="10977">
          <cell r="C10977" t="str">
            <v>4510 - MISC HARDWARE &amp; HINGES</v>
          </cell>
          <cell r="D10977" t="str">
            <v>HY45760</v>
          </cell>
          <cell r="BA10977">
            <v>2.39</v>
          </cell>
        </row>
        <row r="10978">
          <cell r="C10978" t="str">
            <v>4510 - MISC HARDWARE &amp; HINGES</v>
          </cell>
          <cell r="D10978" t="str">
            <v>218PULLORB</v>
          </cell>
          <cell r="BA10978">
            <v>0.56999999999999995</v>
          </cell>
        </row>
        <row r="10979">
          <cell r="C10979" t="str">
            <v>4510 - MISC HARDWARE &amp; HINGES</v>
          </cell>
          <cell r="D10979" t="str">
            <v>218PULLSN</v>
          </cell>
          <cell r="BA10979">
            <v>0.56000000000000005</v>
          </cell>
        </row>
        <row r="10980">
          <cell r="C10980" t="str">
            <v>4510 - MISC HARDWARE &amp; HINGES</v>
          </cell>
          <cell r="D10980" t="str">
            <v>218PULLPC</v>
          </cell>
          <cell r="BA10980">
            <v>0.89</v>
          </cell>
        </row>
        <row r="10981">
          <cell r="C10981" t="str">
            <v>4510 - MISC HARDWARE &amp; HINGES</v>
          </cell>
          <cell r="D10981" t="str">
            <v>218PULLFB</v>
          </cell>
          <cell r="BA10981">
            <v>0.56000000000000005</v>
          </cell>
        </row>
        <row r="10982">
          <cell r="C10982" t="str">
            <v>4510 - MISC HARDWARE &amp; HINGES</v>
          </cell>
          <cell r="D10982" t="str">
            <v>SCP991B619</v>
          </cell>
          <cell r="BA10982">
            <v>19.989999999999998</v>
          </cell>
        </row>
        <row r="10983">
          <cell r="C10983" t="str">
            <v>4510 - MISC HARDWARE &amp; HINGES</v>
          </cell>
          <cell r="D10983" t="str">
            <v>KW333-3</v>
          </cell>
          <cell r="BA10983">
            <v>13.59</v>
          </cell>
        </row>
        <row r="10984">
          <cell r="C10984" t="str">
            <v>4510 - MISC HARDWARE &amp; HINGES</v>
          </cell>
          <cell r="D10984" t="str">
            <v>KS334SQT514</v>
          </cell>
          <cell r="BA10984">
            <v>22.99</v>
          </cell>
        </row>
        <row r="10985">
          <cell r="C10985" t="str">
            <v>4510 - MISC HARDWARE &amp; HINGES</v>
          </cell>
          <cell r="D10985" t="str">
            <v>KS335SQT514</v>
          </cell>
          <cell r="BA10985">
            <v>21.59</v>
          </cell>
        </row>
        <row r="10986">
          <cell r="C10986" t="str">
            <v>4510 - MISC HARDWARE &amp; HINGES</v>
          </cell>
          <cell r="D10986" t="str">
            <v>KS335SQT15</v>
          </cell>
          <cell r="BA10986">
            <v>25.19</v>
          </cell>
        </row>
        <row r="10987">
          <cell r="C10987" t="str">
            <v>4510 - MISC HARDWARE &amp; HINGES</v>
          </cell>
          <cell r="D10987" t="str">
            <v>KS334SQT15</v>
          </cell>
          <cell r="BA10987">
            <v>22.99</v>
          </cell>
        </row>
        <row r="10988">
          <cell r="C10988" t="str">
            <v>4510 - MISC HARDWARE &amp; HINGES</v>
          </cell>
          <cell r="D10988" t="str">
            <v>AMR217WHT</v>
          </cell>
          <cell r="BA10988">
            <v>3.49</v>
          </cell>
        </row>
        <row r="10989">
          <cell r="C10989" t="str">
            <v>4510 - MISC HARDWARE &amp; HINGES</v>
          </cell>
          <cell r="D10989" t="str">
            <v>BFKBP15</v>
          </cell>
          <cell r="BA10989">
            <v>0.99</v>
          </cell>
        </row>
        <row r="10990">
          <cell r="C10990" t="str">
            <v>4510 - MISC HARDWARE &amp; HINGES</v>
          </cell>
          <cell r="D10990" t="str">
            <v>BFKBP10B</v>
          </cell>
          <cell r="BA10990">
            <v>0.99</v>
          </cell>
        </row>
        <row r="10991">
          <cell r="C10991" t="str">
            <v>4510 - MISC HARDWARE &amp; HINGES</v>
          </cell>
          <cell r="D10991" t="str">
            <v>BH20B1050SN</v>
          </cell>
          <cell r="BA10991">
            <v>2.89</v>
          </cell>
        </row>
        <row r="10992">
          <cell r="C10992" t="str">
            <v>4510 - MISC HARDWARE &amp; HINGES</v>
          </cell>
          <cell r="D10992" t="str">
            <v>BH20B1050ORB</v>
          </cell>
          <cell r="BA10992">
            <v>2.89</v>
          </cell>
        </row>
        <row r="10993">
          <cell r="C10993" t="str">
            <v>4510 - MISC HARDWARE &amp; HINGES</v>
          </cell>
          <cell r="D10993" t="str">
            <v>BK14-US15</v>
          </cell>
          <cell r="BA10993">
            <v>1.79</v>
          </cell>
        </row>
        <row r="10994">
          <cell r="C10994" t="str">
            <v>4510 - MISC HARDWARE &amp; HINGES</v>
          </cell>
          <cell r="D10994" t="str">
            <v>BK14-US10B</v>
          </cell>
          <cell r="BA10994">
            <v>1.89</v>
          </cell>
        </row>
        <row r="10995">
          <cell r="C10995" t="str">
            <v>4510 - MISC HARDWARE &amp; HINGES</v>
          </cell>
          <cell r="D10995" t="str">
            <v>4HDTHZ</v>
          </cell>
          <cell r="BA10995">
            <v>2.99</v>
          </cell>
        </row>
        <row r="10996">
          <cell r="C10996" t="str">
            <v>4510 - MISC HARDWARE &amp; HINGES</v>
          </cell>
          <cell r="D10996" t="str">
            <v>N128-272</v>
          </cell>
          <cell r="BA10996">
            <v>12.99</v>
          </cell>
        </row>
        <row r="10997">
          <cell r="C10997" t="str">
            <v>4510 - MISC HARDWARE &amp; HINGES</v>
          </cell>
          <cell r="D10997" t="str">
            <v>HRBSN2PC</v>
          </cell>
          <cell r="BA10997">
            <v>2.99</v>
          </cell>
        </row>
        <row r="10998">
          <cell r="C10998" t="str">
            <v>4510 - MISC HARDWARE &amp; HINGES</v>
          </cell>
          <cell r="D10998" t="str">
            <v>HRBORB2PC</v>
          </cell>
          <cell r="BA10998">
            <v>3.09</v>
          </cell>
        </row>
        <row r="10999">
          <cell r="C10999" t="str">
            <v>4510 - MISC HARDWARE &amp; HINGES</v>
          </cell>
          <cell r="D10999" t="str">
            <v>PS5811260</v>
          </cell>
          <cell r="BA10999">
            <v>8.69</v>
          </cell>
        </row>
        <row r="11000">
          <cell r="C11000" t="str">
            <v>4510 - MISC HARDWARE &amp; HINGES</v>
          </cell>
          <cell r="D11000" t="str">
            <v>LJ-3127-PC</v>
          </cell>
          <cell r="BA11000">
            <v>5.69</v>
          </cell>
        </row>
        <row r="11001">
          <cell r="C11001" t="str">
            <v>4510 - MISC HARDWARE &amp; HINGES</v>
          </cell>
          <cell r="D11001" t="str">
            <v>HRBRNDORB</v>
          </cell>
          <cell r="BA11001">
            <v>5.79</v>
          </cell>
        </row>
        <row r="11002">
          <cell r="C11002" t="str">
            <v>4510 - MISC HARDWARE &amp; HINGES</v>
          </cell>
          <cell r="D11002" t="str">
            <v>HRBRNDSN</v>
          </cell>
          <cell r="BA11002">
            <v>5.79</v>
          </cell>
        </row>
        <row r="11003">
          <cell r="C11003" t="str">
            <v>4510 - MISC HARDWARE &amp; HINGES</v>
          </cell>
          <cell r="D11003" t="str">
            <v>N220-285</v>
          </cell>
          <cell r="BA11003">
            <v>2.39</v>
          </cell>
        </row>
        <row r="11004">
          <cell r="C11004" t="str">
            <v>4510 - MISC HARDWARE &amp; HINGES</v>
          </cell>
          <cell r="D11004" t="str">
            <v>N171-074</v>
          </cell>
          <cell r="BA11004">
            <v>2.99</v>
          </cell>
        </row>
        <row r="11005">
          <cell r="C11005" t="str">
            <v>4510 - MISC HARDWARE &amp; HINGES</v>
          </cell>
          <cell r="D11005" t="str">
            <v>H80333210</v>
          </cell>
          <cell r="BA11005">
            <v>1.29</v>
          </cell>
        </row>
        <row r="11006">
          <cell r="C11006" t="str">
            <v>4510 - MISC HARDWARE &amp; HINGES</v>
          </cell>
          <cell r="D11006" t="str">
            <v>H80113201</v>
          </cell>
          <cell r="BA11006">
            <v>10.69</v>
          </cell>
        </row>
        <row r="11007">
          <cell r="C11007" t="str">
            <v>4510 - MISC HARDWARE &amp; HINGES</v>
          </cell>
          <cell r="D11007" t="str">
            <v>N224-501</v>
          </cell>
          <cell r="BA11007">
            <v>5.69</v>
          </cell>
        </row>
        <row r="11008">
          <cell r="C11008" t="str">
            <v>4510 - MISC HARDWARE &amp; HINGES</v>
          </cell>
          <cell r="D11008" t="str">
            <v>N172-619</v>
          </cell>
          <cell r="BA11008">
            <v>4.29</v>
          </cell>
        </row>
        <row r="11009">
          <cell r="C11009" t="str">
            <v>4510 - MISC HARDWARE &amp; HINGES</v>
          </cell>
          <cell r="D11009" t="str">
            <v>WPSOC</v>
          </cell>
          <cell r="BA11009">
            <v>0.99</v>
          </cell>
        </row>
        <row r="11010">
          <cell r="C11010" t="str">
            <v>4510 - MISC HARDWARE &amp; HINGES</v>
          </cell>
          <cell r="D11010" t="str">
            <v>408DP</v>
          </cell>
          <cell r="BA11010">
            <v>5.69</v>
          </cell>
        </row>
        <row r="11011">
          <cell r="C11011" t="str">
            <v>4510 - MISC HARDWARE &amp; HINGES</v>
          </cell>
          <cell r="D11011" t="str">
            <v>PCLPS</v>
          </cell>
          <cell r="BA11011">
            <v>0.48</v>
          </cell>
        </row>
        <row r="11012">
          <cell r="C11012" t="str">
            <v>4510 - MISC HARDWARE &amp; HINGES</v>
          </cell>
          <cell r="D11012" t="str">
            <v>OCRBPC</v>
          </cell>
          <cell r="BA11012">
            <v>11.69</v>
          </cell>
        </row>
        <row r="11013">
          <cell r="C11013" t="str">
            <v>4510 - MISC HARDWARE &amp; HINGES</v>
          </cell>
          <cell r="D11013" t="str">
            <v>N221-879</v>
          </cell>
          <cell r="BA11013">
            <v>4.59</v>
          </cell>
        </row>
        <row r="11014">
          <cell r="C11014" t="str">
            <v>4510 - MISC HARDWARE &amp; HINGES</v>
          </cell>
          <cell r="D11014" t="str">
            <v>N221-788</v>
          </cell>
          <cell r="BA11014">
            <v>15.99</v>
          </cell>
        </row>
        <row r="11015">
          <cell r="C11015" t="str">
            <v>4510 - MISC HARDWARE &amp; HINGES</v>
          </cell>
          <cell r="D11015" t="str">
            <v>N221-903</v>
          </cell>
          <cell r="BA11015">
            <v>15.99</v>
          </cell>
        </row>
        <row r="11016">
          <cell r="C11016" t="str">
            <v>4510 - MISC HARDWARE &amp; HINGES</v>
          </cell>
          <cell r="D11016" t="str">
            <v>N221-887</v>
          </cell>
          <cell r="BA11016">
            <v>5.39</v>
          </cell>
        </row>
        <row r="11017">
          <cell r="C11017" t="str">
            <v>4510 - MISC HARDWARE &amp; HINGES</v>
          </cell>
          <cell r="D11017" t="str">
            <v>N221-895</v>
          </cell>
          <cell r="BA11017">
            <v>8.69</v>
          </cell>
        </row>
        <row r="11018">
          <cell r="C11018" t="str">
            <v>4510 - MISC HARDWARE &amp; HINGES</v>
          </cell>
          <cell r="D11018" t="str">
            <v>N220-145</v>
          </cell>
          <cell r="BA11018">
            <v>2.99</v>
          </cell>
        </row>
        <row r="11019">
          <cell r="C11019" t="str">
            <v>4510 - MISC HARDWARE &amp; HINGES</v>
          </cell>
          <cell r="D11019" t="str">
            <v>N220-152</v>
          </cell>
          <cell r="BA11019">
            <v>4.99</v>
          </cell>
        </row>
        <row r="11020">
          <cell r="C11020" t="str">
            <v>4510 - MISC HARDWARE &amp; HINGES</v>
          </cell>
          <cell r="D11020" t="str">
            <v>N220-293</v>
          </cell>
          <cell r="BA11020">
            <v>3.79</v>
          </cell>
        </row>
        <row r="11021">
          <cell r="C11021" t="str">
            <v>4510 - MISC HARDWARE &amp; HINGES</v>
          </cell>
          <cell r="D11021" t="str">
            <v>N266-395</v>
          </cell>
          <cell r="BA11021">
            <v>2.39</v>
          </cell>
        </row>
        <row r="11022">
          <cell r="C11022" t="str">
            <v>4510 - MISC HARDWARE &amp; HINGES</v>
          </cell>
          <cell r="D11022" t="str">
            <v>KVBC-0039-WT</v>
          </cell>
          <cell r="BA11022">
            <v>4.99</v>
          </cell>
        </row>
        <row r="11023">
          <cell r="C11023" t="str">
            <v>4510 - MISC HARDWARE &amp; HINGES</v>
          </cell>
          <cell r="D11023" t="str">
            <v>KV208WH400</v>
          </cell>
          <cell r="BA11023">
            <v>12.99</v>
          </cell>
        </row>
        <row r="11024">
          <cell r="C11024" t="str">
            <v>4510 - MISC HARDWARE &amp; HINGES</v>
          </cell>
          <cell r="D11024" t="str">
            <v>KV208WH500</v>
          </cell>
          <cell r="BA11024">
            <v>15.99</v>
          </cell>
        </row>
        <row r="11025">
          <cell r="C11025" t="str">
            <v>4510 - MISC HARDWARE &amp; HINGES</v>
          </cell>
          <cell r="D11025" t="str">
            <v>AMRBP3473PT</v>
          </cell>
          <cell r="BA11025">
            <v>2.39</v>
          </cell>
        </row>
        <row r="11026">
          <cell r="C11026" t="str">
            <v>4510 - MISC HARDWARE &amp; HINGES</v>
          </cell>
          <cell r="D11026" t="str">
            <v>AMRBP9798AW</v>
          </cell>
          <cell r="BA11026">
            <v>4.59</v>
          </cell>
        </row>
        <row r="11027">
          <cell r="C11027" t="str">
            <v>4510 - MISC HARDWARE &amp; HINGES</v>
          </cell>
          <cell r="D11027" t="str">
            <v>AMRBP33772AL</v>
          </cell>
          <cell r="BA11027">
            <v>5.69</v>
          </cell>
        </row>
        <row r="11028">
          <cell r="C11028" t="str">
            <v>4510 - MISC HARDWARE &amp; HINGES</v>
          </cell>
          <cell r="D11028" t="str">
            <v>BALLCATCHBB</v>
          </cell>
          <cell r="BA11028">
            <v>2.79</v>
          </cell>
        </row>
        <row r="11029">
          <cell r="C11029" t="str">
            <v>4510 - MISC HARDWARE &amp; HINGES</v>
          </cell>
          <cell r="D11029" t="str">
            <v>BALLCATCHSN</v>
          </cell>
          <cell r="BA11029">
            <v>1.79</v>
          </cell>
        </row>
        <row r="11030">
          <cell r="C11030" t="str">
            <v>4510 - MISC HARDWARE &amp; HINGES</v>
          </cell>
          <cell r="D11030" t="str">
            <v>BALLCATCHORB</v>
          </cell>
          <cell r="BA11030">
            <v>1.49</v>
          </cell>
        </row>
        <row r="11031">
          <cell r="C11031" t="str">
            <v>4510 - MISC HARDWARE &amp; HINGES</v>
          </cell>
          <cell r="D11031" t="str">
            <v>CRARLSTRK62-US15</v>
          </cell>
          <cell r="BA11031">
            <v>4.8899999999999997</v>
          </cell>
        </row>
        <row r="11032">
          <cell r="C11032" t="str">
            <v>4510 - MISC HARDWARE &amp; HINGES</v>
          </cell>
          <cell r="D11032" t="str">
            <v>CRARLSTRK62-US19</v>
          </cell>
          <cell r="BA11032">
            <v>5.29</v>
          </cell>
        </row>
        <row r="11033">
          <cell r="C11033" t="str">
            <v>4510 - MISC HARDWARE &amp; HINGES</v>
          </cell>
          <cell r="D11033" t="str">
            <v>CRARL1338-US15</v>
          </cell>
          <cell r="BA11033">
            <v>22.29</v>
          </cell>
        </row>
        <row r="11034">
          <cell r="C11034" t="str">
            <v>4510 - MISC HARDWARE &amp; HINGES</v>
          </cell>
          <cell r="D11034" t="str">
            <v>CRARL1338-US19</v>
          </cell>
          <cell r="BA11034">
            <v>23.49</v>
          </cell>
        </row>
        <row r="11035">
          <cell r="C11035" t="str">
            <v>4510 - MISC HARDWARE &amp; HINGES</v>
          </cell>
          <cell r="D11035" t="str">
            <v>AMRBP347414</v>
          </cell>
          <cell r="BA11035">
            <v>2.19</v>
          </cell>
        </row>
        <row r="11036">
          <cell r="C11036" t="str">
            <v>4510 - MISC HARDWARE &amp; HINGES</v>
          </cell>
          <cell r="D11036" t="str">
            <v>EM93224-15</v>
          </cell>
          <cell r="BA11036">
            <v>2.59</v>
          </cell>
        </row>
        <row r="11037">
          <cell r="C11037" t="str">
            <v>4510 - MISC HARDWARE &amp; HINGES</v>
          </cell>
          <cell r="D11037" t="str">
            <v>EM93224-26</v>
          </cell>
          <cell r="BA11037">
            <v>2.39</v>
          </cell>
        </row>
        <row r="11038">
          <cell r="C11038" t="str">
            <v>4510 - MISC HARDWARE &amp; HINGES</v>
          </cell>
          <cell r="D11038" t="str">
            <v>EM93224-19</v>
          </cell>
          <cell r="BA11038">
            <v>5.49</v>
          </cell>
        </row>
        <row r="11039">
          <cell r="C11039" t="str">
            <v>4510 - MISC HARDWARE &amp; HINGES</v>
          </cell>
          <cell r="D11039" t="str">
            <v>SPSN</v>
          </cell>
          <cell r="BA11039">
            <v>5.69</v>
          </cell>
        </row>
        <row r="11040">
          <cell r="C11040" t="str">
            <v>4510 - MISC HARDWARE &amp; HINGES</v>
          </cell>
          <cell r="D11040" t="str">
            <v>SPORB</v>
          </cell>
          <cell r="BA11040">
            <v>6.59</v>
          </cell>
        </row>
        <row r="11041">
          <cell r="C11041" t="str">
            <v>4510 - MISC HARDWARE &amp; HINGES</v>
          </cell>
          <cell r="D11041" t="str">
            <v>K83536-26</v>
          </cell>
          <cell r="BA11041">
            <v>5.39</v>
          </cell>
        </row>
        <row r="11042">
          <cell r="C11042" t="str">
            <v>4510 - MISC HARDWARE &amp; HINGES</v>
          </cell>
          <cell r="D11042" t="str">
            <v>DBS358US15</v>
          </cell>
          <cell r="BA11042">
            <v>6.19</v>
          </cell>
        </row>
        <row r="11043">
          <cell r="C11043" t="str">
            <v>4510 - MISC HARDWARE &amp; HINGES</v>
          </cell>
          <cell r="D11043" t="str">
            <v>DBS358US26</v>
          </cell>
          <cell r="BA11043">
            <v>5.99</v>
          </cell>
        </row>
        <row r="11044">
          <cell r="C11044" t="str">
            <v>4510 - MISC HARDWARE &amp; HINGES</v>
          </cell>
          <cell r="D11044" t="str">
            <v>FBOLTBB</v>
          </cell>
          <cell r="BA11044">
            <v>19.59</v>
          </cell>
        </row>
        <row r="11045">
          <cell r="C11045" t="str">
            <v>4510 - MISC HARDWARE &amp; HINGES</v>
          </cell>
          <cell r="D11045" t="str">
            <v>FBOLTSN</v>
          </cell>
          <cell r="BA11045">
            <v>5.99</v>
          </cell>
        </row>
        <row r="11046">
          <cell r="C11046" t="str">
            <v>4510 - MISC HARDWARE &amp; HINGES</v>
          </cell>
          <cell r="D11046" t="str">
            <v>FBOLTORB</v>
          </cell>
          <cell r="BA11046">
            <v>3.89</v>
          </cell>
        </row>
        <row r="11047">
          <cell r="C11047" t="str">
            <v>4510 - MISC HARDWARE &amp; HINGES</v>
          </cell>
          <cell r="D11047" t="str">
            <v>RPASTFBFSATNICKL</v>
          </cell>
          <cell r="BA11047">
            <v>3.79</v>
          </cell>
        </row>
        <row r="11048">
          <cell r="C11048" t="str">
            <v>4510 - MISC HARDWARE &amp; HINGES</v>
          </cell>
          <cell r="D11048" t="str">
            <v>RPAST-FBF-BRONZE</v>
          </cell>
          <cell r="BA11048">
            <v>3.79</v>
          </cell>
        </row>
        <row r="11049">
          <cell r="C11049" t="str">
            <v>4510 - MISC HARDWARE &amp; HINGES</v>
          </cell>
          <cell r="D11049" t="str">
            <v>FBOLT12ORB</v>
          </cell>
          <cell r="BA11049">
            <v>24.79</v>
          </cell>
        </row>
        <row r="11050">
          <cell r="C11050" t="str">
            <v>4510 - MISC HARDWARE &amp; HINGES</v>
          </cell>
          <cell r="D11050" t="str">
            <v>FBOLT12SN</v>
          </cell>
          <cell r="BA11050">
            <v>23.19</v>
          </cell>
        </row>
        <row r="11051">
          <cell r="C11051" t="str">
            <v>4510 - MISC HARDWARE &amp; HINGES</v>
          </cell>
          <cell r="D11051" t="str">
            <v>FBSPORB</v>
          </cell>
          <cell r="BA11051">
            <v>2.4900000000000002</v>
          </cell>
        </row>
        <row r="11052">
          <cell r="C11052" t="str">
            <v>4510 - MISC HARDWARE &amp; HINGES</v>
          </cell>
          <cell r="D11052" t="str">
            <v>N221-689</v>
          </cell>
          <cell r="BA11052">
            <v>2.99</v>
          </cell>
        </row>
        <row r="11053">
          <cell r="C11053" t="str">
            <v>4510 - MISC HARDWARE &amp; HINGES</v>
          </cell>
          <cell r="D11053" t="str">
            <v>N220-889</v>
          </cell>
          <cell r="BA11053">
            <v>3.29</v>
          </cell>
        </row>
        <row r="11054">
          <cell r="C11054" t="str">
            <v>4510 - MISC HARDWARE &amp; HINGES</v>
          </cell>
          <cell r="D11054" t="str">
            <v>WD11848</v>
          </cell>
          <cell r="BA11054">
            <v>6.49</v>
          </cell>
        </row>
        <row r="11055">
          <cell r="C11055" t="str">
            <v>4510 - MISC HARDWARE &amp; HINGES</v>
          </cell>
          <cell r="D11055" t="str">
            <v>N220-418</v>
          </cell>
          <cell r="BA11055">
            <v>2.99</v>
          </cell>
        </row>
        <row r="11056">
          <cell r="C11056" t="str">
            <v>4510 - MISC HARDWARE &amp; HINGES</v>
          </cell>
          <cell r="D11056" t="str">
            <v>AA54070</v>
          </cell>
          <cell r="BA11056">
            <v>9.99</v>
          </cell>
        </row>
        <row r="11057">
          <cell r="C11057" t="str">
            <v>4510 - MISC HARDWARE &amp; HINGES</v>
          </cell>
          <cell r="D11057" t="str">
            <v>HC1436LF</v>
          </cell>
          <cell r="BA11057">
            <v>1.89</v>
          </cell>
        </row>
        <row r="11058">
          <cell r="C11058" t="str">
            <v>4510 - MISC HARDWARE &amp; HINGES</v>
          </cell>
          <cell r="D11058" t="str">
            <v>HC1236LF</v>
          </cell>
          <cell r="BA11058">
            <v>1.89</v>
          </cell>
        </row>
        <row r="11059">
          <cell r="C11059" t="str">
            <v>4510 - MISC HARDWARE &amp; HINGES</v>
          </cell>
          <cell r="D11059" t="str">
            <v>3TMP</v>
          </cell>
          <cell r="BA11059">
            <v>18.989999999999998</v>
          </cell>
        </row>
        <row r="11060">
          <cell r="C11060" t="str">
            <v>4510 - MISC HARDWARE &amp; HINGES</v>
          </cell>
          <cell r="D11060" t="str">
            <v>M40XKAD</v>
          </cell>
          <cell r="BA11060">
            <v>18.989999999999998</v>
          </cell>
        </row>
        <row r="11061">
          <cell r="C11061" t="str">
            <v>4510 - MISC HARDWARE &amp; HINGES</v>
          </cell>
          <cell r="D11061" t="str">
            <v>M40XT</v>
          </cell>
          <cell r="BA11061">
            <v>34.99</v>
          </cell>
        </row>
        <row r="11062">
          <cell r="C11062" t="str">
            <v>4510 - MISC HARDWARE &amp; HINGES</v>
          </cell>
          <cell r="D11062" t="str">
            <v>M115XTRILF</v>
          </cell>
          <cell r="BA11062">
            <v>32.99</v>
          </cell>
        </row>
        <row r="11063">
          <cell r="C11063" t="str">
            <v>4510 - MISC HARDWARE &amp; HINGES</v>
          </cell>
          <cell r="D11063" t="str">
            <v>510DWAS</v>
          </cell>
          <cell r="BA11063">
            <v>9.99</v>
          </cell>
        </row>
        <row r="11064">
          <cell r="C11064" t="str">
            <v>4510 - MISC HARDWARE &amp; HINGES</v>
          </cell>
          <cell r="D11064" t="str">
            <v>GB47-111UVB</v>
          </cell>
          <cell r="BA11064">
            <v>4.59</v>
          </cell>
        </row>
        <row r="11065">
          <cell r="C11065" t="str">
            <v>4510 - MISC HARDWARE &amp; HINGES</v>
          </cell>
          <cell r="D11065" t="str">
            <v>TAY25-ANC40</v>
          </cell>
          <cell r="BA11065">
            <v>6.89</v>
          </cell>
        </row>
        <row r="11066">
          <cell r="C11066" t="str">
            <v>4510 - MISC HARDWARE &amp; HINGES</v>
          </cell>
          <cell r="D11066" t="str">
            <v>TAY25-ANC41</v>
          </cell>
          <cell r="BA11066">
            <v>6.89</v>
          </cell>
        </row>
        <row r="11067">
          <cell r="C11067" t="str">
            <v>4510 - MISC HARDWARE &amp; HINGES</v>
          </cell>
          <cell r="D11067" t="str">
            <v>TAY25-ANC42</v>
          </cell>
          <cell r="BA11067">
            <v>6.89</v>
          </cell>
        </row>
        <row r="11068">
          <cell r="C11068" t="str">
            <v>4510 - MISC HARDWARE &amp; HINGES</v>
          </cell>
          <cell r="D11068" t="str">
            <v>TAY25-ANC43</v>
          </cell>
          <cell r="BA11068">
            <v>6.89</v>
          </cell>
        </row>
        <row r="11069">
          <cell r="C11069" t="str">
            <v>4510 - MISC HARDWARE &amp; HINGES</v>
          </cell>
          <cell r="D11069" t="str">
            <v>TAY25-ANC44</v>
          </cell>
          <cell r="BA11069">
            <v>6.89</v>
          </cell>
        </row>
        <row r="11070">
          <cell r="C11070" t="str">
            <v>4510 - MISC HARDWARE &amp; HINGES</v>
          </cell>
          <cell r="D11070" t="str">
            <v>TAY25-ANC45</v>
          </cell>
          <cell r="BA11070">
            <v>6.89</v>
          </cell>
        </row>
        <row r="11071">
          <cell r="C11071" t="str">
            <v>4510 - MISC HARDWARE &amp; HINGES</v>
          </cell>
          <cell r="D11071" t="str">
            <v>TAY25-ANC46</v>
          </cell>
          <cell r="BA11071">
            <v>6.89</v>
          </cell>
        </row>
        <row r="11072">
          <cell r="C11072" t="str">
            <v>4510 - MISC HARDWARE &amp; HINGES</v>
          </cell>
          <cell r="D11072" t="str">
            <v>TAY25-ANC47</v>
          </cell>
          <cell r="BA11072">
            <v>6.89</v>
          </cell>
        </row>
        <row r="11073">
          <cell r="C11073" t="str">
            <v>4510 - MISC HARDWARE &amp; HINGES</v>
          </cell>
          <cell r="D11073" t="str">
            <v>TAY25-ANC48</v>
          </cell>
          <cell r="BA11073">
            <v>6.89</v>
          </cell>
        </row>
        <row r="11074">
          <cell r="C11074" t="str">
            <v>4510 - MISC HARDWARE &amp; HINGES</v>
          </cell>
          <cell r="D11074" t="str">
            <v>TAY25-ANC49</v>
          </cell>
          <cell r="BA11074">
            <v>6.89</v>
          </cell>
        </row>
        <row r="11075">
          <cell r="C11075" t="str">
            <v>4510 - MISC HARDWARE &amp; HINGES</v>
          </cell>
          <cell r="D11075" t="str">
            <v>6NBRB0</v>
          </cell>
          <cell r="BA11075">
            <v>4.59</v>
          </cell>
        </row>
        <row r="11076">
          <cell r="C11076" t="str">
            <v>4510 - MISC HARDWARE &amp; HINGES</v>
          </cell>
          <cell r="D11076" t="str">
            <v>6NBRB1</v>
          </cell>
          <cell r="BA11076">
            <v>4.59</v>
          </cell>
        </row>
        <row r="11077">
          <cell r="C11077" t="str">
            <v>4510 - MISC HARDWARE &amp; HINGES</v>
          </cell>
          <cell r="D11077" t="str">
            <v>6NBRB2</v>
          </cell>
          <cell r="BA11077">
            <v>4.59</v>
          </cell>
        </row>
        <row r="11078">
          <cell r="C11078" t="str">
            <v>4510 - MISC HARDWARE &amp; HINGES</v>
          </cell>
          <cell r="D11078" t="str">
            <v>6NBRB3</v>
          </cell>
          <cell r="BA11078">
            <v>4.59</v>
          </cell>
        </row>
        <row r="11079">
          <cell r="C11079" t="str">
            <v>4510 - MISC HARDWARE &amp; HINGES</v>
          </cell>
          <cell r="D11079" t="str">
            <v>6NBRB4</v>
          </cell>
          <cell r="BA11079">
            <v>4.59</v>
          </cell>
        </row>
        <row r="11080">
          <cell r="C11080" t="str">
            <v>4510 - MISC HARDWARE &amp; HINGES</v>
          </cell>
          <cell r="D11080" t="str">
            <v>6NBRB5</v>
          </cell>
          <cell r="BA11080">
            <v>4.59</v>
          </cell>
        </row>
        <row r="11081">
          <cell r="C11081" t="str">
            <v>4510 - MISC HARDWARE &amp; HINGES</v>
          </cell>
          <cell r="D11081" t="str">
            <v>6NBRB6</v>
          </cell>
          <cell r="BA11081">
            <v>4.59</v>
          </cell>
        </row>
        <row r="11082">
          <cell r="C11082" t="str">
            <v>4510 - MISC HARDWARE &amp; HINGES</v>
          </cell>
          <cell r="D11082" t="str">
            <v>6NBRB7</v>
          </cell>
          <cell r="BA11082">
            <v>4.59</v>
          </cell>
        </row>
        <row r="11083">
          <cell r="C11083" t="str">
            <v>4510 - MISC HARDWARE &amp; HINGES</v>
          </cell>
          <cell r="D11083" t="str">
            <v>6NBRB8</v>
          </cell>
          <cell r="BA11083">
            <v>4.59</v>
          </cell>
        </row>
        <row r="11084">
          <cell r="C11084" t="str">
            <v>4510 - MISC HARDWARE &amp; HINGES</v>
          </cell>
          <cell r="D11084" t="str">
            <v>6NBRB9</v>
          </cell>
          <cell r="BA11084">
            <v>4.59</v>
          </cell>
        </row>
        <row r="11085">
          <cell r="C11085" t="str">
            <v>4510 - MISC HARDWARE &amp; HINGES</v>
          </cell>
          <cell r="D11085" t="str">
            <v>TAY25-NZP40</v>
          </cell>
          <cell r="BA11085">
            <v>1.49</v>
          </cell>
        </row>
        <row r="11086">
          <cell r="C11086" t="str">
            <v>4510 - MISC HARDWARE &amp; HINGES</v>
          </cell>
          <cell r="D11086" t="str">
            <v>TAY25-NZP41</v>
          </cell>
          <cell r="BA11086">
            <v>17.690000000000001</v>
          </cell>
        </row>
        <row r="11087">
          <cell r="C11087" t="str">
            <v>4510 - MISC HARDWARE &amp; HINGES</v>
          </cell>
          <cell r="D11087" t="str">
            <v>TAY25-NZP42</v>
          </cell>
          <cell r="BA11087">
            <v>1.39</v>
          </cell>
        </row>
        <row r="11088">
          <cell r="C11088" t="str">
            <v>4510 - MISC HARDWARE &amp; HINGES</v>
          </cell>
          <cell r="D11088" t="str">
            <v>TAY25-NZP43</v>
          </cell>
          <cell r="BA11088">
            <v>1.49</v>
          </cell>
        </row>
        <row r="11089">
          <cell r="C11089" t="str">
            <v>4510 - MISC HARDWARE &amp; HINGES</v>
          </cell>
          <cell r="D11089" t="str">
            <v>TAY25-NZP44</v>
          </cell>
          <cell r="BA11089">
            <v>1.39</v>
          </cell>
        </row>
        <row r="11090">
          <cell r="C11090" t="str">
            <v>4510 - MISC HARDWARE &amp; HINGES</v>
          </cell>
          <cell r="D11090" t="str">
            <v>TAY25-NZP45</v>
          </cell>
          <cell r="BA11090">
            <v>1.39</v>
          </cell>
        </row>
        <row r="11091">
          <cell r="C11091" t="str">
            <v>4510 - MISC HARDWARE &amp; HINGES</v>
          </cell>
          <cell r="D11091" t="str">
            <v>TAY25-NZP46</v>
          </cell>
          <cell r="BA11091">
            <v>1.39</v>
          </cell>
        </row>
        <row r="11092">
          <cell r="C11092" t="str">
            <v>4510 - MISC HARDWARE &amp; HINGES</v>
          </cell>
          <cell r="D11092" t="str">
            <v>TAY25-NZP47</v>
          </cell>
          <cell r="BA11092">
            <v>1.49</v>
          </cell>
        </row>
        <row r="11093">
          <cell r="C11093" t="str">
            <v>4510 - MISC HARDWARE &amp; HINGES</v>
          </cell>
          <cell r="D11093" t="str">
            <v>TAY25-NZP48</v>
          </cell>
          <cell r="BA11093">
            <v>1.49</v>
          </cell>
        </row>
        <row r="11094">
          <cell r="C11094" t="str">
            <v>4510 - MISC HARDWARE &amp; HINGES</v>
          </cell>
          <cell r="D11094" t="str">
            <v>TAY25-NZP49</v>
          </cell>
          <cell r="BA11094">
            <v>1.39</v>
          </cell>
        </row>
        <row r="11095">
          <cell r="C11095" t="str">
            <v>4510 - MISC HARDWARE &amp; HINGES</v>
          </cell>
          <cell r="D11095" t="str">
            <v>TAYM25-ANB40</v>
          </cell>
          <cell r="BA11095">
            <v>6.89</v>
          </cell>
        </row>
        <row r="11096">
          <cell r="C11096" t="str">
            <v>4510 - MISC HARDWARE &amp; HINGES</v>
          </cell>
          <cell r="D11096" t="str">
            <v>TAYM25-ANB41</v>
          </cell>
          <cell r="BA11096">
            <v>6.89</v>
          </cell>
        </row>
        <row r="11097">
          <cell r="C11097" t="str">
            <v>4510 - MISC HARDWARE &amp; HINGES</v>
          </cell>
          <cell r="D11097" t="str">
            <v>TAYM25-ANB42</v>
          </cell>
          <cell r="BA11097">
            <v>6.89</v>
          </cell>
        </row>
        <row r="11098">
          <cell r="C11098" t="str">
            <v>4510 - MISC HARDWARE &amp; HINGES</v>
          </cell>
          <cell r="D11098" t="str">
            <v>TAYM25-ANB43</v>
          </cell>
          <cell r="BA11098">
            <v>6.89</v>
          </cell>
        </row>
        <row r="11099">
          <cell r="C11099" t="str">
            <v>4510 - MISC HARDWARE &amp; HINGES</v>
          </cell>
          <cell r="D11099" t="str">
            <v>TAYM25-ANB44</v>
          </cell>
          <cell r="BA11099">
            <v>6.89</v>
          </cell>
        </row>
        <row r="11100">
          <cell r="C11100" t="str">
            <v>4510 - MISC HARDWARE &amp; HINGES</v>
          </cell>
          <cell r="D11100" t="str">
            <v>TAYM25-ANB45</v>
          </cell>
          <cell r="BA11100">
            <v>6.89</v>
          </cell>
        </row>
        <row r="11101">
          <cell r="C11101" t="str">
            <v>4510 - MISC HARDWARE &amp; HINGES</v>
          </cell>
          <cell r="D11101" t="str">
            <v>TAYM25-ANB46</v>
          </cell>
          <cell r="BA11101">
            <v>6.89</v>
          </cell>
        </row>
        <row r="11102">
          <cell r="C11102" t="str">
            <v>4510 - MISC HARDWARE &amp; HINGES</v>
          </cell>
          <cell r="D11102" t="str">
            <v>TAYM25-ANB47</v>
          </cell>
          <cell r="BA11102">
            <v>6.89</v>
          </cell>
        </row>
        <row r="11103">
          <cell r="C11103" t="str">
            <v>4510 - MISC HARDWARE &amp; HINGES</v>
          </cell>
          <cell r="D11103" t="str">
            <v>TAYM25-ANB48</v>
          </cell>
          <cell r="BA11103">
            <v>6.89</v>
          </cell>
        </row>
        <row r="11104">
          <cell r="C11104" t="str">
            <v>4510 - MISC HARDWARE &amp; HINGES</v>
          </cell>
          <cell r="D11104" t="str">
            <v>TAYM25-ANB49</v>
          </cell>
          <cell r="BA11104">
            <v>6.89</v>
          </cell>
        </row>
        <row r="11105">
          <cell r="C11105" t="str">
            <v>4510 - MISC HARDWARE &amp; HINGES</v>
          </cell>
          <cell r="D11105" t="str">
            <v>4NBRSN1</v>
          </cell>
          <cell r="BA11105">
            <v>3.59</v>
          </cell>
        </row>
        <row r="11106">
          <cell r="C11106" t="str">
            <v>4510 - MISC HARDWARE &amp; HINGES</v>
          </cell>
          <cell r="D11106" t="str">
            <v>4NBRSN2</v>
          </cell>
          <cell r="BA11106">
            <v>3.59</v>
          </cell>
        </row>
        <row r="11107">
          <cell r="C11107" t="str">
            <v>4510 - MISC HARDWARE &amp; HINGES</v>
          </cell>
          <cell r="D11107" t="str">
            <v>4NBRSN3</v>
          </cell>
          <cell r="BA11107">
            <v>2.79</v>
          </cell>
        </row>
        <row r="11108">
          <cell r="C11108" t="str">
            <v>4510 - MISC HARDWARE &amp; HINGES</v>
          </cell>
          <cell r="D11108" t="str">
            <v>4NBRSN4</v>
          </cell>
          <cell r="BA11108">
            <v>2.69</v>
          </cell>
        </row>
        <row r="11109">
          <cell r="C11109" t="str">
            <v>4510 - MISC HARDWARE &amp; HINGES</v>
          </cell>
          <cell r="D11109" t="str">
            <v>4NBRSN5</v>
          </cell>
          <cell r="BA11109">
            <v>2.79</v>
          </cell>
        </row>
        <row r="11110">
          <cell r="C11110" t="str">
            <v>4510 - MISC HARDWARE &amp; HINGES</v>
          </cell>
          <cell r="D11110" t="str">
            <v>4NBRSN6</v>
          </cell>
          <cell r="BA11110">
            <v>3.19</v>
          </cell>
        </row>
        <row r="11111">
          <cell r="C11111" t="str">
            <v>4510 - MISC HARDWARE &amp; HINGES</v>
          </cell>
          <cell r="D11111" t="str">
            <v>4NBRSN7</v>
          </cell>
          <cell r="BA11111">
            <v>0.01</v>
          </cell>
        </row>
        <row r="11112">
          <cell r="C11112" t="str">
            <v>4510 - MISC HARDWARE &amp; HINGES</v>
          </cell>
          <cell r="D11112" t="str">
            <v>4NBRSN9</v>
          </cell>
          <cell r="BA11112">
            <v>1.29</v>
          </cell>
        </row>
        <row r="11113">
          <cell r="C11113" t="str">
            <v>4510 - MISC HARDWARE &amp; HINGES</v>
          </cell>
          <cell r="D11113" t="str">
            <v>78912TR</v>
          </cell>
          <cell r="BA11113">
            <v>8.99</v>
          </cell>
        </row>
        <row r="11114">
          <cell r="C11114" t="str">
            <v>4510 - MISC HARDWARE &amp; HINGES</v>
          </cell>
          <cell r="D11114" t="str">
            <v>136TR</v>
          </cell>
          <cell r="BA11114">
            <v>29.29</v>
          </cell>
        </row>
        <row r="11115">
          <cell r="C11115" t="str">
            <v>4510 - MISC HARDWARE &amp; HINGES</v>
          </cell>
          <cell r="D11115" t="str">
            <v>121148ATR</v>
          </cell>
          <cell r="BA11115">
            <v>9.99</v>
          </cell>
        </row>
        <row r="11116">
          <cell r="C11116" t="str">
            <v>4510 - MISC HARDWARE &amp; HINGES</v>
          </cell>
          <cell r="D11116" t="str">
            <v>1212ATR</v>
          </cell>
          <cell r="BA11116">
            <v>3.99</v>
          </cell>
        </row>
        <row r="11117">
          <cell r="C11117" t="str">
            <v>4510 - MISC HARDWARE &amp; HINGES</v>
          </cell>
          <cell r="D11117" t="str">
            <v>1224ATR</v>
          </cell>
          <cell r="BA11117">
            <v>6.09</v>
          </cell>
        </row>
        <row r="11118">
          <cell r="C11118" t="str">
            <v>4510 - MISC HARDWARE &amp; HINGES</v>
          </cell>
          <cell r="D11118" t="str">
            <v>1236ATR</v>
          </cell>
          <cell r="BA11118">
            <v>7.29</v>
          </cell>
        </row>
        <row r="11119">
          <cell r="C11119" t="str">
            <v>4510 - MISC HARDWARE &amp; HINGES</v>
          </cell>
          <cell r="D11119" t="str">
            <v>ATR1/2X72</v>
          </cell>
          <cell r="BA11119">
            <v>18.09</v>
          </cell>
        </row>
        <row r="11120">
          <cell r="C11120" t="str">
            <v>4510 - MISC HARDWARE &amp; HINGES</v>
          </cell>
          <cell r="D11120" t="str">
            <v>136ATR</v>
          </cell>
          <cell r="BA11120">
            <v>19.489999999999998</v>
          </cell>
        </row>
        <row r="11121">
          <cell r="C11121" t="str">
            <v>4510 - MISC HARDWARE &amp; HINGES</v>
          </cell>
          <cell r="D11121" t="str">
            <v>172ATR</v>
          </cell>
          <cell r="BA11121">
            <v>45.99</v>
          </cell>
        </row>
        <row r="11122">
          <cell r="C11122" t="str">
            <v>4510 - MISC HARDWARE &amp; HINGES</v>
          </cell>
          <cell r="D11122" t="str">
            <v>3824ZATR</v>
          </cell>
          <cell r="BA11122">
            <v>3.29</v>
          </cell>
        </row>
        <row r="11123">
          <cell r="C11123" t="str">
            <v>4510 - MISC HARDWARE &amp; HINGES</v>
          </cell>
          <cell r="D11123" t="str">
            <v>5812ATR</v>
          </cell>
          <cell r="BA11123">
            <v>4.3899999999999997</v>
          </cell>
        </row>
        <row r="11124">
          <cell r="C11124" t="str">
            <v>4510 - MISC HARDWARE &amp; HINGES</v>
          </cell>
          <cell r="D11124" t="str">
            <v>58144ATR</v>
          </cell>
          <cell r="BA11124">
            <v>24.89</v>
          </cell>
        </row>
        <row r="11125">
          <cell r="C11125" t="str">
            <v>4510 - MISC HARDWARE &amp; HINGES</v>
          </cell>
          <cell r="D11125" t="str">
            <v>ATR5/8X24</v>
          </cell>
          <cell r="BA11125">
            <v>6.39</v>
          </cell>
        </row>
        <row r="11126">
          <cell r="C11126" t="str">
            <v>4510 - MISC HARDWARE &amp; HINGES</v>
          </cell>
          <cell r="D11126" t="str">
            <v>5836ATR</v>
          </cell>
          <cell r="BA11126">
            <v>9.99</v>
          </cell>
        </row>
        <row r="11127">
          <cell r="C11127" t="str">
            <v>4510 - MISC HARDWARE &amp; HINGES</v>
          </cell>
          <cell r="D11127" t="str">
            <v>5848ATR</v>
          </cell>
          <cell r="BA11127">
            <v>11.49</v>
          </cell>
        </row>
        <row r="11128">
          <cell r="C11128" t="str">
            <v>4510 - MISC HARDWARE &amp; HINGES</v>
          </cell>
          <cell r="D11128" t="str">
            <v>ATR5/8X72</v>
          </cell>
          <cell r="BA11128">
            <v>16.29</v>
          </cell>
        </row>
        <row r="11129">
          <cell r="C11129" t="str">
            <v>4510 - MISC HARDWARE &amp; HINGES</v>
          </cell>
          <cell r="D11129" t="str">
            <v>7812ATR</v>
          </cell>
          <cell r="BA11129">
            <v>7.89</v>
          </cell>
        </row>
        <row r="11130">
          <cell r="C11130" t="str">
            <v>4510 - MISC HARDWARE &amp; HINGES</v>
          </cell>
          <cell r="D11130" t="str">
            <v>7824ATR</v>
          </cell>
          <cell r="BA11130">
            <v>15.39</v>
          </cell>
        </row>
        <row r="11131">
          <cell r="C11131" t="str">
            <v>4510 - MISC HARDWARE &amp; HINGES</v>
          </cell>
          <cell r="D11131" t="str">
            <v>7836ATR</v>
          </cell>
          <cell r="BA11131">
            <v>19.690000000000001</v>
          </cell>
        </row>
        <row r="11132">
          <cell r="C11132" t="str">
            <v>4510 - MISC HARDWARE &amp; HINGES</v>
          </cell>
          <cell r="D11132" t="str">
            <v>7872ATR</v>
          </cell>
          <cell r="BA11132">
            <v>39.49</v>
          </cell>
        </row>
        <row r="11133">
          <cell r="C11133" t="str">
            <v>4510 - MISC HARDWARE &amp; HINGES</v>
          </cell>
          <cell r="D11133" t="str">
            <v>78924ATR</v>
          </cell>
          <cell r="BA11133">
            <v>21.19</v>
          </cell>
        </row>
        <row r="11134">
          <cell r="C11134" t="str">
            <v>4510 - MISC HARDWARE &amp; HINGES</v>
          </cell>
          <cell r="D11134" t="str">
            <v>78948ATR</v>
          </cell>
          <cell r="BA11134">
            <v>29.09</v>
          </cell>
        </row>
        <row r="11135">
          <cell r="C11135" t="str">
            <v>4510 - MISC HARDWARE &amp; HINGES</v>
          </cell>
          <cell r="D11135" t="str">
            <v>172ZATR</v>
          </cell>
          <cell r="BA11135">
            <v>42.19</v>
          </cell>
        </row>
        <row r="11136">
          <cell r="C11136" t="str">
            <v>4510 - MISC HARDWARE &amp; HINGES</v>
          </cell>
          <cell r="D11136" t="str">
            <v>581112ATZ</v>
          </cell>
          <cell r="BA11136">
            <v>5.09</v>
          </cell>
        </row>
        <row r="11137">
          <cell r="C11137" t="str">
            <v>4510 - MISC HARDWARE &amp; HINGES</v>
          </cell>
          <cell r="D11137" t="str">
            <v>5824TR</v>
          </cell>
          <cell r="BA11137">
            <v>8.19</v>
          </cell>
        </row>
        <row r="11138">
          <cell r="C11138" t="str">
            <v>4510 - MISC HARDWARE &amp; HINGES</v>
          </cell>
          <cell r="D11138" t="str">
            <v>5848ATRZ</v>
          </cell>
          <cell r="BA11138">
            <v>15.79</v>
          </cell>
        </row>
        <row r="11139">
          <cell r="C11139" t="str">
            <v>4510 - MISC HARDWARE &amp; HINGES</v>
          </cell>
          <cell r="D11139" t="str">
            <v>N179-358</v>
          </cell>
          <cell r="BA11139">
            <v>3.79</v>
          </cell>
        </row>
        <row r="11140">
          <cell r="C11140" t="str">
            <v>4510 - MISC HARDWARE &amp; HINGES</v>
          </cell>
          <cell r="D11140" t="str">
            <v>N179-366</v>
          </cell>
          <cell r="BA11140">
            <v>4.59</v>
          </cell>
        </row>
        <row r="11141">
          <cell r="C11141" t="str">
            <v>4510 - MISC HARDWARE &amp; HINGES</v>
          </cell>
          <cell r="D11141" t="str">
            <v>N179-465</v>
          </cell>
          <cell r="BA11141">
            <v>8.69</v>
          </cell>
        </row>
        <row r="11142">
          <cell r="C11142" t="str">
            <v>4510 - MISC HARDWARE &amp; HINGES</v>
          </cell>
          <cell r="D11142" t="str">
            <v>MD71506</v>
          </cell>
          <cell r="BA11142">
            <v>4.99</v>
          </cell>
        </row>
        <row r="11143">
          <cell r="C11143" t="str">
            <v>4510 - MISC HARDWARE &amp; HINGES</v>
          </cell>
          <cell r="D11143" t="str">
            <v>MD17368</v>
          </cell>
          <cell r="BA11143">
            <v>4.59</v>
          </cell>
        </row>
        <row r="11144">
          <cell r="C11144" t="str">
            <v>4510 - MISC HARDWARE &amp; HINGES</v>
          </cell>
          <cell r="D11144" t="str">
            <v>MD71480</v>
          </cell>
          <cell r="BA11144">
            <v>4.29</v>
          </cell>
        </row>
        <row r="11145">
          <cell r="C11145" t="str">
            <v>4510 - MISC HARDWARE &amp; HINGES</v>
          </cell>
          <cell r="D11145" t="str">
            <v>MD71464</v>
          </cell>
          <cell r="BA11145">
            <v>3.99</v>
          </cell>
        </row>
        <row r="11146">
          <cell r="C11146" t="str">
            <v>4510 - MISC HARDWARE &amp; HINGES</v>
          </cell>
          <cell r="D11146" t="str">
            <v>WD3848</v>
          </cell>
          <cell r="BA11146">
            <v>1.39</v>
          </cell>
        </row>
        <row r="11147">
          <cell r="C11147" t="str">
            <v>4510 - MISC HARDWARE &amp; HINGES</v>
          </cell>
          <cell r="D11147" t="str">
            <v>WD11436</v>
          </cell>
          <cell r="BA11147">
            <v>8.99</v>
          </cell>
        </row>
        <row r="11148">
          <cell r="C11148" t="str">
            <v>4510 - MISC HARDWARE &amp; HINGES</v>
          </cell>
          <cell r="D11148" t="str">
            <v>WD1248</v>
          </cell>
          <cell r="BA11148">
            <v>2.39</v>
          </cell>
        </row>
        <row r="11149">
          <cell r="C11149" t="str">
            <v>4510 - MISC HARDWARE &amp; HINGES</v>
          </cell>
          <cell r="D11149" t="str">
            <v>WD31648</v>
          </cell>
          <cell r="BA11149">
            <v>0.89</v>
          </cell>
        </row>
        <row r="11150">
          <cell r="C11150" t="str">
            <v>4510 - MISC HARDWARE &amp; HINGES</v>
          </cell>
          <cell r="D11150" t="str">
            <v>WD1448</v>
          </cell>
          <cell r="BA11150">
            <v>1.39</v>
          </cell>
        </row>
        <row r="11151">
          <cell r="C11151" t="str">
            <v>4510 - MISC HARDWARE &amp; HINGES</v>
          </cell>
          <cell r="D11151" t="str">
            <v>WD1848</v>
          </cell>
          <cell r="BA11151">
            <v>0.99</v>
          </cell>
        </row>
        <row r="11152">
          <cell r="C11152" t="str">
            <v>4510 - MISC HARDWARE &amp; HINGES</v>
          </cell>
          <cell r="D11152" t="str">
            <v>WD5848</v>
          </cell>
          <cell r="BA11152">
            <v>3.49</v>
          </cell>
        </row>
        <row r="11153">
          <cell r="C11153" t="str">
            <v>4510 - MISC HARDWARE &amp; HINGES</v>
          </cell>
          <cell r="D11153" t="str">
            <v>WD3448</v>
          </cell>
          <cell r="BA11153">
            <v>4.79</v>
          </cell>
        </row>
        <row r="11154">
          <cell r="C11154" t="str">
            <v>4510 - MISC HARDWARE &amp; HINGES</v>
          </cell>
          <cell r="D11154" t="str">
            <v>WD7848</v>
          </cell>
          <cell r="BA11154">
            <v>4.99</v>
          </cell>
        </row>
        <row r="11155">
          <cell r="C11155" t="str">
            <v>4510 - MISC HARDWARE &amp; HINGES</v>
          </cell>
          <cell r="D11155" t="str">
            <v>WD148</v>
          </cell>
          <cell r="BA11155">
            <v>5.69</v>
          </cell>
        </row>
        <row r="11156">
          <cell r="C11156" t="str">
            <v>4510 - MISC HARDWARE &amp; HINGES</v>
          </cell>
          <cell r="D11156" t="str">
            <v>WM6405UB</v>
          </cell>
          <cell r="BA11156">
            <v>1.39</v>
          </cell>
        </row>
        <row r="11157">
          <cell r="C11157" t="str">
            <v>4510 - MISC HARDWARE &amp; HINGES</v>
          </cell>
          <cell r="D11157" t="str">
            <v>RP548</v>
          </cell>
          <cell r="BA11157">
            <v>4.99</v>
          </cell>
        </row>
        <row r="11158">
          <cell r="C11158" t="str">
            <v>4510 - MISC HARDWARE &amp; HINGES</v>
          </cell>
          <cell r="D11158" t="str">
            <v>ITWHD222</v>
          </cell>
          <cell r="BA11158">
            <v>34.99</v>
          </cell>
        </row>
        <row r="11159">
          <cell r="C11159" t="str">
            <v>4510 - MISC HARDWARE &amp; HINGES</v>
          </cell>
          <cell r="D11159" t="str">
            <v>AI3303</v>
          </cell>
          <cell r="BA11159">
            <v>47.99</v>
          </cell>
        </row>
        <row r="11160">
          <cell r="C11160" t="str">
            <v>4510 - MISC HARDWARE &amp; HINGES</v>
          </cell>
          <cell r="D11160" t="str">
            <v>AI7249</v>
          </cell>
          <cell r="BA11160">
            <v>10.99</v>
          </cell>
        </row>
        <row r="11161">
          <cell r="C11161" t="str">
            <v>4510 - MISC HARDWARE &amp; HINGES</v>
          </cell>
          <cell r="D11161" t="str">
            <v>AI7211</v>
          </cell>
          <cell r="BA11161">
            <v>4.6900000000000004</v>
          </cell>
        </row>
        <row r="11162">
          <cell r="C11162" t="str">
            <v>4510 - MISC HARDWARE &amp; HINGES</v>
          </cell>
          <cell r="D11162" t="str">
            <v>AI7158</v>
          </cell>
          <cell r="BA11162">
            <v>6.99</v>
          </cell>
        </row>
        <row r="11163">
          <cell r="C11163" t="str">
            <v>4510 - MISC HARDWARE &amp; HINGES</v>
          </cell>
          <cell r="D11163" t="str">
            <v>AI7245</v>
          </cell>
          <cell r="BA11163">
            <v>10.99</v>
          </cell>
        </row>
        <row r="11164">
          <cell r="C11164" t="str">
            <v>4510 - MISC HARDWARE &amp; HINGES</v>
          </cell>
          <cell r="D11164" t="str">
            <v>AI4019</v>
          </cell>
          <cell r="BA11164">
            <v>4.79</v>
          </cell>
        </row>
        <row r="11165">
          <cell r="C11165" t="str">
            <v>4510 - MISC HARDWARE &amp; HINGES</v>
          </cell>
          <cell r="D11165" t="str">
            <v>AI4474</v>
          </cell>
          <cell r="BA11165">
            <v>6.99</v>
          </cell>
        </row>
        <row r="11166">
          <cell r="C11166" t="str">
            <v>4510 - MISC HARDWARE &amp; HINGES</v>
          </cell>
          <cell r="D11166" t="str">
            <v>AI4473</v>
          </cell>
          <cell r="BA11166">
            <v>6.99</v>
          </cell>
        </row>
        <row r="11167">
          <cell r="C11167" t="str">
            <v>4510 - MISC HARDWARE &amp; HINGES</v>
          </cell>
          <cell r="D11167" t="str">
            <v>BPF22SGNDL4</v>
          </cell>
          <cell r="BA11167">
            <v>13.99</v>
          </cell>
        </row>
        <row r="11168">
          <cell r="C11168" t="str">
            <v>4510 - MISC HARDWARE &amp; HINGES</v>
          </cell>
          <cell r="D11168" t="str">
            <v>BPF22SGNDL3</v>
          </cell>
          <cell r="BA11168">
            <v>13.99</v>
          </cell>
        </row>
        <row r="11169">
          <cell r="C11169" t="str">
            <v>4510 - MISC HARDWARE &amp; HINGES</v>
          </cell>
          <cell r="D11169" t="str">
            <v>BPF27LS11L3</v>
          </cell>
          <cell r="BA11169">
            <v>14.99</v>
          </cell>
        </row>
        <row r="11170">
          <cell r="C11170" t="str">
            <v>4510 - MISC HARDWARE &amp; HINGES</v>
          </cell>
          <cell r="D11170" t="str">
            <v>BPF27LS11L3P</v>
          </cell>
          <cell r="BA11170">
            <v>15.99</v>
          </cell>
        </row>
        <row r="11171">
          <cell r="C11171" t="str">
            <v>4510 - MISC HARDWARE &amp; HINGES</v>
          </cell>
          <cell r="D11171" t="str">
            <v>BPF27LS11L4</v>
          </cell>
          <cell r="BA11171">
            <v>14.99</v>
          </cell>
        </row>
        <row r="11172">
          <cell r="C11172" t="str">
            <v>4510 - MISC HARDWARE &amp; HINGES</v>
          </cell>
          <cell r="D11172" t="str">
            <v>BPF27LS11L5</v>
          </cell>
          <cell r="BA11172">
            <v>15.99</v>
          </cell>
        </row>
        <row r="11173">
          <cell r="C11173" t="str">
            <v>4510 - MISC HARDWARE &amp; HINGES</v>
          </cell>
          <cell r="D11173" t="str">
            <v>BPF27LS11L5P</v>
          </cell>
          <cell r="BA11173">
            <v>12.59</v>
          </cell>
        </row>
        <row r="11174">
          <cell r="C11174" t="str">
            <v>4510 - MISC HARDWARE &amp; HINGES</v>
          </cell>
          <cell r="D11174" t="str">
            <v>PDPAWL-287MG</v>
          </cell>
          <cell r="BA11174">
            <v>22.29</v>
          </cell>
        </row>
        <row r="11175">
          <cell r="C11175" t="str">
            <v>4510 - MISC HARDWARE &amp; HINGES</v>
          </cell>
          <cell r="D11175" t="str">
            <v>PDPAWL-287</v>
          </cell>
          <cell r="BA11175">
            <v>25.99</v>
          </cell>
        </row>
        <row r="11176">
          <cell r="C11176" t="str">
            <v>4510 - MISC HARDWARE &amp; HINGES</v>
          </cell>
          <cell r="D11176" t="str">
            <v>PDPAWL-150</v>
          </cell>
          <cell r="BA11176">
            <v>17.39</v>
          </cell>
        </row>
        <row r="11177">
          <cell r="C11177" t="str">
            <v>4510 - MISC HARDWARE &amp; HINGES</v>
          </cell>
          <cell r="D11177" t="str">
            <v>PDPAWL-100</v>
          </cell>
          <cell r="BA11177">
            <v>17.09</v>
          </cell>
        </row>
        <row r="11178">
          <cell r="C11178" t="str">
            <v>4510 - MISC HARDWARE &amp; HINGES</v>
          </cell>
          <cell r="D11178" t="str">
            <v>PDPA-100</v>
          </cell>
          <cell r="BA11178">
            <v>6.39</v>
          </cell>
        </row>
        <row r="11179">
          <cell r="C11179" t="str">
            <v>4510 - MISC HARDWARE &amp; HINGES</v>
          </cell>
          <cell r="D11179" t="str">
            <v>PDPA-200</v>
          </cell>
          <cell r="BA11179">
            <v>9.99</v>
          </cell>
        </row>
        <row r="11180">
          <cell r="C11180" t="str">
            <v>4510 - MISC HARDWARE &amp; HINGES</v>
          </cell>
          <cell r="D11180" t="str">
            <v>PDPA287</v>
          </cell>
          <cell r="BA11180">
            <v>14.29</v>
          </cell>
        </row>
        <row r="11181">
          <cell r="C11181" t="str">
            <v>4510 - MISC HARDWARE &amp; HINGES</v>
          </cell>
          <cell r="D11181" t="str">
            <v>GRMIXPIN</v>
          </cell>
          <cell r="BA11181">
            <v>11.19</v>
          </cell>
        </row>
        <row r="11182">
          <cell r="C11182" t="str">
            <v>4510 - MISC HARDWARE &amp; HINGES</v>
          </cell>
          <cell r="D11182" t="str">
            <v>GR1PIN</v>
          </cell>
          <cell r="BA11182">
            <v>6.09</v>
          </cell>
        </row>
        <row r="11183">
          <cell r="C11183" t="str">
            <v>4510 - MISC HARDWARE &amp; HINGES</v>
          </cell>
          <cell r="D11183" t="str">
            <v>GR114PIN</v>
          </cell>
          <cell r="BA11183">
            <v>9.49</v>
          </cell>
        </row>
        <row r="11184">
          <cell r="C11184" t="str">
            <v>4510 - MISC HARDWARE &amp; HINGES</v>
          </cell>
          <cell r="D11184" t="str">
            <v>GRDA17GLM</v>
          </cell>
          <cell r="BA11184">
            <v>27.19</v>
          </cell>
        </row>
        <row r="11185">
          <cell r="C11185" t="str">
            <v>4510 - MISC HARDWARE &amp; HINGES</v>
          </cell>
          <cell r="D11185" t="str">
            <v>HY11130</v>
          </cell>
          <cell r="BA11185">
            <v>6.49</v>
          </cell>
        </row>
        <row r="11186">
          <cell r="C11186" t="str">
            <v>4510 - MISC HARDWARE &amp; HINGES</v>
          </cell>
          <cell r="D11186" t="str">
            <v>HY06990</v>
          </cell>
          <cell r="BA11186">
            <v>12.99</v>
          </cell>
        </row>
        <row r="11187">
          <cell r="C11187" t="str">
            <v>4510 - MISC HARDWARE &amp; HINGES</v>
          </cell>
          <cell r="D11187" t="str">
            <v>HY12070</v>
          </cell>
          <cell r="BA11187">
            <v>14.99</v>
          </cell>
        </row>
        <row r="11188">
          <cell r="C11188" t="str">
            <v>4510 - MISC HARDWARE &amp; HINGES</v>
          </cell>
          <cell r="D11188" t="str">
            <v>AM46141</v>
          </cell>
          <cell r="BA11188">
            <v>45.99</v>
          </cell>
        </row>
        <row r="11189">
          <cell r="C11189" t="str">
            <v>4510 - MISC HARDWARE &amp; HINGES</v>
          </cell>
          <cell r="D11189" t="str">
            <v>MT926</v>
          </cell>
          <cell r="BA11189">
            <v>8.99</v>
          </cell>
        </row>
        <row r="11190">
          <cell r="C11190" t="str">
            <v>4510 - MISC HARDWARE &amp; HINGES</v>
          </cell>
          <cell r="D11190" t="str">
            <v>MT89</v>
          </cell>
          <cell r="BA11190">
            <v>17.989999999999998</v>
          </cell>
        </row>
        <row r="11191">
          <cell r="C11191" t="str">
            <v>4510 - MISC HARDWARE &amp; HINGES</v>
          </cell>
          <cell r="D11191" t="str">
            <v>15102RMM</v>
          </cell>
          <cell r="BA11191">
            <v>17.989999999999998</v>
          </cell>
        </row>
        <row r="11192">
          <cell r="C11192" t="str">
            <v>4510 - MISC HARDWARE &amp; HINGES</v>
          </cell>
          <cell r="D11192" t="str">
            <v>MIL36</v>
          </cell>
          <cell r="BA11192">
            <v>13.99</v>
          </cell>
        </row>
        <row r="11193">
          <cell r="C11193" t="str">
            <v>4510 - MISC HARDWARE &amp; HINGES</v>
          </cell>
          <cell r="D11193" t="str">
            <v>MIL132</v>
          </cell>
          <cell r="BA11193">
            <v>14.99</v>
          </cell>
        </row>
        <row r="11194">
          <cell r="C11194" t="str">
            <v>4510 - MISC HARDWARE &amp; HINGES</v>
          </cell>
          <cell r="D11194" t="str">
            <v>JOB75</v>
          </cell>
          <cell r="BA11194">
            <v>5.99</v>
          </cell>
        </row>
        <row r="11195">
          <cell r="C11195" t="str">
            <v>4510 - MISC HARDWARE &amp; HINGES</v>
          </cell>
          <cell r="D11195" t="str">
            <v>MIL122</v>
          </cell>
          <cell r="BA11195">
            <v>15.99</v>
          </cell>
        </row>
        <row r="11196">
          <cell r="C11196" t="str">
            <v>4510 - MISC HARDWARE &amp; HINGES</v>
          </cell>
          <cell r="D11196" t="str">
            <v>FBRAKE</v>
          </cell>
          <cell r="BA11196">
            <v>16.989999999999998</v>
          </cell>
        </row>
        <row r="11197">
          <cell r="C11197" t="str">
            <v>4510 - MISC HARDWARE &amp; HINGES</v>
          </cell>
          <cell r="D11197" t="str">
            <v>UGT78126</v>
          </cell>
          <cell r="BA11197">
            <v>49.39</v>
          </cell>
        </row>
        <row r="11198">
          <cell r="C11198" t="str">
            <v>4510 - MISC HARDWARE &amp; HINGES</v>
          </cell>
          <cell r="D11198" t="str">
            <v>WSW5</v>
          </cell>
          <cell r="BA11198">
            <v>15.99</v>
          </cell>
        </row>
        <row r="11199">
          <cell r="C11199" t="str">
            <v>4510 - MISC HARDWARE &amp; HINGES</v>
          </cell>
          <cell r="D11199" t="str">
            <v>WW2412</v>
          </cell>
          <cell r="BA11199">
            <v>20.190000000000001</v>
          </cell>
        </row>
        <row r="11200">
          <cell r="C11200" t="str">
            <v>4510 - MISC HARDWARE &amp; HINGES</v>
          </cell>
          <cell r="D11200" t="str">
            <v>WW2412EA</v>
          </cell>
          <cell r="BA11200">
            <v>16.39</v>
          </cell>
        </row>
        <row r="11201">
          <cell r="C11201" t="str">
            <v>4510 - MISC HARDWARE &amp; HINGES</v>
          </cell>
          <cell r="D11201" t="str">
            <v>WW241230</v>
          </cell>
          <cell r="BA11201">
            <v>10.19</v>
          </cell>
        </row>
        <row r="11202">
          <cell r="C11202" t="str">
            <v>4510 - MISC HARDWARE &amp; HINGES</v>
          </cell>
          <cell r="D11202" t="str">
            <v>VC4373569</v>
          </cell>
          <cell r="BA11202">
            <v>22.99</v>
          </cell>
        </row>
        <row r="11203">
          <cell r="C11203" t="str">
            <v>4510 - MISC HARDWARE &amp; HINGES</v>
          </cell>
          <cell r="D11203" t="str">
            <v>MT41300</v>
          </cell>
          <cell r="BA11203">
            <v>15.99</v>
          </cell>
        </row>
        <row r="11204">
          <cell r="C11204" t="str">
            <v>4510 - MISC HARDWARE &amp; HINGES</v>
          </cell>
          <cell r="D11204" t="str">
            <v>VB222</v>
          </cell>
          <cell r="BA11204">
            <v>6.49</v>
          </cell>
        </row>
        <row r="11205">
          <cell r="C11205" t="str">
            <v>4510 - MISC HARDWARE &amp; HINGES</v>
          </cell>
          <cell r="D11205" t="str">
            <v>TRI3430WB</v>
          </cell>
          <cell r="BA11205">
            <v>16.989999999999998</v>
          </cell>
        </row>
        <row r="11206">
          <cell r="C11206" t="str">
            <v>4510 - MISC HARDWARE &amp; HINGES</v>
          </cell>
          <cell r="D11206" t="str">
            <v>UGT46142</v>
          </cell>
          <cell r="BA11206">
            <v>59.99</v>
          </cell>
        </row>
        <row r="11207">
          <cell r="C11207" t="str">
            <v>4510 - MISC HARDWARE &amp; HINGES</v>
          </cell>
          <cell r="D11207" t="str">
            <v>MINYY-600-2</v>
          </cell>
          <cell r="BA11207">
            <v>159.99</v>
          </cell>
        </row>
        <row r="11208">
          <cell r="C11208" t="str">
            <v>4510 - MISC HARDWARE &amp; HINGES</v>
          </cell>
          <cell r="D11208" t="str">
            <v>PSHT-900</v>
          </cell>
          <cell r="BA11208">
            <v>97.99</v>
          </cell>
        </row>
        <row r="11209">
          <cell r="C11209" t="str">
            <v>4510 - MISC HARDWARE &amp; HINGES</v>
          </cell>
          <cell r="D11209" t="str">
            <v>FG637500GRAY</v>
          </cell>
          <cell r="BA11209">
            <v>21.99</v>
          </cell>
        </row>
        <row r="11210">
          <cell r="C11210" t="str">
            <v>4510 - MISC HARDWARE &amp; HINGES</v>
          </cell>
          <cell r="D11210" t="str">
            <v>SSK</v>
          </cell>
          <cell r="BA11210">
            <v>15.99</v>
          </cell>
        </row>
        <row r="11211">
          <cell r="C11211" t="str">
            <v>4510 - MISC HARDWARE &amp; HINGES</v>
          </cell>
          <cell r="D11211" t="str">
            <v>ADP428</v>
          </cell>
          <cell r="BA11211">
            <v>14.99</v>
          </cell>
        </row>
        <row r="11212">
          <cell r="C11212" t="str">
            <v>4510 - MISC HARDWARE &amp; HINGES</v>
          </cell>
          <cell r="D11212" t="str">
            <v>BBDP</v>
          </cell>
          <cell r="BA11212">
            <v>5.69</v>
          </cell>
        </row>
        <row r="11213">
          <cell r="C11213" t="str">
            <v>4510 - MISC HARDWARE &amp; HINGES</v>
          </cell>
          <cell r="D11213" t="str">
            <v>AB00010</v>
          </cell>
          <cell r="BA11213">
            <v>4.79</v>
          </cell>
        </row>
        <row r="11214">
          <cell r="C11214" t="str">
            <v>4510 - MISC HARDWARE &amp; HINGES</v>
          </cell>
          <cell r="D11214" t="str">
            <v>MNW11007</v>
          </cell>
          <cell r="BA11214">
            <v>7.99</v>
          </cell>
        </row>
        <row r="11215">
          <cell r="C11215" t="str">
            <v>4510 - MISC HARDWARE &amp; HINGES</v>
          </cell>
          <cell r="D11215" t="str">
            <v>MNW63486</v>
          </cell>
          <cell r="BA11215">
            <v>8.69</v>
          </cell>
        </row>
        <row r="11216">
          <cell r="C11216" t="str">
            <v>4510 - MISC HARDWARE &amp; HINGES</v>
          </cell>
          <cell r="D11216" t="str">
            <v>MNW63481</v>
          </cell>
          <cell r="BA11216">
            <v>8.69</v>
          </cell>
        </row>
        <row r="11217">
          <cell r="C11217" t="str">
            <v>4510 - MISC HARDWARE &amp; HINGES</v>
          </cell>
          <cell r="D11217" t="str">
            <v>MNW63482</v>
          </cell>
          <cell r="BA11217">
            <v>8.69</v>
          </cell>
        </row>
        <row r="11218">
          <cell r="C11218" t="str">
            <v>4510 - MISC HARDWARE &amp; HINGES</v>
          </cell>
          <cell r="D11218" t="str">
            <v>MNW63487</v>
          </cell>
          <cell r="BA11218">
            <v>8.69</v>
          </cell>
        </row>
        <row r="11219">
          <cell r="C11219" t="str">
            <v>4510 - MISC HARDWARE &amp; HINGES</v>
          </cell>
          <cell r="D11219" t="str">
            <v>MNW63483</v>
          </cell>
          <cell r="BA11219">
            <v>8.69</v>
          </cell>
        </row>
        <row r="11220">
          <cell r="C11220" t="str">
            <v>4510 - MISC HARDWARE &amp; HINGES</v>
          </cell>
          <cell r="D11220" t="str">
            <v>R106604-06</v>
          </cell>
          <cell r="BA11220">
            <v>5.99</v>
          </cell>
        </row>
        <row r="11221">
          <cell r="C11221" t="str">
            <v>4510 - MISC HARDWARE &amp; HINGES</v>
          </cell>
          <cell r="D11221" t="str">
            <v>WL7306</v>
          </cell>
          <cell r="BA11221">
            <v>219.99</v>
          </cell>
        </row>
        <row r="11222">
          <cell r="C11222" t="str">
            <v>4510 - MISC HARDWARE &amp; HINGES</v>
          </cell>
          <cell r="D11222" t="str">
            <v>8TIIGFL</v>
          </cell>
          <cell r="BA11222">
            <v>139.99</v>
          </cell>
        </row>
        <row r="11223">
          <cell r="C11223" t="str">
            <v>4510 - MISC HARDWARE &amp; HINGES</v>
          </cell>
          <cell r="D11223" t="str">
            <v>FS1506</v>
          </cell>
          <cell r="BA11223">
            <v>149.99</v>
          </cell>
        </row>
        <row r="11224">
          <cell r="C11224" t="str">
            <v>4510 - MISC HARDWARE &amp; HINGES</v>
          </cell>
          <cell r="D11224" t="str">
            <v>EETXB216CF</v>
          </cell>
          <cell r="BA11224">
            <v>42.99</v>
          </cell>
        </row>
        <row r="11225">
          <cell r="C11225" t="str">
            <v>4510 - MISC HARDWARE &amp; HINGES</v>
          </cell>
          <cell r="D11225" t="str">
            <v>EESKXL112</v>
          </cell>
          <cell r="BA11225">
            <v>15.99</v>
          </cell>
        </row>
        <row r="11226">
          <cell r="C11226" t="str">
            <v>4510 - MISC HARDWARE &amp; HINGES</v>
          </cell>
          <cell r="D11226" t="str">
            <v>SMOKE/CO</v>
          </cell>
          <cell r="BA11226">
            <v>54.99</v>
          </cell>
        </row>
        <row r="11227">
          <cell r="C11227" t="str">
            <v>4510 - MISC HARDWARE &amp; HINGES</v>
          </cell>
          <cell r="D11227" t="str">
            <v>CO400</v>
          </cell>
          <cell r="BA11227">
            <v>21.99</v>
          </cell>
        </row>
        <row r="11228">
          <cell r="C11228" t="str">
            <v>4510 - MISC HARDWARE &amp; HINGES</v>
          </cell>
          <cell r="D11228" t="str">
            <v>FA9120LBL</v>
          </cell>
          <cell r="BA11228">
            <v>29.99</v>
          </cell>
        </row>
        <row r="11229">
          <cell r="C11229" t="str">
            <v>4510 - MISC HARDWARE &amp; HINGES</v>
          </cell>
          <cell r="D11229" t="str">
            <v>FA1039855</v>
          </cell>
          <cell r="BA11229">
            <v>41.39</v>
          </cell>
        </row>
        <row r="11230">
          <cell r="C11230" t="str">
            <v>4510 - MISC HARDWARE &amp; HINGES</v>
          </cell>
          <cell r="D11230" t="str">
            <v>FA1046836</v>
          </cell>
          <cell r="BA11230">
            <v>22.99</v>
          </cell>
        </row>
        <row r="11231">
          <cell r="C11231" t="str">
            <v>4510 - MISC HARDWARE &amp; HINGES</v>
          </cell>
          <cell r="D11231" t="str">
            <v>FA1046731</v>
          </cell>
          <cell r="BA11231">
            <v>27.99</v>
          </cell>
        </row>
        <row r="11232">
          <cell r="C11232" t="str">
            <v>4510 - MISC HARDWARE &amp; HINGES</v>
          </cell>
          <cell r="D11232" t="str">
            <v>FASC9120LBL</v>
          </cell>
          <cell r="BA11232">
            <v>67.989999999999995</v>
          </cell>
        </row>
        <row r="11233">
          <cell r="C11233" t="str">
            <v>4510 - MISC HARDWARE &amp; HINGES</v>
          </cell>
          <cell r="D11233" t="str">
            <v>FA7010B</v>
          </cell>
          <cell r="BA11233">
            <v>22.99</v>
          </cell>
        </row>
        <row r="11234">
          <cell r="C11234" t="str">
            <v>4510 - MISC HARDWARE &amp; HINGES</v>
          </cell>
          <cell r="D11234" t="str">
            <v>CO606</v>
          </cell>
          <cell r="BA11234">
            <v>29.99</v>
          </cell>
        </row>
        <row r="11235">
          <cell r="C11235" t="str">
            <v>4510 - MISC HARDWARE &amp; HINGES</v>
          </cell>
          <cell r="D11235" t="str">
            <v>SW28828221</v>
          </cell>
          <cell r="BA11235">
            <v>39.99</v>
          </cell>
        </row>
        <row r="11236">
          <cell r="C11236" t="str">
            <v>4510 - MISC HARDWARE &amp; HINGES</v>
          </cell>
          <cell r="D11236" t="str">
            <v>SW28828228</v>
          </cell>
          <cell r="BA11236">
            <v>99.99</v>
          </cell>
        </row>
        <row r="11237">
          <cell r="C11237" t="str">
            <v>4510 - MISC HARDWARE &amp; HINGES</v>
          </cell>
          <cell r="D11237" t="str">
            <v>142NM25</v>
          </cell>
          <cell r="BA11237">
            <v>35.99</v>
          </cell>
        </row>
        <row r="11238">
          <cell r="C11238" t="str">
            <v>4510 - MISC HARDWARE &amp; HINGES</v>
          </cell>
          <cell r="D11238" t="str">
            <v>SW28827428</v>
          </cell>
          <cell r="BA11238">
            <v>72.989999999999995</v>
          </cell>
        </row>
        <row r="11239">
          <cell r="C11239" t="str">
            <v>4510 - MISC HARDWARE &amp; HINGES</v>
          </cell>
          <cell r="D11239" t="str">
            <v>SW28827455</v>
          </cell>
          <cell r="BA11239">
            <v>97.99</v>
          </cell>
        </row>
        <row r="11240">
          <cell r="C11240" t="str">
            <v>4510 - MISC HARDWARE &amp; HINGES</v>
          </cell>
          <cell r="D11240" t="str">
            <v>JM67454</v>
          </cell>
          <cell r="BA11240">
            <v>6.99</v>
          </cell>
        </row>
        <row r="11241">
          <cell r="C11241" t="str">
            <v>4510 - MISC HARDWARE &amp; HINGES</v>
          </cell>
          <cell r="D11241" t="str">
            <v>1PVCC</v>
          </cell>
          <cell r="BA11241">
            <v>9.99</v>
          </cell>
        </row>
        <row r="11242">
          <cell r="C11242" t="str">
            <v>4510 - MISC HARDWARE &amp; HINGES</v>
          </cell>
          <cell r="D11242" t="str">
            <v>11410PC</v>
          </cell>
          <cell r="BA11242">
            <v>13.99</v>
          </cell>
        </row>
        <row r="11243">
          <cell r="C11243" t="str">
            <v>4510 - MISC HARDWARE &amp; HINGES</v>
          </cell>
          <cell r="D11243" t="str">
            <v>11240C</v>
          </cell>
          <cell r="BA11243">
            <v>15.99</v>
          </cell>
        </row>
        <row r="11244">
          <cell r="C11244" t="str">
            <v>4510 - MISC HARDWARE &amp; HINGES</v>
          </cell>
          <cell r="D11244" t="str">
            <v>310PVCC40</v>
          </cell>
          <cell r="BA11244">
            <v>44.99</v>
          </cell>
        </row>
        <row r="11245">
          <cell r="C11245" t="str">
            <v>4510 - MISC HARDWARE &amp; HINGES</v>
          </cell>
          <cell r="D11245" t="str">
            <v>210PVCC</v>
          </cell>
          <cell r="BA11245">
            <v>19.989999999999998</v>
          </cell>
        </row>
        <row r="11246">
          <cell r="C11246" t="str">
            <v>4510 - MISC HARDWARE &amp; HINGES</v>
          </cell>
          <cell r="D11246" t="str">
            <v>1210EMTC</v>
          </cell>
          <cell r="BA11246">
            <v>6.99</v>
          </cell>
        </row>
        <row r="11247">
          <cell r="C11247" t="str">
            <v>4510 - MISC HARDWARE &amp; HINGES</v>
          </cell>
          <cell r="D11247" t="str">
            <v>3410GEC</v>
          </cell>
          <cell r="BA11247">
            <v>10.99</v>
          </cell>
        </row>
        <row r="11248">
          <cell r="C11248" t="str">
            <v>4510 - MISC HARDWARE &amp; HINGES</v>
          </cell>
          <cell r="D11248" t="str">
            <v>E940D</v>
          </cell>
          <cell r="BA11248">
            <v>0.49</v>
          </cell>
        </row>
        <row r="11249">
          <cell r="C11249" t="str">
            <v>4510 - MISC HARDWARE &amp; HINGES</v>
          </cell>
          <cell r="D11249" t="str">
            <v>E940E</v>
          </cell>
          <cell r="BA11249">
            <v>0.49</v>
          </cell>
        </row>
        <row r="11250">
          <cell r="C11250" t="str">
            <v>4510 - MISC HARDWARE &amp; HINGES</v>
          </cell>
          <cell r="D11250" t="str">
            <v>E940F</v>
          </cell>
          <cell r="BA11250">
            <v>0.79</v>
          </cell>
        </row>
        <row r="11251">
          <cell r="C11251" t="str">
            <v>4510 - MISC HARDWARE &amp; HINGES</v>
          </cell>
          <cell r="D11251" t="str">
            <v>E940G</v>
          </cell>
          <cell r="BA11251">
            <v>1.19</v>
          </cell>
        </row>
        <row r="11252">
          <cell r="C11252" t="str">
            <v>4510 - MISC HARDWARE &amp; HINGES</v>
          </cell>
          <cell r="D11252" t="str">
            <v>E940H</v>
          </cell>
          <cell r="BA11252">
            <v>1.49</v>
          </cell>
        </row>
        <row r="11253">
          <cell r="C11253" t="str">
            <v>4510 - MISC HARDWARE &amp; HINGES</v>
          </cell>
          <cell r="D11253" t="str">
            <v>E940J</v>
          </cell>
          <cell r="BA11253">
            <v>1.99</v>
          </cell>
        </row>
        <row r="11254">
          <cell r="C11254" t="str">
            <v>4510 - MISC HARDWARE &amp; HINGES</v>
          </cell>
          <cell r="D11254" t="str">
            <v>E940L</v>
          </cell>
          <cell r="BA11254">
            <v>3.79</v>
          </cell>
        </row>
        <row r="11255">
          <cell r="C11255" t="str">
            <v>4510 - MISC HARDWARE &amp; HINGES</v>
          </cell>
          <cell r="D11255" t="str">
            <v>3PVCC90E</v>
          </cell>
          <cell r="BA11255">
            <v>17.989999999999998</v>
          </cell>
        </row>
        <row r="11256">
          <cell r="C11256" t="str">
            <v>4510 - MISC HARDWARE &amp; HINGES</v>
          </cell>
          <cell r="D11256" t="str">
            <v>P44U-405</v>
          </cell>
          <cell r="BA11256">
            <v>9.99</v>
          </cell>
        </row>
        <row r="11257">
          <cell r="C11257" t="str">
            <v>4510 - MISC HARDWARE &amp; HINGES</v>
          </cell>
          <cell r="D11257" t="str">
            <v>12SSHCSSS</v>
          </cell>
          <cell r="BA11257">
            <v>2.79</v>
          </cell>
        </row>
        <row r="11258">
          <cell r="C11258" t="str">
            <v>4510 - MISC HARDWARE &amp; HINGES</v>
          </cell>
          <cell r="D11258" t="str">
            <v>20SSHCSS</v>
          </cell>
          <cell r="BA11258">
            <v>2.79</v>
          </cell>
        </row>
        <row r="11259">
          <cell r="C11259" t="str">
            <v>4510 - MISC HARDWARE &amp; HINGES</v>
          </cell>
          <cell r="D11259" t="str">
            <v>24SSHCSS</v>
          </cell>
          <cell r="BA11259">
            <v>2.79</v>
          </cell>
        </row>
        <row r="11260">
          <cell r="C11260" t="str">
            <v>4510 - MISC HARDWARE &amp; HINGES</v>
          </cell>
          <cell r="D11260" t="str">
            <v>PSHCMSS04</v>
          </cell>
          <cell r="BA11260">
            <v>1.99</v>
          </cell>
        </row>
        <row r="11261">
          <cell r="C11261" t="str">
            <v>4510 - MISC HARDWARE &amp; HINGES</v>
          </cell>
          <cell r="D11261" t="str">
            <v>E02203</v>
          </cell>
          <cell r="BA11261">
            <v>13.99</v>
          </cell>
        </row>
        <row r="11262">
          <cell r="C11262" t="str">
            <v>4510 - MISC HARDWARE &amp; HINGES</v>
          </cell>
          <cell r="D11262" t="str">
            <v>E02283</v>
          </cell>
          <cell r="BA11262">
            <v>14.99</v>
          </cell>
        </row>
        <row r="11263">
          <cell r="C11263" t="str">
            <v>4510 - MISC HARDWARE &amp; HINGES</v>
          </cell>
          <cell r="D11263" t="str">
            <v>E02343</v>
          </cell>
          <cell r="BA11263">
            <v>11.99</v>
          </cell>
        </row>
        <row r="11264">
          <cell r="C11264" t="str">
            <v>4510 - MISC HARDWARE &amp; HINGES</v>
          </cell>
          <cell r="D11264" t="str">
            <v>45312CT</v>
          </cell>
          <cell r="BA11264">
            <v>2.99</v>
          </cell>
        </row>
        <row r="11265">
          <cell r="C11265" t="str">
            <v>4510 - MISC HARDWARE &amp; HINGES</v>
          </cell>
          <cell r="D11265" t="str">
            <v>GB19-086</v>
          </cell>
          <cell r="BA11265">
            <v>1.99</v>
          </cell>
        </row>
        <row r="11266">
          <cell r="C11266" t="str">
            <v>4510 - MISC HARDWARE &amp; HINGES</v>
          </cell>
          <cell r="D11266" t="str">
            <v>WN10086EA</v>
          </cell>
          <cell r="BA11266">
            <v>0.15</v>
          </cell>
        </row>
        <row r="11267">
          <cell r="C11267" t="str">
            <v>4510 - MISC HARDWARE &amp; HINGES</v>
          </cell>
          <cell r="D11267" t="str">
            <v>3WGSC</v>
          </cell>
          <cell r="BA11267">
            <v>7.99</v>
          </cell>
        </row>
        <row r="11268">
          <cell r="C11268" t="str">
            <v>4510 - MISC HARDWARE &amp; HINGES</v>
          </cell>
          <cell r="D11268" t="str">
            <v>CW4887-BOX</v>
          </cell>
          <cell r="BA11268">
            <v>8.69</v>
          </cell>
        </row>
        <row r="11269">
          <cell r="C11269" t="str">
            <v>4510 - MISC HARDWARE &amp; HINGES</v>
          </cell>
          <cell r="D11269" t="str">
            <v>HVCO</v>
          </cell>
          <cell r="BA11269">
            <v>18.989999999999998</v>
          </cell>
        </row>
        <row r="11270">
          <cell r="C11270" t="str">
            <v>4510 - MISC HARDWARE &amp; HINGES</v>
          </cell>
          <cell r="D11270" t="str">
            <v>GB10084EA</v>
          </cell>
          <cell r="BA11270">
            <v>0.08</v>
          </cell>
        </row>
        <row r="11271">
          <cell r="C11271" t="str">
            <v>4510 - MISC HARDWARE &amp; HINGES</v>
          </cell>
          <cell r="D11271" t="str">
            <v>BP419GY</v>
          </cell>
          <cell r="BA11271">
            <v>1.99</v>
          </cell>
        </row>
        <row r="11272">
          <cell r="C11272" t="str">
            <v>4510 - MISC HARDWARE &amp; HINGES</v>
          </cell>
          <cell r="D11272" t="str">
            <v>419GY</v>
          </cell>
          <cell r="BA11272">
            <v>1.19</v>
          </cell>
        </row>
        <row r="11273">
          <cell r="C11273" t="str">
            <v>4510 - MISC HARDWARE &amp; HINGES</v>
          </cell>
          <cell r="D11273" t="str">
            <v>BP933V</v>
          </cell>
          <cell r="BA11273">
            <v>6.99</v>
          </cell>
        </row>
        <row r="11274">
          <cell r="C11274" t="str">
            <v>4510 - MISC HARDWARE &amp; HINGES</v>
          </cell>
          <cell r="D11274" t="str">
            <v>BP933B</v>
          </cell>
          <cell r="BA11274">
            <v>6.99</v>
          </cell>
        </row>
        <row r="11275">
          <cell r="C11275" t="str">
            <v>4510 - MISC HARDWARE &amp; HINGES</v>
          </cell>
          <cell r="D11275" t="str">
            <v>CW13017W</v>
          </cell>
          <cell r="BA11275">
            <v>0.99</v>
          </cell>
        </row>
        <row r="11276">
          <cell r="C11276" t="str">
            <v>4510 - MISC HARDWARE &amp; HINGES</v>
          </cell>
          <cell r="D11276" t="str">
            <v>CW271V-BOX</v>
          </cell>
          <cell r="BA11276">
            <v>11.99</v>
          </cell>
        </row>
        <row r="11277">
          <cell r="C11277" t="str">
            <v>4510 - MISC HARDWARE &amp; HINGES</v>
          </cell>
          <cell r="D11277" t="str">
            <v>CW271W-BOX</v>
          </cell>
          <cell r="BA11277">
            <v>11.99</v>
          </cell>
        </row>
        <row r="11278">
          <cell r="C11278" t="str">
            <v>4510 - MISC HARDWARE &amp; HINGES</v>
          </cell>
          <cell r="D11278" t="str">
            <v>CW13017V-BOX</v>
          </cell>
          <cell r="BA11278">
            <v>0.99</v>
          </cell>
        </row>
        <row r="11279">
          <cell r="C11279" t="str">
            <v>4510 - MISC HARDWARE &amp; HINGES</v>
          </cell>
          <cell r="D11279" t="str">
            <v>13037V</v>
          </cell>
          <cell r="BA11279">
            <v>2.79</v>
          </cell>
        </row>
        <row r="11280">
          <cell r="C11280" t="str">
            <v>4510 - MISC HARDWARE &amp; HINGES</v>
          </cell>
          <cell r="D11280" t="str">
            <v>CS120W</v>
          </cell>
          <cell r="BA11280">
            <v>4.59</v>
          </cell>
        </row>
        <row r="11281">
          <cell r="C11281" t="str">
            <v>4510 - MISC HARDWARE &amp; HINGES</v>
          </cell>
          <cell r="D11281" t="str">
            <v>1876V</v>
          </cell>
          <cell r="BA11281">
            <v>7.99</v>
          </cell>
        </row>
        <row r="11282">
          <cell r="C11282" t="str">
            <v>4510 - MISC HARDWARE &amp; HINGES</v>
          </cell>
          <cell r="D11282" t="str">
            <v>270W</v>
          </cell>
          <cell r="BA11282">
            <v>0.99</v>
          </cell>
        </row>
        <row r="11283">
          <cell r="C11283" t="str">
            <v>4510 - MISC HARDWARE &amp; HINGES</v>
          </cell>
          <cell r="D11283" t="str">
            <v>20A3WGRW</v>
          </cell>
          <cell r="BA11283">
            <v>7.99</v>
          </cell>
        </row>
        <row r="11284">
          <cell r="C11284" t="str">
            <v>4510 - MISC HARDWARE &amp; HINGES</v>
          </cell>
          <cell r="D11284" t="str">
            <v>30A4WGR</v>
          </cell>
          <cell r="BA11284">
            <v>11.99</v>
          </cell>
        </row>
        <row r="11285">
          <cell r="C11285" t="str">
            <v>4510 - MISC HARDWARE &amp; HINGES</v>
          </cell>
          <cell r="D11285" t="str">
            <v>30ADPR</v>
          </cell>
          <cell r="BA11285">
            <v>8.99</v>
          </cell>
        </row>
        <row r="11286">
          <cell r="C11286" t="str">
            <v>4510 - MISC HARDWARE &amp; HINGES</v>
          </cell>
          <cell r="D11286" t="str">
            <v>SGF15V</v>
          </cell>
          <cell r="BA11286">
            <v>19.989999999999998</v>
          </cell>
        </row>
        <row r="11287">
          <cell r="C11287" t="str">
            <v>4510 - MISC HARDWARE &amp; HINGES</v>
          </cell>
          <cell r="D11287" t="str">
            <v>1877V</v>
          </cell>
          <cell r="BA11287">
            <v>5.69</v>
          </cell>
        </row>
        <row r="11288">
          <cell r="C11288" t="str">
            <v>4510 - MISC HARDWARE &amp; HINGES</v>
          </cell>
          <cell r="D11288" t="str">
            <v>1877W</v>
          </cell>
          <cell r="BA11288">
            <v>5.69</v>
          </cell>
        </row>
        <row r="11289">
          <cell r="C11289" t="str">
            <v>4510 - MISC HARDWARE &amp; HINGES</v>
          </cell>
          <cell r="D11289" t="str">
            <v>C1146V</v>
          </cell>
          <cell r="BA11289">
            <v>9.99</v>
          </cell>
        </row>
        <row r="11290">
          <cell r="C11290" t="str">
            <v>4510 - MISC HARDWARE &amp; HINGES</v>
          </cell>
          <cell r="D11290" t="str">
            <v>C1146W-SP</v>
          </cell>
          <cell r="BA11290">
            <v>9.99</v>
          </cell>
        </row>
        <row r="11291">
          <cell r="C11291" t="str">
            <v>4510 - MISC HARDWARE &amp; HINGES</v>
          </cell>
          <cell r="D11291" t="str">
            <v>DGO270B</v>
          </cell>
          <cell r="BA11291">
            <v>0.99</v>
          </cell>
        </row>
        <row r="11292">
          <cell r="C11292" t="str">
            <v>4510 - MISC HARDWARE &amp; HINGES</v>
          </cell>
          <cell r="D11292" t="str">
            <v>38BFDO</v>
          </cell>
          <cell r="BA11292">
            <v>8.69</v>
          </cell>
        </row>
        <row r="11293">
          <cell r="C11293" t="str">
            <v>4510 - MISC HARDWARE &amp; HINGES</v>
          </cell>
          <cell r="D11293" t="str">
            <v>112BK</v>
          </cell>
          <cell r="BA11293">
            <v>10.99</v>
          </cell>
        </row>
        <row r="11294">
          <cell r="C11294" t="str">
            <v>4510 - MISC HARDWARE &amp; HINGES</v>
          </cell>
          <cell r="D11294" t="str">
            <v>HOMFT-30</v>
          </cell>
          <cell r="BA11294">
            <v>25.99</v>
          </cell>
        </row>
        <row r="11295">
          <cell r="C11295" t="str">
            <v>4510 - MISC HARDWARE &amp; HINGES</v>
          </cell>
          <cell r="D11295" t="str">
            <v>HOMFES50-T5</v>
          </cell>
          <cell r="BA11295">
            <v>84.99</v>
          </cell>
        </row>
        <row r="11296">
          <cell r="C11296" t="str">
            <v>4510 - MISC HARDWARE &amp; HINGES</v>
          </cell>
          <cell r="D11296" t="str">
            <v>667SP</v>
          </cell>
          <cell r="BA11296">
            <v>7.99</v>
          </cell>
        </row>
        <row r="11297">
          <cell r="C11297" t="str">
            <v>4510 - MISC HARDWARE &amp; HINGES</v>
          </cell>
          <cell r="D11297" t="str">
            <v>2032W</v>
          </cell>
          <cell r="BA11297">
            <v>0.89</v>
          </cell>
        </row>
        <row r="11298">
          <cell r="C11298" t="str">
            <v>4510 - MISC HARDWARE &amp; HINGES</v>
          </cell>
          <cell r="D11298" t="str">
            <v>2034V</v>
          </cell>
          <cell r="BA11298">
            <v>0.79</v>
          </cell>
        </row>
        <row r="11299">
          <cell r="C11299" t="str">
            <v>4510 - MISC HARDWARE &amp; HINGES</v>
          </cell>
          <cell r="D11299" t="str">
            <v>2034W</v>
          </cell>
          <cell r="BA11299">
            <v>0.79</v>
          </cell>
        </row>
        <row r="11300">
          <cell r="C11300" t="str">
            <v>4510 - MISC HARDWARE &amp; HINGES</v>
          </cell>
          <cell r="D11300" t="str">
            <v>2128W</v>
          </cell>
          <cell r="BA11300">
            <v>0.79</v>
          </cell>
        </row>
        <row r="11301">
          <cell r="C11301" t="str">
            <v>4510 - MISC HARDWARE &amp; HINGES</v>
          </cell>
          <cell r="D11301" t="str">
            <v>2129V</v>
          </cell>
          <cell r="BA11301">
            <v>0.89</v>
          </cell>
        </row>
        <row r="11302">
          <cell r="C11302" t="str">
            <v>4510 - MISC HARDWARE &amp; HINGES</v>
          </cell>
          <cell r="D11302" t="str">
            <v>2129W</v>
          </cell>
          <cell r="BA11302">
            <v>0.89</v>
          </cell>
        </row>
        <row r="11303">
          <cell r="C11303" t="str">
            <v>4510 - MISC HARDWARE &amp; HINGES</v>
          </cell>
          <cell r="D11303" t="str">
            <v>2131V</v>
          </cell>
          <cell r="BA11303">
            <v>0.79</v>
          </cell>
        </row>
        <row r="11304">
          <cell r="C11304" t="str">
            <v>4510 - MISC HARDWARE &amp; HINGES</v>
          </cell>
          <cell r="D11304" t="str">
            <v>2131W</v>
          </cell>
          <cell r="BA11304">
            <v>0.79</v>
          </cell>
        </row>
        <row r="11305">
          <cell r="C11305" t="str">
            <v>4510 - MISC HARDWARE &amp; HINGES</v>
          </cell>
          <cell r="D11305" t="str">
            <v>2132B</v>
          </cell>
          <cell r="BA11305">
            <v>0.79</v>
          </cell>
        </row>
        <row r="11306">
          <cell r="C11306" t="str">
            <v>4510 - MISC HARDWARE &amp; HINGES</v>
          </cell>
          <cell r="D11306" t="str">
            <v>1GIDRP</v>
          </cell>
          <cell r="BA11306">
            <v>0.79</v>
          </cell>
        </row>
        <row r="11307">
          <cell r="C11307" t="str">
            <v>4510 - MISC HARDWARE &amp; HINGES</v>
          </cell>
          <cell r="D11307" t="str">
            <v>2132W-BOX</v>
          </cell>
          <cell r="BA11307">
            <v>0.79</v>
          </cell>
        </row>
        <row r="11308">
          <cell r="C11308" t="str">
            <v>4510 - MISC HARDWARE &amp; HINGES</v>
          </cell>
          <cell r="D11308" t="str">
            <v>2134W</v>
          </cell>
          <cell r="BA11308">
            <v>0.79</v>
          </cell>
        </row>
        <row r="11309">
          <cell r="C11309" t="str">
            <v>4510 - MISC HARDWARE &amp; HINGES</v>
          </cell>
          <cell r="D11309" t="str">
            <v>2153V</v>
          </cell>
          <cell r="BA11309">
            <v>1.99</v>
          </cell>
        </row>
        <row r="11310">
          <cell r="C11310" t="str">
            <v>4510 - MISC HARDWARE &amp; HINGES</v>
          </cell>
          <cell r="D11310" t="str">
            <v>CW2138V-BOX</v>
          </cell>
          <cell r="BA11310">
            <v>1.99</v>
          </cell>
        </row>
        <row r="11311">
          <cell r="C11311" t="str">
            <v>4510 - MISC HARDWARE &amp; HINGES</v>
          </cell>
          <cell r="D11311" t="str">
            <v>2139V</v>
          </cell>
          <cell r="BA11311">
            <v>1.99</v>
          </cell>
        </row>
        <row r="11312">
          <cell r="C11312" t="str">
            <v>4510 - MISC HARDWARE &amp; HINGES</v>
          </cell>
          <cell r="D11312" t="str">
            <v>2139W</v>
          </cell>
          <cell r="BA11312">
            <v>1.99</v>
          </cell>
        </row>
        <row r="11313">
          <cell r="C11313" t="str">
            <v>4510 - MISC HARDWARE &amp; HINGES</v>
          </cell>
          <cell r="D11313" t="str">
            <v>2150V</v>
          </cell>
          <cell r="BA11313">
            <v>1.99</v>
          </cell>
        </row>
        <row r="11314">
          <cell r="C11314" t="str">
            <v>4510 - MISC HARDWARE &amp; HINGES</v>
          </cell>
          <cell r="D11314" t="str">
            <v>2150W</v>
          </cell>
          <cell r="BA11314">
            <v>1.99</v>
          </cell>
        </row>
        <row r="11315">
          <cell r="C11315" t="str">
            <v>4510 - MISC HARDWARE &amp; HINGES</v>
          </cell>
          <cell r="D11315" t="str">
            <v>2151V</v>
          </cell>
          <cell r="BA11315">
            <v>0.99</v>
          </cell>
        </row>
        <row r="11316">
          <cell r="C11316" t="str">
            <v>4510 - MISC HARDWARE &amp; HINGES</v>
          </cell>
          <cell r="D11316" t="str">
            <v>2151W</v>
          </cell>
          <cell r="BA11316">
            <v>0.99</v>
          </cell>
        </row>
        <row r="11317">
          <cell r="C11317" t="str">
            <v>4510 - MISC HARDWARE &amp; HINGES</v>
          </cell>
          <cell r="D11317" t="str">
            <v>2153W</v>
          </cell>
          <cell r="BA11317">
            <v>1.99</v>
          </cell>
        </row>
        <row r="11318">
          <cell r="C11318" t="str">
            <v>4510 - MISC HARDWARE &amp; HINGES</v>
          </cell>
          <cell r="D11318" t="str">
            <v>2163W</v>
          </cell>
          <cell r="BA11318">
            <v>2.99</v>
          </cell>
        </row>
        <row r="11319">
          <cell r="C11319" t="str">
            <v>4510 - MISC HARDWARE &amp; HINGES</v>
          </cell>
          <cell r="D11319" t="str">
            <v>2142V</v>
          </cell>
          <cell r="BA11319">
            <v>1.49</v>
          </cell>
        </row>
        <row r="11320">
          <cell r="C11320" t="str">
            <v>4510 - MISC HARDWARE &amp; HINGES</v>
          </cell>
          <cell r="D11320" t="str">
            <v>2144V</v>
          </cell>
          <cell r="BA11320">
            <v>1.49</v>
          </cell>
        </row>
        <row r="11321">
          <cell r="C11321" t="str">
            <v>4510 - MISC HARDWARE &amp; HINGES</v>
          </cell>
          <cell r="D11321" t="str">
            <v>CWTR270V10EA</v>
          </cell>
          <cell r="BA11321">
            <v>1.69</v>
          </cell>
        </row>
        <row r="11322">
          <cell r="C11322" t="str">
            <v>4510 - MISC HARDWARE &amp; HINGES</v>
          </cell>
          <cell r="D11322" t="str">
            <v>2144W</v>
          </cell>
          <cell r="BA11322">
            <v>1.49</v>
          </cell>
        </row>
        <row r="11323">
          <cell r="C11323" t="str">
            <v>4510 - MISC HARDWARE &amp; HINGES</v>
          </cell>
          <cell r="D11323" t="str">
            <v>TR270W</v>
          </cell>
          <cell r="BA11323">
            <v>1.69</v>
          </cell>
        </row>
        <row r="11324">
          <cell r="C11324" t="str">
            <v>4510 - MISC HARDWARE &amp; HINGES</v>
          </cell>
          <cell r="D11324" t="str">
            <v>2149W-BOX</v>
          </cell>
          <cell r="BA11324">
            <v>3.49</v>
          </cell>
        </row>
        <row r="11325">
          <cell r="C11325" t="str">
            <v>4510 - MISC HARDWARE &amp; HINGES</v>
          </cell>
          <cell r="D11325" t="str">
            <v>1UBC12KO</v>
          </cell>
          <cell r="BA11325">
            <v>1.69</v>
          </cell>
        </row>
        <row r="11326">
          <cell r="C11326" t="str">
            <v>4510 - MISC HARDWARE &amp; HINGES</v>
          </cell>
          <cell r="D11326" t="str">
            <v>UBC618</v>
          </cell>
          <cell r="BA11326">
            <v>1.39</v>
          </cell>
        </row>
        <row r="11327">
          <cell r="C11327" t="str">
            <v>4510 - MISC HARDWARE &amp; HINGES</v>
          </cell>
          <cell r="D11327" t="str">
            <v>40BC724</v>
          </cell>
          <cell r="BA11327">
            <v>0.99</v>
          </cell>
        </row>
        <row r="11328">
          <cell r="C11328" t="str">
            <v>4510 - MISC HARDWARE &amp; HINGES</v>
          </cell>
          <cell r="D11328" t="str">
            <v>4FBC12</v>
          </cell>
          <cell r="BA11328">
            <v>1.49</v>
          </cell>
        </row>
        <row r="11329">
          <cell r="C11329" t="str">
            <v>4510 - MISC HARDWARE &amp; HINGES</v>
          </cell>
          <cell r="D11329" t="str">
            <v>5148-5</v>
          </cell>
          <cell r="BA11329">
            <v>13.99</v>
          </cell>
        </row>
        <row r="11330">
          <cell r="C11330" t="str">
            <v>4510 - MISC HARDWARE &amp; HINGES</v>
          </cell>
          <cell r="D11330" t="str">
            <v>WIU-1</v>
          </cell>
          <cell r="BA11330">
            <v>22.99</v>
          </cell>
        </row>
        <row r="11331">
          <cell r="C11331" t="str">
            <v>4510 - MISC HARDWARE &amp; HINGES</v>
          </cell>
          <cell r="D11331" t="str">
            <v>BP29CLRC</v>
          </cell>
          <cell r="BA11331">
            <v>2.09</v>
          </cell>
        </row>
        <row r="11332">
          <cell r="C11332" t="str">
            <v>4510 - MISC HARDWARE &amp; HINGES</v>
          </cell>
          <cell r="D11332" t="str">
            <v>3WAPPB</v>
          </cell>
          <cell r="BA11332">
            <v>16.989999999999998</v>
          </cell>
        </row>
        <row r="11333">
          <cell r="C11333" t="str">
            <v>4510 - MISC HARDWARE &amp; HINGES</v>
          </cell>
          <cell r="D11333" t="str">
            <v>4WGPPB</v>
          </cell>
          <cell r="BA11333">
            <v>25.99</v>
          </cell>
        </row>
        <row r="11334">
          <cell r="C11334" t="str">
            <v>4510 - MISC HARDWARE &amp; HINGES</v>
          </cell>
          <cell r="D11334" t="str">
            <v>CW1709-BOX</v>
          </cell>
          <cell r="BA11334">
            <v>4.99</v>
          </cell>
        </row>
        <row r="11335">
          <cell r="C11335" t="str">
            <v>4510 - MISC HARDWARE &amp; HINGES</v>
          </cell>
          <cell r="D11335" t="str">
            <v>AGP2867</v>
          </cell>
          <cell r="BA11335">
            <v>4.79</v>
          </cell>
        </row>
        <row r="11336">
          <cell r="C11336" t="str">
            <v>4510 - MISC HARDWARE &amp; HINGES</v>
          </cell>
          <cell r="D11336" t="str">
            <v>3WGSP</v>
          </cell>
          <cell r="BA11336">
            <v>4.99</v>
          </cell>
        </row>
        <row r="11337">
          <cell r="C11337" t="str">
            <v>4510 - MISC HARDWARE &amp; HINGES</v>
          </cell>
          <cell r="D11337" t="str">
            <v>BP38674RN</v>
          </cell>
          <cell r="BA11337">
            <v>9.99</v>
          </cell>
        </row>
        <row r="11338">
          <cell r="C11338" t="str">
            <v>4510 - MISC HARDWARE &amp; HINGES</v>
          </cell>
          <cell r="D11338" t="str">
            <v>B114R</v>
          </cell>
          <cell r="BA11338">
            <v>2.79</v>
          </cell>
        </row>
        <row r="11339">
          <cell r="C11339" t="str">
            <v>4510 - MISC HARDWARE &amp; HINGES</v>
          </cell>
          <cell r="D11339" t="str">
            <v>B120A</v>
          </cell>
          <cell r="BA11339">
            <v>0.99</v>
          </cell>
        </row>
        <row r="11340">
          <cell r="C11340" t="str">
            <v>4510 - MISC HARDWARE &amp; HINGES</v>
          </cell>
          <cell r="D11340" t="str">
            <v>B225R</v>
          </cell>
          <cell r="BA11340">
            <v>4.99</v>
          </cell>
        </row>
        <row r="11341">
          <cell r="C11341" t="str">
            <v>4510 - MISC HARDWARE &amp; HINGES</v>
          </cell>
          <cell r="D11341" t="str">
            <v>B232A</v>
          </cell>
          <cell r="BA11341">
            <v>2.79</v>
          </cell>
        </row>
        <row r="11342">
          <cell r="C11342" t="str">
            <v>4510 - MISC HARDWARE &amp; HINGES</v>
          </cell>
          <cell r="D11342" t="str">
            <v>B344A</v>
          </cell>
          <cell r="BA11342">
            <v>5.69</v>
          </cell>
        </row>
        <row r="11343">
          <cell r="C11343" t="str">
            <v>4510 - MISC HARDWARE &amp; HINGES</v>
          </cell>
          <cell r="D11343" t="str">
            <v>B518A</v>
          </cell>
          <cell r="BA11343">
            <v>2.99</v>
          </cell>
        </row>
        <row r="11344">
          <cell r="C11344" t="str">
            <v>4510 - MISC HARDWARE &amp; HINGES</v>
          </cell>
          <cell r="D11344" t="str">
            <v>B520A</v>
          </cell>
          <cell r="BA11344">
            <v>2.59</v>
          </cell>
        </row>
        <row r="11345">
          <cell r="C11345" t="str">
            <v>4510 - MISC HARDWARE &amp; HINGES</v>
          </cell>
          <cell r="D11345" t="str">
            <v>B620H</v>
          </cell>
          <cell r="BA11345">
            <v>6.99</v>
          </cell>
        </row>
        <row r="11346">
          <cell r="C11346" t="str">
            <v>4510 - MISC HARDWARE &amp; HINGES</v>
          </cell>
          <cell r="D11346" t="str">
            <v>RVB4</v>
          </cell>
          <cell r="BA11346">
            <v>34.99</v>
          </cell>
        </row>
        <row r="11347">
          <cell r="C11347" t="str">
            <v>4510 - MISC HARDWARE &amp; HINGES</v>
          </cell>
          <cell r="D11347" t="str">
            <v>15575EMCAPW</v>
          </cell>
          <cell r="BA11347">
            <v>57.49</v>
          </cell>
        </row>
        <row r="11348">
          <cell r="C11348" t="str">
            <v>4510 - MISC HARDWARE &amp; HINGES</v>
          </cell>
          <cell r="D11348" t="str">
            <v>S1174W</v>
          </cell>
          <cell r="BA11348">
            <v>2.79</v>
          </cell>
        </row>
        <row r="11349">
          <cell r="C11349" t="str">
            <v>4510 - MISC HARDWARE &amp; HINGES</v>
          </cell>
          <cell r="D11349" t="str">
            <v>GSRB1225</v>
          </cell>
          <cell r="BA11349">
            <v>17.989999999999998</v>
          </cell>
        </row>
        <row r="11350">
          <cell r="C11350" t="str">
            <v>4510 - MISC HARDWARE &amp; HINGES</v>
          </cell>
          <cell r="D11350" t="str">
            <v>TH07863</v>
          </cell>
          <cell r="BA11350">
            <v>29.99</v>
          </cell>
        </row>
        <row r="11351">
          <cell r="C11351" t="str">
            <v>4510 - MISC HARDWARE &amp; HINGES</v>
          </cell>
          <cell r="D11351" t="str">
            <v>T31003</v>
          </cell>
          <cell r="BA11351">
            <v>7.99</v>
          </cell>
        </row>
        <row r="11352">
          <cell r="C11352" t="str">
            <v>4510 - MISC HARDWARE &amp; HINGES</v>
          </cell>
          <cell r="D11352" t="str">
            <v>145RS</v>
          </cell>
          <cell r="BA11352">
            <v>4.99</v>
          </cell>
        </row>
        <row r="11353">
          <cell r="C11353" t="str">
            <v>4510 - MISC HARDWARE &amp; HINGES</v>
          </cell>
          <cell r="D11353" t="str">
            <v>EG5CP58</v>
          </cell>
          <cell r="BA11353">
            <v>3.99</v>
          </cell>
        </row>
        <row r="11354">
          <cell r="C11354" t="str">
            <v>4510 - MISC HARDWARE &amp; HINGES</v>
          </cell>
          <cell r="D11354" t="str">
            <v>CW4402RN</v>
          </cell>
          <cell r="BA11354">
            <v>6.99</v>
          </cell>
        </row>
        <row r="11355">
          <cell r="C11355" t="str">
            <v>4510 - MISC HARDWARE &amp; HINGES</v>
          </cell>
          <cell r="D11355" t="str">
            <v>BP1147W</v>
          </cell>
          <cell r="BA11355">
            <v>7.99</v>
          </cell>
        </row>
        <row r="11356">
          <cell r="C11356" t="str">
            <v>4510 - MISC HARDWARE &amp; HINGES</v>
          </cell>
          <cell r="D11356" t="str">
            <v>MD02352</v>
          </cell>
          <cell r="BA11356">
            <v>7.59</v>
          </cell>
        </row>
        <row r="11357">
          <cell r="C11357" t="str">
            <v>4510 - MISC HARDWARE &amp; HINGES</v>
          </cell>
          <cell r="D11357" t="str">
            <v>MD78196</v>
          </cell>
          <cell r="BA11357">
            <v>8.99</v>
          </cell>
        </row>
        <row r="11358">
          <cell r="C11358" t="str">
            <v>4510 - MISC HARDWARE &amp; HINGES</v>
          </cell>
          <cell r="D11358" t="str">
            <v>SYL50044</v>
          </cell>
          <cell r="BA11358">
            <v>8.39</v>
          </cell>
        </row>
        <row r="11359">
          <cell r="C11359" t="str">
            <v>4510 - MISC HARDWARE &amp; HINGES</v>
          </cell>
          <cell r="D11359" t="str">
            <v>LL02923</v>
          </cell>
          <cell r="BA11359">
            <v>27.99</v>
          </cell>
        </row>
        <row r="11360">
          <cell r="C11360" t="str">
            <v>4510 - MISC HARDWARE &amp; HINGES</v>
          </cell>
          <cell r="D11360" t="str">
            <v>SYL50005</v>
          </cell>
          <cell r="BA11360">
            <v>5.29</v>
          </cell>
        </row>
        <row r="11361">
          <cell r="C11361" t="str">
            <v>4510 - MISC HARDWARE &amp; HINGES</v>
          </cell>
          <cell r="D11361" t="str">
            <v>SYL50046</v>
          </cell>
          <cell r="BA11361">
            <v>8.59</v>
          </cell>
        </row>
        <row r="11362">
          <cell r="C11362" t="str">
            <v>4510 - MISC HARDWARE &amp; HINGES</v>
          </cell>
          <cell r="D11362" t="str">
            <v>SYL50006</v>
          </cell>
          <cell r="BA11362">
            <v>6.99</v>
          </cell>
        </row>
        <row r="11363">
          <cell r="C11363" t="str">
            <v>4510 - MISC HARDWARE &amp; HINGES</v>
          </cell>
          <cell r="D11363" t="str">
            <v>NEB-POC-1004</v>
          </cell>
          <cell r="BA11363">
            <v>27.99</v>
          </cell>
        </row>
        <row r="11364">
          <cell r="C11364" t="str">
            <v>4510 - MISC HARDWARE &amp; HINGES</v>
          </cell>
          <cell r="D11364" t="str">
            <v>NEB-POC-0007</v>
          </cell>
          <cell r="BA11364">
            <v>18.989999999999998</v>
          </cell>
        </row>
        <row r="11365">
          <cell r="C11365" t="str">
            <v>4510 - MISC HARDWARE &amp; HINGES</v>
          </cell>
          <cell r="D11365" t="str">
            <v>NEB-FLT-0003</v>
          </cell>
          <cell r="BA11365">
            <v>19.989999999999998</v>
          </cell>
        </row>
        <row r="11366">
          <cell r="C11366" t="str">
            <v>4510 - MISC HARDWARE &amp; HINGES</v>
          </cell>
          <cell r="D11366" t="str">
            <v>NEB-FLT-1021</v>
          </cell>
          <cell r="BA11366">
            <v>59.99</v>
          </cell>
        </row>
        <row r="11367">
          <cell r="C11367" t="str">
            <v>4510 - MISC HARDWARE &amp; HINGES</v>
          </cell>
          <cell r="D11367" t="str">
            <v>NEB-ARE-0001</v>
          </cell>
          <cell r="BA11367">
            <v>42.89</v>
          </cell>
        </row>
        <row r="11368">
          <cell r="C11368" t="str">
            <v>4510 - MISC HARDWARE &amp; HINGES</v>
          </cell>
          <cell r="D11368" t="str">
            <v>NEB-FLT-1038</v>
          </cell>
          <cell r="BA11368">
            <v>29.99</v>
          </cell>
        </row>
        <row r="11369">
          <cell r="C11369" t="str">
            <v>4510 - MISC HARDWARE &amp; HINGES</v>
          </cell>
          <cell r="D11369" t="str">
            <v>NEB-FLT-1068</v>
          </cell>
          <cell r="BA11369">
            <v>208.99</v>
          </cell>
        </row>
        <row r="11370">
          <cell r="C11370" t="str">
            <v>4510 - MISC HARDWARE &amp; HINGES</v>
          </cell>
          <cell r="D11370" t="str">
            <v>NEB-FLT-1042</v>
          </cell>
          <cell r="BA11370">
            <v>22.99</v>
          </cell>
        </row>
        <row r="11371">
          <cell r="C11371" t="str">
            <v>4510 - MISC HARDWARE &amp; HINGES</v>
          </cell>
          <cell r="D11371" t="str">
            <v>NEBO6373</v>
          </cell>
          <cell r="BA11371">
            <v>14.99</v>
          </cell>
        </row>
        <row r="11372">
          <cell r="C11372" t="str">
            <v>4510 - MISC HARDWARE &amp; HINGES</v>
          </cell>
          <cell r="D11372" t="str">
            <v>S2D016</v>
          </cell>
          <cell r="BA11372">
            <v>22.99</v>
          </cell>
        </row>
        <row r="11373">
          <cell r="C11373" t="str">
            <v>4510 - MISC HARDWARE &amp; HINGES</v>
          </cell>
          <cell r="D11373" t="str">
            <v>604-SP</v>
          </cell>
          <cell r="BA11373">
            <v>2.79</v>
          </cell>
        </row>
        <row r="11374">
          <cell r="C11374" t="str">
            <v>4510 - MISC HARDWARE &amp; HINGES</v>
          </cell>
          <cell r="D11374" t="str">
            <v>659-SP</v>
          </cell>
          <cell r="BA11374">
            <v>6.99</v>
          </cell>
        </row>
        <row r="11375">
          <cell r="C11375" t="str">
            <v>4510 - MISC HARDWARE &amp; HINGES</v>
          </cell>
          <cell r="D11375" t="str">
            <v>GLP5269-5</v>
          </cell>
          <cell r="BA11375">
            <v>2.99</v>
          </cell>
        </row>
        <row r="11376">
          <cell r="C11376" t="str">
            <v>4510 - MISC HARDWARE &amp; HINGES</v>
          </cell>
          <cell r="D11376" t="str">
            <v>KLSABR</v>
          </cell>
          <cell r="BA11376">
            <v>1.69</v>
          </cell>
        </row>
        <row r="11377">
          <cell r="C11377" t="str">
            <v>4510 - MISC HARDWARE &amp; HINGES</v>
          </cell>
          <cell r="D11377" t="str">
            <v>ORTL010625</v>
          </cell>
          <cell r="BA11377">
            <v>25.99</v>
          </cell>
        </row>
        <row r="11378">
          <cell r="C11378" t="str">
            <v>4510 - MISC HARDWARE &amp; HINGES</v>
          </cell>
          <cell r="D11378" t="str">
            <v>PB2882</v>
          </cell>
          <cell r="BA11378">
            <v>12.99</v>
          </cell>
        </row>
        <row r="11379">
          <cell r="C11379" t="str">
            <v>4510 - MISC HARDWARE &amp; HINGES</v>
          </cell>
          <cell r="D11379" t="str">
            <v>E522BP</v>
          </cell>
          <cell r="BA11379">
            <v>7.59</v>
          </cell>
        </row>
        <row r="11380">
          <cell r="C11380" t="str">
            <v>4510 - MISC HARDWARE &amp; HINGES</v>
          </cell>
          <cell r="D11380" t="str">
            <v>E95BP</v>
          </cell>
          <cell r="BA11380">
            <v>5.39</v>
          </cell>
        </row>
        <row r="11381">
          <cell r="C11381" t="str">
            <v>4510 - MISC HARDWARE &amp; HINGES</v>
          </cell>
          <cell r="D11381" t="str">
            <v>GEN30707</v>
          </cell>
          <cell r="BA11381">
            <v>0.89</v>
          </cell>
        </row>
        <row r="11382">
          <cell r="C11382" t="str">
            <v>4510 - MISC HARDWARE &amp; HINGES</v>
          </cell>
          <cell r="D11382" t="str">
            <v>GEN30710</v>
          </cell>
          <cell r="BA11382">
            <v>1.69</v>
          </cell>
        </row>
        <row r="11383">
          <cell r="C11383" t="str">
            <v>4510 - MISC HARDWARE &amp; HINGES</v>
          </cell>
          <cell r="D11383" t="str">
            <v>GEN32807</v>
          </cell>
          <cell r="BA11383">
            <v>2.19</v>
          </cell>
        </row>
        <row r="11384">
          <cell r="C11384" t="str">
            <v>4510 - MISC HARDWARE &amp; HINGES</v>
          </cell>
          <cell r="D11384" t="str">
            <v>GEN40640</v>
          </cell>
          <cell r="BA11384">
            <v>3.99</v>
          </cell>
        </row>
        <row r="11385">
          <cell r="C11385" t="str">
            <v>4510 - MISC HARDWARE &amp; HINGES</v>
          </cell>
          <cell r="D11385" t="str">
            <v>GEN50605</v>
          </cell>
          <cell r="BA11385">
            <v>0.69</v>
          </cell>
        </row>
        <row r="11386">
          <cell r="C11386" t="str">
            <v>4510 - MISC HARDWARE &amp; HINGES</v>
          </cell>
          <cell r="D11386" t="str">
            <v>GEN50607</v>
          </cell>
          <cell r="BA11386">
            <v>1.39</v>
          </cell>
        </row>
        <row r="11387">
          <cell r="C11387" t="str">
            <v>4510 - MISC HARDWARE &amp; HINGES</v>
          </cell>
          <cell r="D11387" t="str">
            <v>GEN50705</v>
          </cell>
          <cell r="BA11387">
            <v>0.69</v>
          </cell>
        </row>
        <row r="11388">
          <cell r="C11388" t="str">
            <v>4510 - MISC HARDWARE &amp; HINGES</v>
          </cell>
          <cell r="D11388" t="str">
            <v>GEN50707</v>
          </cell>
          <cell r="BA11388">
            <v>0.99</v>
          </cell>
        </row>
        <row r="11389">
          <cell r="C11389" t="str">
            <v>4510 - MISC HARDWARE &amp; HINGES</v>
          </cell>
          <cell r="D11389" t="str">
            <v>GEN52905</v>
          </cell>
          <cell r="BA11389">
            <v>0.59</v>
          </cell>
        </row>
        <row r="11390">
          <cell r="C11390" t="str">
            <v>4510 - MISC HARDWARE &amp; HINGES</v>
          </cell>
          <cell r="D11390" t="str">
            <v>GEN52907</v>
          </cell>
          <cell r="BA11390">
            <v>0.79</v>
          </cell>
        </row>
        <row r="11391">
          <cell r="C11391" t="str">
            <v>4510 - MISC HARDWARE &amp; HINGES</v>
          </cell>
          <cell r="D11391" t="str">
            <v>IPEX755088</v>
          </cell>
          <cell r="BA11391">
            <v>7.59</v>
          </cell>
        </row>
        <row r="11392">
          <cell r="C11392" t="str">
            <v>4510 - MISC HARDWARE &amp; HINGES</v>
          </cell>
          <cell r="D11392" t="str">
            <v>IPEX755162</v>
          </cell>
          <cell r="BA11392">
            <v>6.99</v>
          </cell>
        </row>
        <row r="11393">
          <cell r="C11393" t="str">
            <v>4510 - MISC HARDWARE &amp; HINGES</v>
          </cell>
          <cell r="D11393" t="str">
            <v>IPEX764280</v>
          </cell>
          <cell r="BA11393">
            <v>4.59</v>
          </cell>
        </row>
        <row r="11394">
          <cell r="C11394" t="str">
            <v>4510 - MISC HARDWARE &amp; HINGES</v>
          </cell>
          <cell r="D11394" t="str">
            <v>IPEX435520</v>
          </cell>
          <cell r="BA11394">
            <v>0.89</v>
          </cell>
        </row>
        <row r="11395">
          <cell r="C11395" t="str">
            <v>4510 - MISC HARDWARE &amp; HINGES</v>
          </cell>
          <cell r="D11395" t="str">
            <v>PP661W</v>
          </cell>
          <cell r="BA11395">
            <v>4.99</v>
          </cell>
        </row>
        <row r="11396">
          <cell r="C11396" t="str">
            <v>4510 - MISC HARDWARE &amp; HINGES</v>
          </cell>
          <cell r="D11396" t="str">
            <v>PP946W</v>
          </cell>
          <cell r="BA11396">
            <v>5.99</v>
          </cell>
        </row>
        <row r="11397">
          <cell r="C11397" t="str">
            <v>4510 - MISC HARDWARE &amp; HINGES</v>
          </cell>
          <cell r="D11397" t="str">
            <v>GEN31405</v>
          </cell>
          <cell r="BA11397">
            <v>0.79</v>
          </cell>
        </row>
        <row r="11398">
          <cell r="C11398" t="str">
            <v>4510 - MISC HARDWARE &amp; HINGES</v>
          </cell>
          <cell r="D11398" t="str">
            <v>GEN31457</v>
          </cell>
          <cell r="BA11398">
            <v>2.39</v>
          </cell>
        </row>
        <row r="11399">
          <cell r="C11399" t="str">
            <v>4510 - MISC HARDWARE &amp; HINGES</v>
          </cell>
          <cell r="D11399" t="str">
            <v>GEN51405</v>
          </cell>
          <cell r="BA11399">
            <v>0.99</v>
          </cell>
        </row>
        <row r="11400">
          <cell r="C11400" t="str">
            <v>4510 - MISC HARDWARE &amp; HINGES</v>
          </cell>
          <cell r="D11400" t="str">
            <v>GEN51407</v>
          </cell>
          <cell r="BA11400">
            <v>0.99</v>
          </cell>
        </row>
        <row r="11401">
          <cell r="C11401" t="str">
            <v>4510 - MISC HARDWARE &amp; HINGES</v>
          </cell>
          <cell r="D11401" t="str">
            <v>GEN51471</v>
          </cell>
          <cell r="BA11401">
            <v>0.99</v>
          </cell>
        </row>
        <row r="11402">
          <cell r="C11402" t="str">
            <v>4510 - MISC HARDWARE &amp; HINGES</v>
          </cell>
          <cell r="D11402" t="str">
            <v>GEN71130</v>
          </cell>
          <cell r="BA11402">
            <v>10.99</v>
          </cell>
        </row>
        <row r="11403">
          <cell r="C11403" t="str">
            <v>4510 - MISC HARDWARE &amp; HINGES</v>
          </cell>
          <cell r="D11403" t="str">
            <v>IPEX435855</v>
          </cell>
          <cell r="BA11403">
            <v>3.99</v>
          </cell>
        </row>
        <row r="11404">
          <cell r="C11404" t="str">
            <v>4510 - MISC HARDWARE &amp; HINGES</v>
          </cell>
          <cell r="D11404" t="str">
            <v>IPEX755122</v>
          </cell>
          <cell r="BA11404">
            <v>11.99</v>
          </cell>
        </row>
        <row r="11405">
          <cell r="C11405" t="str">
            <v>4510 - MISC HARDWARE &amp; HINGES</v>
          </cell>
          <cell r="D11405" t="str">
            <v>12BMC</v>
          </cell>
          <cell r="BA11405">
            <v>2.19</v>
          </cell>
        </row>
        <row r="11406">
          <cell r="C11406" t="str">
            <v>4510 - MISC HARDWARE &amp; HINGES</v>
          </cell>
          <cell r="D11406" t="str">
            <v>GEN30217</v>
          </cell>
          <cell r="BA11406">
            <v>1.79</v>
          </cell>
        </row>
        <row r="11407">
          <cell r="C11407" t="str">
            <v>4510 - MISC HARDWARE &amp; HINGES</v>
          </cell>
          <cell r="D11407" t="str">
            <v>GEN34217</v>
          </cell>
          <cell r="BA11407">
            <v>2.19</v>
          </cell>
        </row>
        <row r="11408">
          <cell r="C11408" t="str">
            <v>4510 - MISC HARDWARE &amp; HINGES</v>
          </cell>
          <cell r="D11408" t="str">
            <v>GEN34254</v>
          </cell>
          <cell r="BA11408">
            <v>3.79</v>
          </cell>
        </row>
        <row r="11409">
          <cell r="C11409" t="str">
            <v>4510 - MISC HARDWARE &amp; HINGES</v>
          </cell>
          <cell r="D11409" t="str">
            <v>GEN34275</v>
          </cell>
          <cell r="BA11409">
            <v>1.49</v>
          </cell>
        </row>
        <row r="11410">
          <cell r="C11410" t="str">
            <v>4510 - MISC HARDWARE &amp; HINGES</v>
          </cell>
          <cell r="D11410" t="str">
            <v>IPEX764456</v>
          </cell>
          <cell r="BA11410">
            <v>3.99</v>
          </cell>
        </row>
        <row r="11411">
          <cell r="C11411" t="str">
            <v>4510 - MISC HARDWARE &amp; HINGES</v>
          </cell>
          <cell r="D11411" t="str">
            <v>GEN50105</v>
          </cell>
          <cell r="BA11411">
            <v>0.49</v>
          </cell>
        </row>
        <row r="11412">
          <cell r="C11412" t="str">
            <v>4510 - MISC HARDWARE &amp; HINGES</v>
          </cell>
          <cell r="D11412" t="str">
            <v>GEN50107</v>
          </cell>
          <cell r="BA11412">
            <v>0.69</v>
          </cell>
        </row>
        <row r="11413">
          <cell r="C11413" t="str">
            <v>4510 - MISC HARDWARE &amp; HINGES</v>
          </cell>
          <cell r="D11413" t="str">
            <v>GEN50175</v>
          </cell>
          <cell r="BA11413">
            <v>0.59</v>
          </cell>
        </row>
        <row r="11414">
          <cell r="C11414" t="str">
            <v>4510 - MISC HARDWARE &amp; HINGES</v>
          </cell>
          <cell r="D11414" t="str">
            <v>GEN50275</v>
          </cell>
          <cell r="BA11414">
            <v>0.79</v>
          </cell>
        </row>
        <row r="11415">
          <cell r="C11415" t="str">
            <v>4510 - MISC HARDWARE &amp; HINGES</v>
          </cell>
          <cell r="D11415" t="str">
            <v>GENE30110</v>
          </cell>
          <cell r="BA11415">
            <v>0.99</v>
          </cell>
        </row>
        <row r="11416">
          <cell r="C11416" t="str">
            <v>4510 - MISC HARDWARE &amp; HINGES</v>
          </cell>
          <cell r="D11416" t="str">
            <v>IPEX027353</v>
          </cell>
          <cell r="BA11416">
            <v>2.79</v>
          </cell>
        </row>
        <row r="11417">
          <cell r="C11417" t="str">
            <v>4510 - MISC HARDWARE &amp; HINGES</v>
          </cell>
          <cell r="D11417" t="str">
            <v>IPEX027284</v>
          </cell>
          <cell r="BA11417">
            <v>3.49</v>
          </cell>
        </row>
        <row r="11418">
          <cell r="C11418" t="str">
            <v>4510 - MISC HARDWARE &amp; HINGES</v>
          </cell>
          <cell r="D11418" t="str">
            <v>IPEX435453</v>
          </cell>
          <cell r="BA11418">
            <v>2.19</v>
          </cell>
        </row>
        <row r="11419">
          <cell r="C11419" t="str">
            <v>4510 - MISC HARDWARE &amp; HINGES</v>
          </cell>
          <cell r="D11419" t="str">
            <v>IPEX435661</v>
          </cell>
          <cell r="BA11419">
            <v>1.79</v>
          </cell>
        </row>
        <row r="11420">
          <cell r="C11420" t="str">
            <v>4510 - MISC HARDWARE &amp; HINGES</v>
          </cell>
          <cell r="D11420" t="str">
            <v>IPEX435776</v>
          </cell>
          <cell r="BA11420">
            <v>0.89</v>
          </cell>
        </row>
        <row r="11421">
          <cell r="C11421" t="str">
            <v>4510 - MISC HARDWARE &amp; HINGES</v>
          </cell>
          <cell r="D11421" t="str">
            <v>IPEX755203</v>
          </cell>
          <cell r="BA11421">
            <v>12.99</v>
          </cell>
        </row>
        <row r="11422">
          <cell r="C11422" t="str">
            <v>4510 - MISC HARDWARE &amp; HINGES</v>
          </cell>
          <cell r="D11422" t="str">
            <v>IPEX755284</v>
          </cell>
          <cell r="BA11422">
            <v>3.79</v>
          </cell>
        </row>
        <row r="11423">
          <cell r="C11423" t="str">
            <v>4510 - MISC HARDWARE &amp; HINGES</v>
          </cell>
          <cell r="D11423" t="str">
            <v>P1056-150/125</v>
          </cell>
          <cell r="BA11423">
            <v>8.99</v>
          </cell>
        </row>
        <row r="11424">
          <cell r="C11424" t="str">
            <v>4510 - MISC HARDWARE &amp; HINGES</v>
          </cell>
          <cell r="D11424" t="str">
            <v>PNH-2</v>
          </cell>
          <cell r="BA11424">
            <v>1.89</v>
          </cell>
        </row>
        <row r="11425">
          <cell r="C11425" t="str">
            <v>4510 - MISC HARDWARE &amp; HINGES</v>
          </cell>
          <cell r="D11425" t="str">
            <v>GEN30305</v>
          </cell>
          <cell r="BA11425">
            <v>1.39</v>
          </cell>
        </row>
        <row r="11426">
          <cell r="C11426" t="str">
            <v>4510 - MISC HARDWARE &amp; HINGES</v>
          </cell>
          <cell r="D11426" t="str">
            <v>GEN30410</v>
          </cell>
          <cell r="BA11426">
            <v>1.39</v>
          </cell>
        </row>
        <row r="11427">
          <cell r="C11427" t="str">
            <v>4510 - MISC HARDWARE &amp; HINGES</v>
          </cell>
          <cell r="D11427" t="str">
            <v>GEN30414</v>
          </cell>
          <cell r="BA11427">
            <v>1.99</v>
          </cell>
        </row>
        <row r="11428">
          <cell r="C11428" t="str">
            <v>4510 - MISC HARDWARE &amp; HINGES</v>
          </cell>
          <cell r="D11428" t="str">
            <v>GEN50307</v>
          </cell>
          <cell r="BA11428">
            <v>2.19</v>
          </cell>
        </row>
        <row r="11429">
          <cell r="C11429" t="str">
            <v>4510 - MISC HARDWARE &amp; HINGES</v>
          </cell>
          <cell r="D11429" t="str">
            <v>GEN50405</v>
          </cell>
          <cell r="BA11429">
            <v>0.69</v>
          </cell>
        </row>
        <row r="11430">
          <cell r="C11430" t="str">
            <v>4510 - MISC HARDWARE &amp; HINGES</v>
          </cell>
          <cell r="D11430" t="str">
            <v>GEN50407</v>
          </cell>
          <cell r="BA11430">
            <v>0.99</v>
          </cell>
        </row>
        <row r="11431">
          <cell r="C11431" t="str">
            <v>4510 - MISC HARDWARE &amp; HINGES</v>
          </cell>
          <cell r="D11431" t="str">
            <v>LASCOMHT101BC</v>
          </cell>
          <cell r="BA11431">
            <v>1.69</v>
          </cell>
        </row>
        <row r="11432">
          <cell r="C11432" t="str">
            <v>4510 - MISC HARDWARE &amp; HINGES</v>
          </cell>
          <cell r="D11432" t="str">
            <v>TBE943DR-CTN</v>
          </cell>
          <cell r="BA11432">
            <v>0.69</v>
          </cell>
        </row>
        <row r="11433">
          <cell r="C11433" t="str">
            <v>4510 - MISC HARDWARE &amp; HINGES</v>
          </cell>
          <cell r="D11433" t="str">
            <v>CE943ER-CTN</v>
          </cell>
          <cell r="BA11433">
            <v>0.59</v>
          </cell>
        </row>
        <row r="11434">
          <cell r="C11434" t="str">
            <v>4510 - MISC HARDWARE &amp; HINGES</v>
          </cell>
          <cell r="D11434" t="str">
            <v>PP943W</v>
          </cell>
          <cell r="BA11434">
            <v>14.99</v>
          </cell>
        </row>
        <row r="11435">
          <cell r="C11435" t="str">
            <v>4510 - MISC HARDWARE &amp; HINGES</v>
          </cell>
          <cell r="D11435" t="str">
            <v>GEN31827</v>
          </cell>
          <cell r="BA11435">
            <v>2.19</v>
          </cell>
        </row>
        <row r="11436">
          <cell r="C11436" t="str">
            <v>4510 - MISC HARDWARE &amp; HINGES</v>
          </cell>
          <cell r="D11436" t="str">
            <v>GEN30155</v>
          </cell>
          <cell r="BA11436">
            <v>0.69</v>
          </cell>
        </row>
        <row r="11437">
          <cell r="C11437" t="str">
            <v>4510 - MISC HARDWARE &amp; HINGES</v>
          </cell>
          <cell r="D11437" t="str">
            <v>GEN30158</v>
          </cell>
          <cell r="BA11437">
            <v>1.39</v>
          </cell>
        </row>
        <row r="11438">
          <cell r="C11438" t="str">
            <v>4510 - MISC HARDWARE &amp; HINGES</v>
          </cell>
          <cell r="D11438" t="str">
            <v>GEN30159</v>
          </cell>
          <cell r="BA11438">
            <v>1.79</v>
          </cell>
        </row>
        <row r="11439">
          <cell r="C11439" t="str">
            <v>4510 - MISC HARDWARE &amp; HINGES</v>
          </cell>
          <cell r="D11439" t="str">
            <v>GEN30165</v>
          </cell>
          <cell r="BA11439">
            <v>1.49</v>
          </cell>
        </row>
        <row r="11440">
          <cell r="C11440" t="str">
            <v>4510 - MISC HARDWARE &amp; HINGES</v>
          </cell>
          <cell r="D11440" t="str">
            <v>IPEX764701</v>
          </cell>
          <cell r="BA11440">
            <v>3.79</v>
          </cell>
        </row>
        <row r="11441">
          <cell r="C11441" t="str">
            <v>4510 - MISC HARDWARE &amp; HINGES</v>
          </cell>
          <cell r="D11441" t="str">
            <v>GEN50157</v>
          </cell>
          <cell r="BA11441">
            <v>0.79</v>
          </cell>
        </row>
        <row r="11442">
          <cell r="C11442" t="str">
            <v>4510 - MISC HARDWARE &amp; HINGES</v>
          </cell>
          <cell r="D11442" t="str">
            <v>PP552W</v>
          </cell>
          <cell r="BA11442">
            <v>4.79</v>
          </cell>
        </row>
        <row r="11443">
          <cell r="C11443" t="str">
            <v>4510 - MISC HARDWARE &amp; HINGES</v>
          </cell>
          <cell r="D11443" t="str">
            <v>PP6613W</v>
          </cell>
          <cell r="BA11443">
            <v>3.99</v>
          </cell>
        </row>
        <row r="11444">
          <cell r="C11444" t="str">
            <v>4510 - MISC HARDWARE &amp; HINGES</v>
          </cell>
          <cell r="D11444" t="str">
            <v>PP944W</v>
          </cell>
          <cell r="BA11444">
            <v>5.99</v>
          </cell>
        </row>
        <row r="11445">
          <cell r="C11445" t="str">
            <v>4510 - MISC HARDWARE &amp; HINGES</v>
          </cell>
          <cell r="D11445" t="str">
            <v>PP945W</v>
          </cell>
          <cell r="BA11445">
            <v>7.59</v>
          </cell>
        </row>
        <row r="11446">
          <cell r="C11446" t="str">
            <v>4510 - MISC HARDWARE &amp; HINGES</v>
          </cell>
          <cell r="D11446" t="str">
            <v>12212GN</v>
          </cell>
          <cell r="BA11446">
            <v>1.79</v>
          </cell>
        </row>
        <row r="11447">
          <cell r="C11447" t="str">
            <v>4510 - MISC HARDWARE &amp; HINGES</v>
          </cell>
          <cell r="D11447" t="str">
            <v>122GN</v>
          </cell>
          <cell r="BA11447">
            <v>1.69</v>
          </cell>
        </row>
        <row r="11448">
          <cell r="C11448" t="str">
            <v>4510 - MISC HARDWARE &amp; HINGES</v>
          </cell>
          <cell r="D11448" t="str">
            <v>124GN</v>
          </cell>
          <cell r="BA11448">
            <v>2.39</v>
          </cell>
        </row>
        <row r="11449">
          <cell r="C11449" t="str">
            <v>4510 - MISC HARDWARE &amp; HINGES</v>
          </cell>
          <cell r="D11449" t="str">
            <v>125GN</v>
          </cell>
          <cell r="BA11449">
            <v>2.99</v>
          </cell>
        </row>
        <row r="11450">
          <cell r="C11450" t="str">
            <v>4510 - MISC HARDWARE &amp; HINGES</v>
          </cell>
          <cell r="D11450" t="str">
            <v>126GN</v>
          </cell>
          <cell r="BA11450">
            <v>3.79</v>
          </cell>
        </row>
        <row r="11451">
          <cell r="C11451" t="str">
            <v>4510 - MISC HARDWARE &amp; HINGES</v>
          </cell>
          <cell r="D11451" t="str">
            <v>34212GN</v>
          </cell>
          <cell r="BA11451">
            <v>2.59</v>
          </cell>
        </row>
        <row r="11452">
          <cell r="C11452" t="str">
            <v>4510 - MISC HARDWARE &amp; HINGES</v>
          </cell>
          <cell r="D11452" t="str">
            <v>344GN</v>
          </cell>
          <cell r="BA11452">
            <v>2.99</v>
          </cell>
        </row>
        <row r="11453">
          <cell r="C11453" t="str">
            <v>4510 - MISC HARDWARE &amp; HINGES</v>
          </cell>
          <cell r="D11453" t="str">
            <v>345GN</v>
          </cell>
          <cell r="BA11453">
            <v>3.29</v>
          </cell>
        </row>
        <row r="11454">
          <cell r="C11454" t="str">
            <v>4510 - MISC HARDWARE &amp; HINGES</v>
          </cell>
          <cell r="D11454" t="str">
            <v>34CGN</v>
          </cell>
          <cell r="BA11454">
            <v>1.39</v>
          </cell>
        </row>
        <row r="11455">
          <cell r="C11455" t="str">
            <v>4510 - MISC HARDWARE &amp; HINGES</v>
          </cell>
          <cell r="D11455" t="str">
            <v>34GFF</v>
          </cell>
          <cell r="BA11455">
            <v>8.99</v>
          </cell>
        </row>
        <row r="11456">
          <cell r="C11456" t="str">
            <v>4510 - MISC HARDWARE &amp; HINGES</v>
          </cell>
          <cell r="D11456" t="str">
            <v>12GCAP</v>
          </cell>
          <cell r="BA11456">
            <v>2.59</v>
          </cell>
        </row>
        <row r="11457">
          <cell r="C11457" t="str">
            <v>4510 - MISC HARDWARE &amp; HINGES</v>
          </cell>
          <cell r="D11457" t="str">
            <v>GENE30115</v>
          </cell>
          <cell r="BA11457">
            <v>1.49</v>
          </cell>
        </row>
        <row r="11458">
          <cell r="C11458" t="str">
            <v>4510 - MISC HARDWARE &amp; HINGES</v>
          </cell>
          <cell r="D11458" t="str">
            <v>3412GHB</v>
          </cell>
          <cell r="BA11458">
            <v>3.79</v>
          </cell>
        </row>
        <row r="11459">
          <cell r="C11459" t="str">
            <v>4510 - MISC HARDWARE &amp; HINGES</v>
          </cell>
          <cell r="D11459" t="str">
            <v>12G90SE</v>
          </cell>
          <cell r="BA11459">
            <v>2.99</v>
          </cell>
        </row>
        <row r="11460">
          <cell r="C11460" t="str">
            <v>4510 - MISC HARDWARE &amp; HINGES</v>
          </cell>
          <cell r="D11460" t="str">
            <v>34G45DE</v>
          </cell>
          <cell r="BA11460">
            <v>3.99</v>
          </cell>
        </row>
        <row r="11461">
          <cell r="C11461" t="str">
            <v>4510 - MISC HARDWARE &amp; HINGES</v>
          </cell>
          <cell r="D11461" t="str">
            <v>34G90DSE</v>
          </cell>
          <cell r="BA11461">
            <v>3.79</v>
          </cell>
        </row>
        <row r="11462">
          <cell r="C11462" t="str">
            <v>4510 - MISC HARDWARE &amp; HINGES</v>
          </cell>
          <cell r="D11462" t="str">
            <v>34G90L</v>
          </cell>
          <cell r="BA11462">
            <v>2.59</v>
          </cell>
        </row>
        <row r="11463">
          <cell r="C11463" t="str">
            <v>4510 - MISC HARDWARE &amp; HINGES</v>
          </cell>
          <cell r="D11463" t="str">
            <v>12GT</v>
          </cell>
          <cell r="BA11463">
            <v>2.99</v>
          </cell>
        </row>
        <row r="11464">
          <cell r="C11464" t="str">
            <v>4510 - MISC HARDWARE &amp; HINGES</v>
          </cell>
          <cell r="D11464" t="str">
            <v>GRF14FCUB</v>
          </cell>
          <cell r="BA11464">
            <v>5.79</v>
          </cell>
        </row>
        <row r="11465">
          <cell r="C11465" t="str">
            <v>4510 - MISC HARDWARE &amp; HINGES</v>
          </cell>
          <cell r="D11465" t="str">
            <v>GRF14FCUD</v>
          </cell>
          <cell r="BA11465">
            <v>5.19</v>
          </cell>
        </row>
        <row r="11466">
          <cell r="C11466" t="str">
            <v>4510 - MISC HARDWARE &amp; HINGES</v>
          </cell>
          <cell r="D11466" t="str">
            <v>GRF14FCAB</v>
          </cell>
          <cell r="BA11466">
            <v>3.99</v>
          </cell>
        </row>
        <row r="11467">
          <cell r="C11467" t="str">
            <v>4510 - MISC HARDWARE &amp; HINGES</v>
          </cell>
          <cell r="D11467" t="str">
            <v>GRF14FCAD</v>
          </cell>
          <cell r="BA11467">
            <v>4.3899999999999997</v>
          </cell>
        </row>
        <row r="11468">
          <cell r="C11468" t="str">
            <v>4510 - MISC HARDWARE &amp; HINGES</v>
          </cell>
          <cell r="D11468" t="str">
            <v>GRF14FPAB</v>
          </cell>
          <cell r="BA11468">
            <v>0.61</v>
          </cell>
        </row>
        <row r="11469">
          <cell r="C11469" t="str">
            <v>4510 - MISC HARDWARE &amp; HINGES</v>
          </cell>
          <cell r="D11469" t="str">
            <v>GRF14FPAD</v>
          </cell>
          <cell r="BA11469">
            <v>1.29</v>
          </cell>
        </row>
        <row r="11470">
          <cell r="C11470" t="str">
            <v>4510 - MISC HARDWARE &amp; HINGES</v>
          </cell>
          <cell r="D11470" t="str">
            <v>GRF14FPB</v>
          </cell>
          <cell r="BA11470">
            <v>0.65</v>
          </cell>
        </row>
        <row r="11471">
          <cell r="C11471" t="str">
            <v>4510 - MISC HARDWARE &amp; HINGES</v>
          </cell>
          <cell r="D11471" t="str">
            <v>GRF14MCAB</v>
          </cell>
          <cell r="BA11471">
            <v>4.09</v>
          </cell>
        </row>
        <row r="11472">
          <cell r="C11472" t="str">
            <v>4510 - MISC HARDWARE &amp; HINGES</v>
          </cell>
          <cell r="D11472" t="str">
            <v>GRF14MCAD</v>
          </cell>
          <cell r="BA11472">
            <v>4.3899999999999997</v>
          </cell>
        </row>
        <row r="11473">
          <cell r="C11473" t="str">
            <v>4510 - MISC HARDWARE &amp; HINGES</v>
          </cell>
          <cell r="D11473" t="str">
            <v>GRF14MCAD2</v>
          </cell>
          <cell r="BA11473">
            <v>4.6900000000000004</v>
          </cell>
        </row>
        <row r="11474">
          <cell r="C11474" t="str">
            <v>4510 - MISC HARDWARE &amp; HINGES</v>
          </cell>
          <cell r="D11474" t="str">
            <v>GRF14MCUD</v>
          </cell>
          <cell r="BA11474">
            <v>4.99</v>
          </cell>
        </row>
        <row r="11475">
          <cell r="C11475" t="str">
            <v>4510 - MISC HARDWARE &amp; HINGES</v>
          </cell>
          <cell r="D11475" t="str">
            <v>GRF14MPAB</v>
          </cell>
          <cell r="BA11475">
            <v>0.61</v>
          </cell>
        </row>
        <row r="11476">
          <cell r="C11476" t="str">
            <v>4510 - MISC HARDWARE &amp; HINGES</v>
          </cell>
          <cell r="D11476" t="str">
            <v>GRF14MPAD</v>
          </cell>
          <cell r="BA11476">
            <v>1.39</v>
          </cell>
        </row>
        <row r="11477">
          <cell r="C11477" t="str">
            <v>4510 - MISC HARDWARE &amp; HINGES</v>
          </cell>
          <cell r="D11477" t="str">
            <v>GRF14MPB</v>
          </cell>
          <cell r="BA11477">
            <v>0.55000000000000004</v>
          </cell>
        </row>
        <row r="11478">
          <cell r="C11478" t="str">
            <v>4510 - MISC HARDWARE &amp; HINGES</v>
          </cell>
          <cell r="D11478" t="str">
            <v>GRF14MPD2</v>
          </cell>
          <cell r="BA11478">
            <v>2.19</v>
          </cell>
        </row>
        <row r="11479">
          <cell r="C11479" t="str">
            <v>4510 - MISC HARDWARE &amp; HINGES</v>
          </cell>
          <cell r="D11479" t="str">
            <v>34GC</v>
          </cell>
          <cell r="BA11479">
            <v>2.99</v>
          </cell>
        </row>
        <row r="11480">
          <cell r="C11480" t="str">
            <v>4510 - MISC HARDWARE &amp; HINGES</v>
          </cell>
          <cell r="D11480" t="str">
            <v>GRF14PSPLD</v>
          </cell>
          <cell r="BA11480">
            <v>2.39</v>
          </cell>
        </row>
        <row r="11481">
          <cell r="C11481" t="str">
            <v>4510 - MISC HARDWARE &amp; HINGES</v>
          </cell>
          <cell r="D11481" t="str">
            <v>GRF14BSPLD</v>
          </cell>
          <cell r="BA11481">
            <v>3.79</v>
          </cell>
        </row>
        <row r="11482">
          <cell r="C11482" t="str">
            <v>4510 - MISC HARDWARE &amp; HINGES</v>
          </cell>
          <cell r="D11482" t="str">
            <v>GRF38BSPLD</v>
          </cell>
          <cell r="BA11482">
            <v>4.09</v>
          </cell>
        </row>
        <row r="11483">
          <cell r="C11483" t="str">
            <v>4510 - MISC HARDWARE &amp; HINGES</v>
          </cell>
          <cell r="D11483" t="str">
            <v>PP23871</v>
          </cell>
          <cell r="BA11483">
            <v>6.99</v>
          </cell>
        </row>
        <row r="11484">
          <cell r="C11484" t="str">
            <v>4510 - MISC HARDWARE &amp; HINGES</v>
          </cell>
          <cell r="D11484" t="str">
            <v>CC101R</v>
          </cell>
          <cell r="BA11484">
            <v>3.79</v>
          </cell>
        </row>
        <row r="11485">
          <cell r="C11485" t="str">
            <v>4510 - MISC HARDWARE &amp; HINGES</v>
          </cell>
          <cell r="D11485" t="str">
            <v>34CXFIP</v>
          </cell>
          <cell r="BA11485">
            <v>6.49</v>
          </cell>
        </row>
        <row r="11486">
          <cell r="C11486" t="str">
            <v>4510 - MISC HARDWARE &amp; HINGES</v>
          </cell>
          <cell r="D11486" t="str">
            <v>12C45E</v>
          </cell>
          <cell r="BA11486">
            <v>0.01</v>
          </cell>
        </row>
        <row r="11487">
          <cell r="C11487" t="str">
            <v>4510 - MISC HARDWARE &amp; HINGES</v>
          </cell>
          <cell r="D11487" t="str">
            <v>ELK31272</v>
          </cell>
          <cell r="BA11487">
            <v>1.19</v>
          </cell>
        </row>
        <row r="11488">
          <cell r="C11488" t="str">
            <v>4510 - MISC HARDWARE &amp; HINGES</v>
          </cell>
          <cell r="D11488" t="str">
            <v>34C45DE</v>
          </cell>
          <cell r="BA11488">
            <v>3.79</v>
          </cell>
        </row>
        <row r="11489">
          <cell r="C11489" t="str">
            <v>4510 - MISC HARDWARE &amp; HINGES</v>
          </cell>
          <cell r="D11489" t="str">
            <v>34CT111</v>
          </cell>
          <cell r="BA11489">
            <v>3.99</v>
          </cell>
        </row>
        <row r="11490">
          <cell r="C11490" t="str">
            <v>4510 - MISC HARDWARE &amp; HINGES</v>
          </cell>
          <cell r="D11490" t="str">
            <v>CT111R</v>
          </cell>
          <cell r="BA11490">
            <v>5.99</v>
          </cell>
        </row>
        <row r="11491">
          <cell r="C11491" t="str">
            <v>4510 - MISC HARDWARE &amp; HINGES</v>
          </cell>
          <cell r="D11491" t="str">
            <v>GPS341024G</v>
          </cell>
          <cell r="BA11491">
            <v>5.39</v>
          </cell>
        </row>
        <row r="11492">
          <cell r="C11492" t="str">
            <v>4510 - MISC HARDWARE &amp; HINGES</v>
          </cell>
          <cell r="D11492" t="str">
            <v>HB5524350</v>
          </cell>
          <cell r="BA11492">
            <v>22.99</v>
          </cell>
        </row>
        <row r="11493">
          <cell r="C11493" t="str">
            <v>4510 - MISC HARDWARE &amp; HINGES</v>
          </cell>
          <cell r="D11493" t="str">
            <v>MT100</v>
          </cell>
          <cell r="BA11493">
            <v>4.3899999999999997</v>
          </cell>
        </row>
        <row r="11494">
          <cell r="C11494" t="str">
            <v>4510 - MISC HARDWARE &amp; HINGES</v>
          </cell>
          <cell r="D11494" t="str">
            <v>PF14000</v>
          </cell>
          <cell r="BA11494">
            <v>4.99</v>
          </cell>
        </row>
        <row r="11495">
          <cell r="C11495" t="str">
            <v>4510 - MISC HARDWARE &amp; HINGES</v>
          </cell>
          <cell r="D11495" t="str">
            <v>400A</v>
          </cell>
          <cell r="BA11495">
            <v>9.99</v>
          </cell>
        </row>
        <row r="11496">
          <cell r="C11496" t="str">
            <v>4510 - MISC HARDWARE &amp; HINGES</v>
          </cell>
          <cell r="D11496" t="str">
            <v>PP150CP</v>
          </cell>
          <cell r="BA11496">
            <v>27.99</v>
          </cell>
        </row>
        <row r="11497">
          <cell r="C11497" t="str">
            <v>4510 - MISC HARDWARE &amp; HINGES</v>
          </cell>
          <cell r="D11497" t="str">
            <v>PP662W</v>
          </cell>
          <cell r="BA11497">
            <v>6.49</v>
          </cell>
        </row>
        <row r="11498">
          <cell r="C11498" t="str">
            <v>4510 - MISC HARDWARE &amp; HINGES</v>
          </cell>
          <cell r="D11498" t="str">
            <v>PP940W</v>
          </cell>
          <cell r="BA11498">
            <v>5.69</v>
          </cell>
        </row>
        <row r="11499">
          <cell r="C11499" t="str">
            <v>4510 - MISC HARDWARE &amp; HINGES</v>
          </cell>
          <cell r="D11499" t="str">
            <v>PP941W</v>
          </cell>
          <cell r="BA11499">
            <v>5.69</v>
          </cell>
        </row>
        <row r="11500">
          <cell r="C11500" t="str">
            <v>4510 - MISC HARDWARE &amp; HINGES</v>
          </cell>
          <cell r="D11500" t="str">
            <v>PP950W</v>
          </cell>
          <cell r="BA11500">
            <v>8.69</v>
          </cell>
        </row>
        <row r="11501">
          <cell r="C11501" t="str">
            <v>4510 - MISC HARDWARE &amp; HINGES</v>
          </cell>
          <cell r="D11501" t="str">
            <v>PS20</v>
          </cell>
          <cell r="BA11501">
            <v>11.99</v>
          </cell>
        </row>
        <row r="11502">
          <cell r="C11502" t="str">
            <v>4510 - MISC HARDWARE &amp; HINGES</v>
          </cell>
          <cell r="D11502" t="str">
            <v>P1056-150</v>
          </cell>
          <cell r="BA11502">
            <v>5.39</v>
          </cell>
        </row>
        <row r="11503">
          <cell r="C11503" t="str">
            <v>4510 - MISC HARDWARE &amp; HINGES</v>
          </cell>
          <cell r="D11503" t="str">
            <v>P1056-215</v>
          </cell>
          <cell r="BA11503">
            <v>6.99</v>
          </cell>
        </row>
        <row r="11504">
          <cell r="C11504" t="str">
            <v>4510 - MISC HARDWARE &amp; HINGES</v>
          </cell>
          <cell r="D11504" t="str">
            <v>P1056-22</v>
          </cell>
          <cell r="BA11504">
            <v>6.99</v>
          </cell>
        </row>
        <row r="11505">
          <cell r="C11505" t="str">
            <v>4510 - MISC HARDWARE &amp; HINGES</v>
          </cell>
          <cell r="D11505" t="str">
            <v>P1056-32</v>
          </cell>
          <cell r="BA11505">
            <v>8.99</v>
          </cell>
        </row>
        <row r="11506">
          <cell r="C11506" t="str">
            <v>4510 - MISC HARDWARE &amp; HINGES</v>
          </cell>
          <cell r="D11506" t="str">
            <v>P1056-33</v>
          </cell>
          <cell r="BA11506">
            <v>8.99</v>
          </cell>
        </row>
        <row r="11507">
          <cell r="C11507" t="str">
            <v>4510 - MISC HARDWARE &amp; HINGES</v>
          </cell>
          <cell r="D11507" t="str">
            <v>P1056-43</v>
          </cell>
          <cell r="BA11507">
            <v>11.99</v>
          </cell>
        </row>
        <row r="11508">
          <cell r="C11508" t="str">
            <v>4510 - MISC HARDWARE &amp; HINGES</v>
          </cell>
          <cell r="D11508" t="str">
            <v>P1056-44</v>
          </cell>
          <cell r="BA11508">
            <v>9.99</v>
          </cell>
        </row>
        <row r="11509">
          <cell r="C11509" t="str">
            <v>4510 - MISC HARDWARE &amp; HINGES</v>
          </cell>
          <cell r="D11509" t="str">
            <v>BK103003</v>
          </cell>
          <cell r="BA11509">
            <v>8.99</v>
          </cell>
        </row>
        <row r="11510">
          <cell r="C11510" t="str">
            <v>4510 - MISC HARDWARE &amp; HINGES</v>
          </cell>
          <cell r="D11510" t="str">
            <v>CG5850</v>
          </cell>
          <cell r="BA11510">
            <v>35.99</v>
          </cell>
        </row>
        <row r="11511">
          <cell r="C11511" t="str">
            <v>4510 - MISC HARDWARE &amp; HINGES</v>
          </cell>
          <cell r="D11511" t="str">
            <v>UA7AER</v>
          </cell>
          <cell r="BA11511">
            <v>1.49</v>
          </cell>
        </row>
        <row r="11512">
          <cell r="C11512" t="str">
            <v>4510 - MISC HARDWARE &amp; HINGES</v>
          </cell>
          <cell r="D11512" t="str">
            <v>UA7AJ</v>
          </cell>
          <cell r="BA11512">
            <v>5.99</v>
          </cell>
        </row>
        <row r="11513">
          <cell r="C11513" t="str">
            <v>4510 - MISC HARDWARE &amp; HINGES</v>
          </cell>
          <cell r="D11513" t="str">
            <v>UA9AG</v>
          </cell>
          <cell r="BA11513">
            <v>3.29</v>
          </cell>
        </row>
        <row r="11514">
          <cell r="C11514" t="str">
            <v>4510 - MISC HARDWARE &amp; HINGES</v>
          </cell>
          <cell r="D11514" t="str">
            <v>UA9AH</v>
          </cell>
          <cell r="BA11514">
            <v>4.59</v>
          </cell>
        </row>
        <row r="11515">
          <cell r="C11515" t="str">
            <v>4510 - MISC HARDWARE &amp; HINGES</v>
          </cell>
          <cell r="D11515" t="str">
            <v>UA9AJ</v>
          </cell>
          <cell r="BA11515">
            <v>5.99</v>
          </cell>
        </row>
        <row r="11516">
          <cell r="C11516" t="str">
            <v>4510 - MISC HARDWARE &amp; HINGES</v>
          </cell>
          <cell r="D11516" t="str">
            <v>IPEX764100</v>
          </cell>
          <cell r="BA11516">
            <v>9.99</v>
          </cell>
        </row>
        <row r="11517">
          <cell r="C11517" t="str">
            <v>4510 - MISC HARDWARE &amp; HINGES</v>
          </cell>
          <cell r="D11517" t="str">
            <v>GC5043L</v>
          </cell>
          <cell r="BA11517">
            <v>5.69</v>
          </cell>
        </row>
        <row r="11518">
          <cell r="C11518" t="str">
            <v>4510 - MISC HARDWARE &amp; HINGES</v>
          </cell>
          <cell r="D11518" t="str">
            <v>PP555W</v>
          </cell>
          <cell r="BA11518">
            <v>5.39</v>
          </cell>
        </row>
        <row r="11519">
          <cell r="C11519" t="str">
            <v>4510 - MISC HARDWARE &amp; HINGES</v>
          </cell>
          <cell r="D11519" t="str">
            <v>14PP31166</v>
          </cell>
          <cell r="BA11519">
            <v>2.99</v>
          </cell>
        </row>
        <row r="11520">
          <cell r="C11520" t="str">
            <v>4510 - MISC HARDWARE &amp; HINGES</v>
          </cell>
          <cell r="D11520" t="str">
            <v>WR48</v>
          </cell>
          <cell r="BA11520">
            <v>2.79</v>
          </cell>
        </row>
        <row r="11521">
          <cell r="C11521" t="str">
            <v>4510 - MISC HARDWARE &amp; HINGES</v>
          </cell>
          <cell r="D11521" t="str">
            <v>GM804742-1001</v>
          </cell>
          <cell r="BA11521">
            <v>4.99</v>
          </cell>
        </row>
        <row r="11522">
          <cell r="C11522" t="str">
            <v>4510 - MISC HARDWARE &amp; HINGES</v>
          </cell>
          <cell r="D11522" t="str">
            <v>4GGT</v>
          </cell>
          <cell r="BA11522">
            <v>22.99</v>
          </cell>
        </row>
        <row r="11523">
          <cell r="C11523" t="str">
            <v>4510 - MISC HARDWARE &amp; HINGES</v>
          </cell>
          <cell r="D11523" t="str">
            <v>DWDH</v>
          </cell>
          <cell r="BA11523">
            <v>15.99</v>
          </cell>
        </row>
        <row r="11524">
          <cell r="C11524" t="str">
            <v>4510 - MISC HARDWARE &amp; HINGES</v>
          </cell>
          <cell r="D11524" t="str">
            <v>FLATWA</v>
          </cell>
          <cell r="BA11524">
            <v>5.69</v>
          </cell>
        </row>
        <row r="11525">
          <cell r="C11525" t="str">
            <v>4510 - MISC HARDWARE &amp; HINGES</v>
          </cell>
          <cell r="D11525" t="str">
            <v>M70-1/2M</v>
          </cell>
          <cell r="BA11525">
            <v>9.99</v>
          </cell>
        </row>
        <row r="11526">
          <cell r="C11526" t="str">
            <v>4510 - MISC HARDWARE &amp; HINGES</v>
          </cell>
          <cell r="D11526" t="str">
            <v>PP664W</v>
          </cell>
          <cell r="BA11526">
            <v>5.99</v>
          </cell>
        </row>
        <row r="11527">
          <cell r="C11527" t="str">
            <v>4510 - MISC HARDWARE &amp; HINGES</v>
          </cell>
          <cell r="D11527" t="str">
            <v>PP667W</v>
          </cell>
          <cell r="BA11527">
            <v>5.99</v>
          </cell>
        </row>
        <row r="11528">
          <cell r="C11528" t="str">
            <v>4510 - MISC HARDWARE &amp; HINGES</v>
          </cell>
          <cell r="D11528" t="str">
            <v>PP668W</v>
          </cell>
          <cell r="BA11528">
            <v>6.99</v>
          </cell>
        </row>
        <row r="11529">
          <cell r="C11529" t="str">
            <v>4510 - MISC HARDWARE &amp; HINGES</v>
          </cell>
          <cell r="D11529" t="str">
            <v>PP669W</v>
          </cell>
          <cell r="BA11529">
            <v>6.99</v>
          </cell>
        </row>
        <row r="11530">
          <cell r="C11530" t="str">
            <v>4510 - MISC HARDWARE &amp; HINGES</v>
          </cell>
          <cell r="D11530" t="str">
            <v>PP825-10</v>
          </cell>
          <cell r="BA11530">
            <v>14.99</v>
          </cell>
        </row>
        <row r="11531">
          <cell r="C11531" t="str">
            <v>4510 - MISC HARDWARE &amp; HINGES</v>
          </cell>
          <cell r="D11531" t="str">
            <v>PP930W</v>
          </cell>
          <cell r="BA11531">
            <v>10.99</v>
          </cell>
        </row>
        <row r="11532">
          <cell r="C11532" t="str">
            <v>4510 - MISC HARDWARE &amp; HINGES</v>
          </cell>
          <cell r="D11532" t="str">
            <v>SISE</v>
          </cell>
          <cell r="BA11532">
            <v>10.99</v>
          </cell>
        </row>
        <row r="11533">
          <cell r="C11533" t="str">
            <v>4510 - MISC HARDWARE &amp; HINGES</v>
          </cell>
          <cell r="D11533" t="str">
            <v>SPSS</v>
          </cell>
          <cell r="BA11533">
            <v>11.99</v>
          </cell>
        </row>
        <row r="11534">
          <cell r="C11534" t="str">
            <v>4510 - MISC HARDWARE &amp; HINGES</v>
          </cell>
          <cell r="D11534" t="str">
            <v>U088A</v>
          </cell>
          <cell r="BA11534">
            <v>7.09</v>
          </cell>
        </row>
        <row r="11535">
          <cell r="C11535" t="str">
            <v>4510 - MISC HARDWARE &amp; HINGES</v>
          </cell>
          <cell r="D11535" t="str">
            <v>WARK</v>
          </cell>
          <cell r="BA11535">
            <v>9.99</v>
          </cell>
        </row>
        <row r="11536">
          <cell r="C11536" t="str">
            <v>4510 - MISC HARDWARE &amp; HINGES</v>
          </cell>
          <cell r="D11536" t="str">
            <v>WH5</v>
          </cell>
          <cell r="BA11536">
            <v>13.99</v>
          </cell>
        </row>
        <row r="11537">
          <cell r="C11537" t="str">
            <v>4510 - MISC HARDWARE &amp; HINGES</v>
          </cell>
          <cell r="D11537" t="str">
            <v>WMDH</v>
          </cell>
          <cell r="BA11537">
            <v>15.99</v>
          </cell>
        </row>
        <row r="11538">
          <cell r="C11538" t="str">
            <v>4510 - MISC HARDWARE &amp; HINGES</v>
          </cell>
          <cell r="D11538" t="str">
            <v>HWSPVC12</v>
          </cell>
          <cell r="BA11538">
            <v>1.39</v>
          </cell>
        </row>
        <row r="11539">
          <cell r="C11539" t="str">
            <v>4510 - MISC HARDWARE &amp; HINGES</v>
          </cell>
          <cell r="D11539" t="str">
            <v>GT1015</v>
          </cell>
          <cell r="BA11539">
            <v>5.99</v>
          </cell>
        </row>
        <row r="11540">
          <cell r="C11540" t="str">
            <v>4510 - MISC HARDWARE &amp; HINGES</v>
          </cell>
          <cell r="D11540" t="str">
            <v>01HM</v>
          </cell>
          <cell r="BA11540">
            <v>1.99</v>
          </cell>
        </row>
        <row r="11541">
          <cell r="C11541" t="str">
            <v>4510 - MISC HARDWARE &amp; HINGES</v>
          </cell>
          <cell r="D11541" t="str">
            <v>GM801134-1002</v>
          </cell>
          <cell r="BA11541">
            <v>2.59</v>
          </cell>
        </row>
        <row r="11542">
          <cell r="C11542" t="str">
            <v>4510 - MISC HARDWARE &amp; HINGES</v>
          </cell>
          <cell r="D11542" t="str">
            <v>PFHC34</v>
          </cell>
          <cell r="BA11542">
            <v>2.39</v>
          </cell>
        </row>
        <row r="11543">
          <cell r="C11543" t="str">
            <v>4510 - MISC HARDWARE &amp; HINGES</v>
          </cell>
          <cell r="D11543" t="str">
            <v>PMHC34</v>
          </cell>
          <cell r="BA11543">
            <v>2.19</v>
          </cell>
        </row>
        <row r="11544">
          <cell r="C11544" t="str">
            <v>4510 - MISC HARDWARE &amp; HINGES</v>
          </cell>
          <cell r="D11544" t="str">
            <v>AROL-232-OM</v>
          </cell>
          <cell r="BA11544">
            <v>2.99</v>
          </cell>
        </row>
        <row r="11545">
          <cell r="C11545" t="str">
            <v>4510 - MISC HARDWARE &amp; HINGES</v>
          </cell>
          <cell r="D11545" t="str">
            <v>M9-14</v>
          </cell>
          <cell r="BA11545">
            <v>6.99</v>
          </cell>
        </row>
        <row r="11546">
          <cell r="C11546" t="str">
            <v>4510 - MISC HARDWARE &amp; HINGES</v>
          </cell>
          <cell r="D11546" t="str">
            <v>AI4472</v>
          </cell>
          <cell r="BA11546">
            <v>6.99</v>
          </cell>
        </row>
        <row r="11547">
          <cell r="C11547" t="str">
            <v>4510 - MISC HARDWARE &amp; HINGES</v>
          </cell>
          <cell r="D11547" t="str">
            <v>RP1723</v>
          </cell>
          <cell r="BA11547">
            <v>3.99</v>
          </cell>
        </row>
        <row r="11548">
          <cell r="C11548" t="str">
            <v>4510 - MISC HARDWARE &amp; HINGES</v>
          </cell>
          <cell r="D11548" t="str">
            <v>2677B</v>
          </cell>
          <cell r="BA11548">
            <v>6.99</v>
          </cell>
        </row>
        <row r="11549">
          <cell r="C11549" t="str">
            <v>4510 - MISC HARDWARE &amp; HINGES</v>
          </cell>
          <cell r="D11549" t="str">
            <v>BBA62</v>
          </cell>
          <cell r="BA11549">
            <v>39.99</v>
          </cell>
        </row>
        <row r="11550">
          <cell r="C11550" t="str">
            <v>4510 - MISC HARDWARE &amp; HINGES</v>
          </cell>
          <cell r="D11550" t="str">
            <v>MD68254</v>
          </cell>
          <cell r="BA11550">
            <v>18.989999999999998</v>
          </cell>
        </row>
        <row r="11551">
          <cell r="C11551" t="str">
            <v>4510 - MISC HARDWARE &amp; HINGES</v>
          </cell>
          <cell r="D11551" t="str">
            <v>LI224WS</v>
          </cell>
          <cell r="BA11551">
            <v>17.989999999999998</v>
          </cell>
        </row>
        <row r="11552">
          <cell r="C11552" t="str">
            <v>4510 - MISC HARDWARE &amp; HINGES</v>
          </cell>
          <cell r="D11552" t="str">
            <v>LAM302L</v>
          </cell>
          <cell r="BA11552">
            <v>17.989999999999998</v>
          </cell>
        </row>
        <row r="11553">
          <cell r="C11553" t="str">
            <v>4510 - MISC HARDWARE &amp; HINGES</v>
          </cell>
          <cell r="D11553" t="str">
            <v>OA43519</v>
          </cell>
          <cell r="BA11553">
            <v>6.99</v>
          </cell>
        </row>
        <row r="11554">
          <cell r="C11554" t="str">
            <v>4510 - MISC HARDWARE &amp; HINGES</v>
          </cell>
          <cell r="D11554" t="str">
            <v>PP956</v>
          </cell>
          <cell r="BA11554">
            <v>4.59</v>
          </cell>
        </row>
        <row r="11555">
          <cell r="C11555" t="str">
            <v>4510 - MISC HARDWARE &amp; HINGES</v>
          </cell>
          <cell r="D11555" t="str">
            <v>PP663W</v>
          </cell>
          <cell r="BA11555">
            <v>11.99</v>
          </cell>
        </row>
        <row r="11556">
          <cell r="C11556" t="str">
            <v>4510 - MISC HARDWARE &amp; HINGES</v>
          </cell>
          <cell r="D11556" t="str">
            <v>PSB855</v>
          </cell>
          <cell r="BA11556">
            <v>6.49</v>
          </cell>
        </row>
        <row r="11557">
          <cell r="C11557" t="str">
            <v>4510 - MISC HARDWARE &amp; HINGES</v>
          </cell>
          <cell r="D11557" t="str">
            <v>ND107BC</v>
          </cell>
          <cell r="BA11557">
            <v>8.99</v>
          </cell>
        </row>
        <row r="11558">
          <cell r="C11558" t="str">
            <v>4510 - MISC HARDWARE &amp; HINGES</v>
          </cell>
          <cell r="D11558" t="str">
            <v>NDS1245</v>
          </cell>
          <cell r="BA11558">
            <v>5.99</v>
          </cell>
        </row>
        <row r="11559">
          <cell r="C11559" t="str">
            <v>4510 - MISC HARDWARE &amp; HINGES</v>
          </cell>
          <cell r="D11559" t="str">
            <v>PP85519</v>
          </cell>
          <cell r="BA11559">
            <v>3.99</v>
          </cell>
        </row>
        <row r="11560">
          <cell r="C11560" t="str">
            <v>4510 - MISC HARDWARE &amp; HINGES</v>
          </cell>
          <cell r="D11560" t="str">
            <v>PP85535</v>
          </cell>
          <cell r="BA11560">
            <v>3.79</v>
          </cell>
        </row>
        <row r="11561">
          <cell r="C11561" t="str">
            <v>4510 - MISC HARDWARE &amp; HINGES</v>
          </cell>
          <cell r="D11561" t="str">
            <v>PP965</v>
          </cell>
          <cell r="BA11561">
            <v>4.29</v>
          </cell>
        </row>
        <row r="11562">
          <cell r="C11562" t="str">
            <v>4510 - MISC HARDWARE &amp; HINGES</v>
          </cell>
          <cell r="D11562" t="str">
            <v>2P2WLH</v>
          </cell>
          <cell r="BA11562">
            <v>6.99</v>
          </cell>
        </row>
        <row r="11563">
          <cell r="C11563" t="str">
            <v>4510 - MISC HARDWARE &amp; HINGES</v>
          </cell>
          <cell r="D11563" t="str">
            <v>3WRPR50A</v>
          </cell>
          <cell r="BA11563">
            <v>11.99</v>
          </cell>
        </row>
        <row r="11564">
          <cell r="C11564" t="str">
            <v>4510 - MISC HARDWARE &amp; HINGES</v>
          </cell>
          <cell r="D11564" t="str">
            <v>4WGPR50A</v>
          </cell>
          <cell r="BA11564">
            <v>12.99</v>
          </cell>
        </row>
        <row r="11565">
          <cell r="C11565" t="str">
            <v>4510 - MISC HARDWARE &amp; HINGES</v>
          </cell>
          <cell r="D11565" t="str">
            <v>3WGCT3O</v>
          </cell>
          <cell r="BA11565">
            <v>7.99</v>
          </cell>
        </row>
        <row r="11566">
          <cell r="C11566" t="str">
            <v>4510 - MISC HARDWARE &amp; HINGES</v>
          </cell>
          <cell r="D11566" t="str">
            <v>CW5132W</v>
          </cell>
          <cell r="BA11566">
            <v>0.79</v>
          </cell>
        </row>
        <row r="11567">
          <cell r="C11567" t="str">
            <v>4510 - MISC HARDWARE &amp; HINGES</v>
          </cell>
          <cell r="D11567" t="str">
            <v>GWC19001</v>
          </cell>
          <cell r="BA11567">
            <v>1.99</v>
          </cell>
        </row>
        <row r="11568">
          <cell r="C11568" t="str">
            <v>4510 - MISC HARDWARE &amp; HINGES</v>
          </cell>
          <cell r="D11568" t="str">
            <v>39CH</v>
          </cell>
          <cell r="BA11568">
            <v>6.49</v>
          </cell>
        </row>
        <row r="11569">
          <cell r="C11569" t="str">
            <v>4510 - MISC HARDWARE &amp; HINGES</v>
          </cell>
          <cell r="D11569" t="str">
            <v>NCP4867</v>
          </cell>
          <cell r="BA11569">
            <v>6.99</v>
          </cell>
        </row>
        <row r="11570">
          <cell r="C11570" t="str">
            <v>4510 - MISC HARDWARE &amp; HINGES</v>
          </cell>
          <cell r="D11570" t="str">
            <v>2138W</v>
          </cell>
          <cell r="BA11570">
            <v>1.99</v>
          </cell>
        </row>
        <row r="11571">
          <cell r="C11571" t="str">
            <v>4510 - MISC HARDWARE &amp; HINGES</v>
          </cell>
          <cell r="D11571" t="str">
            <v>RC860</v>
          </cell>
          <cell r="BA11571">
            <v>1.39</v>
          </cell>
        </row>
        <row r="11572">
          <cell r="C11572" t="str">
            <v>4510 - MISC HARDWARE &amp; HINGES</v>
          </cell>
          <cell r="D11572" t="str">
            <v>GB46104</v>
          </cell>
          <cell r="BA11572">
            <v>4.79</v>
          </cell>
        </row>
        <row r="11573">
          <cell r="C11573" t="str">
            <v>4510 - MISC HARDWARE &amp; HINGES</v>
          </cell>
          <cell r="D11573" t="str">
            <v>ET4055</v>
          </cell>
          <cell r="BA11573">
            <v>21.99</v>
          </cell>
        </row>
        <row r="11574">
          <cell r="C11574" t="str">
            <v>4510 - MISC HARDWARE &amp; HINGES</v>
          </cell>
          <cell r="D11574" t="str">
            <v>ET4065</v>
          </cell>
          <cell r="BA11574">
            <v>19.989999999999998</v>
          </cell>
        </row>
        <row r="11575">
          <cell r="C11575" t="str">
            <v>4510 - MISC HARDWARE &amp; HINGES</v>
          </cell>
          <cell r="D11575" t="str">
            <v>PQC101</v>
          </cell>
          <cell r="BA11575">
            <v>3.99</v>
          </cell>
        </row>
        <row r="11576">
          <cell r="C11576" t="str">
            <v>4510 - MISC HARDWARE &amp; HINGES</v>
          </cell>
          <cell r="D11576" t="str">
            <v>PQC102</v>
          </cell>
          <cell r="BA11576">
            <v>4.59</v>
          </cell>
        </row>
        <row r="11577">
          <cell r="C11577" t="str">
            <v>4510 - MISC HARDWARE &amp; HINGES</v>
          </cell>
          <cell r="D11577" t="str">
            <v>PQC103</v>
          </cell>
          <cell r="BA11577">
            <v>5.99</v>
          </cell>
        </row>
        <row r="11578">
          <cell r="C11578" t="str">
            <v>4510 - MISC HARDWARE &amp; HINGES</v>
          </cell>
          <cell r="D11578" t="str">
            <v>PQC104</v>
          </cell>
          <cell r="BA11578">
            <v>6.49</v>
          </cell>
        </row>
        <row r="11579">
          <cell r="C11579" t="str">
            <v>4510 - MISC HARDWARE &amp; HINGES</v>
          </cell>
          <cell r="D11579" t="str">
            <v>SCCDBLTBB</v>
          </cell>
          <cell r="BA11579">
            <v>15.99</v>
          </cell>
        </row>
        <row r="11580">
          <cell r="C11580" t="str">
            <v>4510 - MISC HARDWARE &amp; HINGES</v>
          </cell>
          <cell r="D11580" t="str">
            <v>9120B</v>
          </cell>
          <cell r="BA11580">
            <v>14.99</v>
          </cell>
        </row>
        <row r="11581">
          <cell r="C11581" t="str">
            <v>4510 - MISC HARDWARE &amp; HINGES</v>
          </cell>
          <cell r="D11581" t="str">
            <v>AA13754</v>
          </cell>
          <cell r="BA11581">
            <v>14.99</v>
          </cell>
        </row>
        <row r="11582">
          <cell r="C11582" t="str">
            <v>4510 - MISC HARDWARE &amp; HINGES</v>
          </cell>
          <cell r="D11582" t="str">
            <v>690DFRB</v>
          </cell>
          <cell r="BA11582">
            <v>15.99</v>
          </cell>
        </row>
        <row r="11583">
          <cell r="C11583" t="str">
            <v>4510 - MISC HARDWARE &amp; HINGES</v>
          </cell>
          <cell r="D11583" t="str">
            <v>AA11669</v>
          </cell>
          <cell r="BA11583">
            <v>7.99</v>
          </cell>
        </row>
        <row r="11584">
          <cell r="C11584" t="str">
            <v>4510 - MISC HARDWARE &amp; HINGES</v>
          </cell>
          <cell r="D11584" t="str">
            <v>AA11900</v>
          </cell>
          <cell r="BA11584">
            <v>3.29</v>
          </cell>
        </row>
        <row r="11585">
          <cell r="C11585" t="str">
            <v>4510 - MISC HARDWARE &amp; HINGES</v>
          </cell>
          <cell r="D11585" t="str">
            <v>HPWH16OZ</v>
          </cell>
          <cell r="BA11585">
            <v>18.989999999999998</v>
          </cell>
        </row>
        <row r="11586">
          <cell r="C11586" t="str">
            <v>4510 - MISC HARDWARE &amp; HINGES</v>
          </cell>
          <cell r="D11586" t="str">
            <v>AA12063</v>
          </cell>
          <cell r="BA11586">
            <v>7.59</v>
          </cell>
        </row>
        <row r="11587">
          <cell r="C11587" t="str">
            <v>4510 - MISC HARDWARE &amp; HINGES</v>
          </cell>
          <cell r="D11587" t="str">
            <v>MSSP</v>
          </cell>
          <cell r="BA11587">
            <v>19.989999999999998</v>
          </cell>
        </row>
        <row r="11588">
          <cell r="C11588" t="str">
            <v>4510 - MISC HARDWARE &amp; HINGES</v>
          </cell>
          <cell r="D11588" t="str">
            <v>HPSSP</v>
          </cell>
          <cell r="BA11588">
            <v>11.99</v>
          </cell>
        </row>
        <row r="11589">
          <cell r="C11589" t="str">
            <v>4510 - MISC HARDWARE &amp; HINGES</v>
          </cell>
          <cell r="D11589" t="str">
            <v>GPAERO</v>
          </cell>
          <cell r="BA11589">
            <v>14.99</v>
          </cell>
        </row>
        <row r="11590">
          <cell r="C11590" t="str">
            <v>4510 - MISC HARDWARE &amp; HINGES</v>
          </cell>
          <cell r="D11590" t="str">
            <v>RO249124</v>
          </cell>
          <cell r="BA11590">
            <v>6.99</v>
          </cell>
        </row>
        <row r="11591">
          <cell r="C11591" t="str">
            <v>4510 - MISC HARDWARE &amp; HINGES</v>
          </cell>
          <cell r="D11591" t="str">
            <v>RO249111</v>
          </cell>
          <cell r="BA11591">
            <v>6.99</v>
          </cell>
        </row>
        <row r="11592">
          <cell r="C11592" t="str">
            <v>4510 - MISC HARDWARE &amp; HINGES</v>
          </cell>
          <cell r="D11592" t="str">
            <v>RO249088</v>
          </cell>
          <cell r="BA11592">
            <v>6.99</v>
          </cell>
        </row>
        <row r="11593">
          <cell r="C11593" t="str">
            <v>4510 - MISC HARDWARE &amp; HINGES</v>
          </cell>
          <cell r="D11593" t="str">
            <v>RO249086</v>
          </cell>
          <cell r="BA11593">
            <v>6.99</v>
          </cell>
        </row>
        <row r="11594">
          <cell r="C11594" t="str">
            <v>4510 - MISC HARDWARE &amp; HINGES</v>
          </cell>
          <cell r="D11594" t="str">
            <v>RO249058</v>
          </cell>
          <cell r="BA11594">
            <v>6.99</v>
          </cell>
        </row>
        <row r="11595">
          <cell r="C11595" t="str">
            <v>4510 - MISC HARDWARE &amp; HINGES</v>
          </cell>
          <cell r="D11595" t="str">
            <v>RO249127</v>
          </cell>
          <cell r="BA11595">
            <v>6.99</v>
          </cell>
        </row>
        <row r="11596">
          <cell r="C11596" t="str">
            <v>4510 - MISC HARDWARE &amp; HINGES</v>
          </cell>
          <cell r="D11596" t="str">
            <v>RO249126</v>
          </cell>
          <cell r="BA11596">
            <v>6.99</v>
          </cell>
        </row>
        <row r="11597">
          <cell r="C11597" t="str">
            <v>4510 - MISC HARDWARE &amp; HINGES</v>
          </cell>
          <cell r="D11597" t="str">
            <v>RO249125</v>
          </cell>
          <cell r="BA11597">
            <v>6.99</v>
          </cell>
        </row>
        <row r="11598">
          <cell r="C11598" t="str">
            <v>4510 - MISC HARDWARE &amp; HINGES</v>
          </cell>
          <cell r="D11598" t="str">
            <v>RO249122</v>
          </cell>
          <cell r="BA11598">
            <v>6.99</v>
          </cell>
        </row>
        <row r="11599">
          <cell r="C11599" t="str">
            <v>4510 - MISC HARDWARE &amp; HINGES</v>
          </cell>
          <cell r="D11599" t="str">
            <v>RO249117</v>
          </cell>
          <cell r="BA11599">
            <v>6.99</v>
          </cell>
        </row>
        <row r="11600">
          <cell r="C11600" t="str">
            <v>4510 - MISC HARDWARE &amp; HINGES</v>
          </cell>
          <cell r="D11600" t="str">
            <v>RO249115</v>
          </cell>
          <cell r="BA11600">
            <v>6.99</v>
          </cell>
        </row>
        <row r="11601">
          <cell r="C11601" t="str">
            <v>4510 - MISC HARDWARE &amp; HINGES</v>
          </cell>
          <cell r="D11601" t="str">
            <v>RO249114</v>
          </cell>
          <cell r="BA11601">
            <v>6.99</v>
          </cell>
        </row>
        <row r="11602">
          <cell r="C11602" t="str">
            <v>4510 - MISC HARDWARE &amp; HINGES</v>
          </cell>
          <cell r="D11602" t="str">
            <v>RO249102</v>
          </cell>
          <cell r="BA11602">
            <v>6.99</v>
          </cell>
        </row>
        <row r="11603">
          <cell r="C11603" t="str">
            <v>4510 - MISC HARDWARE &amp; HINGES</v>
          </cell>
          <cell r="D11603" t="str">
            <v>RO249095</v>
          </cell>
          <cell r="BA11603">
            <v>6.99</v>
          </cell>
        </row>
        <row r="11604">
          <cell r="C11604" t="str">
            <v>4510 - MISC HARDWARE &amp; HINGES</v>
          </cell>
          <cell r="D11604" t="str">
            <v>RO249092</v>
          </cell>
          <cell r="BA11604">
            <v>6.99</v>
          </cell>
        </row>
        <row r="11605">
          <cell r="C11605" t="str">
            <v>4510 - MISC HARDWARE &amp; HINGES</v>
          </cell>
          <cell r="D11605" t="str">
            <v>RO249090</v>
          </cell>
          <cell r="BA11605">
            <v>6.99</v>
          </cell>
        </row>
        <row r="11606">
          <cell r="C11606" t="str">
            <v>4510 - MISC HARDWARE &amp; HINGES</v>
          </cell>
          <cell r="D11606" t="str">
            <v>RO249087</v>
          </cell>
          <cell r="BA11606">
            <v>6.99</v>
          </cell>
        </row>
        <row r="11607">
          <cell r="C11607" t="str">
            <v>4510 - MISC HARDWARE &amp; HINGES</v>
          </cell>
          <cell r="D11607" t="str">
            <v>RO249844</v>
          </cell>
          <cell r="BA11607">
            <v>6.99</v>
          </cell>
        </row>
        <row r="11608">
          <cell r="C11608" t="str">
            <v>4510 - MISC HARDWARE &amp; HINGES</v>
          </cell>
          <cell r="D11608" t="str">
            <v>RO249061</v>
          </cell>
          <cell r="BA11608">
            <v>6.99</v>
          </cell>
        </row>
        <row r="11609">
          <cell r="C11609" t="str">
            <v>4510 - MISC HARDWARE &amp; HINGES</v>
          </cell>
          <cell r="D11609" t="str">
            <v>US334018</v>
          </cell>
          <cell r="BA11609">
            <v>0</v>
          </cell>
        </row>
        <row r="11610">
          <cell r="C11610" t="str">
            <v>4510 - MISC HARDWARE &amp; HINGES</v>
          </cell>
          <cell r="D11610" t="str">
            <v>RO249853</v>
          </cell>
          <cell r="BA11610">
            <v>6.99</v>
          </cell>
        </row>
        <row r="11611">
          <cell r="C11611" t="str">
            <v>4510 - MISC HARDWARE &amp; HINGES</v>
          </cell>
          <cell r="D11611" t="str">
            <v>RO249060</v>
          </cell>
          <cell r="BA11611">
            <v>6.99</v>
          </cell>
        </row>
        <row r="11612">
          <cell r="C11612" t="str">
            <v>4510 - MISC HARDWARE &amp; HINGES</v>
          </cell>
          <cell r="D11612" t="str">
            <v>RO7750830</v>
          </cell>
          <cell r="BA11612">
            <v>6.99</v>
          </cell>
        </row>
        <row r="11613">
          <cell r="C11613" t="str">
            <v>4510 - MISC HARDWARE &amp; HINGES</v>
          </cell>
          <cell r="D11613" t="str">
            <v>RO7751830</v>
          </cell>
          <cell r="BA11613">
            <v>6.99</v>
          </cell>
        </row>
        <row r="11614">
          <cell r="C11614" t="str">
            <v>4510 - MISC HARDWARE &amp; HINGES</v>
          </cell>
          <cell r="D11614" t="str">
            <v>RO1915830</v>
          </cell>
          <cell r="BA11614">
            <v>6.99</v>
          </cell>
        </row>
        <row r="11615">
          <cell r="C11615" t="str">
            <v>4510 - MISC HARDWARE &amp; HINGES</v>
          </cell>
          <cell r="D11615" t="str">
            <v>RO7733830</v>
          </cell>
          <cell r="BA11615">
            <v>6.99</v>
          </cell>
        </row>
        <row r="11616">
          <cell r="C11616" t="str">
            <v>4510 - MISC HARDWARE &amp; HINGES</v>
          </cell>
          <cell r="D11616" t="str">
            <v>RO7747830</v>
          </cell>
          <cell r="BA11616">
            <v>6.99</v>
          </cell>
        </row>
        <row r="11617">
          <cell r="C11617" t="str">
            <v>4510 - MISC HARDWARE &amp; HINGES</v>
          </cell>
          <cell r="D11617" t="str">
            <v>PSAMCHS</v>
          </cell>
          <cell r="BA11617">
            <v>11.99</v>
          </cell>
        </row>
        <row r="11618">
          <cell r="C11618" t="str">
            <v>4510 - MISC HARDWARE &amp; HINGES</v>
          </cell>
          <cell r="D11618" t="str">
            <v>PSBMS</v>
          </cell>
          <cell r="BA11618">
            <v>11.99</v>
          </cell>
        </row>
        <row r="11619">
          <cell r="C11619" t="str">
            <v>4510 - MISC HARDWARE &amp; HINGES</v>
          </cell>
          <cell r="D11619" t="str">
            <v>PSATWLS</v>
          </cell>
          <cell r="BA11619">
            <v>11.99</v>
          </cell>
        </row>
        <row r="11620">
          <cell r="C11620" t="str">
            <v>4510 - MISC HARDWARE &amp; HINGES</v>
          </cell>
          <cell r="D11620" t="str">
            <v>PSPCS</v>
          </cell>
          <cell r="BA11620">
            <v>11.99</v>
          </cell>
        </row>
        <row r="11621">
          <cell r="C11621" t="str">
            <v>4510 - MISC HARDWARE &amp; HINGES</v>
          </cell>
          <cell r="D11621" t="str">
            <v>MNW61320444</v>
          </cell>
          <cell r="BA11621">
            <v>19.989999999999998</v>
          </cell>
        </row>
        <row r="11622">
          <cell r="C11622" t="str">
            <v>4510 - MISC HARDWARE &amp; HINGES</v>
          </cell>
          <cell r="D11622" t="str">
            <v>MNW61310444</v>
          </cell>
          <cell r="BA11622">
            <v>19.989999999999998</v>
          </cell>
        </row>
        <row r="11623">
          <cell r="C11623" t="str">
            <v>4510 - MISC HARDWARE &amp; HINGES</v>
          </cell>
          <cell r="D11623" t="str">
            <v>MNW61340444</v>
          </cell>
          <cell r="BA11623">
            <v>19.989999999999998</v>
          </cell>
        </row>
        <row r="11624">
          <cell r="C11624" t="str">
            <v>4510 - MISC HARDWARE &amp; HINGES</v>
          </cell>
          <cell r="D11624" t="str">
            <v>QTOLMPPSS</v>
          </cell>
          <cell r="BA11624">
            <v>19.989999999999998</v>
          </cell>
        </row>
        <row r="11625">
          <cell r="C11625" t="str">
            <v>4510 - MISC HARDWARE &amp; HINGES</v>
          </cell>
          <cell r="D11625" t="str">
            <v>QTSTNOAKPS</v>
          </cell>
          <cell r="BA11625">
            <v>19.989999999999998</v>
          </cell>
        </row>
        <row r="11626">
          <cell r="C11626" t="str">
            <v>4510 - MISC HARDWARE &amp; HINGES</v>
          </cell>
          <cell r="D11626" t="str">
            <v>QTSTCLSBLDPS</v>
          </cell>
          <cell r="BA11626">
            <v>19.989999999999998</v>
          </cell>
        </row>
        <row r="11627">
          <cell r="C11627" t="str">
            <v>4510 - MISC HARDWARE &amp; HINGES</v>
          </cell>
          <cell r="D11627" t="str">
            <v>MNX33255</v>
          </cell>
          <cell r="BA11627">
            <v>13.99</v>
          </cell>
        </row>
        <row r="11628">
          <cell r="C11628" t="str">
            <v>4510 - MISC HARDWARE &amp; HINGES</v>
          </cell>
          <cell r="D11628" t="str">
            <v>KSQKPT94003</v>
          </cell>
          <cell r="BA11628">
            <v>7.99</v>
          </cell>
        </row>
        <row r="11629">
          <cell r="C11629" t="str">
            <v>4510 - MISC HARDWARE &amp; HINGES</v>
          </cell>
          <cell r="D11629" t="str">
            <v>AI4008</v>
          </cell>
          <cell r="BA11629">
            <v>4.79</v>
          </cell>
        </row>
        <row r="11630">
          <cell r="C11630" t="str">
            <v>4510 - MISC HARDWARE &amp; HINGES</v>
          </cell>
          <cell r="D11630" t="str">
            <v>AI3304</v>
          </cell>
          <cell r="BA11630">
            <v>35.99</v>
          </cell>
        </row>
        <row r="11631">
          <cell r="C11631" t="str">
            <v>4510 - MISC HARDWARE &amp; HINGES</v>
          </cell>
          <cell r="D11631" t="str">
            <v>AI3302</v>
          </cell>
          <cell r="BA11631">
            <v>34.99</v>
          </cell>
        </row>
        <row r="11632">
          <cell r="C11632" t="str">
            <v>4510 - MISC HARDWARE &amp; HINGES</v>
          </cell>
          <cell r="D11632" t="str">
            <v>SW0000GRADE</v>
          </cell>
          <cell r="BA11632">
            <v>6.99</v>
          </cell>
        </row>
        <row r="11633">
          <cell r="C11633" t="str">
            <v>4510 - MISC HARDWARE &amp; HINGES</v>
          </cell>
          <cell r="D11633" t="str">
            <v>SW000GRADE</v>
          </cell>
          <cell r="BA11633">
            <v>5.99</v>
          </cell>
        </row>
        <row r="11634">
          <cell r="C11634" t="str">
            <v>4510 - MISC HARDWARE &amp; HINGES</v>
          </cell>
          <cell r="D11634" t="str">
            <v>SW00GRADE</v>
          </cell>
          <cell r="BA11634">
            <v>5.99</v>
          </cell>
        </row>
        <row r="11635">
          <cell r="C11635" t="str">
            <v>4510 - MISC HARDWARE &amp; HINGES</v>
          </cell>
          <cell r="D11635" t="str">
            <v>SW0GRADE</v>
          </cell>
          <cell r="BA11635">
            <v>5.99</v>
          </cell>
        </row>
        <row r="11636">
          <cell r="C11636" t="str">
            <v>4510 - MISC HARDWARE &amp; HINGES</v>
          </cell>
          <cell r="D11636" t="str">
            <v>AA11380</v>
          </cell>
          <cell r="BA11636">
            <v>5.99</v>
          </cell>
        </row>
        <row r="11637">
          <cell r="C11637" t="str">
            <v>4510 - MISC HARDWARE &amp; HINGES</v>
          </cell>
          <cell r="D11637" t="str">
            <v>AI4347</v>
          </cell>
          <cell r="BA11637">
            <v>19.989999999999998</v>
          </cell>
        </row>
        <row r="11638">
          <cell r="C11638" t="str">
            <v>4510 - MISC HARDWARE &amp; HINGES</v>
          </cell>
          <cell r="D11638" t="str">
            <v>AI4345</v>
          </cell>
          <cell r="BA11638">
            <v>19.989999999999998</v>
          </cell>
        </row>
        <row r="11639">
          <cell r="C11639" t="str">
            <v>4510 - MISC HARDWARE &amp; HINGES</v>
          </cell>
          <cell r="D11639" t="str">
            <v>AI4344</v>
          </cell>
          <cell r="BA11639">
            <v>19.989999999999998</v>
          </cell>
        </row>
        <row r="11640">
          <cell r="C11640" t="str">
            <v>4510 - MISC HARDWARE &amp; HINGES</v>
          </cell>
          <cell r="D11640" t="str">
            <v>AI4342</v>
          </cell>
          <cell r="BA11640">
            <v>19.989999999999998</v>
          </cell>
        </row>
        <row r="11641">
          <cell r="C11641" t="str">
            <v>4510 - MISC HARDWARE &amp; HINGES</v>
          </cell>
          <cell r="D11641" t="str">
            <v>AI4340</v>
          </cell>
          <cell r="BA11641">
            <v>19.989999999999998</v>
          </cell>
        </row>
        <row r="11642">
          <cell r="C11642" t="str">
            <v>4510 - MISC HARDWARE &amp; HINGES</v>
          </cell>
          <cell r="D11642" t="str">
            <v>RO7886830</v>
          </cell>
          <cell r="BA11642">
            <v>9.99</v>
          </cell>
        </row>
        <row r="11643">
          <cell r="C11643" t="str">
            <v>4510 - MISC HARDWARE &amp; HINGES</v>
          </cell>
          <cell r="D11643" t="str">
            <v>RU7797830</v>
          </cell>
          <cell r="BA11643">
            <v>6.99</v>
          </cell>
        </row>
        <row r="11644">
          <cell r="C11644" t="str">
            <v>4510 - MISC HARDWARE &amp; HINGES</v>
          </cell>
          <cell r="D11644" t="str">
            <v>RAG85</v>
          </cell>
          <cell r="BA11644">
            <v>6.99</v>
          </cell>
        </row>
        <row r="11645">
          <cell r="C11645" t="str">
            <v>4510 - MISC HARDWARE &amp; HINGES</v>
          </cell>
          <cell r="D11645" t="str">
            <v>DCPLAST9X12</v>
          </cell>
          <cell r="BA11645">
            <v>3.79</v>
          </cell>
        </row>
        <row r="11646">
          <cell r="C11646" t="str">
            <v>4510 - MISC HARDWARE &amp; HINGES</v>
          </cell>
          <cell r="D11646" t="str">
            <v>DCCANVAS4X15</v>
          </cell>
          <cell r="BA11646">
            <v>18.989999999999998</v>
          </cell>
        </row>
        <row r="11647">
          <cell r="C11647" t="str">
            <v>4510 - MISC HARDWARE &amp; HINGES</v>
          </cell>
          <cell r="D11647" t="str">
            <v>AA1207091</v>
          </cell>
          <cell r="BA11647">
            <v>2.59</v>
          </cell>
        </row>
        <row r="11648">
          <cell r="C11648" t="str">
            <v>4510 - MISC HARDWARE &amp; HINGES</v>
          </cell>
          <cell r="D11648" t="str">
            <v>QB2</v>
          </cell>
          <cell r="BA11648">
            <v>12.99</v>
          </cell>
        </row>
        <row r="11649">
          <cell r="C11649" t="str">
            <v>4510 - MISC HARDWARE &amp; HINGES</v>
          </cell>
          <cell r="D11649" t="str">
            <v>AA4061123</v>
          </cell>
          <cell r="BA11649">
            <v>16.989999999999998</v>
          </cell>
        </row>
        <row r="11650">
          <cell r="C11650" t="str">
            <v>4510 - MISC HARDWARE &amp; HINGES</v>
          </cell>
          <cell r="D11650" t="str">
            <v>AA4163507</v>
          </cell>
          <cell r="BA11650">
            <v>8.69</v>
          </cell>
        </row>
        <row r="11651">
          <cell r="C11651" t="str">
            <v>4510 - MISC HARDWARE &amp; HINGES</v>
          </cell>
          <cell r="D11651" t="str">
            <v>GEN34420</v>
          </cell>
          <cell r="BA11651">
            <v>10.99</v>
          </cell>
        </row>
        <row r="11652">
          <cell r="C11652" t="str">
            <v>4510 - MISC HARDWARE &amp; HINGES</v>
          </cell>
          <cell r="D11652" t="str">
            <v>GEN40130</v>
          </cell>
          <cell r="BA11652">
            <v>3.49</v>
          </cell>
        </row>
        <row r="11653">
          <cell r="C11653" t="str">
            <v>4510 - MISC HARDWARE &amp; HINGES</v>
          </cell>
          <cell r="D11653" t="str">
            <v>AA48476</v>
          </cell>
          <cell r="BA11653">
            <v>13.99</v>
          </cell>
        </row>
        <row r="11654">
          <cell r="C11654" t="str">
            <v>4510 - MISC HARDWARE &amp; HINGES</v>
          </cell>
          <cell r="D11654" t="str">
            <v>AA4007845</v>
          </cell>
          <cell r="BA11654">
            <v>3.79</v>
          </cell>
        </row>
        <row r="11655">
          <cell r="C11655" t="str">
            <v>4510 - MISC HARDWARE &amp; HINGES</v>
          </cell>
          <cell r="D11655" t="str">
            <v>AA4091989</v>
          </cell>
          <cell r="BA11655">
            <v>12.99</v>
          </cell>
        </row>
        <row r="11656">
          <cell r="C11656" t="str">
            <v>4510 - MISC HARDWARE &amp; HINGES</v>
          </cell>
          <cell r="D11656" t="str">
            <v>AA41521</v>
          </cell>
          <cell r="BA11656">
            <v>1.99</v>
          </cell>
        </row>
        <row r="11657">
          <cell r="C11657" t="str">
            <v>4510 - MISC HARDWARE &amp; HINGES</v>
          </cell>
          <cell r="D11657" t="str">
            <v>NDS980</v>
          </cell>
          <cell r="BA11657">
            <v>25.99</v>
          </cell>
        </row>
        <row r="11658">
          <cell r="C11658" t="str">
            <v>4510 - MISC HARDWARE &amp; HINGES</v>
          </cell>
          <cell r="D11658" t="str">
            <v>U710A</v>
          </cell>
          <cell r="BA11658">
            <v>2.59</v>
          </cell>
        </row>
        <row r="11659">
          <cell r="C11659" t="str">
            <v>4510 - MISC HARDWARE &amp; HINGES</v>
          </cell>
          <cell r="D11659" t="str">
            <v>IPEX435863</v>
          </cell>
          <cell r="BA11659">
            <v>1.69</v>
          </cell>
        </row>
        <row r="11660">
          <cell r="C11660" t="str">
            <v>4510 - MISC HARDWARE &amp; HINGES</v>
          </cell>
          <cell r="D11660" t="str">
            <v>IPEX435516</v>
          </cell>
          <cell r="BA11660">
            <v>2.99</v>
          </cell>
        </row>
        <row r="11661">
          <cell r="C11661" t="str">
            <v>4510 - MISC HARDWARE &amp; HINGES</v>
          </cell>
          <cell r="D11661" t="str">
            <v>NDS900</v>
          </cell>
          <cell r="BA11661">
            <v>25.99</v>
          </cell>
        </row>
        <row r="11662">
          <cell r="C11662" t="str">
            <v>4510 - MISC HARDWARE &amp; HINGES</v>
          </cell>
          <cell r="D11662" t="str">
            <v>AA45296</v>
          </cell>
          <cell r="BA11662">
            <v>6.99</v>
          </cell>
        </row>
        <row r="11663">
          <cell r="C11663" t="str">
            <v>4510 - MISC HARDWARE &amp; HINGES</v>
          </cell>
          <cell r="D11663" t="str">
            <v>GEN41629</v>
          </cell>
          <cell r="BA11663">
            <v>6.99</v>
          </cell>
        </row>
        <row r="11664">
          <cell r="C11664" t="str">
            <v>4510 - MISC HARDWARE &amp; HINGES</v>
          </cell>
          <cell r="D11664" t="str">
            <v>GB19-003</v>
          </cell>
          <cell r="BA11664">
            <v>1.99</v>
          </cell>
        </row>
        <row r="11665">
          <cell r="C11665" t="str">
            <v>4510 - MISC HARDWARE &amp; HINGES</v>
          </cell>
          <cell r="D11665" t="str">
            <v>GB19-2H2</v>
          </cell>
          <cell r="BA11665">
            <v>1.99</v>
          </cell>
        </row>
        <row r="11666">
          <cell r="C11666" t="str">
            <v>4510 - MISC HARDWARE &amp; HINGES</v>
          </cell>
          <cell r="D11666" t="str">
            <v>WS1020AWG</v>
          </cell>
          <cell r="BA11666">
            <v>13.99</v>
          </cell>
        </row>
        <row r="11667">
          <cell r="C11667" t="str">
            <v>4510 - MISC HARDWARE &amp; HINGES</v>
          </cell>
          <cell r="D11667" t="str">
            <v>NEBO6382</v>
          </cell>
          <cell r="BA11667">
            <v>16.89</v>
          </cell>
        </row>
        <row r="11668">
          <cell r="C11668" t="str">
            <v>4510 - MISC HARDWARE &amp; HINGES</v>
          </cell>
          <cell r="D11668" t="str">
            <v>PS-50</v>
          </cell>
          <cell r="BA11668">
            <v>2.99</v>
          </cell>
        </row>
        <row r="11669">
          <cell r="C11669" t="str">
            <v>4510 - MISC HARDWARE &amp; HINGES</v>
          </cell>
          <cell r="D11669" t="str">
            <v>GB19-004</v>
          </cell>
          <cell r="BA11669">
            <v>1.99</v>
          </cell>
        </row>
        <row r="11670">
          <cell r="C11670" t="str">
            <v>4510 - MISC HARDWARE &amp; HINGES</v>
          </cell>
          <cell r="D11670" t="str">
            <v>AA3022043</v>
          </cell>
          <cell r="BA11670">
            <v>1.99</v>
          </cell>
        </row>
        <row r="11671">
          <cell r="C11671" t="str">
            <v>4510 - MISC HARDWARE &amp; HINGES</v>
          </cell>
          <cell r="D11671" t="str">
            <v>BP690-3-15</v>
          </cell>
          <cell r="BA11671">
            <v>9.99</v>
          </cell>
        </row>
        <row r="11672">
          <cell r="C11672" t="str">
            <v>4510 - MISC HARDWARE &amp; HINGES</v>
          </cell>
          <cell r="D11672" t="str">
            <v>CW2142W-BOX</v>
          </cell>
          <cell r="BA11672">
            <v>1.49</v>
          </cell>
        </row>
        <row r="11673">
          <cell r="C11673" t="str">
            <v>4510 - MISC HARDWARE &amp; HINGES</v>
          </cell>
          <cell r="D11673" t="str">
            <v>CW2149V-BOX</v>
          </cell>
          <cell r="BA11673">
            <v>3.49</v>
          </cell>
        </row>
        <row r="11674">
          <cell r="C11674" t="str">
            <v>4510 - MISC HARDWARE &amp; HINGES</v>
          </cell>
          <cell r="D11674" t="str">
            <v>WPSI</v>
          </cell>
          <cell r="BA11674">
            <v>3.29</v>
          </cell>
        </row>
        <row r="11675">
          <cell r="C11675" t="str">
            <v>4510 - MISC HARDWARE &amp; HINGES</v>
          </cell>
          <cell r="D11675" t="str">
            <v>AA34924</v>
          </cell>
          <cell r="BA11675">
            <v>1.99</v>
          </cell>
        </row>
        <row r="11676">
          <cell r="C11676" t="str">
            <v>4510 - MISC HARDWARE &amp; HINGES</v>
          </cell>
          <cell r="D11676" t="str">
            <v>AA36034</v>
          </cell>
          <cell r="BA11676">
            <v>2.99</v>
          </cell>
        </row>
        <row r="11677">
          <cell r="C11677" t="str">
            <v>4510 - MISC HARDWARE &amp; HINGES</v>
          </cell>
          <cell r="D11677" t="str">
            <v>AA36073</v>
          </cell>
          <cell r="BA11677">
            <v>1.99</v>
          </cell>
        </row>
        <row r="11678">
          <cell r="C11678" t="str">
            <v>4510 - MISC HARDWARE &amp; HINGES</v>
          </cell>
          <cell r="D11678" t="str">
            <v>AA36086</v>
          </cell>
          <cell r="BA11678">
            <v>5.69</v>
          </cell>
        </row>
        <row r="11679">
          <cell r="C11679" t="str">
            <v>4510 - MISC HARDWARE &amp; HINGES</v>
          </cell>
          <cell r="D11679" t="str">
            <v>AA36557</v>
          </cell>
          <cell r="BA11679">
            <v>1.99</v>
          </cell>
        </row>
        <row r="11680">
          <cell r="C11680" t="str">
            <v>4510 - MISC HARDWARE &amp; HINGES</v>
          </cell>
          <cell r="D11680" t="str">
            <v>CW7501V-BOX</v>
          </cell>
          <cell r="BA11680">
            <v>2.99</v>
          </cell>
        </row>
        <row r="11681">
          <cell r="C11681" t="str">
            <v>4510 - MISC HARDWARE &amp; HINGES</v>
          </cell>
          <cell r="D11681" t="str">
            <v>AA36080</v>
          </cell>
          <cell r="BA11681">
            <v>5.39</v>
          </cell>
        </row>
        <row r="11682">
          <cell r="C11682" t="str">
            <v>4510 - MISC HARDWARE &amp; HINGES</v>
          </cell>
          <cell r="D11682" t="str">
            <v>AA30339</v>
          </cell>
          <cell r="BA11682">
            <v>4.29</v>
          </cell>
        </row>
        <row r="11683">
          <cell r="C11683" t="str">
            <v>4510 - MISC HARDWARE &amp; HINGES</v>
          </cell>
          <cell r="D11683" t="str">
            <v>AA30761</v>
          </cell>
          <cell r="BA11683">
            <v>8.69</v>
          </cell>
        </row>
        <row r="11684">
          <cell r="C11684" t="str">
            <v>4510 - MISC HARDWARE &amp; HINGES</v>
          </cell>
          <cell r="D11684" t="str">
            <v>AA33222</v>
          </cell>
          <cell r="BA11684">
            <v>1.99</v>
          </cell>
        </row>
        <row r="11685">
          <cell r="C11685" t="str">
            <v>4510 - MISC HARDWARE &amp; HINGES</v>
          </cell>
          <cell r="D11685" t="str">
            <v>AA36358</v>
          </cell>
          <cell r="BA11685">
            <v>2.19</v>
          </cell>
        </row>
        <row r="11686">
          <cell r="C11686" t="str">
            <v>4510 - MISC HARDWARE &amp; HINGES</v>
          </cell>
          <cell r="D11686" t="str">
            <v>TBUA7AHR-CTN</v>
          </cell>
          <cell r="BA11686">
            <v>4.59</v>
          </cell>
        </row>
        <row r="11687">
          <cell r="C11687" t="str">
            <v>4510 - MISC HARDWARE &amp; HINGES</v>
          </cell>
          <cell r="D11687" t="str">
            <v>GB46-308UVB</v>
          </cell>
          <cell r="BA11687">
            <v>11.99</v>
          </cell>
        </row>
        <row r="11688">
          <cell r="C11688" t="str">
            <v>4510 - MISC HARDWARE &amp; HINGES</v>
          </cell>
          <cell r="D11688" t="str">
            <v>GB46-310UVB</v>
          </cell>
          <cell r="BA11688">
            <v>13.99</v>
          </cell>
        </row>
        <row r="11689">
          <cell r="C11689" t="str">
            <v>4510 - MISC HARDWARE &amp; HINGES</v>
          </cell>
          <cell r="D11689" t="str">
            <v>AA30381</v>
          </cell>
          <cell r="BA11689">
            <v>3.79</v>
          </cell>
        </row>
        <row r="11690">
          <cell r="C11690" t="str">
            <v>4510 - MISC HARDWARE &amp; HINGES</v>
          </cell>
          <cell r="D11690" t="str">
            <v>GB46310</v>
          </cell>
          <cell r="BA11690">
            <v>13.99</v>
          </cell>
        </row>
        <row r="11691">
          <cell r="C11691" t="str">
            <v>4510 - MISC HARDWARE &amp; HINGES</v>
          </cell>
          <cell r="D11691" t="str">
            <v>AA51991</v>
          </cell>
          <cell r="BA11691">
            <v>8.69</v>
          </cell>
        </row>
        <row r="11692">
          <cell r="C11692" t="str">
            <v>4510 - MISC HARDWARE &amp; HINGES</v>
          </cell>
          <cell r="D11692" t="str">
            <v>PGADHES-W9</v>
          </cell>
          <cell r="BA11692">
            <v>6.99</v>
          </cell>
        </row>
        <row r="11693">
          <cell r="C11693" t="str">
            <v>4510 - MISC HARDWARE &amp; HINGES</v>
          </cell>
          <cell r="D11693" t="str">
            <v>UA9AFB</v>
          </cell>
          <cell r="BA11693">
            <v>2.19</v>
          </cell>
        </row>
        <row r="11694">
          <cell r="C11694" t="str">
            <v>4510 - MISC HARDWARE &amp; HINGES</v>
          </cell>
          <cell r="D11694" t="str">
            <v>AA5013222</v>
          </cell>
          <cell r="BA11694">
            <v>1.49</v>
          </cell>
        </row>
        <row r="11695">
          <cell r="C11695" t="str">
            <v>4510 - MISC HARDWARE &amp; HINGES</v>
          </cell>
          <cell r="D11695" t="str">
            <v>A100509</v>
          </cell>
          <cell r="BA11695">
            <v>18.989999999999998</v>
          </cell>
        </row>
        <row r="11696">
          <cell r="C11696" t="str">
            <v>4510 - MISC HARDWARE &amp; HINGES</v>
          </cell>
          <cell r="D11696" t="str">
            <v>N220-830</v>
          </cell>
          <cell r="BA11696">
            <v>3.49</v>
          </cell>
        </row>
        <row r="11697">
          <cell r="C11697" t="str">
            <v>4510 - MISC HARDWARE &amp; HINGES</v>
          </cell>
          <cell r="D11697" t="str">
            <v>SEN06A125P</v>
          </cell>
          <cell r="BA11697">
            <v>29.99</v>
          </cell>
        </row>
        <row r="11698">
          <cell r="C11698" t="str">
            <v>4510 - MISC HARDWARE &amp; HINGES</v>
          </cell>
          <cell r="D11698" t="str">
            <v>SP08F175Y</v>
          </cell>
          <cell r="BA11698">
            <v>45.99</v>
          </cell>
        </row>
        <row r="11699">
          <cell r="C11699" t="str">
            <v>4510 - MISC HARDWARE &amp; HINGES</v>
          </cell>
          <cell r="D11699" t="str">
            <v>SPSCS8200</v>
          </cell>
          <cell r="BA11699">
            <v>54.99</v>
          </cell>
        </row>
        <row r="11700">
          <cell r="C11700" t="str">
            <v>4510 - MISC HARDWARE &amp; HINGES</v>
          </cell>
          <cell r="D11700" t="str">
            <v>SP08F200Y</v>
          </cell>
          <cell r="BA11700">
            <v>54.99</v>
          </cell>
        </row>
        <row r="11701">
          <cell r="C11701" t="str">
            <v>4510 - MISC HARDWARE &amp; HINGES</v>
          </cell>
          <cell r="D11701" t="str">
            <v>MD07153</v>
          </cell>
          <cell r="BA11701">
            <v>15.99</v>
          </cell>
        </row>
        <row r="11702">
          <cell r="C11702" t="str">
            <v>4510 - MISC HARDWARE &amp; HINGES</v>
          </cell>
          <cell r="D11702" t="str">
            <v>MD68320</v>
          </cell>
          <cell r="BA11702">
            <v>31.99</v>
          </cell>
        </row>
        <row r="11703">
          <cell r="C11703" t="str">
            <v>4510 - MISC HARDWARE &amp; HINGES</v>
          </cell>
          <cell r="D11703" t="str">
            <v>MD25756</v>
          </cell>
          <cell r="BA11703">
            <v>5.99</v>
          </cell>
        </row>
        <row r="11704">
          <cell r="C11704" t="str">
            <v>4510 - MISC HARDWARE &amp; HINGES</v>
          </cell>
          <cell r="D11704" t="str">
            <v>MD87981</v>
          </cell>
          <cell r="BA11704">
            <v>25.99</v>
          </cell>
        </row>
        <row r="11705">
          <cell r="C11705" t="str">
            <v>4510 - MISC HARDWARE &amp; HINGES</v>
          </cell>
          <cell r="D11705" t="str">
            <v>MD43824</v>
          </cell>
          <cell r="BA11705">
            <v>6.99</v>
          </cell>
        </row>
        <row r="11706">
          <cell r="C11706" t="str">
            <v>4510 - MISC HARDWARE &amp; HINGES</v>
          </cell>
          <cell r="D11706" t="str">
            <v>MD48998</v>
          </cell>
          <cell r="BA11706">
            <v>16.989999999999998</v>
          </cell>
        </row>
        <row r="11707">
          <cell r="C11707" t="str">
            <v>4510 - MISC HARDWARE &amp; HINGES</v>
          </cell>
          <cell r="D11707" t="str">
            <v>MD49008</v>
          </cell>
          <cell r="BA11707">
            <v>39.99</v>
          </cell>
        </row>
        <row r="11708">
          <cell r="C11708" t="str">
            <v>4510 - MISC HARDWARE &amp; HINGES</v>
          </cell>
          <cell r="D11708" t="str">
            <v>MD68247</v>
          </cell>
          <cell r="BA11708">
            <v>18.989999999999998</v>
          </cell>
        </row>
        <row r="11709">
          <cell r="C11709" t="str">
            <v>4510 - MISC HARDWARE &amp; HINGES</v>
          </cell>
          <cell r="D11709" t="str">
            <v>PP82070</v>
          </cell>
          <cell r="BA11709">
            <v>17.989999999999998</v>
          </cell>
        </row>
        <row r="11710">
          <cell r="C11710" t="str">
            <v>4510 - MISC HARDWARE &amp; HINGES</v>
          </cell>
          <cell r="D11710" t="str">
            <v>QUADCLEAR</v>
          </cell>
          <cell r="BA11710">
            <v>7.99</v>
          </cell>
        </row>
        <row r="11711">
          <cell r="C11711" t="str">
            <v>4510 - MISC HARDWARE &amp; HINGES</v>
          </cell>
          <cell r="D11711" t="str">
            <v>IRW12412</v>
          </cell>
          <cell r="BA11711">
            <v>16.989999999999998</v>
          </cell>
        </row>
        <row r="11712">
          <cell r="C11712" t="str">
            <v>4510 - MISC HARDWARE &amp; HINGES</v>
          </cell>
          <cell r="D11712" t="str">
            <v>TRI8FM</v>
          </cell>
          <cell r="BA11712">
            <v>54.99</v>
          </cell>
        </row>
        <row r="11713">
          <cell r="C11713" t="str">
            <v>4510 - MISC HARDWARE &amp; HINGES</v>
          </cell>
          <cell r="D11713" t="str">
            <v>AMR143</v>
          </cell>
          <cell r="BA11713">
            <v>2.59</v>
          </cell>
        </row>
        <row r="11714">
          <cell r="C11714" t="str">
            <v>4510 - MISC HARDWARE &amp; HINGES</v>
          </cell>
          <cell r="D11714" t="str">
            <v>AMR253G10</v>
          </cell>
          <cell r="BA11714">
            <v>3.49</v>
          </cell>
        </row>
        <row r="11715">
          <cell r="C11715" t="str">
            <v>4510 - MISC HARDWARE &amp; HINGES</v>
          </cell>
          <cell r="D11715" t="str">
            <v>N105-270</v>
          </cell>
          <cell r="BA11715">
            <v>99.99</v>
          </cell>
        </row>
        <row r="11716">
          <cell r="C11716" t="str">
            <v>4510 - MISC HARDWARE &amp; HINGES</v>
          </cell>
          <cell r="D11716" t="str">
            <v>N105-726</v>
          </cell>
          <cell r="BA11716">
            <v>72.989999999999995</v>
          </cell>
        </row>
        <row r="11717">
          <cell r="C11717" t="str">
            <v>4510 - MISC HARDWARE &amp; HINGES</v>
          </cell>
          <cell r="D11717" t="str">
            <v>CW7501W-BOX</v>
          </cell>
          <cell r="BA11717">
            <v>2.99</v>
          </cell>
        </row>
        <row r="11718">
          <cell r="C11718" t="str">
            <v>4510 - MISC HARDWARE &amp; HINGES</v>
          </cell>
          <cell r="D11718" t="str">
            <v>AA3005865</v>
          </cell>
          <cell r="BA11718">
            <v>2.59</v>
          </cell>
        </row>
        <row r="11719">
          <cell r="C11719" t="str">
            <v>4510 - MISC HARDWARE &amp; HINGES</v>
          </cell>
          <cell r="D11719" t="str">
            <v>GR09HG</v>
          </cell>
          <cell r="BA11719">
            <v>133.99</v>
          </cell>
        </row>
        <row r="11720">
          <cell r="C11720" t="str">
            <v>4510 - MISC HARDWARE &amp; HINGES</v>
          </cell>
          <cell r="D11720" t="str">
            <v>AMR255PB</v>
          </cell>
          <cell r="BA11720">
            <v>2.99</v>
          </cell>
        </row>
        <row r="11721">
          <cell r="C11721" t="str">
            <v>4510 - MISC HARDWARE &amp; HINGES</v>
          </cell>
          <cell r="D11721" t="str">
            <v>AMRBP1590G10</v>
          </cell>
          <cell r="BA11721">
            <v>6.99</v>
          </cell>
        </row>
        <row r="11722">
          <cell r="C11722" t="str">
            <v>4510 - MISC HARDWARE &amp; HINGES</v>
          </cell>
          <cell r="D11722" t="str">
            <v>AMRBP19010SS</v>
          </cell>
          <cell r="BA11722">
            <v>6.99</v>
          </cell>
        </row>
        <row r="11723">
          <cell r="C11723" t="str">
            <v>4510 - MISC HARDWARE &amp; HINGES</v>
          </cell>
          <cell r="D11723" t="str">
            <v>AMRBP53005G10</v>
          </cell>
          <cell r="BA11723">
            <v>2.99</v>
          </cell>
        </row>
        <row r="11724">
          <cell r="C11724" t="str">
            <v>4510 - MISC HARDWARE &amp; HINGES</v>
          </cell>
          <cell r="D11724" t="str">
            <v>AMRBP53005ORB</v>
          </cell>
          <cell r="BA11724">
            <v>2.99</v>
          </cell>
        </row>
        <row r="11725">
          <cell r="C11725" t="str">
            <v>4510 - MISC HARDWARE &amp; HINGES</v>
          </cell>
          <cell r="D11725" t="str">
            <v>AMRBP2811J2314</v>
          </cell>
          <cell r="BA11725">
            <v>13.99</v>
          </cell>
        </row>
        <row r="11726">
          <cell r="C11726" t="str">
            <v>4510 - MISC HARDWARE &amp; HINGES</v>
          </cell>
          <cell r="D11726" t="str">
            <v>AMRBP792826</v>
          </cell>
          <cell r="BA11726">
            <v>6.99</v>
          </cell>
        </row>
        <row r="11727">
          <cell r="C11727" t="str">
            <v>4510 - MISC HARDWARE &amp; HINGES</v>
          </cell>
          <cell r="D11727" t="str">
            <v>AMRBP97653PT</v>
          </cell>
          <cell r="BA11727">
            <v>4.99</v>
          </cell>
        </row>
        <row r="11728">
          <cell r="C11728" t="str">
            <v>4510 - MISC HARDWARE &amp; HINGES</v>
          </cell>
          <cell r="D11728" t="str">
            <v>AMRBP9783AL</v>
          </cell>
          <cell r="BA11728">
            <v>3.99</v>
          </cell>
        </row>
        <row r="11729">
          <cell r="C11729" t="str">
            <v>4510 - MISC HARDWARE &amp; HINGES</v>
          </cell>
          <cell r="D11729" t="str">
            <v>AMRBPR34293</v>
          </cell>
          <cell r="BA11729">
            <v>5.99</v>
          </cell>
        </row>
        <row r="11730">
          <cell r="C11730" t="str">
            <v>4510 - MISC HARDWARE &amp; HINGES</v>
          </cell>
          <cell r="D11730" t="str">
            <v>T25B6350SN</v>
          </cell>
          <cell r="BA11730">
            <v>1.39</v>
          </cell>
        </row>
        <row r="11731">
          <cell r="C11731" t="str">
            <v>4510 - MISC HARDWARE &amp; HINGES</v>
          </cell>
          <cell r="D11731" t="str">
            <v>T25B6350ORB</v>
          </cell>
          <cell r="BA11731">
            <v>1.39</v>
          </cell>
        </row>
        <row r="11732">
          <cell r="C11732" t="str">
            <v>4510 - MISC HARDWARE &amp; HINGES</v>
          </cell>
          <cell r="D11732" t="str">
            <v>TL2900</v>
          </cell>
          <cell r="BA11732">
            <v>0.73</v>
          </cell>
        </row>
        <row r="11733">
          <cell r="C11733" t="str">
            <v>4510 - MISC HARDWARE &amp; HINGES</v>
          </cell>
          <cell r="D11733" t="str">
            <v>T25L2900B</v>
          </cell>
          <cell r="BA11733">
            <v>0.57999999999999996</v>
          </cell>
        </row>
        <row r="11734">
          <cell r="C11734" t="str">
            <v>4510 - MISC HARDWARE &amp; HINGES</v>
          </cell>
          <cell r="D11734" t="str">
            <v>SA1075-SEA</v>
          </cell>
          <cell r="BA11734">
            <v>7.69</v>
          </cell>
        </row>
        <row r="11735">
          <cell r="C11735" t="str">
            <v>4510 - MISC HARDWARE &amp; HINGES</v>
          </cell>
          <cell r="D11735" t="str">
            <v>H180219EA</v>
          </cell>
          <cell r="BA11735">
            <v>2.39</v>
          </cell>
        </row>
        <row r="11736">
          <cell r="C11736" t="str">
            <v>4510 - MISC HARDWARE &amp; HINGES</v>
          </cell>
          <cell r="D11736" t="str">
            <v>H180222EA</v>
          </cell>
          <cell r="BA11736">
            <v>3.49</v>
          </cell>
        </row>
        <row r="11737">
          <cell r="C11737" t="str">
            <v>4510 - MISC HARDWARE &amp; HINGES</v>
          </cell>
          <cell r="D11737" t="str">
            <v>H180228EA</v>
          </cell>
          <cell r="BA11737">
            <v>9.99</v>
          </cell>
        </row>
        <row r="11738">
          <cell r="C11738" t="str">
            <v>4510 - MISC HARDWARE &amp; HINGES</v>
          </cell>
          <cell r="D11738" t="str">
            <v>H180231EA</v>
          </cell>
          <cell r="BA11738">
            <v>13.49</v>
          </cell>
        </row>
        <row r="11739">
          <cell r="C11739" t="str">
            <v>4510 - MISC HARDWARE &amp; HINGES</v>
          </cell>
          <cell r="D11739" t="str">
            <v>H190177EA</v>
          </cell>
          <cell r="BA11739">
            <v>0.79</v>
          </cell>
        </row>
        <row r="11740">
          <cell r="C11740" t="str">
            <v>4510 - MISC HARDWARE &amp; HINGES</v>
          </cell>
          <cell r="D11740" t="str">
            <v>H300018EA</v>
          </cell>
          <cell r="BA11740">
            <v>0.16</v>
          </cell>
        </row>
        <row r="11741">
          <cell r="C11741" t="str">
            <v>4510 - MISC HARDWARE &amp; HINGES</v>
          </cell>
          <cell r="D11741" t="str">
            <v>H300030EA</v>
          </cell>
          <cell r="BA11741">
            <v>0.37</v>
          </cell>
        </row>
        <row r="11742">
          <cell r="C11742" t="str">
            <v>4510 - MISC HARDWARE &amp; HINGES</v>
          </cell>
          <cell r="D11742" t="str">
            <v>H371219EA</v>
          </cell>
          <cell r="BA11742">
            <v>0.65</v>
          </cell>
        </row>
        <row r="11743">
          <cell r="C11743" t="str">
            <v>4510 - MISC HARDWARE &amp; HINGES</v>
          </cell>
          <cell r="D11743" t="str">
            <v>H810515EA</v>
          </cell>
          <cell r="BA11743">
            <v>0.95</v>
          </cell>
        </row>
        <row r="11744">
          <cell r="C11744" t="str">
            <v>4510 - MISC HARDWARE &amp; HINGES</v>
          </cell>
          <cell r="D11744" t="str">
            <v>H811012EA</v>
          </cell>
          <cell r="BA11744">
            <v>0.23</v>
          </cell>
        </row>
        <row r="11745">
          <cell r="C11745" t="str">
            <v>4510 - MISC HARDWARE &amp; HINGES</v>
          </cell>
          <cell r="D11745" t="str">
            <v>H811015EA</v>
          </cell>
          <cell r="BA11745">
            <v>0.75</v>
          </cell>
        </row>
        <row r="11746">
          <cell r="C11746" t="str">
            <v>4510 - MISC HARDWARE &amp; HINGES</v>
          </cell>
          <cell r="D11746" t="str">
            <v>H812012EA</v>
          </cell>
          <cell r="BA11746">
            <v>0.45</v>
          </cell>
        </row>
        <row r="11747">
          <cell r="C11747" t="str">
            <v>4510 - MISC HARDWARE &amp; HINGES</v>
          </cell>
          <cell r="D11747" t="str">
            <v>H812081EA</v>
          </cell>
          <cell r="BA11747">
            <v>2.19</v>
          </cell>
        </row>
        <row r="11748">
          <cell r="C11748" t="str">
            <v>4510 - MISC HARDWARE &amp; HINGES</v>
          </cell>
          <cell r="D11748" t="str">
            <v>H812089EA</v>
          </cell>
          <cell r="BA11748">
            <v>1.49</v>
          </cell>
        </row>
        <row r="11749">
          <cell r="C11749" t="str">
            <v>4510 - MISC HARDWARE &amp; HINGES</v>
          </cell>
          <cell r="D11749" t="str">
            <v>H812102EA</v>
          </cell>
          <cell r="BA11749">
            <v>2.39</v>
          </cell>
        </row>
        <row r="11750">
          <cell r="C11750" t="str">
            <v>4510 - MISC HARDWARE &amp; HINGES</v>
          </cell>
          <cell r="D11750" t="str">
            <v>H812116EA</v>
          </cell>
          <cell r="BA11750">
            <v>3.89</v>
          </cell>
        </row>
        <row r="11751">
          <cell r="C11751" t="str">
            <v>4510 - MISC HARDWARE &amp; HINGES</v>
          </cell>
          <cell r="D11751" t="str">
            <v>GRBTTWEAR</v>
          </cell>
          <cell r="BA11751">
            <v>2.99</v>
          </cell>
        </row>
        <row r="11752">
          <cell r="C11752" t="str">
            <v>4510 - MISC HARDWARE &amp; HINGES</v>
          </cell>
          <cell r="D11752" t="str">
            <v>CL30903</v>
          </cell>
          <cell r="BA11752">
            <v>25.49</v>
          </cell>
        </row>
        <row r="11753">
          <cell r="C11753" t="str">
            <v>4510 - MISC HARDWARE &amp; HINGES</v>
          </cell>
          <cell r="D11753" t="str">
            <v>BR381800</v>
          </cell>
          <cell r="BA11753">
            <v>81.489999999999995</v>
          </cell>
        </row>
        <row r="11754">
          <cell r="C11754" t="str">
            <v>4510 - MISC HARDWARE &amp; HINGES</v>
          </cell>
          <cell r="D11754" t="str">
            <v>MD03723</v>
          </cell>
          <cell r="BA11754">
            <v>9.99</v>
          </cell>
        </row>
        <row r="11755">
          <cell r="C11755" t="str">
            <v>4510 - MISC HARDWARE &amp; HINGES</v>
          </cell>
          <cell r="D11755" t="str">
            <v>MF03315EA</v>
          </cell>
          <cell r="BA11755">
            <v>0.28000000000000003</v>
          </cell>
        </row>
        <row r="11756">
          <cell r="C11756" t="str">
            <v>4510 - MISC HARDWARE &amp; HINGES</v>
          </cell>
          <cell r="D11756" t="str">
            <v>MF03317EA</v>
          </cell>
          <cell r="BA11756">
            <v>0.28999999999999998</v>
          </cell>
        </row>
        <row r="11757">
          <cell r="C11757" t="str">
            <v>4510 - MISC HARDWARE &amp; HINGES</v>
          </cell>
          <cell r="D11757" t="str">
            <v>MF03318EA</v>
          </cell>
          <cell r="BA11757">
            <v>0.31</v>
          </cell>
        </row>
        <row r="11758">
          <cell r="C11758" t="str">
            <v>4510 - MISC HARDWARE &amp; HINGES</v>
          </cell>
          <cell r="D11758" t="str">
            <v>MF03319EA</v>
          </cell>
          <cell r="BA11758">
            <v>0.33</v>
          </cell>
        </row>
        <row r="11759">
          <cell r="C11759" t="str">
            <v>4510 - MISC HARDWARE &amp; HINGES</v>
          </cell>
          <cell r="D11759" t="str">
            <v>MF03320EA</v>
          </cell>
          <cell r="BA11759">
            <v>0.36</v>
          </cell>
        </row>
        <row r="11760">
          <cell r="C11760" t="str">
            <v>4510 - MISC HARDWARE &amp; HINGES</v>
          </cell>
          <cell r="D11760" t="str">
            <v>MF03321EA</v>
          </cell>
          <cell r="BA11760">
            <v>0.4</v>
          </cell>
        </row>
        <row r="11761">
          <cell r="C11761" t="str">
            <v>4510 - MISC HARDWARE &amp; HINGES</v>
          </cell>
          <cell r="D11761" t="str">
            <v>MF03322EA</v>
          </cell>
          <cell r="BA11761">
            <v>0.33</v>
          </cell>
        </row>
        <row r="11762">
          <cell r="C11762" t="str">
            <v>4510 - MISC HARDWARE &amp; HINGES</v>
          </cell>
          <cell r="D11762" t="str">
            <v>MF03323EA</v>
          </cell>
          <cell r="BA11762">
            <v>0.35</v>
          </cell>
        </row>
        <row r="11763">
          <cell r="C11763" t="str">
            <v>4510 - MISC HARDWARE &amp; HINGES</v>
          </cell>
          <cell r="D11763" t="str">
            <v>MF03324EA</v>
          </cell>
          <cell r="BA11763">
            <v>0.37</v>
          </cell>
        </row>
        <row r="11764">
          <cell r="C11764" t="str">
            <v>4510 - MISC HARDWARE &amp; HINGES</v>
          </cell>
          <cell r="D11764" t="str">
            <v>MF03325EA</v>
          </cell>
          <cell r="BA11764">
            <v>0.42</v>
          </cell>
        </row>
        <row r="11765">
          <cell r="C11765" t="str">
            <v>4510 - MISC HARDWARE &amp; HINGES</v>
          </cell>
          <cell r="D11765" t="str">
            <v>MF53929</v>
          </cell>
          <cell r="BA11765">
            <v>1.99</v>
          </cell>
        </row>
        <row r="11766">
          <cell r="C11766" t="str">
            <v>4510 - MISC HARDWARE &amp; HINGES</v>
          </cell>
          <cell r="D11766" t="str">
            <v>MF03500EA</v>
          </cell>
          <cell r="BA11766">
            <v>6.09</v>
          </cell>
        </row>
        <row r="11767">
          <cell r="C11767" t="str">
            <v>4510 - MISC HARDWARE &amp; HINGES</v>
          </cell>
          <cell r="D11767" t="str">
            <v>MF04110EA</v>
          </cell>
          <cell r="BA11767">
            <v>0.56999999999999995</v>
          </cell>
        </row>
        <row r="11768">
          <cell r="C11768" t="str">
            <v>4510 - MISC HARDWARE &amp; HINGES</v>
          </cell>
          <cell r="D11768" t="str">
            <v>MF04111EA</v>
          </cell>
          <cell r="BA11768">
            <v>0.66</v>
          </cell>
        </row>
        <row r="11769">
          <cell r="C11769" t="str">
            <v>4510 - MISC HARDWARE &amp; HINGES</v>
          </cell>
          <cell r="D11769" t="str">
            <v>MF04112EA</v>
          </cell>
          <cell r="BA11769">
            <v>0.79</v>
          </cell>
        </row>
        <row r="11770">
          <cell r="C11770" t="str">
            <v>4510 - MISC HARDWARE &amp; HINGES</v>
          </cell>
          <cell r="D11770" t="str">
            <v>MF04113EA</v>
          </cell>
          <cell r="BA11770">
            <v>1.0900000000000001</v>
          </cell>
        </row>
        <row r="11771">
          <cell r="C11771" t="str">
            <v>4510 - MISC HARDWARE &amp; HINGES</v>
          </cell>
          <cell r="D11771" t="str">
            <v>MF04152EA</v>
          </cell>
          <cell r="BA11771">
            <v>0.21</v>
          </cell>
        </row>
        <row r="11772">
          <cell r="C11772" t="str">
            <v>4510 - MISC HARDWARE &amp; HINGES</v>
          </cell>
          <cell r="D11772" t="str">
            <v>MF04153EA</v>
          </cell>
          <cell r="BA11772">
            <v>0.23</v>
          </cell>
        </row>
        <row r="11773">
          <cell r="C11773" t="str">
            <v>4510 - MISC HARDWARE &amp; HINGES</v>
          </cell>
          <cell r="D11773" t="str">
            <v>MF04154EA</v>
          </cell>
          <cell r="BA11773">
            <v>0.27</v>
          </cell>
        </row>
        <row r="11774">
          <cell r="C11774" t="str">
            <v>4510 - MISC HARDWARE &amp; HINGES</v>
          </cell>
          <cell r="D11774" t="str">
            <v>MF04155EA</v>
          </cell>
          <cell r="BA11774">
            <v>1.0900000000000001</v>
          </cell>
        </row>
        <row r="11775">
          <cell r="C11775" t="str">
            <v>4510 - MISC HARDWARE &amp; HINGES</v>
          </cell>
          <cell r="D11775" t="str">
            <v>MF04157EA</v>
          </cell>
          <cell r="BA11775">
            <v>1.35</v>
          </cell>
        </row>
        <row r="11776">
          <cell r="C11776" t="str">
            <v>4510 - MISC HARDWARE &amp; HINGES</v>
          </cell>
          <cell r="D11776" t="str">
            <v>MF04159EA</v>
          </cell>
          <cell r="BA11776">
            <v>1.75</v>
          </cell>
        </row>
        <row r="11777">
          <cell r="C11777" t="str">
            <v>4510 - MISC HARDWARE &amp; HINGES</v>
          </cell>
          <cell r="D11777" t="str">
            <v>MF04160EA</v>
          </cell>
          <cell r="BA11777">
            <v>2.09</v>
          </cell>
        </row>
        <row r="11778">
          <cell r="C11778" t="str">
            <v>4510 - MISC HARDWARE &amp; HINGES</v>
          </cell>
          <cell r="D11778" t="str">
            <v>MF04161EA</v>
          </cell>
          <cell r="BA11778">
            <v>2.59</v>
          </cell>
        </row>
        <row r="11779">
          <cell r="C11779" t="str">
            <v>4510 - MISC HARDWARE &amp; HINGES</v>
          </cell>
          <cell r="D11779" t="str">
            <v>MF04162EA</v>
          </cell>
          <cell r="BA11779">
            <v>3.59</v>
          </cell>
        </row>
        <row r="11780">
          <cell r="C11780" t="str">
            <v>4510 - MISC HARDWARE &amp; HINGES</v>
          </cell>
          <cell r="D11780" t="str">
            <v>MF04166EA</v>
          </cell>
          <cell r="BA11780">
            <v>4.1900000000000004</v>
          </cell>
        </row>
        <row r="11781">
          <cell r="C11781" t="str">
            <v>4510 - MISC HARDWARE &amp; HINGES</v>
          </cell>
          <cell r="D11781" t="str">
            <v>MF04175EA</v>
          </cell>
          <cell r="BA11781">
            <v>1.1499999999999999</v>
          </cell>
        </row>
        <row r="11782">
          <cell r="C11782" t="str">
            <v>4510 - MISC HARDWARE &amp; HINGES</v>
          </cell>
          <cell r="D11782" t="str">
            <v>MF04176EA</v>
          </cell>
          <cell r="BA11782">
            <v>1.25</v>
          </cell>
        </row>
        <row r="11783">
          <cell r="C11783" t="str">
            <v>4510 - MISC HARDWARE &amp; HINGES</v>
          </cell>
          <cell r="D11783" t="str">
            <v>MF04177EA</v>
          </cell>
          <cell r="BA11783">
            <v>1.69</v>
          </cell>
        </row>
        <row r="11784">
          <cell r="C11784" t="str">
            <v>4510 - MISC HARDWARE &amp; HINGES</v>
          </cell>
          <cell r="D11784" t="str">
            <v>MF04178EA</v>
          </cell>
          <cell r="BA11784">
            <v>2.4900000000000002</v>
          </cell>
        </row>
        <row r="11785">
          <cell r="C11785" t="str">
            <v>4510 - MISC HARDWARE &amp; HINGES</v>
          </cell>
          <cell r="D11785" t="str">
            <v>MF04179EA</v>
          </cell>
          <cell r="BA11785">
            <v>3.99</v>
          </cell>
        </row>
        <row r="11786">
          <cell r="C11786" t="str">
            <v>4510 - MISC HARDWARE &amp; HINGES</v>
          </cell>
          <cell r="D11786" t="str">
            <v>MF04185EA</v>
          </cell>
          <cell r="BA11786">
            <v>1.19</v>
          </cell>
        </row>
        <row r="11787">
          <cell r="C11787" t="str">
            <v>4510 - MISC HARDWARE &amp; HINGES</v>
          </cell>
          <cell r="D11787" t="str">
            <v>MF04186EA</v>
          </cell>
          <cell r="BA11787">
            <v>1.49</v>
          </cell>
        </row>
        <row r="11788">
          <cell r="C11788" t="str">
            <v>4510 - MISC HARDWARE &amp; HINGES</v>
          </cell>
          <cell r="D11788" t="str">
            <v>MF04187EA</v>
          </cell>
          <cell r="BA11788">
            <v>1.89</v>
          </cell>
        </row>
        <row r="11789">
          <cell r="C11789" t="str">
            <v>4510 - MISC HARDWARE &amp; HINGES</v>
          </cell>
          <cell r="D11789" t="str">
            <v>MF04188EA</v>
          </cell>
          <cell r="BA11789">
            <v>3.49</v>
          </cell>
        </row>
        <row r="11790">
          <cell r="C11790" t="str">
            <v>4510 - MISC HARDWARE &amp; HINGES</v>
          </cell>
          <cell r="D11790" t="str">
            <v>MF04189EA</v>
          </cell>
          <cell r="BA11790">
            <v>5.39</v>
          </cell>
        </row>
        <row r="11791">
          <cell r="C11791" t="str">
            <v>4510 - MISC HARDWARE &amp; HINGES</v>
          </cell>
          <cell r="D11791" t="str">
            <v>MF05482EA</v>
          </cell>
          <cell r="BA11791">
            <v>0.95</v>
          </cell>
        </row>
        <row r="11792">
          <cell r="C11792" t="str">
            <v>4510 - MISC HARDWARE &amp; HINGES</v>
          </cell>
          <cell r="D11792" t="str">
            <v>MF05495EA</v>
          </cell>
          <cell r="BA11792">
            <v>1.1499999999999999</v>
          </cell>
        </row>
        <row r="11793">
          <cell r="C11793" t="str">
            <v>4510 - MISC HARDWARE &amp; HINGES</v>
          </cell>
          <cell r="D11793" t="str">
            <v>MF05497EA</v>
          </cell>
          <cell r="BA11793">
            <v>1.35</v>
          </cell>
        </row>
        <row r="11794">
          <cell r="C11794" t="str">
            <v>4510 - MISC HARDWARE &amp; HINGES</v>
          </cell>
          <cell r="D11794" t="str">
            <v>MF05501EA</v>
          </cell>
          <cell r="BA11794">
            <v>0.69</v>
          </cell>
        </row>
        <row r="11795">
          <cell r="C11795" t="str">
            <v>4510 - MISC HARDWARE &amp; HINGES</v>
          </cell>
          <cell r="D11795" t="str">
            <v>MF05510EA</v>
          </cell>
          <cell r="BA11795">
            <v>1.85</v>
          </cell>
        </row>
        <row r="11796">
          <cell r="C11796" t="str">
            <v>4510 - MISC HARDWARE &amp; HINGES</v>
          </cell>
          <cell r="D11796" t="str">
            <v>MF05524EA</v>
          </cell>
          <cell r="BA11796">
            <v>2.4900000000000002</v>
          </cell>
        </row>
        <row r="11797">
          <cell r="C11797" t="str">
            <v>4510 - MISC HARDWARE &amp; HINGES</v>
          </cell>
          <cell r="D11797" t="str">
            <v>MF07382EA</v>
          </cell>
          <cell r="BA11797">
            <v>0.68</v>
          </cell>
        </row>
        <row r="11798">
          <cell r="C11798" t="str">
            <v>4510 - MISC HARDWARE &amp; HINGES</v>
          </cell>
          <cell r="D11798" t="str">
            <v>MF07383EA</v>
          </cell>
          <cell r="BA11798">
            <v>0.69</v>
          </cell>
        </row>
        <row r="11799">
          <cell r="C11799" t="str">
            <v>4510 - MISC HARDWARE &amp; HINGES</v>
          </cell>
          <cell r="D11799" t="str">
            <v>MF07384EA</v>
          </cell>
          <cell r="BA11799">
            <v>0.85</v>
          </cell>
        </row>
        <row r="11800">
          <cell r="C11800" t="str">
            <v>4510 - MISC HARDWARE &amp; HINGES</v>
          </cell>
          <cell r="D11800" t="str">
            <v>MF07470EA</v>
          </cell>
          <cell r="BA11800">
            <v>0.99</v>
          </cell>
        </row>
        <row r="11801">
          <cell r="C11801" t="str">
            <v>4510 - MISC HARDWARE &amp; HINGES</v>
          </cell>
          <cell r="D11801" t="str">
            <v>MF07471EA</v>
          </cell>
          <cell r="BA11801">
            <v>8.39</v>
          </cell>
        </row>
        <row r="11802">
          <cell r="C11802" t="str">
            <v>4510 - MISC HARDWARE &amp; HINGES</v>
          </cell>
          <cell r="D11802" t="str">
            <v>MF07473EA</v>
          </cell>
          <cell r="BA11802">
            <v>12.99</v>
          </cell>
        </row>
        <row r="11803">
          <cell r="C11803" t="str">
            <v>4510 - MISC HARDWARE &amp; HINGES</v>
          </cell>
          <cell r="D11803" t="str">
            <v>MF07612EA</v>
          </cell>
          <cell r="BA11803">
            <v>1.65</v>
          </cell>
        </row>
        <row r="11804">
          <cell r="C11804" t="str">
            <v>4510 - MISC HARDWARE &amp; HINGES</v>
          </cell>
          <cell r="D11804" t="str">
            <v>MF08817EA</v>
          </cell>
          <cell r="BA11804">
            <v>0.05</v>
          </cell>
        </row>
        <row r="11805">
          <cell r="C11805" t="str">
            <v>4510 - MISC HARDWARE &amp; HINGES</v>
          </cell>
          <cell r="D11805" t="str">
            <v>MF08818EA</v>
          </cell>
          <cell r="BA11805">
            <v>0.05</v>
          </cell>
        </row>
        <row r="11806">
          <cell r="C11806" t="str">
            <v>4510 - MISC HARDWARE &amp; HINGES</v>
          </cell>
          <cell r="D11806" t="str">
            <v>MF08819EA</v>
          </cell>
          <cell r="BA11806">
            <v>7.0000000000000007E-2</v>
          </cell>
        </row>
        <row r="11807">
          <cell r="C11807" t="str">
            <v>4510 - MISC HARDWARE &amp; HINGES</v>
          </cell>
          <cell r="D11807" t="str">
            <v>MF08820EA</v>
          </cell>
          <cell r="BA11807">
            <v>7.0000000000000007E-2</v>
          </cell>
        </row>
        <row r="11808">
          <cell r="C11808" t="str">
            <v>4510 - MISC HARDWARE &amp; HINGES</v>
          </cell>
          <cell r="D11808" t="str">
            <v>MF08821EA</v>
          </cell>
          <cell r="BA11808">
            <v>0.09</v>
          </cell>
        </row>
        <row r="11809">
          <cell r="C11809" t="str">
            <v>4510 - MISC HARDWARE &amp; HINGES</v>
          </cell>
          <cell r="D11809" t="str">
            <v>MF08822EA</v>
          </cell>
          <cell r="BA11809">
            <v>0.11</v>
          </cell>
        </row>
        <row r="11810">
          <cell r="C11810" t="str">
            <v>4510 - MISC HARDWARE &amp; HINGES</v>
          </cell>
          <cell r="D11810" t="str">
            <v>MF08863EA</v>
          </cell>
          <cell r="BA11810">
            <v>2.0499999999999998</v>
          </cell>
        </row>
        <row r="11811">
          <cell r="C11811" t="str">
            <v>4510 - MISC HARDWARE &amp; HINGES</v>
          </cell>
          <cell r="D11811" t="str">
            <v>MF08864EA</v>
          </cell>
          <cell r="BA11811">
            <v>2.69</v>
          </cell>
        </row>
        <row r="11812">
          <cell r="C11812" t="str">
            <v>4510 - MISC HARDWARE &amp; HINGES</v>
          </cell>
          <cell r="D11812" t="str">
            <v>MF08865EA</v>
          </cell>
          <cell r="BA11812">
            <v>2.85</v>
          </cell>
        </row>
        <row r="11813">
          <cell r="C11813" t="str">
            <v>4510 - MISC HARDWARE &amp; HINGES</v>
          </cell>
          <cell r="D11813" t="str">
            <v>MF08866EA</v>
          </cell>
          <cell r="BA11813">
            <v>3.05</v>
          </cell>
        </row>
        <row r="11814">
          <cell r="C11814" t="str">
            <v>4510 - MISC HARDWARE &amp; HINGES</v>
          </cell>
          <cell r="D11814" t="str">
            <v>MF08867EA</v>
          </cell>
          <cell r="BA11814">
            <v>4.1900000000000004</v>
          </cell>
        </row>
        <row r="11815">
          <cell r="C11815" t="str">
            <v>4510 - MISC HARDWARE &amp; HINGES</v>
          </cell>
          <cell r="D11815" t="str">
            <v>MF08868EA</v>
          </cell>
          <cell r="BA11815">
            <v>4.8899999999999997</v>
          </cell>
        </row>
        <row r="11816">
          <cell r="C11816" t="str">
            <v>4510 - MISC HARDWARE &amp; HINGES</v>
          </cell>
          <cell r="D11816" t="str">
            <v>MF08869EA</v>
          </cell>
          <cell r="BA11816">
            <v>5.09</v>
          </cell>
        </row>
        <row r="11817">
          <cell r="C11817" t="str">
            <v>4510 - MISC HARDWARE &amp; HINGES</v>
          </cell>
          <cell r="D11817" t="str">
            <v>MF09190EA</v>
          </cell>
          <cell r="BA11817">
            <v>0.95</v>
          </cell>
        </row>
        <row r="11818">
          <cell r="C11818" t="str">
            <v>4510 - MISC HARDWARE &amp; HINGES</v>
          </cell>
          <cell r="D11818" t="str">
            <v>MF09191EA</v>
          </cell>
          <cell r="BA11818">
            <v>0.95</v>
          </cell>
        </row>
        <row r="11819">
          <cell r="C11819" t="str">
            <v>4510 - MISC HARDWARE &amp; HINGES</v>
          </cell>
          <cell r="D11819" t="str">
            <v>MF09192EA</v>
          </cell>
          <cell r="BA11819">
            <v>0.95</v>
          </cell>
        </row>
        <row r="11820">
          <cell r="C11820" t="str">
            <v>4510 - MISC HARDWARE &amp; HINGES</v>
          </cell>
          <cell r="D11820" t="str">
            <v>MF09193EA</v>
          </cell>
          <cell r="BA11820">
            <v>0.95</v>
          </cell>
        </row>
        <row r="11821">
          <cell r="C11821" t="str">
            <v>4510 - MISC HARDWARE &amp; HINGES</v>
          </cell>
          <cell r="D11821" t="str">
            <v>MF09194EA</v>
          </cell>
          <cell r="BA11821">
            <v>1.1499999999999999</v>
          </cell>
        </row>
        <row r="11822">
          <cell r="C11822" t="str">
            <v>4510 - MISC HARDWARE &amp; HINGES</v>
          </cell>
          <cell r="D11822" t="str">
            <v>MF09195EA</v>
          </cell>
          <cell r="BA11822">
            <v>1.19</v>
          </cell>
        </row>
        <row r="11823">
          <cell r="C11823" t="str">
            <v>4510 - MISC HARDWARE &amp; HINGES</v>
          </cell>
          <cell r="D11823" t="str">
            <v>MF09395EA</v>
          </cell>
          <cell r="BA11823">
            <v>12.19</v>
          </cell>
        </row>
        <row r="11824">
          <cell r="C11824" t="str">
            <v>4510 - MISC HARDWARE &amp; HINGES</v>
          </cell>
          <cell r="D11824" t="str">
            <v>MF09397EA</v>
          </cell>
          <cell r="BA11824">
            <v>12.99</v>
          </cell>
        </row>
        <row r="11825">
          <cell r="C11825" t="str">
            <v>4510 - MISC HARDWARE &amp; HINGES</v>
          </cell>
          <cell r="D11825" t="str">
            <v>MF09638EA</v>
          </cell>
          <cell r="BA11825">
            <v>1.99</v>
          </cell>
        </row>
        <row r="11826">
          <cell r="C11826" t="str">
            <v>4510 - MISC HARDWARE &amp; HINGES</v>
          </cell>
          <cell r="D11826" t="str">
            <v>MF09639EA</v>
          </cell>
          <cell r="BA11826">
            <v>2.29</v>
          </cell>
        </row>
        <row r="11827">
          <cell r="C11827" t="str">
            <v>4510 - MISC HARDWARE &amp; HINGES</v>
          </cell>
          <cell r="D11827" t="str">
            <v>MF09641EA</v>
          </cell>
          <cell r="BA11827">
            <v>3.29</v>
          </cell>
        </row>
        <row r="11828">
          <cell r="C11828" t="str">
            <v>4510 - MISC HARDWARE &amp; HINGES</v>
          </cell>
          <cell r="D11828" t="str">
            <v>MF09642EA</v>
          </cell>
          <cell r="BA11828">
            <v>3.39</v>
          </cell>
        </row>
        <row r="11829">
          <cell r="C11829" t="str">
            <v>4510 - MISC HARDWARE &amp; HINGES</v>
          </cell>
          <cell r="D11829" t="str">
            <v>MF09643EA</v>
          </cell>
          <cell r="BA11829">
            <v>3.49</v>
          </cell>
        </row>
        <row r="11830">
          <cell r="C11830" t="str">
            <v>4510 - MISC HARDWARE &amp; HINGES</v>
          </cell>
          <cell r="D11830" t="str">
            <v>MF09644EA</v>
          </cell>
          <cell r="BA11830">
            <v>4.29</v>
          </cell>
        </row>
        <row r="11831">
          <cell r="C11831" t="str">
            <v>4510 - MISC HARDWARE &amp; HINGES</v>
          </cell>
          <cell r="D11831" t="str">
            <v>MF09646EA</v>
          </cell>
          <cell r="BA11831">
            <v>6.79</v>
          </cell>
        </row>
        <row r="11832">
          <cell r="C11832" t="str">
            <v>4510 - MISC HARDWARE &amp; HINGES</v>
          </cell>
          <cell r="D11832" t="str">
            <v>MF09740</v>
          </cell>
          <cell r="BA11832">
            <v>15.99</v>
          </cell>
        </row>
        <row r="11833">
          <cell r="C11833" t="str">
            <v>4510 - MISC HARDWARE &amp; HINGES</v>
          </cell>
          <cell r="D11833" t="str">
            <v>MF09741</v>
          </cell>
          <cell r="BA11833">
            <v>15.99</v>
          </cell>
        </row>
        <row r="11834">
          <cell r="C11834" t="str">
            <v>4510 - MISC HARDWARE &amp; HINGES</v>
          </cell>
          <cell r="D11834" t="str">
            <v>MF09748EA</v>
          </cell>
          <cell r="BA11834">
            <v>0.53</v>
          </cell>
        </row>
        <row r="11835">
          <cell r="C11835" t="str">
            <v>4510 - MISC HARDWARE &amp; HINGES</v>
          </cell>
          <cell r="D11835" t="str">
            <v>MF09756EA</v>
          </cell>
          <cell r="BA11835">
            <v>7.39</v>
          </cell>
        </row>
        <row r="11836">
          <cell r="C11836" t="str">
            <v>4510 - MISC HARDWARE &amp; HINGES</v>
          </cell>
          <cell r="D11836" t="str">
            <v>MF09858EA</v>
          </cell>
          <cell r="BA11836">
            <v>2.69</v>
          </cell>
        </row>
        <row r="11837">
          <cell r="C11837" t="str">
            <v>4510 - MISC HARDWARE &amp; HINGES</v>
          </cell>
          <cell r="D11837" t="str">
            <v>MF29107EA</v>
          </cell>
          <cell r="BA11837">
            <v>8.99</v>
          </cell>
        </row>
        <row r="11838">
          <cell r="C11838" t="str">
            <v>4510 - MISC HARDWARE &amp; HINGES</v>
          </cell>
          <cell r="D11838" t="str">
            <v>MF50088EA</v>
          </cell>
          <cell r="BA11838">
            <v>6.19</v>
          </cell>
        </row>
        <row r="11839">
          <cell r="C11839" t="str">
            <v>4510 - MISC HARDWARE &amp; HINGES</v>
          </cell>
          <cell r="D11839" t="str">
            <v>MF50200EA</v>
          </cell>
          <cell r="BA11839">
            <v>7.79</v>
          </cell>
        </row>
        <row r="11840">
          <cell r="C11840" t="str">
            <v>4510 - MISC HARDWARE &amp; HINGES</v>
          </cell>
          <cell r="D11840" t="str">
            <v>MF50201EA</v>
          </cell>
          <cell r="BA11840">
            <v>6.19</v>
          </cell>
        </row>
        <row r="11841">
          <cell r="C11841" t="str">
            <v>4510 - MISC HARDWARE &amp; HINGES</v>
          </cell>
          <cell r="D11841" t="str">
            <v>MF50277EA</v>
          </cell>
          <cell r="BA11841">
            <v>0.44</v>
          </cell>
        </row>
        <row r="11842">
          <cell r="C11842" t="str">
            <v>4510 - MISC HARDWARE &amp; HINGES</v>
          </cell>
          <cell r="D11842" t="str">
            <v>MF50382EA</v>
          </cell>
          <cell r="BA11842">
            <v>4.49</v>
          </cell>
        </row>
        <row r="11843">
          <cell r="C11843" t="str">
            <v>4510 - MISC HARDWARE &amp; HINGES</v>
          </cell>
          <cell r="D11843" t="str">
            <v>MF50383EA</v>
          </cell>
          <cell r="BA11843">
            <v>5.59</v>
          </cell>
        </row>
        <row r="11844">
          <cell r="C11844" t="str">
            <v>4510 - MISC HARDWARE &amp; HINGES</v>
          </cell>
          <cell r="D11844" t="str">
            <v>MF50385EA</v>
          </cell>
          <cell r="BA11844">
            <v>7.39</v>
          </cell>
        </row>
        <row r="11845">
          <cell r="C11845" t="str">
            <v>4510 - MISC HARDWARE &amp; HINGES</v>
          </cell>
          <cell r="D11845" t="str">
            <v>MF50386EA</v>
          </cell>
          <cell r="BA11845">
            <v>8.39</v>
          </cell>
        </row>
        <row r="11846">
          <cell r="C11846" t="str">
            <v>4510 - MISC HARDWARE &amp; HINGES</v>
          </cell>
          <cell r="D11846" t="str">
            <v>MF50387EA</v>
          </cell>
          <cell r="BA11846">
            <v>9.39</v>
          </cell>
        </row>
        <row r="11847">
          <cell r="C11847" t="str">
            <v>4510 - MISC HARDWARE &amp; HINGES</v>
          </cell>
          <cell r="D11847" t="str">
            <v>MF50388EA</v>
          </cell>
          <cell r="BA11847">
            <v>11.59</v>
          </cell>
        </row>
        <row r="11848">
          <cell r="C11848" t="str">
            <v>4510 - MISC HARDWARE &amp; HINGES</v>
          </cell>
          <cell r="D11848" t="str">
            <v>MF50734</v>
          </cell>
          <cell r="BA11848">
            <v>12.59</v>
          </cell>
        </row>
        <row r="11849">
          <cell r="C11849" t="str">
            <v>4510 - MISC HARDWARE &amp; HINGES</v>
          </cell>
          <cell r="D11849" t="str">
            <v>MF50735</v>
          </cell>
          <cell r="BA11849">
            <v>64.989999999999995</v>
          </cell>
        </row>
        <row r="11850">
          <cell r="C11850" t="str">
            <v>4510 - MISC HARDWARE &amp; HINGES</v>
          </cell>
          <cell r="D11850" t="str">
            <v>MF50737</v>
          </cell>
          <cell r="BA11850">
            <v>12.59</v>
          </cell>
        </row>
        <row r="11851">
          <cell r="C11851" t="str">
            <v>4510 - MISC HARDWARE &amp; HINGES</v>
          </cell>
          <cell r="D11851" t="str">
            <v>MF50737EA</v>
          </cell>
          <cell r="BA11851">
            <v>0.22</v>
          </cell>
        </row>
        <row r="11852">
          <cell r="C11852" t="str">
            <v>4510 - MISC HARDWARE &amp; HINGES</v>
          </cell>
          <cell r="D11852" t="str">
            <v>MF50751EA</v>
          </cell>
          <cell r="BA11852">
            <v>0.11</v>
          </cell>
        </row>
        <row r="11853">
          <cell r="C11853" t="str">
            <v>4510 - MISC HARDWARE &amp; HINGES</v>
          </cell>
          <cell r="D11853" t="str">
            <v>MF50776EA</v>
          </cell>
          <cell r="BA11853">
            <v>4.29</v>
          </cell>
        </row>
        <row r="11854">
          <cell r="C11854" t="str">
            <v>4510 - MISC HARDWARE &amp; HINGES</v>
          </cell>
          <cell r="D11854" t="str">
            <v>MF50951EA</v>
          </cell>
          <cell r="BA11854">
            <v>0.37</v>
          </cell>
        </row>
        <row r="11855">
          <cell r="C11855" t="str">
            <v>4510 - MISC HARDWARE &amp; HINGES</v>
          </cell>
          <cell r="D11855" t="str">
            <v>MF51653</v>
          </cell>
          <cell r="BA11855">
            <v>12.59</v>
          </cell>
        </row>
        <row r="11856">
          <cell r="C11856" t="str">
            <v>4510 - MISC HARDWARE &amp; HINGES</v>
          </cell>
          <cell r="D11856" t="str">
            <v>MF51653EA</v>
          </cell>
          <cell r="BA11856">
            <v>0.22</v>
          </cell>
        </row>
        <row r="11857">
          <cell r="C11857" t="str">
            <v>4510 - MISC HARDWARE &amp; HINGES</v>
          </cell>
          <cell r="D11857" t="str">
            <v>MF51654</v>
          </cell>
          <cell r="BA11857">
            <v>63.99</v>
          </cell>
        </row>
        <row r="11858">
          <cell r="C11858" t="str">
            <v>4510 - MISC HARDWARE &amp; HINGES</v>
          </cell>
          <cell r="D11858" t="str">
            <v>MF51655</v>
          </cell>
          <cell r="BA11858">
            <v>12.59</v>
          </cell>
        </row>
        <row r="11859">
          <cell r="C11859" t="str">
            <v>4510 - MISC HARDWARE &amp; HINGES</v>
          </cell>
          <cell r="D11859" t="str">
            <v>MF51657</v>
          </cell>
          <cell r="BA11859">
            <v>12.59</v>
          </cell>
        </row>
        <row r="11860">
          <cell r="C11860" t="str">
            <v>4510 - MISC HARDWARE &amp; HINGES</v>
          </cell>
          <cell r="D11860" t="str">
            <v>MF51657EA</v>
          </cell>
          <cell r="BA11860">
            <v>0.22</v>
          </cell>
        </row>
        <row r="11861">
          <cell r="C11861" t="str">
            <v>4510 - MISC HARDWARE &amp; HINGES</v>
          </cell>
          <cell r="D11861" t="str">
            <v>MF51658</v>
          </cell>
          <cell r="BA11861">
            <v>63.99</v>
          </cell>
        </row>
        <row r="11862">
          <cell r="C11862" t="str">
            <v>4510 - MISC HARDWARE &amp; HINGES</v>
          </cell>
          <cell r="D11862" t="str">
            <v>MF51658EA</v>
          </cell>
          <cell r="BA11862">
            <v>0.22</v>
          </cell>
        </row>
        <row r="11863">
          <cell r="C11863" t="str">
            <v>4510 - MISC HARDWARE &amp; HINGES</v>
          </cell>
          <cell r="D11863" t="str">
            <v>MF51724EA</v>
          </cell>
          <cell r="BA11863">
            <v>5.39</v>
          </cell>
        </row>
        <row r="11864">
          <cell r="C11864" t="str">
            <v>4510 - MISC HARDWARE &amp; HINGES</v>
          </cell>
          <cell r="D11864" t="str">
            <v>MF51727EA</v>
          </cell>
          <cell r="BA11864">
            <v>1.29</v>
          </cell>
        </row>
        <row r="11865">
          <cell r="C11865" t="str">
            <v>4510 - MISC HARDWARE &amp; HINGES</v>
          </cell>
          <cell r="D11865" t="str">
            <v>MF51728EA</v>
          </cell>
          <cell r="BA11865">
            <v>1.39</v>
          </cell>
        </row>
        <row r="11866">
          <cell r="C11866" t="str">
            <v>4510 - MISC HARDWARE &amp; HINGES</v>
          </cell>
          <cell r="D11866" t="str">
            <v>MF51729EA</v>
          </cell>
          <cell r="BA11866">
            <v>1.75</v>
          </cell>
        </row>
        <row r="11867">
          <cell r="C11867" t="str">
            <v>4510 - MISC HARDWARE &amp; HINGES</v>
          </cell>
          <cell r="D11867" t="str">
            <v>MF51730EA</v>
          </cell>
          <cell r="BA11867">
            <v>2.39</v>
          </cell>
        </row>
        <row r="11868">
          <cell r="C11868" t="str">
            <v>4510 - MISC HARDWARE &amp; HINGES</v>
          </cell>
          <cell r="D11868" t="str">
            <v>MF51731EA</v>
          </cell>
          <cell r="BA11868">
            <v>1.29</v>
          </cell>
        </row>
        <row r="11869">
          <cell r="C11869" t="str">
            <v>4510 - MISC HARDWARE &amp; HINGES</v>
          </cell>
          <cell r="D11869" t="str">
            <v>MF51778EA</v>
          </cell>
          <cell r="BA11869">
            <v>0.69</v>
          </cell>
        </row>
        <row r="11870">
          <cell r="C11870" t="str">
            <v>4510 - MISC HARDWARE &amp; HINGES</v>
          </cell>
          <cell r="D11870" t="str">
            <v>MF51779EA</v>
          </cell>
          <cell r="BA11870">
            <v>0.79</v>
          </cell>
        </row>
        <row r="11871">
          <cell r="C11871" t="str">
            <v>4510 - MISC HARDWARE &amp; HINGES</v>
          </cell>
          <cell r="D11871" t="str">
            <v>MF51780EA</v>
          </cell>
          <cell r="BA11871">
            <v>0.95</v>
          </cell>
        </row>
        <row r="11872">
          <cell r="C11872" t="str">
            <v>4510 - MISC HARDWARE &amp; HINGES</v>
          </cell>
          <cell r="D11872" t="str">
            <v>MF51781EA</v>
          </cell>
          <cell r="BA11872">
            <v>0.69</v>
          </cell>
        </row>
        <row r="11873">
          <cell r="C11873" t="str">
            <v>4510 - MISC HARDWARE &amp; HINGES</v>
          </cell>
          <cell r="D11873" t="str">
            <v>MF51782EA</v>
          </cell>
          <cell r="BA11873">
            <v>0.79</v>
          </cell>
        </row>
        <row r="11874">
          <cell r="C11874" t="str">
            <v>4510 - MISC HARDWARE &amp; HINGES</v>
          </cell>
          <cell r="D11874" t="str">
            <v>MF51783EA</v>
          </cell>
          <cell r="BA11874">
            <v>0.95</v>
          </cell>
        </row>
        <row r="11875">
          <cell r="C11875" t="str">
            <v>4510 - MISC HARDWARE &amp; HINGES</v>
          </cell>
          <cell r="D11875" t="str">
            <v>MF51823</v>
          </cell>
          <cell r="BA11875">
            <v>12.59</v>
          </cell>
        </row>
        <row r="11876">
          <cell r="C11876" t="str">
            <v>4510 - MISC HARDWARE &amp; HINGES</v>
          </cell>
          <cell r="D11876" t="str">
            <v>MF51823EA</v>
          </cell>
          <cell r="BA11876">
            <v>0.26</v>
          </cell>
        </row>
        <row r="11877">
          <cell r="C11877" t="str">
            <v>4510 - MISC HARDWARE &amp; HINGES</v>
          </cell>
          <cell r="D11877" t="str">
            <v>MF51824</v>
          </cell>
          <cell r="BA11877">
            <v>12.59</v>
          </cell>
        </row>
        <row r="11878">
          <cell r="C11878" t="str">
            <v>4510 - MISC HARDWARE &amp; HINGES</v>
          </cell>
          <cell r="D11878" t="str">
            <v>MF51826</v>
          </cell>
          <cell r="BA11878">
            <v>12.59</v>
          </cell>
        </row>
        <row r="11879">
          <cell r="C11879" t="str">
            <v>4510 - MISC HARDWARE &amp; HINGES</v>
          </cell>
          <cell r="D11879" t="str">
            <v>MF51826EA</v>
          </cell>
          <cell r="BA11879">
            <v>0.26</v>
          </cell>
        </row>
        <row r="11880">
          <cell r="C11880" t="str">
            <v>4510 - MISC HARDWARE &amp; HINGES</v>
          </cell>
          <cell r="D11880" t="str">
            <v>MF51828</v>
          </cell>
          <cell r="BA11880">
            <v>12.59</v>
          </cell>
        </row>
        <row r="11881">
          <cell r="C11881" t="str">
            <v>4510 - MISC HARDWARE &amp; HINGES</v>
          </cell>
          <cell r="D11881" t="str">
            <v>MF51828EA</v>
          </cell>
          <cell r="BA11881">
            <v>0.23</v>
          </cell>
        </row>
        <row r="11882">
          <cell r="C11882" t="str">
            <v>4510 - MISC HARDWARE &amp; HINGES</v>
          </cell>
          <cell r="D11882" t="str">
            <v>MF51830</v>
          </cell>
          <cell r="BA11882">
            <v>64.989999999999995</v>
          </cell>
        </row>
        <row r="11883">
          <cell r="C11883" t="str">
            <v>4510 - MISC HARDWARE &amp; HINGES</v>
          </cell>
          <cell r="D11883" t="str">
            <v>MF51830EA</v>
          </cell>
          <cell r="BA11883">
            <v>0.27</v>
          </cell>
        </row>
        <row r="11884">
          <cell r="C11884" t="str">
            <v>4510 - MISC HARDWARE &amp; HINGES</v>
          </cell>
          <cell r="D11884" t="str">
            <v>MF51832</v>
          </cell>
          <cell r="BA11884">
            <v>64.989999999999995</v>
          </cell>
        </row>
        <row r="11885">
          <cell r="C11885" t="str">
            <v>4510 - MISC HARDWARE &amp; HINGES</v>
          </cell>
          <cell r="D11885" t="str">
            <v>MF51832EA</v>
          </cell>
          <cell r="BA11885">
            <v>0.27</v>
          </cell>
        </row>
        <row r="11886">
          <cell r="C11886" t="str">
            <v>4510 - MISC HARDWARE &amp; HINGES</v>
          </cell>
          <cell r="D11886" t="str">
            <v>MF51834</v>
          </cell>
          <cell r="BA11886">
            <v>64.989999999999995</v>
          </cell>
        </row>
        <row r="11887">
          <cell r="C11887" t="str">
            <v>4510 - MISC HARDWARE &amp; HINGES</v>
          </cell>
          <cell r="D11887" t="str">
            <v>MF51834EA</v>
          </cell>
          <cell r="BA11887">
            <v>0.27</v>
          </cell>
        </row>
        <row r="11888">
          <cell r="C11888" t="str">
            <v>4510 - MISC HARDWARE &amp; HINGES</v>
          </cell>
          <cell r="D11888" t="str">
            <v>MF51952EA</v>
          </cell>
          <cell r="BA11888">
            <v>0.95</v>
          </cell>
        </row>
        <row r="11889">
          <cell r="C11889" t="str">
            <v>4510 - MISC HARDWARE &amp; HINGES</v>
          </cell>
          <cell r="D11889" t="str">
            <v>MF51953EA</v>
          </cell>
          <cell r="BA11889">
            <v>0.99</v>
          </cell>
        </row>
        <row r="11890">
          <cell r="C11890" t="str">
            <v>4510 - MISC HARDWARE &amp; HINGES</v>
          </cell>
          <cell r="D11890" t="str">
            <v>MF51954EA</v>
          </cell>
          <cell r="BA11890">
            <v>1.19</v>
          </cell>
        </row>
        <row r="11891">
          <cell r="C11891" t="str">
            <v>4510 - MISC HARDWARE &amp; HINGES</v>
          </cell>
          <cell r="D11891" t="str">
            <v>MF51955EA</v>
          </cell>
          <cell r="BA11891">
            <v>1.29</v>
          </cell>
        </row>
        <row r="11892">
          <cell r="C11892" t="str">
            <v>4510 - MISC HARDWARE &amp; HINGES</v>
          </cell>
          <cell r="D11892" t="str">
            <v>MF51956EA</v>
          </cell>
          <cell r="BA11892">
            <v>1.69</v>
          </cell>
        </row>
        <row r="11893">
          <cell r="C11893" t="str">
            <v>4510 - MISC HARDWARE &amp; HINGES</v>
          </cell>
          <cell r="D11893" t="str">
            <v>MF51958EA</v>
          </cell>
          <cell r="BA11893">
            <v>2.79</v>
          </cell>
        </row>
        <row r="11894">
          <cell r="C11894" t="str">
            <v>4510 - MISC HARDWARE &amp; HINGES</v>
          </cell>
          <cell r="D11894" t="str">
            <v>MF51976EA</v>
          </cell>
          <cell r="BA11894">
            <v>3.89</v>
          </cell>
        </row>
        <row r="11895">
          <cell r="C11895" t="str">
            <v>4510 - MISC HARDWARE &amp; HINGES</v>
          </cell>
          <cell r="D11895" t="str">
            <v>MF52005EA</v>
          </cell>
          <cell r="BA11895">
            <v>0.47</v>
          </cell>
        </row>
        <row r="11896">
          <cell r="C11896" t="str">
            <v>4510 - MISC HARDWARE &amp; HINGES</v>
          </cell>
          <cell r="D11896" t="str">
            <v>MF52006EA</v>
          </cell>
          <cell r="BA11896">
            <v>0.64</v>
          </cell>
        </row>
        <row r="11897">
          <cell r="C11897" t="str">
            <v>4510 - MISC HARDWARE &amp; HINGES</v>
          </cell>
          <cell r="D11897" t="str">
            <v>MF52007EA</v>
          </cell>
          <cell r="BA11897">
            <v>0.95</v>
          </cell>
        </row>
        <row r="11898">
          <cell r="C11898" t="str">
            <v>4510 - MISC HARDWARE &amp; HINGES</v>
          </cell>
          <cell r="D11898" t="str">
            <v>MF52008EA</v>
          </cell>
          <cell r="BA11898">
            <v>1.05</v>
          </cell>
        </row>
        <row r="11899">
          <cell r="C11899" t="str">
            <v>4510 - MISC HARDWARE &amp; HINGES</v>
          </cell>
          <cell r="D11899" t="str">
            <v>MF52455EA</v>
          </cell>
          <cell r="BA11899">
            <v>0.89</v>
          </cell>
        </row>
        <row r="11900">
          <cell r="C11900" t="str">
            <v>4510 - MISC HARDWARE &amp; HINGES</v>
          </cell>
          <cell r="D11900" t="str">
            <v>MF52456EA</v>
          </cell>
          <cell r="BA11900">
            <v>1.0900000000000001</v>
          </cell>
        </row>
        <row r="11901">
          <cell r="C11901" t="str">
            <v>4510 - MISC HARDWARE &amp; HINGES</v>
          </cell>
          <cell r="D11901" t="str">
            <v>MF52457EA</v>
          </cell>
          <cell r="BA11901">
            <v>0.89</v>
          </cell>
        </row>
        <row r="11902">
          <cell r="C11902" t="str">
            <v>4510 - MISC HARDWARE &amp; HINGES</v>
          </cell>
          <cell r="D11902" t="str">
            <v>MF52458EA</v>
          </cell>
          <cell r="BA11902">
            <v>1.0900000000000001</v>
          </cell>
        </row>
        <row r="11903">
          <cell r="C11903" t="str">
            <v>4510 - MISC HARDWARE &amp; HINGES</v>
          </cell>
          <cell r="D11903" t="str">
            <v>MF52593EA</v>
          </cell>
          <cell r="BA11903">
            <v>3.99</v>
          </cell>
        </row>
        <row r="11904">
          <cell r="C11904" t="str">
            <v>4510 - MISC HARDWARE &amp; HINGES</v>
          </cell>
          <cell r="D11904" t="str">
            <v>MF54843EA</v>
          </cell>
          <cell r="BA11904">
            <v>0.43</v>
          </cell>
        </row>
        <row r="11905">
          <cell r="C11905" t="str">
            <v>4510 - MISC HARDWARE &amp; HINGES</v>
          </cell>
          <cell r="D11905" t="str">
            <v>MF79321</v>
          </cell>
          <cell r="BA11905">
            <v>0.56000000000000005</v>
          </cell>
        </row>
        <row r="11906">
          <cell r="C11906" t="str">
            <v>4510 - MISC HARDWARE &amp; HINGES</v>
          </cell>
          <cell r="D11906" t="str">
            <v>MF79322</v>
          </cell>
          <cell r="BA11906">
            <v>0.56000000000000005</v>
          </cell>
        </row>
        <row r="11907">
          <cell r="C11907" t="str">
            <v>4510 - MISC HARDWARE &amp; HINGES</v>
          </cell>
          <cell r="D11907" t="str">
            <v>MF79323</v>
          </cell>
          <cell r="BA11907">
            <v>0.56000000000000005</v>
          </cell>
        </row>
        <row r="11908">
          <cell r="C11908" t="str">
            <v>4510 - MISC HARDWARE &amp; HINGES</v>
          </cell>
          <cell r="D11908" t="str">
            <v>MF79324</v>
          </cell>
          <cell r="BA11908">
            <v>0.56000000000000005</v>
          </cell>
        </row>
        <row r="11909">
          <cell r="C11909" t="str">
            <v>4510 - MISC HARDWARE &amp; HINGES</v>
          </cell>
          <cell r="D11909" t="str">
            <v>MF79325</v>
          </cell>
          <cell r="BA11909">
            <v>0.62</v>
          </cell>
        </row>
        <row r="11910">
          <cell r="C11910" t="str">
            <v>4510 - MISC HARDWARE &amp; HINGES</v>
          </cell>
          <cell r="D11910" t="str">
            <v>MF79326</v>
          </cell>
          <cell r="BA11910">
            <v>0.62</v>
          </cell>
        </row>
        <row r="11911">
          <cell r="C11911" t="str">
            <v>4510 - MISC HARDWARE &amp; HINGES</v>
          </cell>
          <cell r="D11911" t="str">
            <v>MF79327</v>
          </cell>
          <cell r="BA11911">
            <v>0.62</v>
          </cell>
        </row>
        <row r="11912">
          <cell r="C11912" t="str">
            <v>4510 - MISC HARDWARE &amp; HINGES</v>
          </cell>
          <cell r="D11912" t="str">
            <v>MF79328</v>
          </cell>
          <cell r="BA11912">
            <v>0.75</v>
          </cell>
        </row>
        <row r="11913">
          <cell r="C11913" t="str">
            <v>4510 - MISC HARDWARE &amp; HINGES</v>
          </cell>
          <cell r="D11913" t="str">
            <v>MF79331</v>
          </cell>
          <cell r="BA11913">
            <v>0.75</v>
          </cell>
        </row>
        <row r="11914">
          <cell r="C11914" t="str">
            <v>4510 - MISC HARDWARE &amp; HINGES</v>
          </cell>
          <cell r="D11914" t="str">
            <v>MF79332</v>
          </cell>
          <cell r="BA11914">
            <v>0.79</v>
          </cell>
        </row>
        <row r="11915">
          <cell r="C11915" t="str">
            <v>4510 - MISC HARDWARE &amp; HINGES</v>
          </cell>
          <cell r="D11915" t="str">
            <v>MF79333</v>
          </cell>
          <cell r="BA11915">
            <v>0.79</v>
          </cell>
        </row>
        <row r="11916">
          <cell r="C11916" t="str">
            <v>4510 - MISC HARDWARE &amp; HINGES</v>
          </cell>
          <cell r="D11916" t="str">
            <v>MF79334</v>
          </cell>
          <cell r="BA11916">
            <v>0.85</v>
          </cell>
        </row>
        <row r="11917">
          <cell r="C11917" t="str">
            <v>4510 - MISC HARDWARE &amp; HINGES</v>
          </cell>
          <cell r="D11917" t="str">
            <v>MF79335</v>
          </cell>
          <cell r="BA11917">
            <v>0.95</v>
          </cell>
        </row>
        <row r="11918">
          <cell r="C11918" t="str">
            <v>4510 - MISC HARDWARE &amp; HINGES</v>
          </cell>
          <cell r="D11918" t="str">
            <v>MF79336</v>
          </cell>
          <cell r="BA11918">
            <v>1.05</v>
          </cell>
        </row>
        <row r="11919">
          <cell r="C11919" t="str">
            <v>4510 - MISC HARDWARE &amp; HINGES</v>
          </cell>
          <cell r="D11919" t="str">
            <v>MF79337</v>
          </cell>
          <cell r="BA11919">
            <v>1.1499999999999999</v>
          </cell>
        </row>
        <row r="11920">
          <cell r="C11920" t="str">
            <v>4510 - MISC HARDWARE &amp; HINGES</v>
          </cell>
          <cell r="D11920" t="str">
            <v>NEBO-FLT-0022</v>
          </cell>
          <cell r="BA11920">
            <v>84.99</v>
          </cell>
        </row>
        <row r="11921">
          <cell r="C11921" t="str">
            <v>4510 - MISC HARDWARE &amp; HINGES</v>
          </cell>
          <cell r="D11921" t="str">
            <v>MF29115EA</v>
          </cell>
          <cell r="BA11921">
            <v>11.99</v>
          </cell>
        </row>
        <row r="11922">
          <cell r="C11922" t="str">
            <v>4510 - MISC HARDWARE &amp; HINGES</v>
          </cell>
          <cell r="D11922" t="str">
            <v>H50233</v>
          </cell>
          <cell r="BA11922">
            <v>3.79</v>
          </cell>
        </row>
        <row r="11923">
          <cell r="C11923" t="str">
            <v>4511 - POWER TOOLS</v>
          </cell>
          <cell r="D11923" t="str">
            <v>MIL6130-33</v>
          </cell>
          <cell r="BA11923">
            <v>79.989999999999995</v>
          </cell>
        </row>
        <row r="11924">
          <cell r="C11924" t="str">
            <v>4511 - POWER TOOLS</v>
          </cell>
          <cell r="D11924" t="str">
            <v>MIL2686-20</v>
          </cell>
          <cell r="BA11924">
            <v>149.99</v>
          </cell>
        </row>
        <row r="11925">
          <cell r="C11925" t="str">
            <v>4511 - POWER TOOLS</v>
          </cell>
          <cell r="D11925" t="str">
            <v>MIL2760-20</v>
          </cell>
          <cell r="BA11925">
            <v>199.99</v>
          </cell>
        </row>
        <row r="11926">
          <cell r="C11926" t="str">
            <v>4511 - POWER TOOLS</v>
          </cell>
          <cell r="D11926" t="str">
            <v>MIL2737-20</v>
          </cell>
          <cell r="BA11926">
            <v>229.99</v>
          </cell>
        </row>
        <row r="11927">
          <cell r="C11927" t="str">
            <v>4511 - POWER TOOLS</v>
          </cell>
          <cell r="D11927" t="str">
            <v>MIL2719-20</v>
          </cell>
          <cell r="BA11927">
            <v>169.99</v>
          </cell>
        </row>
        <row r="11928">
          <cell r="C11928" t="str">
            <v>4511 - POWER TOOLS</v>
          </cell>
          <cell r="D11928" t="str">
            <v>METNT50AE2M</v>
          </cell>
          <cell r="BA11928">
            <v>99.99</v>
          </cell>
        </row>
        <row r="11929">
          <cell r="C11929" t="str">
            <v>4511 - POWER TOOLS</v>
          </cell>
          <cell r="D11929" t="str">
            <v>HPNV65AH2</v>
          </cell>
          <cell r="BA11929">
            <v>379.99</v>
          </cell>
        </row>
        <row r="11930">
          <cell r="C11930" t="str">
            <v>4511 - POWER TOOLS</v>
          </cell>
          <cell r="D11930" t="str">
            <v>7U0001N</v>
          </cell>
          <cell r="BA11930">
            <v>224.99</v>
          </cell>
        </row>
        <row r="11931">
          <cell r="C11931" t="str">
            <v>4511 - POWER TOOLS</v>
          </cell>
          <cell r="D11931" t="str">
            <v>SP8V0001N</v>
          </cell>
          <cell r="BA11931">
            <v>329.99</v>
          </cell>
        </row>
        <row r="11932">
          <cell r="C11932" t="str">
            <v>4511 - POWER TOOLS</v>
          </cell>
          <cell r="D11932" t="str">
            <v>SP8L0001N</v>
          </cell>
          <cell r="BA11932">
            <v>299.99</v>
          </cell>
        </row>
        <row r="11933">
          <cell r="C11933" t="str">
            <v>4511 - POWER TOOLS</v>
          </cell>
          <cell r="D11933" t="str">
            <v>SPSN71P1</v>
          </cell>
          <cell r="BA11933">
            <v>399.99</v>
          </cell>
        </row>
        <row r="11934">
          <cell r="C11934" t="str">
            <v>4511 - POWER TOOLS</v>
          </cell>
          <cell r="D11934" t="str">
            <v>GRTMP16</v>
          </cell>
          <cell r="BA11934">
            <v>39.79</v>
          </cell>
        </row>
        <row r="11935">
          <cell r="C11935" t="str">
            <v>4511 - POWER TOOLS</v>
          </cell>
          <cell r="D11935" t="str">
            <v>SPJN91H1</v>
          </cell>
          <cell r="BA11935">
            <v>249.99</v>
          </cell>
        </row>
        <row r="11936">
          <cell r="C11936" t="str">
            <v>4511 - POWER TOOLS</v>
          </cell>
          <cell r="D11936" t="str">
            <v>METNR90AES1M</v>
          </cell>
          <cell r="BA11936">
            <v>199.99</v>
          </cell>
        </row>
        <row r="11937">
          <cell r="C11937" t="str">
            <v>4511 - POWER TOOLS</v>
          </cell>
          <cell r="D11937" t="str">
            <v>METNR83A5YM</v>
          </cell>
          <cell r="BA11937">
            <v>329.99</v>
          </cell>
        </row>
        <row r="11938">
          <cell r="C11938" t="str">
            <v>4511 - POWER TOOLS</v>
          </cell>
          <cell r="D11938" t="str">
            <v>METNT65M2SM</v>
          </cell>
          <cell r="BA11938">
            <v>179.99</v>
          </cell>
        </row>
        <row r="11939">
          <cell r="C11939" t="str">
            <v>4511 - POWER TOOLS</v>
          </cell>
          <cell r="D11939" t="str">
            <v>METN3804AB3</v>
          </cell>
          <cell r="BA11939">
            <v>87.49</v>
          </cell>
        </row>
        <row r="11940">
          <cell r="C11940" t="str">
            <v>4511 - POWER TOOLS</v>
          </cell>
          <cell r="D11940" t="str">
            <v>METN3804AB3M</v>
          </cell>
          <cell r="BA11940">
            <v>119.99</v>
          </cell>
        </row>
        <row r="11941">
          <cell r="C11941" t="str">
            <v>4511 - POWER TOOLS</v>
          </cell>
          <cell r="D11941" t="str">
            <v>METN5008AC2M</v>
          </cell>
          <cell r="BA11941">
            <v>269.99</v>
          </cell>
        </row>
        <row r="11942">
          <cell r="C11942" t="str">
            <v>4511 - POWER TOOLS</v>
          </cell>
          <cell r="D11942" t="str">
            <v>METNR65AK2SM</v>
          </cell>
          <cell r="BA11942">
            <v>299.99</v>
          </cell>
        </row>
        <row r="11943">
          <cell r="C11943" t="str">
            <v>4511 - POWER TOOLS</v>
          </cell>
          <cell r="D11943" t="str">
            <v>GRC58A</v>
          </cell>
          <cell r="BA11943">
            <v>257.99</v>
          </cell>
        </row>
        <row r="11944">
          <cell r="C11944" t="str">
            <v>4511 - POWER TOOLS</v>
          </cell>
          <cell r="D11944" t="str">
            <v>NN0136252</v>
          </cell>
          <cell r="BA11944">
            <v>329.99</v>
          </cell>
        </row>
        <row r="11945">
          <cell r="C11945" t="str">
            <v>4511 - POWER TOOLS</v>
          </cell>
          <cell r="D11945" t="str">
            <v>MIL2447-20</v>
          </cell>
          <cell r="BA11945">
            <v>159.99</v>
          </cell>
        </row>
        <row r="11946">
          <cell r="C11946" t="str">
            <v>4511 - POWER TOOLS</v>
          </cell>
          <cell r="D11946" t="str">
            <v>MIL2746-20</v>
          </cell>
          <cell r="BA11946">
            <v>299.99</v>
          </cell>
        </row>
        <row r="11947">
          <cell r="C11947" t="str">
            <v>4511 - POWER TOOLS</v>
          </cell>
          <cell r="D11947" t="str">
            <v>MIL2744-21</v>
          </cell>
          <cell r="BA11947">
            <v>529.99</v>
          </cell>
        </row>
        <row r="11948">
          <cell r="C11948" t="str">
            <v>4511 - POWER TOOLS</v>
          </cell>
          <cell r="D11948" t="str">
            <v>MIL2749-20</v>
          </cell>
          <cell r="BA11948">
            <v>329.99</v>
          </cell>
        </row>
        <row r="11949">
          <cell r="C11949" t="str">
            <v>4511 - POWER TOOLS</v>
          </cell>
          <cell r="D11949" t="str">
            <v>MIL3020-20</v>
          </cell>
          <cell r="BA11949">
            <v>349.99</v>
          </cell>
        </row>
        <row r="11950">
          <cell r="C11950" t="str">
            <v>4511 - POWER TOOLS</v>
          </cell>
          <cell r="D11950" t="str">
            <v>MIL2841-20</v>
          </cell>
          <cell r="BA11950">
            <v>349.99</v>
          </cell>
        </row>
        <row r="11951">
          <cell r="C11951" t="str">
            <v>4511 - POWER TOOLS</v>
          </cell>
          <cell r="D11951" t="str">
            <v>METNH90ABM</v>
          </cell>
          <cell r="BA11951">
            <v>47.99</v>
          </cell>
        </row>
        <row r="11952">
          <cell r="C11952" t="str">
            <v>4511 - POWER TOOLS</v>
          </cell>
          <cell r="D11952" t="str">
            <v>SP9Y0001N</v>
          </cell>
          <cell r="BA11952">
            <v>349.99</v>
          </cell>
        </row>
        <row r="11953">
          <cell r="C11953" t="str">
            <v>4511 - POWER TOOLS</v>
          </cell>
          <cell r="D11953" t="str">
            <v>SP9U0001N</v>
          </cell>
          <cell r="BA11953">
            <v>337.99</v>
          </cell>
        </row>
        <row r="11954">
          <cell r="C11954" t="str">
            <v>4511 - POWER TOOLS</v>
          </cell>
          <cell r="D11954" t="str">
            <v>SPPC0781</v>
          </cell>
          <cell r="BA11954">
            <v>119.99</v>
          </cell>
        </row>
        <row r="11955">
          <cell r="C11955" t="str">
            <v>4511 - POWER TOOLS</v>
          </cell>
          <cell r="D11955" t="str">
            <v>DW317K</v>
          </cell>
          <cell r="BA11955">
            <v>149.99</v>
          </cell>
        </row>
        <row r="11956">
          <cell r="C11956" t="str">
            <v>4511 - POWER TOOLS</v>
          </cell>
          <cell r="D11956" t="str">
            <v>MIL3697-22</v>
          </cell>
          <cell r="BA11956">
            <v>399.99</v>
          </cell>
        </row>
        <row r="11957">
          <cell r="C11957" t="str">
            <v>4511 - POWER TOOLS</v>
          </cell>
          <cell r="D11957" t="str">
            <v>SKSPT70WM-01</v>
          </cell>
          <cell r="BA11957">
            <v>499.99</v>
          </cell>
        </row>
        <row r="11958">
          <cell r="C11958" t="str">
            <v>4511 - POWER TOOLS</v>
          </cell>
          <cell r="D11958" t="str">
            <v>SKSPTH70M-11</v>
          </cell>
          <cell r="BA11958">
            <v>779.99</v>
          </cell>
        </row>
        <row r="11959">
          <cell r="C11959" t="str">
            <v>4511 - POWER TOOLS</v>
          </cell>
          <cell r="D11959" t="str">
            <v>MIL2833-20</v>
          </cell>
          <cell r="BA11959">
            <v>229.99</v>
          </cell>
        </row>
        <row r="11960">
          <cell r="C11960" t="str">
            <v>4511 - POWER TOOLS</v>
          </cell>
          <cell r="D11960" t="str">
            <v>MIL2830-21HD</v>
          </cell>
          <cell r="BA11960">
            <v>479.99</v>
          </cell>
        </row>
        <row r="11961">
          <cell r="C11961" t="str">
            <v>4511 - POWER TOOLS</v>
          </cell>
          <cell r="D11961" t="str">
            <v>MIL2732-20</v>
          </cell>
          <cell r="BA11961">
            <v>249.99</v>
          </cell>
        </row>
        <row r="11962">
          <cell r="C11962" t="str">
            <v>4511 - POWER TOOLS</v>
          </cell>
          <cell r="D11962" t="str">
            <v>MIL2821-20</v>
          </cell>
          <cell r="BA11962">
            <v>239.99</v>
          </cell>
        </row>
        <row r="11963">
          <cell r="C11963" t="str">
            <v>4511 - POWER TOOLS</v>
          </cell>
          <cell r="D11963" t="str">
            <v>MIL2691-22</v>
          </cell>
          <cell r="BA11963">
            <v>199.99</v>
          </cell>
        </row>
        <row r="11964">
          <cell r="C11964" t="str">
            <v>4511 - POWER TOOLS</v>
          </cell>
          <cell r="D11964" t="str">
            <v>MIL5262-21</v>
          </cell>
          <cell r="BA11964">
            <v>219.99</v>
          </cell>
        </row>
        <row r="11965">
          <cell r="C11965" t="str">
            <v>4511 - POWER TOOLS</v>
          </cell>
          <cell r="D11965" t="str">
            <v>MIL2880-20</v>
          </cell>
          <cell r="BA11965">
            <v>239.99</v>
          </cell>
        </row>
        <row r="11966">
          <cell r="C11966" t="str">
            <v>4511 - POWER TOOLS</v>
          </cell>
          <cell r="D11966" t="str">
            <v>DWE6411K</v>
          </cell>
          <cell r="BA11966">
            <v>89.99</v>
          </cell>
        </row>
        <row r="11967">
          <cell r="C11967" t="str">
            <v>4511 - POWER TOOLS</v>
          </cell>
          <cell r="D11967" t="str">
            <v>MIL2648-20</v>
          </cell>
          <cell r="BA11967">
            <v>129.99</v>
          </cell>
        </row>
        <row r="11968">
          <cell r="C11968" t="str">
            <v>4511 - POWER TOOLS</v>
          </cell>
          <cell r="D11968" t="str">
            <v>DWDCPR320B</v>
          </cell>
          <cell r="BA11968">
            <v>119.99</v>
          </cell>
        </row>
        <row r="11969">
          <cell r="C11969" t="str">
            <v>4512 - APPLIANCES/ACCESSORIES</v>
          </cell>
          <cell r="D11969" t="str">
            <v>224W4</v>
          </cell>
          <cell r="BA11969">
            <v>3.49</v>
          </cell>
        </row>
        <row r="11970">
          <cell r="C11970" t="str">
            <v>4512 - APPLIANCES/ACCESSORIES</v>
          </cell>
          <cell r="D11970" t="str">
            <v>PZORR628204</v>
          </cell>
          <cell r="BA11970">
            <v>32.99</v>
          </cell>
        </row>
        <row r="11971">
          <cell r="C11971" t="str">
            <v>4512 - APPLIANCES/ACCESSORIES</v>
          </cell>
          <cell r="D11971" t="str">
            <v>RC62816G</v>
          </cell>
          <cell r="BA11971">
            <v>35.99</v>
          </cell>
        </row>
        <row r="11972">
          <cell r="C11972" t="str">
            <v>4512 - APPLIANCES/ACCESSORIES</v>
          </cell>
          <cell r="D11972" t="str">
            <v>IS09008D</v>
          </cell>
          <cell r="BA11972">
            <v>17.989999999999998</v>
          </cell>
        </row>
        <row r="11973">
          <cell r="C11973" t="str">
            <v>4512 - APPLIANCES/ACCESSORIES</v>
          </cell>
          <cell r="D11973" t="str">
            <v>224B</v>
          </cell>
          <cell r="BA11973">
            <v>17.989999999999998</v>
          </cell>
        </row>
        <row r="11974">
          <cell r="C11974" t="str">
            <v>4512 - APPLIANCES/ACCESSORIES</v>
          </cell>
          <cell r="D11974" t="str">
            <v>267W4</v>
          </cell>
          <cell r="BA11974">
            <v>12.99</v>
          </cell>
        </row>
        <row r="11975">
          <cell r="C11975" t="str">
            <v>4512 - APPLIANCES/ACCESSORIES</v>
          </cell>
          <cell r="D11975" t="str">
            <v>SVHAB4</v>
          </cell>
          <cell r="BA11975">
            <v>11.99</v>
          </cell>
        </row>
        <row r="11976">
          <cell r="C11976" t="str">
            <v>4512 - APPLIANCES/ACCESSORIES</v>
          </cell>
          <cell r="D11976" t="str">
            <v>GM831204-1001</v>
          </cell>
          <cell r="BA11976">
            <v>6.49</v>
          </cell>
        </row>
        <row r="11977">
          <cell r="C11977" t="str">
            <v>4512 - APPLIANCES/ACCESSORIES</v>
          </cell>
          <cell r="D11977" t="str">
            <v>GM801124-1001</v>
          </cell>
          <cell r="BA11977">
            <v>11.99</v>
          </cell>
        </row>
        <row r="11978">
          <cell r="C11978" t="str">
            <v>4512 - APPLIANCES/ACCESSORIES</v>
          </cell>
          <cell r="D11978" t="str">
            <v>GM831104-1001</v>
          </cell>
          <cell r="BA11978">
            <v>5.99</v>
          </cell>
        </row>
        <row r="11979">
          <cell r="C11979" t="str">
            <v>4512 - APPLIANCES/ACCESSORIES</v>
          </cell>
          <cell r="D11979" t="str">
            <v>724GSLP</v>
          </cell>
          <cell r="BA11979">
            <v>8.69</v>
          </cell>
        </row>
        <row r="11980">
          <cell r="C11980" t="str">
            <v>4512 - APPLIANCES/ACCESSORIES</v>
          </cell>
          <cell r="D11980" t="str">
            <v>PHM34</v>
          </cell>
          <cell r="BA11980">
            <v>2.59</v>
          </cell>
        </row>
        <row r="11981">
          <cell r="C11981" t="str">
            <v>4512 - APPLIANCES/ACCESSORIES</v>
          </cell>
          <cell r="D11981" t="str">
            <v>DBLELMKIT</v>
          </cell>
          <cell r="BA11981">
            <v>44.99</v>
          </cell>
        </row>
        <row r="11982">
          <cell r="C11982" t="str">
            <v>4512 - APPLIANCES/ACCESSORIES</v>
          </cell>
          <cell r="D11982" t="str">
            <v>AA31448</v>
          </cell>
          <cell r="BA11982">
            <v>27.99</v>
          </cell>
        </row>
        <row r="11983">
          <cell r="C11983" t="str">
            <v>4512 - APPLIANCES/ACCESSORIES</v>
          </cell>
          <cell r="D11983" t="str">
            <v>PP855-20LF</v>
          </cell>
          <cell r="BA11983">
            <v>12.99</v>
          </cell>
        </row>
        <row r="11984">
          <cell r="C11984" t="str">
            <v>4515 - CLOSET SHELVING &amp; SYSTEMS</v>
          </cell>
          <cell r="D11984" t="str">
            <v>N218-958</v>
          </cell>
          <cell r="BA11984">
            <v>3.99</v>
          </cell>
        </row>
        <row r="11985">
          <cell r="C11985" t="str">
            <v>4515 - CLOSET SHELVING &amp; SYSTEMS</v>
          </cell>
          <cell r="D11985" t="str">
            <v>SLOCR-EBKFBL</v>
          </cell>
          <cell r="BA11985">
            <v>1.49</v>
          </cell>
        </row>
        <row r="11986">
          <cell r="C11986" t="str">
            <v>4515 - CLOSET SHELVING &amp; SYSTEMS</v>
          </cell>
          <cell r="D11986" t="str">
            <v>SLSRS-7FBL</v>
          </cell>
          <cell r="BA11986">
            <v>13.69</v>
          </cell>
        </row>
        <row r="11987">
          <cell r="C11987" t="str">
            <v>4515 - CLOSET SHELVING &amp; SYSTEMS</v>
          </cell>
          <cell r="D11987" t="str">
            <v>KV208WH300</v>
          </cell>
          <cell r="BA11987">
            <v>10.99</v>
          </cell>
        </row>
        <row r="11988">
          <cell r="C11988" t="str">
            <v>4515 - CLOSET SHELVING &amp; SYSTEMS</v>
          </cell>
          <cell r="D11988" t="str">
            <v>EPCO840-PC</v>
          </cell>
          <cell r="BA11988">
            <v>1.79</v>
          </cell>
        </row>
        <row r="11989">
          <cell r="C11989" t="str">
            <v>4515 - CLOSET SHELVING &amp; SYSTEMS</v>
          </cell>
          <cell r="D11989" t="str">
            <v>SLOCR-8FBL</v>
          </cell>
          <cell r="BA11989">
            <v>18.489999999999998</v>
          </cell>
        </row>
        <row r="11990">
          <cell r="C11990" t="str">
            <v>4515 - CLOSET SHELVING &amp; SYSTEMS</v>
          </cell>
          <cell r="D11990" t="str">
            <v>SLOCR-CSBFBL</v>
          </cell>
          <cell r="BA11990">
            <v>1.99</v>
          </cell>
        </row>
        <row r="11991">
          <cell r="C11991" t="str">
            <v>4516 - PAINT/STAINS/WALLPAPER &amp; ACCES</v>
          </cell>
          <cell r="D11991" t="str">
            <v>MIN15210</v>
          </cell>
          <cell r="BA11991">
            <v>13.99</v>
          </cell>
        </row>
        <row r="11992">
          <cell r="C11992" t="str">
            <v>4516 - PAINT/STAINS/WALLPAPER &amp; ACCES</v>
          </cell>
          <cell r="D11992" t="str">
            <v>DAP21500</v>
          </cell>
          <cell r="BA11992">
            <v>8.99</v>
          </cell>
        </row>
        <row r="11993">
          <cell r="C11993" t="str">
            <v>4516 - PAINT/STAINS/WALLPAPER &amp; ACCES</v>
          </cell>
          <cell r="D11993" t="str">
            <v>MNW41600</v>
          </cell>
          <cell r="BA11993">
            <v>12.99</v>
          </cell>
        </row>
        <row r="11994">
          <cell r="C11994" t="str">
            <v>4516 - PAINT/STAINS/WALLPAPER &amp; ACCES</v>
          </cell>
          <cell r="D11994" t="str">
            <v>MNW21600</v>
          </cell>
          <cell r="BA11994">
            <v>19.989999999999998</v>
          </cell>
        </row>
        <row r="11995">
          <cell r="C11995" t="str">
            <v>4516 - PAINT/STAINS/WALLPAPER &amp; ACCES</v>
          </cell>
          <cell r="D11995" t="str">
            <v>EC36041130</v>
          </cell>
          <cell r="BA11995">
            <v>3.19</v>
          </cell>
        </row>
        <row r="11996">
          <cell r="C11996" t="str">
            <v>4516 - PAINT/STAINS/WALLPAPER &amp; ACCES</v>
          </cell>
          <cell r="D11996" t="str">
            <v>E848WF</v>
          </cell>
          <cell r="BA11996">
            <v>4.29</v>
          </cell>
        </row>
        <row r="11997">
          <cell r="C11997" t="str">
            <v>4516 - PAINT/STAINS/WALLPAPER &amp; ACCES</v>
          </cell>
          <cell r="D11997" t="str">
            <v>MNW42852</v>
          </cell>
          <cell r="BA11997">
            <v>8.99</v>
          </cell>
        </row>
        <row r="11998">
          <cell r="C11998" t="str">
            <v>4516 - PAINT/STAINS/WALLPAPER &amp; ACCES</v>
          </cell>
          <cell r="D11998" t="str">
            <v>V116BUFF</v>
          </cell>
          <cell r="BA11998">
            <v>10.79</v>
          </cell>
        </row>
        <row r="11999">
          <cell r="C11999" t="str">
            <v>4516 - PAINT/STAINS/WALLPAPER &amp; ACCES</v>
          </cell>
          <cell r="D11999" t="str">
            <v>DAP00835</v>
          </cell>
          <cell r="BA11999">
            <v>12.99</v>
          </cell>
        </row>
        <row r="12000">
          <cell r="C12000" t="str">
            <v>4516 - PAINT/STAINS/WALLPAPER &amp; ACCES</v>
          </cell>
          <cell r="D12000" t="str">
            <v>DAP7079804101</v>
          </cell>
          <cell r="BA12000">
            <v>6.99</v>
          </cell>
        </row>
        <row r="12001">
          <cell r="C12001" t="str">
            <v>4516 - PAINT/STAINS/WALLPAPER &amp; ACCES</v>
          </cell>
          <cell r="D12001" t="str">
            <v>DAP7079804102</v>
          </cell>
          <cell r="BA12001">
            <v>6.99</v>
          </cell>
        </row>
        <row r="12002">
          <cell r="C12002" t="str">
            <v>4516 - PAINT/STAINS/WALLPAPER &amp; ACCES</v>
          </cell>
          <cell r="D12002" t="str">
            <v>DAP07026</v>
          </cell>
          <cell r="BA12002">
            <v>7.99</v>
          </cell>
        </row>
        <row r="12003">
          <cell r="C12003" t="str">
            <v>4516 - PAINT/STAINS/WALLPAPER &amp; ACCES</v>
          </cell>
          <cell r="D12003" t="str">
            <v>DAP08135</v>
          </cell>
          <cell r="BA12003">
            <v>8.99</v>
          </cell>
        </row>
        <row r="12004">
          <cell r="C12004" t="str">
            <v>4516 - PAINT/STAINS/WALLPAPER &amp; ACCES</v>
          </cell>
          <cell r="D12004" t="str">
            <v>DAP10100</v>
          </cell>
          <cell r="BA12004">
            <v>11.99</v>
          </cell>
        </row>
        <row r="12005">
          <cell r="C12005" t="str">
            <v>4516 - PAINT/STAINS/WALLPAPER &amp; ACCES</v>
          </cell>
          <cell r="D12005" t="str">
            <v>DAP10314</v>
          </cell>
          <cell r="BA12005">
            <v>5.69</v>
          </cell>
        </row>
        <row r="12006">
          <cell r="C12006" t="str">
            <v>4516 - PAINT/STAINS/WALLPAPER &amp; ACCES</v>
          </cell>
          <cell r="D12006" t="str">
            <v>DAP12278</v>
          </cell>
          <cell r="BA12006">
            <v>16.989999999999998</v>
          </cell>
        </row>
        <row r="12007">
          <cell r="C12007" t="str">
            <v>4516 - PAINT/STAINS/WALLPAPER &amp; ACCES</v>
          </cell>
          <cell r="D12007" t="str">
            <v>DAP18280</v>
          </cell>
          <cell r="BA12007">
            <v>6.99</v>
          </cell>
        </row>
        <row r="12008">
          <cell r="C12008" t="str">
            <v>4516 - PAINT/STAINS/WALLPAPER &amp; ACCES</v>
          </cell>
          <cell r="D12008" t="str">
            <v>DAP18408</v>
          </cell>
          <cell r="BA12008">
            <v>4.99</v>
          </cell>
        </row>
        <row r="12009">
          <cell r="C12009" t="str">
            <v>4516 - PAINT/STAINS/WALLPAPER &amp; ACCES</v>
          </cell>
          <cell r="D12009" t="str">
            <v>DAP27511</v>
          </cell>
          <cell r="BA12009">
            <v>6.99</v>
          </cell>
        </row>
        <row r="12010">
          <cell r="C12010" t="str">
            <v>4516 - PAINT/STAINS/WALLPAPER &amp; ACCES</v>
          </cell>
          <cell r="D12010" t="str">
            <v>DAP58505</v>
          </cell>
          <cell r="BA12010">
            <v>11.99</v>
          </cell>
        </row>
        <row r="12011">
          <cell r="C12011" t="str">
            <v>4516 - PAINT/STAINS/WALLPAPER &amp; ACCES</v>
          </cell>
          <cell r="D12011" t="str">
            <v>DAP58552</v>
          </cell>
          <cell r="BA12011">
            <v>25.99</v>
          </cell>
        </row>
        <row r="12012">
          <cell r="C12012" t="str">
            <v>4516 - PAINT/STAINS/WALLPAPER &amp; ACCES</v>
          </cell>
          <cell r="D12012" t="str">
            <v>EMSEAL11</v>
          </cell>
          <cell r="BA12012">
            <v>64.989999999999995</v>
          </cell>
        </row>
        <row r="12013">
          <cell r="C12013" t="str">
            <v>4516 - PAINT/STAINS/WALLPAPER &amp; ACCES</v>
          </cell>
          <cell r="D12013" t="str">
            <v>66WP</v>
          </cell>
          <cell r="BA12013">
            <v>5.99</v>
          </cell>
        </row>
        <row r="12014">
          <cell r="C12014" t="str">
            <v>4516 - PAINT/STAINS/WALLPAPER &amp; ACCES</v>
          </cell>
          <cell r="D12014" t="str">
            <v>8MSWP</v>
          </cell>
          <cell r="BA12014">
            <v>6.49</v>
          </cell>
        </row>
        <row r="12015">
          <cell r="C12015" t="str">
            <v>4516 - PAINT/STAINS/WALLPAPER &amp; ACCES</v>
          </cell>
          <cell r="D12015" t="str">
            <v>DU00001</v>
          </cell>
          <cell r="BA12015">
            <v>3.99</v>
          </cell>
        </row>
        <row r="12016">
          <cell r="C12016" t="str">
            <v>4516 - PAINT/STAINS/WALLPAPER &amp; ACCES</v>
          </cell>
          <cell r="D12016" t="str">
            <v>BWWPCM1G</v>
          </cell>
          <cell r="BA12016">
            <v>0</v>
          </cell>
        </row>
        <row r="12017">
          <cell r="C12017" t="str">
            <v>4516 - PAINT/STAINS/WALLPAPER &amp; ACCES</v>
          </cell>
          <cell r="D12017" t="str">
            <v>DU00004</v>
          </cell>
          <cell r="BA12017">
            <v>10.99</v>
          </cell>
        </row>
        <row r="12018">
          <cell r="C12018" t="str">
            <v>4516 - PAINT/STAINS/WALLPAPER &amp; ACCES</v>
          </cell>
          <cell r="D12018" t="str">
            <v>HP5504</v>
          </cell>
          <cell r="BA12018">
            <v>5.39</v>
          </cell>
        </row>
        <row r="12019">
          <cell r="C12019" t="str">
            <v>4516 - PAINT/STAINS/WALLPAPER &amp; ACCES</v>
          </cell>
          <cell r="D12019" t="str">
            <v>GG4200102</v>
          </cell>
          <cell r="BA12019">
            <v>6.99</v>
          </cell>
        </row>
        <row r="12020">
          <cell r="C12020" t="str">
            <v>4516 - PAINT/STAINS/WALLPAPER &amp; ACCES</v>
          </cell>
          <cell r="D12020" t="str">
            <v>GG4537502</v>
          </cell>
          <cell r="BA12020">
            <v>9.99</v>
          </cell>
        </row>
        <row r="12021">
          <cell r="C12021" t="str">
            <v>4516 - PAINT/STAINS/WALLPAPER &amp; ACCES</v>
          </cell>
          <cell r="D12021" t="str">
            <v>GG6301502</v>
          </cell>
          <cell r="BA12021">
            <v>12.99</v>
          </cell>
        </row>
        <row r="12022">
          <cell r="C12022" t="str">
            <v>4516 - PAINT/STAINS/WALLPAPER &amp; ACCES</v>
          </cell>
          <cell r="D12022" t="str">
            <v>HPRF9016</v>
          </cell>
          <cell r="BA12022">
            <v>10.99</v>
          </cell>
        </row>
        <row r="12023">
          <cell r="C12023" t="str">
            <v>4516 - PAINT/STAINS/WALLPAPER &amp; ACCES</v>
          </cell>
          <cell r="D12023" t="str">
            <v>1647358</v>
          </cell>
          <cell r="BA12023">
            <v>5.69</v>
          </cell>
        </row>
        <row r="12024">
          <cell r="C12024" t="str">
            <v>4516 - PAINT/STAINS/WALLPAPER &amp; ACCES</v>
          </cell>
          <cell r="D12024" t="str">
            <v>ZIN249728</v>
          </cell>
          <cell r="BA12024">
            <v>189.99</v>
          </cell>
        </row>
        <row r="12025">
          <cell r="C12025" t="str">
            <v>4516 - PAINT/STAINS/WALLPAPER &amp; ACCES</v>
          </cell>
          <cell r="D12025" t="str">
            <v>RUSA67141H</v>
          </cell>
          <cell r="BA12025">
            <v>17.989999999999998</v>
          </cell>
        </row>
        <row r="12026">
          <cell r="C12026" t="str">
            <v>4516 - PAINT/STAINS/WALLPAPER &amp; ACCES</v>
          </cell>
          <cell r="D12026" t="str">
            <v>DAP00525</v>
          </cell>
          <cell r="BA12026">
            <v>14.99</v>
          </cell>
        </row>
        <row r="12027">
          <cell r="C12027" t="str">
            <v>4516 - PAINT/STAINS/WALLPAPER &amp; ACCES</v>
          </cell>
          <cell r="D12027" t="str">
            <v>DAP00580</v>
          </cell>
          <cell r="BA12027">
            <v>6.99</v>
          </cell>
        </row>
        <row r="12028">
          <cell r="C12028" t="str">
            <v>4516 - PAINT/STAINS/WALLPAPER &amp; ACCES</v>
          </cell>
          <cell r="D12028" t="str">
            <v>RUS65741H</v>
          </cell>
          <cell r="BA12028">
            <v>19.989999999999998</v>
          </cell>
        </row>
        <row r="12029">
          <cell r="C12029" t="str">
            <v>4516 - PAINT/STAINS/WALLPAPER &amp; ACCES</v>
          </cell>
          <cell r="D12029" t="str">
            <v>ZIN01008</v>
          </cell>
          <cell r="BA12029">
            <v>22.99</v>
          </cell>
        </row>
        <row r="12030">
          <cell r="C12030" t="str">
            <v>4516 - PAINT/STAINS/WALLPAPER &amp; ACCES</v>
          </cell>
          <cell r="D12030" t="str">
            <v>MINRT3630</v>
          </cell>
          <cell r="BA12030">
            <v>5.99</v>
          </cell>
        </row>
        <row r="12031">
          <cell r="C12031" t="str">
            <v>4516 - PAINT/STAINS/WALLPAPER &amp; ACCES</v>
          </cell>
          <cell r="D12031" t="str">
            <v>RUS7765730</v>
          </cell>
          <cell r="BA12031">
            <v>7.59</v>
          </cell>
        </row>
        <row r="12032">
          <cell r="C12032" t="str">
            <v>4516 - PAINT/STAINS/WALLPAPER &amp; ACCES</v>
          </cell>
          <cell r="D12032" t="str">
            <v>RUS7775730</v>
          </cell>
          <cell r="BA12032">
            <v>7.59</v>
          </cell>
        </row>
        <row r="12033">
          <cell r="C12033" t="str">
            <v>4516 - PAINT/STAINS/WALLPAPER &amp; ACCES</v>
          </cell>
          <cell r="D12033" t="str">
            <v>RUS7779730</v>
          </cell>
          <cell r="BA12033">
            <v>7.59</v>
          </cell>
        </row>
        <row r="12034">
          <cell r="C12034" t="str">
            <v>4516 - PAINT/STAINS/WALLPAPER &amp; ACCES</v>
          </cell>
          <cell r="D12034" t="str">
            <v>RUS7747730</v>
          </cell>
          <cell r="BA12034">
            <v>7.59</v>
          </cell>
        </row>
        <row r="12035">
          <cell r="C12035" t="str">
            <v>4516 - PAINT/STAINS/WALLPAPER &amp; ACCES</v>
          </cell>
          <cell r="D12035" t="str">
            <v>VAL4400G</v>
          </cell>
          <cell r="BA12035">
            <v>45.99</v>
          </cell>
        </row>
        <row r="12036">
          <cell r="C12036" t="str">
            <v>4516 - PAINT/STAINS/WALLPAPER &amp; ACCES</v>
          </cell>
          <cell r="D12036" t="str">
            <v>VAL4408G</v>
          </cell>
          <cell r="BA12036">
            <v>45.99</v>
          </cell>
        </row>
        <row r="12037">
          <cell r="C12037" t="str">
            <v>4516 - PAINT/STAINS/WALLPAPER &amp; ACCES</v>
          </cell>
          <cell r="D12037" t="str">
            <v>VAL4402G</v>
          </cell>
          <cell r="BA12037">
            <v>45.99</v>
          </cell>
        </row>
        <row r="12038">
          <cell r="C12038" t="str">
            <v>4516 - PAINT/STAINS/WALLPAPER &amp; ACCES</v>
          </cell>
          <cell r="D12038" t="str">
            <v>VAL4405G</v>
          </cell>
          <cell r="BA12038">
            <v>37.29</v>
          </cell>
        </row>
        <row r="12039">
          <cell r="C12039" t="str">
            <v>4516 - PAINT/STAINS/WALLPAPER &amp; ACCES</v>
          </cell>
          <cell r="D12039" t="str">
            <v>LINRM150</v>
          </cell>
          <cell r="BA12039">
            <v>3.49</v>
          </cell>
        </row>
        <row r="12040">
          <cell r="C12040" t="str">
            <v>4516 - PAINT/STAINS/WALLPAPER &amp; ACCES</v>
          </cell>
          <cell r="D12040" t="str">
            <v>VAL12611G</v>
          </cell>
          <cell r="BA12040">
            <v>27.19</v>
          </cell>
        </row>
        <row r="12041">
          <cell r="C12041" t="str">
            <v>4516 - PAINT/STAINS/WALLPAPER &amp; ACCES</v>
          </cell>
          <cell r="D12041" t="str">
            <v>VAL12614G</v>
          </cell>
          <cell r="BA12041">
            <v>31.99</v>
          </cell>
        </row>
        <row r="12042">
          <cell r="C12042" t="str">
            <v>4516 - PAINT/STAINS/WALLPAPER &amp; ACCES</v>
          </cell>
          <cell r="D12042" t="str">
            <v>VAL11600G</v>
          </cell>
          <cell r="BA12042">
            <v>29.99</v>
          </cell>
        </row>
        <row r="12043">
          <cell r="C12043" t="str">
            <v>4516 - PAINT/STAINS/WALLPAPER &amp; ACCES</v>
          </cell>
          <cell r="D12043" t="str">
            <v>VAL11611G</v>
          </cell>
          <cell r="BA12043">
            <v>29.99</v>
          </cell>
        </row>
        <row r="12044">
          <cell r="C12044" t="str">
            <v>4516 - PAINT/STAINS/WALLPAPER &amp; ACCES</v>
          </cell>
          <cell r="D12044" t="str">
            <v>VAL11612G</v>
          </cell>
          <cell r="BA12044">
            <v>29.99</v>
          </cell>
        </row>
        <row r="12045">
          <cell r="C12045" t="str">
            <v>4516 - PAINT/STAINS/WALLPAPER &amp; ACCES</v>
          </cell>
          <cell r="D12045" t="str">
            <v>VAL11800G</v>
          </cell>
          <cell r="BA12045">
            <v>32.99</v>
          </cell>
        </row>
        <row r="12046">
          <cell r="C12046" t="str">
            <v>4516 - PAINT/STAINS/WALLPAPER &amp; ACCES</v>
          </cell>
          <cell r="D12046" t="str">
            <v>VAL11614G</v>
          </cell>
          <cell r="BA12046">
            <v>21.99</v>
          </cell>
        </row>
        <row r="12047">
          <cell r="C12047" t="str">
            <v>4516 - PAINT/STAINS/WALLPAPER &amp; ACCES</v>
          </cell>
          <cell r="D12047" t="str">
            <v>VAL11812G</v>
          </cell>
          <cell r="BA12047">
            <v>26.89</v>
          </cell>
        </row>
        <row r="12048">
          <cell r="C12048" t="str">
            <v>4516 - PAINT/STAINS/WALLPAPER &amp; ACCES</v>
          </cell>
          <cell r="D12048" t="str">
            <v>VAL11814G</v>
          </cell>
          <cell r="BA12048">
            <v>23.79</v>
          </cell>
        </row>
        <row r="12049">
          <cell r="C12049" t="str">
            <v>4516 - PAINT/STAINS/WALLPAPER &amp; ACCES</v>
          </cell>
          <cell r="D12049" t="str">
            <v>VAL11914G</v>
          </cell>
          <cell r="BA12049">
            <v>31.99</v>
          </cell>
        </row>
        <row r="12050">
          <cell r="C12050" t="str">
            <v>4516 - PAINT/STAINS/WALLPAPER &amp; ACCES</v>
          </cell>
          <cell r="D12050" t="str">
            <v>VAL11811G</v>
          </cell>
          <cell r="BA12050">
            <v>32.99</v>
          </cell>
        </row>
        <row r="12051">
          <cell r="C12051" t="str">
            <v>4516 - PAINT/STAINS/WALLPAPER &amp; ACCES</v>
          </cell>
          <cell r="D12051" t="str">
            <v>VAL1502G</v>
          </cell>
          <cell r="BA12051">
            <v>41.99</v>
          </cell>
        </row>
        <row r="12052">
          <cell r="C12052" t="str">
            <v>4516 - PAINT/STAINS/WALLPAPER &amp; ACCES</v>
          </cell>
          <cell r="D12052" t="str">
            <v>COPPER1</v>
          </cell>
          <cell r="BA12052">
            <v>34.99</v>
          </cell>
        </row>
        <row r="12053">
          <cell r="C12053" t="str">
            <v>4516 - PAINT/STAINS/WALLPAPER &amp; ACCES</v>
          </cell>
          <cell r="D12053" t="str">
            <v>GP33001</v>
          </cell>
          <cell r="BA12053">
            <v>33.99</v>
          </cell>
        </row>
        <row r="12054">
          <cell r="C12054" t="str">
            <v>4516 - PAINT/STAINS/WALLPAPER &amp; ACCES</v>
          </cell>
          <cell r="D12054" t="str">
            <v>GP33004</v>
          </cell>
          <cell r="BA12054">
            <v>12.39</v>
          </cell>
        </row>
        <row r="12055">
          <cell r="C12055" t="str">
            <v>4516 - PAINT/STAINS/WALLPAPER &amp; ACCES</v>
          </cell>
          <cell r="D12055" t="str">
            <v>GP33008</v>
          </cell>
          <cell r="BA12055">
            <v>14.99</v>
          </cell>
        </row>
        <row r="12056">
          <cell r="C12056" t="str">
            <v>4516 - PAINT/STAINS/WALLPAPER &amp; ACCES</v>
          </cell>
          <cell r="D12056" t="str">
            <v>VAL3405G</v>
          </cell>
          <cell r="BA12056">
            <v>47.99</v>
          </cell>
        </row>
        <row r="12057">
          <cell r="C12057" t="str">
            <v>4516 - PAINT/STAINS/WALLPAPER &amp; ACCES</v>
          </cell>
          <cell r="D12057" t="str">
            <v>RUS55279830</v>
          </cell>
          <cell r="BA12057">
            <v>5.99</v>
          </cell>
        </row>
        <row r="12058">
          <cell r="C12058" t="str">
            <v>4516 - PAINT/STAINS/WALLPAPER &amp; ACCES</v>
          </cell>
          <cell r="D12058" t="str">
            <v>RUS65951</v>
          </cell>
          <cell r="BA12058">
            <v>16.989999999999998</v>
          </cell>
        </row>
        <row r="12059">
          <cell r="C12059" t="str">
            <v>4516 - PAINT/STAINS/WALLPAPER &amp; ACCES</v>
          </cell>
          <cell r="D12059" t="str">
            <v>AI4470</v>
          </cell>
          <cell r="BA12059">
            <v>7.99</v>
          </cell>
        </row>
        <row r="12060">
          <cell r="C12060" t="str">
            <v>4516 - PAINT/STAINS/WALLPAPER &amp; ACCES</v>
          </cell>
          <cell r="D12060" t="str">
            <v>EC36141110</v>
          </cell>
          <cell r="BA12060">
            <v>2.89</v>
          </cell>
        </row>
        <row r="12061">
          <cell r="C12061" t="str">
            <v>4516 - PAINT/STAINS/WALLPAPER &amp; ACCES</v>
          </cell>
          <cell r="D12061" t="str">
            <v>CP102</v>
          </cell>
          <cell r="BA12061">
            <v>5.39</v>
          </cell>
        </row>
        <row r="12062">
          <cell r="C12062" t="str">
            <v>4516 - PAINT/STAINS/WALLPAPER &amp; ACCES</v>
          </cell>
          <cell r="D12062" t="str">
            <v>RUS65151H</v>
          </cell>
          <cell r="BA12062">
            <v>12.29</v>
          </cell>
        </row>
        <row r="12063">
          <cell r="C12063" t="str">
            <v>4516 - PAINT/STAINS/WALLPAPER &amp; ACCES</v>
          </cell>
          <cell r="D12063" t="str">
            <v>RUS210849</v>
          </cell>
          <cell r="BA12063">
            <v>10.99</v>
          </cell>
        </row>
        <row r="12064">
          <cell r="C12064" t="str">
            <v>4516 - PAINT/STAINS/WALLPAPER &amp; ACCES</v>
          </cell>
          <cell r="D12064" t="str">
            <v>EC36141100</v>
          </cell>
          <cell r="BA12064">
            <v>4.99</v>
          </cell>
        </row>
        <row r="12065">
          <cell r="C12065" t="str">
            <v>4516 - PAINT/STAINS/WALLPAPER &amp; ACCES</v>
          </cell>
          <cell r="D12065" t="str">
            <v>ZIN1904A</v>
          </cell>
          <cell r="BA12065">
            <v>21.99</v>
          </cell>
        </row>
        <row r="12066">
          <cell r="C12066" t="str">
            <v>4516 - PAINT/STAINS/WALLPAPER &amp; ACCES</v>
          </cell>
          <cell r="D12066" t="str">
            <v>ET2016</v>
          </cell>
          <cell r="BA12066">
            <v>24.59</v>
          </cell>
        </row>
        <row r="12067">
          <cell r="C12067" t="str">
            <v>4516 - PAINT/STAINS/WALLPAPER &amp; ACCES</v>
          </cell>
          <cell r="D12067" t="str">
            <v>RD0572</v>
          </cell>
          <cell r="BA12067">
            <v>5.99</v>
          </cell>
        </row>
        <row r="12068">
          <cell r="C12068" t="str">
            <v>4516 - PAINT/STAINS/WALLPAPER &amp; ACCES</v>
          </cell>
          <cell r="D12068" t="str">
            <v>RUS66051H</v>
          </cell>
          <cell r="BA12068">
            <v>9.99</v>
          </cell>
        </row>
        <row r="12069">
          <cell r="C12069" t="str">
            <v>4516 - PAINT/STAINS/WALLPAPER &amp; ACCES</v>
          </cell>
          <cell r="D12069" t="str">
            <v>SGFDW8663-U</v>
          </cell>
          <cell r="BA12069">
            <v>11.99</v>
          </cell>
        </row>
        <row r="12070">
          <cell r="C12070" t="str">
            <v>4516 - PAINT/STAINS/WALLPAPER &amp; ACCES</v>
          </cell>
          <cell r="D12070" t="str">
            <v>RUS245218</v>
          </cell>
          <cell r="BA12070">
            <v>11.99</v>
          </cell>
        </row>
        <row r="12071">
          <cell r="C12071" t="str">
            <v>4516 - PAINT/STAINS/WALLPAPER &amp; ACCES</v>
          </cell>
          <cell r="D12071" t="str">
            <v>RUS210880</v>
          </cell>
          <cell r="BA12071">
            <v>10.99</v>
          </cell>
        </row>
        <row r="12072">
          <cell r="C12072" t="str">
            <v>4516 - PAINT/STAINS/WALLPAPER &amp; ACCES</v>
          </cell>
          <cell r="D12072" t="str">
            <v>WOOR959-9</v>
          </cell>
          <cell r="BA12072">
            <v>8.99</v>
          </cell>
        </row>
        <row r="12073">
          <cell r="C12073" t="str">
            <v>4516 - PAINT/STAINS/WALLPAPER &amp; ACCES</v>
          </cell>
          <cell r="D12073" t="str">
            <v>DAP7565010012</v>
          </cell>
          <cell r="BA12073">
            <v>13.99</v>
          </cell>
        </row>
        <row r="12074">
          <cell r="C12074" t="str">
            <v>4516 - PAINT/STAINS/WALLPAPER &amp; ACCES</v>
          </cell>
          <cell r="D12074" t="str">
            <v>SGFDW8659-U</v>
          </cell>
          <cell r="BA12074">
            <v>5.99</v>
          </cell>
        </row>
        <row r="12075">
          <cell r="C12075" t="str">
            <v>4516 - PAINT/STAINS/WALLPAPER &amp; ACCES</v>
          </cell>
          <cell r="D12075" t="str">
            <v>VAL3402</v>
          </cell>
          <cell r="BA12075">
            <v>178.99</v>
          </cell>
        </row>
        <row r="12076">
          <cell r="C12076" t="str">
            <v>4516 - PAINT/STAINS/WALLPAPER &amp; ACCES</v>
          </cell>
          <cell r="D12076" t="str">
            <v>FRA2404</v>
          </cell>
          <cell r="BA12076">
            <v>9.99</v>
          </cell>
        </row>
        <row r="12077">
          <cell r="C12077" t="str">
            <v>4516 - PAINT/STAINS/WALLPAPER &amp; ACCES</v>
          </cell>
          <cell r="D12077" t="str">
            <v>RUS65851</v>
          </cell>
          <cell r="BA12077">
            <v>14.99</v>
          </cell>
        </row>
        <row r="12078">
          <cell r="C12078" t="str">
            <v>4516 - PAINT/STAINS/WALLPAPER &amp; ACCES</v>
          </cell>
          <cell r="D12078" t="str">
            <v>RUS65751</v>
          </cell>
          <cell r="BA12078">
            <v>16.989999999999998</v>
          </cell>
        </row>
        <row r="12079">
          <cell r="C12079" t="str">
            <v>4516 - PAINT/STAINS/WALLPAPER &amp; ACCES</v>
          </cell>
          <cell r="D12079" t="str">
            <v>VAL4102G5</v>
          </cell>
          <cell r="BA12079">
            <v>239.99</v>
          </cell>
        </row>
        <row r="12080">
          <cell r="C12080" t="str">
            <v>4516 - PAINT/STAINS/WALLPAPER &amp; ACCES</v>
          </cell>
          <cell r="D12080" t="str">
            <v>EN300398</v>
          </cell>
          <cell r="BA12080">
            <v>1.19</v>
          </cell>
        </row>
        <row r="12081">
          <cell r="C12081" t="str">
            <v>4516 - PAINT/STAINS/WALLPAPER &amp; ACCES</v>
          </cell>
          <cell r="D12081" t="str">
            <v>EN300396</v>
          </cell>
          <cell r="BA12081">
            <v>1.99</v>
          </cell>
        </row>
        <row r="12082">
          <cell r="C12082" t="str">
            <v>4516 - PAINT/STAINS/WALLPAPER &amp; ACCES</v>
          </cell>
          <cell r="D12082" t="str">
            <v>EN300395</v>
          </cell>
          <cell r="BA12082">
            <v>2.39</v>
          </cell>
        </row>
        <row r="12083">
          <cell r="C12083" t="str">
            <v>4516 - PAINT/STAINS/WALLPAPER &amp; ACCES</v>
          </cell>
          <cell r="D12083" t="str">
            <v>VAL3402G</v>
          </cell>
          <cell r="BA12083">
            <v>47.99</v>
          </cell>
        </row>
        <row r="12084">
          <cell r="C12084" t="str">
            <v>4516 - PAINT/STAINS/WALLPAPER &amp; ACCES</v>
          </cell>
          <cell r="D12084" t="str">
            <v>VAL1002G</v>
          </cell>
          <cell r="BA12084">
            <v>49.99</v>
          </cell>
        </row>
        <row r="12085">
          <cell r="C12085" t="str">
            <v>4516 - PAINT/STAINS/WALLPAPER &amp; ACCES</v>
          </cell>
          <cell r="D12085" t="str">
            <v>10632</v>
          </cell>
          <cell r="BA12085">
            <v>6.99</v>
          </cell>
        </row>
        <row r="12086">
          <cell r="C12086" t="str">
            <v>4516 - PAINT/STAINS/WALLPAPER &amp; ACCES</v>
          </cell>
          <cell r="D12086" t="str">
            <v>RUS266634</v>
          </cell>
          <cell r="BA12086">
            <v>31.99</v>
          </cell>
        </row>
        <row r="12087">
          <cell r="C12087" t="str">
            <v>4516 - PAINT/STAINS/WALLPAPER &amp; ACCES</v>
          </cell>
          <cell r="D12087" t="str">
            <v>HOM4096-06-06</v>
          </cell>
          <cell r="BA12087">
            <v>17.989999999999998</v>
          </cell>
        </row>
        <row r="12088">
          <cell r="C12088" t="str">
            <v>4516 - PAINT/STAINS/WALLPAPER &amp; ACCES</v>
          </cell>
          <cell r="D12088" t="str">
            <v>RUS67041</v>
          </cell>
          <cell r="BA12088">
            <v>22.99</v>
          </cell>
        </row>
        <row r="12089">
          <cell r="C12089" t="str">
            <v>4516 - PAINT/STAINS/WALLPAPER &amp; ACCES</v>
          </cell>
          <cell r="D12089" t="str">
            <v>GEO29002</v>
          </cell>
          <cell r="BA12089">
            <v>4.8899999999999997</v>
          </cell>
        </row>
        <row r="12090">
          <cell r="C12090" t="str">
            <v>4516 - PAINT/STAINS/WALLPAPER &amp; ACCES</v>
          </cell>
          <cell r="D12090" t="str">
            <v>CP114</v>
          </cell>
          <cell r="BA12090">
            <v>5.39</v>
          </cell>
        </row>
        <row r="12091">
          <cell r="C12091" t="str">
            <v>4516 - PAINT/STAINS/WALLPAPER &amp; ACCES</v>
          </cell>
          <cell r="D12091" t="str">
            <v>RUS7727730</v>
          </cell>
          <cell r="BA12091">
            <v>7.59</v>
          </cell>
        </row>
        <row r="12092">
          <cell r="C12092" t="str">
            <v>4516 - PAINT/STAINS/WALLPAPER &amp; ACCES</v>
          </cell>
          <cell r="D12092" t="str">
            <v>MIN22126</v>
          </cell>
          <cell r="BA12092">
            <v>8.69</v>
          </cell>
        </row>
        <row r="12093">
          <cell r="C12093" t="str">
            <v>4516 - PAINT/STAINS/WALLPAPER &amp; ACCES</v>
          </cell>
          <cell r="D12093" t="str">
            <v>PC010112</v>
          </cell>
          <cell r="BA12093">
            <v>5.99</v>
          </cell>
        </row>
        <row r="12094">
          <cell r="C12094" t="str">
            <v>4516 - PAINT/STAINS/WALLPAPER &amp; ACCES</v>
          </cell>
          <cell r="D12094" t="str">
            <v>QJTS00408</v>
          </cell>
          <cell r="BA12094">
            <v>6.49</v>
          </cell>
        </row>
        <row r="12095">
          <cell r="C12095" t="str">
            <v>4516 - PAINT/STAINS/WALLPAPER &amp; ACCES</v>
          </cell>
          <cell r="D12095" t="str">
            <v>RUS249131</v>
          </cell>
          <cell r="BA12095">
            <v>10.99</v>
          </cell>
        </row>
        <row r="12096">
          <cell r="C12096" t="str">
            <v>4516 - PAINT/STAINS/WALLPAPER &amp; ACCES</v>
          </cell>
          <cell r="D12096" t="str">
            <v>RD0541</v>
          </cell>
          <cell r="BA12096">
            <v>29.99</v>
          </cell>
        </row>
        <row r="12097">
          <cell r="C12097" t="str">
            <v>4516 - PAINT/STAINS/WALLPAPER &amp; ACCES</v>
          </cell>
          <cell r="D12097" t="str">
            <v>RUS65241</v>
          </cell>
          <cell r="BA12097">
            <v>22.99</v>
          </cell>
        </row>
        <row r="12098">
          <cell r="C12098" t="str">
            <v>4516 - PAINT/STAINS/WALLPAPER &amp; ACCES</v>
          </cell>
          <cell r="D12098" t="str">
            <v>VAL3408G</v>
          </cell>
          <cell r="BA12098">
            <v>47.99</v>
          </cell>
        </row>
        <row r="12099">
          <cell r="C12099" t="str">
            <v>4516 - PAINT/STAINS/WALLPAPER &amp; ACCES</v>
          </cell>
          <cell r="D12099" t="str">
            <v>RUS200131</v>
          </cell>
          <cell r="BA12099">
            <v>79.989999999999995</v>
          </cell>
        </row>
        <row r="12100">
          <cell r="C12100" t="str">
            <v>4516 - PAINT/STAINS/WALLPAPER &amp; ACCES</v>
          </cell>
          <cell r="D12100" t="str">
            <v>RUS215215</v>
          </cell>
          <cell r="BA12100">
            <v>10.99</v>
          </cell>
        </row>
        <row r="12101">
          <cell r="C12101" t="str">
            <v>4516 - PAINT/STAINS/WALLPAPER &amp; ACCES</v>
          </cell>
          <cell r="D12101" t="str">
            <v>DOW157860</v>
          </cell>
          <cell r="BA12101">
            <v>9.99</v>
          </cell>
        </row>
        <row r="12102">
          <cell r="C12102" t="str">
            <v>4516 - PAINT/STAINS/WALLPAPER &amp; ACCES</v>
          </cell>
          <cell r="D12102" t="str">
            <v>ELE7310</v>
          </cell>
          <cell r="BA12102">
            <v>7.99</v>
          </cell>
        </row>
        <row r="12103">
          <cell r="C12103" t="str">
            <v>4516 - PAINT/STAINS/WALLPAPER &amp; ACCES</v>
          </cell>
          <cell r="D12103" t="str">
            <v>ENV5520</v>
          </cell>
          <cell r="BA12103">
            <v>19.989999999999998</v>
          </cell>
        </row>
        <row r="12104">
          <cell r="C12104" t="str">
            <v>4516 - PAINT/STAINS/WALLPAPER &amp; ACCES</v>
          </cell>
          <cell r="D12104" t="str">
            <v>RUS7786730</v>
          </cell>
          <cell r="BA12104">
            <v>7.59</v>
          </cell>
        </row>
        <row r="12105">
          <cell r="C12105" t="str">
            <v>4516 - PAINT/STAINS/WALLPAPER &amp; ACCES</v>
          </cell>
          <cell r="D12105" t="str">
            <v>FRA43991</v>
          </cell>
          <cell r="BA12105">
            <v>11.99</v>
          </cell>
        </row>
        <row r="12106">
          <cell r="C12106" t="str">
            <v>4516 - PAINT/STAINS/WALLPAPER &amp; ACCES</v>
          </cell>
          <cell r="D12106" t="str">
            <v>FRA5262</v>
          </cell>
          <cell r="BA12106">
            <v>9.99</v>
          </cell>
        </row>
        <row r="12107">
          <cell r="C12107" t="str">
            <v>4516 - PAINT/STAINS/WALLPAPER &amp; ACCES</v>
          </cell>
          <cell r="D12107" t="str">
            <v>VAL11914G5</v>
          </cell>
          <cell r="BA12107">
            <v>114.99</v>
          </cell>
        </row>
        <row r="12108">
          <cell r="C12108" t="str">
            <v>4516 - PAINT/STAINS/WALLPAPER &amp; ACCES</v>
          </cell>
          <cell r="D12108" t="str">
            <v>EC36141102</v>
          </cell>
          <cell r="BA12108">
            <v>4.99</v>
          </cell>
        </row>
        <row r="12109">
          <cell r="C12109" t="str">
            <v>4516 - PAINT/STAINS/WALLPAPER &amp; ACCES</v>
          </cell>
          <cell r="D12109" t="str">
            <v>EJPR502</v>
          </cell>
          <cell r="BA12109">
            <v>19.989999999999998</v>
          </cell>
        </row>
        <row r="12110">
          <cell r="C12110" t="str">
            <v>4516 - PAINT/STAINS/WALLPAPER &amp; ACCES</v>
          </cell>
          <cell r="D12110" t="str">
            <v>GJPR500</v>
          </cell>
          <cell r="BA12110">
            <v>59.99</v>
          </cell>
        </row>
        <row r="12111">
          <cell r="C12111" t="str">
            <v>4516 - PAINT/STAINS/WALLPAPER &amp; ACCES</v>
          </cell>
          <cell r="D12111" t="str">
            <v>QJPR501</v>
          </cell>
          <cell r="BA12111">
            <v>22.99</v>
          </cell>
        </row>
        <row r="12112">
          <cell r="C12112" t="str">
            <v>4516 - PAINT/STAINS/WALLPAPER &amp; ACCES</v>
          </cell>
          <cell r="D12112" t="str">
            <v>VAL1402G5</v>
          </cell>
          <cell r="BA12112">
            <v>209.99</v>
          </cell>
        </row>
        <row r="12113">
          <cell r="C12113" t="str">
            <v>4516 - PAINT/STAINS/WALLPAPER &amp; ACCES</v>
          </cell>
          <cell r="D12113" t="str">
            <v>HY33255</v>
          </cell>
          <cell r="BA12113">
            <v>4.99</v>
          </cell>
        </row>
        <row r="12114">
          <cell r="C12114" t="str">
            <v>4516 - PAINT/STAINS/WALLPAPER &amp; ACCES</v>
          </cell>
          <cell r="D12114" t="str">
            <v>HOM4067-06</v>
          </cell>
          <cell r="BA12114">
            <v>15.99</v>
          </cell>
        </row>
        <row r="12115">
          <cell r="C12115" t="str">
            <v>4516 - PAINT/STAINS/WALLPAPER &amp; ACCES</v>
          </cell>
          <cell r="D12115" t="str">
            <v>RUS249089</v>
          </cell>
          <cell r="BA12115">
            <v>6.99</v>
          </cell>
        </row>
        <row r="12116">
          <cell r="C12116" t="str">
            <v>4516 - PAINT/STAINS/WALLPAPER &amp; ACCES</v>
          </cell>
          <cell r="D12116" t="str">
            <v>RUS55280830</v>
          </cell>
          <cell r="BA12116">
            <v>5.99</v>
          </cell>
        </row>
        <row r="12117">
          <cell r="C12117" t="str">
            <v>4516 - PAINT/STAINS/WALLPAPER &amp; ACCES</v>
          </cell>
          <cell r="D12117" t="str">
            <v>SGFDW8654-U</v>
          </cell>
          <cell r="BA12117">
            <v>12.99</v>
          </cell>
        </row>
        <row r="12118">
          <cell r="C12118" t="str">
            <v>4516 - PAINT/STAINS/WALLPAPER &amp; ACCES</v>
          </cell>
          <cell r="D12118" t="str">
            <v>VAL11612G5</v>
          </cell>
          <cell r="BA12118">
            <v>116.99</v>
          </cell>
        </row>
        <row r="12119">
          <cell r="C12119" t="str">
            <v>4516 - PAINT/STAINS/WALLPAPER &amp; ACCES</v>
          </cell>
          <cell r="D12119" t="str">
            <v>VAL11812G5</v>
          </cell>
          <cell r="BA12119">
            <v>149.99</v>
          </cell>
        </row>
        <row r="12120">
          <cell r="C12120" t="str">
            <v>4516 - PAINT/STAINS/WALLPAPER &amp; ACCES</v>
          </cell>
          <cell r="D12120" t="str">
            <v>VAL11814G5</v>
          </cell>
          <cell r="BA12120">
            <v>121.99</v>
          </cell>
        </row>
        <row r="12121">
          <cell r="C12121" t="str">
            <v>4516 - PAINT/STAINS/WALLPAPER &amp; ACCES</v>
          </cell>
          <cell r="D12121" t="str">
            <v>VAL11912G5</v>
          </cell>
          <cell r="BA12121">
            <v>154.99</v>
          </cell>
        </row>
        <row r="12122">
          <cell r="C12122" t="str">
            <v>4516 - PAINT/STAINS/WALLPAPER &amp; ACCES</v>
          </cell>
          <cell r="D12122" t="str">
            <v>RUS7584838</v>
          </cell>
          <cell r="BA12122">
            <v>10.99</v>
          </cell>
        </row>
        <row r="12123">
          <cell r="C12123" t="str">
            <v>4516 - PAINT/STAINS/WALLPAPER &amp; ACCES</v>
          </cell>
          <cell r="D12123" t="str">
            <v>GEO55101</v>
          </cell>
          <cell r="BA12123">
            <v>9.2899999999999991</v>
          </cell>
        </row>
        <row r="12124">
          <cell r="C12124" t="str">
            <v>4516 - PAINT/STAINS/WALLPAPER &amp; ACCES</v>
          </cell>
          <cell r="D12124" t="str">
            <v>RUS200231</v>
          </cell>
          <cell r="BA12124">
            <v>79.989999999999995</v>
          </cell>
        </row>
        <row r="12125">
          <cell r="C12125" t="str">
            <v>4516 - PAINT/STAINS/WALLPAPER &amp; ACCES</v>
          </cell>
          <cell r="D12125" t="str">
            <v>ELE847D12</v>
          </cell>
          <cell r="BA12125">
            <v>2.99</v>
          </cell>
        </row>
        <row r="12126">
          <cell r="C12126" t="str">
            <v>4516 - PAINT/STAINS/WALLPAPER &amp; ACCES</v>
          </cell>
          <cell r="D12126" t="str">
            <v>DPCFL25</v>
          </cell>
          <cell r="BA12126">
            <v>21.99</v>
          </cell>
        </row>
        <row r="12127">
          <cell r="C12127" t="str">
            <v>4516 - PAINT/STAINS/WALLPAPER &amp; ACCES</v>
          </cell>
          <cell r="D12127" t="str">
            <v>DB0096014-16</v>
          </cell>
          <cell r="BA12127">
            <v>31.49</v>
          </cell>
        </row>
        <row r="12128">
          <cell r="C12128" t="str">
            <v>4516 - PAINT/STAINS/WALLPAPER &amp; ACCES</v>
          </cell>
          <cell r="D12128" t="str">
            <v>235495</v>
          </cell>
          <cell r="BA12128">
            <v>2.59</v>
          </cell>
        </row>
        <row r="12129">
          <cell r="C12129" t="str">
            <v>4516 - PAINT/STAINS/WALLPAPER &amp; ACCES</v>
          </cell>
          <cell r="D12129" t="str">
            <v>BBB012</v>
          </cell>
          <cell r="BA12129">
            <v>10.99</v>
          </cell>
        </row>
        <row r="12130">
          <cell r="C12130" t="str">
            <v>4516 - PAINT/STAINS/WALLPAPER &amp; ACCES</v>
          </cell>
          <cell r="D12130" t="str">
            <v>LN-704</v>
          </cell>
          <cell r="BA12130">
            <v>2.99</v>
          </cell>
        </row>
        <row r="12131">
          <cell r="C12131" t="str">
            <v>4516 - PAINT/STAINS/WALLPAPER &amp; ACCES</v>
          </cell>
          <cell r="D12131" t="str">
            <v>1868690</v>
          </cell>
          <cell r="BA12131">
            <v>10.99</v>
          </cell>
        </row>
        <row r="12132">
          <cell r="C12132" t="str">
            <v>4516 - PAINT/STAINS/WALLPAPER &amp; ACCES</v>
          </cell>
          <cell r="D12132" t="str">
            <v>MIN21350</v>
          </cell>
          <cell r="BA12132">
            <v>8.7899999999999991</v>
          </cell>
        </row>
        <row r="12133">
          <cell r="C12133" t="str">
            <v>4516 - PAINT/STAINS/WALLPAPER &amp; ACCES</v>
          </cell>
          <cell r="D12133" t="str">
            <v>MIN61350444</v>
          </cell>
          <cell r="BA12133">
            <v>16.989999999999998</v>
          </cell>
        </row>
        <row r="12134">
          <cell r="C12134" t="str">
            <v>4516 - PAINT/STAINS/WALLPAPER &amp; ACCES</v>
          </cell>
          <cell r="D12134" t="str">
            <v>OM32401</v>
          </cell>
          <cell r="BA12134">
            <v>6.49</v>
          </cell>
        </row>
        <row r="12135">
          <cell r="C12135" t="str">
            <v>4516 - PAINT/STAINS/WALLPAPER &amp; ACCES</v>
          </cell>
          <cell r="D12135" t="str">
            <v>OM32402</v>
          </cell>
          <cell r="BA12135">
            <v>6.49</v>
          </cell>
        </row>
        <row r="12136">
          <cell r="C12136" t="str">
            <v>4516 - PAINT/STAINS/WALLPAPER &amp; ACCES</v>
          </cell>
          <cell r="D12136" t="str">
            <v>OM32403</v>
          </cell>
          <cell r="BA12136">
            <v>6.49</v>
          </cell>
        </row>
        <row r="12137">
          <cell r="C12137" t="str">
            <v>4516 - PAINT/STAINS/WALLPAPER &amp; ACCES</v>
          </cell>
          <cell r="D12137" t="str">
            <v>OM32404</v>
          </cell>
          <cell r="BA12137">
            <v>5.69</v>
          </cell>
        </row>
        <row r="12138">
          <cell r="C12138" t="str">
            <v>4516 - PAINT/STAINS/WALLPAPER &amp; ACCES</v>
          </cell>
          <cell r="D12138" t="str">
            <v>OM32405</v>
          </cell>
          <cell r="BA12138">
            <v>6.49</v>
          </cell>
        </row>
        <row r="12139">
          <cell r="C12139" t="str">
            <v>4516 - PAINT/STAINS/WALLPAPER &amp; ACCES</v>
          </cell>
          <cell r="D12139" t="str">
            <v>OM32406</v>
          </cell>
          <cell r="BA12139">
            <v>6.49</v>
          </cell>
        </row>
        <row r="12140">
          <cell r="C12140" t="str">
            <v>4516 - PAINT/STAINS/WALLPAPER &amp; ACCES</v>
          </cell>
          <cell r="D12140" t="str">
            <v>OM32407</v>
          </cell>
          <cell r="BA12140">
            <v>6.49</v>
          </cell>
        </row>
        <row r="12141">
          <cell r="C12141" t="str">
            <v>4516 - PAINT/STAINS/WALLPAPER &amp; ACCES</v>
          </cell>
          <cell r="D12141" t="str">
            <v>OM32408</v>
          </cell>
          <cell r="BA12141">
            <v>6.49</v>
          </cell>
        </row>
        <row r="12142">
          <cell r="C12142" t="str">
            <v>4516 - PAINT/STAINS/WALLPAPER &amp; ACCES</v>
          </cell>
          <cell r="D12142" t="str">
            <v>070100H</v>
          </cell>
          <cell r="BA12142">
            <v>22.99</v>
          </cell>
        </row>
        <row r="12143">
          <cell r="C12143" t="str">
            <v>4516 - PAINT/STAINS/WALLPAPER &amp; ACCES</v>
          </cell>
          <cell r="D12143" t="str">
            <v>RUS9081</v>
          </cell>
          <cell r="BA12143">
            <v>12.99</v>
          </cell>
        </row>
        <row r="12144">
          <cell r="C12144" t="str">
            <v>4516 - PAINT/STAINS/WALLPAPER &amp; ACCES</v>
          </cell>
          <cell r="D12144" t="str">
            <v>RUS200141H</v>
          </cell>
          <cell r="BA12144">
            <v>25.99</v>
          </cell>
        </row>
        <row r="12145">
          <cell r="C12145" t="str">
            <v>4516 - PAINT/STAINS/WALLPAPER &amp; ACCES</v>
          </cell>
          <cell r="D12145" t="str">
            <v>RUS200241H</v>
          </cell>
          <cell r="BA12145">
            <v>25.99</v>
          </cell>
        </row>
        <row r="12146">
          <cell r="C12146" t="str">
            <v>4516 - PAINT/STAINS/WALLPAPER &amp; ACCES</v>
          </cell>
          <cell r="D12146" t="str">
            <v>ZIN5001</v>
          </cell>
          <cell r="BA12146">
            <v>69.989999999999995</v>
          </cell>
        </row>
        <row r="12147">
          <cell r="C12147" t="str">
            <v>4516 - PAINT/STAINS/WALLPAPER &amp; ACCES</v>
          </cell>
          <cell r="D12147" t="str">
            <v>RUS250141H</v>
          </cell>
          <cell r="BA12147">
            <v>32.99</v>
          </cell>
        </row>
        <row r="12148">
          <cell r="C12148" t="str">
            <v>4516 - PAINT/STAINS/WALLPAPER &amp; ACCES</v>
          </cell>
          <cell r="D12148" t="str">
            <v>RUS245196</v>
          </cell>
          <cell r="BA12148">
            <v>9.99</v>
          </cell>
        </row>
        <row r="12149">
          <cell r="C12149" t="str">
            <v>4516 - PAINT/STAINS/WALLPAPER &amp; ACCES</v>
          </cell>
          <cell r="D12149" t="str">
            <v>RUS245198</v>
          </cell>
          <cell r="BA12149">
            <v>9.99</v>
          </cell>
        </row>
        <row r="12150">
          <cell r="C12150" t="str">
            <v>4516 - PAINT/STAINS/WALLPAPER &amp; ACCES</v>
          </cell>
          <cell r="D12150" t="str">
            <v>RUS245215</v>
          </cell>
          <cell r="BA12150">
            <v>10.99</v>
          </cell>
        </row>
        <row r="12151">
          <cell r="C12151" t="str">
            <v>4516 - PAINT/STAINS/WALLPAPER &amp; ACCES</v>
          </cell>
          <cell r="D12151" t="str">
            <v>RUS203000</v>
          </cell>
          <cell r="BA12151">
            <v>6.49</v>
          </cell>
        </row>
        <row r="12152">
          <cell r="C12152" t="str">
            <v>4516 - PAINT/STAINS/WALLPAPER &amp; ACCES</v>
          </cell>
          <cell r="D12152" t="str">
            <v>GEO55103</v>
          </cell>
          <cell r="BA12152">
            <v>9.99</v>
          </cell>
        </row>
        <row r="12153">
          <cell r="C12153" t="str">
            <v>4516 - PAINT/STAINS/WALLPAPER &amp; ACCES</v>
          </cell>
          <cell r="D12153" t="str">
            <v>HOM4555</v>
          </cell>
          <cell r="BA12153">
            <v>27.99</v>
          </cell>
        </row>
        <row r="12154">
          <cell r="C12154" t="str">
            <v>4516 - PAINT/STAINS/WALLPAPER &amp; ACCES</v>
          </cell>
          <cell r="D12154" t="str">
            <v>16210</v>
          </cell>
          <cell r="BA12154">
            <v>10.99</v>
          </cell>
        </row>
        <row r="12155">
          <cell r="C12155" t="str">
            <v>4516 - PAINT/STAINS/WALLPAPER &amp; ACCES</v>
          </cell>
          <cell r="D12155" t="str">
            <v>DB0019124-16</v>
          </cell>
          <cell r="BA12155">
            <v>34.39</v>
          </cell>
        </row>
        <row r="12156">
          <cell r="C12156" t="str">
            <v>4516 - PAINT/STAINS/WALLPAPER &amp; ACCES</v>
          </cell>
          <cell r="D12156" t="str">
            <v>MIN63052</v>
          </cell>
          <cell r="BA12156">
            <v>25.99</v>
          </cell>
        </row>
        <row r="12157">
          <cell r="C12157" t="str">
            <v>4516 - PAINT/STAINS/WALLPAPER &amp; ACCES</v>
          </cell>
          <cell r="D12157" t="str">
            <v>STILCI320</v>
          </cell>
          <cell r="BA12157">
            <v>15.19</v>
          </cell>
        </row>
        <row r="12158">
          <cell r="C12158" t="str">
            <v>4516 - PAINT/STAINS/WALLPAPER &amp; ACCES</v>
          </cell>
          <cell r="D12158" t="str">
            <v>VAL12711G</v>
          </cell>
          <cell r="BA12158">
            <v>29.09</v>
          </cell>
        </row>
        <row r="12159">
          <cell r="C12159" t="str">
            <v>4516 - PAINT/STAINS/WALLPAPER &amp; ACCES</v>
          </cell>
          <cell r="D12159" t="str">
            <v>VAL12711G5</v>
          </cell>
          <cell r="BA12159">
            <v>141.99</v>
          </cell>
        </row>
        <row r="12160">
          <cell r="C12160" t="str">
            <v>4516 - PAINT/STAINS/WALLPAPER &amp; ACCES</v>
          </cell>
          <cell r="D12160" t="str">
            <v>VAL12714G</v>
          </cell>
          <cell r="BA12160">
            <v>31.99</v>
          </cell>
        </row>
        <row r="12161">
          <cell r="C12161" t="str">
            <v>4516 - PAINT/STAINS/WALLPAPER &amp; ACCES</v>
          </cell>
          <cell r="D12161" t="str">
            <v>VAL12714G5</v>
          </cell>
          <cell r="BA12161">
            <v>154.99</v>
          </cell>
        </row>
        <row r="12162">
          <cell r="C12162" t="str">
            <v>4516 - PAINT/STAINS/WALLPAPER &amp; ACCES</v>
          </cell>
          <cell r="D12162" t="str">
            <v>RUS276049</v>
          </cell>
          <cell r="BA12162">
            <v>47.99</v>
          </cell>
        </row>
        <row r="12163">
          <cell r="C12163" t="str">
            <v>4516 - PAINT/STAINS/WALLPAPER &amp; ACCES</v>
          </cell>
          <cell r="D12163" t="str">
            <v>1919325</v>
          </cell>
          <cell r="BA12163">
            <v>5.99</v>
          </cell>
        </row>
        <row r="12164">
          <cell r="C12164" t="str">
            <v>4516 - PAINT/STAINS/WALLPAPER &amp; ACCES</v>
          </cell>
          <cell r="D12164" t="str">
            <v>OSI1866185</v>
          </cell>
          <cell r="BA12164">
            <v>19.989999999999998</v>
          </cell>
        </row>
        <row r="12165">
          <cell r="C12165" t="str">
            <v>4516 - PAINT/STAINS/WALLPAPER &amp; ACCES</v>
          </cell>
          <cell r="D12165" t="str">
            <v>HOM4592</v>
          </cell>
          <cell r="BA12165">
            <v>25.99</v>
          </cell>
        </row>
        <row r="12166">
          <cell r="C12166" t="str">
            <v>4516 - PAINT/STAINS/WALLPAPER &amp; ACCES</v>
          </cell>
          <cell r="D12166" t="str">
            <v>VAL18500Q</v>
          </cell>
          <cell r="BA12166">
            <v>15.69</v>
          </cell>
        </row>
        <row r="12167">
          <cell r="C12167" t="str">
            <v>4516 - PAINT/STAINS/WALLPAPER &amp; ACCES</v>
          </cell>
          <cell r="D12167" t="str">
            <v>VAL18500G</v>
          </cell>
          <cell r="BA12167">
            <v>54.99</v>
          </cell>
        </row>
        <row r="12168">
          <cell r="C12168" t="str">
            <v>4516 - PAINT/STAINS/WALLPAPER &amp; ACCES</v>
          </cell>
          <cell r="D12168" t="str">
            <v>VAL18508Q</v>
          </cell>
          <cell r="BA12168">
            <v>15.69</v>
          </cell>
        </row>
        <row r="12169">
          <cell r="C12169" t="str">
            <v>4516 - PAINT/STAINS/WALLPAPER &amp; ACCES</v>
          </cell>
          <cell r="D12169" t="str">
            <v>VAL18502Q</v>
          </cell>
          <cell r="BA12169">
            <v>23.99</v>
          </cell>
        </row>
        <row r="12170">
          <cell r="C12170" t="str">
            <v>4516 - PAINT/STAINS/WALLPAPER &amp; ACCES</v>
          </cell>
          <cell r="D12170" t="str">
            <v>VAL18502G</v>
          </cell>
          <cell r="BA12170">
            <v>54.99</v>
          </cell>
        </row>
        <row r="12171">
          <cell r="C12171" t="str">
            <v>4516 - PAINT/STAINS/WALLPAPER &amp; ACCES</v>
          </cell>
          <cell r="D12171" t="str">
            <v>VAL18505G</v>
          </cell>
          <cell r="BA12171">
            <v>34.29</v>
          </cell>
        </row>
        <row r="12172">
          <cell r="C12172" t="str">
            <v>4516 - PAINT/STAINS/WALLPAPER &amp; ACCES</v>
          </cell>
          <cell r="D12172" t="str">
            <v>VAL18548Q</v>
          </cell>
          <cell r="BA12172">
            <v>18.89</v>
          </cell>
        </row>
        <row r="12173">
          <cell r="C12173" t="str">
            <v>4516 - PAINT/STAINS/WALLPAPER &amp; ACCES</v>
          </cell>
          <cell r="D12173" t="str">
            <v>VAL18542Q</v>
          </cell>
          <cell r="BA12173">
            <v>16.190000000000001</v>
          </cell>
        </row>
        <row r="12174">
          <cell r="C12174" t="str">
            <v>4516 - PAINT/STAINS/WALLPAPER &amp; ACCES</v>
          </cell>
          <cell r="D12174" t="str">
            <v>VAL18545Q</v>
          </cell>
          <cell r="BA12174">
            <v>15.39</v>
          </cell>
        </row>
        <row r="12175">
          <cell r="C12175" t="str">
            <v>4516 - PAINT/STAINS/WALLPAPER &amp; ACCES</v>
          </cell>
          <cell r="D12175" t="str">
            <v>VAL18562Q</v>
          </cell>
          <cell r="BA12175">
            <v>24.99</v>
          </cell>
        </row>
        <row r="12176">
          <cell r="C12176" t="str">
            <v>4516 - PAINT/STAINS/WALLPAPER &amp; ACCES</v>
          </cell>
          <cell r="D12176" t="str">
            <v>VAL18562G</v>
          </cell>
          <cell r="BA12176">
            <v>40.29</v>
          </cell>
        </row>
        <row r="12177">
          <cell r="C12177" t="str">
            <v>4516 - PAINT/STAINS/WALLPAPER &amp; ACCES</v>
          </cell>
          <cell r="D12177" t="str">
            <v>VAL18565G</v>
          </cell>
          <cell r="BA12177">
            <v>54.99</v>
          </cell>
        </row>
        <row r="12178">
          <cell r="C12178" t="str">
            <v>4516 - PAINT/STAINS/WALLPAPER &amp; ACCES</v>
          </cell>
          <cell r="D12178" t="str">
            <v>OSI1896952</v>
          </cell>
          <cell r="BA12178">
            <v>11.99</v>
          </cell>
        </row>
        <row r="12179">
          <cell r="C12179" t="str">
            <v>4516 - PAINT/STAINS/WALLPAPER &amp; ACCES</v>
          </cell>
          <cell r="D12179" t="str">
            <v>1936526</v>
          </cell>
          <cell r="BA12179">
            <v>6.99</v>
          </cell>
        </row>
        <row r="12180">
          <cell r="C12180" t="str">
            <v>4516 - PAINT/STAINS/WALLPAPER &amp; ACCES</v>
          </cell>
          <cell r="D12180" t="str">
            <v>1935990</v>
          </cell>
          <cell r="BA12180">
            <v>5.99</v>
          </cell>
        </row>
        <row r="12181">
          <cell r="C12181" t="str">
            <v>4516 - PAINT/STAINS/WALLPAPER &amp; ACCES</v>
          </cell>
          <cell r="D12181" t="str">
            <v>1936537</v>
          </cell>
          <cell r="BA12181">
            <v>7.99</v>
          </cell>
        </row>
        <row r="12182">
          <cell r="C12182" t="str">
            <v>4516 - PAINT/STAINS/WALLPAPER &amp; ACCES</v>
          </cell>
          <cell r="D12182" t="str">
            <v>RUS249130</v>
          </cell>
          <cell r="BA12182">
            <v>10.99</v>
          </cell>
        </row>
        <row r="12183">
          <cell r="C12183" t="str">
            <v>4516 - PAINT/STAINS/WALLPAPER &amp; ACCES</v>
          </cell>
          <cell r="D12183" t="str">
            <v>OSI1927125</v>
          </cell>
          <cell r="BA12183">
            <v>16.989999999999998</v>
          </cell>
        </row>
        <row r="12184">
          <cell r="C12184" t="str">
            <v>4516 - PAINT/STAINS/WALLPAPER &amp; ACCES</v>
          </cell>
          <cell r="D12184" t="str">
            <v>RUS254146</v>
          </cell>
          <cell r="BA12184">
            <v>6.99</v>
          </cell>
        </row>
        <row r="12185">
          <cell r="C12185" t="str">
            <v>4516 - PAINT/STAINS/WALLPAPER &amp; ACCES</v>
          </cell>
          <cell r="D12185" t="str">
            <v>SFCCQT</v>
          </cell>
          <cell r="BA12185">
            <v>13.39</v>
          </cell>
        </row>
        <row r="12186">
          <cell r="C12186" t="str">
            <v>4516 - PAINT/STAINS/WALLPAPER &amp; ACCES</v>
          </cell>
          <cell r="D12186" t="str">
            <v>SFMG1G</v>
          </cell>
          <cell r="BA12186">
            <v>53.49</v>
          </cell>
        </row>
        <row r="12187">
          <cell r="C12187" t="str">
            <v>4516 - PAINT/STAINS/WALLPAPER &amp; ACCES</v>
          </cell>
          <cell r="D12187" t="str">
            <v>SFBA1G</v>
          </cell>
          <cell r="BA12187">
            <v>19.989999999999998</v>
          </cell>
        </row>
        <row r="12188">
          <cell r="C12188" t="str">
            <v>4516 - PAINT/STAINS/WALLPAPER &amp; ACCES</v>
          </cell>
          <cell r="D12188" t="str">
            <v>SFCL1G</v>
          </cell>
          <cell r="BA12188">
            <v>50.99</v>
          </cell>
        </row>
        <row r="12189">
          <cell r="C12189" t="str">
            <v>4516 - PAINT/STAINS/WALLPAPER &amp; ACCES</v>
          </cell>
          <cell r="D12189" t="str">
            <v>SFCL5G</v>
          </cell>
          <cell r="BA12189">
            <v>259.99</v>
          </cell>
        </row>
        <row r="12190">
          <cell r="C12190" t="str">
            <v>4516 - PAINT/STAINS/WALLPAPER &amp; ACCES</v>
          </cell>
          <cell r="D12190" t="str">
            <v>SFBR1G</v>
          </cell>
          <cell r="BA12190">
            <v>53.49</v>
          </cell>
        </row>
        <row r="12191">
          <cell r="C12191" t="str">
            <v>4516 - PAINT/STAINS/WALLPAPER &amp; ACCES</v>
          </cell>
          <cell r="D12191" t="str">
            <v>SFCD1G</v>
          </cell>
          <cell r="BA12191">
            <v>49.29</v>
          </cell>
        </row>
        <row r="12192">
          <cell r="C12192" t="str">
            <v>4516 - PAINT/STAINS/WALLPAPER &amp; ACCES</v>
          </cell>
          <cell r="D12192" t="str">
            <v>SFCD5G</v>
          </cell>
          <cell r="BA12192">
            <v>239.99</v>
          </cell>
        </row>
        <row r="12193">
          <cell r="C12193" t="str">
            <v>4516 - PAINT/STAINS/WALLPAPER &amp; ACCES</v>
          </cell>
          <cell r="D12193" t="str">
            <v>SFRD1G</v>
          </cell>
          <cell r="BA12193">
            <v>53.49</v>
          </cell>
        </row>
        <row r="12194">
          <cell r="C12194" t="str">
            <v>4516 - PAINT/STAINS/WALLPAPER &amp; ACCES</v>
          </cell>
          <cell r="D12194" t="str">
            <v>SFDCQT</v>
          </cell>
          <cell r="BA12194">
            <v>18.690000000000001</v>
          </cell>
        </row>
        <row r="12195">
          <cell r="C12195" t="str">
            <v>4516 - PAINT/STAINS/WALLPAPER &amp; ACCES</v>
          </cell>
          <cell r="D12195" t="str">
            <v>RUS203036</v>
          </cell>
          <cell r="BA12195">
            <v>9.99</v>
          </cell>
        </row>
        <row r="12196">
          <cell r="C12196" t="str">
            <v>4516 - PAINT/STAINS/WALLPAPER &amp; ACCES</v>
          </cell>
          <cell r="D12196" t="str">
            <v>RUS1601838</v>
          </cell>
          <cell r="BA12196">
            <v>9.99</v>
          </cell>
        </row>
        <row r="12197">
          <cell r="C12197" t="str">
            <v>4516 - PAINT/STAINS/WALLPAPER &amp; ACCES</v>
          </cell>
          <cell r="D12197" t="str">
            <v>RUS1601838V</v>
          </cell>
          <cell r="BA12197">
            <v>9.99</v>
          </cell>
        </row>
        <row r="12198">
          <cell r="C12198" t="str">
            <v>4516 - PAINT/STAINS/WALLPAPER &amp; ACCES</v>
          </cell>
          <cell r="D12198" t="str">
            <v>RUS203023V</v>
          </cell>
          <cell r="BA12198">
            <v>9.99</v>
          </cell>
        </row>
        <row r="12199">
          <cell r="C12199" t="str">
            <v>4516 - PAINT/STAINS/WALLPAPER &amp; ACCES</v>
          </cell>
          <cell r="D12199" t="str">
            <v>RUS203030V</v>
          </cell>
          <cell r="BA12199">
            <v>9.99</v>
          </cell>
        </row>
        <row r="12200">
          <cell r="C12200" t="str">
            <v>4516 - PAINT/STAINS/WALLPAPER &amp; ACCES</v>
          </cell>
          <cell r="D12200" t="str">
            <v>FLD822-01</v>
          </cell>
          <cell r="BA12200">
            <v>44.99</v>
          </cell>
        </row>
        <row r="12201">
          <cell r="C12201" t="str">
            <v>4516 - PAINT/STAINS/WALLPAPER &amp; ACCES</v>
          </cell>
          <cell r="D12201" t="str">
            <v>FLD822-05</v>
          </cell>
          <cell r="BA12201">
            <v>219.99</v>
          </cell>
        </row>
        <row r="12202">
          <cell r="C12202" t="str">
            <v>4516 - PAINT/STAINS/WALLPAPER &amp; ACCES</v>
          </cell>
          <cell r="D12202" t="str">
            <v>VAL2405</v>
          </cell>
          <cell r="BA12202">
            <v>219.99</v>
          </cell>
        </row>
        <row r="12203">
          <cell r="C12203" t="str">
            <v>4516 - PAINT/STAINS/WALLPAPER &amp; ACCES</v>
          </cell>
          <cell r="D12203" t="str">
            <v>VAL3405P</v>
          </cell>
          <cell r="BA12203">
            <v>166.99</v>
          </cell>
        </row>
        <row r="12204">
          <cell r="C12204" t="str">
            <v>4516 - PAINT/STAINS/WALLPAPER &amp; ACCES</v>
          </cell>
          <cell r="D12204" t="str">
            <v>VAL1408G5</v>
          </cell>
          <cell r="BA12204">
            <v>209.99</v>
          </cell>
        </row>
        <row r="12205">
          <cell r="C12205" t="str">
            <v>4516 - PAINT/STAINS/WALLPAPER &amp; ACCES</v>
          </cell>
          <cell r="D12205" t="str">
            <v>EP36021116</v>
          </cell>
          <cell r="BA12205">
            <v>8.99</v>
          </cell>
        </row>
        <row r="12206">
          <cell r="C12206" t="str">
            <v>4516 - PAINT/STAINS/WALLPAPER &amp; ACCES</v>
          </cell>
          <cell r="D12206" t="str">
            <v>RO267970</v>
          </cell>
          <cell r="BA12206">
            <v>16.989999999999998</v>
          </cell>
        </row>
        <row r="12207">
          <cell r="C12207" t="str">
            <v>4516 - PAINT/STAINS/WALLPAPER &amp; ACCES</v>
          </cell>
          <cell r="D12207" t="str">
            <v>P367</v>
          </cell>
          <cell r="BA12207">
            <v>6.99</v>
          </cell>
        </row>
        <row r="12208">
          <cell r="C12208" t="str">
            <v>4516 - PAINT/STAINS/WALLPAPER &amp; ACCES</v>
          </cell>
          <cell r="D12208" t="str">
            <v>EP36141122</v>
          </cell>
          <cell r="BA12208">
            <v>4.99</v>
          </cell>
        </row>
        <row r="12209">
          <cell r="C12209" t="str">
            <v>4516 - PAINT/STAINS/WALLPAPER &amp; ACCES</v>
          </cell>
          <cell r="D12209" t="str">
            <v>EP36141144</v>
          </cell>
          <cell r="BA12209">
            <v>4.99</v>
          </cell>
        </row>
        <row r="12210">
          <cell r="C12210" t="str">
            <v>4516 - PAINT/STAINS/WALLPAPER &amp; ACCES</v>
          </cell>
          <cell r="D12210" t="str">
            <v>OSI1868684</v>
          </cell>
          <cell r="BA12210">
            <v>10.99</v>
          </cell>
        </row>
        <row r="12211">
          <cell r="C12211" t="str">
            <v>4516 - PAINT/STAINS/WALLPAPER &amp; ACCES</v>
          </cell>
          <cell r="D12211" t="str">
            <v>WF36141116</v>
          </cell>
          <cell r="BA12211">
            <v>4.99</v>
          </cell>
        </row>
        <row r="12212">
          <cell r="C12212" t="str">
            <v>4516 - PAINT/STAINS/WALLPAPER &amp; ACCES</v>
          </cell>
          <cell r="D12212" t="str">
            <v>VAL1400G</v>
          </cell>
          <cell r="BA12212">
            <v>41.99</v>
          </cell>
        </row>
        <row r="12213">
          <cell r="C12213" t="str">
            <v>4516 - PAINT/STAINS/WALLPAPER &amp; ACCES</v>
          </cell>
          <cell r="D12213" t="str">
            <v>VAL1402G</v>
          </cell>
          <cell r="BA12213">
            <v>41.99</v>
          </cell>
        </row>
        <row r="12214">
          <cell r="C12214" t="str">
            <v>4516 - PAINT/STAINS/WALLPAPER &amp; ACCES</v>
          </cell>
          <cell r="D12214" t="str">
            <v>VAL1405G</v>
          </cell>
          <cell r="BA12214">
            <v>31.29</v>
          </cell>
        </row>
        <row r="12215">
          <cell r="C12215" t="str">
            <v>4516 - PAINT/STAINS/WALLPAPER &amp; ACCES</v>
          </cell>
          <cell r="D12215" t="str">
            <v>VAL1408G</v>
          </cell>
          <cell r="BA12215">
            <v>41.99</v>
          </cell>
        </row>
        <row r="12216">
          <cell r="C12216" t="str">
            <v>4516 - PAINT/STAINS/WALLPAPER &amp; ACCES</v>
          </cell>
          <cell r="D12216" t="str">
            <v>VAL2402G</v>
          </cell>
          <cell r="BA12216">
            <v>35.39</v>
          </cell>
        </row>
        <row r="12217">
          <cell r="C12217" t="str">
            <v>4516 - PAINT/STAINS/WALLPAPER &amp; ACCES</v>
          </cell>
          <cell r="D12217" t="str">
            <v>VAL45501G</v>
          </cell>
          <cell r="BA12217">
            <v>42.29</v>
          </cell>
        </row>
        <row r="12218">
          <cell r="C12218" t="str">
            <v>4516 - PAINT/STAINS/WALLPAPER &amp; ACCES</v>
          </cell>
          <cell r="D12218" t="str">
            <v>VAL1426G</v>
          </cell>
          <cell r="BA12218">
            <v>31.99</v>
          </cell>
        </row>
        <row r="12219">
          <cell r="C12219" t="str">
            <v>4516 - PAINT/STAINS/WALLPAPER &amp; ACCES</v>
          </cell>
          <cell r="D12219" t="str">
            <v>TB46721</v>
          </cell>
          <cell r="BA12219">
            <v>9.99</v>
          </cell>
        </row>
        <row r="12220">
          <cell r="C12220" t="str">
            <v>4516 - PAINT/STAINS/WALLPAPER &amp; ACCES</v>
          </cell>
          <cell r="D12220" t="str">
            <v>EP36141124</v>
          </cell>
          <cell r="BA12220">
            <v>4.99</v>
          </cell>
        </row>
        <row r="12221">
          <cell r="C12221" t="str">
            <v>4516 - PAINT/STAINS/WALLPAPER &amp; ACCES</v>
          </cell>
          <cell r="D12221" t="str">
            <v>HPORS016</v>
          </cell>
          <cell r="BA12221">
            <v>10.99</v>
          </cell>
        </row>
        <row r="12222">
          <cell r="C12222" t="str">
            <v>4516 - PAINT/STAINS/WALLPAPER &amp; ACCES</v>
          </cell>
          <cell r="D12222" t="str">
            <v>MW63490</v>
          </cell>
          <cell r="BA12222">
            <v>8.69</v>
          </cell>
        </row>
        <row r="12223">
          <cell r="C12223" t="str">
            <v>4516 - PAINT/STAINS/WALLPAPER &amp; ACCES</v>
          </cell>
          <cell r="D12223" t="str">
            <v>MW785004444</v>
          </cell>
          <cell r="BA12223">
            <v>19.989999999999998</v>
          </cell>
        </row>
        <row r="12224">
          <cell r="C12224" t="str">
            <v>4516 - PAINT/STAINS/WALLPAPER &amp; ACCES</v>
          </cell>
          <cell r="D12224" t="str">
            <v>PC084441</v>
          </cell>
          <cell r="BA12224">
            <v>7.99</v>
          </cell>
        </row>
        <row r="12225">
          <cell r="C12225" t="str">
            <v>4516 - PAINT/STAINS/WALLPAPER &amp; ACCES</v>
          </cell>
          <cell r="D12225" t="str">
            <v>WBGME71</v>
          </cell>
          <cell r="BA12225">
            <v>34.99</v>
          </cell>
        </row>
        <row r="12226">
          <cell r="C12226" t="str">
            <v>4516 - PAINT/STAINS/WALLPAPER &amp; ACCES</v>
          </cell>
          <cell r="D12226" t="str">
            <v>1GG</v>
          </cell>
          <cell r="BA12226">
            <v>1.29</v>
          </cell>
        </row>
        <row r="12227">
          <cell r="C12227" t="str">
            <v>4516 - PAINT/STAINS/WALLPAPER &amp; ACCES</v>
          </cell>
          <cell r="D12227" t="str">
            <v>CP31916</v>
          </cell>
          <cell r="BA12227">
            <v>7.09</v>
          </cell>
        </row>
        <row r="12228">
          <cell r="C12228" t="str">
            <v>4516 - PAINT/STAINS/WALLPAPER &amp; ACCES</v>
          </cell>
          <cell r="D12228" t="str">
            <v>RB7738730</v>
          </cell>
          <cell r="BA12228">
            <v>7.59</v>
          </cell>
        </row>
        <row r="12229">
          <cell r="C12229" t="str">
            <v>4516 - PAINT/STAINS/WALLPAPER &amp; ACCES</v>
          </cell>
          <cell r="D12229" t="str">
            <v>EC36141108</v>
          </cell>
          <cell r="BA12229">
            <v>4.99</v>
          </cell>
        </row>
        <row r="12230">
          <cell r="C12230" t="str">
            <v>4516 - PAINT/STAINS/WALLPAPER &amp; ACCES</v>
          </cell>
          <cell r="D12230" t="str">
            <v>PPG59003A-01</v>
          </cell>
          <cell r="BA12230">
            <v>26.19</v>
          </cell>
        </row>
        <row r="12231">
          <cell r="C12231" t="str">
            <v>4516 - PAINT/STAINS/WALLPAPER &amp; ACCES</v>
          </cell>
          <cell r="D12231" t="str">
            <v>OLY57500A01</v>
          </cell>
          <cell r="BA12231">
            <v>43.69</v>
          </cell>
        </row>
        <row r="12232">
          <cell r="C12232" t="str">
            <v>4516 - PAINT/STAINS/WALLPAPER &amp; ACCES</v>
          </cell>
          <cell r="D12232" t="str">
            <v>PPG57505A-01</v>
          </cell>
          <cell r="BA12232">
            <v>43.69</v>
          </cell>
        </row>
        <row r="12233">
          <cell r="C12233" t="str">
            <v>4516 - PAINT/STAINS/WALLPAPER &amp; ACCES</v>
          </cell>
          <cell r="D12233" t="str">
            <v>PPG57503A-01</v>
          </cell>
          <cell r="BA12233">
            <v>43.69</v>
          </cell>
        </row>
        <row r="12234">
          <cell r="C12234" t="str">
            <v>4516 - PAINT/STAINS/WALLPAPER &amp; ACCES</v>
          </cell>
          <cell r="D12234" t="str">
            <v>PPG57503A-05</v>
          </cell>
          <cell r="BA12234">
            <v>126.99</v>
          </cell>
        </row>
        <row r="12235">
          <cell r="C12235" t="str">
            <v>4516 - PAINT/STAINS/WALLPAPER &amp; ACCES</v>
          </cell>
          <cell r="D12235" t="str">
            <v>PPG79550A-01</v>
          </cell>
          <cell r="BA12235">
            <v>45.59</v>
          </cell>
        </row>
        <row r="12236">
          <cell r="C12236" t="str">
            <v>4516 - PAINT/STAINS/WALLPAPER &amp; ACCES</v>
          </cell>
          <cell r="D12236" t="str">
            <v>OLY57504A01</v>
          </cell>
          <cell r="BA12236">
            <v>32.19</v>
          </cell>
        </row>
        <row r="12237">
          <cell r="C12237" t="str">
            <v>4516 - PAINT/STAINS/WALLPAPER &amp; ACCES</v>
          </cell>
          <cell r="D12237" t="str">
            <v>CP31905</v>
          </cell>
          <cell r="BA12237">
            <v>16.489999999999998</v>
          </cell>
        </row>
        <row r="12238">
          <cell r="C12238" t="str">
            <v>4516 - PAINT/STAINS/WALLPAPER &amp; ACCES</v>
          </cell>
          <cell r="D12238" t="str">
            <v>HPFW0016</v>
          </cell>
          <cell r="BA12238">
            <v>10.99</v>
          </cell>
        </row>
        <row r="12239">
          <cell r="C12239" t="str">
            <v>4516 - PAINT/STAINS/WALLPAPER &amp; ACCES</v>
          </cell>
          <cell r="D12239" t="str">
            <v>ST1600K10</v>
          </cell>
          <cell r="BA12239">
            <v>15.39</v>
          </cell>
        </row>
        <row r="12240">
          <cell r="C12240" t="str">
            <v>4516 - PAINT/STAINS/WALLPAPER &amp; ACCES</v>
          </cell>
          <cell r="D12240" t="str">
            <v>ST4005K99</v>
          </cell>
          <cell r="BA12240">
            <v>39.79</v>
          </cell>
        </row>
        <row r="12241">
          <cell r="C12241" t="str">
            <v>4516 - PAINT/STAINS/WALLPAPER &amp; ACCES</v>
          </cell>
          <cell r="D12241" t="str">
            <v>ST1500K40</v>
          </cell>
          <cell r="BA12241">
            <v>35.99</v>
          </cell>
        </row>
        <row r="12242">
          <cell r="C12242" t="str">
            <v>4516 - PAINT/STAINS/WALLPAPER &amp; ACCES</v>
          </cell>
          <cell r="D12242" t="str">
            <v>ST1510S16</v>
          </cell>
          <cell r="BA12242">
            <v>14.49</v>
          </cell>
        </row>
        <row r="12243">
          <cell r="C12243" t="str">
            <v>4516 - PAINT/STAINS/WALLPAPER &amp; ACCES</v>
          </cell>
          <cell r="D12243" t="str">
            <v>OLY802002-01</v>
          </cell>
          <cell r="BA12243">
            <v>47.09</v>
          </cell>
        </row>
        <row r="12244">
          <cell r="C12244" t="str">
            <v>4516 - PAINT/STAINS/WALLPAPER &amp; ACCES</v>
          </cell>
          <cell r="D12244" t="str">
            <v>OLY802042-01</v>
          </cell>
          <cell r="BA12244">
            <v>49.39</v>
          </cell>
        </row>
        <row r="12245">
          <cell r="C12245" t="str">
            <v>4516 - PAINT/STAINS/WALLPAPER &amp; ACCES</v>
          </cell>
          <cell r="D12245" t="str">
            <v>PPG80302-01</v>
          </cell>
          <cell r="BA12245">
            <v>53.99</v>
          </cell>
        </row>
        <row r="12246">
          <cell r="C12246" t="str">
            <v>4516 - PAINT/STAINS/WALLPAPER &amp; ACCES</v>
          </cell>
          <cell r="D12246" t="str">
            <v>PPG80301-01</v>
          </cell>
          <cell r="BA12246">
            <v>56.99</v>
          </cell>
        </row>
        <row r="12247">
          <cell r="C12247" t="str">
            <v>4516 - PAINT/STAINS/WALLPAPER &amp; ACCES</v>
          </cell>
          <cell r="D12247" t="str">
            <v>PPG80104-01</v>
          </cell>
          <cell r="BA12247">
            <v>55.49</v>
          </cell>
        </row>
        <row r="12248">
          <cell r="C12248" t="str">
            <v>4516 - PAINT/STAINS/WALLPAPER &amp; ACCES</v>
          </cell>
          <cell r="D12248" t="str">
            <v>PPG80103-01</v>
          </cell>
          <cell r="BA12248">
            <v>37.29</v>
          </cell>
        </row>
        <row r="12249">
          <cell r="C12249" t="str">
            <v>4516 - PAINT/STAINS/WALLPAPER &amp; ACCES</v>
          </cell>
          <cell r="D12249" t="str">
            <v>PPG80101-01</v>
          </cell>
          <cell r="BA12249">
            <v>58.49</v>
          </cell>
        </row>
        <row r="12250">
          <cell r="C12250" t="str">
            <v>4516 - PAINT/STAINS/WALLPAPER &amp; ACCES</v>
          </cell>
          <cell r="D12250" t="str">
            <v>PPG80101-S3</v>
          </cell>
          <cell r="BA12250">
            <v>166.99</v>
          </cell>
        </row>
        <row r="12251">
          <cell r="C12251" t="str">
            <v>4516 - PAINT/STAINS/WALLPAPER &amp; ACCES</v>
          </cell>
          <cell r="D12251" t="str">
            <v>PPG80100-01</v>
          </cell>
          <cell r="BA12251">
            <v>58.49</v>
          </cell>
        </row>
        <row r="12252">
          <cell r="C12252" t="str">
            <v>4516 - PAINT/STAINS/WALLPAPER &amp; ACCES</v>
          </cell>
          <cell r="D12252" t="str">
            <v>HP86006</v>
          </cell>
          <cell r="BA12252">
            <v>5.39</v>
          </cell>
        </row>
        <row r="12253">
          <cell r="C12253" t="str">
            <v>4516 - PAINT/STAINS/WALLPAPER &amp; ACCES</v>
          </cell>
          <cell r="D12253" t="str">
            <v>RS100</v>
          </cell>
          <cell r="BA12253">
            <v>44.99</v>
          </cell>
        </row>
        <row r="12254">
          <cell r="C12254" t="str">
            <v>4516 - PAINT/STAINS/WALLPAPER &amp; ACCES</v>
          </cell>
          <cell r="D12254" t="str">
            <v>RS110</v>
          </cell>
          <cell r="BA12254">
            <v>44.99</v>
          </cell>
        </row>
        <row r="12255">
          <cell r="C12255" t="str">
            <v>4516 - PAINT/STAINS/WALLPAPER &amp; ACCES</v>
          </cell>
          <cell r="D12255" t="str">
            <v>RS112</v>
          </cell>
          <cell r="BA12255">
            <v>44.99</v>
          </cell>
        </row>
        <row r="12256">
          <cell r="C12256" t="str">
            <v>4516 - PAINT/STAINS/WALLPAPER &amp; ACCES</v>
          </cell>
          <cell r="D12256" t="str">
            <v>RS512</v>
          </cell>
          <cell r="BA12256">
            <v>199.99</v>
          </cell>
        </row>
        <row r="12257">
          <cell r="C12257" t="str">
            <v>4516 - PAINT/STAINS/WALLPAPER &amp; ACCES</v>
          </cell>
          <cell r="D12257" t="str">
            <v>RS115</v>
          </cell>
          <cell r="BA12257">
            <v>44.99</v>
          </cell>
        </row>
        <row r="12258">
          <cell r="C12258" t="str">
            <v>4516 - PAINT/STAINS/WALLPAPER &amp; ACCES</v>
          </cell>
          <cell r="D12258" t="str">
            <v>RS515</v>
          </cell>
          <cell r="BA12258">
            <v>199.99</v>
          </cell>
        </row>
        <row r="12259">
          <cell r="C12259" t="str">
            <v>4516 - PAINT/STAINS/WALLPAPER &amp; ACCES</v>
          </cell>
          <cell r="D12259" t="str">
            <v>RS120</v>
          </cell>
          <cell r="BA12259">
            <v>44.99</v>
          </cell>
        </row>
        <row r="12260">
          <cell r="C12260" t="str">
            <v>4516 - PAINT/STAINS/WALLPAPER &amp; ACCES</v>
          </cell>
          <cell r="D12260" t="str">
            <v>RS520</v>
          </cell>
          <cell r="BA12260">
            <v>199.99</v>
          </cell>
        </row>
        <row r="12261">
          <cell r="C12261" t="str">
            <v>4516 - PAINT/STAINS/WALLPAPER &amp; ACCES</v>
          </cell>
          <cell r="D12261" t="str">
            <v>RS125</v>
          </cell>
          <cell r="BA12261">
            <v>44.99</v>
          </cell>
        </row>
        <row r="12262">
          <cell r="C12262" t="str">
            <v>4516 - PAINT/STAINS/WALLPAPER &amp; ACCES</v>
          </cell>
          <cell r="D12262" t="str">
            <v>RS525</v>
          </cell>
          <cell r="BA12262">
            <v>199.99</v>
          </cell>
        </row>
        <row r="12263">
          <cell r="C12263" t="str">
            <v>4516 - PAINT/STAINS/WALLPAPER &amp; ACCES</v>
          </cell>
          <cell r="D12263" t="str">
            <v>RS130</v>
          </cell>
          <cell r="BA12263">
            <v>44.99</v>
          </cell>
        </row>
        <row r="12264">
          <cell r="C12264" t="str">
            <v>4516 - PAINT/STAINS/WALLPAPER &amp; ACCES</v>
          </cell>
          <cell r="D12264" t="str">
            <v>RS530</v>
          </cell>
          <cell r="BA12264">
            <v>199.99</v>
          </cell>
        </row>
        <row r="12265">
          <cell r="C12265" t="str">
            <v>4516 - PAINT/STAINS/WALLPAPER &amp; ACCES</v>
          </cell>
          <cell r="D12265" t="str">
            <v>RS135</v>
          </cell>
          <cell r="BA12265">
            <v>44.99</v>
          </cell>
        </row>
        <row r="12266">
          <cell r="C12266" t="str">
            <v>4516 - PAINT/STAINS/WALLPAPER &amp; ACCES</v>
          </cell>
          <cell r="D12266" t="str">
            <v>RS145</v>
          </cell>
          <cell r="BA12266">
            <v>44.99</v>
          </cell>
        </row>
        <row r="12267">
          <cell r="C12267" t="str">
            <v>4516 - PAINT/STAINS/WALLPAPER &amp; ACCES</v>
          </cell>
          <cell r="D12267" t="str">
            <v>LPPD7006</v>
          </cell>
          <cell r="BA12267">
            <v>2.99</v>
          </cell>
        </row>
        <row r="12268">
          <cell r="C12268" t="str">
            <v>4516 - PAINT/STAINS/WALLPAPER &amp; ACCES</v>
          </cell>
          <cell r="D12268" t="str">
            <v>HPRF1016</v>
          </cell>
          <cell r="BA12268">
            <v>10.99</v>
          </cell>
        </row>
        <row r="12269">
          <cell r="C12269" t="str">
            <v>4516 - PAINT/STAINS/WALLPAPER &amp; ACCES</v>
          </cell>
          <cell r="D12269" t="str">
            <v>HPRF3016</v>
          </cell>
          <cell r="BA12269">
            <v>10.99</v>
          </cell>
        </row>
        <row r="12270">
          <cell r="C12270" t="str">
            <v>4516 - PAINT/STAINS/WALLPAPER &amp; ACCES</v>
          </cell>
          <cell r="D12270" t="str">
            <v>HPRF6016</v>
          </cell>
          <cell r="BA12270">
            <v>10.99</v>
          </cell>
        </row>
        <row r="12271">
          <cell r="C12271" t="str">
            <v>4516 - PAINT/STAINS/WALLPAPER &amp; ACCES</v>
          </cell>
          <cell r="D12271" t="str">
            <v>HPRF4016</v>
          </cell>
          <cell r="BA12271">
            <v>10.99</v>
          </cell>
        </row>
        <row r="12272">
          <cell r="C12272" t="str">
            <v>4516 - PAINT/STAINS/WALLPAPER &amp; ACCES</v>
          </cell>
          <cell r="D12272" t="str">
            <v>RB241232</v>
          </cell>
          <cell r="BA12272">
            <v>7.39</v>
          </cell>
        </row>
        <row r="12273">
          <cell r="C12273" t="str">
            <v>4516 - PAINT/STAINS/WALLPAPER &amp; ACCES</v>
          </cell>
          <cell r="D12273" t="str">
            <v>HPRF5016</v>
          </cell>
          <cell r="BA12273">
            <v>10.99</v>
          </cell>
        </row>
        <row r="12274">
          <cell r="C12274" t="str">
            <v>4516 - PAINT/STAINS/WALLPAPER &amp; ACCES</v>
          </cell>
          <cell r="D12274" t="str">
            <v>HPRF2016</v>
          </cell>
          <cell r="BA12274">
            <v>10.99</v>
          </cell>
        </row>
        <row r="12275">
          <cell r="C12275" t="str">
            <v>4516 - PAINT/STAINS/WALLPAPER &amp; ACCES</v>
          </cell>
          <cell r="D12275" t="str">
            <v>RUS334017</v>
          </cell>
          <cell r="BA12275">
            <v>6.99</v>
          </cell>
        </row>
        <row r="12276">
          <cell r="C12276" t="str">
            <v>4516 - PAINT/STAINS/WALLPAPER &amp; ACCES</v>
          </cell>
          <cell r="D12276" t="str">
            <v>RUS334018</v>
          </cell>
          <cell r="BA12276">
            <v>6.99</v>
          </cell>
        </row>
        <row r="12277">
          <cell r="C12277" t="str">
            <v>4516 - PAINT/STAINS/WALLPAPER &amp; ACCES</v>
          </cell>
          <cell r="D12277" t="str">
            <v>RUS334019</v>
          </cell>
          <cell r="BA12277">
            <v>6.99</v>
          </cell>
        </row>
        <row r="12278">
          <cell r="C12278" t="str">
            <v>4516 - PAINT/STAINS/WALLPAPER &amp; ACCES</v>
          </cell>
          <cell r="D12278" t="str">
            <v>RUS334020</v>
          </cell>
          <cell r="BA12278">
            <v>6.99</v>
          </cell>
        </row>
        <row r="12279">
          <cell r="C12279" t="str">
            <v>4516 - PAINT/STAINS/WALLPAPER &amp; ACCES</v>
          </cell>
          <cell r="D12279" t="str">
            <v>RUS334022</v>
          </cell>
          <cell r="BA12279">
            <v>6.99</v>
          </cell>
        </row>
        <row r="12280">
          <cell r="C12280" t="str">
            <v>4516 - PAINT/STAINS/WALLPAPER &amp; ACCES</v>
          </cell>
          <cell r="D12280" t="str">
            <v>RUS334024</v>
          </cell>
          <cell r="BA12280">
            <v>6.99</v>
          </cell>
        </row>
        <row r="12281">
          <cell r="C12281" t="str">
            <v>4516 - PAINT/STAINS/WALLPAPER &amp; ACCES</v>
          </cell>
          <cell r="D12281" t="str">
            <v>RUS334026</v>
          </cell>
          <cell r="BA12281">
            <v>6.99</v>
          </cell>
        </row>
        <row r="12282">
          <cell r="C12282" t="str">
            <v>4516 - PAINT/STAINS/WALLPAPER &amp; ACCES</v>
          </cell>
          <cell r="D12282" t="str">
            <v>RUS334027</v>
          </cell>
          <cell r="BA12282">
            <v>6.99</v>
          </cell>
        </row>
        <row r="12283">
          <cell r="C12283" t="str">
            <v>4516 - PAINT/STAINS/WALLPAPER &amp; ACCES</v>
          </cell>
          <cell r="D12283" t="str">
            <v>RUS334029</v>
          </cell>
          <cell r="BA12283">
            <v>6.99</v>
          </cell>
        </row>
        <row r="12284">
          <cell r="C12284" t="str">
            <v>4516 - PAINT/STAINS/WALLPAPER &amp; ACCES</v>
          </cell>
          <cell r="D12284" t="str">
            <v>RUS334032</v>
          </cell>
          <cell r="BA12284">
            <v>6.99</v>
          </cell>
        </row>
        <row r="12285">
          <cell r="C12285" t="str">
            <v>4516 - PAINT/STAINS/WALLPAPER &amp; ACCES</v>
          </cell>
          <cell r="D12285" t="str">
            <v>RUS334034</v>
          </cell>
          <cell r="BA12285">
            <v>6.99</v>
          </cell>
        </row>
        <row r="12286">
          <cell r="C12286" t="str">
            <v>4516 - PAINT/STAINS/WALLPAPER &amp; ACCES</v>
          </cell>
          <cell r="D12286" t="str">
            <v>RUS334038</v>
          </cell>
          <cell r="BA12286">
            <v>6.99</v>
          </cell>
        </row>
        <row r="12287">
          <cell r="C12287" t="str">
            <v>4516 - PAINT/STAINS/WALLPAPER &amp; ACCES</v>
          </cell>
          <cell r="D12287" t="str">
            <v>RUS334043</v>
          </cell>
          <cell r="BA12287">
            <v>6.99</v>
          </cell>
        </row>
        <row r="12288">
          <cell r="C12288" t="str">
            <v>4516 - PAINT/STAINS/WALLPAPER &amp; ACCES</v>
          </cell>
          <cell r="D12288" t="str">
            <v>RUS334048</v>
          </cell>
          <cell r="BA12288">
            <v>6.99</v>
          </cell>
        </row>
        <row r="12289">
          <cell r="C12289" t="str">
            <v>4516 - PAINT/STAINS/WALLPAPER &amp; ACCES</v>
          </cell>
          <cell r="D12289" t="str">
            <v>RUS334055</v>
          </cell>
          <cell r="BA12289">
            <v>6.99</v>
          </cell>
        </row>
        <row r="12290">
          <cell r="C12290" t="str">
            <v>4516 - PAINT/STAINS/WALLPAPER &amp; ACCES</v>
          </cell>
          <cell r="D12290" t="str">
            <v>RUS334097</v>
          </cell>
          <cell r="BA12290">
            <v>6.99</v>
          </cell>
        </row>
        <row r="12291">
          <cell r="C12291" t="str">
            <v>4516 - PAINT/STAINS/WALLPAPER &amp; ACCES</v>
          </cell>
          <cell r="D12291" t="str">
            <v>RUS334098</v>
          </cell>
          <cell r="BA12291">
            <v>6.99</v>
          </cell>
        </row>
        <row r="12292">
          <cell r="C12292" t="str">
            <v>4516 - PAINT/STAINS/WALLPAPER &amp; ACCES</v>
          </cell>
          <cell r="D12292" t="str">
            <v>RUS346951</v>
          </cell>
          <cell r="BA12292">
            <v>6.99</v>
          </cell>
        </row>
        <row r="12293">
          <cell r="C12293" t="str">
            <v>4516 - PAINT/STAINS/WALLPAPER &amp; ACCES</v>
          </cell>
          <cell r="D12293" t="str">
            <v>MNW33333</v>
          </cell>
          <cell r="BA12293">
            <v>14.99</v>
          </cell>
        </row>
        <row r="12294">
          <cell r="C12294" t="str">
            <v>4516 - PAINT/STAINS/WALLPAPER &amp; ACCES</v>
          </cell>
          <cell r="D12294" t="str">
            <v>RUS55270830</v>
          </cell>
          <cell r="BA12294">
            <v>5.99</v>
          </cell>
        </row>
        <row r="12295">
          <cell r="C12295" t="str">
            <v>4516 - PAINT/STAINS/WALLPAPER &amp; ACCES</v>
          </cell>
          <cell r="D12295" t="str">
            <v>RUS55276830</v>
          </cell>
          <cell r="BA12295">
            <v>5.99</v>
          </cell>
        </row>
        <row r="12296">
          <cell r="C12296" t="str">
            <v>4516 - PAINT/STAINS/WALLPAPER &amp; ACCES</v>
          </cell>
          <cell r="D12296" t="str">
            <v>RUS55274830</v>
          </cell>
          <cell r="BA12296">
            <v>5.99</v>
          </cell>
        </row>
        <row r="12297">
          <cell r="C12297" t="str">
            <v>4516 - PAINT/STAINS/WALLPAPER &amp; ACCES</v>
          </cell>
          <cell r="D12297" t="str">
            <v>RUS7762830</v>
          </cell>
          <cell r="BA12297">
            <v>6.99</v>
          </cell>
        </row>
        <row r="12298">
          <cell r="C12298" t="str">
            <v>4516 - PAINT/STAINS/WALLPAPER &amp; ACCES</v>
          </cell>
          <cell r="D12298" t="str">
            <v>KRY2732</v>
          </cell>
          <cell r="BA12298">
            <v>7.99</v>
          </cell>
        </row>
        <row r="12299">
          <cell r="C12299" t="str">
            <v>4516 - PAINT/STAINS/WALLPAPER &amp; ACCES</v>
          </cell>
          <cell r="D12299" t="str">
            <v>KRY5581</v>
          </cell>
          <cell r="BA12299">
            <v>6.99</v>
          </cell>
        </row>
        <row r="12300">
          <cell r="C12300" t="str">
            <v>4516 - PAINT/STAINS/WALLPAPER &amp; ACCES</v>
          </cell>
          <cell r="D12300" t="str">
            <v>KRY5582</v>
          </cell>
          <cell r="BA12300">
            <v>6.99</v>
          </cell>
        </row>
        <row r="12301">
          <cell r="C12301" t="str">
            <v>4516 - PAINT/STAINS/WALLPAPER &amp; ACCES</v>
          </cell>
          <cell r="D12301" t="str">
            <v>KRY5584</v>
          </cell>
          <cell r="BA12301">
            <v>6.99</v>
          </cell>
        </row>
        <row r="12302">
          <cell r="C12302" t="str">
            <v>4516 - PAINT/STAINS/WALLPAPER &amp; ACCES</v>
          </cell>
          <cell r="D12302" t="str">
            <v>RU771511</v>
          </cell>
          <cell r="BA12302">
            <v>7.59</v>
          </cell>
        </row>
        <row r="12303">
          <cell r="C12303" t="str">
            <v>4516 - PAINT/STAINS/WALLPAPER &amp; ACCES</v>
          </cell>
          <cell r="D12303" t="str">
            <v>RU7798830</v>
          </cell>
          <cell r="BA12303">
            <v>6.99</v>
          </cell>
        </row>
        <row r="12304">
          <cell r="C12304" t="str">
            <v>4516 - PAINT/STAINS/WALLPAPER &amp; ACCES</v>
          </cell>
          <cell r="D12304" t="str">
            <v>RUS7779830</v>
          </cell>
          <cell r="BA12304">
            <v>6.99</v>
          </cell>
        </row>
        <row r="12305">
          <cell r="C12305" t="str">
            <v>4516 - PAINT/STAINS/WALLPAPER &amp; ACCES</v>
          </cell>
          <cell r="D12305" t="str">
            <v>RU7779Q</v>
          </cell>
          <cell r="BA12305">
            <v>16.989999999999998</v>
          </cell>
        </row>
        <row r="12306">
          <cell r="C12306" t="str">
            <v>4516 - PAINT/STAINS/WALLPAPER &amp; ACCES</v>
          </cell>
          <cell r="D12306" t="str">
            <v>RU7792830</v>
          </cell>
          <cell r="BA12306">
            <v>6.99</v>
          </cell>
        </row>
        <row r="12307">
          <cell r="C12307" t="str">
            <v>4516 - PAINT/STAINS/WALLPAPER &amp; ACCES</v>
          </cell>
          <cell r="D12307" t="str">
            <v>RO55275830</v>
          </cell>
          <cell r="BA12307">
            <v>5.99</v>
          </cell>
        </row>
        <row r="12308">
          <cell r="C12308" t="str">
            <v>4516 - PAINT/STAINS/WALLPAPER &amp; ACCES</v>
          </cell>
          <cell r="D12308" t="str">
            <v>RU7776830</v>
          </cell>
          <cell r="BA12308">
            <v>6.99</v>
          </cell>
        </row>
        <row r="12309">
          <cell r="C12309" t="str">
            <v>4516 - PAINT/STAINS/WALLPAPER &amp; ACCES</v>
          </cell>
          <cell r="D12309" t="str">
            <v>LEAKSEAL</v>
          </cell>
          <cell r="BA12309">
            <v>16.989999999999998</v>
          </cell>
        </row>
        <row r="12310">
          <cell r="C12310" t="str">
            <v>4516 - PAINT/STAINS/WALLPAPER &amp; ACCES</v>
          </cell>
          <cell r="D12310" t="str">
            <v>RUS7738830</v>
          </cell>
          <cell r="BA12310">
            <v>6.99</v>
          </cell>
        </row>
        <row r="12311">
          <cell r="C12311" t="str">
            <v>4516 - PAINT/STAINS/WALLPAPER &amp; ACCES</v>
          </cell>
          <cell r="D12311" t="str">
            <v>RUS7765830</v>
          </cell>
          <cell r="BA12311">
            <v>6.99</v>
          </cell>
        </row>
        <row r="12312">
          <cell r="C12312" t="str">
            <v>4516 - PAINT/STAINS/WALLPAPER &amp; ACCES</v>
          </cell>
          <cell r="D12312" t="str">
            <v>RUS7770830</v>
          </cell>
          <cell r="BA12312">
            <v>6.99</v>
          </cell>
        </row>
        <row r="12313">
          <cell r="C12313" t="str">
            <v>4516 - PAINT/STAINS/WALLPAPER &amp; ACCES</v>
          </cell>
          <cell r="D12313" t="str">
            <v>RUS7775830</v>
          </cell>
          <cell r="BA12313">
            <v>6.99</v>
          </cell>
        </row>
        <row r="12314">
          <cell r="C12314" t="str">
            <v>4516 - PAINT/STAINS/WALLPAPER &amp; ACCES</v>
          </cell>
          <cell r="D12314" t="str">
            <v>RUS7786830</v>
          </cell>
          <cell r="BA12314">
            <v>6.99</v>
          </cell>
        </row>
        <row r="12315">
          <cell r="C12315" t="str">
            <v>4516 - PAINT/STAINS/WALLPAPER &amp; ACCES</v>
          </cell>
          <cell r="D12315" t="str">
            <v>RUS203034</v>
          </cell>
          <cell r="BA12315">
            <v>9.99</v>
          </cell>
        </row>
        <row r="12316">
          <cell r="C12316" t="str">
            <v>4516 - PAINT/STAINS/WALLPAPER &amp; ACCES</v>
          </cell>
          <cell r="D12316" t="str">
            <v>RU776912</v>
          </cell>
          <cell r="BA12316">
            <v>6.99</v>
          </cell>
        </row>
        <row r="12317">
          <cell r="C12317" t="str">
            <v>4516 - PAINT/STAINS/WALLPAPER &amp; ACCES</v>
          </cell>
          <cell r="D12317" t="str">
            <v>RU7778</v>
          </cell>
          <cell r="BA12317">
            <v>6.99</v>
          </cell>
        </row>
        <row r="12318">
          <cell r="C12318" t="str">
            <v>4516 - PAINT/STAINS/WALLPAPER &amp; ACCES</v>
          </cell>
          <cell r="D12318" t="str">
            <v>RU7785830</v>
          </cell>
          <cell r="BA12318">
            <v>10.99</v>
          </cell>
        </row>
        <row r="12319">
          <cell r="C12319" t="str">
            <v>4516 - PAINT/STAINS/WALLPAPER &amp; ACCES</v>
          </cell>
          <cell r="D12319" t="str">
            <v>RUS7881830</v>
          </cell>
          <cell r="BA12319">
            <v>9.99</v>
          </cell>
        </row>
        <row r="12320">
          <cell r="C12320" t="str">
            <v>4516 - PAINT/STAINS/WALLPAPER &amp; ACCES</v>
          </cell>
          <cell r="D12320" t="str">
            <v>GG5000503</v>
          </cell>
          <cell r="BA12320">
            <v>5.99</v>
          </cell>
        </row>
        <row r="12321">
          <cell r="C12321" t="str">
            <v>4516 - PAINT/STAINS/WALLPAPER &amp; ACCES</v>
          </cell>
          <cell r="D12321" t="str">
            <v>DB-1450-4</v>
          </cell>
          <cell r="BA12321">
            <v>17.989999999999998</v>
          </cell>
        </row>
        <row r="12322">
          <cell r="C12322" t="str">
            <v>4516 - PAINT/STAINS/WALLPAPER &amp; ACCES</v>
          </cell>
          <cell r="D12322" t="str">
            <v>GACODT02</v>
          </cell>
          <cell r="BA12322">
            <v>123.99</v>
          </cell>
        </row>
        <row r="12323">
          <cell r="C12323" t="str">
            <v>4516 - PAINT/STAINS/WALLPAPER &amp; ACCES</v>
          </cell>
          <cell r="D12323" t="str">
            <v>SD9200G</v>
          </cell>
          <cell r="BA12323">
            <v>0.01</v>
          </cell>
        </row>
        <row r="12324">
          <cell r="C12324" t="str">
            <v>4516 - PAINT/STAINS/WALLPAPER &amp; ACCES</v>
          </cell>
          <cell r="D12324" t="str">
            <v>YMPS</v>
          </cell>
          <cell r="BA12324">
            <v>5.79</v>
          </cell>
        </row>
        <row r="12325">
          <cell r="C12325" t="str">
            <v>4516 - PAINT/STAINS/WALLPAPER &amp; ACCES</v>
          </cell>
          <cell r="D12325" t="str">
            <v>2XFBP</v>
          </cell>
          <cell r="BA12325">
            <v>6.99</v>
          </cell>
        </row>
        <row r="12326">
          <cell r="C12326" t="str">
            <v>4516 - PAINT/STAINS/WALLPAPER &amp; ACCES</v>
          </cell>
          <cell r="D12326" t="str">
            <v>SPITFBLU</v>
          </cell>
          <cell r="BA12326">
            <v>9.99</v>
          </cell>
        </row>
        <row r="12327">
          <cell r="C12327" t="str">
            <v>4516 - PAINT/STAINS/WALLPAPER &amp; ACCES</v>
          </cell>
          <cell r="D12327" t="str">
            <v>RUS203032</v>
          </cell>
          <cell r="BA12327">
            <v>9.99</v>
          </cell>
        </row>
        <row r="12328">
          <cell r="C12328" t="str">
            <v>4516 - PAINT/STAINS/WALLPAPER &amp; ACCES</v>
          </cell>
          <cell r="D12328" t="str">
            <v>SPITFR</v>
          </cell>
          <cell r="BA12328">
            <v>9.99</v>
          </cell>
        </row>
        <row r="12329">
          <cell r="C12329" t="str">
            <v>4516 - PAINT/STAINS/WALLPAPER &amp; ACCES</v>
          </cell>
          <cell r="D12329" t="str">
            <v>RUS1861838</v>
          </cell>
          <cell r="BA12329">
            <v>9.99</v>
          </cell>
        </row>
        <row r="12330">
          <cell r="C12330" t="str">
            <v>4516 - PAINT/STAINS/WALLPAPER &amp; ACCES</v>
          </cell>
          <cell r="D12330" t="str">
            <v>SPITSR</v>
          </cell>
          <cell r="BA12330">
            <v>9.99</v>
          </cell>
        </row>
        <row r="12331">
          <cell r="C12331" t="str">
            <v>4516 - PAINT/STAINS/WALLPAPER &amp; ACCES</v>
          </cell>
          <cell r="D12331" t="str">
            <v>SPITWHT</v>
          </cell>
          <cell r="BA12331">
            <v>9.99</v>
          </cell>
        </row>
        <row r="12332">
          <cell r="C12332" t="str">
            <v>4516 - PAINT/STAINS/WALLPAPER &amp; ACCES</v>
          </cell>
          <cell r="D12332" t="str">
            <v>SPITMW</v>
          </cell>
          <cell r="BA12332">
            <v>37.99</v>
          </cell>
        </row>
        <row r="12333">
          <cell r="C12333" t="str">
            <v>4516 - PAINT/STAINS/WALLPAPER &amp; ACCES</v>
          </cell>
          <cell r="D12333" t="str">
            <v>RU7792730</v>
          </cell>
          <cell r="BA12333">
            <v>7.59</v>
          </cell>
        </row>
        <row r="12334">
          <cell r="C12334" t="str">
            <v>4516 - PAINT/STAINS/WALLPAPER &amp; ACCES</v>
          </cell>
          <cell r="D12334" t="str">
            <v>RU7776730</v>
          </cell>
          <cell r="BA12334">
            <v>7.59</v>
          </cell>
        </row>
        <row r="12335">
          <cell r="C12335" t="str">
            <v>4516 - PAINT/STAINS/WALLPAPER &amp; ACCES</v>
          </cell>
          <cell r="D12335" t="str">
            <v>PPG65005G</v>
          </cell>
          <cell r="BA12335">
            <v>118.99</v>
          </cell>
        </row>
        <row r="12336">
          <cell r="C12336" t="str">
            <v>4516 - PAINT/STAINS/WALLPAPER &amp; ACCES</v>
          </cell>
          <cell r="D12336" t="str">
            <v>PPG6500G</v>
          </cell>
          <cell r="BA12336">
            <v>30.29</v>
          </cell>
        </row>
        <row r="12337">
          <cell r="C12337" t="str">
            <v>4516 - PAINT/STAINS/WALLPAPER &amp; ACCES</v>
          </cell>
          <cell r="D12337" t="str">
            <v>PPG6411G</v>
          </cell>
          <cell r="BA12337">
            <v>25.39</v>
          </cell>
        </row>
        <row r="12338">
          <cell r="C12338" t="str">
            <v>4516 - PAINT/STAINS/WALLPAPER &amp; ACCES</v>
          </cell>
          <cell r="D12338" t="str">
            <v>PPG6-208G</v>
          </cell>
          <cell r="BA12338">
            <v>72.989999999999995</v>
          </cell>
        </row>
        <row r="12339">
          <cell r="C12339" t="str">
            <v>4516 - PAINT/STAINS/WALLPAPER &amp; ACCES</v>
          </cell>
          <cell r="D12339" t="str">
            <v>PPGDP58138Q</v>
          </cell>
          <cell r="BA12339">
            <v>0.01</v>
          </cell>
        </row>
        <row r="12340">
          <cell r="C12340" t="str">
            <v>4516 - PAINT/STAINS/WALLPAPER &amp; ACCES</v>
          </cell>
          <cell r="D12340" t="str">
            <v>PPGV50-410G</v>
          </cell>
          <cell r="BA12340">
            <v>55.99</v>
          </cell>
        </row>
        <row r="12341">
          <cell r="C12341" t="str">
            <v>4516 - PAINT/STAINS/WALLPAPER &amp; ACCES</v>
          </cell>
          <cell r="D12341" t="str">
            <v>PPGV52-410/01</v>
          </cell>
          <cell r="BA12341">
            <v>69.989999999999995</v>
          </cell>
        </row>
        <row r="12342">
          <cell r="C12342" t="str">
            <v>4516 - PAINT/STAINS/WALLPAPER &amp; ACCES</v>
          </cell>
          <cell r="D12342" t="str">
            <v>PPGV52-420/01</v>
          </cell>
          <cell r="BA12342">
            <v>68.989999999999995</v>
          </cell>
        </row>
        <row r="12343">
          <cell r="C12343" t="str">
            <v>4516 - PAINT/STAINS/WALLPAPER &amp; ACCES</v>
          </cell>
          <cell r="D12343" t="str">
            <v>PPGV52-440/01</v>
          </cell>
          <cell r="BA12343">
            <v>66.989999999999995</v>
          </cell>
        </row>
        <row r="12344">
          <cell r="C12344" t="str">
            <v>4516 - PAINT/STAINS/WALLPAPER &amp; ACCES</v>
          </cell>
          <cell r="D12344" t="str">
            <v>PPG4216-0100LG</v>
          </cell>
          <cell r="BA12344">
            <v>49.59</v>
          </cell>
        </row>
        <row r="12345">
          <cell r="C12345" t="str">
            <v>4516 - PAINT/STAINS/WALLPAPER &amp; ACCES</v>
          </cell>
          <cell r="D12345" t="str">
            <v>PPG4216-0200LG</v>
          </cell>
          <cell r="BA12345">
            <v>46.99</v>
          </cell>
        </row>
        <row r="12346">
          <cell r="C12346" t="str">
            <v>4516 - PAINT/STAINS/WALLPAPER &amp; ACCES</v>
          </cell>
          <cell r="D12346" t="str">
            <v>PPG4216-0400LG</v>
          </cell>
          <cell r="BA12346">
            <v>46.59</v>
          </cell>
        </row>
        <row r="12347">
          <cell r="C12347" t="str">
            <v>4516 - PAINT/STAINS/WALLPAPER &amp; ACCES</v>
          </cell>
          <cell r="D12347" t="str">
            <v>PPG4216-0500LG</v>
          </cell>
          <cell r="BA12347">
            <v>47.09</v>
          </cell>
        </row>
        <row r="12348">
          <cell r="C12348" t="str">
            <v>4516 - PAINT/STAINS/WALLPAPER &amp; ACCES</v>
          </cell>
          <cell r="D12348" t="str">
            <v>PPGDRW663-00</v>
          </cell>
          <cell r="BA12348">
            <v>37.79</v>
          </cell>
        </row>
        <row r="12349">
          <cell r="C12349" t="str">
            <v>4516 - PAINT/STAINS/WALLPAPER &amp; ACCES</v>
          </cell>
          <cell r="D12349" t="str">
            <v>PPGSP2915G</v>
          </cell>
          <cell r="BA12349">
            <v>22.49</v>
          </cell>
        </row>
        <row r="12350">
          <cell r="C12350" t="str">
            <v>4516 - PAINT/STAINS/WALLPAPER &amp; ACCES</v>
          </cell>
          <cell r="D12350" t="str">
            <v>PPG4216-1000LG</v>
          </cell>
          <cell r="BA12350">
            <v>51.49</v>
          </cell>
        </row>
        <row r="12351">
          <cell r="C12351" t="str">
            <v>4516 - PAINT/STAINS/WALLPAPER &amp; ACCES</v>
          </cell>
          <cell r="D12351" t="str">
            <v>KILZ20002</v>
          </cell>
          <cell r="BA12351">
            <v>12.99</v>
          </cell>
        </row>
        <row r="12352">
          <cell r="C12352" t="str">
            <v>4516 - PAINT/STAINS/WALLPAPER &amp; ACCES</v>
          </cell>
          <cell r="D12352" t="str">
            <v>PPG7809G</v>
          </cell>
          <cell r="BA12352">
            <v>66.489999999999995</v>
          </cell>
        </row>
        <row r="12353">
          <cell r="C12353" t="str">
            <v>4516 - PAINT/STAINS/WALLPAPER &amp; ACCES</v>
          </cell>
          <cell r="D12353" t="str">
            <v>PPG7808G</v>
          </cell>
          <cell r="BA12353">
            <v>53.49</v>
          </cell>
        </row>
        <row r="12354">
          <cell r="C12354" t="str">
            <v>4516 - PAINT/STAINS/WALLPAPER &amp; ACCES</v>
          </cell>
          <cell r="D12354" t="str">
            <v>M11943</v>
          </cell>
          <cell r="BA12354">
            <v>7.99</v>
          </cell>
        </row>
        <row r="12355">
          <cell r="C12355" t="str">
            <v>4516 - PAINT/STAINS/WALLPAPER &amp; ACCES</v>
          </cell>
          <cell r="D12355" t="str">
            <v>VAL22002G</v>
          </cell>
          <cell r="BA12355">
            <v>54.99</v>
          </cell>
        </row>
        <row r="12356">
          <cell r="C12356" t="str">
            <v>4516 - PAINT/STAINS/WALLPAPER &amp; ACCES</v>
          </cell>
          <cell r="D12356" t="str">
            <v>VAL91111G</v>
          </cell>
          <cell r="BA12356">
            <v>21.99</v>
          </cell>
        </row>
        <row r="12357">
          <cell r="C12357" t="str">
            <v>4516 - PAINT/STAINS/WALLPAPER &amp; ACCES</v>
          </cell>
          <cell r="D12357" t="str">
            <v>PPG96-2000Q</v>
          </cell>
          <cell r="BA12357">
            <v>42.19</v>
          </cell>
        </row>
        <row r="12358">
          <cell r="C12358" t="str">
            <v>4516 - PAINT/STAINS/WALLPAPER &amp; ACCES</v>
          </cell>
          <cell r="D12358" t="str">
            <v>PPG96-4000Q</v>
          </cell>
          <cell r="BA12358">
            <v>42.19</v>
          </cell>
        </row>
        <row r="12359">
          <cell r="C12359" t="str">
            <v>4516 - PAINT/STAINS/WALLPAPER &amp; ACCES</v>
          </cell>
          <cell r="D12359" t="str">
            <v>PPG96-5000Q</v>
          </cell>
          <cell r="BA12359">
            <v>42.19</v>
          </cell>
        </row>
        <row r="12360">
          <cell r="C12360" t="str">
            <v>4516 - PAINT/STAINS/WALLPAPER &amp; ACCES</v>
          </cell>
          <cell r="D12360" t="str">
            <v>PPG96-6000Q</v>
          </cell>
          <cell r="BA12360">
            <v>42.19</v>
          </cell>
        </row>
        <row r="12361">
          <cell r="C12361" t="str">
            <v>4516 - PAINT/STAINS/WALLPAPER &amp; ACCES</v>
          </cell>
          <cell r="D12361" t="str">
            <v>PPG96-7000Q</v>
          </cell>
          <cell r="BA12361">
            <v>42.19</v>
          </cell>
        </row>
        <row r="12362">
          <cell r="C12362" t="str">
            <v>4516 - PAINT/STAINS/WALLPAPER &amp; ACCES</v>
          </cell>
          <cell r="D12362" t="str">
            <v>PPG96-8000Q</v>
          </cell>
          <cell r="BA12362">
            <v>42.19</v>
          </cell>
        </row>
        <row r="12363">
          <cell r="C12363" t="str">
            <v>4516 - PAINT/STAINS/WALLPAPER &amp; ACCES</v>
          </cell>
          <cell r="D12363" t="str">
            <v>PPG96-12000Q</v>
          </cell>
          <cell r="BA12363">
            <v>42.19</v>
          </cell>
        </row>
        <row r="12364">
          <cell r="C12364" t="str">
            <v>4516 - PAINT/STAINS/WALLPAPER &amp; ACCES</v>
          </cell>
          <cell r="D12364" t="str">
            <v>PPG96-13000Q</v>
          </cell>
          <cell r="BA12364">
            <v>42.19</v>
          </cell>
        </row>
        <row r="12365">
          <cell r="C12365" t="str">
            <v>4516 - PAINT/STAINS/WALLPAPER &amp; ACCES</v>
          </cell>
          <cell r="D12365" t="str">
            <v>PPG96-15000Q</v>
          </cell>
          <cell r="BA12365">
            <v>42.19</v>
          </cell>
        </row>
        <row r="12366">
          <cell r="C12366" t="str">
            <v>4516 - PAINT/STAINS/WALLPAPER &amp; ACCES</v>
          </cell>
          <cell r="D12366" t="str">
            <v>PPG96-22000Q</v>
          </cell>
          <cell r="BA12366">
            <v>42.19</v>
          </cell>
        </row>
        <row r="12367">
          <cell r="C12367" t="str">
            <v>4516 - PAINT/STAINS/WALLPAPER &amp; ACCES</v>
          </cell>
          <cell r="D12367" t="str">
            <v>RUS7780830</v>
          </cell>
          <cell r="BA12367">
            <v>6.99</v>
          </cell>
        </row>
        <row r="12368">
          <cell r="C12368" t="str">
            <v>4516 - PAINT/STAINS/WALLPAPER &amp; ACCES</v>
          </cell>
          <cell r="D12368" t="str">
            <v>RU2081</v>
          </cell>
          <cell r="BA12368">
            <v>6.99</v>
          </cell>
        </row>
        <row r="12369">
          <cell r="C12369" t="str">
            <v>4516 - PAINT/STAINS/WALLPAPER &amp; ACCES</v>
          </cell>
          <cell r="D12369" t="str">
            <v>KILZ10001</v>
          </cell>
          <cell r="BA12369">
            <v>36.99</v>
          </cell>
        </row>
        <row r="12370">
          <cell r="C12370" t="str">
            <v>4516 - PAINT/STAINS/WALLPAPER &amp; ACCES</v>
          </cell>
          <cell r="D12370" t="str">
            <v>KILZ10002</v>
          </cell>
          <cell r="BA12370">
            <v>17.989999999999998</v>
          </cell>
        </row>
        <row r="12371">
          <cell r="C12371" t="str">
            <v>4516 - PAINT/STAINS/WALLPAPER &amp; ACCES</v>
          </cell>
          <cell r="D12371" t="str">
            <v>4PP30755</v>
          </cell>
          <cell r="BA12371">
            <v>6.49</v>
          </cell>
        </row>
        <row r="12372">
          <cell r="C12372" t="str">
            <v>4516 - PAINT/STAINS/WALLPAPER &amp; ACCES</v>
          </cell>
          <cell r="D12372" t="str">
            <v>RUS1901A</v>
          </cell>
          <cell r="BA12372">
            <v>44.99</v>
          </cell>
        </row>
        <row r="12373">
          <cell r="C12373" t="str">
            <v>4516 - PAINT/STAINS/WALLPAPER &amp; ACCES</v>
          </cell>
          <cell r="D12373" t="str">
            <v>12PP30756</v>
          </cell>
          <cell r="BA12373">
            <v>8.99</v>
          </cell>
        </row>
        <row r="12374">
          <cell r="C12374" t="str">
            <v>4516 - PAINT/STAINS/WALLPAPER &amp; ACCES</v>
          </cell>
          <cell r="D12374" t="str">
            <v>ZN249729</v>
          </cell>
          <cell r="BA12374">
            <v>38.99</v>
          </cell>
        </row>
        <row r="12375">
          <cell r="C12375" t="str">
            <v>4516 - PAINT/STAINS/WALLPAPER &amp; ACCES</v>
          </cell>
          <cell r="D12375" t="str">
            <v>ZN3501</v>
          </cell>
          <cell r="BA12375">
            <v>37.99</v>
          </cell>
        </row>
        <row r="12376">
          <cell r="C12376" t="str">
            <v>4516 - PAINT/STAINS/WALLPAPER &amp; ACCES</v>
          </cell>
          <cell r="D12376" t="str">
            <v>ZN3504</v>
          </cell>
          <cell r="BA12376">
            <v>19.989999999999998</v>
          </cell>
        </row>
        <row r="12377">
          <cell r="C12377" t="str">
            <v>4516 - PAINT/STAINS/WALLPAPER &amp; ACCES</v>
          </cell>
          <cell r="D12377" t="str">
            <v>ZN3608</v>
          </cell>
          <cell r="BA12377">
            <v>12.99</v>
          </cell>
        </row>
        <row r="12378">
          <cell r="C12378" t="str">
            <v>4516 - PAINT/STAINS/WALLPAPER &amp; ACCES</v>
          </cell>
          <cell r="D12378" t="str">
            <v>SK210533</v>
          </cell>
          <cell r="BA12378">
            <v>679.99</v>
          </cell>
        </row>
        <row r="12379">
          <cell r="C12379" t="str">
            <v>4516 - PAINT/STAINS/WALLPAPER &amp; ACCES</v>
          </cell>
          <cell r="D12379" t="str">
            <v>RB65251</v>
          </cell>
          <cell r="BA12379">
            <v>16.989999999999998</v>
          </cell>
        </row>
        <row r="12380">
          <cell r="C12380" t="str">
            <v>4516 - PAINT/STAINS/WALLPAPER &amp; ACCES</v>
          </cell>
          <cell r="D12380" t="str">
            <v>KILZ10004</v>
          </cell>
          <cell r="BA12380">
            <v>10.99</v>
          </cell>
        </row>
        <row r="12381">
          <cell r="C12381" t="str">
            <v>4516 - PAINT/STAINS/WALLPAPER &amp; ACCES</v>
          </cell>
          <cell r="D12381" t="str">
            <v>KILZ20941</v>
          </cell>
          <cell r="BA12381">
            <v>24.99</v>
          </cell>
        </row>
        <row r="12382">
          <cell r="C12382" t="str">
            <v>4516 - PAINT/STAINS/WALLPAPER &amp; ACCES</v>
          </cell>
          <cell r="D12382" t="str">
            <v>CAB0380G</v>
          </cell>
          <cell r="BA12382">
            <v>57.99</v>
          </cell>
        </row>
        <row r="12383">
          <cell r="C12383" t="str">
            <v>4516 - PAINT/STAINS/WALLPAPER &amp; ACCES</v>
          </cell>
          <cell r="D12383" t="str">
            <v>CAB16316G</v>
          </cell>
          <cell r="BA12383">
            <v>57.99</v>
          </cell>
        </row>
        <row r="12384">
          <cell r="C12384" t="str">
            <v>4516 - PAINT/STAINS/WALLPAPER &amp; ACCES</v>
          </cell>
          <cell r="D12384" t="str">
            <v>CAB2101G</v>
          </cell>
          <cell r="BA12384">
            <v>52.99</v>
          </cell>
        </row>
        <row r="12385">
          <cell r="C12385" t="str">
            <v>4516 - PAINT/STAINS/WALLPAPER &amp; ACCES</v>
          </cell>
          <cell r="D12385" t="str">
            <v>5GOBP</v>
          </cell>
          <cell r="BA12385">
            <v>169.99</v>
          </cell>
        </row>
        <row r="12386">
          <cell r="C12386" t="str">
            <v>4516 - PAINT/STAINS/WALLPAPER &amp; ACCES</v>
          </cell>
          <cell r="D12386" t="str">
            <v>F5ECLGA</v>
          </cell>
          <cell r="BA12386">
            <v>54.99</v>
          </cell>
        </row>
        <row r="12387">
          <cell r="C12387" t="str">
            <v>4516 - PAINT/STAINS/WALLPAPER &amp; ACCES</v>
          </cell>
          <cell r="D12387" t="str">
            <v>F5ECMGA</v>
          </cell>
          <cell r="BA12387">
            <v>54.99</v>
          </cell>
        </row>
        <row r="12388">
          <cell r="C12388" t="str">
            <v>4516 - PAINT/STAINS/WALLPAPER &amp; ACCES</v>
          </cell>
          <cell r="D12388" t="str">
            <v>F5EWRGA</v>
          </cell>
          <cell r="BA12388">
            <v>54.99</v>
          </cell>
        </row>
        <row r="12389">
          <cell r="C12389" t="str">
            <v>4516 - PAINT/STAINS/WALLPAPER &amp; ACCES</v>
          </cell>
          <cell r="D12389" t="str">
            <v>F5MCMGA</v>
          </cell>
          <cell r="BA12389">
            <v>62.99</v>
          </cell>
        </row>
        <row r="12390">
          <cell r="C12390" t="str">
            <v>4516 - PAINT/STAINS/WALLPAPER &amp; ACCES</v>
          </cell>
          <cell r="D12390" t="str">
            <v>F5MSIGA</v>
          </cell>
          <cell r="BA12390">
            <v>62.99</v>
          </cell>
        </row>
        <row r="12391">
          <cell r="C12391" t="str">
            <v>4516 - PAINT/STAINS/WALLPAPER &amp; ACCES</v>
          </cell>
          <cell r="D12391" t="str">
            <v>F5MWRGA</v>
          </cell>
          <cell r="BA12391">
            <v>62.99</v>
          </cell>
        </row>
        <row r="12392">
          <cell r="C12392" t="str">
            <v>4516 - PAINT/STAINS/WALLPAPER &amp; ACCES</v>
          </cell>
          <cell r="D12392" t="str">
            <v>PFPREMCLRG</v>
          </cell>
          <cell r="BA12392">
            <v>62.99</v>
          </cell>
        </row>
        <row r="12393">
          <cell r="C12393" t="str">
            <v>4516 - PAINT/STAINS/WALLPAPER &amp; ACCES</v>
          </cell>
          <cell r="D12393" t="str">
            <v>MNW71028</v>
          </cell>
          <cell r="BA12393">
            <v>49.99</v>
          </cell>
        </row>
        <row r="12394">
          <cell r="C12394" t="str">
            <v>4516 - PAINT/STAINS/WALLPAPER &amp; ACCES</v>
          </cell>
          <cell r="D12394" t="str">
            <v>MNW71029</v>
          </cell>
          <cell r="BA12394">
            <v>49.99</v>
          </cell>
        </row>
        <row r="12395">
          <cell r="C12395" t="str">
            <v>4516 - PAINT/STAINS/WALLPAPER &amp; ACCES</v>
          </cell>
          <cell r="D12395" t="str">
            <v>MNW71030</v>
          </cell>
          <cell r="BA12395">
            <v>49.99</v>
          </cell>
        </row>
        <row r="12396">
          <cell r="C12396" t="str">
            <v>4516 - PAINT/STAINS/WALLPAPER &amp; ACCES</v>
          </cell>
          <cell r="D12396" t="str">
            <v>MW222204444</v>
          </cell>
          <cell r="BA12396">
            <v>8.69</v>
          </cell>
        </row>
        <row r="12397">
          <cell r="C12397" t="str">
            <v>4516 - PAINT/STAINS/WALLPAPER &amp; ACCES</v>
          </cell>
          <cell r="D12397" t="str">
            <v>MNW22090</v>
          </cell>
          <cell r="BA12397">
            <v>8.69</v>
          </cell>
        </row>
        <row r="12398">
          <cell r="C12398" t="str">
            <v>4516 - PAINT/STAINS/WALLPAPER &amp; ACCES</v>
          </cell>
          <cell r="D12398" t="str">
            <v>MNW22102</v>
          </cell>
          <cell r="BA12398">
            <v>8.69</v>
          </cell>
        </row>
        <row r="12399">
          <cell r="C12399" t="str">
            <v>4516 - PAINT/STAINS/WALLPAPER &amp; ACCES</v>
          </cell>
          <cell r="D12399" t="str">
            <v>MNW22110</v>
          </cell>
          <cell r="BA12399">
            <v>8.69</v>
          </cell>
        </row>
        <row r="12400">
          <cell r="C12400" t="str">
            <v>4516 - PAINT/STAINS/WALLPAPER &amp; ACCES</v>
          </cell>
          <cell r="D12400" t="str">
            <v>MNW21512PT</v>
          </cell>
          <cell r="BA12400">
            <v>8.69</v>
          </cell>
        </row>
        <row r="12401">
          <cell r="C12401" t="str">
            <v>4516 - PAINT/STAINS/WALLPAPER &amp; ACCES</v>
          </cell>
          <cell r="D12401" t="str">
            <v>MNW22210</v>
          </cell>
          <cell r="BA12401">
            <v>8.69</v>
          </cell>
        </row>
        <row r="12402">
          <cell r="C12402" t="str">
            <v>4516 - PAINT/STAINS/WALLPAPER &amp; ACCES</v>
          </cell>
          <cell r="D12402" t="str">
            <v>MNW22230</v>
          </cell>
          <cell r="BA12402">
            <v>8.69</v>
          </cell>
        </row>
        <row r="12403">
          <cell r="C12403" t="str">
            <v>4516 - PAINT/STAINS/WALLPAPER &amp; ACCES</v>
          </cell>
          <cell r="D12403" t="str">
            <v>MNW22240</v>
          </cell>
          <cell r="BA12403">
            <v>8.69</v>
          </cell>
        </row>
        <row r="12404">
          <cell r="C12404" t="str">
            <v>4516 - PAINT/STAINS/WALLPAPER &amp; ACCES</v>
          </cell>
          <cell r="D12404" t="str">
            <v>MNW22250</v>
          </cell>
          <cell r="BA12404">
            <v>8.69</v>
          </cell>
        </row>
        <row r="12405">
          <cell r="C12405" t="str">
            <v>4516 - PAINT/STAINS/WALLPAPER &amp; ACCES</v>
          </cell>
          <cell r="D12405" t="str">
            <v>MNW22300</v>
          </cell>
          <cell r="BA12405">
            <v>8.69</v>
          </cell>
        </row>
        <row r="12406">
          <cell r="C12406" t="str">
            <v>4516 - PAINT/STAINS/WALLPAPER &amp; ACCES</v>
          </cell>
          <cell r="D12406" t="str">
            <v>MNW22350</v>
          </cell>
          <cell r="BA12406">
            <v>8.69</v>
          </cell>
        </row>
        <row r="12407">
          <cell r="C12407" t="str">
            <v>4516 - PAINT/STAINS/WALLPAPER &amp; ACCES</v>
          </cell>
          <cell r="D12407" t="str">
            <v>MNW22410</v>
          </cell>
          <cell r="BA12407">
            <v>8.69</v>
          </cell>
        </row>
        <row r="12408">
          <cell r="C12408" t="str">
            <v>4516 - PAINT/STAINS/WALLPAPER &amp; ACCES</v>
          </cell>
          <cell r="D12408" t="str">
            <v>MNW22450</v>
          </cell>
          <cell r="BA12408">
            <v>8.69</v>
          </cell>
        </row>
        <row r="12409">
          <cell r="C12409" t="str">
            <v>4516 - PAINT/STAINS/WALLPAPER &amp; ACCES</v>
          </cell>
          <cell r="D12409" t="str">
            <v>MNW22716</v>
          </cell>
          <cell r="BA12409">
            <v>8.69</v>
          </cell>
        </row>
        <row r="12410">
          <cell r="C12410" t="str">
            <v>4516 - PAINT/STAINS/WALLPAPER &amp; ACCES</v>
          </cell>
          <cell r="D12410" t="str">
            <v>MNW22718</v>
          </cell>
          <cell r="BA12410">
            <v>8.69</v>
          </cell>
        </row>
        <row r="12411">
          <cell r="C12411" t="str">
            <v>4516 - PAINT/STAINS/WALLPAPER &amp; ACCES</v>
          </cell>
          <cell r="D12411" t="str">
            <v>MNW22750</v>
          </cell>
          <cell r="BA12411">
            <v>8.69</v>
          </cell>
        </row>
        <row r="12412">
          <cell r="C12412" t="str">
            <v>4516 - PAINT/STAINS/WALLPAPER &amp; ACCES</v>
          </cell>
          <cell r="D12412" t="str">
            <v>MNW22330</v>
          </cell>
          <cell r="BA12412">
            <v>8.69</v>
          </cell>
        </row>
        <row r="12413">
          <cell r="C12413" t="str">
            <v>4516 - PAINT/STAINS/WALLPAPER &amp; ACCES</v>
          </cell>
          <cell r="D12413" t="str">
            <v>MNW61500</v>
          </cell>
          <cell r="BA12413">
            <v>19.989999999999998</v>
          </cell>
        </row>
        <row r="12414">
          <cell r="C12414" t="str">
            <v>4516 - PAINT/STAINS/WALLPAPER &amp; ACCES</v>
          </cell>
          <cell r="D12414" t="str">
            <v>MNW63205</v>
          </cell>
          <cell r="BA12414">
            <v>25.99</v>
          </cell>
        </row>
        <row r="12415">
          <cell r="C12415" t="str">
            <v>4516 - PAINT/STAINS/WALLPAPER &amp; ACCES</v>
          </cell>
          <cell r="D12415" t="str">
            <v>MNW70000</v>
          </cell>
          <cell r="BA12415">
            <v>13.99</v>
          </cell>
        </row>
        <row r="12416">
          <cell r="C12416" t="str">
            <v>4516 - PAINT/STAINS/WALLPAPER &amp; ACCES</v>
          </cell>
          <cell r="D12416" t="str">
            <v>MNW70001</v>
          </cell>
          <cell r="BA12416">
            <v>13.99</v>
          </cell>
        </row>
        <row r="12417">
          <cell r="C12417" t="str">
            <v>4516 - PAINT/STAINS/WALLPAPER &amp; ACCES</v>
          </cell>
          <cell r="D12417" t="str">
            <v>MNW70002</v>
          </cell>
          <cell r="BA12417">
            <v>13.99</v>
          </cell>
        </row>
        <row r="12418">
          <cell r="C12418" t="str">
            <v>4516 - PAINT/STAINS/WALLPAPER &amp; ACCES</v>
          </cell>
          <cell r="D12418" t="str">
            <v>MNW70040</v>
          </cell>
          <cell r="BA12418">
            <v>13.99</v>
          </cell>
        </row>
        <row r="12419">
          <cell r="C12419" t="str">
            <v>4516 - PAINT/STAINS/WALLPAPER &amp; ACCES</v>
          </cell>
          <cell r="D12419" t="str">
            <v>MNW70003</v>
          </cell>
          <cell r="BA12419">
            <v>10.99</v>
          </cell>
        </row>
        <row r="12420">
          <cell r="C12420" t="str">
            <v>4516 - PAINT/STAINS/WALLPAPER &amp; ACCES</v>
          </cell>
          <cell r="D12420" t="str">
            <v>MNW70004</v>
          </cell>
          <cell r="BA12420">
            <v>13.99</v>
          </cell>
        </row>
        <row r="12421">
          <cell r="C12421" t="str">
            <v>4516 - PAINT/STAINS/WALLPAPER &amp; ACCES</v>
          </cell>
          <cell r="D12421" t="str">
            <v>MNW70005</v>
          </cell>
          <cell r="BA12421">
            <v>13.99</v>
          </cell>
        </row>
        <row r="12422">
          <cell r="C12422" t="str">
            <v>4516 - PAINT/STAINS/WALLPAPER &amp; ACCES</v>
          </cell>
          <cell r="D12422" t="str">
            <v>MNW70006</v>
          </cell>
          <cell r="BA12422">
            <v>13.99</v>
          </cell>
        </row>
        <row r="12423">
          <cell r="C12423" t="str">
            <v>4516 - PAINT/STAINS/WALLPAPER &amp; ACCES</v>
          </cell>
          <cell r="D12423" t="str">
            <v>MNW70007</v>
          </cell>
          <cell r="BA12423">
            <v>13.99</v>
          </cell>
        </row>
        <row r="12424">
          <cell r="C12424" t="str">
            <v>4516 - PAINT/STAINS/WALLPAPER &amp; ACCES</v>
          </cell>
          <cell r="D12424" t="str">
            <v>MNW70008</v>
          </cell>
          <cell r="BA12424">
            <v>13.99</v>
          </cell>
        </row>
        <row r="12425">
          <cell r="C12425" t="str">
            <v>4516 - PAINT/STAINS/WALLPAPER &amp; ACCES</v>
          </cell>
          <cell r="D12425" t="str">
            <v>MNW70009</v>
          </cell>
          <cell r="BA12425">
            <v>13.99</v>
          </cell>
        </row>
        <row r="12426">
          <cell r="C12426" t="str">
            <v>4516 - PAINT/STAINS/WALLPAPER &amp; ACCES</v>
          </cell>
          <cell r="D12426" t="str">
            <v>MNW70010</v>
          </cell>
          <cell r="BA12426">
            <v>13.99</v>
          </cell>
        </row>
        <row r="12427">
          <cell r="C12427" t="str">
            <v>4516 - PAINT/STAINS/WALLPAPER &amp; ACCES</v>
          </cell>
          <cell r="D12427" t="str">
            <v>MNW70012</v>
          </cell>
          <cell r="BA12427">
            <v>13.99</v>
          </cell>
        </row>
        <row r="12428">
          <cell r="C12428" t="str">
            <v>4516 - PAINT/STAINS/WALLPAPER &amp; ACCES</v>
          </cell>
          <cell r="D12428" t="str">
            <v>MNW70014</v>
          </cell>
          <cell r="BA12428">
            <v>13.99</v>
          </cell>
        </row>
        <row r="12429">
          <cell r="C12429" t="str">
            <v>4516 - PAINT/STAINS/WALLPAPER &amp; ACCES</v>
          </cell>
          <cell r="D12429" t="str">
            <v>MNW63000</v>
          </cell>
          <cell r="BA12429">
            <v>15.99</v>
          </cell>
        </row>
        <row r="12430">
          <cell r="C12430" t="str">
            <v>4516 - PAINT/STAINS/WALLPAPER &amp; ACCES</v>
          </cell>
          <cell r="D12430" t="str">
            <v>MNW34444</v>
          </cell>
          <cell r="BA12430">
            <v>14.99</v>
          </cell>
        </row>
        <row r="12431">
          <cell r="C12431" t="str">
            <v>4516 - PAINT/STAINS/WALLPAPER &amp; ACCES</v>
          </cell>
          <cell r="D12431" t="str">
            <v>MNW70044</v>
          </cell>
          <cell r="BA12431">
            <v>13.99</v>
          </cell>
        </row>
        <row r="12432">
          <cell r="C12432" t="str">
            <v>4516 - PAINT/STAINS/WALLPAPER &amp; ACCES</v>
          </cell>
          <cell r="D12432" t="str">
            <v>HOW16007</v>
          </cell>
          <cell r="BA12432">
            <v>10.99</v>
          </cell>
        </row>
        <row r="12433">
          <cell r="C12433" t="str">
            <v>4516 - PAINT/STAINS/WALLPAPER &amp; ACCES</v>
          </cell>
          <cell r="D12433" t="str">
            <v>TSKM</v>
          </cell>
          <cell r="BA12433">
            <v>80.989999999999995</v>
          </cell>
        </row>
        <row r="12434">
          <cell r="C12434" t="str">
            <v>4516 - PAINT/STAINS/WALLPAPER &amp; ACCES</v>
          </cell>
          <cell r="D12434" t="str">
            <v>MNW23000</v>
          </cell>
          <cell r="BA12434">
            <v>9.99</v>
          </cell>
        </row>
        <row r="12435">
          <cell r="C12435" t="str">
            <v>4516 - PAINT/STAINS/WALLPAPER &amp; ACCES</v>
          </cell>
          <cell r="D12435" t="str">
            <v>MNW23005</v>
          </cell>
          <cell r="BA12435">
            <v>9.99</v>
          </cell>
        </row>
        <row r="12436">
          <cell r="C12436" t="str">
            <v>4516 - PAINT/STAINS/WALLPAPER &amp; ACCES</v>
          </cell>
          <cell r="D12436" t="str">
            <v>MNW23010</v>
          </cell>
          <cell r="BA12436">
            <v>9.99</v>
          </cell>
        </row>
        <row r="12437">
          <cell r="C12437" t="str">
            <v>4516 - PAINT/STAINS/WALLPAPER &amp; ACCES</v>
          </cell>
          <cell r="D12437" t="str">
            <v>MNW33050</v>
          </cell>
          <cell r="BA12437">
            <v>10.99</v>
          </cell>
        </row>
        <row r="12438">
          <cell r="C12438" t="str">
            <v>4516 - PAINT/STAINS/WALLPAPER &amp; ACCES</v>
          </cell>
          <cell r="D12438" t="str">
            <v>MNW33055</v>
          </cell>
          <cell r="BA12438">
            <v>10.99</v>
          </cell>
        </row>
        <row r="12439">
          <cell r="C12439" t="str">
            <v>4516 - PAINT/STAINS/WALLPAPER &amp; ACCES</v>
          </cell>
          <cell r="D12439" t="str">
            <v>MNW33060</v>
          </cell>
          <cell r="BA12439">
            <v>10.99</v>
          </cell>
        </row>
        <row r="12440">
          <cell r="C12440" t="str">
            <v>4516 - PAINT/STAINS/WALLPAPER &amp; ACCES</v>
          </cell>
          <cell r="D12440" t="str">
            <v>MNW33250</v>
          </cell>
          <cell r="BA12440">
            <v>13.99</v>
          </cell>
        </row>
        <row r="12441">
          <cell r="C12441" t="str">
            <v>4516 - PAINT/STAINS/WALLPAPER &amp; ACCES</v>
          </cell>
          <cell r="D12441" t="str">
            <v>MNW33260</v>
          </cell>
          <cell r="BA12441">
            <v>13.99</v>
          </cell>
        </row>
        <row r="12442">
          <cell r="C12442" t="str">
            <v>4516 - PAINT/STAINS/WALLPAPER &amp; ACCES</v>
          </cell>
          <cell r="D12442" t="str">
            <v>MW63005</v>
          </cell>
          <cell r="BA12442">
            <v>15.99</v>
          </cell>
        </row>
        <row r="12443">
          <cell r="C12443" t="str">
            <v>4516 - PAINT/STAINS/WALLPAPER &amp; ACCES</v>
          </cell>
          <cell r="D12443" t="str">
            <v>MNW63010</v>
          </cell>
          <cell r="BA12443">
            <v>15.99</v>
          </cell>
        </row>
        <row r="12444">
          <cell r="C12444" t="str">
            <v>4516 - PAINT/STAINS/WALLPAPER &amp; ACCES</v>
          </cell>
          <cell r="D12444" t="str">
            <v>MNW63200</v>
          </cell>
          <cell r="BA12444">
            <v>25.99</v>
          </cell>
        </row>
        <row r="12445">
          <cell r="C12445" t="str">
            <v>4516 - PAINT/STAINS/WALLPAPER &amp; ACCES</v>
          </cell>
          <cell r="D12445" t="str">
            <v>MNW63210</v>
          </cell>
          <cell r="BA12445">
            <v>25.99</v>
          </cell>
        </row>
        <row r="12446">
          <cell r="C12446" t="str">
            <v>4516 - PAINT/STAINS/WALLPAPER &amp; ACCES</v>
          </cell>
          <cell r="D12446" t="str">
            <v>MNW63333</v>
          </cell>
          <cell r="BA12446">
            <v>24.99</v>
          </cell>
        </row>
        <row r="12447">
          <cell r="C12447" t="str">
            <v>4516 - PAINT/STAINS/WALLPAPER &amp; ACCES</v>
          </cell>
          <cell r="D12447" t="str">
            <v>MNW64444</v>
          </cell>
          <cell r="BA12447">
            <v>24.99</v>
          </cell>
        </row>
        <row r="12448">
          <cell r="C12448" t="str">
            <v>4516 - PAINT/STAINS/WALLPAPER &amp; ACCES</v>
          </cell>
          <cell r="D12448" t="str">
            <v>MNW65555</v>
          </cell>
          <cell r="BA12448">
            <v>24.99</v>
          </cell>
        </row>
        <row r="12449">
          <cell r="C12449" t="str">
            <v>4516 - PAINT/STAINS/WALLPAPER &amp; ACCES</v>
          </cell>
          <cell r="D12449" t="str">
            <v>ZN0304</v>
          </cell>
          <cell r="BA12449">
            <v>25.99</v>
          </cell>
        </row>
        <row r="12450">
          <cell r="C12450" t="str">
            <v>4516 - PAINT/STAINS/WALLPAPER &amp; ACCES</v>
          </cell>
          <cell r="D12450" t="str">
            <v>PPGPLX010S</v>
          </cell>
          <cell r="BA12450">
            <v>9.99</v>
          </cell>
        </row>
        <row r="12451">
          <cell r="C12451" t="str">
            <v>4516 - PAINT/STAINS/WALLPAPER &amp; ACCES</v>
          </cell>
          <cell r="D12451" t="str">
            <v>PPGPLX010/04</v>
          </cell>
          <cell r="BA12451">
            <v>16.989999999999998</v>
          </cell>
        </row>
        <row r="12452">
          <cell r="C12452" t="str">
            <v>4516 - PAINT/STAINS/WALLPAPER &amp; ACCES</v>
          </cell>
          <cell r="D12452" t="str">
            <v>PPGPLX011S</v>
          </cell>
          <cell r="BA12452">
            <v>9.99</v>
          </cell>
        </row>
        <row r="12453">
          <cell r="C12453" t="str">
            <v>4516 - PAINT/STAINS/WALLPAPER &amp; ACCES</v>
          </cell>
          <cell r="D12453" t="str">
            <v>PPGPLX011/04</v>
          </cell>
          <cell r="BA12453">
            <v>16.989999999999998</v>
          </cell>
        </row>
        <row r="12454">
          <cell r="C12454" t="str">
            <v>4516 - PAINT/STAINS/WALLPAPER &amp; ACCES</v>
          </cell>
          <cell r="D12454" t="str">
            <v>PPGPLX017S</v>
          </cell>
          <cell r="BA12454">
            <v>9.99</v>
          </cell>
        </row>
        <row r="12455">
          <cell r="C12455" t="str">
            <v>4516 - PAINT/STAINS/WALLPAPER &amp; ACCES</v>
          </cell>
          <cell r="D12455" t="str">
            <v>PPGPLX015S</v>
          </cell>
          <cell r="BA12455">
            <v>14.99</v>
          </cell>
        </row>
        <row r="12456">
          <cell r="C12456" t="str">
            <v>4516 - PAINT/STAINS/WALLPAPER &amp; ACCES</v>
          </cell>
          <cell r="D12456" t="str">
            <v>LT6GLD</v>
          </cell>
          <cell r="BA12456">
            <v>3.29</v>
          </cell>
        </row>
        <row r="12457">
          <cell r="C12457" t="str">
            <v>4516 - PAINT/STAINS/WALLPAPER &amp; ACCES</v>
          </cell>
          <cell r="D12457" t="str">
            <v>LT001Q02MM050</v>
          </cell>
          <cell r="BA12457">
            <v>2.19</v>
          </cell>
        </row>
        <row r="12458">
          <cell r="C12458" t="str">
            <v>4516 - PAINT/STAINS/WALLPAPER &amp; ACCES</v>
          </cell>
          <cell r="D12458" t="str">
            <v>LT2-5Q05MM050</v>
          </cell>
          <cell r="BA12458">
            <v>2.79</v>
          </cell>
        </row>
        <row r="12459">
          <cell r="C12459" t="str">
            <v>4516 - PAINT/STAINS/WALLPAPER &amp; ACCES</v>
          </cell>
          <cell r="D12459" t="str">
            <v>EP41032</v>
          </cell>
          <cell r="BA12459">
            <v>0.74</v>
          </cell>
        </row>
        <row r="12460">
          <cell r="C12460" t="str">
            <v>4516 - PAINT/STAINS/WALLPAPER &amp; ACCES</v>
          </cell>
          <cell r="D12460" t="str">
            <v>EP61086</v>
          </cell>
          <cell r="BA12460">
            <v>2.79</v>
          </cell>
        </row>
        <row r="12461">
          <cell r="C12461" t="str">
            <v>4516 - PAINT/STAINS/WALLPAPER &amp; ACCES</v>
          </cell>
          <cell r="D12461" t="str">
            <v>LT005G01BK120</v>
          </cell>
          <cell r="BA12461">
            <v>8.99</v>
          </cell>
        </row>
        <row r="12462">
          <cell r="C12462" t="str">
            <v>4516 - PAINT/STAINS/WALLPAPER &amp; ACCES</v>
          </cell>
          <cell r="D12462" t="str">
            <v>EP1045072</v>
          </cell>
          <cell r="BA12462">
            <v>5.69</v>
          </cell>
        </row>
        <row r="12463">
          <cell r="C12463" t="str">
            <v>4516 - PAINT/STAINS/WALLPAPER &amp; ACCES</v>
          </cell>
          <cell r="D12463" t="str">
            <v>EP1045181</v>
          </cell>
          <cell r="BA12463">
            <v>4.59</v>
          </cell>
        </row>
        <row r="12464">
          <cell r="C12464" t="str">
            <v>4516 - PAINT/STAINS/WALLPAPER &amp; ACCES</v>
          </cell>
          <cell r="D12464" t="str">
            <v>MNW13407</v>
          </cell>
          <cell r="BA12464">
            <v>9.99</v>
          </cell>
        </row>
        <row r="12465">
          <cell r="C12465" t="str">
            <v>4516 - PAINT/STAINS/WALLPAPER &amp; ACCES</v>
          </cell>
          <cell r="D12465" t="str">
            <v>QLO45</v>
          </cell>
          <cell r="BA12465">
            <v>14.99</v>
          </cell>
        </row>
        <row r="12466">
          <cell r="C12466" t="str">
            <v>4516 - PAINT/STAINS/WALLPAPER &amp; ACCES</v>
          </cell>
          <cell r="D12466" t="str">
            <v>ZN2001</v>
          </cell>
          <cell r="BA12466">
            <v>29.99</v>
          </cell>
        </row>
        <row r="12467">
          <cell r="C12467" t="str">
            <v>4516 - PAINT/STAINS/WALLPAPER &amp; ACCES</v>
          </cell>
          <cell r="D12467" t="str">
            <v>ZN2004</v>
          </cell>
          <cell r="BA12467">
            <v>16.989999999999998</v>
          </cell>
        </row>
        <row r="12468">
          <cell r="C12468" t="str">
            <v>4516 - PAINT/STAINS/WALLPAPER &amp; ACCES</v>
          </cell>
          <cell r="D12468" t="str">
            <v>ZN2008</v>
          </cell>
          <cell r="BA12468">
            <v>9.99</v>
          </cell>
        </row>
        <row r="12469">
          <cell r="C12469" t="str">
            <v>4516 - PAINT/STAINS/WALLPAPER &amp; ACCES</v>
          </cell>
          <cell r="D12469" t="str">
            <v>SSZC02</v>
          </cell>
          <cell r="BA12469">
            <v>25.99</v>
          </cell>
        </row>
        <row r="12470">
          <cell r="C12470" t="str">
            <v>4516 - PAINT/STAINS/WALLPAPER &amp; ACCES</v>
          </cell>
          <cell r="D12470" t="str">
            <v>RUS1801838</v>
          </cell>
          <cell r="BA12470">
            <v>9.99</v>
          </cell>
        </row>
        <row r="12471">
          <cell r="C12471" t="str">
            <v>4516 - PAINT/STAINS/WALLPAPER &amp; ACCES</v>
          </cell>
          <cell r="D12471" t="str">
            <v>RUS7754830</v>
          </cell>
          <cell r="BA12471">
            <v>6.99</v>
          </cell>
        </row>
        <row r="12472">
          <cell r="C12472" t="str">
            <v>4516 - PAINT/STAINS/WALLPAPER &amp; ACCES</v>
          </cell>
          <cell r="D12472" t="str">
            <v>3M77-07</v>
          </cell>
          <cell r="BA12472">
            <v>9.99</v>
          </cell>
        </row>
        <row r="12473">
          <cell r="C12473" t="str">
            <v>4516 - PAINT/STAINS/WALLPAPER &amp; ACCES</v>
          </cell>
          <cell r="D12473" t="str">
            <v>LOC1395391</v>
          </cell>
          <cell r="BA12473">
            <v>4.79</v>
          </cell>
        </row>
        <row r="12474">
          <cell r="C12474" t="str">
            <v>4516 - PAINT/STAINS/WALLPAPER &amp; ACCES</v>
          </cell>
          <cell r="D12474" t="str">
            <v>EP00560</v>
          </cell>
          <cell r="BA12474">
            <v>6.99</v>
          </cell>
        </row>
        <row r="12475">
          <cell r="C12475" t="str">
            <v>4516 - PAINT/STAINS/WALLPAPER &amp; ACCES</v>
          </cell>
          <cell r="D12475" t="str">
            <v>RO11051</v>
          </cell>
          <cell r="BA12475">
            <v>69.989999999999995</v>
          </cell>
        </row>
        <row r="12476">
          <cell r="C12476" t="str">
            <v>4516 - PAINT/STAINS/WALLPAPER &amp; ACCES</v>
          </cell>
          <cell r="D12476" t="str">
            <v>LN-950</v>
          </cell>
          <cell r="BA12476">
            <v>5.69</v>
          </cell>
        </row>
        <row r="12477">
          <cell r="C12477" t="str">
            <v>4516 - PAINT/STAINS/WALLPAPER &amp; ACCES</v>
          </cell>
          <cell r="D12477" t="str">
            <v>ST90301</v>
          </cell>
          <cell r="BA12477">
            <v>38.29</v>
          </cell>
        </row>
        <row r="12478">
          <cell r="C12478" t="str">
            <v>4516 - PAINT/STAINS/WALLPAPER &amp; ACCES</v>
          </cell>
          <cell r="D12478" t="str">
            <v>GC3070</v>
          </cell>
          <cell r="BA12478">
            <v>31.99</v>
          </cell>
        </row>
        <row r="12479">
          <cell r="C12479" t="str">
            <v>4516 - PAINT/STAINS/WALLPAPER &amp; ACCES</v>
          </cell>
          <cell r="D12479" t="str">
            <v>PPG769-10G</v>
          </cell>
          <cell r="BA12479">
            <v>56.99</v>
          </cell>
        </row>
        <row r="12480">
          <cell r="C12480" t="str">
            <v>4516 - PAINT/STAINS/WALLPAPER &amp; ACCES</v>
          </cell>
          <cell r="D12480" t="str">
            <v>PPG769-105G</v>
          </cell>
          <cell r="BA12480">
            <v>274.99</v>
          </cell>
        </row>
        <row r="12481">
          <cell r="C12481" t="str">
            <v>4516 - PAINT/STAINS/WALLPAPER &amp; ACCES</v>
          </cell>
          <cell r="D12481" t="str">
            <v>PPG769-20G</v>
          </cell>
          <cell r="BA12481">
            <v>53.49</v>
          </cell>
        </row>
        <row r="12482">
          <cell r="C12482" t="str">
            <v>4516 - PAINT/STAINS/WALLPAPER &amp; ACCES</v>
          </cell>
          <cell r="D12482" t="str">
            <v>PPG769-205G</v>
          </cell>
          <cell r="BA12482">
            <v>205.99</v>
          </cell>
        </row>
        <row r="12483">
          <cell r="C12483" t="str">
            <v>4516 - PAINT/STAINS/WALLPAPER &amp; ACCES</v>
          </cell>
          <cell r="D12483" t="str">
            <v>PPG769-40G</v>
          </cell>
          <cell r="BA12483">
            <v>51.49</v>
          </cell>
        </row>
        <row r="12484">
          <cell r="C12484" t="str">
            <v>4516 - PAINT/STAINS/WALLPAPER &amp; ACCES</v>
          </cell>
          <cell r="D12484" t="str">
            <v>PPG769-405G</v>
          </cell>
          <cell r="BA12484">
            <v>261.99</v>
          </cell>
        </row>
        <row r="12485">
          <cell r="C12485" t="str">
            <v>4516 - PAINT/STAINS/WALLPAPER &amp; ACCES</v>
          </cell>
          <cell r="D12485" t="str">
            <v>PPG72-110XI/01</v>
          </cell>
          <cell r="BA12485">
            <v>31.59</v>
          </cell>
        </row>
        <row r="12486">
          <cell r="C12486" t="str">
            <v>4516 - PAINT/STAINS/WALLPAPER &amp; ACCES</v>
          </cell>
          <cell r="D12486" t="str">
            <v>PPG76-110XI/01G</v>
          </cell>
          <cell r="BA12486">
            <v>34.79</v>
          </cell>
        </row>
        <row r="12487">
          <cell r="C12487" t="str">
            <v>4516 - PAINT/STAINS/WALLPAPER &amp; ACCES</v>
          </cell>
          <cell r="D12487" t="str">
            <v>PPG76-110XI/04</v>
          </cell>
          <cell r="BA12487">
            <v>15.49</v>
          </cell>
        </row>
        <row r="12488">
          <cell r="C12488" t="str">
            <v>4516 - PAINT/STAINS/WALLPAPER &amp; ACCES</v>
          </cell>
          <cell r="D12488" t="str">
            <v>PPG76-110XI/05G</v>
          </cell>
          <cell r="BA12488">
            <v>167.99</v>
          </cell>
        </row>
        <row r="12489">
          <cell r="C12489" t="str">
            <v>4516 - PAINT/STAINS/WALLPAPER &amp; ACCES</v>
          </cell>
          <cell r="D12489" t="str">
            <v>PPG76-1500XI/01G</v>
          </cell>
          <cell r="BA12489">
            <v>34.39</v>
          </cell>
        </row>
        <row r="12490">
          <cell r="C12490" t="str">
            <v>4516 - PAINT/STAINS/WALLPAPER &amp; ACCES</v>
          </cell>
          <cell r="D12490" t="str">
            <v>PPG76-1500XI/04</v>
          </cell>
          <cell r="BA12490">
            <v>14.49</v>
          </cell>
        </row>
        <row r="12491">
          <cell r="C12491" t="str">
            <v>4516 - PAINT/STAINS/WALLPAPER &amp; ACCES</v>
          </cell>
          <cell r="D12491" t="str">
            <v>PPG76-1500XI/05G</v>
          </cell>
          <cell r="BA12491">
            <v>162.99</v>
          </cell>
        </row>
        <row r="12492">
          <cell r="C12492" t="str">
            <v>4516 - PAINT/STAINS/WALLPAPER &amp; ACCES</v>
          </cell>
          <cell r="D12492" t="str">
            <v>PPG76-3000XI/01G</v>
          </cell>
          <cell r="BA12492">
            <v>32.79</v>
          </cell>
        </row>
        <row r="12493">
          <cell r="C12493" t="str">
            <v>4516 - PAINT/STAINS/WALLPAPER &amp; ACCES</v>
          </cell>
          <cell r="D12493" t="str">
            <v>PPG76-300XI/04</v>
          </cell>
          <cell r="BA12493">
            <v>13.39</v>
          </cell>
        </row>
        <row r="12494">
          <cell r="C12494" t="str">
            <v>4516 - PAINT/STAINS/WALLPAPER &amp; ACCES</v>
          </cell>
          <cell r="D12494" t="str">
            <v>PPG76-3000XI/05G</v>
          </cell>
          <cell r="BA12494">
            <v>154.99</v>
          </cell>
        </row>
        <row r="12495">
          <cell r="C12495" t="str">
            <v>4516 - PAINT/STAINS/WALLPAPER &amp; ACCES</v>
          </cell>
          <cell r="D12495" t="str">
            <v>PPG76-45XI/01</v>
          </cell>
          <cell r="BA12495">
            <v>40.29</v>
          </cell>
        </row>
        <row r="12496">
          <cell r="C12496" t="str">
            <v>4516 - PAINT/STAINS/WALLPAPER &amp; ACCES</v>
          </cell>
          <cell r="D12496" t="str">
            <v>PPG76-45XI/04</v>
          </cell>
          <cell r="BA12496">
            <v>17.690000000000001</v>
          </cell>
        </row>
        <row r="12497">
          <cell r="C12497" t="str">
            <v>4516 - PAINT/STAINS/WALLPAPER &amp; ACCES</v>
          </cell>
          <cell r="D12497" t="str">
            <v>PPG76-45XI/05</v>
          </cell>
          <cell r="BA12497">
            <v>202.99</v>
          </cell>
        </row>
        <row r="12498">
          <cell r="C12498" t="str">
            <v>4516 - PAINT/STAINS/WALLPAPER &amp; ACCES</v>
          </cell>
          <cell r="D12498" t="str">
            <v>PPG78-300XI/01G</v>
          </cell>
          <cell r="BA12498">
            <v>34.69</v>
          </cell>
        </row>
        <row r="12499">
          <cell r="C12499" t="str">
            <v>4516 - PAINT/STAINS/WALLPAPER &amp; ACCES</v>
          </cell>
          <cell r="D12499" t="str">
            <v>PPG78-300XI/04</v>
          </cell>
          <cell r="BA12499">
            <v>14.49</v>
          </cell>
        </row>
        <row r="12500">
          <cell r="C12500" t="str">
            <v>4516 - PAINT/STAINS/WALLPAPER &amp; ACCES</v>
          </cell>
          <cell r="D12500" t="str">
            <v>PPG78-45XI/04</v>
          </cell>
          <cell r="BA12500">
            <v>17.690000000000001</v>
          </cell>
        </row>
        <row r="12501">
          <cell r="C12501" t="str">
            <v>4516 - PAINT/STAINS/WALLPAPER &amp; ACCES</v>
          </cell>
          <cell r="D12501" t="str">
            <v>PPG78-811XI/01G</v>
          </cell>
          <cell r="BA12501">
            <v>33.79</v>
          </cell>
        </row>
        <row r="12502">
          <cell r="C12502" t="str">
            <v>4516 - PAINT/STAINS/WALLPAPER &amp; ACCES</v>
          </cell>
          <cell r="D12502" t="str">
            <v>PPG78-811XI-04</v>
          </cell>
          <cell r="BA12502">
            <v>18.09</v>
          </cell>
        </row>
        <row r="12503">
          <cell r="C12503" t="str">
            <v>4516 - PAINT/STAINS/WALLPAPER &amp; ACCES</v>
          </cell>
          <cell r="D12503" t="str">
            <v>PPG78-815XI/01G</v>
          </cell>
          <cell r="BA12503">
            <v>32.49</v>
          </cell>
        </row>
        <row r="12504">
          <cell r="C12504" t="str">
            <v>4516 - PAINT/STAINS/WALLPAPER &amp; ACCES</v>
          </cell>
          <cell r="D12504" t="str">
            <v>PPG78-815XI/04</v>
          </cell>
          <cell r="BA12504">
            <v>17.190000000000001</v>
          </cell>
        </row>
        <row r="12505">
          <cell r="C12505" t="str">
            <v>4516 - PAINT/STAINS/WALLPAPER &amp; ACCES</v>
          </cell>
          <cell r="D12505" t="str">
            <v>PPGDP58111</v>
          </cell>
          <cell r="BA12505">
            <v>0.01</v>
          </cell>
        </row>
        <row r="12506">
          <cell r="C12506" t="str">
            <v>4516 - PAINT/STAINS/WALLPAPER &amp; ACCES</v>
          </cell>
          <cell r="D12506" t="str">
            <v>RGP5357</v>
          </cell>
          <cell r="BA12506">
            <v>26.59</v>
          </cell>
        </row>
        <row r="12507">
          <cell r="C12507" t="str">
            <v>4516 - PAINT/STAINS/WALLPAPER &amp; ACCES</v>
          </cell>
          <cell r="D12507" t="str">
            <v>RGP5451</v>
          </cell>
          <cell r="BA12507">
            <v>31.19</v>
          </cell>
        </row>
        <row r="12508">
          <cell r="C12508" t="str">
            <v>4516 - PAINT/STAINS/WALLPAPER &amp; ACCES</v>
          </cell>
          <cell r="D12508" t="str">
            <v>DP7051Q</v>
          </cell>
          <cell r="BA12508">
            <v>8.39</v>
          </cell>
        </row>
        <row r="12509">
          <cell r="C12509" t="str">
            <v>4516 - PAINT/STAINS/WALLPAPER &amp; ACCES</v>
          </cell>
          <cell r="D12509" t="str">
            <v>DP58153</v>
          </cell>
          <cell r="BA12509">
            <v>13.79</v>
          </cell>
        </row>
        <row r="12510">
          <cell r="C12510" t="str">
            <v>4516 - PAINT/STAINS/WALLPAPER &amp; ACCES</v>
          </cell>
          <cell r="D12510" t="str">
            <v>PPG37154</v>
          </cell>
          <cell r="BA12510">
            <v>2.4900000000000002</v>
          </cell>
        </row>
        <row r="12511">
          <cell r="C12511" t="str">
            <v>4516 - PAINT/STAINS/WALLPAPER &amp; ACCES</v>
          </cell>
          <cell r="D12511" t="str">
            <v>PPG37153</v>
          </cell>
          <cell r="BA12511">
            <v>5.89</v>
          </cell>
        </row>
        <row r="12512">
          <cell r="C12512" t="str">
            <v>4516 - PAINT/STAINS/WALLPAPER &amp; ACCES</v>
          </cell>
          <cell r="D12512" t="str">
            <v>DRW664-93XI</v>
          </cell>
          <cell r="BA12512">
            <v>25.99</v>
          </cell>
        </row>
        <row r="12513">
          <cell r="C12513" t="str">
            <v>4516 - PAINT/STAINS/WALLPAPER &amp; ACCES</v>
          </cell>
          <cell r="D12513" t="str">
            <v>DRW664-93XI-QT</v>
          </cell>
          <cell r="BA12513">
            <v>12.39</v>
          </cell>
        </row>
        <row r="12514">
          <cell r="C12514" t="str">
            <v>4516 - PAINT/STAINS/WALLPAPER &amp; ACCES</v>
          </cell>
          <cell r="D12514" t="str">
            <v>DRW664-95XI-QT</v>
          </cell>
          <cell r="BA12514">
            <v>11.89</v>
          </cell>
        </row>
        <row r="12515">
          <cell r="C12515" t="str">
            <v>4516 - PAINT/STAINS/WALLPAPER &amp; ACCES</v>
          </cell>
          <cell r="D12515" t="str">
            <v>CETOL07723</v>
          </cell>
          <cell r="BA12515">
            <v>119.99</v>
          </cell>
        </row>
        <row r="12516">
          <cell r="C12516" t="str">
            <v>4516 - PAINT/STAINS/WALLPAPER &amp; ACCES</v>
          </cell>
          <cell r="D12516" t="str">
            <v>PPGSIK420775G</v>
          </cell>
          <cell r="BA12516">
            <v>629.99</v>
          </cell>
        </row>
        <row r="12517">
          <cell r="C12517" t="str">
            <v>4516 - PAINT/STAINS/WALLPAPER &amp; ACCES</v>
          </cell>
          <cell r="D12517" t="str">
            <v>PPGYOXIDE</v>
          </cell>
          <cell r="BA12517">
            <v>37.090000000000003</v>
          </cell>
        </row>
        <row r="12518">
          <cell r="C12518" t="str">
            <v>4516 - PAINT/STAINS/WALLPAPER &amp; ACCES</v>
          </cell>
          <cell r="D12518" t="str">
            <v>PPGTGRN</v>
          </cell>
          <cell r="BA12518">
            <v>43.89</v>
          </cell>
        </row>
        <row r="12519">
          <cell r="C12519" t="str">
            <v>4516 - PAINT/STAINS/WALLPAPER &amp; ACCES</v>
          </cell>
          <cell r="D12519" t="str">
            <v>PPGTBLUE</v>
          </cell>
          <cell r="BA12519">
            <v>39.19</v>
          </cell>
        </row>
        <row r="12520">
          <cell r="C12520" t="str">
            <v>4516 - PAINT/STAINS/WALLPAPER &amp; ACCES</v>
          </cell>
          <cell r="D12520" t="str">
            <v>PPGREDIRON</v>
          </cell>
          <cell r="BA12520">
            <v>47.39</v>
          </cell>
        </row>
        <row r="12521">
          <cell r="C12521" t="str">
            <v>4516 - PAINT/STAINS/WALLPAPER &amp; ACCES</v>
          </cell>
          <cell r="D12521" t="str">
            <v>PPGDYELLOW</v>
          </cell>
          <cell r="BA12521">
            <v>43.89</v>
          </cell>
        </row>
        <row r="12522">
          <cell r="C12522" t="str">
            <v>4516 - PAINT/STAINS/WALLPAPER &amp; ACCES</v>
          </cell>
          <cell r="D12522" t="str">
            <v>PPGRUMBER</v>
          </cell>
          <cell r="BA12522">
            <v>38.29</v>
          </cell>
        </row>
        <row r="12523">
          <cell r="C12523" t="str">
            <v>4516 - PAINT/STAINS/WALLPAPER &amp; ACCES</v>
          </cell>
          <cell r="D12523" t="str">
            <v>PPGDRED</v>
          </cell>
          <cell r="BA12523">
            <v>65.489999999999995</v>
          </cell>
        </row>
        <row r="12524">
          <cell r="C12524" t="str">
            <v>4516 - PAINT/STAINS/WALLPAPER &amp; ACCES</v>
          </cell>
          <cell r="D12524" t="str">
            <v>PPGQVIOLET</v>
          </cell>
          <cell r="BA12524">
            <v>63.99</v>
          </cell>
        </row>
        <row r="12525">
          <cell r="C12525" t="str">
            <v>4516 - PAINT/STAINS/WALLPAPER &amp; ACCES</v>
          </cell>
          <cell r="D12525" t="str">
            <v>PPGTWHT</v>
          </cell>
          <cell r="BA12525">
            <v>37.090000000000003</v>
          </cell>
        </row>
        <row r="12526">
          <cell r="C12526" t="str">
            <v>4516 - PAINT/STAINS/WALLPAPER &amp; ACCES</v>
          </cell>
          <cell r="D12526" t="str">
            <v>H827655</v>
          </cell>
          <cell r="BA12526">
            <v>99.99</v>
          </cell>
        </row>
        <row r="12527">
          <cell r="C12527" t="str">
            <v>4516 - PAINT/STAINS/WALLPAPER &amp; ACCES</v>
          </cell>
          <cell r="D12527" t="str">
            <v>XIM11461</v>
          </cell>
          <cell r="BA12527">
            <v>60.49</v>
          </cell>
        </row>
        <row r="12528">
          <cell r="C12528" t="str">
            <v>4516 - PAINT/STAINS/WALLPAPER &amp; ACCES</v>
          </cell>
          <cell r="D12528" t="str">
            <v>GCDK66B</v>
          </cell>
          <cell r="BA12528">
            <v>27.59</v>
          </cell>
        </row>
        <row r="12529">
          <cell r="C12529" t="str">
            <v>4516 - PAINT/STAINS/WALLPAPER &amp; ACCES</v>
          </cell>
          <cell r="D12529" t="str">
            <v>DALY13080</v>
          </cell>
          <cell r="BA12529">
            <v>19.79</v>
          </cell>
        </row>
        <row r="12530">
          <cell r="C12530" t="str">
            <v>4516 - PAINT/STAINS/WALLPAPER &amp; ACCES</v>
          </cell>
          <cell r="D12530" t="str">
            <v>DW17190</v>
          </cell>
          <cell r="BA12530">
            <v>16.39</v>
          </cell>
        </row>
        <row r="12531">
          <cell r="C12531" t="str">
            <v>4516 - PAINT/STAINS/WALLPAPER &amp; ACCES</v>
          </cell>
          <cell r="D12531" t="str">
            <v>DALY17490</v>
          </cell>
          <cell r="BA12531">
            <v>10.19</v>
          </cell>
        </row>
        <row r="12532">
          <cell r="C12532" t="str">
            <v>4516 - PAINT/STAINS/WALLPAPER &amp; ACCES</v>
          </cell>
          <cell r="D12532" t="str">
            <v>DALYKWT12PK</v>
          </cell>
          <cell r="BA12532">
            <v>4.49</v>
          </cell>
        </row>
        <row r="12533">
          <cell r="C12533" t="str">
            <v>4516 - PAINT/STAINS/WALLPAPER &amp; ACCES</v>
          </cell>
          <cell r="D12533" t="str">
            <v>PPGDW66400Q</v>
          </cell>
          <cell r="BA12533">
            <v>15.29</v>
          </cell>
        </row>
        <row r="12534">
          <cell r="C12534" t="str">
            <v>4516 - PAINT/STAINS/WALLPAPER &amp; ACCES</v>
          </cell>
          <cell r="D12534" t="str">
            <v>PPGDW66895Q</v>
          </cell>
          <cell r="BA12534">
            <v>12.59</v>
          </cell>
        </row>
        <row r="12535">
          <cell r="C12535" t="str">
            <v>4516 - PAINT/STAINS/WALLPAPER &amp; ACCES</v>
          </cell>
          <cell r="D12535" t="str">
            <v>PPG7-801G</v>
          </cell>
          <cell r="BA12535">
            <v>69.989999999999995</v>
          </cell>
        </row>
        <row r="12536">
          <cell r="C12536" t="str">
            <v>4516 - PAINT/STAINS/WALLPAPER &amp; ACCES</v>
          </cell>
          <cell r="D12536" t="str">
            <v>PI389768</v>
          </cell>
          <cell r="BA12536">
            <v>29.89</v>
          </cell>
        </row>
        <row r="12537">
          <cell r="C12537" t="str">
            <v>4516 - PAINT/STAINS/WALLPAPER &amp; ACCES</v>
          </cell>
          <cell r="D12537" t="str">
            <v>PI00338323</v>
          </cell>
          <cell r="BA12537">
            <v>49.99</v>
          </cell>
        </row>
        <row r="12538">
          <cell r="C12538" t="str">
            <v>4516 - PAINT/STAINS/WALLPAPER &amp; ACCES</v>
          </cell>
          <cell r="D12538" t="str">
            <v>PPG98-58Q</v>
          </cell>
          <cell r="BA12538">
            <v>17.89</v>
          </cell>
        </row>
        <row r="12539">
          <cell r="C12539" t="str">
            <v>4516 - PAINT/STAINS/WALLPAPER &amp; ACCES</v>
          </cell>
          <cell r="D12539" t="str">
            <v>PPG52120-01</v>
          </cell>
          <cell r="BA12539">
            <v>14.59</v>
          </cell>
        </row>
        <row r="12540">
          <cell r="C12540" t="str">
            <v>4516 - PAINT/STAINS/WALLPAPER &amp; ACCES</v>
          </cell>
          <cell r="D12540" t="str">
            <v>PPG1413</v>
          </cell>
          <cell r="BA12540">
            <v>1.79</v>
          </cell>
        </row>
        <row r="12541">
          <cell r="C12541" t="str">
            <v>4516 - PAINT/STAINS/WALLPAPER &amp; ACCES</v>
          </cell>
          <cell r="D12541" t="str">
            <v>PPG1414X</v>
          </cell>
          <cell r="BA12541">
            <v>2.89</v>
          </cell>
        </row>
        <row r="12542">
          <cell r="C12542" t="str">
            <v>4516 - PAINT/STAINS/WALLPAPER &amp; ACCES</v>
          </cell>
          <cell r="D12542" t="str">
            <v>PPG1418</v>
          </cell>
          <cell r="BA12542">
            <v>4.49</v>
          </cell>
        </row>
        <row r="12543">
          <cell r="C12543" t="str">
            <v>4516 - PAINT/STAINS/WALLPAPER &amp; ACCES</v>
          </cell>
          <cell r="D12543" t="str">
            <v>PPG1418S</v>
          </cell>
          <cell r="BA12543">
            <v>4.6900000000000004</v>
          </cell>
        </row>
        <row r="12544">
          <cell r="C12544" t="str">
            <v>4516 - PAINT/STAINS/WALLPAPER &amp; ACCES</v>
          </cell>
          <cell r="D12544" t="str">
            <v>PPG1418D</v>
          </cell>
          <cell r="BA12544">
            <v>4.79</v>
          </cell>
        </row>
        <row r="12545">
          <cell r="C12545" t="str">
            <v>4516 - PAINT/STAINS/WALLPAPER &amp; ACCES</v>
          </cell>
          <cell r="D12545" t="str">
            <v>EM00520</v>
          </cell>
          <cell r="BA12545">
            <v>7.09</v>
          </cell>
        </row>
        <row r="12546">
          <cell r="C12546" t="str">
            <v>4516 - PAINT/STAINS/WALLPAPER &amp; ACCES</v>
          </cell>
          <cell r="D12546" t="str">
            <v>EM00530</v>
          </cell>
          <cell r="BA12546">
            <v>7.69</v>
          </cell>
        </row>
        <row r="12547">
          <cell r="C12547" t="str">
            <v>4516 - PAINT/STAINS/WALLPAPER &amp; ACCES</v>
          </cell>
          <cell r="D12547" t="str">
            <v>PPG64115</v>
          </cell>
          <cell r="BA12547">
            <v>107.99</v>
          </cell>
        </row>
        <row r="12548">
          <cell r="C12548" t="str">
            <v>4516 - PAINT/STAINS/WALLPAPER &amp; ACCES</v>
          </cell>
          <cell r="D12548" t="str">
            <v>PPGGLBFEX10BL/01</v>
          </cell>
          <cell r="BA12548">
            <v>29.99</v>
          </cell>
        </row>
        <row r="12549">
          <cell r="C12549" t="str">
            <v>4516 - PAINT/STAINS/WALLPAPER &amp; ACCES</v>
          </cell>
          <cell r="D12549" t="str">
            <v>PPGPP13XI/04</v>
          </cell>
          <cell r="BA12549">
            <v>7.29</v>
          </cell>
        </row>
        <row r="12550">
          <cell r="C12550" t="str">
            <v>4516 - PAINT/STAINS/WALLPAPER &amp; ACCES</v>
          </cell>
          <cell r="D12550" t="str">
            <v>PPGPP18XI/04</v>
          </cell>
          <cell r="BA12550">
            <v>8.59</v>
          </cell>
        </row>
        <row r="12551">
          <cell r="C12551" t="str">
            <v>4516 - PAINT/STAINS/WALLPAPER &amp; ACCES</v>
          </cell>
          <cell r="D12551" t="str">
            <v>PPGPP15XI/04</v>
          </cell>
          <cell r="BA12551">
            <v>9.59</v>
          </cell>
        </row>
        <row r="12552">
          <cell r="C12552" t="str">
            <v>4516 - PAINT/STAINS/WALLPAPER &amp; ACCES</v>
          </cell>
          <cell r="D12552" t="str">
            <v>PPGGLWP31WB/05</v>
          </cell>
          <cell r="BA12552">
            <v>149.99</v>
          </cell>
        </row>
        <row r="12553">
          <cell r="C12553" t="str">
            <v>4516 - PAINT/STAINS/WALLPAPER &amp; ACCES</v>
          </cell>
          <cell r="D12553" t="str">
            <v>PPGGLWP31WB/01</v>
          </cell>
          <cell r="BA12553">
            <v>39.99</v>
          </cell>
        </row>
        <row r="12554">
          <cell r="C12554" t="str">
            <v>4516 - PAINT/STAINS/WALLPAPER &amp; ACCES</v>
          </cell>
          <cell r="D12554" t="str">
            <v>PPGGLWP31MB/05</v>
          </cell>
          <cell r="BA12554">
            <v>109.99</v>
          </cell>
        </row>
        <row r="12555">
          <cell r="C12555" t="str">
            <v>4516 - PAINT/STAINS/WALLPAPER &amp; ACCES</v>
          </cell>
          <cell r="D12555" t="str">
            <v>PPGGLWP31MB/01</v>
          </cell>
          <cell r="BA12555">
            <v>22.99</v>
          </cell>
        </row>
        <row r="12556">
          <cell r="C12556" t="str">
            <v>4516 - PAINT/STAINS/WALLPAPER &amp; ACCES</v>
          </cell>
          <cell r="D12556" t="str">
            <v>PPGGLWP31DB/01</v>
          </cell>
          <cell r="BA12556">
            <v>22.29</v>
          </cell>
        </row>
        <row r="12557">
          <cell r="C12557" t="str">
            <v>4516 - PAINT/STAINS/WALLPAPER &amp; ACCES</v>
          </cell>
          <cell r="D12557" t="str">
            <v>PPGGLWP32WB/05</v>
          </cell>
          <cell r="BA12557">
            <v>169.99</v>
          </cell>
        </row>
        <row r="12558">
          <cell r="C12558" t="str">
            <v>4516 - PAINT/STAINS/WALLPAPER &amp; ACCES</v>
          </cell>
          <cell r="D12558" t="str">
            <v>PPGGLWP32WB/01</v>
          </cell>
          <cell r="BA12558">
            <v>39.99</v>
          </cell>
        </row>
        <row r="12559">
          <cell r="C12559" t="str">
            <v>4516 - PAINT/STAINS/WALLPAPER &amp; ACCES</v>
          </cell>
          <cell r="D12559" t="str">
            <v>PPG4110XI/01</v>
          </cell>
          <cell r="BA12559">
            <v>51.99</v>
          </cell>
        </row>
        <row r="12560">
          <cell r="C12560" t="str">
            <v>4516 - PAINT/STAINS/WALLPAPER &amp; ACCES</v>
          </cell>
          <cell r="D12560" t="str">
            <v>PPG4139-40/04</v>
          </cell>
          <cell r="BA12560">
            <v>15.29</v>
          </cell>
        </row>
        <row r="12561">
          <cell r="C12561" t="str">
            <v>4516 - PAINT/STAINS/WALLPAPER &amp; ACCES</v>
          </cell>
          <cell r="D12561" t="str">
            <v>PPG4139-40/01</v>
          </cell>
          <cell r="BA12561">
            <v>47.29</v>
          </cell>
        </row>
        <row r="12562">
          <cell r="C12562" t="str">
            <v>4516 - PAINT/STAINS/WALLPAPER &amp; ACCES</v>
          </cell>
          <cell r="D12562" t="str">
            <v>PPG4139-20/01</v>
          </cell>
          <cell r="BA12562">
            <v>50.99</v>
          </cell>
        </row>
        <row r="12563">
          <cell r="C12563" t="str">
            <v>4516 - PAINT/STAINS/WALLPAPER &amp; ACCES</v>
          </cell>
          <cell r="D12563" t="str">
            <v>PPG4139-10/01</v>
          </cell>
          <cell r="BA12563">
            <v>51.99</v>
          </cell>
        </row>
        <row r="12564">
          <cell r="C12564" t="str">
            <v>4516 - PAINT/STAINS/WALLPAPER &amp; ACCES</v>
          </cell>
          <cell r="D12564" t="str">
            <v>PPG39-120/01</v>
          </cell>
          <cell r="BA12564">
            <v>29.89</v>
          </cell>
        </row>
        <row r="12565">
          <cell r="C12565" t="str">
            <v>4516 - PAINT/STAINS/WALLPAPER &amp; ACCES</v>
          </cell>
          <cell r="D12565" t="str">
            <v>PPG39-420/01</v>
          </cell>
          <cell r="BA12565">
            <v>31.59</v>
          </cell>
        </row>
        <row r="12566">
          <cell r="C12566" t="str">
            <v>4516 - PAINT/STAINS/WALLPAPER &amp; ACCES</v>
          </cell>
          <cell r="D12566" t="str">
            <v>PPG39-510/04</v>
          </cell>
          <cell r="BA12566">
            <v>17.690000000000001</v>
          </cell>
        </row>
        <row r="12567">
          <cell r="C12567" t="str">
            <v>4516 - PAINT/STAINS/WALLPAPER &amp; ACCES</v>
          </cell>
          <cell r="D12567" t="str">
            <v>PPG39-540/01</v>
          </cell>
          <cell r="BA12567">
            <v>36.29</v>
          </cell>
        </row>
        <row r="12568">
          <cell r="C12568" t="str">
            <v>4516 - PAINT/STAINS/WALLPAPER &amp; ACCES</v>
          </cell>
          <cell r="D12568" t="str">
            <v>PPG39-550/01</v>
          </cell>
          <cell r="BA12568">
            <v>38.99</v>
          </cell>
        </row>
        <row r="12569">
          <cell r="C12569" t="str">
            <v>4516 - PAINT/STAINS/WALLPAPER &amp; ACCES</v>
          </cell>
          <cell r="D12569" t="str">
            <v>PPG95506Q</v>
          </cell>
          <cell r="BA12569">
            <v>29.39</v>
          </cell>
        </row>
        <row r="12570">
          <cell r="C12570" t="str">
            <v>4516 - PAINT/STAINS/WALLPAPER &amp; ACCES</v>
          </cell>
          <cell r="D12570" t="str">
            <v>PPG95501G</v>
          </cell>
          <cell r="BA12570">
            <v>84.99</v>
          </cell>
        </row>
        <row r="12571">
          <cell r="C12571" t="str">
            <v>4516 - PAINT/STAINS/WALLPAPER &amp; ACCES</v>
          </cell>
          <cell r="D12571" t="str">
            <v>PPG95-502/01</v>
          </cell>
          <cell r="BA12571">
            <v>89.49</v>
          </cell>
        </row>
        <row r="12572">
          <cell r="C12572" t="str">
            <v>4516 - PAINT/STAINS/WALLPAPER &amp; ACCES</v>
          </cell>
          <cell r="D12572" t="str">
            <v>PPG6-2/01</v>
          </cell>
          <cell r="BA12572">
            <v>19.190000000000001</v>
          </cell>
        </row>
        <row r="12573">
          <cell r="C12573" t="str">
            <v>4516 - PAINT/STAINS/WALLPAPER &amp; ACCES</v>
          </cell>
          <cell r="D12573" t="str">
            <v>PPG6-2/05</v>
          </cell>
          <cell r="BA12573">
            <v>57.99</v>
          </cell>
        </row>
        <row r="12574">
          <cell r="C12574" t="str">
            <v>4516 - PAINT/STAINS/WALLPAPER &amp; ACCES</v>
          </cell>
          <cell r="D12574" t="str">
            <v>PPG12-110XI/01</v>
          </cell>
          <cell r="BA12574">
            <v>22.19</v>
          </cell>
        </row>
        <row r="12575">
          <cell r="C12575" t="str">
            <v>4516 - PAINT/STAINS/WALLPAPER &amp; ACCES</v>
          </cell>
          <cell r="D12575" t="str">
            <v>PPG12-110XI/05</v>
          </cell>
          <cell r="BA12575">
            <v>93.99</v>
          </cell>
        </row>
        <row r="12576">
          <cell r="C12576" t="str">
            <v>4516 - PAINT/STAINS/WALLPAPER &amp; ACCES</v>
          </cell>
          <cell r="D12576" t="str">
            <v>PPG12-310XIG</v>
          </cell>
          <cell r="BA12576">
            <v>22.89</v>
          </cell>
        </row>
        <row r="12577">
          <cell r="C12577" t="str">
            <v>4516 - PAINT/STAINS/WALLPAPER &amp; ACCES</v>
          </cell>
          <cell r="D12577" t="str">
            <v>PPG12-310XI5G</v>
          </cell>
          <cell r="BA12577">
            <v>103.99</v>
          </cell>
        </row>
        <row r="12578">
          <cell r="C12578" t="str">
            <v>4516 - PAINT/STAINS/WALLPAPER &amp; ACCES</v>
          </cell>
          <cell r="D12578" t="str">
            <v>PPG17921XI5G</v>
          </cell>
          <cell r="BA12578">
            <v>108.99</v>
          </cell>
        </row>
        <row r="12579">
          <cell r="C12579" t="str">
            <v>4516 - PAINT/STAINS/WALLPAPER &amp; ACCES</v>
          </cell>
          <cell r="D12579" t="str">
            <v>PPG17921XIG</v>
          </cell>
          <cell r="BA12579">
            <v>22.69</v>
          </cell>
        </row>
        <row r="12580">
          <cell r="C12580" t="str">
            <v>4516 - PAINT/STAINS/WALLPAPER &amp; ACCES</v>
          </cell>
          <cell r="D12580" t="str">
            <v>PPG17921XIQ</v>
          </cell>
          <cell r="BA12580">
            <v>13.79</v>
          </cell>
        </row>
        <row r="12581">
          <cell r="C12581" t="str">
            <v>4516 - PAINT/STAINS/WALLPAPER &amp; ACCES</v>
          </cell>
          <cell r="D12581" t="str">
            <v>PPG823310G</v>
          </cell>
          <cell r="BA12581">
            <v>44.89</v>
          </cell>
        </row>
        <row r="12582">
          <cell r="C12582" t="str">
            <v>4516 - PAINT/STAINS/WALLPAPER &amp; ACCES</v>
          </cell>
          <cell r="D12582" t="str">
            <v>PPG823310Q</v>
          </cell>
          <cell r="BA12582">
            <v>20.39</v>
          </cell>
        </row>
        <row r="12583">
          <cell r="C12583" t="str">
            <v>4516 - PAINT/STAINS/WALLPAPER &amp; ACCES</v>
          </cell>
          <cell r="D12583" t="str">
            <v>PPG823320G</v>
          </cell>
          <cell r="BA12583">
            <v>45.39</v>
          </cell>
        </row>
        <row r="12584">
          <cell r="C12584" t="str">
            <v>4516 - PAINT/STAINS/WALLPAPER &amp; ACCES</v>
          </cell>
          <cell r="D12584" t="str">
            <v>PPG823320Q</v>
          </cell>
          <cell r="BA12584">
            <v>17.989999999999998</v>
          </cell>
        </row>
        <row r="12585">
          <cell r="C12585" t="str">
            <v>4516 - PAINT/STAINS/WALLPAPER &amp; ACCES</v>
          </cell>
          <cell r="D12585" t="str">
            <v>PPG823340G</v>
          </cell>
          <cell r="BA12585">
            <v>42.09</v>
          </cell>
        </row>
        <row r="12586">
          <cell r="C12586" t="str">
            <v>4516 - PAINT/STAINS/WALLPAPER &amp; ACCES</v>
          </cell>
          <cell r="D12586" t="str">
            <v>PPG823340Q</v>
          </cell>
          <cell r="BA12586">
            <v>18.190000000000001</v>
          </cell>
        </row>
        <row r="12587">
          <cell r="C12587" t="str">
            <v>4516 - PAINT/STAINS/WALLPAPER &amp; ACCES</v>
          </cell>
          <cell r="D12587" t="str">
            <v>PPG823410G</v>
          </cell>
          <cell r="BA12587">
            <v>45.39</v>
          </cell>
        </row>
        <row r="12588">
          <cell r="C12588" t="str">
            <v>4516 - PAINT/STAINS/WALLPAPER &amp; ACCES</v>
          </cell>
          <cell r="D12588" t="str">
            <v>PPG823410Q</v>
          </cell>
          <cell r="BA12588">
            <v>22.19</v>
          </cell>
        </row>
        <row r="12589">
          <cell r="C12589" t="str">
            <v>4516 - PAINT/STAINS/WALLPAPER &amp; ACCES</v>
          </cell>
          <cell r="D12589" t="str">
            <v>PPG823420G</v>
          </cell>
          <cell r="BA12589">
            <v>44.89</v>
          </cell>
        </row>
        <row r="12590">
          <cell r="C12590" t="str">
            <v>4516 - PAINT/STAINS/WALLPAPER &amp; ACCES</v>
          </cell>
          <cell r="D12590" t="str">
            <v>PPG823420Q</v>
          </cell>
          <cell r="BA12590">
            <v>21.29</v>
          </cell>
        </row>
        <row r="12591">
          <cell r="C12591" t="str">
            <v>4516 - PAINT/STAINS/WALLPAPER &amp; ACCES</v>
          </cell>
          <cell r="D12591" t="str">
            <v>PPG823440G</v>
          </cell>
          <cell r="BA12591">
            <v>46.19</v>
          </cell>
        </row>
        <row r="12592">
          <cell r="C12592" t="str">
            <v>4516 - PAINT/STAINS/WALLPAPER &amp; ACCES</v>
          </cell>
          <cell r="D12592" t="str">
            <v>PPG823440Q</v>
          </cell>
          <cell r="BA12592">
            <v>16.79</v>
          </cell>
        </row>
        <row r="12593">
          <cell r="C12593" t="str">
            <v>4516 - PAINT/STAINS/WALLPAPER &amp; ACCES</v>
          </cell>
          <cell r="D12593" t="str">
            <v>PPG823510G</v>
          </cell>
          <cell r="BA12593">
            <v>54.99</v>
          </cell>
        </row>
        <row r="12594">
          <cell r="C12594" t="str">
            <v>4516 - PAINT/STAINS/WALLPAPER &amp; ACCES</v>
          </cell>
          <cell r="D12594" t="str">
            <v>PPG823510Q</v>
          </cell>
          <cell r="BA12594">
            <v>23.99</v>
          </cell>
        </row>
        <row r="12595">
          <cell r="C12595" t="str">
            <v>4516 - PAINT/STAINS/WALLPAPER &amp; ACCES</v>
          </cell>
          <cell r="D12595" t="str">
            <v>PPG823520G</v>
          </cell>
          <cell r="BA12595">
            <v>47.39</v>
          </cell>
        </row>
        <row r="12596">
          <cell r="C12596" t="str">
            <v>4516 - PAINT/STAINS/WALLPAPER &amp; ACCES</v>
          </cell>
          <cell r="D12596" t="str">
            <v>PPG823520Q</v>
          </cell>
          <cell r="BA12596">
            <v>18.79</v>
          </cell>
        </row>
        <row r="12597">
          <cell r="C12597" t="str">
            <v>4516 - PAINT/STAINS/WALLPAPER &amp; ACCES</v>
          </cell>
          <cell r="D12597" t="str">
            <v>PPG823540G</v>
          </cell>
          <cell r="BA12597">
            <v>49.29</v>
          </cell>
        </row>
        <row r="12598">
          <cell r="C12598" t="str">
            <v>4516 - PAINT/STAINS/WALLPAPER &amp; ACCES</v>
          </cell>
          <cell r="D12598" t="str">
            <v>PPG823540Q</v>
          </cell>
          <cell r="BA12598">
            <v>21.79</v>
          </cell>
        </row>
        <row r="12599">
          <cell r="C12599" t="str">
            <v>4516 - PAINT/STAINS/WALLPAPER &amp; ACCES</v>
          </cell>
          <cell r="D12599" t="str">
            <v>PPG90-1610/01</v>
          </cell>
          <cell r="BA12599">
            <v>59.49</v>
          </cell>
        </row>
        <row r="12600">
          <cell r="C12600" t="str">
            <v>4516 - PAINT/STAINS/WALLPAPER &amp; ACCES</v>
          </cell>
          <cell r="D12600" t="str">
            <v>PPG90-1620/01</v>
          </cell>
          <cell r="BA12600">
            <v>54.99</v>
          </cell>
        </row>
        <row r="12601">
          <cell r="C12601" t="str">
            <v>4516 - PAINT/STAINS/WALLPAPER &amp; ACCES</v>
          </cell>
          <cell r="D12601" t="str">
            <v>PPG96200XI04Q</v>
          </cell>
          <cell r="BA12601">
            <v>40.19</v>
          </cell>
        </row>
        <row r="12602">
          <cell r="C12602" t="str">
            <v>4516 - PAINT/STAINS/WALLPAPER &amp; ACCES</v>
          </cell>
          <cell r="D12602" t="str">
            <v>PPGDRW66894G</v>
          </cell>
          <cell r="BA12602">
            <v>26.19</v>
          </cell>
        </row>
        <row r="12603">
          <cell r="C12603" t="str">
            <v>4518 - APPAREL</v>
          </cell>
          <cell r="D12603" t="str">
            <v>MIL48-22-8712</v>
          </cell>
          <cell r="BA12603">
            <v>15.99</v>
          </cell>
        </row>
        <row r="12604">
          <cell r="C12604" t="str">
            <v>4518 - APPAREL</v>
          </cell>
          <cell r="D12604" t="str">
            <v>MIL48-22-8973</v>
          </cell>
          <cell r="BA12604">
            <v>18.989999999999998</v>
          </cell>
        </row>
        <row r="12605">
          <cell r="C12605" t="str">
            <v>4518 - APPAREL</v>
          </cell>
          <cell r="D12605" t="str">
            <v>MIL48-22-8972</v>
          </cell>
          <cell r="BA12605">
            <v>18.989999999999998</v>
          </cell>
        </row>
        <row r="12606">
          <cell r="C12606" t="str">
            <v>4518 - APPAREL</v>
          </cell>
          <cell r="D12606" t="str">
            <v>MIL48-22-8752</v>
          </cell>
          <cell r="BA12606">
            <v>29.59</v>
          </cell>
        </row>
        <row r="12607">
          <cell r="C12607" t="str">
            <v>4518 - APPAREL</v>
          </cell>
          <cell r="D12607" t="str">
            <v>MIL48-22-8753</v>
          </cell>
          <cell r="BA12607">
            <v>29.59</v>
          </cell>
        </row>
        <row r="12608">
          <cell r="C12608" t="str">
            <v>4518 - APPAREL</v>
          </cell>
          <cell r="D12608" t="str">
            <v>MIL48-22-8932</v>
          </cell>
          <cell r="BA12608">
            <v>10.99</v>
          </cell>
        </row>
        <row r="12609">
          <cell r="C12609" t="str">
            <v>4518 - APPAREL</v>
          </cell>
          <cell r="D12609" t="str">
            <v>CLCR103M</v>
          </cell>
          <cell r="BA12609">
            <v>54.99</v>
          </cell>
        </row>
        <row r="12610">
          <cell r="C12610" t="str">
            <v>4518 - APPAREL</v>
          </cell>
          <cell r="D12610" t="str">
            <v>SV2ZGMML</v>
          </cell>
          <cell r="BA12610">
            <v>8.99</v>
          </cell>
        </row>
        <row r="12611">
          <cell r="C12611" t="str">
            <v>4518 - APPAREL</v>
          </cell>
          <cell r="D12611" t="str">
            <v>14122</v>
          </cell>
          <cell r="BA12611">
            <v>14.99</v>
          </cell>
        </row>
        <row r="12612">
          <cell r="C12612" t="str">
            <v>4518 - APPAREL</v>
          </cell>
          <cell r="D12612" t="str">
            <v>14123</v>
          </cell>
          <cell r="BA12612">
            <v>14.99</v>
          </cell>
        </row>
        <row r="12613">
          <cell r="C12613" t="str">
            <v>4518 - APPAREL</v>
          </cell>
          <cell r="D12613" t="str">
            <v>TRJ33118XL</v>
          </cell>
          <cell r="BA12613">
            <v>45.59</v>
          </cell>
        </row>
        <row r="12614">
          <cell r="C12614" t="str">
            <v>4518 - APPAREL</v>
          </cell>
          <cell r="D12614" t="str">
            <v>7021-2741-6</v>
          </cell>
          <cell r="BA12614">
            <v>24.79</v>
          </cell>
        </row>
        <row r="12615">
          <cell r="C12615" t="str">
            <v>4518 - APPAREL</v>
          </cell>
          <cell r="D12615" t="str">
            <v>7021-2035-3</v>
          </cell>
          <cell r="BA12615">
            <v>24.79</v>
          </cell>
        </row>
        <row r="12616">
          <cell r="C12616" t="str">
            <v>4518 - APPAREL</v>
          </cell>
          <cell r="D12616" t="str">
            <v>7021-6446-89</v>
          </cell>
          <cell r="BA12616">
            <v>22.29</v>
          </cell>
        </row>
        <row r="12617">
          <cell r="C12617" t="str">
            <v>4518 - APPAREL</v>
          </cell>
          <cell r="D12617" t="str">
            <v>7021-6439-3</v>
          </cell>
          <cell r="BA12617">
            <v>22.39</v>
          </cell>
        </row>
        <row r="12618">
          <cell r="C12618" t="str">
            <v>4518 - APPAREL</v>
          </cell>
          <cell r="D12618" t="str">
            <v>TC09903</v>
          </cell>
          <cell r="BA12618">
            <v>9.99</v>
          </cell>
        </row>
        <row r="12619">
          <cell r="C12619" t="str">
            <v>4518 - APPAREL</v>
          </cell>
          <cell r="D12619" t="str">
            <v>CXLRG</v>
          </cell>
          <cell r="BA12619">
            <v>14.99</v>
          </cell>
        </row>
        <row r="12620">
          <cell r="C12620" t="str">
            <v>4518 - APPAREL</v>
          </cell>
          <cell r="D12620" t="str">
            <v>CLCR103L</v>
          </cell>
          <cell r="BA12620">
            <v>54.99</v>
          </cell>
        </row>
        <row r="12621">
          <cell r="C12621" t="str">
            <v>4518 - APPAREL</v>
          </cell>
          <cell r="D12621" t="str">
            <v>CLCR103X</v>
          </cell>
          <cell r="BA12621">
            <v>54.99</v>
          </cell>
        </row>
        <row r="12622">
          <cell r="C12622" t="str">
            <v>4518 - APPAREL</v>
          </cell>
          <cell r="D12622" t="str">
            <v>CLCR1032X</v>
          </cell>
          <cell r="BA12622">
            <v>54.99</v>
          </cell>
        </row>
        <row r="12623">
          <cell r="C12623" t="str">
            <v>4518 - APPAREL</v>
          </cell>
          <cell r="D12623" t="str">
            <v>JBFG-NEBULA</v>
          </cell>
          <cell r="BA12623">
            <v>7.49</v>
          </cell>
        </row>
        <row r="12624">
          <cell r="C12624" t="str">
            <v>4518 - APPAREL</v>
          </cell>
          <cell r="D12624" t="str">
            <v>BOSS4092</v>
          </cell>
          <cell r="BA12624">
            <v>4.59</v>
          </cell>
        </row>
        <row r="12625">
          <cell r="C12625" t="str">
            <v>4518 - APPAREL</v>
          </cell>
          <cell r="D12625" t="str">
            <v>BOSS6133M</v>
          </cell>
          <cell r="BA12625">
            <v>19.989999999999998</v>
          </cell>
        </row>
        <row r="12626">
          <cell r="C12626" t="str">
            <v>4518 - APPAREL</v>
          </cell>
          <cell r="D12626" t="str">
            <v>BOSS4071M</v>
          </cell>
          <cell r="BA12626">
            <v>10.99</v>
          </cell>
        </row>
        <row r="12627">
          <cell r="C12627" t="str">
            <v>4518 - APPAREL</v>
          </cell>
          <cell r="D12627" t="str">
            <v>MFF-05-009</v>
          </cell>
          <cell r="BA12627">
            <v>19.989999999999998</v>
          </cell>
        </row>
        <row r="12628">
          <cell r="C12628" t="str">
            <v>4518 - APPAREL</v>
          </cell>
          <cell r="D12628" t="str">
            <v>MFF-05-010</v>
          </cell>
          <cell r="BA12628">
            <v>19.989999999999998</v>
          </cell>
        </row>
        <row r="12629">
          <cell r="C12629" t="str">
            <v>4518 - APPAREL</v>
          </cell>
          <cell r="D12629" t="str">
            <v>MFF-05-011</v>
          </cell>
          <cell r="BA12629">
            <v>19.989999999999998</v>
          </cell>
        </row>
        <row r="12630">
          <cell r="C12630" t="str">
            <v>4518 - APPAREL</v>
          </cell>
          <cell r="D12630" t="str">
            <v>01815</v>
          </cell>
          <cell r="BA12630">
            <v>2.59</v>
          </cell>
        </row>
        <row r="12631">
          <cell r="C12631" t="str">
            <v>4518 - APPAREL</v>
          </cell>
          <cell r="D12631" t="str">
            <v>GWBN44100MED</v>
          </cell>
          <cell r="BA12631">
            <v>25.99</v>
          </cell>
        </row>
        <row r="12632">
          <cell r="C12632" t="str">
            <v>4518 - APPAREL</v>
          </cell>
          <cell r="D12632" t="str">
            <v>BOSSB61061-S</v>
          </cell>
          <cell r="BA12632">
            <v>2.59</v>
          </cell>
        </row>
        <row r="12633">
          <cell r="C12633" t="str">
            <v>4518 - APPAREL</v>
          </cell>
          <cell r="D12633" t="str">
            <v>BOSS5206X</v>
          </cell>
          <cell r="BA12633">
            <v>21.49</v>
          </cell>
        </row>
        <row r="12634">
          <cell r="C12634" t="str">
            <v>4518 - APPAREL</v>
          </cell>
          <cell r="D12634" t="str">
            <v>CAT012215M</v>
          </cell>
          <cell r="BA12634">
            <v>19.989999999999998</v>
          </cell>
        </row>
        <row r="12635">
          <cell r="C12635" t="str">
            <v>4518 - APPAREL</v>
          </cell>
          <cell r="D12635" t="str">
            <v>CAT012215J</v>
          </cell>
          <cell r="BA12635">
            <v>22.99</v>
          </cell>
        </row>
        <row r="12636">
          <cell r="C12636" t="str">
            <v>4518 - APPAREL</v>
          </cell>
          <cell r="D12636" t="str">
            <v>CAT012215L</v>
          </cell>
          <cell r="BA12636">
            <v>22.99</v>
          </cell>
        </row>
        <row r="12637">
          <cell r="C12637" t="str">
            <v>4518 - APPAREL</v>
          </cell>
          <cell r="D12637" t="str">
            <v>300S-07RT</v>
          </cell>
          <cell r="BA12637">
            <v>4.79</v>
          </cell>
        </row>
        <row r="12638">
          <cell r="C12638" t="str">
            <v>4518 - APPAREL</v>
          </cell>
          <cell r="D12638" t="str">
            <v>451S-07RT</v>
          </cell>
          <cell r="BA12638">
            <v>5.69</v>
          </cell>
        </row>
        <row r="12639">
          <cell r="C12639" t="str">
            <v>4518 - APPAREL</v>
          </cell>
          <cell r="D12639" t="str">
            <v>330M-08RT</v>
          </cell>
          <cell r="BA12639">
            <v>5.69</v>
          </cell>
        </row>
        <row r="12640">
          <cell r="C12640" t="str">
            <v>4518 - APPAREL</v>
          </cell>
          <cell r="D12640" t="str">
            <v>330XL-10RT</v>
          </cell>
          <cell r="BA12640">
            <v>5.69</v>
          </cell>
        </row>
        <row r="12641">
          <cell r="C12641" t="str">
            <v>4518 - APPAREL</v>
          </cell>
          <cell r="D12641" t="str">
            <v>330S-07RT</v>
          </cell>
          <cell r="BA12641">
            <v>5.69</v>
          </cell>
        </row>
        <row r="12642">
          <cell r="C12642" t="str">
            <v>4518 - APPAREL</v>
          </cell>
          <cell r="D12642" t="str">
            <v>BOSS8435X</v>
          </cell>
          <cell r="BA12642">
            <v>8.69</v>
          </cell>
        </row>
        <row r="12643">
          <cell r="C12643" t="str">
            <v>4518 - APPAREL</v>
          </cell>
          <cell r="D12643" t="str">
            <v>AMGPNB46100</v>
          </cell>
          <cell r="BA12643">
            <v>18.989999999999998</v>
          </cell>
        </row>
        <row r="12644">
          <cell r="C12644" t="str">
            <v>4518 - APPAREL</v>
          </cell>
          <cell r="D12644" t="str">
            <v>INPF48100</v>
          </cell>
          <cell r="BA12644">
            <v>18.989999999999998</v>
          </cell>
        </row>
        <row r="12645">
          <cell r="C12645" t="str">
            <v>4518 - APPAREL</v>
          </cell>
          <cell r="D12645" t="str">
            <v>GWON46100</v>
          </cell>
          <cell r="BA12645">
            <v>27.99</v>
          </cell>
        </row>
        <row r="12646">
          <cell r="C12646" t="str">
            <v>4518 - APPAREL</v>
          </cell>
          <cell r="D12646" t="str">
            <v>GS330L</v>
          </cell>
          <cell r="BA12646">
            <v>5.69</v>
          </cell>
        </row>
        <row r="12647">
          <cell r="C12647" t="str">
            <v>4518 - APPAREL</v>
          </cell>
          <cell r="D12647" t="str">
            <v>BOSS8439X</v>
          </cell>
          <cell r="BA12647">
            <v>11.99</v>
          </cell>
        </row>
        <row r="12648">
          <cell r="C12648" t="str">
            <v>4518 - APPAREL</v>
          </cell>
          <cell r="D12648" t="str">
            <v>BOSS208439MD</v>
          </cell>
          <cell r="BA12648">
            <v>10.99</v>
          </cell>
        </row>
        <row r="12649">
          <cell r="C12649" t="str">
            <v>4518 - APPAREL</v>
          </cell>
          <cell r="D12649" t="str">
            <v>BOSS8439L</v>
          </cell>
          <cell r="BA12649">
            <v>11.99</v>
          </cell>
        </row>
        <row r="12650">
          <cell r="C12650" t="str">
            <v>4518 - APPAREL</v>
          </cell>
          <cell r="D12650" t="str">
            <v>370BXL-09RT</v>
          </cell>
          <cell r="BA12650">
            <v>5.69</v>
          </cell>
        </row>
        <row r="12651">
          <cell r="C12651" t="str">
            <v>4518 - APPAREL</v>
          </cell>
          <cell r="D12651" t="str">
            <v>BOSSB61061-L</v>
          </cell>
          <cell r="BA12651">
            <v>2.59</v>
          </cell>
        </row>
        <row r="12652">
          <cell r="C12652" t="str">
            <v>4518 - APPAREL</v>
          </cell>
          <cell r="D12652" t="str">
            <v>370BS-06RT</v>
          </cell>
          <cell r="BA12652">
            <v>5.69</v>
          </cell>
        </row>
        <row r="12653">
          <cell r="C12653" t="str">
            <v>4518 - APPAREL</v>
          </cell>
          <cell r="D12653" t="str">
            <v>VEN4145</v>
          </cell>
          <cell r="BA12653">
            <v>16.989999999999998</v>
          </cell>
        </row>
        <row r="12654">
          <cell r="C12654" t="str">
            <v>4518 - APPAREL</v>
          </cell>
          <cell r="D12654" t="str">
            <v>3M90016T</v>
          </cell>
          <cell r="BA12654">
            <v>2.99</v>
          </cell>
        </row>
        <row r="12655">
          <cell r="C12655" t="str">
            <v>4518 - APPAREL</v>
          </cell>
          <cell r="D12655" t="str">
            <v>3M90017T</v>
          </cell>
          <cell r="BA12655">
            <v>3.39</v>
          </cell>
        </row>
        <row r="12656">
          <cell r="C12656" t="str">
            <v>4518 - APPAREL</v>
          </cell>
          <cell r="D12656" t="str">
            <v>VEN6045R</v>
          </cell>
          <cell r="BA12656">
            <v>16.989999999999998</v>
          </cell>
        </row>
        <row r="12657">
          <cell r="C12657" t="str">
            <v>4518 - APPAREL</v>
          </cell>
          <cell r="D12657" t="str">
            <v>300W</v>
          </cell>
          <cell r="BA12657">
            <v>1.99</v>
          </cell>
        </row>
        <row r="12658">
          <cell r="C12658" t="str">
            <v>4518 - APPAREL</v>
          </cell>
          <cell r="D12658" t="str">
            <v>SIGV5224</v>
          </cell>
          <cell r="BA12658">
            <v>3.99</v>
          </cell>
        </row>
        <row r="12659">
          <cell r="C12659" t="str">
            <v>4518 - APPAREL</v>
          </cell>
          <cell r="D12659" t="str">
            <v>MCT8OZ</v>
          </cell>
          <cell r="BA12659">
            <v>2.39</v>
          </cell>
        </row>
        <row r="12660">
          <cell r="C12660" t="str">
            <v>4518 - APPAREL</v>
          </cell>
          <cell r="D12660" t="str">
            <v>CLC140L</v>
          </cell>
          <cell r="BA12660">
            <v>17.89</v>
          </cell>
        </row>
        <row r="12661">
          <cell r="C12661" t="str">
            <v>4518 - APPAREL</v>
          </cell>
          <cell r="D12661" t="str">
            <v>CLC140X</v>
          </cell>
          <cell r="BA12661">
            <v>17.89</v>
          </cell>
        </row>
        <row r="12662">
          <cell r="C12662" t="str">
            <v>4518 - APPAREL</v>
          </cell>
          <cell r="D12662" t="str">
            <v>MIL48-22-8923</v>
          </cell>
          <cell r="BA12662">
            <v>11.99</v>
          </cell>
        </row>
        <row r="12663">
          <cell r="C12663" t="str">
            <v>4518 - APPAREL</v>
          </cell>
          <cell r="D12663" t="str">
            <v>1787-L</v>
          </cell>
          <cell r="BA12663">
            <v>8.99</v>
          </cell>
        </row>
        <row r="12664">
          <cell r="C12664" t="str">
            <v>4518 - APPAREL</v>
          </cell>
          <cell r="D12664" t="str">
            <v>1787-XL</v>
          </cell>
          <cell r="BA12664">
            <v>8.99</v>
          </cell>
        </row>
        <row r="12665">
          <cell r="C12665" t="str">
            <v>4518 - APPAREL</v>
          </cell>
          <cell r="D12665" t="str">
            <v>1789-L</v>
          </cell>
          <cell r="BA12665">
            <v>8.99</v>
          </cell>
        </row>
        <row r="12666">
          <cell r="C12666" t="str">
            <v>4518 - APPAREL</v>
          </cell>
          <cell r="D12666" t="str">
            <v>CLC2150L</v>
          </cell>
          <cell r="BA12666">
            <v>6.69</v>
          </cell>
        </row>
        <row r="12667">
          <cell r="C12667" t="str">
            <v>4518 - APPAREL</v>
          </cell>
          <cell r="D12667" t="str">
            <v>1789-M</v>
          </cell>
          <cell r="BA12667">
            <v>8.99</v>
          </cell>
        </row>
        <row r="12668">
          <cell r="C12668" t="str">
            <v>4518 - APPAREL</v>
          </cell>
          <cell r="D12668" t="str">
            <v>1789-XL</v>
          </cell>
          <cell r="BA12668">
            <v>8.99</v>
          </cell>
        </row>
        <row r="12669">
          <cell r="C12669" t="str">
            <v>4518 - APPAREL</v>
          </cell>
          <cell r="D12669" t="str">
            <v>C300MAG</v>
          </cell>
          <cell r="BA12669">
            <v>4.79</v>
          </cell>
        </row>
        <row r="12670">
          <cell r="C12670" t="str">
            <v>4518 - APPAREL</v>
          </cell>
          <cell r="D12670" t="str">
            <v>KC1784PL</v>
          </cell>
          <cell r="BA12670">
            <v>10.99</v>
          </cell>
        </row>
        <row r="12671">
          <cell r="C12671" t="str">
            <v>4518 - APPAREL</v>
          </cell>
          <cell r="D12671" t="str">
            <v>KC1784PM</v>
          </cell>
          <cell r="BA12671">
            <v>10.99</v>
          </cell>
        </row>
        <row r="12672">
          <cell r="C12672" t="str">
            <v>4518 - APPAREL</v>
          </cell>
          <cell r="D12672" t="str">
            <v>KC1784PXL</v>
          </cell>
          <cell r="BA12672">
            <v>10.99</v>
          </cell>
        </row>
        <row r="12673">
          <cell r="C12673" t="str">
            <v>4518 - APPAREL</v>
          </cell>
          <cell r="D12673" t="str">
            <v>KC387P-M</v>
          </cell>
          <cell r="BA12673">
            <v>21.99</v>
          </cell>
        </row>
        <row r="12674">
          <cell r="C12674" t="str">
            <v>4518 - APPAREL</v>
          </cell>
          <cell r="D12674" t="str">
            <v>KC387P-L</v>
          </cell>
          <cell r="BA12674">
            <v>21.99</v>
          </cell>
        </row>
        <row r="12675">
          <cell r="C12675" t="str">
            <v>4518 - APPAREL</v>
          </cell>
          <cell r="D12675" t="str">
            <v>KC387P-XL</v>
          </cell>
          <cell r="BA12675">
            <v>22.99</v>
          </cell>
        </row>
        <row r="12676">
          <cell r="C12676" t="str">
            <v>4518 - APPAREL</v>
          </cell>
          <cell r="D12676" t="str">
            <v>WG338XXL</v>
          </cell>
          <cell r="BA12676">
            <v>8.39</v>
          </cell>
        </row>
        <row r="12677">
          <cell r="C12677" t="str">
            <v>4518 - APPAREL</v>
          </cell>
          <cell r="D12677" t="str">
            <v>C451M</v>
          </cell>
          <cell r="BA12677">
            <v>5.69</v>
          </cell>
        </row>
        <row r="12678">
          <cell r="C12678" t="str">
            <v>4518 - APPAREL</v>
          </cell>
          <cell r="D12678" t="str">
            <v>C451LG</v>
          </cell>
          <cell r="BA12678">
            <v>5.69</v>
          </cell>
        </row>
        <row r="12679">
          <cell r="C12679" t="str">
            <v>4518 - APPAREL</v>
          </cell>
          <cell r="D12679" t="str">
            <v>C451XL</v>
          </cell>
          <cell r="BA12679">
            <v>5.69</v>
          </cell>
        </row>
        <row r="12680">
          <cell r="C12680" t="str">
            <v>4518 - APPAREL</v>
          </cell>
          <cell r="D12680" t="str">
            <v>931CCG</v>
          </cell>
          <cell r="BA12680">
            <v>12.99</v>
          </cell>
        </row>
        <row r="12681">
          <cell r="C12681" t="str">
            <v>4518 - APPAREL</v>
          </cell>
          <cell r="D12681" t="str">
            <v>TC09905</v>
          </cell>
          <cell r="BA12681">
            <v>9.99</v>
          </cell>
        </row>
        <row r="12682">
          <cell r="C12682" t="str">
            <v>4518 - APPAREL</v>
          </cell>
          <cell r="D12682" t="str">
            <v>XLRGLOVES</v>
          </cell>
          <cell r="BA12682">
            <v>4.99</v>
          </cell>
        </row>
        <row r="12683">
          <cell r="C12683" t="str">
            <v>4518 - APPAREL</v>
          </cell>
          <cell r="D12683" t="str">
            <v>CLC110RED</v>
          </cell>
          <cell r="BA12683">
            <v>10.99</v>
          </cell>
        </row>
        <row r="12684">
          <cell r="C12684" t="str">
            <v>4518 - APPAREL</v>
          </cell>
          <cell r="D12684" t="str">
            <v>CLC110BLU</v>
          </cell>
          <cell r="BA12684">
            <v>9.99</v>
          </cell>
        </row>
        <row r="12685">
          <cell r="C12685" t="str">
            <v>4518 - APPAREL</v>
          </cell>
          <cell r="D12685" t="str">
            <v>CLC110RUL</v>
          </cell>
          <cell r="BA12685">
            <v>12.99</v>
          </cell>
        </row>
        <row r="12686">
          <cell r="C12686" t="str">
            <v>4518 - APPAREL</v>
          </cell>
          <cell r="D12686" t="str">
            <v>CLCE4501</v>
          </cell>
          <cell r="BA12686">
            <v>11.99</v>
          </cell>
        </row>
        <row r="12687">
          <cell r="C12687" t="str">
            <v>4518 - APPAREL</v>
          </cell>
          <cell r="D12687" t="str">
            <v>BRKB9</v>
          </cell>
          <cell r="BA12687">
            <v>0.01</v>
          </cell>
        </row>
        <row r="12688">
          <cell r="C12688" t="str">
            <v>4518 - APPAREL</v>
          </cell>
          <cell r="D12688" t="str">
            <v>3M9461780030T</v>
          </cell>
          <cell r="BA12688">
            <v>22.99</v>
          </cell>
        </row>
        <row r="12689">
          <cell r="C12689" t="str">
            <v>4518 - APPAREL</v>
          </cell>
          <cell r="D12689" t="str">
            <v>SV22-2ZGM-XL</v>
          </cell>
          <cell r="BA12689">
            <v>12.99</v>
          </cell>
        </row>
        <row r="12690">
          <cell r="C12690" t="str">
            <v>4518 - APPAREL</v>
          </cell>
          <cell r="D12690" t="str">
            <v>SV22-2ZGM-L</v>
          </cell>
          <cell r="BA12690">
            <v>12.99</v>
          </cell>
        </row>
        <row r="12691">
          <cell r="C12691" t="str">
            <v>4518 - APPAREL</v>
          </cell>
          <cell r="D12691" t="str">
            <v>SV22-2ZGM-M</v>
          </cell>
          <cell r="BA12691">
            <v>12.99</v>
          </cell>
        </row>
        <row r="12692">
          <cell r="C12692" t="str">
            <v>4518 - APPAREL</v>
          </cell>
          <cell r="D12692" t="str">
            <v>SV2ZGMXL</v>
          </cell>
          <cell r="BA12692">
            <v>8.99</v>
          </cell>
        </row>
        <row r="12693">
          <cell r="C12693" t="str">
            <v>4518 - APPAREL</v>
          </cell>
          <cell r="D12693" t="str">
            <v>SV2ZOMXL</v>
          </cell>
          <cell r="BA12693">
            <v>8.99</v>
          </cell>
        </row>
        <row r="12694">
          <cell r="C12694" t="str">
            <v>4518 - APPAREL</v>
          </cell>
          <cell r="D12694" t="str">
            <v>BOSS951</v>
          </cell>
          <cell r="BA12694">
            <v>16.989999999999998</v>
          </cell>
        </row>
        <row r="12695">
          <cell r="C12695" t="str">
            <v>4518 - APPAREL</v>
          </cell>
          <cell r="D12695" t="str">
            <v>370BM07RT</v>
          </cell>
          <cell r="BA12695">
            <v>5.69</v>
          </cell>
        </row>
        <row r="12696">
          <cell r="C12696" t="str">
            <v>4518 - APPAREL</v>
          </cell>
          <cell r="D12696" t="str">
            <v>370BL08RT</v>
          </cell>
          <cell r="BA12696">
            <v>5.69</v>
          </cell>
        </row>
        <row r="12697">
          <cell r="C12697" t="str">
            <v>4518 - APPAREL</v>
          </cell>
          <cell r="D12697" t="str">
            <v>300XL-10RT</v>
          </cell>
          <cell r="BA12697">
            <v>4.79</v>
          </cell>
        </row>
        <row r="12698">
          <cell r="C12698" t="str">
            <v>4518 - APPAREL</v>
          </cell>
          <cell r="D12698" t="str">
            <v>GLOVESLG</v>
          </cell>
          <cell r="BA12698">
            <v>4.79</v>
          </cell>
        </row>
        <row r="12699">
          <cell r="C12699" t="str">
            <v>4518 - APPAREL</v>
          </cell>
          <cell r="D12699" t="str">
            <v>SH306M-07</v>
          </cell>
          <cell r="BA12699">
            <v>8.99</v>
          </cell>
        </row>
        <row r="12700">
          <cell r="C12700" t="str">
            <v>4518 - APPAREL</v>
          </cell>
          <cell r="D12700" t="str">
            <v>SH306L-08</v>
          </cell>
          <cell r="BA12700">
            <v>9.99</v>
          </cell>
        </row>
        <row r="12701">
          <cell r="C12701" t="str">
            <v>4518 - APPAREL</v>
          </cell>
          <cell r="D12701" t="str">
            <v>SH306XL-09</v>
          </cell>
          <cell r="BA12701">
            <v>8.99</v>
          </cell>
        </row>
        <row r="12702">
          <cell r="C12702" t="str">
            <v>4518 - APPAREL</v>
          </cell>
          <cell r="D12702" t="str">
            <v>BG7134M</v>
          </cell>
          <cell r="BA12702">
            <v>29.99</v>
          </cell>
        </row>
        <row r="12703">
          <cell r="C12703" t="str">
            <v>4518 - APPAREL</v>
          </cell>
          <cell r="D12703" t="str">
            <v>BG7134L</v>
          </cell>
          <cell r="BA12703">
            <v>29.99</v>
          </cell>
        </row>
        <row r="12704">
          <cell r="C12704" t="str">
            <v>4518 - APPAREL</v>
          </cell>
          <cell r="D12704" t="str">
            <v>MIL48-22-8922</v>
          </cell>
          <cell r="BA12704">
            <v>10.99</v>
          </cell>
        </row>
        <row r="12705">
          <cell r="C12705" t="str">
            <v>4518 - APPAREL</v>
          </cell>
          <cell r="D12705" t="str">
            <v>BOSS5200M</v>
          </cell>
          <cell r="BA12705">
            <v>28.29</v>
          </cell>
        </row>
        <row r="12706">
          <cell r="C12706" t="str">
            <v>4518 - APPAREL</v>
          </cell>
          <cell r="D12706" t="str">
            <v>BOSS5200L</v>
          </cell>
          <cell r="BA12706">
            <v>29.99</v>
          </cell>
        </row>
        <row r="12707">
          <cell r="C12707" t="str">
            <v>4518 - APPAREL</v>
          </cell>
          <cell r="D12707" t="str">
            <v>BOSS5200X</v>
          </cell>
          <cell r="BA12707">
            <v>29.99</v>
          </cell>
        </row>
        <row r="12708">
          <cell r="C12708" t="str">
            <v>4519 - SAFETY EQUIPMENT</v>
          </cell>
          <cell r="D12708" t="str">
            <v>3M9055100000B</v>
          </cell>
          <cell r="BA12708">
            <v>11.99</v>
          </cell>
        </row>
        <row r="12709">
          <cell r="C12709" t="str">
            <v>4519 - SAFETY EQUIPMENT</v>
          </cell>
          <cell r="D12709" t="str">
            <v>3M90028-80025T</v>
          </cell>
          <cell r="BA12709">
            <v>15.99</v>
          </cell>
        </row>
        <row r="12710">
          <cell r="C12710" t="str">
            <v>4519 - SAFETY EQUIPMENT</v>
          </cell>
          <cell r="D12710" t="str">
            <v>3MSF400W3PK</v>
          </cell>
          <cell r="BA12710">
            <v>12.99</v>
          </cell>
        </row>
        <row r="12711">
          <cell r="C12711" t="str">
            <v>4519 - SAFETY EQUIPMENT</v>
          </cell>
          <cell r="D12711" t="str">
            <v>3MSF400GWV6</v>
          </cell>
          <cell r="BA12711">
            <v>12.99</v>
          </cell>
        </row>
        <row r="12712">
          <cell r="C12712" t="str">
            <v>4519 - SAFETY EQUIPMENT</v>
          </cell>
          <cell r="D12712" t="str">
            <v>3MSF400MWV6</v>
          </cell>
          <cell r="BA12712">
            <v>13.99</v>
          </cell>
        </row>
        <row r="12713">
          <cell r="C12713" t="str">
            <v>4519 - SAFETY EQUIPMENT</v>
          </cell>
          <cell r="D12713" t="str">
            <v>3M47013WV6</v>
          </cell>
          <cell r="BA12713">
            <v>10.99</v>
          </cell>
        </row>
        <row r="12714">
          <cell r="C12714" t="str">
            <v>4519 - SAFETY EQUIPMENT</v>
          </cell>
          <cell r="D12714" t="str">
            <v>3M47090WZ4</v>
          </cell>
          <cell r="BA12714">
            <v>32.99</v>
          </cell>
        </row>
        <row r="12715">
          <cell r="C12715" t="str">
            <v>4519 - SAFETY EQUIPMENT</v>
          </cell>
          <cell r="D12715" t="str">
            <v>3M47091WZ4</v>
          </cell>
          <cell r="BA12715">
            <v>32.99</v>
          </cell>
        </row>
        <row r="12716">
          <cell r="C12716" t="str">
            <v>4519 - SAFETY EQUIPMENT</v>
          </cell>
          <cell r="D12716" t="str">
            <v>3M47100WZ4</v>
          </cell>
          <cell r="BA12716">
            <v>19.989999999999998</v>
          </cell>
        </row>
        <row r="12717">
          <cell r="C12717" t="str">
            <v>4519 - SAFETY EQUIPMENT</v>
          </cell>
          <cell r="D12717" t="str">
            <v>3M47101WZ4</v>
          </cell>
          <cell r="BA12717">
            <v>19.989999999999998</v>
          </cell>
        </row>
        <row r="12718">
          <cell r="C12718" t="str">
            <v>4519 - SAFETY EQUIPMENT</v>
          </cell>
          <cell r="D12718" t="str">
            <v>3M9223280025</v>
          </cell>
          <cell r="BA12718">
            <v>17.29</v>
          </cell>
        </row>
        <row r="12719">
          <cell r="C12719" t="str">
            <v>4519 - SAFETY EQUIPMENT</v>
          </cell>
          <cell r="D12719" t="str">
            <v>3M9300580030T</v>
          </cell>
          <cell r="BA12719">
            <v>8.99</v>
          </cell>
        </row>
        <row r="12720">
          <cell r="C12720" t="str">
            <v>4519 - SAFETY EQUIPMENT</v>
          </cell>
          <cell r="D12720" t="str">
            <v>EARPLUGSBX</v>
          </cell>
          <cell r="BA12720">
            <v>67.989999999999995</v>
          </cell>
        </row>
        <row r="12721">
          <cell r="C12721" t="str">
            <v>4519 - SAFETY EQUIPMENT</v>
          </cell>
          <cell r="D12721" t="str">
            <v>SWX00353</v>
          </cell>
          <cell r="BA12721">
            <v>3.79</v>
          </cell>
        </row>
        <row r="12722">
          <cell r="C12722" t="str">
            <v>4519 - SAFETY EQUIPMENT</v>
          </cell>
          <cell r="D12722" t="str">
            <v>SWSWX00379</v>
          </cell>
          <cell r="BA12722">
            <v>17.989999999999998</v>
          </cell>
        </row>
        <row r="12723">
          <cell r="C12723" t="str">
            <v>4519 - SAFETY EQUIPMENT</v>
          </cell>
          <cell r="D12723" t="str">
            <v>EARMF</v>
          </cell>
          <cell r="BA12723">
            <v>17.989999999999998</v>
          </cell>
        </row>
        <row r="12724">
          <cell r="C12724" t="str">
            <v>4519 - SAFETY EQUIPMENT</v>
          </cell>
          <cell r="D12724" t="str">
            <v>3M1110</v>
          </cell>
          <cell r="BA12724">
            <v>0.59</v>
          </cell>
        </row>
        <row r="12725">
          <cell r="C12725" t="str">
            <v>4519 - SAFETY EQUIPMENT</v>
          </cell>
          <cell r="D12725" t="str">
            <v>3M9058000000T</v>
          </cell>
          <cell r="BA12725">
            <v>2.99</v>
          </cell>
        </row>
        <row r="12726">
          <cell r="C12726" t="str">
            <v>4519 - SAFETY EQUIPMENT</v>
          </cell>
          <cell r="D12726" t="str">
            <v>3M9205980025T</v>
          </cell>
          <cell r="BA12726">
            <v>16.989999999999998</v>
          </cell>
        </row>
        <row r="12727">
          <cell r="C12727" t="str">
            <v>4519 - SAFETY EQUIPMENT</v>
          </cell>
          <cell r="D12727" t="str">
            <v>3M92050410DC</v>
          </cell>
          <cell r="BA12727">
            <v>3.49</v>
          </cell>
        </row>
        <row r="12728">
          <cell r="C12728" t="str">
            <v>4519 - SAFETY EQUIPMENT</v>
          </cell>
          <cell r="D12728" t="str">
            <v>MIL48-73-3005</v>
          </cell>
          <cell r="BA12728">
            <v>22.99</v>
          </cell>
        </row>
        <row r="12729">
          <cell r="C12729" t="str">
            <v>4519 - SAFETY EQUIPMENT</v>
          </cell>
          <cell r="D12729" t="str">
            <v>BS818074</v>
          </cell>
          <cell r="BA12729">
            <v>1.99</v>
          </cell>
        </row>
        <row r="12730">
          <cell r="C12730" t="str">
            <v>4519 - SAFETY EQUIPMENT</v>
          </cell>
          <cell r="D12730" t="str">
            <v>SW10059484</v>
          </cell>
          <cell r="BA12730">
            <v>88.99</v>
          </cell>
        </row>
        <row r="12731">
          <cell r="C12731" t="str">
            <v>4519 - SAFETY EQUIPMENT</v>
          </cell>
          <cell r="D12731" t="str">
            <v>SW10059484EA</v>
          </cell>
          <cell r="BA12731">
            <v>0.32</v>
          </cell>
        </row>
        <row r="12732">
          <cell r="C12732" t="str">
            <v>4519 - SAFETY EQUIPMENT</v>
          </cell>
          <cell r="D12732" t="str">
            <v>3A40BC</v>
          </cell>
          <cell r="BA12732">
            <v>57.99</v>
          </cell>
        </row>
        <row r="12733">
          <cell r="C12733" t="str">
            <v>4519 - SAFETY EQUIPMENT</v>
          </cell>
          <cell r="D12733" t="str">
            <v>AE5RED</v>
          </cell>
          <cell r="BA12733">
            <v>25.99</v>
          </cell>
        </row>
        <row r="12734">
          <cell r="C12734" t="str">
            <v>4519 - SAFETY EQUIPMENT</v>
          </cell>
          <cell r="D12734" t="str">
            <v>FAKITCHEN5</v>
          </cell>
          <cell r="BA12734">
            <v>24.99</v>
          </cell>
        </row>
        <row r="12735">
          <cell r="C12735" t="str">
            <v>4519 - SAFETY EQUIPMENT</v>
          </cell>
          <cell r="D12735" t="str">
            <v>FAGARAGE1</v>
          </cell>
          <cell r="BA12735">
            <v>29.99</v>
          </cell>
        </row>
        <row r="12736">
          <cell r="C12736" t="str">
            <v>4519 - SAFETY EQUIPMENT</v>
          </cell>
          <cell r="D12736" t="str">
            <v>FE1A10GO</v>
          </cell>
          <cell r="BA12736">
            <v>24.99</v>
          </cell>
        </row>
        <row r="12737">
          <cell r="C12737" t="str">
            <v>4519 - SAFETY EQUIPMENT</v>
          </cell>
          <cell r="D12737" t="str">
            <v>FEREC5</v>
          </cell>
          <cell r="BA12737">
            <v>24.99</v>
          </cell>
        </row>
        <row r="12738">
          <cell r="C12738" t="str">
            <v>4519 - SAFETY EQUIPMENT</v>
          </cell>
          <cell r="D12738" t="str">
            <v>WHH</v>
          </cell>
          <cell r="BA12738">
            <v>9.99</v>
          </cell>
        </row>
        <row r="12739">
          <cell r="C12739" t="str">
            <v>4519 - SAFETY EQUIPMENT</v>
          </cell>
          <cell r="D12739" t="str">
            <v>SWX00346</v>
          </cell>
          <cell r="BA12739">
            <v>10.99</v>
          </cell>
        </row>
        <row r="12740">
          <cell r="C12740" t="str">
            <v>4519 - SAFETY EQUIPMENT</v>
          </cell>
          <cell r="D12740" t="str">
            <v>3MCHHRW6</v>
          </cell>
          <cell r="BA12740">
            <v>13.29</v>
          </cell>
        </row>
        <row r="12741">
          <cell r="C12741" t="str">
            <v>4519 - SAFETY EQUIPMENT</v>
          </cell>
          <cell r="D12741" t="str">
            <v>3M9055200000B</v>
          </cell>
          <cell r="BA12741">
            <v>7.99</v>
          </cell>
        </row>
        <row r="12742">
          <cell r="C12742" t="str">
            <v>4519 - SAFETY EQUIPMENT</v>
          </cell>
          <cell r="D12742" t="str">
            <v>3000305</v>
          </cell>
          <cell r="BA12742">
            <v>6.99</v>
          </cell>
        </row>
        <row r="12743">
          <cell r="C12743" t="str">
            <v>4519 - SAFETY EQUIPMENT</v>
          </cell>
          <cell r="D12743" t="str">
            <v>3000354</v>
          </cell>
          <cell r="BA12743">
            <v>7.99</v>
          </cell>
        </row>
        <row r="12744">
          <cell r="C12744" t="str">
            <v>4519 - SAFETY EQUIPMENT</v>
          </cell>
          <cell r="D12744" t="str">
            <v>EESDK116-G2</v>
          </cell>
          <cell r="BA12744">
            <v>25.99</v>
          </cell>
        </row>
        <row r="12745">
          <cell r="C12745" t="str">
            <v>4519 - SAFETY EQUIPMENT</v>
          </cell>
          <cell r="D12745" t="str">
            <v>AP1-10-GF12</v>
          </cell>
          <cell r="BA12745">
            <v>7.99</v>
          </cell>
        </row>
        <row r="12746">
          <cell r="C12746" t="str">
            <v>4519 - SAFETY EQUIPMENT</v>
          </cell>
          <cell r="D12746" t="str">
            <v>3M92235WZ4</v>
          </cell>
          <cell r="BA12746">
            <v>31.99</v>
          </cell>
        </row>
        <row r="12747">
          <cell r="C12747" t="str">
            <v>4519 - SAFETY EQUIPMENT</v>
          </cell>
          <cell r="D12747" t="str">
            <v>3M47010WV6</v>
          </cell>
          <cell r="BA12747">
            <v>11.99</v>
          </cell>
        </row>
        <row r="12748">
          <cell r="C12748" t="str">
            <v>4519 - SAFETY EQUIPMENT</v>
          </cell>
          <cell r="D12748" t="str">
            <v>3M47011WV6</v>
          </cell>
          <cell r="BA12748">
            <v>10.99</v>
          </cell>
        </row>
        <row r="12749">
          <cell r="C12749" t="str">
            <v>4519 - SAFETY EQUIPMENT</v>
          </cell>
          <cell r="D12749" t="str">
            <v>EETXB236E3</v>
          </cell>
          <cell r="BA12749">
            <v>44.99</v>
          </cell>
        </row>
        <row r="12750">
          <cell r="C12750" t="str">
            <v>4519 - SAFETY EQUIPMENT</v>
          </cell>
          <cell r="D12750" t="str">
            <v>EETSDK216CFG2</v>
          </cell>
          <cell r="BA12750">
            <v>32.590000000000003</v>
          </cell>
        </row>
        <row r="12751">
          <cell r="C12751" t="str">
            <v>4519 - SAFETY EQUIPMENT</v>
          </cell>
          <cell r="D12751" t="str">
            <v>EEXB136-E2</v>
          </cell>
          <cell r="BA12751">
            <v>21.99</v>
          </cell>
        </row>
        <row r="12752">
          <cell r="C12752" t="str">
            <v>4519 - SAFETY EQUIPMENT</v>
          </cell>
          <cell r="D12752" t="str">
            <v>EEDZ116VS-G2</v>
          </cell>
          <cell r="BA12752">
            <v>19.989999999999998</v>
          </cell>
        </row>
        <row r="12753">
          <cell r="C12753" t="str">
            <v>4519 - SAFETY EQUIPMENT</v>
          </cell>
          <cell r="D12753" t="str">
            <v>EEDZ111VSG2</v>
          </cell>
          <cell r="BA12753">
            <v>19.989999999999998</v>
          </cell>
        </row>
        <row r="12754">
          <cell r="C12754" t="str">
            <v>4519 - SAFETY EQUIPMENT</v>
          </cell>
          <cell r="D12754" t="str">
            <v>AP1-20-GF12</v>
          </cell>
          <cell r="BA12754">
            <v>7.99</v>
          </cell>
        </row>
        <row r="12755">
          <cell r="C12755" t="str">
            <v>4519 - SAFETY EQUIPMENT</v>
          </cell>
          <cell r="D12755" t="str">
            <v>DPG100-1D</v>
          </cell>
          <cell r="BA12755">
            <v>6.89</v>
          </cell>
        </row>
        <row r="12756">
          <cell r="C12756" t="str">
            <v>4519 - SAFETY EQUIPMENT</v>
          </cell>
          <cell r="D12756" t="str">
            <v>DPG100-2D</v>
          </cell>
          <cell r="BA12756">
            <v>6.89</v>
          </cell>
        </row>
        <row r="12757">
          <cell r="C12757" t="str">
            <v>4519 - SAFETY EQUIPMENT</v>
          </cell>
          <cell r="D12757" t="str">
            <v>DPG101-1D</v>
          </cell>
          <cell r="BA12757">
            <v>6.89</v>
          </cell>
        </row>
        <row r="12758">
          <cell r="C12758" t="str">
            <v>4519 - SAFETY EQUIPMENT</v>
          </cell>
          <cell r="D12758" t="str">
            <v>3M912528002S</v>
          </cell>
          <cell r="BA12758">
            <v>5.69</v>
          </cell>
        </row>
        <row r="12759">
          <cell r="C12759" t="str">
            <v>4519 - SAFETY EQUIPMENT</v>
          </cell>
          <cell r="D12759" t="str">
            <v>3M47030WV6</v>
          </cell>
          <cell r="BA12759">
            <v>11.99</v>
          </cell>
        </row>
        <row r="12760">
          <cell r="C12760" t="str">
            <v>4519 - SAFETY EQUIPMENT</v>
          </cell>
          <cell r="D12760" t="str">
            <v>MIL48-73-2010</v>
          </cell>
          <cell r="BA12760">
            <v>8.99</v>
          </cell>
        </row>
        <row r="12761">
          <cell r="C12761" t="str">
            <v>4519 - SAFETY EQUIPMENT</v>
          </cell>
          <cell r="D12761" t="str">
            <v>MIL48-73-2202</v>
          </cell>
          <cell r="BA12761">
            <v>11.99</v>
          </cell>
        </row>
        <row r="12762">
          <cell r="C12762" t="str">
            <v>4519 - SAFETY EQUIPMENT</v>
          </cell>
          <cell r="D12762" t="str">
            <v>SD111AR-G2</v>
          </cell>
          <cell r="BA12762">
            <v>8.69</v>
          </cell>
        </row>
        <row r="12763">
          <cell r="C12763" t="str">
            <v>4519 - SAFETY EQUIPMENT</v>
          </cell>
          <cell r="D12763" t="str">
            <v>SD116-G2</v>
          </cell>
          <cell r="BA12763">
            <v>8.69</v>
          </cell>
        </row>
        <row r="12764">
          <cell r="C12764" t="str">
            <v>4519 - SAFETY EQUIPMENT</v>
          </cell>
          <cell r="D12764" t="str">
            <v>CLRSFTYGLSS</v>
          </cell>
          <cell r="BA12764">
            <v>3.79</v>
          </cell>
        </row>
        <row r="12765">
          <cell r="C12765" t="str">
            <v>4519 - SAFETY EQUIPMENT</v>
          </cell>
          <cell r="D12765" t="str">
            <v>DPG101-6D</v>
          </cell>
          <cell r="BA12765">
            <v>6.89</v>
          </cell>
        </row>
        <row r="12766">
          <cell r="C12766" t="str">
            <v>4519 - SAFETY EQUIPMENT</v>
          </cell>
          <cell r="D12766" t="str">
            <v>DPG102-2D</v>
          </cell>
          <cell r="BA12766">
            <v>6.89</v>
          </cell>
        </row>
        <row r="12767">
          <cell r="C12767" t="str">
            <v>4519 - SAFETY EQUIPMENT</v>
          </cell>
          <cell r="D12767" t="str">
            <v>DPG102-1D</v>
          </cell>
          <cell r="BA12767">
            <v>6.89</v>
          </cell>
        </row>
        <row r="12768">
          <cell r="C12768" t="str">
            <v>4519 - SAFETY EQUIPMENT</v>
          </cell>
          <cell r="D12768" t="str">
            <v>SG817691</v>
          </cell>
          <cell r="BA12768">
            <v>5.69</v>
          </cell>
        </row>
        <row r="12769">
          <cell r="C12769" t="str">
            <v>4519 - SAFETY EQUIPMENT</v>
          </cell>
          <cell r="D12769" t="str">
            <v>SG10006316</v>
          </cell>
          <cell r="BA12769">
            <v>10.99</v>
          </cell>
        </row>
        <row r="12770">
          <cell r="C12770" t="str">
            <v>4519 - SAFETY EQUIPMENT</v>
          </cell>
          <cell r="D12770" t="str">
            <v>SGSW118</v>
          </cell>
          <cell r="BA12770">
            <v>18.989999999999998</v>
          </cell>
        </row>
        <row r="12771">
          <cell r="C12771" t="str">
            <v>4519 - SAFETY EQUIPMENT</v>
          </cell>
          <cell r="D12771" t="str">
            <v>SGTXB236</v>
          </cell>
          <cell r="BA12771">
            <v>42.99</v>
          </cell>
        </row>
        <row r="12772">
          <cell r="C12772" t="str">
            <v>4519 - SAFETY EQUIPMENT</v>
          </cell>
          <cell r="D12772" t="str">
            <v>SGXB146</v>
          </cell>
          <cell r="BA12772">
            <v>24.99</v>
          </cell>
        </row>
        <row r="12773">
          <cell r="C12773" t="str">
            <v>4519 - SAFETY EQUIPMENT</v>
          </cell>
          <cell r="D12773" t="str">
            <v>SGTXB246</v>
          </cell>
          <cell r="BA12773">
            <v>42.99</v>
          </cell>
        </row>
        <row r="12774">
          <cell r="C12774" t="str">
            <v>4519 - SAFETY EQUIPMENT</v>
          </cell>
          <cell r="D12774" t="str">
            <v>SGSW111</v>
          </cell>
          <cell r="BA12774">
            <v>17.989999999999998</v>
          </cell>
        </row>
        <row r="12775">
          <cell r="C12775" t="str">
            <v>4519 - SAFETY EQUIPMENT</v>
          </cell>
          <cell r="D12775" t="str">
            <v>SGSW112</v>
          </cell>
          <cell r="BA12775">
            <v>10.09</v>
          </cell>
        </row>
        <row r="12776">
          <cell r="C12776" t="str">
            <v>4519 - SAFETY EQUIPMENT</v>
          </cell>
          <cell r="D12776" t="str">
            <v>SGSW116</v>
          </cell>
          <cell r="BA12776">
            <v>17.989999999999998</v>
          </cell>
        </row>
        <row r="12777">
          <cell r="C12777" t="str">
            <v>4519 - SAFETY EQUIPMENT</v>
          </cell>
          <cell r="D12777" t="str">
            <v>SGSW117</v>
          </cell>
          <cell r="BA12777">
            <v>13.99</v>
          </cell>
        </row>
        <row r="12778">
          <cell r="C12778" t="str">
            <v>4519 - SAFETY EQUIPMENT</v>
          </cell>
          <cell r="D12778" t="str">
            <v>SGSWAP119</v>
          </cell>
          <cell r="BA12778">
            <v>21.99</v>
          </cell>
        </row>
        <row r="12779">
          <cell r="C12779" t="str">
            <v>4519 - SAFETY EQUIPMENT</v>
          </cell>
          <cell r="D12779" t="str">
            <v>SGTSM215</v>
          </cell>
          <cell r="BA12779">
            <v>39.99</v>
          </cell>
        </row>
        <row r="12780">
          <cell r="C12780" t="str">
            <v>4519 - SAFETY EQUIPMENT</v>
          </cell>
          <cell r="D12780" t="str">
            <v>SGTSM21-G15-7</v>
          </cell>
          <cell r="BA12780">
            <v>37.99</v>
          </cell>
        </row>
        <row r="12781">
          <cell r="C12781" t="str">
            <v>4519 - SAFETY EQUIPMENT</v>
          </cell>
          <cell r="D12781" t="str">
            <v>SGTSKAP218</v>
          </cell>
          <cell r="BA12781">
            <v>42.99</v>
          </cell>
        </row>
        <row r="12782">
          <cell r="C12782" t="str">
            <v>4519 - SAFETY EQUIPMENT</v>
          </cell>
          <cell r="D12782" t="str">
            <v>SGSDK117</v>
          </cell>
          <cell r="BA12782">
            <v>25.99</v>
          </cell>
        </row>
        <row r="12783">
          <cell r="C12783" t="str">
            <v>4519 - SAFETY EQUIPMENT</v>
          </cell>
          <cell r="D12783" t="str">
            <v>SGSR116</v>
          </cell>
          <cell r="BA12783">
            <v>24.99</v>
          </cell>
        </row>
        <row r="12784">
          <cell r="C12784" t="str">
            <v>4519 - SAFETY EQUIPMENT</v>
          </cell>
          <cell r="D12784" t="str">
            <v>SGSR117</v>
          </cell>
          <cell r="BA12784">
            <v>24.99</v>
          </cell>
        </row>
        <row r="12785">
          <cell r="C12785" t="str">
            <v>4519 - SAFETY EQUIPMENT</v>
          </cell>
          <cell r="D12785" t="str">
            <v>EESR116VS</v>
          </cell>
          <cell r="BA12785">
            <v>22.99</v>
          </cell>
        </row>
        <row r="12786">
          <cell r="C12786" t="str">
            <v>4519 - SAFETY EQUIPMENT</v>
          </cell>
          <cell r="D12786" t="str">
            <v>SGDZ111</v>
          </cell>
          <cell r="BA12786">
            <v>6.99</v>
          </cell>
        </row>
        <row r="12787">
          <cell r="C12787" t="str">
            <v>4519 - SAFETY EQUIPMENT</v>
          </cell>
          <cell r="D12787" t="str">
            <v>SGDZ111-2.0</v>
          </cell>
          <cell r="BA12787">
            <v>13.99</v>
          </cell>
        </row>
        <row r="12788">
          <cell r="C12788" t="str">
            <v>4519 - SAFETY EQUIPMENT</v>
          </cell>
          <cell r="D12788" t="str">
            <v>SGDZ116-G2</v>
          </cell>
          <cell r="BA12788">
            <v>6.99</v>
          </cell>
        </row>
        <row r="12789">
          <cell r="C12789" t="str">
            <v>4519 - SAFETY EQUIPMENT</v>
          </cell>
          <cell r="D12789" t="str">
            <v>SW10021259</v>
          </cell>
          <cell r="BA12789">
            <v>15.99</v>
          </cell>
        </row>
        <row r="12790">
          <cell r="C12790" t="str">
            <v>4519 - SAFETY EQUIPMENT</v>
          </cell>
          <cell r="D12790" t="str">
            <v>SW116CF</v>
          </cell>
          <cell r="BA12790">
            <v>15.99</v>
          </cell>
        </row>
        <row r="12791">
          <cell r="C12791" t="str">
            <v>4519 - SAFETY EQUIPMENT</v>
          </cell>
          <cell r="D12791" t="str">
            <v>SW10039206</v>
          </cell>
          <cell r="BA12791">
            <v>14.99</v>
          </cell>
        </row>
        <row r="12792">
          <cell r="C12792" t="str">
            <v>4519 - SAFETY EQUIPMENT</v>
          </cell>
          <cell r="D12792" t="str">
            <v>3M8511HA1C</v>
          </cell>
          <cell r="BA12792">
            <v>5.39</v>
          </cell>
        </row>
        <row r="12793">
          <cell r="C12793" t="str">
            <v>4519 - SAFETY EQUIPMENT</v>
          </cell>
          <cell r="D12793" t="str">
            <v>3M8511HB1C</v>
          </cell>
          <cell r="BA12793">
            <v>29.99</v>
          </cell>
        </row>
        <row r="12794">
          <cell r="C12794" t="str">
            <v>4519 - SAFETY EQUIPMENT</v>
          </cell>
          <cell r="D12794" t="str">
            <v>3M8511PB1A8511</v>
          </cell>
          <cell r="BA12794">
            <v>27.99</v>
          </cell>
        </row>
        <row r="12795">
          <cell r="C12795" t="str">
            <v>4519 - SAFETY EQUIPMENT</v>
          </cell>
          <cell r="D12795" t="str">
            <v>3M8200HC2-C</v>
          </cell>
          <cell r="BA12795">
            <v>7.99</v>
          </cell>
        </row>
        <row r="12796">
          <cell r="C12796" t="str">
            <v>4519 - SAFETY EQUIPMENT</v>
          </cell>
          <cell r="D12796" t="str">
            <v>SW10103821</v>
          </cell>
          <cell r="BA12796">
            <v>7.09</v>
          </cell>
        </row>
        <row r="12797">
          <cell r="C12797" t="str">
            <v>4519 - SAFETY EQUIPMENT</v>
          </cell>
          <cell r="D12797" t="str">
            <v>SWMK9500-N95</v>
          </cell>
          <cell r="BA12797">
            <v>25.99</v>
          </cell>
        </row>
        <row r="12798">
          <cell r="C12798" t="str">
            <v>4519 - SAFETY EQUIPMENT</v>
          </cell>
          <cell r="D12798" t="str">
            <v>3M8210PA1A8654</v>
          </cell>
          <cell r="BA12798">
            <v>7.59</v>
          </cell>
        </row>
        <row r="12799">
          <cell r="C12799" t="str">
            <v>4519 - SAFETY EQUIPMENT</v>
          </cell>
          <cell r="D12799" t="str">
            <v>VEN8025</v>
          </cell>
          <cell r="BA12799">
            <v>14.99</v>
          </cell>
        </row>
        <row r="12800">
          <cell r="C12800" t="str">
            <v>4520 - MF-NUTS,BOLTS,SCREWS,WASHERS</v>
          </cell>
          <cell r="D12800" t="str">
            <v>SDWS22400DB-RP1</v>
          </cell>
          <cell r="BA12800">
            <v>1.79</v>
          </cell>
        </row>
        <row r="12801">
          <cell r="C12801" t="str">
            <v>4520 - MF-NUTS,BOLTS,SCREWS,WASHERS</v>
          </cell>
          <cell r="D12801" t="str">
            <v>SDWS22500DB-RP1</v>
          </cell>
          <cell r="BA12801">
            <v>1.89</v>
          </cell>
        </row>
        <row r="12802">
          <cell r="C12802" t="str">
            <v>4520 - MF-NUTS,BOLTS,SCREWS,WASHERS</v>
          </cell>
          <cell r="D12802" t="str">
            <v>SDWS22600DB-RP1</v>
          </cell>
          <cell r="BA12802">
            <v>2.09</v>
          </cell>
        </row>
        <row r="12803">
          <cell r="C12803" t="str">
            <v>4520 - MF-NUTS,BOLTS,SCREWS,WASHERS</v>
          </cell>
          <cell r="D12803" t="str">
            <v>SDWS22800DB-RP1</v>
          </cell>
          <cell r="BA12803">
            <v>2.59</v>
          </cell>
        </row>
        <row r="12804">
          <cell r="C12804" t="str">
            <v>4520 - MF-NUTS,BOLTS,SCREWS,WASHERS</v>
          </cell>
          <cell r="D12804" t="str">
            <v>SDWS221000DB-RP1</v>
          </cell>
          <cell r="BA12804">
            <v>2.99</v>
          </cell>
        </row>
        <row r="12805">
          <cell r="C12805" t="str">
            <v>4520 - MF-NUTS,BOLTS,SCREWS,WASHERS</v>
          </cell>
          <cell r="D12805" t="str">
            <v>TBWA5810</v>
          </cell>
          <cell r="BA12805">
            <v>4.29</v>
          </cell>
        </row>
        <row r="12806">
          <cell r="C12806" t="str">
            <v>4520 - MF-NUTS,BOLTS,SCREWS,WASHERS</v>
          </cell>
          <cell r="D12806" t="str">
            <v>STB2-50234EA</v>
          </cell>
          <cell r="BA12806">
            <v>0.99</v>
          </cell>
        </row>
        <row r="12807">
          <cell r="C12807" t="str">
            <v>4520 - MF-NUTS,BOLTS,SCREWS,WASHERS</v>
          </cell>
          <cell r="D12807" t="str">
            <v>STB2-50334</v>
          </cell>
          <cell r="BA12807">
            <v>1.19</v>
          </cell>
        </row>
        <row r="12808">
          <cell r="C12808" t="str">
            <v>4520 - MF-NUTS,BOLTS,SCREWS,WASHERS</v>
          </cell>
          <cell r="D12808" t="str">
            <v>STB2-50434</v>
          </cell>
          <cell r="BA12808">
            <v>1.49</v>
          </cell>
        </row>
        <row r="12809">
          <cell r="C12809" t="str">
            <v>4520 - MF-NUTS,BOLTS,SCREWS,WASHERS</v>
          </cell>
          <cell r="D12809" t="str">
            <v>STB2-50700EA</v>
          </cell>
          <cell r="BA12809">
            <v>1.69</v>
          </cell>
        </row>
        <row r="12810">
          <cell r="C12810" t="str">
            <v>4520 - MF-NUTS,BOLTS,SCREWS,WASHERS</v>
          </cell>
          <cell r="D12810" t="str">
            <v>STB2-50700BX</v>
          </cell>
          <cell r="BA12810">
            <v>35.79</v>
          </cell>
        </row>
        <row r="12811">
          <cell r="C12811" t="str">
            <v>4520 - MF-NUTS,BOLTS,SCREWS,WASHERS</v>
          </cell>
          <cell r="D12811" t="str">
            <v>STB2-50812EA</v>
          </cell>
          <cell r="BA12811">
            <v>2.4900000000000002</v>
          </cell>
        </row>
        <row r="12812">
          <cell r="C12812" t="str">
            <v>4520 - MF-NUTS,BOLTS,SCREWS,WASHERS</v>
          </cell>
          <cell r="D12812" t="str">
            <v>STB2-62412EA</v>
          </cell>
          <cell r="BA12812">
            <v>2.19</v>
          </cell>
        </row>
        <row r="12813">
          <cell r="C12813" t="str">
            <v>4520 - MF-NUTS,BOLTS,SCREWS,WASHERS</v>
          </cell>
          <cell r="D12813" t="str">
            <v>STB2-62500</v>
          </cell>
          <cell r="BA12813">
            <v>2.39</v>
          </cell>
        </row>
        <row r="12814">
          <cell r="C12814" t="str">
            <v>4520 - MF-NUTS,BOLTS,SCREWS,WASHERS</v>
          </cell>
          <cell r="D12814" t="str">
            <v>STB2-62600EA</v>
          </cell>
          <cell r="BA12814">
            <v>2.39</v>
          </cell>
        </row>
        <row r="12815">
          <cell r="C12815" t="str">
            <v>4520 - MF-NUTS,BOLTS,SCREWS,WASHERS</v>
          </cell>
          <cell r="D12815" t="str">
            <v>STB2-62600</v>
          </cell>
          <cell r="BA12815">
            <v>2.39</v>
          </cell>
        </row>
        <row r="12816">
          <cell r="C12816" t="str">
            <v>4520 - MF-NUTS,BOLTS,SCREWS,WASHERS</v>
          </cell>
          <cell r="D12816" t="str">
            <v>STB2-62700EA</v>
          </cell>
          <cell r="BA12816">
            <v>2.99</v>
          </cell>
        </row>
        <row r="12817">
          <cell r="C12817" t="str">
            <v>4520 - MF-NUTS,BOLTS,SCREWS,WASHERS</v>
          </cell>
          <cell r="D12817" t="str">
            <v>STB2-62812EA</v>
          </cell>
          <cell r="BA12817">
            <v>3.59</v>
          </cell>
        </row>
        <row r="12818">
          <cell r="C12818" t="str">
            <v>4520 - MF-NUTS,BOLTS,SCREWS,WASHERS</v>
          </cell>
          <cell r="D12818" t="str">
            <v>STB2-62600MGREA</v>
          </cell>
          <cell r="BA12818">
            <v>4.09</v>
          </cell>
        </row>
        <row r="12819">
          <cell r="C12819" t="str">
            <v>4520 - MF-NUTS,BOLTS,SCREWS,WASHERS</v>
          </cell>
          <cell r="D12819" t="str">
            <v>GHB785</v>
          </cell>
          <cell r="BA12819">
            <v>0.02</v>
          </cell>
        </row>
        <row r="12820">
          <cell r="C12820" t="str">
            <v>4520 - MF-NUTS,BOLTS,SCREWS,WASHERS</v>
          </cell>
          <cell r="D12820" t="str">
            <v>GHB78512</v>
          </cell>
          <cell r="BA12820">
            <v>0.02</v>
          </cell>
        </row>
        <row r="12821">
          <cell r="C12821" t="str">
            <v>4520 - MF-NUTS,BOLTS,SCREWS,WASHERS</v>
          </cell>
          <cell r="D12821" t="str">
            <v>SDWH191000DB-50</v>
          </cell>
          <cell r="BA12821">
            <v>72.489999999999995</v>
          </cell>
        </row>
        <row r="12822">
          <cell r="C12822" t="str">
            <v>4520 - MF-NUTS,BOLTS,SCREWS,WASHERS</v>
          </cell>
          <cell r="D12822" t="str">
            <v>SDWH191000DB-R12</v>
          </cell>
          <cell r="BA12822">
            <v>27.69</v>
          </cell>
        </row>
        <row r="12823">
          <cell r="C12823" t="str">
            <v>4520 - MF-NUTS,BOLTS,SCREWS,WASHERS</v>
          </cell>
          <cell r="D12823" t="str">
            <v>SDWH191000DB-RP1</v>
          </cell>
          <cell r="BA12823">
            <v>2.4900000000000002</v>
          </cell>
        </row>
        <row r="12824">
          <cell r="C12824" t="str">
            <v>4520 - MF-NUTS,BOLTS,SCREWS,WASHERS</v>
          </cell>
          <cell r="D12824" t="str">
            <v>SDWH19300DB-R50</v>
          </cell>
          <cell r="BA12824">
            <v>27.09</v>
          </cell>
        </row>
        <row r="12825">
          <cell r="C12825" t="str">
            <v>4520 - MF-NUTS,BOLTS,SCREWS,WASHERS</v>
          </cell>
          <cell r="D12825" t="str">
            <v>SDWH19300DB-RP1</v>
          </cell>
          <cell r="BA12825">
            <v>1.29</v>
          </cell>
        </row>
        <row r="12826">
          <cell r="C12826" t="str">
            <v>4520 - MF-NUTS,BOLTS,SCREWS,WASHERS</v>
          </cell>
          <cell r="D12826" t="str">
            <v>SDWH19300DB-RC12</v>
          </cell>
          <cell r="BA12826">
            <v>11.49</v>
          </cell>
        </row>
        <row r="12827">
          <cell r="C12827" t="str">
            <v>4520 - MF-NUTS,BOLTS,SCREWS,WASHERS</v>
          </cell>
          <cell r="D12827" t="str">
            <v>SDWH19300DB-R12</v>
          </cell>
          <cell r="BA12827">
            <v>11.49</v>
          </cell>
        </row>
        <row r="12828">
          <cell r="C12828" t="str">
            <v>4520 - MF-NUTS,BOLTS,SCREWS,WASHERS</v>
          </cell>
          <cell r="D12828" t="str">
            <v>SDWH19400DB-RP1</v>
          </cell>
          <cell r="BA12828">
            <v>1.29</v>
          </cell>
        </row>
        <row r="12829">
          <cell r="C12829" t="str">
            <v>4520 - MF-NUTS,BOLTS,SCREWS,WASHERS</v>
          </cell>
          <cell r="D12829" t="str">
            <v>SDWH19400DB-R50</v>
          </cell>
          <cell r="BA12829">
            <v>32.79</v>
          </cell>
        </row>
        <row r="12830">
          <cell r="C12830" t="str">
            <v>4520 - MF-NUTS,BOLTS,SCREWS,WASHERS</v>
          </cell>
          <cell r="D12830" t="str">
            <v>SDWH19400DB-R12</v>
          </cell>
          <cell r="BA12830">
            <v>13.89</v>
          </cell>
        </row>
        <row r="12831">
          <cell r="C12831" t="str">
            <v>4520 - MF-NUTS,BOLTS,SCREWS,WASHERS</v>
          </cell>
          <cell r="D12831" t="str">
            <v>SDWH19600DB-R50</v>
          </cell>
          <cell r="BA12831">
            <v>48.39</v>
          </cell>
        </row>
        <row r="12832">
          <cell r="C12832" t="str">
            <v>4520 - MF-NUTS,BOLTS,SCREWS,WASHERS</v>
          </cell>
          <cell r="D12832" t="str">
            <v>SDWH19600DB-RP1</v>
          </cell>
          <cell r="BA12832">
            <v>1.79</v>
          </cell>
        </row>
        <row r="12833">
          <cell r="C12833" t="str">
            <v>4520 - MF-NUTS,BOLTS,SCREWS,WASHERS</v>
          </cell>
          <cell r="D12833" t="str">
            <v>SDWH19600DB-RC12</v>
          </cell>
          <cell r="BA12833">
            <v>17.59</v>
          </cell>
        </row>
        <row r="12834">
          <cell r="C12834" t="str">
            <v>4520 - MF-NUTS,BOLTS,SCREWS,WASHERS</v>
          </cell>
          <cell r="D12834" t="str">
            <v>SDWH19600DB-R12</v>
          </cell>
          <cell r="BA12834">
            <v>17.59</v>
          </cell>
        </row>
        <row r="12835">
          <cell r="C12835" t="str">
            <v>4520 - MF-NUTS,BOLTS,SCREWS,WASHERS</v>
          </cell>
          <cell r="D12835" t="str">
            <v>SDWH19800DB-R50</v>
          </cell>
          <cell r="BA12835">
            <v>65.489999999999995</v>
          </cell>
        </row>
        <row r="12836">
          <cell r="C12836" t="str">
            <v>4520 - MF-NUTS,BOLTS,SCREWS,WASHERS</v>
          </cell>
          <cell r="D12836" t="str">
            <v>SDWH19800DB-RP1</v>
          </cell>
          <cell r="BA12836">
            <v>2.19</v>
          </cell>
        </row>
        <row r="12837">
          <cell r="C12837" t="str">
            <v>4520 - MF-NUTS,BOLTS,SCREWS,WASHERS</v>
          </cell>
          <cell r="D12837" t="str">
            <v>SDWH19800DB-RC12</v>
          </cell>
          <cell r="BA12837">
            <v>23.19</v>
          </cell>
        </row>
        <row r="12838">
          <cell r="C12838" t="str">
            <v>4520 - MF-NUTS,BOLTS,SCREWS,WASHERS</v>
          </cell>
          <cell r="D12838" t="str">
            <v>SDWH19800DB-R12</v>
          </cell>
          <cell r="BA12838">
            <v>23.19</v>
          </cell>
        </row>
        <row r="12839">
          <cell r="C12839" t="str">
            <v>4520 - MF-NUTS,BOLTS,SCREWS,WASHERS</v>
          </cell>
          <cell r="D12839" t="str">
            <v>SDWH271000G-RP1</v>
          </cell>
          <cell r="BA12839">
            <v>4.99</v>
          </cell>
        </row>
        <row r="12840">
          <cell r="C12840" t="str">
            <v>4520 - MF-NUTS,BOLTS,SCREWS,WASHERS</v>
          </cell>
          <cell r="D12840" t="str">
            <v>SDWH27400G-RP1</v>
          </cell>
          <cell r="BA12840">
            <v>2.09</v>
          </cell>
        </row>
        <row r="12841">
          <cell r="C12841" t="str">
            <v>4520 - MF-NUTS,BOLTS,SCREWS,WASHERS</v>
          </cell>
          <cell r="D12841" t="str">
            <v>SDWH27600G-RP1</v>
          </cell>
          <cell r="BA12841">
            <v>2.99</v>
          </cell>
        </row>
        <row r="12842">
          <cell r="C12842" t="str">
            <v>4520 - MF-NUTS,BOLTS,SCREWS,WASHERS</v>
          </cell>
          <cell r="D12842" t="str">
            <v>SDWH27800G-RP1</v>
          </cell>
          <cell r="BA12842">
            <v>3.89</v>
          </cell>
        </row>
        <row r="12843">
          <cell r="C12843" t="str">
            <v>4520 - MF-NUTS,BOLTS,SCREWS,WASHERS</v>
          </cell>
          <cell r="D12843" t="str">
            <v>SDWS16212QR150</v>
          </cell>
          <cell r="BA12843">
            <v>40.090000000000003</v>
          </cell>
        </row>
        <row r="12844">
          <cell r="C12844" t="str">
            <v>4520 - MF-NUTS,BOLTS,SCREWS,WASHERS</v>
          </cell>
          <cell r="D12844" t="str">
            <v>SDWS16212QR75</v>
          </cell>
          <cell r="BA12844">
            <v>29.19</v>
          </cell>
        </row>
        <row r="12845">
          <cell r="C12845" t="str">
            <v>4520 - MF-NUTS,BOLTS,SCREWS,WASHERS</v>
          </cell>
          <cell r="D12845" t="str">
            <v>SDWS16212QR50</v>
          </cell>
          <cell r="BA12845">
            <v>15.49</v>
          </cell>
        </row>
        <row r="12846">
          <cell r="C12846" t="str">
            <v>4520 - MF-NUTS,BOLTS,SCREWS,WASHERS</v>
          </cell>
          <cell r="D12846" t="str">
            <v>SDWS16300QMB</v>
          </cell>
          <cell r="BA12846">
            <v>77.989999999999995</v>
          </cell>
        </row>
        <row r="12847">
          <cell r="C12847" t="str">
            <v>4520 - MF-NUTS,BOLTS,SCREWS,WASHERS</v>
          </cell>
          <cell r="D12847" t="str">
            <v>SDWS16300QR150</v>
          </cell>
          <cell r="BA12847">
            <v>43.69</v>
          </cell>
        </row>
        <row r="12848">
          <cell r="C12848" t="str">
            <v>4520 - MF-NUTS,BOLTS,SCREWS,WASHERS</v>
          </cell>
          <cell r="D12848" t="str">
            <v>SDWS16300QR75</v>
          </cell>
          <cell r="BA12848">
            <v>31.69</v>
          </cell>
        </row>
        <row r="12849">
          <cell r="C12849" t="str">
            <v>4520 - MF-NUTS,BOLTS,SCREWS,WASHERS</v>
          </cell>
          <cell r="D12849" t="str">
            <v>SDWS16300QR50</v>
          </cell>
          <cell r="BA12849">
            <v>17.690000000000001</v>
          </cell>
        </row>
        <row r="12850">
          <cell r="C12850" t="str">
            <v>4520 - MF-NUTS,BOLTS,SCREWS,WASHERS</v>
          </cell>
          <cell r="D12850" t="str">
            <v>SDWS16312QR150</v>
          </cell>
          <cell r="BA12850">
            <v>50.99</v>
          </cell>
        </row>
        <row r="12851">
          <cell r="C12851" t="str">
            <v>4520 - MF-NUTS,BOLTS,SCREWS,WASHERS</v>
          </cell>
          <cell r="D12851" t="str">
            <v>SDWS16312QR50</v>
          </cell>
          <cell r="BA12851">
            <v>20.09</v>
          </cell>
        </row>
        <row r="12852">
          <cell r="C12852" t="str">
            <v>4520 - MF-NUTS,BOLTS,SCREWS,WASHERS</v>
          </cell>
          <cell r="D12852" t="str">
            <v>SDWS16400QR150</v>
          </cell>
          <cell r="BA12852">
            <v>52.49</v>
          </cell>
        </row>
        <row r="12853">
          <cell r="C12853" t="str">
            <v>4520 - MF-NUTS,BOLTS,SCREWS,WASHERS</v>
          </cell>
          <cell r="D12853" t="str">
            <v>SDWS16400QR50</v>
          </cell>
          <cell r="BA12853">
            <v>21.09</v>
          </cell>
        </row>
        <row r="12854">
          <cell r="C12854" t="str">
            <v>4520 - MF-NUTS,BOLTS,SCREWS,WASHERS</v>
          </cell>
          <cell r="D12854" t="str">
            <v>SDWS221000DB-R12</v>
          </cell>
          <cell r="BA12854">
            <v>28.29</v>
          </cell>
        </row>
        <row r="12855">
          <cell r="C12855" t="str">
            <v>4520 - MF-NUTS,BOLTS,SCREWS,WASHERS</v>
          </cell>
          <cell r="D12855" t="str">
            <v>SDWS22300DB-RC12</v>
          </cell>
          <cell r="BA12855">
            <v>17.190000000000001</v>
          </cell>
        </row>
        <row r="12856">
          <cell r="C12856" t="str">
            <v>4520 - MF-NUTS,BOLTS,SCREWS,WASHERS</v>
          </cell>
          <cell r="D12856" t="str">
            <v>SDWS22400-R50</v>
          </cell>
          <cell r="BA12856">
            <v>35.19</v>
          </cell>
        </row>
        <row r="12857">
          <cell r="C12857" t="str">
            <v>4520 - MF-NUTS,BOLTS,SCREWS,WASHERS</v>
          </cell>
          <cell r="D12857" t="str">
            <v>T08175FS75TN02</v>
          </cell>
          <cell r="BA12857">
            <v>33.090000000000003</v>
          </cell>
        </row>
        <row r="12858">
          <cell r="C12858" t="str">
            <v>4520 - MF-NUTS,BOLTS,SCREWS,WASHERS</v>
          </cell>
          <cell r="D12858" t="str">
            <v>T08175FS75TN01</v>
          </cell>
          <cell r="BA12858">
            <v>33.090000000000003</v>
          </cell>
        </row>
        <row r="12859">
          <cell r="C12859" t="str">
            <v>4520 - MF-NUTS,BOLTS,SCREWS,WASHERS</v>
          </cell>
          <cell r="D12859" t="str">
            <v>T08175FS75RD01</v>
          </cell>
          <cell r="BA12859">
            <v>33.090000000000003</v>
          </cell>
        </row>
        <row r="12860">
          <cell r="C12860" t="str">
            <v>4520 - MF-NUTS,BOLTS,SCREWS,WASHERS</v>
          </cell>
          <cell r="D12860" t="str">
            <v>T08175FS75RD</v>
          </cell>
          <cell r="BA12860">
            <v>33.090000000000003</v>
          </cell>
        </row>
        <row r="12861">
          <cell r="C12861" t="str">
            <v>4520 - MF-NUTS,BOLTS,SCREWS,WASHERS</v>
          </cell>
          <cell r="D12861" t="str">
            <v>T08175FS75GR01</v>
          </cell>
          <cell r="BA12861">
            <v>33.090000000000003</v>
          </cell>
        </row>
        <row r="12862">
          <cell r="C12862" t="str">
            <v>4520 - MF-NUTS,BOLTS,SCREWS,WASHERS</v>
          </cell>
          <cell r="D12862" t="str">
            <v>T08175FS75GR</v>
          </cell>
          <cell r="BA12862">
            <v>33.090000000000003</v>
          </cell>
        </row>
        <row r="12863">
          <cell r="C12863" t="str">
            <v>4520 - MF-NUTS,BOLTS,SCREWS,WASHERS</v>
          </cell>
          <cell r="D12863" t="str">
            <v>T08175FS75BR01</v>
          </cell>
          <cell r="BA12863">
            <v>33.090000000000003</v>
          </cell>
        </row>
        <row r="12864">
          <cell r="C12864" t="str">
            <v>4520 - MF-NUTS,BOLTS,SCREWS,WASHERS</v>
          </cell>
          <cell r="D12864" t="str">
            <v>TDS8250D1</v>
          </cell>
          <cell r="BA12864">
            <v>0.02</v>
          </cell>
        </row>
        <row r="12865">
          <cell r="C12865" t="str">
            <v>4520 - MF-NUTS,BOLTS,SCREWS,WASHERS</v>
          </cell>
          <cell r="D12865" t="str">
            <v>POW50626</v>
          </cell>
          <cell r="BA12865">
            <v>12.49</v>
          </cell>
        </row>
        <row r="12866">
          <cell r="C12866" t="str">
            <v>4520 - MF-NUTS,BOLTS,SCREWS,WASHERS</v>
          </cell>
          <cell r="D12866" t="str">
            <v>FST11</v>
          </cell>
          <cell r="BA12866">
            <v>0.06</v>
          </cell>
        </row>
        <row r="12867">
          <cell r="C12867" t="str">
            <v>4520 - MF-NUTS,BOLTS,SCREWS,WASHERS</v>
          </cell>
          <cell r="D12867" t="str">
            <v>FST15</v>
          </cell>
          <cell r="BA12867">
            <v>7.0000000000000007E-2</v>
          </cell>
        </row>
        <row r="12868">
          <cell r="C12868" t="str">
            <v>4520 - MF-NUTS,BOLTS,SCREWS,WASHERS</v>
          </cell>
          <cell r="D12868" t="str">
            <v>FST17</v>
          </cell>
          <cell r="BA12868">
            <v>0.08</v>
          </cell>
        </row>
        <row r="12869">
          <cell r="C12869" t="str">
            <v>4520 - MF-NUTS,BOLTS,SCREWS,WASHERS</v>
          </cell>
          <cell r="D12869" t="str">
            <v>FST20</v>
          </cell>
          <cell r="BA12869">
            <v>0.11</v>
          </cell>
        </row>
        <row r="12870">
          <cell r="C12870" t="str">
            <v>4520 - MF-NUTS,BOLTS,SCREWS,WASHERS</v>
          </cell>
          <cell r="D12870" t="str">
            <v>FST23</v>
          </cell>
          <cell r="BA12870">
            <v>0.1</v>
          </cell>
        </row>
        <row r="12871">
          <cell r="C12871" t="str">
            <v>4520 - MF-NUTS,BOLTS,SCREWS,WASHERS</v>
          </cell>
          <cell r="D12871" t="str">
            <v>FST25</v>
          </cell>
          <cell r="BA12871">
            <v>0.18</v>
          </cell>
        </row>
        <row r="12872">
          <cell r="C12872" t="str">
            <v>4520 - MF-NUTS,BOLTS,SCREWS,WASHERS</v>
          </cell>
          <cell r="D12872" t="str">
            <v>FST40</v>
          </cell>
          <cell r="BA12872">
            <v>0.24</v>
          </cell>
        </row>
        <row r="12873">
          <cell r="C12873" t="str">
            <v>4520 - MF-NUTS,BOLTS,SCREWS,WASHERS</v>
          </cell>
          <cell r="D12873" t="str">
            <v>FST50</v>
          </cell>
          <cell r="BA12873">
            <v>0.35</v>
          </cell>
        </row>
        <row r="12874">
          <cell r="C12874" t="str">
            <v>4520 - MF-NUTS,BOLTS,SCREWS,WASHERS</v>
          </cell>
          <cell r="D12874" t="str">
            <v>FST12</v>
          </cell>
          <cell r="BA12874">
            <v>0.06</v>
          </cell>
        </row>
        <row r="12875">
          <cell r="C12875" t="str">
            <v>4520 - MF-NUTS,BOLTS,SCREWS,WASHERS</v>
          </cell>
          <cell r="D12875" t="str">
            <v>FST14</v>
          </cell>
          <cell r="BA12875">
            <v>0.09</v>
          </cell>
        </row>
        <row r="12876">
          <cell r="C12876" t="str">
            <v>4520 - MF-NUTS,BOLTS,SCREWS,WASHERS</v>
          </cell>
          <cell r="D12876" t="str">
            <v>FST18</v>
          </cell>
          <cell r="BA12876">
            <v>0.09</v>
          </cell>
        </row>
        <row r="12877">
          <cell r="C12877" t="str">
            <v>4520 - MF-NUTS,BOLTS,SCREWS,WASHERS</v>
          </cell>
          <cell r="D12877" t="str">
            <v>FST57</v>
          </cell>
          <cell r="BA12877">
            <v>0.46</v>
          </cell>
        </row>
        <row r="12878">
          <cell r="C12878" t="str">
            <v>4520 - MF-NUTS,BOLTS,SCREWS,WASHERS</v>
          </cell>
          <cell r="D12878" t="str">
            <v>FST59</v>
          </cell>
          <cell r="BA12878">
            <v>0.48</v>
          </cell>
        </row>
        <row r="12879">
          <cell r="C12879" t="str">
            <v>4520 - MF-NUTS,BOLTS,SCREWS,WASHERS</v>
          </cell>
          <cell r="D12879" t="str">
            <v>FST79</v>
          </cell>
          <cell r="BA12879">
            <v>0.57999999999999996</v>
          </cell>
        </row>
        <row r="12880">
          <cell r="C12880" t="str">
            <v>4520 - MF-NUTS,BOLTS,SCREWS,WASHERS</v>
          </cell>
          <cell r="D12880" t="str">
            <v>FST89</v>
          </cell>
          <cell r="BA12880">
            <v>0.6</v>
          </cell>
        </row>
        <row r="12881">
          <cell r="C12881" t="str">
            <v>4520 - MF-NUTS,BOLTS,SCREWS,WASHERS</v>
          </cell>
          <cell r="D12881" t="str">
            <v>FST119</v>
          </cell>
          <cell r="BA12881">
            <v>0.75</v>
          </cell>
        </row>
        <row r="12882">
          <cell r="C12882" t="str">
            <v>4520 - MF-NUTS,BOLTS,SCREWS,WASHERS</v>
          </cell>
          <cell r="D12882" t="str">
            <v>FST139</v>
          </cell>
          <cell r="BA12882">
            <v>1.0900000000000001</v>
          </cell>
        </row>
        <row r="12883">
          <cell r="C12883" t="str">
            <v>4520 - MF-NUTS,BOLTS,SCREWS,WASHERS</v>
          </cell>
          <cell r="D12883" t="str">
            <v>FST149</v>
          </cell>
          <cell r="BA12883">
            <v>0.99</v>
          </cell>
        </row>
        <row r="12884">
          <cell r="C12884" t="str">
            <v>4520 - MF-NUTS,BOLTS,SCREWS,WASHERS</v>
          </cell>
          <cell r="D12884" t="str">
            <v>FST24</v>
          </cell>
          <cell r="BA12884">
            <v>0.17</v>
          </cell>
        </row>
        <row r="12885">
          <cell r="C12885" t="str">
            <v>4520 - MF-NUTS,BOLTS,SCREWS,WASHERS</v>
          </cell>
          <cell r="D12885" t="str">
            <v>FST249</v>
          </cell>
          <cell r="BA12885">
            <v>1.79</v>
          </cell>
        </row>
        <row r="12886">
          <cell r="C12886" t="str">
            <v>4520 - MF-NUTS,BOLTS,SCREWS,WASHERS</v>
          </cell>
          <cell r="D12886" t="str">
            <v>FST269</v>
          </cell>
          <cell r="BA12886">
            <v>1.99</v>
          </cell>
        </row>
        <row r="12887">
          <cell r="C12887" t="str">
            <v>4520 - MF-NUTS,BOLTS,SCREWS,WASHERS</v>
          </cell>
          <cell r="D12887" t="str">
            <v>FST31</v>
          </cell>
          <cell r="BA12887">
            <v>0.2</v>
          </cell>
        </row>
        <row r="12888">
          <cell r="C12888" t="str">
            <v>4520 - MF-NUTS,BOLTS,SCREWS,WASHERS</v>
          </cell>
          <cell r="D12888" t="str">
            <v>FST339</v>
          </cell>
          <cell r="BA12888">
            <v>2.59</v>
          </cell>
        </row>
        <row r="12889">
          <cell r="C12889" t="str">
            <v>4520 - MF-NUTS,BOLTS,SCREWS,WASHERS</v>
          </cell>
          <cell r="D12889" t="str">
            <v>FST349</v>
          </cell>
          <cell r="BA12889">
            <v>2.4900000000000002</v>
          </cell>
        </row>
        <row r="12890">
          <cell r="C12890" t="str">
            <v>4520 - MF-NUTS,BOLTS,SCREWS,WASHERS</v>
          </cell>
          <cell r="D12890" t="str">
            <v>FST38</v>
          </cell>
          <cell r="BA12890">
            <v>0.25</v>
          </cell>
        </row>
        <row r="12891">
          <cell r="C12891" t="str">
            <v>4520 - MF-NUTS,BOLTS,SCREWS,WASHERS</v>
          </cell>
          <cell r="D12891" t="str">
            <v>FST419</v>
          </cell>
          <cell r="BA12891">
            <v>2.89</v>
          </cell>
        </row>
        <row r="12892">
          <cell r="C12892" t="str">
            <v>4520 - MF-NUTS,BOLTS,SCREWS,WASHERS</v>
          </cell>
          <cell r="D12892" t="str">
            <v>FST449</v>
          </cell>
          <cell r="BA12892">
            <v>3.29</v>
          </cell>
        </row>
        <row r="12893">
          <cell r="C12893" t="str">
            <v>4520 - MF-NUTS,BOLTS,SCREWS,WASHERS</v>
          </cell>
          <cell r="D12893" t="str">
            <v>FST44</v>
          </cell>
          <cell r="BA12893">
            <v>0.28999999999999998</v>
          </cell>
        </row>
        <row r="12894">
          <cell r="C12894" t="str">
            <v>4520 - MF-NUTS,BOLTS,SCREWS,WASHERS</v>
          </cell>
          <cell r="D12894" t="str">
            <v>FST675</v>
          </cell>
          <cell r="BA12894">
            <v>4.8899999999999997</v>
          </cell>
        </row>
        <row r="12895">
          <cell r="C12895" t="str">
            <v>4520 - MF-NUTS,BOLTS,SCREWS,WASHERS</v>
          </cell>
          <cell r="D12895" t="str">
            <v>FST159</v>
          </cell>
          <cell r="BA12895">
            <v>1.0900000000000001</v>
          </cell>
        </row>
        <row r="12896">
          <cell r="C12896" t="str">
            <v>4520 - MF-NUTS,BOLTS,SCREWS,WASHERS</v>
          </cell>
          <cell r="D12896" t="str">
            <v>FST179</v>
          </cell>
          <cell r="BA12896">
            <v>1.19</v>
          </cell>
        </row>
        <row r="12897">
          <cell r="C12897" t="str">
            <v>4520 - MF-NUTS,BOLTS,SCREWS,WASHERS</v>
          </cell>
          <cell r="D12897" t="str">
            <v>FST189</v>
          </cell>
          <cell r="BA12897">
            <v>1.29</v>
          </cell>
        </row>
        <row r="12898">
          <cell r="C12898" t="str">
            <v>4520 - MF-NUTS,BOLTS,SCREWS,WASHERS</v>
          </cell>
          <cell r="D12898" t="str">
            <v>FST199</v>
          </cell>
          <cell r="BA12898">
            <v>1.49</v>
          </cell>
        </row>
        <row r="12899">
          <cell r="C12899" t="str">
            <v>4520 - MF-NUTS,BOLTS,SCREWS,WASHERS</v>
          </cell>
          <cell r="D12899" t="str">
            <v>FST219</v>
          </cell>
          <cell r="BA12899">
            <v>1.49</v>
          </cell>
        </row>
        <row r="12900">
          <cell r="C12900" t="str">
            <v>4520 - MF-NUTS,BOLTS,SCREWS,WASHERS</v>
          </cell>
          <cell r="D12900" t="str">
            <v>FST229</v>
          </cell>
          <cell r="BA12900">
            <v>1.69</v>
          </cell>
        </row>
        <row r="12901">
          <cell r="C12901" t="str">
            <v>4520 - MF-NUTS,BOLTS,SCREWS,WASHERS</v>
          </cell>
          <cell r="D12901" t="str">
            <v>FST309</v>
          </cell>
          <cell r="BA12901">
            <v>2.39</v>
          </cell>
        </row>
        <row r="12902">
          <cell r="C12902" t="str">
            <v>4520 - MF-NUTS,BOLTS,SCREWS,WASHERS</v>
          </cell>
          <cell r="D12902" t="str">
            <v>FST319</v>
          </cell>
          <cell r="BA12902">
            <v>2.59</v>
          </cell>
        </row>
        <row r="12903">
          <cell r="C12903" t="str">
            <v>4520 - MF-NUTS,BOLTS,SCREWS,WASHERS</v>
          </cell>
          <cell r="D12903" t="str">
            <v>FST379</v>
          </cell>
          <cell r="BA12903">
            <v>2.69</v>
          </cell>
        </row>
        <row r="12904">
          <cell r="C12904" t="str">
            <v>4520 - MF-NUTS,BOLTS,SCREWS,WASHERS</v>
          </cell>
          <cell r="D12904" t="str">
            <v>FST399</v>
          </cell>
          <cell r="BA12904">
            <v>2.89</v>
          </cell>
        </row>
        <row r="12905">
          <cell r="C12905" t="str">
            <v>4520 - MF-NUTS,BOLTS,SCREWS,WASHERS</v>
          </cell>
          <cell r="D12905" t="str">
            <v>FST100</v>
          </cell>
          <cell r="BA12905">
            <v>0.59</v>
          </cell>
        </row>
        <row r="12906">
          <cell r="C12906" t="str">
            <v>4520 - MF-NUTS,BOLTS,SCREWS,WASHERS</v>
          </cell>
          <cell r="D12906" t="str">
            <v>FST115</v>
          </cell>
          <cell r="BA12906">
            <v>0.79</v>
          </cell>
        </row>
        <row r="12907">
          <cell r="C12907" t="str">
            <v>4520 - MF-NUTS,BOLTS,SCREWS,WASHERS</v>
          </cell>
          <cell r="D12907" t="str">
            <v>FST30</v>
          </cell>
          <cell r="BA12907">
            <v>0.24</v>
          </cell>
        </row>
        <row r="12908">
          <cell r="C12908" t="str">
            <v>4520 - MF-NUTS,BOLTS,SCREWS,WASHERS</v>
          </cell>
          <cell r="D12908" t="str">
            <v>FST35</v>
          </cell>
          <cell r="BA12908">
            <v>0.2</v>
          </cell>
        </row>
        <row r="12909">
          <cell r="C12909" t="str">
            <v>4520 - MF-NUTS,BOLTS,SCREWS,WASHERS</v>
          </cell>
          <cell r="D12909" t="str">
            <v>FST45</v>
          </cell>
          <cell r="BA12909">
            <v>0.32</v>
          </cell>
        </row>
        <row r="12910">
          <cell r="C12910" t="str">
            <v>4520 - MF-NUTS,BOLTS,SCREWS,WASHERS</v>
          </cell>
          <cell r="D12910" t="str">
            <v>FST55</v>
          </cell>
          <cell r="BA12910">
            <v>0.35</v>
          </cell>
        </row>
        <row r="12911">
          <cell r="C12911" t="str">
            <v>4520 - MF-NUTS,BOLTS,SCREWS,WASHERS</v>
          </cell>
          <cell r="D12911" t="str">
            <v>FST60</v>
          </cell>
          <cell r="BA12911">
            <v>0.4</v>
          </cell>
        </row>
        <row r="12912">
          <cell r="C12912" t="str">
            <v>4520 - MF-NUTS,BOLTS,SCREWS,WASHERS</v>
          </cell>
          <cell r="D12912" t="str">
            <v>FST65</v>
          </cell>
          <cell r="BA12912">
            <v>0.45</v>
          </cell>
        </row>
        <row r="12913">
          <cell r="C12913" t="str">
            <v>4520 - MF-NUTS,BOLTS,SCREWS,WASHERS</v>
          </cell>
          <cell r="D12913" t="str">
            <v>FST85</v>
          </cell>
          <cell r="BA12913">
            <v>0.53</v>
          </cell>
        </row>
        <row r="12914">
          <cell r="C12914" t="str">
            <v>4520 - MF-NUTS,BOLTS,SCREWS,WASHERS</v>
          </cell>
          <cell r="D12914" t="str">
            <v>FST180</v>
          </cell>
          <cell r="BA12914">
            <v>1.39</v>
          </cell>
        </row>
        <row r="12915">
          <cell r="C12915" t="str">
            <v>4520 - MF-NUTS,BOLTS,SCREWS,WASHERS</v>
          </cell>
          <cell r="D12915" t="str">
            <v>FST200</v>
          </cell>
          <cell r="BA12915">
            <v>1.29</v>
          </cell>
        </row>
        <row r="12916">
          <cell r="C12916" t="str">
            <v>4520 - MF-NUTS,BOLTS,SCREWS,WASHERS</v>
          </cell>
          <cell r="D12916" t="str">
            <v>FST160</v>
          </cell>
          <cell r="BA12916">
            <v>1.19</v>
          </cell>
        </row>
        <row r="12917">
          <cell r="C12917" t="str">
            <v>4520 - MF-NUTS,BOLTS,SCREWS,WASHERS</v>
          </cell>
          <cell r="D12917" t="str">
            <v>FST80</v>
          </cell>
          <cell r="BA12917">
            <v>0.53</v>
          </cell>
        </row>
        <row r="12918">
          <cell r="C12918" t="str">
            <v>4520 - MF-NUTS,BOLTS,SCREWS,WASHERS</v>
          </cell>
          <cell r="D12918" t="str">
            <v>FST47</v>
          </cell>
          <cell r="BA12918">
            <v>0.31</v>
          </cell>
        </row>
        <row r="12919">
          <cell r="C12919" t="str">
            <v>4520 - MF-NUTS,BOLTS,SCREWS,WASHERS</v>
          </cell>
          <cell r="D12919" t="str">
            <v>FST43</v>
          </cell>
          <cell r="BA12919">
            <v>0.32</v>
          </cell>
        </row>
        <row r="12920">
          <cell r="C12920" t="str">
            <v>4520 - MF-NUTS,BOLTS,SCREWS,WASHERS</v>
          </cell>
          <cell r="D12920" t="str">
            <v>FST37</v>
          </cell>
          <cell r="BA12920">
            <v>0.22</v>
          </cell>
        </row>
        <row r="12921">
          <cell r="C12921" t="str">
            <v>4520 - MF-NUTS,BOLTS,SCREWS,WASHERS</v>
          </cell>
          <cell r="D12921" t="str">
            <v>FST105</v>
          </cell>
          <cell r="BA12921">
            <v>0.79</v>
          </cell>
        </row>
        <row r="12922">
          <cell r="C12922" t="str">
            <v>4520 - MF-NUTS,BOLTS,SCREWS,WASHERS</v>
          </cell>
          <cell r="D12922" t="str">
            <v>FST125</v>
          </cell>
          <cell r="BA12922">
            <v>0.89</v>
          </cell>
        </row>
        <row r="12923">
          <cell r="C12923" t="str">
            <v>4520 - MF-NUTS,BOLTS,SCREWS,WASHERS</v>
          </cell>
          <cell r="D12923" t="str">
            <v>FST130</v>
          </cell>
          <cell r="BA12923">
            <v>0.75</v>
          </cell>
        </row>
        <row r="12924">
          <cell r="C12924" t="str">
            <v>4520 - MF-NUTS,BOLTS,SCREWS,WASHERS</v>
          </cell>
          <cell r="D12924" t="str">
            <v>FST135</v>
          </cell>
          <cell r="BA12924">
            <v>0.99</v>
          </cell>
        </row>
        <row r="12925">
          <cell r="C12925" t="str">
            <v>4520 - MF-NUTS,BOLTS,SCREWS,WASHERS</v>
          </cell>
          <cell r="D12925" t="str">
            <v>FST145</v>
          </cell>
          <cell r="BA12925">
            <v>1.0900000000000001</v>
          </cell>
        </row>
        <row r="12926">
          <cell r="C12926" t="str">
            <v>4520 - MF-NUTS,BOLTS,SCREWS,WASHERS</v>
          </cell>
          <cell r="D12926" t="str">
            <v>FST155</v>
          </cell>
          <cell r="BA12926">
            <v>1.0900000000000001</v>
          </cell>
        </row>
        <row r="12927">
          <cell r="C12927" t="str">
            <v>4520 - MF-NUTS,BOLTS,SCREWS,WASHERS</v>
          </cell>
          <cell r="D12927" t="str">
            <v>FST165</v>
          </cell>
          <cell r="BA12927">
            <v>1.29</v>
          </cell>
        </row>
        <row r="12928">
          <cell r="C12928" t="str">
            <v>4520 - MF-NUTS,BOLTS,SCREWS,WASHERS</v>
          </cell>
          <cell r="D12928" t="str">
            <v>FST175</v>
          </cell>
          <cell r="BA12928">
            <v>1.29</v>
          </cell>
        </row>
        <row r="12929">
          <cell r="C12929" t="str">
            <v>4520 - MF-NUTS,BOLTS,SCREWS,WASHERS</v>
          </cell>
          <cell r="D12929" t="str">
            <v>FST190</v>
          </cell>
          <cell r="BA12929">
            <v>1.39</v>
          </cell>
        </row>
        <row r="12930">
          <cell r="C12930" t="str">
            <v>4520 - MF-NUTS,BOLTS,SCREWS,WASHERS</v>
          </cell>
          <cell r="D12930" t="str">
            <v>FST270</v>
          </cell>
          <cell r="BA12930">
            <v>2.09</v>
          </cell>
        </row>
        <row r="12931">
          <cell r="C12931" t="str">
            <v>4520 - MF-NUTS,BOLTS,SCREWS,WASHERS</v>
          </cell>
          <cell r="D12931" t="str">
            <v>FST400</v>
          </cell>
          <cell r="BA12931">
            <v>3.39</v>
          </cell>
        </row>
        <row r="12932">
          <cell r="C12932" t="str">
            <v>4520 - MF-NUTS,BOLTS,SCREWS,WASHERS</v>
          </cell>
          <cell r="D12932" t="str">
            <v>FST21</v>
          </cell>
          <cell r="BA12932">
            <v>0.11</v>
          </cell>
        </row>
        <row r="12933">
          <cell r="C12933" t="str">
            <v>4520 - MF-NUTS,BOLTS,SCREWS,WASHERS</v>
          </cell>
          <cell r="D12933" t="str">
            <v>FST250</v>
          </cell>
          <cell r="BA12933">
            <v>1.79</v>
          </cell>
        </row>
        <row r="12934">
          <cell r="C12934" t="str">
            <v>4520 - MF-NUTS,BOLTS,SCREWS,WASHERS</v>
          </cell>
          <cell r="D12934" t="str">
            <v>FST290</v>
          </cell>
          <cell r="BA12934">
            <v>2.39</v>
          </cell>
        </row>
        <row r="12935">
          <cell r="C12935" t="str">
            <v>4520 - MF-NUTS,BOLTS,SCREWS,WASHERS</v>
          </cell>
          <cell r="D12935" t="str">
            <v>FST510</v>
          </cell>
          <cell r="BA12935">
            <v>3.69</v>
          </cell>
        </row>
        <row r="12936">
          <cell r="C12936" t="str">
            <v>4520 - MF-NUTS,BOLTS,SCREWS,WASHERS</v>
          </cell>
          <cell r="D12936" t="str">
            <v>FST650</v>
          </cell>
          <cell r="BA12936">
            <v>4.29</v>
          </cell>
        </row>
        <row r="12937">
          <cell r="C12937" t="str">
            <v>4520 - MF-NUTS,BOLTS,SCREWS,WASHERS</v>
          </cell>
          <cell r="D12937" t="str">
            <v>FST750</v>
          </cell>
          <cell r="BA12937">
            <v>5.39</v>
          </cell>
        </row>
        <row r="12938">
          <cell r="C12938" t="str">
            <v>4520 - MF-NUTS,BOLTS,SCREWS,WASHERS</v>
          </cell>
          <cell r="D12938" t="str">
            <v>H811018EA</v>
          </cell>
          <cell r="BA12938">
            <v>0.44</v>
          </cell>
        </row>
        <row r="12939">
          <cell r="C12939" t="str">
            <v>4520 - MF-NUTS,BOLTS,SCREWS,WASHERS</v>
          </cell>
          <cell r="D12939" t="str">
            <v>RMSSCR1234Z</v>
          </cell>
          <cell r="BA12939">
            <v>9.99</v>
          </cell>
        </row>
        <row r="12940">
          <cell r="C12940" t="str">
            <v>4520 - MF-NUTS,BOLTS,SCREWS,WASHERS</v>
          </cell>
          <cell r="D12940" t="str">
            <v>RMSSCR9112C</v>
          </cell>
          <cell r="BA12940">
            <v>12.19</v>
          </cell>
        </row>
        <row r="12941">
          <cell r="C12941" t="str">
            <v>4520 - MF-NUTS,BOLTS,SCREWS,WASHERS</v>
          </cell>
          <cell r="D12941" t="str">
            <v>RMSSCR9112CB</v>
          </cell>
          <cell r="BA12941">
            <v>12.19</v>
          </cell>
        </row>
        <row r="12942">
          <cell r="C12942" t="str">
            <v>4520 - MF-NUTS,BOLTS,SCREWS,WASHERS</v>
          </cell>
          <cell r="D12942" t="str">
            <v>RMSSCR9112CBEA</v>
          </cell>
          <cell r="BA12942">
            <v>0.13</v>
          </cell>
        </row>
        <row r="12943">
          <cell r="C12943" t="str">
            <v>4520 - MF-NUTS,BOLTS,SCREWS,WASHERS</v>
          </cell>
          <cell r="D12943" t="str">
            <v>RMSSCR9112DG</v>
          </cell>
          <cell r="BA12943">
            <v>12.19</v>
          </cell>
        </row>
        <row r="12944">
          <cell r="C12944" t="str">
            <v>4520 - MF-NUTS,BOLTS,SCREWS,WASHERS</v>
          </cell>
          <cell r="D12944" t="str">
            <v>RMSSCR9112DGEA</v>
          </cell>
          <cell r="BA12944">
            <v>0.13</v>
          </cell>
        </row>
        <row r="12945">
          <cell r="C12945" t="str">
            <v>4520 - MF-NUTS,BOLTS,SCREWS,WASHERS</v>
          </cell>
          <cell r="D12945" t="str">
            <v>RMSSCR9112OTG</v>
          </cell>
          <cell r="BA12945">
            <v>12.19</v>
          </cell>
        </row>
        <row r="12946">
          <cell r="C12946" t="str">
            <v>4520 - MF-NUTS,BOLTS,SCREWS,WASHERS</v>
          </cell>
          <cell r="D12946" t="str">
            <v>RMSSCR9112OTGEA</v>
          </cell>
          <cell r="BA12946">
            <v>0.13</v>
          </cell>
        </row>
        <row r="12947">
          <cell r="C12947" t="str">
            <v>4520 - MF-NUTS,BOLTS,SCREWS,WASHERS</v>
          </cell>
          <cell r="D12947" t="str">
            <v>RMSSCR9112PSSG</v>
          </cell>
          <cell r="BA12947">
            <v>12.19</v>
          </cell>
        </row>
        <row r="12948">
          <cell r="C12948" t="str">
            <v>4520 - MF-NUTS,BOLTS,SCREWS,WASHERS</v>
          </cell>
          <cell r="D12948" t="str">
            <v>RMSSCR9112PSSGEA</v>
          </cell>
          <cell r="BA12948">
            <v>0.13</v>
          </cell>
        </row>
        <row r="12949">
          <cell r="C12949" t="str">
            <v>4520 - MF-NUTS,BOLTS,SCREWS,WASHERS</v>
          </cell>
          <cell r="D12949" t="str">
            <v>RMSSCR9112RR</v>
          </cell>
          <cell r="BA12949">
            <v>12.19</v>
          </cell>
        </row>
        <row r="12950">
          <cell r="C12950" t="str">
            <v>4520 - MF-NUTS,BOLTS,SCREWS,WASHERS</v>
          </cell>
          <cell r="D12950" t="str">
            <v>RMSSCR9112TB</v>
          </cell>
          <cell r="BA12950">
            <v>12.19</v>
          </cell>
        </row>
        <row r="12951">
          <cell r="C12951" t="str">
            <v>4520 - MF-NUTS,BOLTS,SCREWS,WASHERS</v>
          </cell>
          <cell r="D12951" t="str">
            <v>RMSSCR9112TBEA</v>
          </cell>
          <cell r="BA12951">
            <v>0.13</v>
          </cell>
        </row>
        <row r="12952">
          <cell r="C12952" t="str">
            <v>4520 - MF-NUTS,BOLTS,SCREWS,WASHERS</v>
          </cell>
          <cell r="D12952" t="str">
            <v>RMSSCR9112WW</v>
          </cell>
          <cell r="BA12952">
            <v>12.19</v>
          </cell>
        </row>
        <row r="12953">
          <cell r="C12953" t="str">
            <v>4520 - MF-NUTS,BOLTS,SCREWS,WASHERS</v>
          </cell>
          <cell r="D12953" t="str">
            <v>RMSSCR9112WWEA</v>
          </cell>
          <cell r="BA12953">
            <v>0.13</v>
          </cell>
        </row>
        <row r="12954">
          <cell r="C12954" t="str">
            <v>4520 - MF-NUTS,BOLTS,SCREWS,WASHERS</v>
          </cell>
          <cell r="D12954" t="str">
            <v>RMSSCR9112Z</v>
          </cell>
          <cell r="BA12954">
            <v>10.99</v>
          </cell>
        </row>
        <row r="12955">
          <cell r="C12955" t="str">
            <v>4520 - MF-NUTS,BOLTS,SCREWS,WASHERS</v>
          </cell>
          <cell r="D12955" t="str">
            <v>RMSSCR9112ZEA</v>
          </cell>
          <cell r="BA12955">
            <v>0.12</v>
          </cell>
        </row>
        <row r="12956">
          <cell r="C12956" t="str">
            <v>4520 - MF-NUTS,BOLTS,SCREWS,WASHERS</v>
          </cell>
          <cell r="D12956" t="str">
            <v>RMSSCR91C</v>
          </cell>
          <cell r="BA12956">
            <v>10.99</v>
          </cell>
        </row>
        <row r="12957">
          <cell r="C12957" t="str">
            <v>4520 - MF-NUTS,BOLTS,SCREWS,WASHERS</v>
          </cell>
          <cell r="D12957" t="str">
            <v>RMSSCR91CB</v>
          </cell>
          <cell r="BA12957">
            <v>10.99</v>
          </cell>
        </row>
        <row r="12958">
          <cell r="C12958" t="str">
            <v>4520 - MF-NUTS,BOLTS,SCREWS,WASHERS</v>
          </cell>
          <cell r="D12958" t="str">
            <v>RMSSCR91CBEA</v>
          </cell>
          <cell r="BA12958">
            <v>0.11</v>
          </cell>
        </row>
        <row r="12959">
          <cell r="C12959" t="str">
            <v>4520 - MF-NUTS,BOLTS,SCREWS,WASHERS</v>
          </cell>
          <cell r="D12959" t="str">
            <v>RMSSCR91DG</v>
          </cell>
          <cell r="BA12959">
            <v>10.99</v>
          </cell>
        </row>
        <row r="12960">
          <cell r="C12960" t="str">
            <v>4520 - MF-NUTS,BOLTS,SCREWS,WASHERS</v>
          </cell>
          <cell r="D12960" t="str">
            <v>RMSSCR91DGEA</v>
          </cell>
          <cell r="BA12960">
            <v>0.11</v>
          </cell>
        </row>
        <row r="12961">
          <cell r="C12961" t="str">
            <v>4520 - MF-NUTS,BOLTS,SCREWS,WASHERS</v>
          </cell>
          <cell r="D12961" t="str">
            <v>RMSSCR91FG</v>
          </cell>
          <cell r="BA12961">
            <v>9.69</v>
          </cell>
        </row>
        <row r="12962">
          <cell r="C12962" t="str">
            <v>4520 - MF-NUTS,BOLTS,SCREWS,WASHERS</v>
          </cell>
          <cell r="D12962" t="str">
            <v>RMSSCR91PSOTG</v>
          </cell>
          <cell r="BA12962">
            <v>10.99</v>
          </cell>
        </row>
        <row r="12963">
          <cell r="C12963" t="str">
            <v>4520 - MF-NUTS,BOLTS,SCREWS,WASHERS</v>
          </cell>
          <cell r="D12963" t="str">
            <v>RMSSCR91PSOTGEA</v>
          </cell>
          <cell r="BA12963">
            <v>0.11</v>
          </cell>
        </row>
        <row r="12964">
          <cell r="C12964" t="str">
            <v>4520 - MF-NUTS,BOLTS,SCREWS,WASHERS</v>
          </cell>
          <cell r="D12964" t="str">
            <v>RMSSCR91PSSG</v>
          </cell>
          <cell r="BA12964">
            <v>10.99</v>
          </cell>
        </row>
        <row r="12965">
          <cell r="C12965" t="str">
            <v>4520 - MF-NUTS,BOLTS,SCREWS,WASHERS</v>
          </cell>
          <cell r="D12965" t="str">
            <v>RMSSCR91PSSGEA</v>
          </cell>
          <cell r="BA12965">
            <v>0.11</v>
          </cell>
        </row>
        <row r="12966">
          <cell r="C12966" t="str">
            <v>4520 - MF-NUTS,BOLTS,SCREWS,WASHERS</v>
          </cell>
          <cell r="D12966" t="str">
            <v>RMSSCR91RR</v>
          </cell>
          <cell r="BA12966">
            <v>10.99</v>
          </cell>
        </row>
        <row r="12967">
          <cell r="C12967" t="str">
            <v>4520 - MF-NUTS,BOLTS,SCREWS,WASHERS</v>
          </cell>
          <cell r="D12967" t="str">
            <v>RMSSCR91RREA</v>
          </cell>
          <cell r="BA12967">
            <v>0.11</v>
          </cell>
        </row>
        <row r="12968">
          <cell r="C12968" t="str">
            <v>4520 - MF-NUTS,BOLTS,SCREWS,WASHERS</v>
          </cell>
          <cell r="D12968" t="str">
            <v>RMSSCR91TB</v>
          </cell>
          <cell r="BA12968">
            <v>10.99</v>
          </cell>
        </row>
        <row r="12969">
          <cell r="C12969" t="str">
            <v>4520 - MF-NUTS,BOLTS,SCREWS,WASHERS</v>
          </cell>
          <cell r="D12969" t="str">
            <v>RMSSCR91TBEA</v>
          </cell>
          <cell r="BA12969">
            <v>0.11</v>
          </cell>
        </row>
        <row r="12970">
          <cell r="C12970" t="str">
            <v>4520 - MF-NUTS,BOLTS,SCREWS,WASHERS</v>
          </cell>
          <cell r="D12970" t="str">
            <v>RMSSCR91WW</v>
          </cell>
          <cell r="BA12970">
            <v>10.99</v>
          </cell>
        </row>
        <row r="12971">
          <cell r="C12971" t="str">
            <v>4520 - MF-NUTS,BOLTS,SCREWS,WASHERS</v>
          </cell>
          <cell r="D12971" t="str">
            <v>RMSSCR91WWEA</v>
          </cell>
          <cell r="BA12971">
            <v>0.11</v>
          </cell>
        </row>
        <row r="12972">
          <cell r="C12972" t="str">
            <v>4520 - MF-NUTS,BOLTS,SCREWS,WASHERS</v>
          </cell>
          <cell r="D12972" t="str">
            <v>RMSSCR91Z</v>
          </cell>
          <cell r="BA12972">
            <v>9.89</v>
          </cell>
        </row>
        <row r="12973">
          <cell r="C12973" t="str">
            <v>4520 - MF-NUTS,BOLTS,SCREWS,WASHERS</v>
          </cell>
          <cell r="D12973" t="str">
            <v>H122213</v>
          </cell>
          <cell r="BA12973">
            <v>1.89</v>
          </cell>
        </row>
        <row r="12974">
          <cell r="C12974" t="str">
            <v>4520 - MF-NUTS,BOLTS,SCREWS,WASHERS</v>
          </cell>
          <cell r="D12974" t="str">
            <v>H810518EA</v>
          </cell>
          <cell r="BA12974">
            <v>1.29</v>
          </cell>
        </row>
        <row r="12975">
          <cell r="C12975" t="str">
            <v>4520 - MF-NUTS,BOLTS,SCREWS,WASHERS</v>
          </cell>
          <cell r="D12975" t="str">
            <v>H810569EA</v>
          </cell>
          <cell r="BA12975">
            <v>1.79</v>
          </cell>
        </row>
        <row r="12976">
          <cell r="C12976" t="str">
            <v>4520 - MF-NUTS,BOLTS,SCREWS,WASHERS</v>
          </cell>
          <cell r="D12976" t="str">
            <v>H810570EA</v>
          </cell>
          <cell r="BA12976">
            <v>1.99</v>
          </cell>
        </row>
        <row r="12977">
          <cell r="C12977" t="str">
            <v>4520 - MF-NUTS,BOLTS,SCREWS,WASHERS</v>
          </cell>
          <cell r="D12977" t="str">
            <v>H811009EA</v>
          </cell>
          <cell r="BA12977">
            <v>0.09</v>
          </cell>
        </row>
        <row r="12978">
          <cell r="C12978" t="str">
            <v>4520 - MF-NUTS,BOLTS,SCREWS,WASHERS</v>
          </cell>
          <cell r="D12978" t="str">
            <v>H811019EA</v>
          </cell>
          <cell r="BA12978">
            <v>1.89</v>
          </cell>
        </row>
        <row r="12979">
          <cell r="C12979" t="str">
            <v>4520 - MF-NUTS,BOLTS,SCREWS,WASHERS</v>
          </cell>
          <cell r="D12979" t="str">
            <v>H811626EA</v>
          </cell>
          <cell r="BA12979">
            <v>2.19</v>
          </cell>
        </row>
        <row r="12980">
          <cell r="C12980" t="str">
            <v>4520 - MF-NUTS,BOLTS,SCREWS,WASHERS</v>
          </cell>
          <cell r="D12980" t="str">
            <v>H811629EA</v>
          </cell>
          <cell r="BA12980">
            <v>2.39</v>
          </cell>
        </row>
        <row r="12981">
          <cell r="C12981" t="str">
            <v>4520 - MF-NUTS,BOLTS,SCREWS,WASHERS</v>
          </cell>
          <cell r="D12981" t="str">
            <v>H811630EA</v>
          </cell>
          <cell r="BA12981">
            <v>2.89</v>
          </cell>
        </row>
        <row r="12982">
          <cell r="C12982" t="str">
            <v>4520 - MF-NUTS,BOLTS,SCREWS,WASHERS</v>
          </cell>
          <cell r="D12982" t="str">
            <v>H811632EA</v>
          </cell>
          <cell r="BA12982">
            <v>3.19</v>
          </cell>
        </row>
        <row r="12983">
          <cell r="C12983" t="str">
            <v>4520 - MF-NUTS,BOLTS,SCREWS,WASHERS</v>
          </cell>
          <cell r="D12983" t="str">
            <v>H811635EA</v>
          </cell>
          <cell r="BA12983">
            <v>3.99</v>
          </cell>
        </row>
        <row r="12984">
          <cell r="C12984" t="str">
            <v>4520 - MF-NUTS,BOLTS,SCREWS,WASHERS</v>
          </cell>
          <cell r="D12984" t="str">
            <v>H811668EA</v>
          </cell>
          <cell r="BA12984">
            <v>2.89</v>
          </cell>
        </row>
        <row r="12985">
          <cell r="C12985" t="str">
            <v>4520 - MF-NUTS,BOLTS,SCREWS,WASHERS</v>
          </cell>
          <cell r="D12985" t="str">
            <v>H811672EA</v>
          </cell>
          <cell r="BA12985">
            <v>3.39</v>
          </cell>
        </row>
        <row r="12986">
          <cell r="C12986" t="str">
            <v>4520 - MF-NUTS,BOLTS,SCREWS,WASHERS</v>
          </cell>
          <cell r="D12986" t="str">
            <v>H811674EA</v>
          </cell>
          <cell r="BA12986">
            <v>4.3899999999999997</v>
          </cell>
        </row>
        <row r="12987">
          <cell r="C12987" t="str">
            <v>4520 - MF-NUTS,BOLTS,SCREWS,WASHERS</v>
          </cell>
          <cell r="D12987" t="str">
            <v>H811675EA</v>
          </cell>
          <cell r="BA12987">
            <v>5.29</v>
          </cell>
        </row>
        <row r="12988">
          <cell r="C12988" t="str">
            <v>4520 - MF-NUTS,BOLTS,SCREWS,WASHERS</v>
          </cell>
          <cell r="D12988" t="str">
            <v>H811678EA</v>
          </cell>
          <cell r="BA12988">
            <v>5.99</v>
          </cell>
        </row>
        <row r="12989">
          <cell r="C12989" t="str">
            <v>4520 - MF-NUTS,BOLTS,SCREWS,WASHERS</v>
          </cell>
          <cell r="D12989" t="str">
            <v>H811722EA</v>
          </cell>
          <cell r="BA12989">
            <v>7.29</v>
          </cell>
        </row>
        <row r="12990">
          <cell r="C12990" t="str">
            <v>4520 - MF-NUTS,BOLTS,SCREWS,WASHERS</v>
          </cell>
          <cell r="D12990" t="str">
            <v>H811725EA</v>
          </cell>
          <cell r="BA12990">
            <v>7.79</v>
          </cell>
        </row>
        <row r="12991">
          <cell r="C12991" t="str">
            <v>4520 - MF-NUTS,BOLTS,SCREWS,WASHERS</v>
          </cell>
          <cell r="D12991" t="str">
            <v>H812006EA</v>
          </cell>
          <cell r="BA12991">
            <v>0.37</v>
          </cell>
        </row>
        <row r="12992">
          <cell r="C12992" t="str">
            <v>4520 - MF-NUTS,BOLTS,SCREWS,WASHERS</v>
          </cell>
          <cell r="D12992" t="str">
            <v>H812021EA</v>
          </cell>
          <cell r="BA12992">
            <v>0.69</v>
          </cell>
        </row>
        <row r="12993">
          <cell r="C12993" t="str">
            <v>4520 - MF-NUTS,BOLTS,SCREWS,WASHERS</v>
          </cell>
          <cell r="D12993" t="str">
            <v>H812119EA</v>
          </cell>
          <cell r="BA12993">
            <v>4.3899999999999997</v>
          </cell>
        </row>
        <row r="12994">
          <cell r="C12994" t="str">
            <v>4520 - MF-NUTS,BOLTS,SCREWS,WASHERS</v>
          </cell>
          <cell r="D12994" t="str">
            <v>MF50111EA</v>
          </cell>
          <cell r="BA12994">
            <v>1.79</v>
          </cell>
        </row>
        <row r="12995">
          <cell r="C12995" t="str">
            <v>4520 - MF-NUTS,BOLTS,SCREWS,WASHERS</v>
          </cell>
          <cell r="D12995" t="str">
            <v>MF51411EA</v>
          </cell>
          <cell r="BA12995">
            <v>2.69</v>
          </cell>
        </row>
        <row r="12996">
          <cell r="C12996" t="str">
            <v>4520 - MF-NUTS,BOLTS,SCREWS,WASHERS</v>
          </cell>
          <cell r="D12996" t="str">
            <v>MF53297</v>
          </cell>
          <cell r="BA12996">
            <v>97.99</v>
          </cell>
        </row>
        <row r="12997">
          <cell r="C12997" t="str">
            <v>4520 - MF-NUTS,BOLTS,SCREWS,WASHERS</v>
          </cell>
          <cell r="D12997" t="str">
            <v>MF53298</v>
          </cell>
          <cell r="BA12997">
            <v>97.99</v>
          </cell>
        </row>
        <row r="12998">
          <cell r="C12998" t="str">
            <v>4520 - MF-NUTS,BOLTS,SCREWS,WASHERS</v>
          </cell>
          <cell r="D12998" t="str">
            <v>MF53625EA</v>
          </cell>
          <cell r="BA12998">
            <v>1.59</v>
          </cell>
        </row>
        <row r="12999">
          <cell r="C12999" t="str">
            <v>4520 - MF-NUTS,BOLTS,SCREWS,WASHERS</v>
          </cell>
          <cell r="D12999" t="str">
            <v>MF54290EA</v>
          </cell>
          <cell r="BA12999">
            <v>1.95</v>
          </cell>
        </row>
        <row r="13000">
          <cell r="C13000" t="str">
            <v>4520 - MF-NUTS,BOLTS,SCREWS,WASHERS</v>
          </cell>
          <cell r="D13000" t="str">
            <v>MF54291EA</v>
          </cell>
          <cell r="BA13000">
            <v>2.25</v>
          </cell>
        </row>
        <row r="13001">
          <cell r="C13001" t="str">
            <v>4520 - MF-NUTS,BOLTS,SCREWS,WASHERS</v>
          </cell>
          <cell r="D13001" t="str">
            <v>MF54464EA</v>
          </cell>
          <cell r="BA13001">
            <v>2.59</v>
          </cell>
        </row>
        <row r="13002">
          <cell r="C13002" t="str">
            <v>4520 - MF-NUTS,BOLTS,SCREWS,WASHERS</v>
          </cell>
          <cell r="D13002" t="str">
            <v>MF54470EA</v>
          </cell>
          <cell r="BA13002">
            <v>2.75</v>
          </cell>
        </row>
        <row r="13003">
          <cell r="C13003" t="str">
            <v>4520 - MF-NUTS,BOLTS,SCREWS,WASHERS</v>
          </cell>
          <cell r="D13003" t="str">
            <v>MF54548EA</v>
          </cell>
          <cell r="BA13003">
            <v>3.49</v>
          </cell>
        </row>
        <row r="13004">
          <cell r="C13004" t="str">
            <v>4520 - MF-NUTS,BOLTS,SCREWS,WASHERS</v>
          </cell>
          <cell r="D13004" t="str">
            <v>MF54844EA</v>
          </cell>
          <cell r="BA13004">
            <v>0.52</v>
          </cell>
        </row>
        <row r="13005">
          <cell r="C13005" t="str">
            <v>4520 - MF-NUTS,BOLTS,SCREWS,WASHERS</v>
          </cell>
          <cell r="D13005" t="str">
            <v>MF54845EA</v>
          </cell>
          <cell r="BA13005">
            <v>0.1825</v>
          </cell>
        </row>
        <row r="13006">
          <cell r="C13006" t="str">
            <v>4520 - MF-NUTS,BOLTS,SCREWS,WASHERS</v>
          </cell>
          <cell r="D13006" t="str">
            <v>MF54981EA</v>
          </cell>
          <cell r="BA13006">
            <v>0.87</v>
          </cell>
        </row>
        <row r="13007">
          <cell r="C13007" t="str">
            <v>4520 - MF-NUTS,BOLTS,SCREWS,WASHERS</v>
          </cell>
          <cell r="D13007" t="str">
            <v>MF54982EA</v>
          </cell>
          <cell r="BA13007">
            <v>1.1499999999999999</v>
          </cell>
        </row>
        <row r="13008">
          <cell r="C13008" t="str">
            <v>4520 - MF-NUTS,BOLTS,SCREWS,WASHERS</v>
          </cell>
          <cell r="D13008" t="str">
            <v>MF54983EA</v>
          </cell>
          <cell r="BA13008">
            <v>2.0499999999999998</v>
          </cell>
        </row>
        <row r="13009">
          <cell r="C13009" t="str">
            <v>4520 - MF-NUTS,BOLTS,SCREWS,WASHERS</v>
          </cell>
          <cell r="D13009" t="str">
            <v>MF54984EA</v>
          </cell>
          <cell r="BA13009">
            <v>2.29</v>
          </cell>
        </row>
        <row r="13010">
          <cell r="C13010" t="str">
            <v>4520 - MF-NUTS,BOLTS,SCREWS,WASHERS</v>
          </cell>
          <cell r="D13010" t="str">
            <v>MF54985EA</v>
          </cell>
          <cell r="BA13010">
            <v>3.09</v>
          </cell>
        </row>
        <row r="13011">
          <cell r="C13011" t="str">
            <v>4520 - MF-NUTS,BOLTS,SCREWS,WASHERS</v>
          </cell>
          <cell r="D13011" t="str">
            <v>MF54986EA</v>
          </cell>
          <cell r="BA13011">
            <v>4.3899999999999997</v>
          </cell>
        </row>
        <row r="13012">
          <cell r="C13012" t="str">
            <v>4521 - HOUSEWARES</v>
          </cell>
          <cell r="D13012" t="str">
            <v>351G</v>
          </cell>
          <cell r="BA13012">
            <v>32.99</v>
          </cell>
        </row>
        <row r="13013">
          <cell r="C13013" t="str">
            <v>4521 - HOUSEWARES</v>
          </cell>
          <cell r="D13013" t="str">
            <v>HO55005</v>
          </cell>
          <cell r="BA13013">
            <v>9.99</v>
          </cell>
        </row>
        <row r="13014">
          <cell r="C13014" t="str">
            <v>4521 - HOUSEWARES</v>
          </cell>
          <cell r="D13014" t="str">
            <v>MD01033</v>
          </cell>
          <cell r="BA13014">
            <v>11.99</v>
          </cell>
        </row>
        <row r="13015">
          <cell r="C13015" t="str">
            <v>4521 - HOUSEWARES</v>
          </cell>
          <cell r="D13015" t="str">
            <v>3M7449T</v>
          </cell>
          <cell r="BA13015">
            <v>3.99</v>
          </cell>
        </row>
        <row r="13016">
          <cell r="C13016" t="str">
            <v>4521 - HOUSEWARES</v>
          </cell>
          <cell r="D13016" t="str">
            <v>1899403</v>
          </cell>
          <cell r="BA13016">
            <v>8.99</v>
          </cell>
        </row>
        <row r="13017">
          <cell r="C13017" t="str">
            <v>4521 - HOUSEWARES</v>
          </cell>
          <cell r="D13017" t="str">
            <v>VEL90594ACS</v>
          </cell>
          <cell r="BA13017">
            <v>19.989999999999998</v>
          </cell>
        </row>
        <row r="13018">
          <cell r="C13018" t="str">
            <v>4521 - HOUSEWARES</v>
          </cell>
          <cell r="D13018" t="str">
            <v>KID001004</v>
          </cell>
          <cell r="BA13018">
            <v>31.99</v>
          </cell>
        </row>
        <row r="13019">
          <cell r="C13019" t="str">
            <v>4521 - HOUSEWARES</v>
          </cell>
          <cell r="D13019" t="str">
            <v>HOMYB88213L</v>
          </cell>
          <cell r="BA13019">
            <v>13.99</v>
          </cell>
        </row>
        <row r="13020">
          <cell r="C13020" t="str">
            <v>4521 - HOUSEWARES</v>
          </cell>
          <cell r="D13020" t="str">
            <v>GP22132</v>
          </cell>
          <cell r="BA13020">
            <v>4.79</v>
          </cell>
        </row>
        <row r="13021">
          <cell r="C13021" t="str">
            <v>4521 - HOUSEWARES</v>
          </cell>
          <cell r="D13021" t="str">
            <v>22272</v>
          </cell>
          <cell r="BA13021">
            <v>5.99</v>
          </cell>
        </row>
        <row r="13022">
          <cell r="C13022" t="str">
            <v>4521 - HOUSEWARES</v>
          </cell>
          <cell r="D13022" t="str">
            <v>GP240307</v>
          </cell>
          <cell r="BA13022">
            <v>5.99</v>
          </cell>
        </row>
        <row r="13023">
          <cell r="C13023" t="str">
            <v>4521 - HOUSEWARES</v>
          </cell>
          <cell r="D13023" t="str">
            <v>HHU09Y562E</v>
          </cell>
          <cell r="BA13023">
            <v>18.989999999999998</v>
          </cell>
        </row>
        <row r="13024">
          <cell r="C13024" t="str">
            <v>4521 - HOUSEWARES</v>
          </cell>
          <cell r="D13024" t="str">
            <v>AEB12S20</v>
          </cell>
          <cell r="BA13024">
            <v>74.489999999999995</v>
          </cell>
        </row>
        <row r="13025">
          <cell r="C13025" t="str">
            <v>4521 - HOUSEWARES</v>
          </cell>
          <cell r="D13025" t="str">
            <v>HOMLF-20</v>
          </cell>
          <cell r="BA13025">
            <v>52.99</v>
          </cell>
        </row>
        <row r="13026">
          <cell r="C13026" t="str">
            <v>4521 - HOUSEWARES</v>
          </cell>
          <cell r="D13026" t="str">
            <v>HOMFH04</v>
          </cell>
          <cell r="BA13026">
            <v>29.99</v>
          </cell>
        </row>
        <row r="13027">
          <cell r="C13027" t="str">
            <v>4521 - HOUSEWARES</v>
          </cell>
          <cell r="D13027" t="str">
            <v>MHF242650</v>
          </cell>
          <cell r="BA13027">
            <v>99.99</v>
          </cell>
        </row>
        <row r="13028">
          <cell r="C13028" t="str">
            <v>4521 - HOUSEWARES</v>
          </cell>
          <cell r="D13028" t="str">
            <v>SB2-1</v>
          </cell>
          <cell r="BA13028">
            <v>4.29</v>
          </cell>
        </row>
        <row r="13029">
          <cell r="C13029" t="str">
            <v>4521 - HOUSEWARES</v>
          </cell>
          <cell r="D13029" t="str">
            <v>VEL91747</v>
          </cell>
          <cell r="BA13029">
            <v>1.99</v>
          </cell>
        </row>
        <row r="13030">
          <cell r="C13030" t="str">
            <v>4521 - HOUSEWARES</v>
          </cell>
          <cell r="D13030" t="str">
            <v>VEL91756</v>
          </cell>
          <cell r="BA13030">
            <v>2.59</v>
          </cell>
        </row>
        <row r="13031">
          <cell r="C13031" t="str">
            <v>4521 - HOUSEWARES</v>
          </cell>
          <cell r="D13031" t="str">
            <v>GC21766</v>
          </cell>
          <cell r="BA13031">
            <v>14.99</v>
          </cell>
        </row>
        <row r="13032">
          <cell r="C13032" t="str">
            <v>4521 - HOUSEWARES</v>
          </cell>
          <cell r="D13032" t="str">
            <v>DB112</v>
          </cell>
          <cell r="BA13032">
            <v>0.37</v>
          </cell>
        </row>
        <row r="13033">
          <cell r="C13033" t="str">
            <v>4521 - HOUSEWARES</v>
          </cell>
          <cell r="D13033" t="str">
            <v>RITR93K</v>
          </cell>
          <cell r="BA13033">
            <v>13.29</v>
          </cell>
        </row>
        <row r="13034">
          <cell r="C13034" t="str">
            <v>4521 - HOUSEWARES</v>
          </cell>
          <cell r="D13034" t="str">
            <v>SV9066133</v>
          </cell>
          <cell r="BA13034">
            <v>11.99</v>
          </cell>
        </row>
        <row r="13035">
          <cell r="C13035" t="str">
            <v>4521 - HOUSEWARES</v>
          </cell>
          <cell r="D13035" t="str">
            <v>MF17834EA</v>
          </cell>
          <cell r="BA13035">
            <v>53.99</v>
          </cell>
        </row>
        <row r="13036">
          <cell r="C13036" t="str">
            <v>4522 - ELECTRICAL</v>
          </cell>
          <cell r="D13036" t="str">
            <v>F18SF3</v>
          </cell>
          <cell r="BA13036">
            <v>42.99</v>
          </cell>
        </row>
        <row r="13037">
          <cell r="C13037" t="str">
            <v>4522 - ELECTRICAL</v>
          </cell>
          <cell r="D13037" t="str">
            <v>SW28828222</v>
          </cell>
          <cell r="BA13037">
            <v>62.99</v>
          </cell>
        </row>
        <row r="13038">
          <cell r="C13038" t="str">
            <v>4522 - ELECTRICAL</v>
          </cell>
          <cell r="D13038" t="str">
            <v>CW2134V-BOX</v>
          </cell>
          <cell r="BA13038">
            <v>0.79</v>
          </cell>
        </row>
        <row r="13039">
          <cell r="C13039" t="str">
            <v>4522 - ELECTRICAL</v>
          </cell>
          <cell r="D13039" t="str">
            <v>B118A</v>
          </cell>
          <cell r="BA13039">
            <v>0.99</v>
          </cell>
        </row>
        <row r="13040">
          <cell r="C13040" t="str">
            <v>4522 - ELECTRICAL</v>
          </cell>
          <cell r="D13040" t="str">
            <v>AC2887</v>
          </cell>
          <cell r="BA13040">
            <v>8.69</v>
          </cell>
        </row>
        <row r="13041">
          <cell r="C13041" t="str">
            <v>4522 - ELECTRICAL</v>
          </cell>
          <cell r="D13041" t="str">
            <v>GB46-308</v>
          </cell>
          <cell r="BA13041">
            <v>8.99</v>
          </cell>
        </row>
        <row r="13042">
          <cell r="C13042" t="str">
            <v>4522 - ELECTRICAL</v>
          </cell>
          <cell r="D13042" t="str">
            <v>PP81240</v>
          </cell>
          <cell r="BA13042">
            <v>10.99</v>
          </cell>
        </row>
        <row r="13043">
          <cell r="C13043" t="str">
            <v>4522 - ELECTRICAL</v>
          </cell>
          <cell r="D13043" t="str">
            <v>817NCT20</v>
          </cell>
          <cell r="BA13043">
            <v>3.29</v>
          </cell>
        </row>
        <row r="13044">
          <cell r="C13044" t="str">
            <v>4522 - ELECTRICAL</v>
          </cell>
          <cell r="D13044" t="str">
            <v>14NCT8</v>
          </cell>
          <cell r="BA13044">
            <v>2.79</v>
          </cell>
        </row>
        <row r="13045">
          <cell r="C13045" t="str">
            <v>4522 - ELECTRICAL</v>
          </cell>
          <cell r="D13045" t="str">
            <v>14NCT100</v>
          </cell>
          <cell r="BA13045">
            <v>14.99</v>
          </cell>
        </row>
        <row r="13046">
          <cell r="C13046" t="str">
            <v>4522 - ELECTRICAL</v>
          </cell>
          <cell r="D13046" t="str">
            <v>E980CN</v>
          </cell>
          <cell r="BA13046">
            <v>3.49</v>
          </cell>
        </row>
        <row r="13047">
          <cell r="C13047" t="str">
            <v>4522 - ELECTRICAL</v>
          </cell>
          <cell r="D13047" t="str">
            <v>AA36072</v>
          </cell>
          <cell r="BA13047">
            <v>1.99</v>
          </cell>
        </row>
        <row r="13048">
          <cell r="C13048" t="str">
            <v>4522 - ELECTRICAL</v>
          </cell>
          <cell r="D13048" t="str">
            <v>CO2134B-BOX</v>
          </cell>
          <cell r="BA13048">
            <v>0.79</v>
          </cell>
        </row>
        <row r="13049">
          <cell r="C13049" t="str">
            <v>4522 - ELECTRICAL</v>
          </cell>
          <cell r="D13049" t="str">
            <v>CO7503V-BOX</v>
          </cell>
          <cell r="BA13049">
            <v>5.39</v>
          </cell>
        </row>
        <row r="13050">
          <cell r="C13050" t="str">
            <v>4522 - ELECTRICAL</v>
          </cell>
          <cell r="D13050" t="str">
            <v>CO1912B-BOX</v>
          </cell>
          <cell r="BA13050">
            <v>3.29</v>
          </cell>
        </row>
        <row r="13051">
          <cell r="C13051" t="str">
            <v>4522 - ELECTRICAL</v>
          </cell>
          <cell r="D13051" t="str">
            <v>COBP917ABD</v>
          </cell>
          <cell r="BA13051">
            <v>8.99</v>
          </cell>
        </row>
        <row r="13052">
          <cell r="C13052" t="str">
            <v>4522 - ELECTRICAL</v>
          </cell>
          <cell r="D13052" t="str">
            <v>GB19-002</v>
          </cell>
          <cell r="BA13052">
            <v>1.99</v>
          </cell>
        </row>
        <row r="13053">
          <cell r="C13053" t="str">
            <v>4522 - ELECTRICAL</v>
          </cell>
          <cell r="D13053" t="str">
            <v>GBMS-1550T</v>
          </cell>
          <cell r="BA13053">
            <v>2.39</v>
          </cell>
        </row>
        <row r="13054">
          <cell r="C13054" t="str">
            <v>4522 - ELECTRICAL</v>
          </cell>
          <cell r="D13054" t="str">
            <v>COL1420P</v>
          </cell>
          <cell r="BA13054">
            <v>22.99</v>
          </cell>
        </row>
        <row r="13055">
          <cell r="C13055" t="str">
            <v>4522 - ELECTRICAL</v>
          </cell>
          <cell r="D13055" t="str">
            <v>RA130</v>
          </cell>
          <cell r="BA13055">
            <v>3.99</v>
          </cell>
        </row>
        <row r="13056">
          <cell r="C13056" t="str">
            <v>4522 - ELECTRICAL</v>
          </cell>
          <cell r="D13056" t="str">
            <v>MINORBL081508</v>
          </cell>
          <cell r="BA13056">
            <v>29.99</v>
          </cell>
        </row>
        <row r="13057">
          <cell r="C13057" t="str">
            <v>4522 - ELECTRICAL</v>
          </cell>
          <cell r="D13057" t="str">
            <v>SYL29792</v>
          </cell>
          <cell r="BA13057">
            <v>7.19</v>
          </cell>
        </row>
        <row r="13058">
          <cell r="C13058" t="str">
            <v>4522 - ELECTRICAL</v>
          </cell>
          <cell r="D13058" t="str">
            <v>GBGS-366</v>
          </cell>
          <cell r="BA13058">
            <v>12.99</v>
          </cell>
        </row>
        <row r="13059">
          <cell r="C13059" t="str">
            <v>4522 - ELECTRICAL</v>
          </cell>
          <cell r="D13059" t="str">
            <v>CW1107W-BOX</v>
          </cell>
          <cell r="BA13059">
            <v>2.99</v>
          </cell>
        </row>
        <row r="13060">
          <cell r="C13060" t="str">
            <v>4522 - ELECTRICAL</v>
          </cell>
          <cell r="D13060" t="str">
            <v>CO93111-BOX</v>
          </cell>
          <cell r="BA13060">
            <v>4.59</v>
          </cell>
        </row>
        <row r="13061">
          <cell r="C13061" t="str">
            <v>4522 - ELECTRICAL</v>
          </cell>
          <cell r="D13061" t="str">
            <v>CORI306P-VW-K2</v>
          </cell>
          <cell r="BA13061">
            <v>10.99</v>
          </cell>
        </row>
        <row r="13062">
          <cell r="C13062" t="str">
            <v>4522 - ELECTRICAL</v>
          </cell>
          <cell r="D13062" t="str">
            <v>COBP2601-6W-SP</v>
          </cell>
          <cell r="BA13062">
            <v>3.79</v>
          </cell>
        </row>
        <row r="13063">
          <cell r="C13063" t="str">
            <v>4522 - ELECTRICAL</v>
          </cell>
          <cell r="D13063" t="str">
            <v>MINORTLPL220506</v>
          </cell>
          <cell r="BA13063">
            <v>16.89</v>
          </cell>
        </row>
        <row r="13064">
          <cell r="C13064" t="str">
            <v>4522 - ELECTRICAL</v>
          </cell>
          <cell r="D13064" t="str">
            <v>COBP231W-SP</v>
          </cell>
          <cell r="BA13064">
            <v>3.29</v>
          </cell>
        </row>
        <row r="13065">
          <cell r="C13065" t="str">
            <v>4522 - ELECTRICAL</v>
          </cell>
          <cell r="D13065" t="str">
            <v>COBP2600-6W-L</v>
          </cell>
          <cell r="BA13065">
            <v>4.29</v>
          </cell>
        </row>
        <row r="13066">
          <cell r="C13066" t="str">
            <v>4522 - ELECTRICAL</v>
          </cell>
          <cell r="D13066" t="str">
            <v>CO4228-BOX</v>
          </cell>
          <cell r="BA13066">
            <v>14.99</v>
          </cell>
        </row>
        <row r="13067">
          <cell r="C13067" t="str">
            <v>4522 - ELECTRICAL</v>
          </cell>
          <cell r="D13067" t="str">
            <v>UA9AEB-CTN</v>
          </cell>
          <cell r="BA13067">
            <v>1.69</v>
          </cell>
        </row>
        <row r="13068">
          <cell r="C13068" t="str">
            <v>4522 - ELECTRICAL</v>
          </cell>
          <cell r="D13068" t="str">
            <v>COBP4400W</v>
          </cell>
          <cell r="BA13068">
            <v>3.29</v>
          </cell>
        </row>
        <row r="13069">
          <cell r="C13069" t="str">
            <v>4522 - ELECTRICAL</v>
          </cell>
          <cell r="D13069" t="str">
            <v>COBP738B</v>
          </cell>
          <cell r="BA13069">
            <v>3.99</v>
          </cell>
        </row>
        <row r="13070">
          <cell r="C13070" t="str">
            <v>4522 - ELECTRICAL</v>
          </cell>
          <cell r="D13070" t="str">
            <v>PZ2973840</v>
          </cell>
          <cell r="BA13070">
            <v>10.99</v>
          </cell>
        </row>
        <row r="13071">
          <cell r="C13071" t="str">
            <v>4522 - ELECTRICAL</v>
          </cell>
          <cell r="D13071" t="str">
            <v>RA685</v>
          </cell>
          <cell r="BA13071">
            <v>10.99</v>
          </cell>
        </row>
        <row r="13072">
          <cell r="C13072" t="str">
            <v>4522 - ELECTRICAL</v>
          </cell>
          <cell r="D13072" t="str">
            <v>CO7511W-BOX</v>
          </cell>
          <cell r="BA13072">
            <v>10.99</v>
          </cell>
        </row>
        <row r="13073">
          <cell r="C13073" t="str">
            <v>4522 - ELECTRICAL</v>
          </cell>
          <cell r="D13073" t="str">
            <v>COBR20V</v>
          </cell>
          <cell r="BA13073">
            <v>4.59</v>
          </cell>
        </row>
        <row r="13074">
          <cell r="C13074" t="str">
            <v>4522 - ELECTRICAL</v>
          </cell>
          <cell r="D13074" t="str">
            <v>COBR20W</v>
          </cell>
          <cell r="BA13074">
            <v>4.59</v>
          </cell>
        </row>
        <row r="13075">
          <cell r="C13075" t="str">
            <v>4522 - ELECTRICAL</v>
          </cell>
          <cell r="D13075" t="str">
            <v>COL1430P</v>
          </cell>
          <cell r="BA13075">
            <v>29.99</v>
          </cell>
        </row>
        <row r="13076">
          <cell r="C13076" t="str">
            <v>4522 - ELECTRICAL</v>
          </cell>
          <cell r="D13076" t="str">
            <v>CO1263-BOX</v>
          </cell>
          <cell r="BA13076">
            <v>11.99</v>
          </cell>
        </row>
        <row r="13077">
          <cell r="C13077" t="str">
            <v>4522 - ELECTRICAL</v>
          </cell>
          <cell r="D13077" t="str">
            <v>GBMSB-1540</v>
          </cell>
          <cell r="BA13077">
            <v>2.59</v>
          </cell>
        </row>
        <row r="13078">
          <cell r="C13078" t="str">
            <v>4522 - ELECTRICAL</v>
          </cell>
          <cell r="D13078" t="str">
            <v>CO4409-BOX</v>
          </cell>
          <cell r="BA13078">
            <v>9.99</v>
          </cell>
        </row>
        <row r="13079">
          <cell r="C13079" t="str">
            <v>4522 - ELECTRICAL</v>
          </cell>
          <cell r="D13079" t="str">
            <v>COCSB115STW-SP</v>
          </cell>
          <cell r="BA13079">
            <v>4.59</v>
          </cell>
        </row>
        <row r="13080">
          <cell r="C13080" t="str">
            <v>4522 - ELECTRICAL</v>
          </cell>
          <cell r="D13080" t="str">
            <v>CORDC15-W-K</v>
          </cell>
          <cell r="BA13080">
            <v>24.99</v>
          </cell>
        </row>
        <row r="13081">
          <cell r="C13081" t="str">
            <v>4522 - ELECTRICAL</v>
          </cell>
          <cell r="D13081" t="str">
            <v>COTAL06P-C1-K</v>
          </cell>
          <cell r="BA13081">
            <v>19.989999999999998</v>
          </cell>
        </row>
        <row r="13082">
          <cell r="C13082" t="str">
            <v>4522 - ELECTRICAL</v>
          </cell>
          <cell r="D13082" t="str">
            <v>CWTR270V-BOX</v>
          </cell>
          <cell r="BA13082">
            <v>1.79</v>
          </cell>
        </row>
        <row r="13083">
          <cell r="C13083" t="str">
            <v>4522 - ELECTRICAL</v>
          </cell>
          <cell r="D13083" t="str">
            <v>COTR1107V-BOX</v>
          </cell>
          <cell r="BA13083">
            <v>4.59</v>
          </cell>
        </row>
        <row r="13084">
          <cell r="C13084" t="str">
            <v>4522 - ELECTRICAL</v>
          </cell>
          <cell r="D13084" t="str">
            <v>COTR270W-BOX</v>
          </cell>
          <cell r="BA13084">
            <v>1.79</v>
          </cell>
        </row>
        <row r="13085">
          <cell r="C13085" t="str">
            <v>4522 - ELECTRICAL</v>
          </cell>
          <cell r="D13085" t="str">
            <v>CORI06P-VW-K2</v>
          </cell>
          <cell r="BA13085">
            <v>11.99</v>
          </cell>
        </row>
        <row r="13086">
          <cell r="C13086" t="str">
            <v>4522 - ELECTRICAL</v>
          </cell>
          <cell r="D13086" t="str">
            <v>SF1815MA</v>
          </cell>
          <cell r="BA13086">
            <v>42.99</v>
          </cell>
        </row>
        <row r="13087">
          <cell r="C13087" t="str">
            <v>4522 - ELECTRICAL</v>
          </cell>
          <cell r="D13087" t="str">
            <v>86650</v>
          </cell>
          <cell r="BA13087">
            <v>12.99</v>
          </cell>
        </row>
        <row r="13088">
          <cell r="C13088" t="str">
            <v>4522 - ELECTRICAL</v>
          </cell>
          <cell r="D13088" t="str">
            <v>COBP458NP-SP</v>
          </cell>
          <cell r="BA13088">
            <v>5.99</v>
          </cell>
        </row>
        <row r="13089">
          <cell r="C13089" t="str">
            <v>4522 - ELECTRICAL</v>
          </cell>
          <cell r="D13089" t="str">
            <v>COTR274V</v>
          </cell>
          <cell r="BA13089">
            <v>11.99</v>
          </cell>
        </row>
        <row r="13090">
          <cell r="C13090" t="str">
            <v>4522 - ELECTRICAL</v>
          </cell>
          <cell r="D13090" t="str">
            <v>P1210</v>
          </cell>
          <cell r="BA13090">
            <v>29.99</v>
          </cell>
        </row>
        <row r="13091">
          <cell r="C13091" t="str">
            <v>4522 - ELECTRICAL</v>
          </cell>
          <cell r="D13091" t="str">
            <v>PRC710</v>
          </cell>
          <cell r="BA13091">
            <v>47.79</v>
          </cell>
        </row>
        <row r="13092">
          <cell r="C13092" t="str">
            <v>4522 - ELECTRICAL</v>
          </cell>
          <cell r="D13092" t="str">
            <v>PRC710V</v>
          </cell>
          <cell r="BA13092">
            <v>64.989999999999995</v>
          </cell>
        </row>
        <row r="13093">
          <cell r="C13093" t="str">
            <v>4522 - ELECTRICAL</v>
          </cell>
          <cell r="D13093" t="str">
            <v>SA3210</v>
          </cell>
          <cell r="BA13093">
            <v>57.99</v>
          </cell>
        </row>
        <row r="13094">
          <cell r="C13094" t="str">
            <v>4522 - ELECTRICAL</v>
          </cell>
          <cell r="D13094" t="str">
            <v>PSCV200SW1003L</v>
          </cell>
          <cell r="BA13094">
            <v>5.69</v>
          </cell>
        </row>
        <row r="13095">
          <cell r="C13095" t="str">
            <v>4522 - ELECTRICAL</v>
          </cell>
          <cell r="D13095" t="str">
            <v>COTR274W</v>
          </cell>
          <cell r="BA13095">
            <v>11.99</v>
          </cell>
        </row>
        <row r="13096">
          <cell r="C13096" t="str">
            <v>4522 - ELECTRICAL</v>
          </cell>
          <cell r="D13096" t="str">
            <v>COTR1107W-BOX</v>
          </cell>
          <cell r="BA13096">
            <v>4.59</v>
          </cell>
        </row>
        <row r="13097">
          <cell r="C13097" t="str">
            <v>4522 - ELECTRICAL</v>
          </cell>
          <cell r="D13097" t="str">
            <v>GB45-308UVBFZ</v>
          </cell>
          <cell r="BA13097">
            <v>3.99</v>
          </cell>
        </row>
        <row r="13098">
          <cell r="C13098" t="str">
            <v>4522 - ELECTRICAL</v>
          </cell>
          <cell r="D13098" t="str">
            <v>GB45-314UVBFZ</v>
          </cell>
          <cell r="BA13098">
            <v>6.99</v>
          </cell>
        </row>
        <row r="13099">
          <cell r="C13099" t="str">
            <v>4522 - ELECTRICAL</v>
          </cell>
          <cell r="D13099" t="str">
            <v>HAL96832</v>
          </cell>
          <cell r="BA13099">
            <v>0.99</v>
          </cell>
        </row>
        <row r="13100">
          <cell r="C13100" t="str">
            <v>4522 - ELECTRICAL</v>
          </cell>
          <cell r="D13100" t="str">
            <v>E940K-CTN</v>
          </cell>
          <cell r="BA13100">
            <v>2.39</v>
          </cell>
        </row>
        <row r="13101">
          <cell r="C13101" t="str">
            <v>4522 - ELECTRICAL</v>
          </cell>
          <cell r="D13101" t="str">
            <v>HAL96843</v>
          </cell>
          <cell r="BA13101">
            <v>1.39</v>
          </cell>
        </row>
        <row r="13102">
          <cell r="C13102" t="str">
            <v>4522 - ELECTRICAL</v>
          </cell>
          <cell r="D13102" t="str">
            <v>COTR7740W-K</v>
          </cell>
          <cell r="BA13102">
            <v>19.89</v>
          </cell>
        </row>
        <row r="13103">
          <cell r="C13103" t="str">
            <v>4522 - ELECTRICAL</v>
          </cell>
          <cell r="D13103" t="str">
            <v>COOS306U-W-K-L</v>
          </cell>
          <cell r="BA13103">
            <v>29.99</v>
          </cell>
        </row>
        <row r="13104">
          <cell r="C13104" t="str">
            <v>4522 - ELECTRICAL</v>
          </cell>
          <cell r="D13104" t="str">
            <v>SCO2B</v>
          </cell>
          <cell r="BA13104">
            <v>31.39</v>
          </cell>
        </row>
        <row r="13105">
          <cell r="C13105" t="str">
            <v>4522 - ELECTRICAL</v>
          </cell>
          <cell r="D13105" t="str">
            <v>COTR7735W-K-L</v>
          </cell>
          <cell r="BA13105">
            <v>22.99</v>
          </cell>
        </row>
        <row r="13106">
          <cell r="C13106" t="str">
            <v>4522 - ELECTRICAL</v>
          </cell>
          <cell r="D13106" t="str">
            <v>CO7738W-K-L</v>
          </cell>
          <cell r="BA13106">
            <v>29.99</v>
          </cell>
        </row>
        <row r="13107">
          <cell r="C13107" t="str">
            <v>4522 - ELECTRICAL</v>
          </cell>
          <cell r="D13107" t="str">
            <v>SYL16119</v>
          </cell>
          <cell r="BA13107">
            <v>9.99</v>
          </cell>
        </row>
        <row r="13108">
          <cell r="C13108" t="str">
            <v>4522 - ELECTRICAL</v>
          </cell>
          <cell r="D13108" t="str">
            <v>SYL16730</v>
          </cell>
          <cell r="BA13108">
            <v>9.49</v>
          </cell>
        </row>
        <row r="13109">
          <cell r="C13109" t="str">
            <v>4522 - ELECTRICAL</v>
          </cell>
          <cell r="D13109" t="str">
            <v>CO1192W-SP</v>
          </cell>
          <cell r="BA13109">
            <v>7.99</v>
          </cell>
        </row>
        <row r="13110">
          <cell r="C13110" t="str">
            <v>4522 - ELECTRICAL</v>
          </cell>
          <cell r="D13110" t="str">
            <v>SYL16168</v>
          </cell>
          <cell r="BA13110">
            <v>8.7899999999999991</v>
          </cell>
        </row>
        <row r="13111">
          <cell r="C13111" t="str">
            <v>4522 - ELECTRICAL</v>
          </cell>
          <cell r="D13111" t="str">
            <v>SYL10713</v>
          </cell>
          <cell r="BA13111">
            <v>7.79</v>
          </cell>
        </row>
        <row r="13112">
          <cell r="C13112" t="str">
            <v>4522 - ELECTRICAL</v>
          </cell>
          <cell r="D13112" t="str">
            <v>SYL70420</v>
          </cell>
          <cell r="BA13112">
            <v>27.49</v>
          </cell>
        </row>
        <row r="13113">
          <cell r="C13113" t="str">
            <v>4522 - ELECTRICAL</v>
          </cell>
          <cell r="D13113" t="str">
            <v>SYL50045</v>
          </cell>
          <cell r="BA13113">
            <v>7.79</v>
          </cell>
        </row>
        <row r="13114">
          <cell r="C13114" t="str">
            <v>4522 - ELECTRICAL</v>
          </cell>
          <cell r="D13114" t="str">
            <v>SYL52190</v>
          </cell>
          <cell r="BA13114">
            <v>6.99</v>
          </cell>
        </row>
        <row r="13115">
          <cell r="C13115" t="str">
            <v>4522 - ELECTRICAL</v>
          </cell>
          <cell r="D13115" t="str">
            <v>SYL16154</v>
          </cell>
          <cell r="BA13115">
            <v>6.19</v>
          </cell>
        </row>
        <row r="13116">
          <cell r="C13116" t="str">
            <v>4522 - ELECTRICAL</v>
          </cell>
          <cell r="D13116" t="str">
            <v>GBGSE-410</v>
          </cell>
          <cell r="BA13116">
            <v>5.99</v>
          </cell>
        </row>
        <row r="13117">
          <cell r="C13117" t="str">
            <v>4522 - ELECTRICAL</v>
          </cell>
          <cell r="D13117" t="str">
            <v>UA7ALBR</v>
          </cell>
          <cell r="BA13117">
            <v>22.99</v>
          </cell>
        </row>
        <row r="13118">
          <cell r="C13118" t="str">
            <v>4522 - ELECTRICAL</v>
          </cell>
          <cell r="D13118" t="str">
            <v>CT5133820</v>
          </cell>
          <cell r="BA13118">
            <v>43.69</v>
          </cell>
        </row>
        <row r="13119">
          <cell r="C13119" t="str">
            <v>4522 - ELECTRICAL</v>
          </cell>
          <cell r="D13119" t="str">
            <v>67504</v>
          </cell>
          <cell r="BA13119">
            <v>34.99</v>
          </cell>
        </row>
        <row r="13120">
          <cell r="C13120" t="str">
            <v>4522 - ELECTRICAL</v>
          </cell>
          <cell r="D13120" t="str">
            <v>ORG320803</v>
          </cell>
          <cell r="BA13120">
            <v>64.989999999999995</v>
          </cell>
        </row>
        <row r="13121">
          <cell r="C13121" t="str">
            <v>4522 - ELECTRICAL</v>
          </cell>
          <cell r="D13121" t="str">
            <v>UA7AEB-CTN</v>
          </cell>
          <cell r="BA13121">
            <v>1.69</v>
          </cell>
        </row>
        <row r="13122">
          <cell r="C13122" t="str">
            <v>4522 - ELECTRICAL</v>
          </cell>
          <cell r="D13122" t="str">
            <v>SYL19009</v>
          </cell>
          <cell r="BA13122">
            <v>3.39</v>
          </cell>
        </row>
        <row r="13123">
          <cell r="C13123" t="str">
            <v>4522 - ELECTRICAL</v>
          </cell>
          <cell r="D13123" t="str">
            <v>COTR7755W-K</v>
          </cell>
          <cell r="BA13123">
            <v>29.99</v>
          </cell>
        </row>
        <row r="13124">
          <cell r="C13124" t="str">
            <v>4522 - ELECTRICAL</v>
          </cell>
          <cell r="D13124" t="str">
            <v>COTR7755V-K</v>
          </cell>
          <cell r="BA13124">
            <v>29.99</v>
          </cell>
        </row>
        <row r="13125">
          <cell r="C13125" t="str">
            <v>4522 - ELECTRICAL</v>
          </cell>
          <cell r="D13125" t="str">
            <v>4830R</v>
          </cell>
          <cell r="BA13125">
            <v>19.29</v>
          </cell>
        </row>
        <row r="13126">
          <cell r="C13126" t="str">
            <v>4522 - ELECTRICAL</v>
          </cell>
          <cell r="D13126" t="str">
            <v>CTL-400</v>
          </cell>
          <cell r="BA13126">
            <v>21.89</v>
          </cell>
        </row>
        <row r="13127">
          <cell r="C13127" t="str">
            <v>4522 - ELECTRICAL</v>
          </cell>
          <cell r="D13127" t="str">
            <v>ORCRTLLED526</v>
          </cell>
          <cell r="BA13127">
            <v>92.99</v>
          </cell>
        </row>
        <row r="13128">
          <cell r="C13128" t="str">
            <v>4522 - ELECTRICAL</v>
          </cell>
          <cell r="D13128" t="str">
            <v>ORTLLED48606</v>
          </cell>
          <cell r="BA13128">
            <v>34.99</v>
          </cell>
        </row>
        <row r="13129">
          <cell r="C13129" t="str">
            <v>4522 - ELECTRICAL</v>
          </cell>
          <cell r="D13129" t="str">
            <v>HUBMM2410C</v>
          </cell>
          <cell r="BA13129">
            <v>11.99</v>
          </cell>
        </row>
        <row r="13130">
          <cell r="C13130" t="str">
            <v>4522 - ELECTRICAL</v>
          </cell>
          <cell r="D13130" t="str">
            <v>0827B</v>
          </cell>
          <cell r="BA13130">
            <v>22.99</v>
          </cell>
        </row>
        <row r="13131">
          <cell r="C13131" t="str">
            <v>4522 - ELECTRICAL</v>
          </cell>
          <cell r="D13131" t="str">
            <v>MINORHLT500X2</v>
          </cell>
          <cell r="BA13131">
            <v>59.99</v>
          </cell>
        </row>
        <row r="13132">
          <cell r="C13132" t="str">
            <v>4522 - ELECTRICAL</v>
          </cell>
          <cell r="D13132" t="str">
            <v>MINORTL010606</v>
          </cell>
          <cell r="BA13132">
            <v>14.99</v>
          </cell>
        </row>
        <row r="13133">
          <cell r="C13133" t="str">
            <v>4522 - ELECTRICAL</v>
          </cell>
          <cell r="D13133" t="str">
            <v>COTRSGF15V</v>
          </cell>
          <cell r="BA13133">
            <v>22.99</v>
          </cell>
        </row>
        <row r="13134">
          <cell r="C13134" t="str">
            <v>4522 - ELECTRICAL</v>
          </cell>
          <cell r="D13134" t="str">
            <v>COTRSGF15W</v>
          </cell>
          <cell r="BA13134">
            <v>25.99</v>
          </cell>
        </row>
        <row r="13135">
          <cell r="C13135" t="str">
            <v>4522 - ELECTRICAL</v>
          </cell>
          <cell r="D13135" t="str">
            <v>COTRSGF20V</v>
          </cell>
          <cell r="BA13135">
            <v>26.89</v>
          </cell>
        </row>
        <row r="13136">
          <cell r="C13136" t="str">
            <v>4522 - ELECTRICAL</v>
          </cell>
          <cell r="D13136" t="str">
            <v>COTRSGF20W</v>
          </cell>
          <cell r="BA13136">
            <v>26.89</v>
          </cell>
        </row>
        <row r="13137">
          <cell r="C13137" t="str">
            <v>4522 - ELECTRICAL</v>
          </cell>
          <cell r="D13137" t="str">
            <v>COTRSGFNL15W-K</v>
          </cell>
          <cell r="BA13137">
            <v>25.99</v>
          </cell>
        </row>
        <row r="13138">
          <cell r="C13138" t="str">
            <v>4522 - ELECTRICAL</v>
          </cell>
          <cell r="D13138" t="str">
            <v>CWTRSGFS15W-M-L</v>
          </cell>
          <cell r="BA13138">
            <v>42.89</v>
          </cell>
        </row>
        <row r="13139">
          <cell r="C13139" t="str">
            <v>4522 - ELECTRICAL</v>
          </cell>
          <cell r="D13139" t="str">
            <v>MINORTLPL210606</v>
          </cell>
          <cell r="BA13139">
            <v>17.89</v>
          </cell>
        </row>
        <row r="13140">
          <cell r="C13140" t="str">
            <v>4522 - ELECTRICAL</v>
          </cell>
          <cell r="D13140" t="str">
            <v>MINORTL098506</v>
          </cell>
          <cell r="BA13140">
            <v>13.99</v>
          </cell>
        </row>
        <row r="13141">
          <cell r="C13141" t="str">
            <v>4522 - ELECTRICAL</v>
          </cell>
          <cell r="D13141" t="str">
            <v>COSGF15W-SP</v>
          </cell>
          <cell r="BA13141">
            <v>21.19</v>
          </cell>
        </row>
        <row r="13142">
          <cell r="C13142" t="str">
            <v>4522 - ELECTRICAL</v>
          </cell>
          <cell r="D13142" t="str">
            <v>P1000F2</v>
          </cell>
          <cell r="BA13142">
            <v>35.99</v>
          </cell>
        </row>
        <row r="13143">
          <cell r="C13143" t="str">
            <v>4522 - ELECTRICAL</v>
          </cell>
          <cell r="D13143" t="str">
            <v>R1500RC</v>
          </cell>
          <cell r="BA13143">
            <v>56.49</v>
          </cell>
        </row>
        <row r="13144">
          <cell r="C13144" t="str">
            <v>4522 - ELECTRICAL</v>
          </cell>
          <cell r="D13144" t="str">
            <v>SW28827422</v>
          </cell>
          <cell r="BA13144">
            <v>47.99</v>
          </cell>
        </row>
        <row r="13145">
          <cell r="C13145" t="str">
            <v>4522 - ELECTRICAL</v>
          </cell>
          <cell r="D13145" t="str">
            <v>GB45-311UVBFZ</v>
          </cell>
          <cell r="BA13145">
            <v>4.59</v>
          </cell>
        </row>
        <row r="13146">
          <cell r="C13146" t="str">
            <v>4522 - ELECTRICAL</v>
          </cell>
          <cell r="D13146" t="str">
            <v>TEDEXF5-2V</v>
          </cell>
          <cell r="BA13146">
            <v>4.99</v>
          </cell>
        </row>
        <row r="13147">
          <cell r="C13147" t="str">
            <v>4522 - ELECTRICAL</v>
          </cell>
          <cell r="D13147" t="str">
            <v>B1MGEXT-2</v>
          </cell>
          <cell r="BA13147">
            <v>6.99</v>
          </cell>
        </row>
        <row r="13148">
          <cell r="C13148" t="str">
            <v>4522 - ELECTRICAL</v>
          </cell>
          <cell r="D13148" t="str">
            <v>HAL90510</v>
          </cell>
          <cell r="BA13148">
            <v>0.56999999999999995</v>
          </cell>
        </row>
        <row r="13149">
          <cell r="C13149" t="str">
            <v>4522 - ELECTRICAL</v>
          </cell>
          <cell r="D13149" t="str">
            <v>CW1234-BOX</v>
          </cell>
          <cell r="BA13149">
            <v>13.99</v>
          </cell>
        </row>
        <row r="13150">
          <cell r="C13150" t="str">
            <v>4522 - ELECTRICAL</v>
          </cell>
          <cell r="D13150" t="str">
            <v>CW1303-7B-BOX</v>
          </cell>
          <cell r="BA13150">
            <v>2.79</v>
          </cell>
        </row>
        <row r="13151">
          <cell r="C13151" t="str">
            <v>4522 - ELECTRICAL</v>
          </cell>
          <cell r="D13151" t="str">
            <v>CW68-BOX</v>
          </cell>
          <cell r="BA13151">
            <v>5.99</v>
          </cell>
        </row>
        <row r="13152">
          <cell r="C13152" t="str">
            <v>4522 - ELECTRICAL</v>
          </cell>
          <cell r="D13152" t="str">
            <v>SYL74418</v>
          </cell>
          <cell r="BA13152">
            <v>4.49</v>
          </cell>
        </row>
        <row r="13153">
          <cell r="C13153" t="str">
            <v>4522 - ELECTRICAL</v>
          </cell>
          <cell r="D13153" t="str">
            <v>SYL78029</v>
          </cell>
          <cell r="BA13153">
            <v>7.59</v>
          </cell>
        </row>
        <row r="13154">
          <cell r="C13154" t="str">
            <v>4522 - ELECTRICAL</v>
          </cell>
          <cell r="D13154" t="str">
            <v>SYL10078</v>
          </cell>
          <cell r="BA13154">
            <v>6.09</v>
          </cell>
        </row>
        <row r="13155">
          <cell r="C13155" t="str">
            <v>4522 - ELECTRICAL</v>
          </cell>
          <cell r="D13155" t="str">
            <v>RC519</v>
          </cell>
          <cell r="BA13155">
            <v>3.29</v>
          </cell>
        </row>
        <row r="13156">
          <cell r="C13156" t="str">
            <v>4522 - ELECTRICAL</v>
          </cell>
          <cell r="D13156" t="str">
            <v>LES600PHWH</v>
          </cell>
          <cell r="BA13156">
            <v>24.99</v>
          </cell>
        </row>
        <row r="13157">
          <cell r="C13157" t="str">
            <v>4522 - ELECTRICAL</v>
          </cell>
          <cell r="D13157" t="str">
            <v>RC400</v>
          </cell>
          <cell r="BA13157">
            <v>4.59</v>
          </cell>
        </row>
        <row r="13158">
          <cell r="C13158" t="str">
            <v>4522 - ELECTRICAL</v>
          </cell>
          <cell r="D13158" t="str">
            <v>CW1252</v>
          </cell>
          <cell r="BA13158">
            <v>19.989999999999998</v>
          </cell>
        </row>
        <row r="13159">
          <cell r="C13159" t="str">
            <v>4522 - ELECTRICAL</v>
          </cell>
          <cell r="D13159" t="str">
            <v>CW6887BOX</v>
          </cell>
          <cell r="BA13159">
            <v>9.99</v>
          </cell>
        </row>
        <row r="13160">
          <cell r="C13160" t="str">
            <v>4522 - ELECTRICAL</v>
          </cell>
          <cell r="D13160" t="str">
            <v>CW13017LA</v>
          </cell>
          <cell r="BA13160">
            <v>0.99</v>
          </cell>
        </row>
        <row r="13161">
          <cell r="C13161" t="str">
            <v>4522 - ELECTRICAL</v>
          </cell>
          <cell r="D13161" t="str">
            <v>CW2151LABOX</v>
          </cell>
          <cell r="BA13161">
            <v>0.99</v>
          </cell>
        </row>
        <row r="13162">
          <cell r="C13162" t="str">
            <v>4522 - ELECTRICAL</v>
          </cell>
          <cell r="D13162" t="str">
            <v>CW5132LA</v>
          </cell>
          <cell r="BA13162">
            <v>0.89</v>
          </cell>
        </row>
        <row r="13163">
          <cell r="C13163" t="str">
            <v>4522 - ELECTRICAL</v>
          </cell>
          <cell r="D13163" t="str">
            <v>CW7501LABOX</v>
          </cell>
          <cell r="BA13163">
            <v>29.89</v>
          </cell>
        </row>
        <row r="13164">
          <cell r="C13164" t="str">
            <v>4522 - ELECTRICAL</v>
          </cell>
          <cell r="D13164" t="str">
            <v>CW224BOX</v>
          </cell>
          <cell r="BA13164">
            <v>7.99</v>
          </cell>
        </row>
        <row r="13165">
          <cell r="C13165" t="str">
            <v>4522 - ELECTRICAL</v>
          </cell>
          <cell r="D13165" t="str">
            <v>COSAL06P2-WKL</v>
          </cell>
          <cell r="BA13165">
            <v>25.99</v>
          </cell>
        </row>
        <row r="13166">
          <cell r="C13166" t="str">
            <v>4522 - ELECTRICAL</v>
          </cell>
          <cell r="D13166" t="str">
            <v>CWPJS26RB-SP-L</v>
          </cell>
          <cell r="BA13166">
            <v>6.99</v>
          </cell>
        </row>
        <row r="13167">
          <cell r="C13167" t="str">
            <v>4522 - ELECTRICAL</v>
          </cell>
          <cell r="D13167" t="str">
            <v>CW715VB</v>
          </cell>
          <cell r="BA13167">
            <v>5.39</v>
          </cell>
        </row>
        <row r="13168">
          <cell r="C13168" t="str">
            <v>4522 - ELECTRICAL</v>
          </cell>
          <cell r="D13168" t="str">
            <v>CWTRAFGF15WKL</v>
          </cell>
          <cell r="BA13168">
            <v>42.99</v>
          </cell>
        </row>
        <row r="13169">
          <cell r="C13169" t="str">
            <v>4522 - ELECTRICAL</v>
          </cell>
          <cell r="D13169" t="str">
            <v>CW718VB</v>
          </cell>
          <cell r="BA13169">
            <v>6.99</v>
          </cell>
        </row>
        <row r="13170">
          <cell r="C13170" t="str">
            <v>4522 - ELECTRICAL</v>
          </cell>
          <cell r="D13170" t="str">
            <v>CW1303-7LA</v>
          </cell>
          <cell r="BA13170">
            <v>2.59</v>
          </cell>
        </row>
        <row r="13171">
          <cell r="C13171" t="str">
            <v>4522 - ELECTRICAL</v>
          </cell>
          <cell r="D13171" t="str">
            <v>CW7503LA-BOX</v>
          </cell>
          <cell r="BA13171">
            <v>5.39</v>
          </cell>
        </row>
        <row r="13172">
          <cell r="C13172" t="str">
            <v>4522 - ELECTRICAL</v>
          </cell>
          <cell r="D13172" t="str">
            <v>CW2134LA-BOX</v>
          </cell>
          <cell r="BA13172">
            <v>0.79</v>
          </cell>
        </row>
        <row r="13173">
          <cell r="C13173" t="str">
            <v>4522 - ELECTRICAL</v>
          </cell>
          <cell r="D13173" t="str">
            <v>CWBP940ABD</v>
          </cell>
          <cell r="BA13173">
            <v>6.99</v>
          </cell>
        </row>
        <row r="13174">
          <cell r="C13174" t="str">
            <v>4522 - ELECTRICAL</v>
          </cell>
          <cell r="D13174" t="str">
            <v>CWTR1107SG-SP-L</v>
          </cell>
          <cell r="BA13174">
            <v>6.99</v>
          </cell>
        </row>
        <row r="13175">
          <cell r="C13175" t="str">
            <v>4522 - ELECTRICAL</v>
          </cell>
          <cell r="D13175" t="str">
            <v>CWTR1107LA-BOX</v>
          </cell>
          <cell r="BA13175">
            <v>3.99</v>
          </cell>
        </row>
        <row r="13176">
          <cell r="C13176" t="str">
            <v>4522 - ELECTRICAL</v>
          </cell>
          <cell r="D13176" t="str">
            <v>CWTR270LA-BOX</v>
          </cell>
          <cell r="BA13176">
            <v>1.79</v>
          </cell>
        </row>
        <row r="13177">
          <cell r="C13177" t="str">
            <v>4522 - ELECTRICAL</v>
          </cell>
          <cell r="D13177" t="str">
            <v>CWPJS26SG-SP-L</v>
          </cell>
          <cell r="BA13177">
            <v>6.99</v>
          </cell>
        </row>
        <row r="13178">
          <cell r="C13178" t="str">
            <v>4522 - ELECTRICAL</v>
          </cell>
          <cell r="D13178" t="str">
            <v>CWDAL06P-C2-K</v>
          </cell>
          <cell r="BA13178">
            <v>29.99</v>
          </cell>
        </row>
        <row r="13179">
          <cell r="C13179" t="str">
            <v>4522 - ELECTRICAL</v>
          </cell>
          <cell r="D13179" t="str">
            <v>CW7503RB-K-L</v>
          </cell>
          <cell r="BA13179">
            <v>8.99</v>
          </cell>
        </row>
        <row r="13180">
          <cell r="C13180" t="str">
            <v>4522 - ELECTRICAL</v>
          </cell>
          <cell r="D13180" t="str">
            <v>CW7503SG-K-L</v>
          </cell>
          <cell r="BA13180">
            <v>8.99</v>
          </cell>
        </row>
        <row r="13181">
          <cell r="C13181" t="str">
            <v>4522 - ELECTRICAL</v>
          </cell>
          <cell r="D13181" t="str">
            <v>CIBP26016BSP-C</v>
          </cell>
          <cell r="BA13181">
            <v>2.59</v>
          </cell>
        </row>
        <row r="13182">
          <cell r="C13182" t="str">
            <v>4522 - ELECTRICAL</v>
          </cell>
          <cell r="D13182" t="str">
            <v>CW7501RB-K-L</v>
          </cell>
          <cell r="BA13182">
            <v>6.99</v>
          </cell>
        </row>
        <row r="13183">
          <cell r="C13183" t="str">
            <v>4522 - ELECTRICAL</v>
          </cell>
          <cell r="D13183" t="str">
            <v>CW7501SG-K-L</v>
          </cell>
          <cell r="BA13183">
            <v>6.99</v>
          </cell>
        </row>
        <row r="13184">
          <cell r="C13184" t="str">
            <v>4522 - ELECTRICAL</v>
          </cell>
          <cell r="D13184" t="str">
            <v>PZ5366703</v>
          </cell>
          <cell r="BA13184">
            <v>29.99</v>
          </cell>
        </row>
        <row r="13185">
          <cell r="C13185" t="str">
            <v>4522 - ELECTRICAL</v>
          </cell>
          <cell r="D13185" t="str">
            <v>GBOX-100B</v>
          </cell>
          <cell r="BA13185">
            <v>5.99</v>
          </cell>
        </row>
        <row r="13186">
          <cell r="C13186" t="str">
            <v>4522 - ELECTRICAL</v>
          </cell>
          <cell r="D13186" t="str">
            <v>RC545</v>
          </cell>
          <cell r="BA13186">
            <v>5.69</v>
          </cell>
        </row>
        <row r="13187">
          <cell r="C13187" t="str">
            <v>4522 - ELECTRICAL</v>
          </cell>
          <cell r="D13187" t="str">
            <v>CW86BKBOX</v>
          </cell>
          <cell r="BA13187">
            <v>5.99</v>
          </cell>
        </row>
        <row r="13188">
          <cell r="C13188" t="str">
            <v>4522 - ELECTRICAL</v>
          </cell>
          <cell r="D13188" t="str">
            <v>HZ18000222</v>
          </cell>
          <cell r="BA13188">
            <v>7.99</v>
          </cell>
        </row>
        <row r="13189">
          <cell r="C13189" t="str">
            <v>4522 - ELECTRICAL</v>
          </cell>
          <cell r="D13189" t="str">
            <v>Q240</v>
          </cell>
          <cell r="BA13189">
            <v>21.99</v>
          </cell>
        </row>
        <row r="13190">
          <cell r="C13190" t="str">
            <v>4522 - ELECTRICAL</v>
          </cell>
          <cell r="D13190" t="str">
            <v>HAL20511</v>
          </cell>
          <cell r="BA13190">
            <v>3.49</v>
          </cell>
        </row>
        <row r="13191">
          <cell r="C13191" t="str">
            <v>4522 - ELECTRICAL</v>
          </cell>
          <cell r="D13191" t="str">
            <v>WCG19095</v>
          </cell>
          <cell r="BA13191">
            <v>1.99</v>
          </cell>
        </row>
        <row r="13192">
          <cell r="C13192" t="str">
            <v>4522 - ELECTRICAL</v>
          </cell>
          <cell r="D13192" t="str">
            <v>3WRC222</v>
          </cell>
          <cell r="BA13192">
            <v>8.69</v>
          </cell>
        </row>
        <row r="13193">
          <cell r="C13193" t="str">
            <v>4522 - ELECTRICAL</v>
          </cell>
          <cell r="D13193" t="str">
            <v>CW1303-7W-BOX</v>
          </cell>
          <cell r="BA13193">
            <v>2.79</v>
          </cell>
        </row>
        <row r="13194">
          <cell r="C13194" t="str">
            <v>4522 - ELECTRICAL</v>
          </cell>
          <cell r="D13194" t="str">
            <v>CW1303-7WEA</v>
          </cell>
          <cell r="BA13194">
            <v>2.59</v>
          </cell>
        </row>
        <row r="13195">
          <cell r="C13195" t="str">
            <v>4522 - ELECTRICAL</v>
          </cell>
          <cell r="D13195" t="str">
            <v>GMTR15WST</v>
          </cell>
          <cell r="BA13195">
            <v>14.99</v>
          </cell>
        </row>
        <row r="13196">
          <cell r="C13196" t="str">
            <v>4522 - ELECTRICAL</v>
          </cell>
          <cell r="D13196" t="str">
            <v>CW270V</v>
          </cell>
          <cell r="BA13196">
            <v>0.99</v>
          </cell>
        </row>
        <row r="13197">
          <cell r="C13197" t="str">
            <v>4522 - ELECTRICAL</v>
          </cell>
          <cell r="D13197" t="str">
            <v>CWTR1107RB-SP-L</v>
          </cell>
          <cell r="BA13197">
            <v>6.99</v>
          </cell>
        </row>
        <row r="13198">
          <cell r="C13198" t="str">
            <v>4522 - ELECTRICAL</v>
          </cell>
          <cell r="D13198" t="str">
            <v>CW1301-7B</v>
          </cell>
          <cell r="BA13198">
            <v>0.99</v>
          </cell>
        </row>
        <row r="13199">
          <cell r="C13199" t="str">
            <v>4522 - ELECTRICAL</v>
          </cell>
          <cell r="D13199" t="str">
            <v>CO5132V</v>
          </cell>
          <cell r="BA13199">
            <v>7.89</v>
          </cell>
        </row>
        <row r="13200">
          <cell r="C13200" t="str">
            <v>4522 - ELECTRICAL</v>
          </cell>
          <cell r="D13200" t="str">
            <v>CWPJ8V</v>
          </cell>
          <cell r="BA13200">
            <v>0.89</v>
          </cell>
        </row>
        <row r="13201">
          <cell r="C13201" t="str">
            <v>4522 - ELECTRICAL</v>
          </cell>
          <cell r="D13201" t="str">
            <v>NEBO7001</v>
          </cell>
          <cell r="BA13201">
            <v>33.79</v>
          </cell>
        </row>
        <row r="13202">
          <cell r="C13202" t="str">
            <v>4522 - ELECTRICAL</v>
          </cell>
          <cell r="D13202" t="str">
            <v>NEB-HLP-0004</v>
          </cell>
          <cell r="BA13202">
            <v>13.99</v>
          </cell>
        </row>
        <row r="13203">
          <cell r="C13203" t="str">
            <v>4522 - ELECTRICAL</v>
          </cell>
          <cell r="D13203" t="str">
            <v>NEB-HLP-1004</v>
          </cell>
          <cell r="BA13203">
            <v>24.89</v>
          </cell>
        </row>
        <row r="13204">
          <cell r="C13204" t="str">
            <v>4522 - ELECTRICAL</v>
          </cell>
          <cell r="D13204" t="str">
            <v>NEB-HLP-1001</v>
          </cell>
          <cell r="BA13204">
            <v>61.49</v>
          </cell>
        </row>
        <row r="13205">
          <cell r="C13205" t="str">
            <v>4522 - ELECTRICAL</v>
          </cell>
          <cell r="D13205" t="str">
            <v>NEB-BND-0004</v>
          </cell>
          <cell r="BA13205">
            <v>39.99</v>
          </cell>
        </row>
        <row r="13206">
          <cell r="C13206" t="str">
            <v>4522 - ELECTRICAL</v>
          </cell>
          <cell r="D13206" t="str">
            <v>NEB-KEY-0001</v>
          </cell>
          <cell r="BA13206">
            <v>24.79</v>
          </cell>
        </row>
        <row r="13207">
          <cell r="C13207" t="str">
            <v>4522 - ELECTRICAL</v>
          </cell>
          <cell r="D13207" t="str">
            <v>NEBO6431</v>
          </cell>
          <cell r="BA13207">
            <v>15.09</v>
          </cell>
        </row>
        <row r="13208">
          <cell r="C13208" t="str">
            <v>4522 - ELECTRICAL</v>
          </cell>
          <cell r="D13208" t="str">
            <v>NEBO6294</v>
          </cell>
          <cell r="BA13208">
            <v>49.49</v>
          </cell>
        </row>
        <row r="13209">
          <cell r="C13209" t="str">
            <v>4522 - ELECTRICAL</v>
          </cell>
          <cell r="D13209" t="str">
            <v>NEBOHLP0011</v>
          </cell>
          <cell r="BA13209">
            <v>17.89</v>
          </cell>
        </row>
        <row r="13210">
          <cell r="C13210" t="str">
            <v>4522 - ELECTRICAL</v>
          </cell>
          <cell r="D13210" t="str">
            <v>PZ1297852</v>
          </cell>
          <cell r="BA13210">
            <v>14.99</v>
          </cell>
        </row>
        <row r="13211">
          <cell r="C13211" t="str">
            <v>4522 - ELECTRICAL</v>
          </cell>
          <cell r="D13211" t="str">
            <v>LED51010</v>
          </cell>
          <cell r="BA13211">
            <v>34.89</v>
          </cell>
        </row>
        <row r="13212">
          <cell r="C13212" t="str">
            <v>4522 - ELECTRICAL</v>
          </cell>
          <cell r="D13212" t="str">
            <v>5361-0</v>
          </cell>
          <cell r="BA13212">
            <v>6.99</v>
          </cell>
        </row>
        <row r="13213">
          <cell r="C13213" t="str">
            <v>4522 - ELECTRICAL</v>
          </cell>
          <cell r="D13213" t="str">
            <v>AA36359</v>
          </cell>
          <cell r="BA13213">
            <v>3.29</v>
          </cell>
        </row>
        <row r="13214">
          <cell r="C13214" t="str">
            <v>4522 - ELECTRICAL</v>
          </cell>
          <cell r="D13214" t="str">
            <v>BP758B</v>
          </cell>
          <cell r="BA13214">
            <v>2.99</v>
          </cell>
        </row>
        <row r="13215">
          <cell r="C13215" t="str">
            <v>4523 - OFFICE SUPPLIES</v>
          </cell>
          <cell r="D13215" t="str">
            <v>3M17067CLR</v>
          </cell>
          <cell r="BA13215">
            <v>4.99</v>
          </cell>
        </row>
        <row r="13216">
          <cell r="C13216" t="str">
            <v>4523 - OFFICE SUPPLIES</v>
          </cell>
          <cell r="D13216" t="str">
            <v>3M17206</v>
          </cell>
          <cell r="BA13216">
            <v>5.99</v>
          </cell>
        </row>
        <row r="13217">
          <cell r="C13217" t="str">
            <v>4523 - OFFICE SUPPLIES</v>
          </cell>
          <cell r="D13217" t="str">
            <v>CT1191998</v>
          </cell>
          <cell r="BA13217">
            <v>6.49</v>
          </cell>
        </row>
        <row r="13218">
          <cell r="C13218" t="str">
            <v>4523 - OFFICE SUPPLIES</v>
          </cell>
          <cell r="D13218" t="str">
            <v>4513090</v>
          </cell>
          <cell r="BA13218">
            <v>4.29</v>
          </cell>
        </row>
        <row r="13219">
          <cell r="C13219" t="str">
            <v>4523 - OFFICE SUPPLIES</v>
          </cell>
          <cell r="D13219" t="str">
            <v>SAFDW6757U</v>
          </cell>
          <cell r="BA13219">
            <v>6.99</v>
          </cell>
        </row>
        <row r="13220">
          <cell r="C13220" t="str">
            <v>4523 - OFFICE SUPPLIES</v>
          </cell>
          <cell r="D13220" t="str">
            <v>JD135</v>
          </cell>
          <cell r="BA13220">
            <v>4.99</v>
          </cell>
        </row>
        <row r="13221">
          <cell r="C13221" t="str">
            <v>4523 - OFFICE SUPPLIES</v>
          </cell>
          <cell r="D13221" t="str">
            <v>JD374-M</v>
          </cell>
          <cell r="BA13221">
            <v>7.99</v>
          </cell>
        </row>
        <row r="13222">
          <cell r="C13222" t="str">
            <v>4523 - OFFICE SUPPLIES</v>
          </cell>
          <cell r="D13222" t="str">
            <v>RITR373</v>
          </cell>
          <cell r="BA13222">
            <v>9.99</v>
          </cell>
        </row>
        <row r="13223">
          <cell r="C13223" t="str">
            <v>4523 - OFFICE SUPPLIES</v>
          </cell>
          <cell r="D13223" t="str">
            <v>RITR146</v>
          </cell>
          <cell r="BA13223">
            <v>4.8899999999999997</v>
          </cell>
        </row>
        <row r="13224">
          <cell r="C13224" t="str">
            <v>4523 - OFFICE SUPPLIES</v>
          </cell>
          <cell r="D13224" t="str">
            <v>SAN35010</v>
          </cell>
          <cell r="BA13224">
            <v>1.49</v>
          </cell>
        </row>
        <row r="13225">
          <cell r="C13225" t="str">
            <v>4523 - OFFICE SUPPLIES</v>
          </cell>
          <cell r="D13225" t="str">
            <v>SAN30173</v>
          </cell>
          <cell r="BA13225">
            <v>4.99</v>
          </cell>
        </row>
        <row r="13226">
          <cell r="C13226" t="str">
            <v>4523 - OFFICE SUPPLIES</v>
          </cell>
          <cell r="D13226" t="str">
            <v>SAN30101</v>
          </cell>
          <cell r="BA13226">
            <v>1.69</v>
          </cell>
        </row>
        <row r="13227">
          <cell r="C13227" t="str">
            <v>4523 - OFFICE SUPPLIES</v>
          </cell>
          <cell r="D13227" t="str">
            <v>MIL48-22-3103</v>
          </cell>
          <cell r="BA13227">
            <v>2.79</v>
          </cell>
        </row>
        <row r="13228">
          <cell r="C13228" t="str">
            <v>4523 - OFFICE SUPPLIES</v>
          </cell>
          <cell r="D13228" t="str">
            <v>E91BP2</v>
          </cell>
          <cell r="BA13228">
            <v>3.79</v>
          </cell>
        </row>
        <row r="13229">
          <cell r="C13229" t="str">
            <v>4523 - OFFICE SUPPLIES</v>
          </cell>
          <cell r="D13229" t="str">
            <v>E91BP-24</v>
          </cell>
          <cell r="BA13229">
            <v>21.99</v>
          </cell>
        </row>
        <row r="13230">
          <cell r="C13230" t="str">
            <v>4523 - OFFICE SUPPLIES</v>
          </cell>
          <cell r="D13230" t="str">
            <v>E91BP4</v>
          </cell>
          <cell r="BA13230">
            <v>5.69</v>
          </cell>
        </row>
        <row r="13231">
          <cell r="C13231" t="str">
            <v>4523 - OFFICE SUPPLIES</v>
          </cell>
          <cell r="D13231" t="str">
            <v>E93BP</v>
          </cell>
          <cell r="BA13231">
            <v>5.39</v>
          </cell>
        </row>
        <row r="13232">
          <cell r="C13232" t="str">
            <v>4524 - HEATING &amp; COOLING</v>
          </cell>
          <cell r="D13232" t="str">
            <v>AI110201</v>
          </cell>
          <cell r="BA13232">
            <v>2.79</v>
          </cell>
        </row>
        <row r="13233">
          <cell r="C13233" t="str">
            <v>4524 - HEATING &amp; COOLING</v>
          </cell>
          <cell r="D13233" t="str">
            <v>AI114251</v>
          </cell>
          <cell r="BA13233">
            <v>2.79</v>
          </cell>
        </row>
        <row r="13234">
          <cell r="C13234" t="str">
            <v>4524 - HEATING &amp; COOLING</v>
          </cell>
          <cell r="D13234" t="str">
            <v>AI220500051</v>
          </cell>
          <cell r="BA13234">
            <v>2.79</v>
          </cell>
        </row>
        <row r="13235">
          <cell r="C13235" t="str">
            <v>4524 - HEATING &amp; COOLING</v>
          </cell>
          <cell r="D13235" t="str">
            <v>AI220600051</v>
          </cell>
          <cell r="BA13235">
            <v>2.79</v>
          </cell>
        </row>
        <row r="13236">
          <cell r="C13236" t="str">
            <v>4524 - HEATING &amp; COOLING</v>
          </cell>
          <cell r="D13236" t="str">
            <v>3M9832DC6</v>
          </cell>
          <cell r="BA13236">
            <v>8.69</v>
          </cell>
        </row>
        <row r="13237">
          <cell r="C13237" t="str">
            <v>4524 - HEATING &amp; COOLING</v>
          </cell>
          <cell r="D13237" t="str">
            <v>3MFBA00DC-H-6</v>
          </cell>
          <cell r="BA13237">
            <v>3.29</v>
          </cell>
        </row>
        <row r="13238">
          <cell r="C13238" t="str">
            <v>4524 - HEATING &amp; COOLING</v>
          </cell>
          <cell r="D13238" t="str">
            <v>3MFBA03DC-H-6</v>
          </cell>
          <cell r="BA13238">
            <v>3.99</v>
          </cell>
        </row>
        <row r="13239">
          <cell r="C13239" t="str">
            <v>4524 - HEATING &amp; COOLING</v>
          </cell>
          <cell r="D13239" t="str">
            <v>3MFPL02-2PK-24</v>
          </cell>
          <cell r="BA13239">
            <v>5.99</v>
          </cell>
        </row>
        <row r="13240">
          <cell r="C13240" t="str">
            <v>4524 - HEATING &amp; COOLING</v>
          </cell>
          <cell r="D13240" t="str">
            <v>3FGPIPE</v>
          </cell>
          <cell r="BA13240">
            <v>74.489999999999995</v>
          </cell>
        </row>
        <row r="13241">
          <cell r="C13241" t="str">
            <v>4524 - HEATING &amp; COOLING</v>
          </cell>
          <cell r="D13241" t="str">
            <v>LAM381</v>
          </cell>
          <cell r="BA13241">
            <v>2.19</v>
          </cell>
        </row>
        <row r="13242">
          <cell r="C13242" t="str">
            <v>4524 - HEATING &amp; COOLING</v>
          </cell>
          <cell r="D13242" t="str">
            <v>LAS3733</v>
          </cell>
          <cell r="BA13242">
            <v>24.99</v>
          </cell>
        </row>
        <row r="13243">
          <cell r="C13243" t="str">
            <v>4524 - HEATING &amp; COOLING</v>
          </cell>
          <cell r="D13243" t="str">
            <v>LAM228</v>
          </cell>
          <cell r="BA13243">
            <v>5.69</v>
          </cell>
        </row>
        <row r="13244">
          <cell r="C13244" t="str">
            <v>4524 - HEATING &amp; COOLING</v>
          </cell>
          <cell r="D13244" t="str">
            <v>LAM235</v>
          </cell>
          <cell r="BA13244">
            <v>4.59</v>
          </cell>
        </row>
        <row r="13245">
          <cell r="C13245" t="str">
            <v>4524 - HEATING &amp; COOLING</v>
          </cell>
          <cell r="D13245" t="str">
            <v>LAM301</v>
          </cell>
          <cell r="BA13245">
            <v>16.989999999999998</v>
          </cell>
        </row>
        <row r="13246">
          <cell r="C13246" t="str">
            <v>4524 - HEATING &amp; COOLING</v>
          </cell>
          <cell r="D13246" t="str">
            <v>PA3PORT12000</v>
          </cell>
          <cell r="BA13246">
            <v>529.99</v>
          </cell>
        </row>
        <row r="13247">
          <cell r="C13247" t="str">
            <v>4524 - HEATING &amp; COOLING</v>
          </cell>
          <cell r="D13247" t="str">
            <v>F232000</v>
          </cell>
          <cell r="BA13247">
            <v>99.99</v>
          </cell>
        </row>
        <row r="13248">
          <cell r="C13248" t="str">
            <v>4524 - HEATING &amp; COOLING</v>
          </cell>
          <cell r="D13248" t="str">
            <v>CM10623</v>
          </cell>
          <cell r="BA13248">
            <v>5.99</v>
          </cell>
        </row>
        <row r="13249">
          <cell r="C13249" t="str">
            <v>4524 - HEATING &amp; COOLING</v>
          </cell>
          <cell r="D13249" t="str">
            <v>EM110424</v>
          </cell>
          <cell r="BA13249">
            <v>3.99</v>
          </cell>
        </row>
        <row r="13250">
          <cell r="C13250" t="str">
            <v>4524 - HEATING &amp; COOLING</v>
          </cell>
          <cell r="D13250" t="str">
            <v>EM110624</v>
          </cell>
          <cell r="BA13250">
            <v>2.79</v>
          </cell>
        </row>
        <row r="13251">
          <cell r="C13251" t="str">
            <v>4524 - HEATING &amp; COOLING</v>
          </cell>
          <cell r="D13251" t="str">
            <v>IMGV0296-C</v>
          </cell>
          <cell r="BA13251">
            <v>9.99</v>
          </cell>
        </row>
        <row r="13252">
          <cell r="C13252" t="str">
            <v>4524 - HEATING &amp; COOLING</v>
          </cell>
          <cell r="D13252" t="str">
            <v>DJP4E20ZW</v>
          </cell>
          <cell r="BA13252">
            <v>7.59</v>
          </cell>
        </row>
        <row r="13253">
          <cell r="C13253" t="str">
            <v>4526 - LAWN AND GARDEN</v>
          </cell>
          <cell r="D13253" t="str">
            <v>HYDM100R48</v>
          </cell>
          <cell r="BA13253">
            <v>4.29</v>
          </cell>
        </row>
        <row r="13254">
          <cell r="C13254" t="str">
            <v>4526 - LAWN AND GARDEN</v>
          </cell>
          <cell r="D13254" t="str">
            <v>DWB15350</v>
          </cell>
          <cell r="BA13254">
            <v>13.99</v>
          </cell>
        </row>
        <row r="13255">
          <cell r="C13255" t="str">
            <v>4526 - LAWN AND GARDEN</v>
          </cell>
          <cell r="D13255" t="str">
            <v>DWB153100</v>
          </cell>
          <cell r="BA13255">
            <v>25.99</v>
          </cell>
        </row>
        <row r="13256">
          <cell r="C13256" t="str">
            <v>4526 - LAWN AND GARDEN</v>
          </cell>
          <cell r="D13256" t="str">
            <v>APBO-KT</v>
          </cell>
          <cell r="BA13256">
            <v>15.39</v>
          </cell>
        </row>
        <row r="13257">
          <cell r="C13257" t="str">
            <v>4526 - LAWN AND GARDEN</v>
          </cell>
          <cell r="D13257" t="str">
            <v>MH12T</v>
          </cell>
          <cell r="BA13257">
            <v>45.99</v>
          </cell>
        </row>
        <row r="13258">
          <cell r="C13258" t="str">
            <v>4526 - LAWN AND GARDEN</v>
          </cell>
          <cell r="D13258" t="str">
            <v>289487BLAZB</v>
          </cell>
          <cell r="BA13258">
            <v>29.99</v>
          </cell>
        </row>
        <row r="13259">
          <cell r="C13259" t="str">
            <v>4526 - LAWN AND GARDEN</v>
          </cell>
          <cell r="D13259" t="str">
            <v>HWEF</v>
          </cell>
          <cell r="BA13259">
            <v>1.39</v>
          </cell>
        </row>
        <row r="13260">
          <cell r="C13260" t="str">
            <v>4526 - LAWN AND GARDEN</v>
          </cell>
          <cell r="D13260" t="str">
            <v>GL11215-32</v>
          </cell>
          <cell r="BA13260">
            <v>29.99</v>
          </cell>
        </row>
        <row r="13261">
          <cell r="C13261" t="str">
            <v>4526 - LAWN AND GARDEN</v>
          </cell>
          <cell r="D13261" t="str">
            <v>TWES8</v>
          </cell>
          <cell r="BA13261">
            <v>10.99</v>
          </cell>
        </row>
        <row r="13262">
          <cell r="C13262" t="str">
            <v>4526 - LAWN AND GARDEN</v>
          </cell>
          <cell r="D13262" t="str">
            <v>21006906011</v>
          </cell>
          <cell r="BA13262">
            <v>199.99</v>
          </cell>
        </row>
        <row r="13263">
          <cell r="C13263" t="str">
            <v>4526 - LAWN AND GARDEN</v>
          </cell>
          <cell r="D13263" t="str">
            <v>MWES</v>
          </cell>
          <cell r="BA13263">
            <v>1.19</v>
          </cell>
        </row>
        <row r="13264">
          <cell r="C13264" t="str">
            <v>4526 - LAWN AND GARDEN</v>
          </cell>
          <cell r="D13264" t="str">
            <v>75120-9</v>
          </cell>
          <cell r="BA13264">
            <v>42.99</v>
          </cell>
        </row>
        <row r="13265">
          <cell r="C13265" t="str">
            <v>4526 - LAWN AND GARDEN</v>
          </cell>
          <cell r="D13265" t="str">
            <v>75120-10</v>
          </cell>
          <cell r="BA13265">
            <v>42.99</v>
          </cell>
        </row>
        <row r="13266">
          <cell r="C13266" t="str">
            <v>4526 - LAWN AND GARDEN</v>
          </cell>
          <cell r="D13266" t="str">
            <v>UKTK-1015-LX</v>
          </cell>
          <cell r="BA13266">
            <v>179.99</v>
          </cell>
        </row>
        <row r="13267">
          <cell r="C13267" t="str">
            <v>4526 - LAWN AND GARDEN</v>
          </cell>
          <cell r="D13267" t="str">
            <v>PEL309</v>
          </cell>
          <cell r="BA13267">
            <v>19.989999999999998</v>
          </cell>
        </row>
        <row r="13268">
          <cell r="C13268" t="str">
            <v>4526 - LAWN AND GARDEN</v>
          </cell>
          <cell r="D13268" t="str">
            <v>PEL318</v>
          </cell>
          <cell r="BA13268">
            <v>19.989999999999998</v>
          </cell>
        </row>
        <row r="13269">
          <cell r="C13269" t="str">
            <v>4526 - LAWN AND GARDEN</v>
          </cell>
          <cell r="D13269" t="str">
            <v>BS5471</v>
          </cell>
          <cell r="BA13269">
            <v>24.69</v>
          </cell>
        </row>
        <row r="13270">
          <cell r="C13270" t="str">
            <v>4526 - LAWN AND GARDEN</v>
          </cell>
          <cell r="D13270" t="str">
            <v>GM805282-1001</v>
          </cell>
          <cell r="BA13270">
            <v>8.99</v>
          </cell>
        </row>
        <row r="13271">
          <cell r="C13271" t="str">
            <v>4526 - LAWN AND GARDEN</v>
          </cell>
          <cell r="D13271" t="str">
            <v>MIN850510</v>
          </cell>
          <cell r="BA13271">
            <v>0.69</v>
          </cell>
        </row>
        <row r="13272">
          <cell r="C13272" t="str">
            <v>4526 - LAWN AND GARDEN</v>
          </cell>
          <cell r="D13272" t="str">
            <v>CH25020</v>
          </cell>
          <cell r="BA13272">
            <v>44.99</v>
          </cell>
        </row>
        <row r="13273">
          <cell r="C13273" t="str">
            <v>4526 - LAWN AND GARDEN</v>
          </cell>
          <cell r="D13273" t="str">
            <v>MIN32913</v>
          </cell>
          <cell r="BA13273">
            <v>37.99</v>
          </cell>
        </row>
        <row r="13274">
          <cell r="C13274" t="str">
            <v>4526 - LAWN AND GARDEN</v>
          </cell>
          <cell r="D13274" t="str">
            <v>SNCG34100</v>
          </cell>
          <cell r="BA13274">
            <v>92.99</v>
          </cell>
        </row>
        <row r="13275">
          <cell r="C13275" t="str">
            <v>4526 - LAWN AND GARDEN</v>
          </cell>
          <cell r="D13275" t="str">
            <v>CH25012</v>
          </cell>
          <cell r="BA13275">
            <v>34.99</v>
          </cell>
        </row>
        <row r="13276">
          <cell r="C13276" t="str">
            <v>4526 - LAWN AND GARDEN</v>
          </cell>
          <cell r="D13276" t="str">
            <v>OR23575</v>
          </cell>
          <cell r="BA13276">
            <v>10.99</v>
          </cell>
        </row>
        <row r="13277">
          <cell r="C13277" t="str">
            <v>4526 - LAWN AND GARDEN</v>
          </cell>
          <cell r="D13277" t="str">
            <v>PS2018869</v>
          </cell>
          <cell r="BA13277">
            <v>1.79</v>
          </cell>
        </row>
        <row r="13278">
          <cell r="C13278" t="str">
            <v>4526 - LAWN AND GARDEN</v>
          </cell>
          <cell r="D13278" t="str">
            <v>MIN33393</v>
          </cell>
          <cell r="BA13278">
            <v>15.99</v>
          </cell>
        </row>
        <row r="13279">
          <cell r="C13279" t="str">
            <v>4526 - LAWN AND GARDEN</v>
          </cell>
          <cell r="D13279" t="str">
            <v>MIN32917</v>
          </cell>
          <cell r="BA13279">
            <v>12.99</v>
          </cell>
        </row>
        <row r="13280">
          <cell r="C13280" t="str">
            <v>4526 - LAWN AND GARDEN</v>
          </cell>
          <cell r="D13280" t="str">
            <v>LIN66564</v>
          </cell>
          <cell r="BA13280">
            <v>25.99</v>
          </cell>
        </row>
        <row r="13281">
          <cell r="C13281" t="str">
            <v>4526 - LAWN AND GARDEN</v>
          </cell>
          <cell r="D13281" t="str">
            <v>PRR-PM-CB-01</v>
          </cell>
          <cell r="BA13281">
            <v>139.99</v>
          </cell>
        </row>
        <row r="13282">
          <cell r="C13282" t="str">
            <v>4526 - LAWN AND GARDEN</v>
          </cell>
          <cell r="D13282" t="str">
            <v>PRR-LP-CB-01</v>
          </cell>
          <cell r="BA13282">
            <v>157.99</v>
          </cell>
        </row>
        <row r="13283">
          <cell r="C13283" t="str">
            <v>4526 - LAWN AND GARDEN</v>
          </cell>
          <cell r="D13283" t="str">
            <v>BTW-CB-01</v>
          </cell>
          <cell r="BA13283">
            <v>3.49</v>
          </cell>
        </row>
        <row r="13284">
          <cell r="C13284" t="str">
            <v>4526 - LAWN AND GARDEN</v>
          </cell>
          <cell r="D13284" t="str">
            <v>BN-75-HDGPC-CB</v>
          </cell>
          <cell r="BA13284">
            <v>5.39</v>
          </cell>
        </row>
        <row r="13285">
          <cell r="C13285" t="str">
            <v>4526 - LAWN AND GARDEN</v>
          </cell>
          <cell r="D13285" t="str">
            <v>LS-5-HDGPC-CB</v>
          </cell>
          <cell r="BA13285">
            <v>5.39</v>
          </cell>
        </row>
        <row r="13286">
          <cell r="C13286" t="str">
            <v>4526 - LAWN AND GARDEN</v>
          </cell>
          <cell r="D13286" t="str">
            <v>RS7120</v>
          </cell>
          <cell r="BA13286">
            <v>29.99</v>
          </cell>
        </row>
        <row r="13287">
          <cell r="C13287" t="str">
            <v>4526 - LAWN AND GARDEN</v>
          </cell>
          <cell r="D13287" t="str">
            <v>MINGA711-Y3L</v>
          </cell>
          <cell r="BA13287">
            <v>7.99</v>
          </cell>
        </row>
        <row r="13288">
          <cell r="C13288" t="str">
            <v>4526 - LAWN AND GARDEN</v>
          </cell>
          <cell r="D13288" t="str">
            <v>MINYM7674</v>
          </cell>
          <cell r="BA13288">
            <v>15.99</v>
          </cell>
        </row>
        <row r="13289">
          <cell r="C13289" t="str">
            <v>4526 - LAWN AND GARDEN</v>
          </cell>
          <cell r="D13289" t="str">
            <v>OR62040</v>
          </cell>
          <cell r="BA13289">
            <v>35.29</v>
          </cell>
        </row>
        <row r="13290">
          <cell r="C13290" t="str">
            <v>4526 - LAWN AND GARDEN</v>
          </cell>
          <cell r="D13290" t="str">
            <v>MINGT930CS</v>
          </cell>
          <cell r="BA13290">
            <v>8.99</v>
          </cell>
        </row>
        <row r="13291">
          <cell r="C13291" t="str">
            <v>4526 - LAWN AND GARDEN</v>
          </cell>
          <cell r="D13291" t="str">
            <v>MINGT930BS</v>
          </cell>
          <cell r="BA13291">
            <v>8.99</v>
          </cell>
        </row>
        <row r="13292">
          <cell r="C13292" t="str">
            <v>4526 - LAWN AND GARDEN</v>
          </cell>
          <cell r="D13292" t="str">
            <v>SNR015FM</v>
          </cell>
          <cell r="BA13292">
            <v>12.99</v>
          </cell>
        </row>
        <row r="13293">
          <cell r="C13293" t="str">
            <v>4526 - LAWN AND GARDEN</v>
          </cell>
          <cell r="D13293" t="str">
            <v>PS4417564</v>
          </cell>
          <cell r="BA13293">
            <v>1.39</v>
          </cell>
        </row>
        <row r="13294">
          <cell r="C13294" t="str">
            <v>4526 - LAWN AND GARDEN</v>
          </cell>
          <cell r="D13294" t="str">
            <v>CH1949</v>
          </cell>
          <cell r="BA13294">
            <v>169.99</v>
          </cell>
        </row>
        <row r="13295">
          <cell r="C13295" t="str">
            <v>4526 - LAWN AND GARDEN</v>
          </cell>
          <cell r="D13295" t="str">
            <v>MINTP1501</v>
          </cell>
          <cell r="BA13295">
            <v>14.99</v>
          </cell>
        </row>
        <row r="13296">
          <cell r="C13296" t="str">
            <v>4526 - LAWN AND GARDEN</v>
          </cell>
          <cell r="D13296" t="str">
            <v>BU92309</v>
          </cell>
          <cell r="BA13296">
            <v>44.99</v>
          </cell>
        </row>
        <row r="13297">
          <cell r="C13297" t="str">
            <v>4526 - LAWN AND GARDEN</v>
          </cell>
          <cell r="D13297" t="str">
            <v>BU92382</v>
          </cell>
          <cell r="BA13297">
            <v>89.99</v>
          </cell>
        </row>
        <row r="13298">
          <cell r="C13298" t="str">
            <v>4526 - LAWN AND GARDEN</v>
          </cell>
          <cell r="D13298" t="str">
            <v>GILAY2FFM</v>
          </cell>
          <cell r="BA13298">
            <v>11.99</v>
          </cell>
        </row>
        <row r="13299">
          <cell r="C13299" t="str">
            <v>4526 - LAWN AND GARDEN</v>
          </cell>
          <cell r="D13299" t="str">
            <v>34458</v>
          </cell>
          <cell r="BA13299">
            <v>55.99</v>
          </cell>
        </row>
        <row r="13300">
          <cell r="C13300" t="str">
            <v>4526 - LAWN AND GARDEN</v>
          </cell>
          <cell r="D13300" t="str">
            <v>MIN34248</v>
          </cell>
          <cell r="BA13300">
            <v>31.99</v>
          </cell>
        </row>
        <row r="13301">
          <cell r="C13301" t="str">
            <v>4526 - LAWN AND GARDEN</v>
          </cell>
          <cell r="D13301" t="str">
            <v>MIN34405</v>
          </cell>
          <cell r="BA13301">
            <v>29.99</v>
          </cell>
        </row>
        <row r="13302">
          <cell r="C13302" t="str">
            <v>4526 - LAWN AND GARDEN</v>
          </cell>
          <cell r="D13302" t="str">
            <v>MIN33703</v>
          </cell>
          <cell r="BA13302">
            <v>21.99</v>
          </cell>
        </row>
        <row r="13303">
          <cell r="C13303" t="str">
            <v>4526 - LAWN AND GARDEN</v>
          </cell>
          <cell r="D13303" t="str">
            <v>ELCF34100</v>
          </cell>
          <cell r="BA13303">
            <v>82.99</v>
          </cell>
        </row>
        <row r="13304">
          <cell r="C13304" t="str">
            <v>4526 - LAWN AND GARDEN</v>
          </cell>
          <cell r="D13304" t="str">
            <v>ELCF34050</v>
          </cell>
          <cell r="BA13304">
            <v>52.99</v>
          </cell>
        </row>
        <row r="13305">
          <cell r="C13305" t="str">
            <v>4526 - LAWN AND GARDEN</v>
          </cell>
          <cell r="D13305" t="str">
            <v>45-0388</v>
          </cell>
          <cell r="BA13305">
            <v>119.99</v>
          </cell>
        </row>
        <row r="13306">
          <cell r="C13306" t="str">
            <v>4526 - LAWN AND GARDEN</v>
          </cell>
          <cell r="D13306" t="str">
            <v>AME25337100</v>
          </cell>
          <cell r="BA13306">
            <v>27.99</v>
          </cell>
        </row>
        <row r="13307">
          <cell r="C13307" t="str">
            <v>4526 - LAWN AND GARDEN</v>
          </cell>
          <cell r="D13307" t="str">
            <v>AME1673300</v>
          </cell>
          <cell r="BA13307">
            <v>16.989999999999998</v>
          </cell>
        </row>
        <row r="13308">
          <cell r="C13308" t="str">
            <v>4526 - LAWN AND GARDEN</v>
          </cell>
          <cell r="D13308" t="str">
            <v>344G00UB</v>
          </cell>
          <cell r="BA13308">
            <v>1.69</v>
          </cell>
        </row>
        <row r="13309">
          <cell r="C13309" t="str">
            <v>4526 - LAWN AND GARDEN</v>
          </cell>
          <cell r="D13309" t="str">
            <v>ELSP38050</v>
          </cell>
          <cell r="BA13309">
            <v>18.989999999999998</v>
          </cell>
        </row>
        <row r="13310">
          <cell r="C13310" t="str">
            <v>4526 - LAWN AND GARDEN</v>
          </cell>
          <cell r="D13310" t="str">
            <v>JNF175B</v>
          </cell>
          <cell r="BA13310">
            <v>59.99</v>
          </cell>
        </row>
        <row r="13311">
          <cell r="C13311" t="str">
            <v>4526 - LAWN AND GARDEN</v>
          </cell>
          <cell r="D13311" t="str">
            <v>AME28252100</v>
          </cell>
          <cell r="BA13311">
            <v>35.79</v>
          </cell>
        </row>
        <row r="13312">
          <cell r="C13312" t="str">
            <v>4526 - LAWN AND GARDEN</v>
          </cell>
          <cell r="D13312" t="str">
            <v>AMM6T22</v>
          </cell>
          <cell r="BA13312">
            <v>179.99</v>
          </cell>
        </row>
        <row r="13313">
          <cell r="C13313" t="str">
            <v>4526 - LAWN AND GARDEN</v>
          </cell>
          <cell r="D13313" t="str">
            <v>EG52214</v>
          </cell>
          <cell r="BA13313">
            <v>7.59</v>
          </cell>
        </row>
        <row r="13314">
          <cell r="C13314" t="str">
            <v>4526 - LAWN AND GARDEN</v>
          </cell>
          <cell r="D13314" t="str">
            <v>GM8016041001</v>
          </cell>
          <cell r="BA13314">
            <v>8.69</v>
          </cell>
        </row>
        <row r="13315">
          <cell r="C13315" t="str">
            <v>4526 - LAWN AND GARDEN</v>
          </cell>
          <cell r="D13315" t="str">
            <v>GP1296/GP1297</v>
          </cell>
          <cell r="BA13315">
            <v>15.99</v>
          </cell>
        </row>
        <row r="13316">
          <cell r="C13316" t="str">
            <v>4526 - LAWN AND GARDEN</v>
          </cell>
          <cell r="D13316" t="str">
            <v>WST510</v>
          </cell>
          <cell r="BA13316">
            <v>2.99</v>
          </cell>
        </row>
        <row r="13317">
          <cell r="C13317" t="str">
            <v>4526 - LAWN AND GARDEN</v>
          </cell>
          <cell r="D13317" t="str">
            <v>LSPMB-466LFBC</v>
          </cell>
          <cell r="BA13317">
            <v>7.59</v>
          </cell>
        </row>
        <row r="13318">
          <cell r="C13318" t="str">
            <v>4526 - LAWN AND GARDEN</v>
          </cell>
          <cell r="D13318" t="str">
            <v>IMC20</v>
          </cell>
          <cell r="BA13318">
            <v>12.99</v>
          </cell>
        </row>
        <row r="13319">
          <cell r="C13319" t="str">
            <v>4526 - LAWN AND GARDEN</v>
          </cell>
          <cell r="D13319" t="str">
            <v>HJ9587</v>
          </cell>
          <cell r="BA13319">
            <v>22.99</v>
          </cell>
        </row>
        <row r="13320">
          <cell r="C13320" t="str">
            <v>4526 - LAWN AND GARDEN</v>
          </cell>
          <cell r="D13320" t="str">
            <v>GLA85025</v>
          </cell>
          <cell r="BA13320">
            <v>7.59</v>
          </cell>
        </row>
        <row r="13321">
          <cell r="C13321" t="str">
            <v>4526 - LAWN AND GARDEN</v>
          </cell>
          <cell r="D13321" t="str">
            <v>WGH</v>
          </cell>
          <cell r="BA13321">
            <v>3.99</v>
          </cell>
        </row>
        <row r="13322">
          <cell r="C13322" t="str">
            <v>4526 - LAWN AND GARDEN</v>
          </cell>
          <cell r="D13322" t="str">
            <v>GM5850FGH</v>
          </cell>
          <cell r="BA13322">
            <v>39.99</v>
          </cell>
        </row>
        <row r="13323">
          <cell r="C13323" t="str">
            <v>4526 - LAWN AND GARDEN</v>
          </cell>
          <cell r="D13323" t="str">
            <v>SWNSS5850</v>
          </cell>
          <cell r="BA13323">
            <v>37.99</v>
          </cell>
        </row>
        <row r="13324">
          <cell r="C13324" t="str">
            <v>4526 - LAWN AND GARDEN</v>
          </cell>
          <cell r="D13324" t="str">
            <v>HG41330</v>
          </cell>
          <cell r="BA13324">
            <v>3.99</v>
          </cell>
        </row>
        <row r="13325">
          <cell r="C13325" t="str">
            <v>4526 - LAWN AND GARDEN</v>
          </cell>
          <cell r="D13325" t="str">
            <v>RU5003410</v>
          </cell>
          <cell r="BA13325">
            <v>6.99</v>
          </cell>
        </row>
        <row r="13326">
          <cell r="C13326" t="str">
            <v>4526 - LAWN AND GARDEN</v>
          </cell>
          <cell r="D13326" t="str">
            <v>RU5100114</v>
          </cell>
          <cell r="BA13326">
            <v>22.99</v>
          </cell>
        </row>
        <row r="13327">
          <cell r="C13327" t="str">
            <v>4526 - LAWN AND GARDEN</v>
          </cell>
          <cell r="D13327" t="str">
            <v>SC5375304</v>
          </cell>
          <cell r="BA13327">
            <v>25.99</v>
          </cell>
        </row>
        <row r="13328">
          <cell r="C13328" t="str">
            <v>4526 - LAWN AND GARDEN</v>
          </cell>
          <cell r="D13328" t="str">
            <v>SC5376312</v>
          </cell>
          <cell r="BA13328">
            <v>31.99</v>
          </cell>
        </row>
        <row r="13329">
          <cell r="C13329" t="str">
            <v>4526 - LAWN AND GARDEN</v>
          </cell>
          <cell r="D13329" t="str">
            <v>SCTC0368306</v>
          </cell>
          <cell r="BA13329">
            <v>12.99</v>
          </cell>
        </row>
        <row r="13330">
          <cell r="C13330" t="str">
            <v>4526 - LAWN AND GARDEN</v>
          </cell>
          <cell r="D13330" t="str">
            <v>BZTS3505T</v>
          </cell>
          <cell r="BA13330">
            <v>42.99</v>
          </cell>
        </row>
        <row r="13331">
          <cell r="C13331" t="str">
            <v>4526 - LAWN AND GARDEN</v>
          </cell>
          <cell r="D13331" t="str">
            <v>RC32GLID</v>
          </cell>
          <cell r="BA13331">
            <v>27.99</v>
          </cell>
        </row>
        <row r="13332">
          <cell r="C13332" t="str">
            <v>4526 - LAWN AND GARDEN</v>
          </cell>
          <cell r="D13332" t="str">
            <v>SCFSCG571</v>
          </cell>
          <cell r="BA13332">
            <v>24.99</v>
          </cell>
        </row>
        <row r="13333">
          <cell r="C13333" t="str">
            <v>4526 - LAWN AND GARDEN</v>
          </cell>
          <cell r="D13333" t="str">
            <v>TCL2645</v>
          </cell>
          <cell r="BA13333">
            <v>25.99</v>
          </cell>
        </row>
        <row r="13334">
          <cell r="C13334" t="str">
            <v>4526 - LAWN AND GARDEN</v>
          </cell>
          <cell r="D13334" t="str">
            <v>IG50074</v>
          </cell>
          <cell r="BA13334">
            <v>159.99</v>
          </cell>
        </row>
        <row r="13335">
          <cell r="C13335" t="str">
            <v>4526 - LAWN AND GARDEN</v>
          </cell>
          <cell r="D13335" t="str">
            <v>PPFG0381207</v>
          </cell>
          <cell r="BA13335">
            <v>19.989999999999998</v>
          </cell>
        </row>
        <row r="13336">
          <cell r="C13336" t="str">
            <v>4526 - LAWN AND GARDEN</v>
          </cell>
          <cell r="D13336" t="str">
            <v>PPFG-P9921-17N</v>
          </cell>
          <cell r="BA13336">
            <v>18.989999999999998</v>
          </cell>
        </row>
        <row r="13337">
          <cell r="C13337" t="str">
            <v>4526 - LAWN AND GARDEN</v>
          </cell>
          <cell r="D13337" t="str">
            <v>RTU5005010</v>
          </cell>
          <cell r="BA13337">
            <v>29.39</v>
          </cell>
        </row>
        <row r="13338">
          <cell r="C13338" t="str">
            <v>4526 - LAWN AND GARDEN</v>
          </cell>
          <cell r="D13338" t="str">
            <v>RTU50030</v>
          </cell>
          <cell r="BA13338">
            <v>0.01</v>
          </cell>
        </row>
        <row r="13339">
          <cell r="C13339" t="str">
            <v>4526 - LAWN AND GARDEN</v>
          </cell>
          <cell r="D13339" t="str">
            <v>FGH58100</v>
          </cell>
          <cell r="BA13339">
            <v>49.99</v>
          </cell>
        </row>
        <row r="13340">
          <cell r="C13340" t="str">
            <v>4526 - LAWN AND GARDEN</v>
          </cell>
          <cell r="D13340" t="str">
            <v>SBHG-97221</v>
          </cell>
          <cell r="BA13340">
            <v>4.59</v>
          </cell>
        </row>
        <row r="13341">
          <cell r="C13341" t="str">
            <v>4526 - LAWN AND GARDEN</v>
          </cell>
          <cell r="D13341" t="str">
            <v>SCO0448105</v>
          </cell>
          <cell r="BA13341">
            <v>17.989999999999998</v>
          </cell>
        </row>
        <row r="13342">
          <cell r="C13342" t="str">
            <v>4526 - LAWN AND GARDEN</v>
          </cell>
          <cell r="D13342" t="str">
            <v>AA70677</v>
          </cell>
          <cell r="BA13342">
            <v>4.29</v>
          </cell>
        </row>
        <row r="13343">
          <cell r="C13343" t="str">
            <v>4526 - LAWN AND GARDEN</v>
          </cell>
          <cell r="D13343" t="str">
            <v>SCO0398710</v>
          </cell>
          <cell r="BA13343">
            <v>24.99</v>
          </cell>
        </row>
        <row r="13344">
          <cell r="C13344" t="str">
            <v>4526 - LAWN AND GARDEN</v>
          </cell>
          <cell r="D13344" t="str">
            <v>AA75362</v>
          </cell>
          <cell r="BA13344">
            <v>12.99</v>
          </cell>
        </row>
        <row r="13345">
          <cell r="C13345" t="str">
            <v>4526 - LAWN AND GARDEN</v>
          </cell>
          <cell r="D13345" t="str">
            <v>INDFOGGER</v>
          </cell>
          <cell r="BA13345">
            <v>7.99</v>
          </cell>
        </row>
        <row r="13346">
          <cell r="C13346" t="str">
            <v>4526 - LAWN AND GARDEN</v>
          </cell>
          <cell r="D13346" t="str">
            <v>AA7140353</v>
          </cell>
          <cell r="BA13346">
            <v>47.99</v>
          </cell>
        </row>
        <row r="13347">
          <cell r="C13347" t="str">
            <v>4526 - LAWN AND GARDEN</v>
          </cell>
          <cell r="D13347" t="str">
            <v>AA73352</v>
          </cell>
          <cell r="BA13347">
            <v>6.99</v>
          </cell>
        </row>
        <row r="13348">
          <cell r="C13348" t="str">
            <v>4526 - LAWN AND GARDEN</v>
          </cell>
          <cell r="D13348" t="str">
            <v>AA73424</v>
          </cell>
          <cell r="BA13348">
            <v>7.99</v>
          </cell>
        </row>
        <row r="13349">
          <cell r="C13349" t="str">
            <v>4526 - LAWN AND GARDEN</v>
          </cell>
          <cell r="D13349" t="str">
            <v>HWPP10</v>
          </cell>
          <cell r="BA13349">
            <v>7.99</v>
          </cell>
        </row>
        <row r="13350">
          <cell r="C13350" t="str">
            <v>4526 - LAWN AND GARDEN</v>
          </cell>
          <cell r="D13350" t="str">
            <v>APXGHV1234</v>
          </cell>
          <cell r="BA13350">
            <v>11.99</v>
          </cell>
        </row>
        <row r="13351">
          <cell r="C13351" t="str">
            <v>4527 - AUTOMOTIVE &amp; MARINE</v>
          </cell>
          <cell r="D13351" t="str">
            <v>75100637</v>
          </cell>
          <cell r="BA13351">
            <v>51.99</v>
          </cell>
        </row>
        <row r="13352">
          <cell r="C13352" t="str">
            <v>4527 - AUTOMOTIVE &amp; MARINE</v>
          </cell>
          <cell r="D13352" t="str">
            <v>AA80375</v>
          </cell>
          <cell r="BA13352">
            <v>4.99</v>
          </cell>
        </row>
        <row r="13353">
          <cell r="C13353" t="str">
            <v>4527 - AUTOMOTIVE &amp; MARINE</v>
          </cell>
          <cell r="D13353" t="str">
            <v>KE06245</v>
          </cell>
          <cell r="BA13353">
            <v>3.99</v>
          </cell>
        </row>
        <row r="13354">
          <cell r="C13354" t="str">
            <v>4527 - AUTOMOTIVE &amp; MARINE</v>
          </cell>
          <cell r="D13354" t="str">
            <v>MINRT0818</v>
          </cell>
          <cell r="BA13354">
            <v>2.79</v>
          </cell>
        </row>
        <row r="13355">
          <cell r="C13355" t="str">
            <v>4527 - AUTOMOTIVE &amp; MARINE</v>
          </cell>
          <cell r="D13355" t="str">
            <v>BO20082</v>
          </cell>
          <cell r="BA13355">
            <v>21.99</v>
          </cell>
        </row>
        <row r="13356">
          <cell r="C13356" t="str">
            <v>4527 - AUTOMOTIVE &amp; MARINE</v>
          </cell>
          <cell r="D13356" t="str">
            <v>BO651</v>
          </cell>
          <cell r="BA13356">
            <v>24.99</v>
          </cell>
        </row>
        <row r="13357">
          <cell r="C13357" t="str">
            <v>4527 - AUTOMOTIVE &amp; MARINE</v>
          </cell>
          <cell r="D13357" t="str">
            <v>KE06344</v>
          </cell>
          <cell r="BA13357">
            <v>9.99</v>
          </cell>
        </row>
        <row r="13358">
          <cell r="C13358" t="str">
            <v>4527 - AUTOMOTIVE &amp; MARINE</v>
          </cell>
          <cell r="D13358" t="str">
            <v>PE17-361</v>
          </cell>
          <cell r="BA13358">
            <v>4.59</v>
          </cell>
        </row>
        <row r="13359">
          <cell r="C13359" t="str">
            <v>4527 - AUTOMOTIVE &amp; MARINE</v>
          </cell>
          <cell r="D13359" t="str">
            <v>702278</v>
          </cell>
          <cell r="BA13359">
            <v>6.99</v>
          </cell>
        </row>
        <row r="13360">
          <cell r="C13360" t="str">
            <v>4527 - AUTOMOTIVE &amp; MARINE</v>
          </cell>
          <cell r="D13360" t="str">
            <v>113645</v>
          </cell>
          <cell r="BA13360">
            <v>7.99</v>
          </cell>
        </row>
        <row r="13361">
          <cell r="C13361" t="str">
            <v>4527 - AUTOMOTIVE &amp; MARINE</v>
          </cell>
          <cell r="D13361" t="str">
            <v>TRBLK24</v>
          </cell>
          <cell r="BA13361">
            <v>3.29</v>
          </cell>
        </row>
        <row r="13362">
          <cell r="C13362" t="str">
            <v>4527 - AUTOMOTIVE &amp; MARINE</v>
          </cell>
          <cell r="D13362" t="str">
            <v>TRBLK16</v>
          </cell>
          <cell r="BA13362">
            <v>1.69</v>
          </cell>
        </row>
        <row r="13363">
          <cell r="C13363" t="str">
            <v>4527 - AUTOMOTIVE &amp; MARINE</v>
          </cell>
          <cell r="D13363" t="str">
            <v>WD300012</v>
          </cell>
          <cell r="BA13363">
            <v>8.99</v>
          </cell>
        </row>
        <row r="13364">
          <cell r="C13364" t="str">
            <v>4527 - AUTOMOTIVE &amp; MARINE</v>
          </cell>
          <cell r="D13364" t="str">
            <v>PL13-513</v>
          </cell>
          <cell r="BA13364">
            <v>5.39</v>
          </cell>
        </row>
        <row r="13365">
          <cell r="C13365" t="str">
            <v>4527 - AUTOMOTIVE &amp; MARINE</v>
          </cell>
          <cell r="D13365" t="str">
            <v>PL13-515</v>
          </cell>
          <cell r="BA13365">
            <v>5.99</v>
          </cell>
        </row>
        <row r="13366">
          <cell r="C13366" t="str">
            <v>4527 - AUTOMOTIVE &amp; MARINE</v>
          </cell>
          <cell r="D13366" t="str">
            <v>WD490002</v>
          </cell>
          <cell r="BA13366">
            <v>4.99</v>
          </cell>
        </row>
        <row r="13367">
          <cell r="C13367" t="str">
            <v>4527 - AUTOMOTIVE &amp; MARINE</v>
          </cell>
          <cell r="D13367" t="str">
            <v>WD490040</v>
          </cell>
          <cell r="BA13367">
            <v>8.69</v>
          </cell>
        </row>
        <row r="13368">
          <cell r="C13368" t="str">
            <v>4527 - AUTOMOTIVE &amp; MARINE</v>
          </cell>
          <cell r="D13368" t="str">
            <v>WIN149</v>
          </cell>
          <cell r="BA13368">
            <v>34.99</v>
          </cell>
        </row>
        <row r="13369">
          <cell r="C13369" t="str">
            <v>4527 - AUTOMOTIVE &amp; MARINE</v>
          </cell>
          <cell r="D13369" t="str">
            <v>PE17551</v>
          </cell>
          <cell r="BA13369">
            <v>12.99</v>
          </cell>
        </row>
        <row r="13370">
          <cell r="C13370" t="str">
            <v>4527 - AUTOMOTIVE &amp; MARINE</v>
          </cell>
          <cell r="D13370" t="str">
            <v>GE22206</v>
          </cell>
          <cell r="BA13370">
            <v>8.69</v>
          </cell>
        </row>
        <row r="13371">
          <cell r="C13371" t="str">
            <v>4527 - AUTOMOTIVE &amp; MARINE</v>
          </cell>
          <cell r="D13371" t="str">
            <v>KPA06235Z</v>
          </cell>
          <cell r="BA13371">
            <v>3.79</v>
          </cell>
        </row>
        <row r="13372">
          <cell r="C13372" t="str">
            <v>4527 - AUTOMOTIVE &amp; MARINE</v>
          </cell>
          <cell r="D13372" t="str">
            <v>KP06306</v>
          </cell>
          <cell r="BA13372">
            <v>10.99</v>
          </cell>
        </row>
        <row r="13373">
          <cell r="C13373" t="str">
            <v>4527 - AUTOMOTIVE &amp; MARINE</v>
          </cell>
          <cell r="D13373" t="str">
            <v>PE21147</v>
          </cell>
          <cell r="BA13373">
            <v>2.59</v>
          </cell>
        </row>
        <row r="13374">
          <cell r="C13374" t="str">
            <v>4527 - AUTOMOTIVE &amp; MARINE</v>
          </cell>
          <cell r="D13374" t="str">
            <v>HS801</v>
          </cell>
          <cell r="BA13374">
            <v>4.99</v>
          </cell>
        </row>
        <row r="13375">
          <cell r="C13375" t="str">
            <v>4527 - AUTOMOTIVE &amp; MARINE</v>
          </cell>
          <cell r="D13375" t="str">
            <v>BC16-PB-DS</v>
          </cell>
          <cell r="BA13375">
            <v>6.99</v>
          </cell>
        </row>
        <row r="13376">
          <cell r="C13376" t="str">
            <v>4527 - AUTOMOTIVE &amp; MARINE</v>
          </cell>
          <cell r="D13376" t="str">
            <v>SCFR1G101</v>
          </cell>
          <cell r="BA13376">
            <v>16.989999999999998</v>
          </cell>
        </row>
        <row r="13377">
          <cell r="C13377" t="str">
            <v>4527 - AUTOMOTIVE &amp; MARINE</v>
          </cell>
          <cell r="D13377" t="str">
            <v>SCFR1G501</v>
          </cell>
          <cell r="BA13377">
            <v>27.69</v>
          </cell>
        </row>
        <row r="13378">
          <cell r="C13378" t="str">
            <v>4527 - AUTOMOTIVE &amp; MARINE</v>
          </cell>
          <cell r="D13378" t="str">
            <v>SA25-308</v>
          </cell>
          <cell r="BA13378">
            <v>25.99</v>
          </cell>
        </row>
        <row r="13379">
          <cell r="C13379" t="str">
            <v>4527 - AUTOMOTIVE &amp; MARINE</v>
          </cell>
          <cell r="D13379" t="str">
            <v>85-310</v>
          </cell>
          <cell r="BA13379">
            <v>8.69</v>
          </cell>
        </row>
        <row r="13380">
          <cell r="C13380" t="str">
            <v>4527 - AUTOMOTIVE &amp; MARINE</v>
          </cell>
          <cell r="D13380" t="str">
            <v>WA30907</v>
          </cell>
          <cell r="BA13380">
            <v>5.89</v>
          </cell>
        </row>
        <row r="13381">
          <cell r="C13381" t="str">
            <v>4527 - AUTOMOTIVE &amp; MARINE</v>
          </cell>
          <cell r="D13381" t="str">
            <v>BF262</v>
          </cell>
          <cell r="BA13381">
            <v>22.99</v>
          </cell>
        </row>
        <row r="13382">
          <cell r="C13382" t="str">
            <v>4527 - AUTOMOTIVE &amp; MARINE</v>
          </cell>
          <cell r="D13382" t="str">
            <v>CHPHS0609</v>
          </cell>
          <cell r="BA13382">
            <v>9.49</v>
          </cell>
        </row>
        <row r="13383">
          <cell r="C13383" t="str">
            <v>4528 - CLEANING SUPPLIES &amp; CHEMICALS</v>
          </cell>
          <cell r="D13383" t="str">
            <v>AA71102</v>
          </cell>
          <cell r="BA13383">
            <v>22.99</v>
          </cell>
        </row>
        <row r="13384">
          <cell r="C13384" t="str">
            <v>4528 - CLEANING SUPPLIES &amp; CHEMICALS</v>
          </cell>
          <cell r="D13384" t="str">
            <v>RMFG264360GRAY</v>
          </cell>
          <cell r="BA13384">
            <v>57.99</v>
          </cell>
        </row>
        <row r="13385">
          <cell r="C13385" t="str">
            <v>4528 - CLEANING SUPPLIES &amp; CHEMICALS</v>
          </cell>
          <cell r="D13385" t="str">
            <v>TC32E</v>
          </cell>
          <cell r="BA13385">
            <v>29.99</v>
          </cell>
        </row>
        <row r="13386">
          <cell r="C13386" t="str">
            <v>4528 - CLEANING SUPPLIES &amp; CHEMICALS</v>
          </cell>
          <cell r="D13386" t="str">
            <v>DF61034403</v>
          </cell>
          <cell r="BA13386">
            <v>1.49</v>
          </cell>
        </row>
        <row r="13387">
          <cell r="C13387" t="str">
            <v>4528 - CLEANING SUPPLIES &amp; CHEMICALS</v>
          </cell>
          <cell r="D13387" t="str">
            <v>AA10441</v>
          </cell>
          <cell r="BA13387">
            <v>3.99</v>
          </cell>
        </row>
        <row r="13388">
          <cell r="C13388" t="str">
            <v>4528 - CLEANING SUPPLIES &amp; CHEMICALS</v>
          </cell>
          <cell r="D13388" t="str">
            <v>KKBW32</v>
          </cell>
          <cell r="BA13388">
            <v>9.99</v>
          </cell>
        </row>
        <row r="13389">
          <cell r="C13389" t="str">
            <v>4528 - CLEANING SUPPLIES &amp; CHEMICALS</v>
          </cell>
          <cell r="D13389" t="str">
            <v>FLD53-01</v>
          </cell>
          <cell r="BA13389">
            <v>24.99</v>
          </cell>
        </row>
        <row r="13390">
          <cell r="C13390" t="str">
            <v>4528 - CLEANING SUPPLIES &amp; CHEMICALS</v>
          </cell>
          <cell r="D13390" t="str">
            <v>RUSKK012</v>
          </cell>
          <cell r="BA13390">
            <v>18.989999999999998</v>
          </cell>
        </row>
        <row r="13391">
          <cell r="C13391" t="str">
            <v>4528 - CLEANING SUPPLIES &amp; CHEMICALS</v>
          </cell>
          <cell r="D13391" t="str">
            <v>10844</v>
          </cell>
          <cell r="BA13391">
            <v>8.69</v>
          </cell>
        </row>
        <row r="13392">
          <cell r="C13392" t="str">
            <v>4528 - CLEANING SUPPLIES &amp; CHEMICALS</v>
          </cell>
          <cell r="D13392" t="str">
            <v>GKGL75008</v>
          </cell>
          <cell r="BA13392">
            <v>24.99</v>
          </cell>
        </row>
        <row r="13393">
          <cell r="C13393" t="str">
            <v>4528 - CLEANING SUPPLIES &amp; CHEMICALS</v>
          </cell>
          <cell r="D13393" t="str">
            <v>QKSP94005</v>
          </cell>
          <cell r="BA13393">
            <v>9.99</v>
          </cell>
        </row>
        <row r="13394">
          <cell r="C13394" t="str">
            <v>4528 - CLEANING SUPPLIES &amp; CHEMICALS</v>
          </cell>
          <cell r="D13394" t="str">
            <v>WBQVM46</v>
          </cell>
          <cell r="BA13394">
            <v>11.99</v>
          </cell>
        </row>
        <row r="13395">
          <cell r="C13395" t="str">
            <v>4528 - CLEANING SUPPLIES &amp; CHEMICALS</v>
          </cell>
          <cell r="D13395" t="str">
            <v>OLY52125A01</v>
          </cell>
          <cell r="BA13395">
            <v>14.39</v>
          </cell>
        </row>
        <row r="13396">
          <cell r="C13396" t="str">
            <v>4528 - CLEANING SUPPLIES &amp; CHEMICALS</v>
          </cell>
          <cell r="D13396" t="str">
            <v>OLY52125A/S2</v>
          </cell>
          <cell r="BA13396">
            <v>34.99</v>
          </cell>
        </row>
        <row r="13397">
          <cell r="C13397" t="str">
            <v>4528 - CLEANING SUPPLIES &amp; CHEMICALS</v>
          </cell>
          <cell r="D13397" t="str">
            <v>SG01272</v>
          </cell>
          <cell r="BA13397">
            <v>13.99</v>
          </cell>
        </row>
        <row r="13398">
          <cell r="C13398" t="str">
            <v>4528 - CLEANING SUPPLIES &amp; CHEMICALS</v>
          </cell>
          <cell r="D13398" t="str">
            <v>WMQAC18</v>
          </cell>
          <cell r="BA13398">
            <v>10.99</v>
          </cell>
        </row>
        <row r="13399">
          <cell r="C13399" t="str">
            <v>4528 - CLEANING SUPPLIES &amp; CHEMICALS</v>
          </cell>
          <cell r="D13399" t="str">
            <v>WBGKLO145</v>
          </cell>
          <cell r="BA13399">
            <v>32.99</v>
          </cell>
        </row>
        <row r="13400">
          <cell r="C13400" t="str">
            <v>4528 - CLEANING SUPPLIES &amp; CHEMICALS</v>
          </cell>
          <cell r="D13400" t="str">
            <v>WBGSL26</v>
          </cell>
          <cell r="BA13400">
            <v>25.99</v>
          </cell>
        </row>
        <row r="13401">
          <cell r="C13401" t="str">
            <v>4528 - CLEANING SUPPLIES &amp; CHEMICALS</v>
          </cell>
          <cell r="D13401" t="str">
            <v>28121EH</v>
          </cell>
          <cell r="BA13401">
            <v>139.99</v>
          </cell>
        </row>
        <row r="13402">
          <cell r="C13402" t="str">
            <v>4528 - CLEANING SUPPLIES &amp; CHEMICALS</v>
          </cell>
          <cell r="D13402" t="str">
            <v>ZUCIT32</v>
          </cell>
          <cell r="BA13402">
            <v>5.69</v>
          </cell>
        </row>
        <row r="13403">
          <cell r="C13403" t="str">
            <v>4528 - CLEANING SUPPLIES &amp; CHEMICALS</v>
          </cell>
          <cell r="D13403" t="str">
            <v>KSBB32OZ</v>
          </cell>
          <cell r="BA13403">
            <v>11.39</v>
          </cell>
        </row>
        <row r="13404">
          <cell r="C13404" t="str">
            <v>4528 - CLEANING SUPPLIES &amp; CHEMICALS</v>
          </cell>
          <cell r="D13404" t="str">
            <v>KSBB1G</v>
          </cell>
          <cell r="BA13404">
            <v>28.59</v>
          </cell>
        </row>
        <row r="13405">
          <cell r="C13405" t="str">
            <v>4528 - CLEANING SUPPLIES &amp; CHEMICALS</v>
          </cell>
          <cell r="D13405" t="str">
            <v>BC5025-4</v>
          </cell>
          <cell r="BA13405">
            <v>52.99</v>
          </cell>
        </row>
        <row r="13406">
          <cell r="C13406" t="str">
            <v>4528 - CLEANING SUPPLIES &amp; CHEMICALS</v>
          </cell>
          <cell r="D13406" t="str">
            <v>QU266</v>
          </cell>
          <cell r="BA13406">
            <v>21.99</v>
          </cell>
        </row>
        <row r="13407">
          <cell r="C13407" t="str">
            <v>4528 - CLEANING SUPPLIES &amp; CHEMICALS</v>
          </cell>
          <cell r="D13407" t="str">
            <v>QU00868SU</v>
          </cell>
          <cell r="BA13407">
            <v>39.99</v>
          </cell>
        </row>
        <row r="13408">
          <cell r="C13408" t="str">
            <v>4528 - CLEANING SUPPLIES &amp; CHEMICALS</v>
          </cell>
          <cell r="D13408" t="str">
            <v>OC168215</v>
          </cell>
          <cell r="BA13408">
            <v>14.99</v>
          </cell>
        </row>
        <row r="13409">
          <cell r="C13409" t="str">
            <v>4528 - CLEANING SUPPLIES &amp; CHEMICALS</v>
          </cell>
          <cell r="D13409" t="str">
            <v>QU410</v>
          </cell>
          <cell r="BA13409">
            <v>10.99</v>
          </cell>
        </row>
        <row r="13410">
          <cell r="C13410" t="str">
            <v>4528 - CLEANING SUPPLIES &amp; CHEMICALS</v>
          </cell>
          <cell r="D13410" t="str">
            <v>PG23679</v>
          </cell>
          <cell r="BA13410">
            <v>6.99</v>
          </cell>
        </row>
        <row r="13411">
          <cell r="C13411" t="str">
            <v>4528 - CLEANING SUPPLIES &amp; CHEMICALS</v>
          </cell>
          <cell r="D13411" t="str">
            <v>1Q30S6P</v>
          </cell>
          <cell r="BA13411">
            <v>8.69</v>
          </cell>
        </row>
        <row r="13412">
          <cell r="C13412" t="str">
            <v>4528 - CLEANING SUPPLIES &amp; CHEMICALS</v>
          </cell>
          <cell r="D13412" t="str">
            <v>1G30S</v>
          </cell>
          <cell r="BA13412">
            <v>12.99</v>
          </cell>
        </row>
        <row r="13413">
          <cell r="C13413" t="str">
            <v>4528 - CLEANING SUPPLIES &amp; CHEMICALS</v>
          </cell>
          <cell r="D13413" t="str">
            <v>MINDL-5006</v>
          </cell>
          <cell r="BA13413">
            <v>13.99</v>
          </cell>
        </row>
        <row r="13414">
          <cell r="C13414" t="str">
            <v>4528 - CLEANING SUPPLIES &amp; CHEMICALS</v>
          </cell>
          <cell r="D13414" t="str">
            <v>MIN38468</v>
          </cell>
          <cell r="BA13414">
            <v>31.99</v>
          </cell>
        </row>
        <row r="13415">
          <cell r="C13415" t="str">
            <v>4528 - CLEANING SUPPLIES &amp; CHEMICALS</v>
          </cell>
          <cell r="D13415" t="str">
            <v>QU047MB-4</v>
          </cell>
          <cell r="BA13415">
            <v>16.09</v>
          </cell>
        </row>
        <row r="13416">
          <cell r="C13416" t="str">
            <v>4528 - CLEANING SUPPLIES &amp; CHEMICALS</v>
          </cell>
          <cell r="D13416" t="str">
            <v>PG16944</v>
          </cell>
          <cell r="BA13416">
            <v>10.99</v>
          </cell>
        </row>
        <row r="13417">
          <cell r="C13417" t="str">
            <v>4528 - CLEANING SUPPLIES &amp; CHEMICALS</v>
          </cell>
          <cell r="D13417" t="str">
            <v>PG72417</v>
          </cell>
          <cell r="BA13417">
            <v>32.99</v>
          </cell>
        </row>
        <row r="13418">
          <cell r="C13418" t="str">
            <v>4528 - CLEANING SUPPLIES &amp; CHEMICALS</v>
          </cell>
          <cell r="D13418" t="str">
            <v>QU490-24RM</v>
          </cell>
          <cell r="BA13418">
            <v>15.99</v>
          </cell>
        </row>
        <row r="13419">
          <cell r="C13419" t="str">
            <v>4528 - CLEANING SUPPLIES &amp; CHEMICALS</v>
          </cell>
          <cell r="D13419" t="str">
            <v>MINDL-5004</v>
          </cell>
          <cell r="BA13419">
            <v>9.99</v>
          </cell>
        </row>
        <row r="13420">
          <cell r="C13420" t="str">
            <v>4528 - CLEANING SUPPLIES &amp; CHEMICALS</v>
          </cell>
          <cell r="D13420" t="str">
            <v>MIN567552AOR</v>
          </cell>
          <cell r="BA13420">
            <v>49.99</v>
          </cell>
        </row>
        <row r="13421">
          <cell r="C13421" t="str">
            <v>4528 - CLEANING SUPPLIES &amp; CHEMICALS</v>
          </cell>
          <cell r="D13421" t="str">
            <v>SCJ76746</v>
          </cell>
          <cell r="BA13421">
            <v>5.69</v>
          </cell>
        </row>
        <row r="13422">
          <cell r="C13422" t="str">
            <v>4528 - CLEANING SUPPLIES &amp; CHEMICALS</v>
          </cell>
          <cell r="D13422" t="str">
            <v>SCJ70195</v>
          </cell>
          <cell r="BA13422">
            <v>4.79</v>
          </cell>
        </row>
        <row r="13423">
          <cell r="C13423" t="str">
            <v>4528 - CLEANING SUPPLIES &amp; CHEMICALS</v>
          </cell>
          <cell r="D13423" t="str">
            <v>978490</v>
          </cell>
          <cell r="BA13423">
            <v>15.99</v>
          </cell>
        </row>
        <row r="13424">
          <cell r="C13424" t="str">
            <v>4528 - CLEANING SUPPLIES &amp; CHEMICALS</v>
          </cell>
          <cell r="D13424" t="str">
            <v>CL00889</v>
          </cell>
          <cell r="BA13424">
            <v>5.39</v>
          </cell>
        </row>
        <row r="13425">
          <cell r="C13425" t="str">
            <v>4528 - CLEANING SUPPLIES &amp; CHEMICALS</v>
          </cell>
          <cell r="D13425" t="str">
            <v>PG31821</v>
          </cell>
          <cell r="BA13425">
            <v>6.99</v>
          </cell>
        </row>
        <row r="13426">
          <cell r="C13426" t="str">
            <v>4528 - CLEANING SUPPLIES &amp; CHEMICALS</v>
          </cell>
          <cell r="D13426" t="str">
            <v>PPGFLD138XI/01</v>
          </cell>
          <cell r="BA13426">
            <v>31.99</v>
          </cell>
        </row>
        <row r="13427">
          <cell r="C13427" t="str">
            <v>4528 - CLEANING SUPPLIES &amp; CHEMICALS</v>
          </cell>
          <cell r="D13427" t="str">
            <v>DB-1440-4</v>
          </cell>
          <cell r="BA13427">
            <v>14.29</v>
          </cell>
        </row>
        <row r="13428">
          <cell r="C13428" t="str">
            <v>4528 - CLEANING SUPPLIES &amp; CHEMICALS</v>
          </cell>
          <cell r="D13428" t="str">
            <v>DB-4210-4</v>
          </cell>
          <cell r="BA13428">
            <v>29.99</v>
          </cell>
        </row>
        <row r="13429">
          <cell r="C13429" t="str">
            <v>4528 - CLEANING SUPPLIES &amp; CHEMICALS</v>
          </cell>
          <cell r="D13429" t="str">
            <v>PPG97-725</v>
          </cell>
          <cell r="BA13429">
            <v>29.39</v>
          </cell>
        </row>
        <row r="13430">
          <cell r="C13430" t="str">
            <v>4528 - CLEANING SUPPLIES &amp; CHEMICALS</v>
          </cell>
          <cell r="D13430" t="str">
            <v>QML170</v>
          </cell>
          <cell r="BA13430">
            <v>9.99</v>
          </cell>
        </row>
        <row r="13431">
          <cell r="C13431" t="str">
            <v>4528 - CLEANING SUPPLIES &amp; CHEMICALS</v>
          </cell>
          <cell r="D13431" t="str">
            <v>WMGVM46</v>
          </cell>
          <cell r="BA13431">
            <v>22.99</v>
          </cell>
        </row>
        <row r="13432">
          <cell r="C13432" t="str">
            <v>4528 - CLEANING SUPPLIES &amp; CHEMICALS</v>
          </cell>
          <cell r="D13432" t="str">
            <v>GKPT94400</v>
          </cell>
          <cell r="BA13432">
            <v>9.99</v>
          </cell>
        </row>
        <row r="13433">
          <cell r="C13433" t="str">
            <v>4528 - CLEANING SUPPLIES &amp; CHEMICALS</v>
          </cell>
          <cell r="D13433" t="str">
            <v>SS701G1</v>
          </cell>
          <cell r="BA13433">
            <v>12.69</v>
          </cell>
        </row>
        <row r="13434">
          <cell r="C13434" t="str">
            <v>4528 - CLEANING SUPPLIES &amp; CHEMICALS</v>
          </cell>
          <cell r="D13434" t="str">
            <v>SS83432</v>
          </cell>
          <cell r="BA13434">
            <v>10.99</v>
          </cell>
        </row>
        <row r="13435">
          <cell r="C13435" t="str">
            <v>4528 - CLEANING SUPPLIES &amp; CHEMICALS</v>
          </cell>
          <cell r="D13435" t="str">
            <v>TURP032</v>
          </cell>
          <cell r="BA13435">
            <v>10.99</v>
          </cell>
        </row>
        <row r="13436">
          <cell r="C13436" t="str">
            <v>4528 - CLEANING SUPPLIES &amp; CHEMICALS</v>
          </cell>
          <cell r="D13436" t="str">
            <v>KK32</v>
          </cell>
          <cell r="BA13436">
            <v>8.69</v>
          </cell>
        </row>
        <row r="13437">
          <cell r="C13437" t="str">
            <v>4528 - CLEANING SUPPLIES &amp; CHEMICALS</v>
          </cell>
          <cell r="D13437" t="str">
            <v>RO350552</v>
          </cell>
          <cell r="BA13437">
            <v>17.989999999999998</v>
          </cell>
        </row>
        <row r="13438">
          <cell r="C13438" t="str">
            <v>4528 - CLEANING SUPPLIES &amp; CHEMICALS</v>
          </cell>
          <cell r="D13438" t="str">
            <v>LOCNJ1</v>
          </cell>
          <cell r="BA13438">
            <v>5.69</v>
          </cell>
        </row>
        <row r="13439">
          <cell r="C13439" t="str">
            <v>4528 - CLEANING SUPPLIES &amp; CHEMICALS</v>
          </cell>
          <cell r="D13439" t="str">
            <v>QSL26</v>
          </cell>
          <cell r="BA13439">
            <v>7.59</v>
          </cell>
        </row>
        <row r="13440">
          <cell r="C13440" t="str">
            <v>4528 - CLEANING SUPPLIES &amp; CHEMICALS</v>
          </cell>
          <cell r="D13440" t="str">
            <v>92140</v>
          </cell>
          <cell r="BA13440">
            <v>19.989999999999998</v>
          </cell>
        </row>
        <row r="13441">
          <cell r="C13441" t="str">
            <v>4528 - CLEANING SUPPLIES &amp; CHEMICALS</v>
          </cell>
          <cell r="D13441" t="str">
            <v>BC4025-4</v>
          </cell>
          <cell r="BA13441">
            <v>34.99</v>
          </cell>
        </row>
        <row r="13442">
          <cell r="C13442" t="str">
            <v>4528 - CLEANING SUPPLIES &amp; CHEMICALS</v>
          </cell>
          <cell r="D13442" t="str">
            <v>CL32260</v>
          </cell>
          <cell r="BA13442">
            <v>4.29</v>
          </cell>
        </row>
        <row r="13443">
          <cell r="C13443" t="str">
            <v>4528 - CLEANING SUPPLIES &amp; CHEMICALS</v>
          </cell>
          <cell r="D13443" t="str">
            <v>DKU750</v>
          </cell>
          <cell r="BA13443">
            <v>32.99</v>
          </cell>
        </row>
        <row r="13444">
          <cell r="C13444" t="str">
            <v>4528 - CLEANING SUPPLIES &amp; CHEMICALS</v>
          </cell>
          <cell r="D13444" t="str">
            <v>FE32</v>
          </cell>
          <cell r="BA13444">
            <v>14.99</v>
          </cell>
        </row>
        <row r="13445">
          <cell r="C13445" t="str">
            <v>4528 - CLEANING SUPPLIES &amp; CHEMICALS</v>
          </cell>
          <cell r="D13445" t="str">
            <v>GOOFOFF16</v>
          </cell>
          <cell r="BA13445">
            <v>7.99</v>
          </cell>
        </row>
        <row r="13446">
          <cell r="C13446" t="str">
            <v>4528 - CLEANING SUPPLIES &amp; CHEMICALS</v>
          </cell>
          <cell r="D13446" t="str">
            <v>GU2407</v>
          </cell>
          <cell r="BA13446">
            <v>7.99</v>
          </cell>
        </row>
        <row r="13447">
          <cell r="C13447" t="str">
            <v>4528 - CLEANING SUPPLIES &amp; CHEMICALS</v>
          </cell>
          <cell r="D13447" t="str">
            <v>HC25219</v>
          </cell>
          <cell r="BA13447">
            <v>19.989999999999998</v>
          </cell>
        </row>
        <row r="13448">
          <cell r="C13448" t="str">
            <v>4528 - CLEANING SUPPLIES &amp; CHEMICALS</v>
          </cell>
          <cell r="D13448" t="str">
            <v>PG39346</v>
          </cell>
          <cell r="BA13448">
            <v>3.49</v>
          </cell>
        </row>
        <row r="13449">
          <cell r="C13449" t="str">
            <v>4528 - CLEANING SUPPLIES &amp; CHEMICALS</v>
          </cell>
          <cell r="D13449" t="str">
            <v>QM208</v>
          </cell>
          <cell r="BA13449">
            <v>11.99</v>
          </cell>
        </row>
        <row r="13450">
          <cell r="C13450" t="str">
            <v>4528 - CLEANING SUPPLIES &amp; CHEMICALS</v>
          </cell>
          <cell r="D13450" t="str">
            <v>QU00599</v>
          </cell>
          <cell r="BA13450">
            <v>18.989999999999998</v>
          </cell>
        </row>
        <row r="13451">
          <cell r="C13451" t="str">
            <v>4528 - CLEANING SUPPLIES &amp; CHEMICALS</v>
          </cell>
          <cell r="D13451" t="str">
            <v>QU00635SU</v>
          </cell>
          <cell r="BA13451">
            <v>19.989999999999998</v>
          </cell>
        </row>
        <row r="13452">
          <cell r="C13452" t="str">
            <v>4528 - CLEANING SUPPLIES &amp; CHEMICALS</v>
          </cell>
          <cell r="D13452" t="str">
            <v>QU402</v>
          </cell>
          <cell r="BA13452">
            <v>3.89</v>
          </cell>
        </row>
        <row r="13453">
          <cell r="C13453" t="str">
            <v>4528 - CLEANING SUPPLIES &amp; CHEMICALS</v>
          </cell>
          <cell r="D13453" t="str">
            <v>QU54104</v>
          </cell>
          <cell r="BA13453">
            <v>5.09</v>
          </cell>
        </row>
        <row r="13454">
          <cell r="C13454" t="str">
            <v>4528 - CLEANING SUPPLIES &amp; CHEMICALS</v>
          </cell>
          <cell r="D13454" t="str">
            <v>QU750TRI</v>
          </cell>
          <cell r="BA13454">
            <v>12.99</v>
          </cell>
        </row>
        <row r="13455">
          <cell r="C13455" t="str">
            <v>4528 - CLEANING SUPPLIES &amp; CHEMICALS</v>
          </cell>
          <cell r="D13455" t="str">
            <v>SA10621</v>
          </cell>
          <cell r="BA13455">
            <v>6.49</v>
          </cell>
        </row>
        <row r="13456">
          <cell r="C13456" t="str">
            <v>4528 - CLEANING SUPPLIES &amp; CHEMICALS</v>
          </cell>
          <cell r="D13456" t="str">
            <v>SAV10622</v>
          </cell>
          <cell r="BA13456">
            <v>16.989999999999998</v>
          </cell>
        </row>
        <row r="13457">
          <cell r="C13457" t="str">
            <v>4528 - CLEANING SUPPLIES &amp; CHEMICALS</v>
          </cell>
          <cell r="D13457" t="str">
            <v>SSD10761</v>
          </cell>
          <cell r="BA13457">
            <v>5.69</v>
          </cell>
        </row>
        <row r="13458">
          <cell r="C13458" t="str">
            <v>4528 - CLEANING SUPPLIES &amp; CHEMICALS</v>
          </cell>
          <cell r="D13458" t="str">
            <v>SUN3010100614010</v>
          </cell>
          <cell r="BA13458">
            <v>11.99</v>
          </cell>
        </row>
        <row r="13459">
          <cell r="C13459" t="str">
            <v>4528 - CLEANING SUPPLIES &amp; CHEMICALS</v>
          </cell>
          <cell r="D13459" t="str">
            <v>ACET01G</v>
          </cell>
          <cell r="BA13459">
            <v>19.989999999999998</v>
          </cell>
        </row>
        <row r="13460">
          <cell r="C13460" t="str">
            <v>4528 - CLEANING SUPPLIES &amp; CHEMICALS</v>
          </cell>
          <cell r="D13460" t="str">
            <v>ACET032</v>
          </cell>
          <cell r="BA13460">
            <v>10.99</v>
          </cell>
        </row>
        <row r="13461">
          <cell r="C13461" t="str">
            <v>4528 - CLEANING SUPPLIES &amp; CHEMICALS</v>
          </cell>
          <cell r="D13461" t="str">
            <v>CL12</v>
          </cell>
          <cell r="BA13461">
            <v>6.49</v>
          </cell>
        </row>
        <row r="13462">
          <cell r="C13462" t="str">
            <v>4528 - CLEANING SUPPLIES &amp; CHEMICALS</v>
          </cell>
          <cell r="D13462" t="str">
            <v>MA-1G</v>
          </cell>
          <cell r="BA13462">
            <v>10.99</v>
          </cell>
        </row>
        <row r="13463">
          <cell r="C13463" t="str">
            <v>4528 - CLEANING SUPPLIES &amp; CHEMICALS</v>
          </cell>
          <cell r="D13463" t="str">
            <v>BP62008OZ</v>
          </cell>
          <cell r="BA13463">
            <v>4.99</v>
          </cell>
        </row>
        <row r="13464">
          <cell r="C13464" t="str">
            <v>4528 - CLEANING SUPPLIES &amp; CHEMICALS</v>
          </cell>
          <cell r="D13464" t="str">
            <v>XYLENEG</v>
          </cell>
          <cell r="BA13464">
            <v>25.99</v>
          </cell>
        </row>
        <row r="13465">
          <cell r="C13465" t="str">
            <v>4528 - CLEANING SUPPLIES &amp; CHEMICALS</v>
          </cell>
          <cell r="D13465" t="str">
            <v>MNW11500</v>
          </cell>
          <cell r="BA13465">
            <v>44.99</v>
          </cell>
        </row>
        <row r="13466">
          <cell r="C13466" t="str">
            <v>4528 - CLEANING SUPPLIES &amp; CHEMICALS</v>
          </cell>
          <cell r="D13466" t="str">
            <v>SGL2710200613005</v>
          </cell>
          <cell r="BA13466">
            <v>11.99</v>
          </cell>
        </row>
        <row r="13467">
          <cell r="C13467" t="str">
            <v>4528 - CLEANING SUPPLIES &amp; CHEMICALS</v>
          </cell>
          <cell r="D13467" t="str">
            <v>SGL14003</v>
          </cell>
          <cell r="BA13467">
            <v>5.99</v>
          </cell>
        </row>
        <row r="13468">
          <cell r="C13468" t="str">
            <v>4528 - CLEANING SUPPLIES &amp; CHEMICALS</v>
          </cell>
          <cell r="D13468" t="str">
            <v>SGL13002</v>
          </cell>
          <cell r="BA13468">
            <v>5.39</v>
          </cell>
        </row>
        <row r="13469">
          <cell r="C13469" t="str">
            <v>4528 - CLEANING SUPPLIES &amp; CHEMICALS</v>
          </cell>
          <cell r="D13469" t="str">
            <v>AA88156</v>
          </cell>
          <cell r="BA13469">
            <v>4.99</v>
          </cell>
        </row>
        <row r="13470">
          <cell r="C13470" t="str">
            <v>4528 - CLEANING SUPPLIES &amp; CHEMICALS</v>
          </cell>
          <cell r="D13470" t="str">
            <v>LT1716815</v>
          </cell>
          <cell r="BA13470">
            <v>3.49</v>
          </cell>
        </row>
        <row r="13471">
          <cell r="C13471" t="str">
            <v>4528 - CLEANING SUPPLIES &amp; CHEMICALS</v>
          </cell>
          <cell r="D13471" t="str">
            <v>HC34OZ</v>
          </cell>
          <cell r="BA13471">
            <v>9.99</v>
          </cell>
        </row>
        <row r="13472">
          <cell r="C13472" t="str">
            <v>4529 - AGRICULTURAL</v>
          </cell>
          <cell r="D13472" t="str">
            <v>AB100099153</v>
          </cell>
          <cell r="BA13472">
            <v>31.99</v>
          </cell>
        </row>
        <row r="13473">
          <cell r="C13473" t="str">
            <v>4529 - AGRICULTURAL</v>
          </cell>
          <cell r="D13473" t="str">
            <v>BON46125</v>
          </cell>
          <cell r="BA13473">
            <v>6.49</v>
          </cell>
        </row>
        <row r="13474">
          <cell r="C13474" t="str">
            <v>4529 - AGRICULTURAL</v>
          </cell>
          <cell r="D13474" t="str">
            <v>AB100099152</v>
          </cell>
          <cell r="BA13474">
            <v>17.989999999999998</v>
          </cell>
        </row>
        <row r="13475">
          <cell r="C13475" t="str">
            <v>4529 - AGRICULTURAL</v>
          </cell>
          <cell r="D13475" t="str">
            <v>WOOM362</v>
          </cell>
          <cell r="BA13475">
            <v>8.69</v>
          </cell>
        </row>
        <row r="13476">
          <cell r="C13476" t="str">
            <v>4529 - AGRICULTURAL</v>
          </cell>
          <cell r="D13476" t="str">
            <v>NA56825</v>
          </cell>
          <cell r="BA13476">
            <v>15.99</v>
          </cell>
        </row>
        <row r="13477">
          <cell r="C13477" t="str">
            <v>4529 - AGRICULTURAL</v>
          </cell>
          <cell r="D13477" t="str">
            <v>4480-9</v>
          </cell>
          <cell r="BA13477">
            <v>5.39</v>
          </cell>
        </row>
        <row r="13478">
          <cell r="C13478" t="str">
            <v>4529 - AGRICULTURAL</v>
          </cell>
          <cell r="D13478" t="str">
            <v>NA51021</v>
          </cell>
          <cell r="BA13478">
            <v>8.99</v>
          </cell>
        </row>
        <row r="13479">
          <cell r="C13479" t="str">
            <v>4529 - AGRICULTURAL</v>
          </cell>
          <cell r="D13479" t="str">
            <v>AB100099164</v>
          </cell>
          <cell r="BA13479">
            <v>19.989999999999998</v>
          </cell>
        </row>
        <row r="13480">
          <cell r="C13480" t="str">
            <v>4529 - AGRICULTURAL</v>
          </cell>
          <cell r="D13480" t="str">
            <v>AB100099398</v>
          </cell>
          <cell r="BA13480">
            <v>25.99</v>
          </cell>
        </row>
        <row r="13481">
          <cell r="C13481" t="str">
            <v>4529 - AGRICULTURAL</v>
          </cell>
          <cell r="D13481" t="str">
            <v>HOM105131</v>
          </cell>
          <cell r="BA13481">
            <v>14.59</v>
          </cell>
        </row>
        <row r="13482">
          <cell r="C13482" t="str">
            <v>4529 - AGRICULTURAL</v>
          </cell>
          <cell r="D13482" t="str">
            <v>AB100099020</v>
          </cell>
          <cell r="BA13482">
            <v>15.99</v>
          </cell>
        </row>
        <row r="13483">
          <cell r="C13483" t="str">
            <v>4529 - AGRICULTURAL</v>
          </cell>
          <cell r="D13483" t="str">
            <v>HOM107498</v>
          </cell>
          <cell r="BA13483">
            <v>12.99</v>
          </cell>
        </row>
        <row r="13484">
          <cell r="C13484" t="str">
            <v>4529 - AGRICULTURAL</v>
          </cell>
          <cell r="D13484" t="str">
            <v>YJTR-DT12</v>
          </cell>
          <cell r="BA13484">
            <v>13.99</v>
          </cell>
        </row>
        <row r="13485">
          <cell r="C13485" t="str">
            <v>4529 - AGRICULTURAL</v>
          </cell>
          <cell r="D13485" t="str">
            <v>YJTC-DB9</v>
          </cell>
          <cell r="BA13485">
            <v>7.99</v>
          </cell>
        </row>
        <row r="13486">
          <cell r="C13486" t="str">
            <v>4529 - AGRICULTURAL</v>
          </cell>
          <cell r="D13486" t="str">
            <v>SDIPH20</v>
          </cell>
          <cell r="BA13486">
            <v>9.99</v>
          </cell>
        </row>
        <row r="13487">
          <cell r="C13487" t="str">
            <v>4529 - AGRICULTURAL</v>
          </cell>
          <cell r="D13487" t="str">
            <v>HJ9529</v>
          </cell>
          <cell r="BA13487">
            <v>7.99</v>
          </cell>
        </row>
        <row r="13488">
          <cell r="C13488" t="str">
            <v>4529 - AGRICULTURAL</v>
          </cell>
          <cell r="D13488" t="str">
            <v>RB98665</v>
          </cell>
          <cell r="BA13488">
            <v>9.99</v>
          </cell>
        </row>
        <row r="13489">
          <cell r="C13489" t="str">
            <v>4529 - AGRICULTURAL</v>
          </cell>
          <cell r="D13489" t="str">
            <v>YJTA-DB12</v>
          </cell>
          <cell r="BA13489">
            <v>7.59</v>
          </cell>
        </row>
        <row r="13490">
          <cell r="C13490" t="str">
            <v>4530 - FARM AND PET SUPPLIES</v>
          </cell>
          <cell r="D13490" t="str">
            <v>11052313</v>
          </cell>
          <cell r="BA13490">
            <v>84.99</v>
          </cell>
        </row>
        <row r="13491">
          <cell r="C13491" t="str">
            <v>4530 - FARM AND PET SUPPLIES</v>
          </cell>
          <cell r="D13491" t="str">
            <v>11052513</v>
          </cell>
          <cell r="BA13491">
            <v>129.99</v>
          </cell>
        </row>
        <row r="13492">
          <cell r="C13492" t="str">
            <v>4530 - FARM AND PET SUPPLIES</v>
          </cell>
          <cell r="D13492" t="str">
            <v>11063815LF</v>
          </cell>
          <cell r="BA13492">
            <v>3.99</v>
          </cell>
        </row>
        <row r="13493">
          <cell r="C13493" t="str">
            <v>4531 - FENCING</v>
          </cell>
          <cell r="D13493" t="str">
            <v>AG36</v>
          </cell>
          <cell r="BA13493">
            <v>119.99</v>
          </cell>
        </row>
        <row r="13494">
          <cell r="C13494" t="str">
            <v>4531 - FENCING</v>
          </cell>
          <cell r="D13494" t="str">
            <v>AG36-3</v>
          </cell>
          <cell r="BA13494">
            <v>120.99</v>
          </cell>
        </row>
        <row r="13495">
          <cell r="C13495" t="str">
            <v>4531 - FENCING</v>
          </cell>
          <cell r="D13495" t="str">
            <v>AG60-3</v>
          </cell>
          <cell r="BA13495">
            <v>167.99</v>
          </cell>
        </row>
        <row r="13496">
          <cell r="C13496" t="str">
            <v>4531 - FENCING</v>
          </cell>
          <cell r="D13496" t="str">
            <v>UL301</v>
          </cell>
          <cell r="BA13496">
            <v>27.99</v>
          </cell>
        </row>
        <row r="13497">
          <cell r="C13497" t="str">
            <v>4531 - FENCING</v>
          </cell>
          <cell r="D13497" t="str">
            <v>AG60</v>
          </cell>
          <cell r="BA13497">
            <v>129.99</v>
          </cell>
        </row>
        <row r="13498">
          <cell r="C13498" t="str">
            <v>4531 - FENCING</v>
          </cell>
          <cell r="D13498" t="str">
            <v>NUVOGHW10/B</v>
          </cell>
          <cell r="BA13498">
            <v>5.99</v>
          </cell>
        </row>
        <row r="13499">
          <cell r="C13499" t="str">
            <v>4531 - FENCING</v>
          </cell>
          <cell r="D13499" t="str">
            <v>TA2A060006</v>
          </cell>
          <cell r="BA13499">
            <v>37.99</v>
          </cell>
        </row>
        <row r="13500">
          <cell r="C13500" t="str">
            <v>4532 - BOTTLED WATER</v>
          </cell>
          <cell r="D13500" t="str">
            <v>WATERCS</v>
          </cell>
          <cell r="BA13500">
            <v>7.79</v>
          </cell>
        </row>
        <row r="13501">
          <cell r="C13501" t="str">
            <v>4533 - CANDY</v>
          </cell>
          <cell r="D13501" t="str">
            <v>RC1128</v>
          </cell>
          <cell r="BA13501">
            <v>3.49</v>
          </cell>
        </row>
        <row r="13502">
          <cell r="C13502" t="str">
            <v>4533 - CANDY</v>
          </cell>
          <cell r="D13502" t="str">
            <v>RC1119</v>
          </cell>
          <cell r="BA13502">
            <v>3.49</v>
          </cell>
        </row>
        <row r="13503">
          <cell r="C13503" t="str">
            <v>4533 - CANDY</v>
          </cell>
          <cell r="D13503" t="str">
            <v>SC700571</v>
          </cell>
          <cell r="BA13503">
            <v>4.59</v>
          </cell>
        </row>
        <row r="13504">
          <cell r="C13504" t="str">
            <v>4533 - CANDY</v>
          </cell>
          <cell r="D13504" t="str">
            <v>RC1117</v>
          </cell>
          <cell r="BA13504">
            <v>3.49</v>
          </cell>
        </row>
        <row r="13505">
          <cell r="C13505" t="str">
            <v>4533 - CANDY</v>
          </cell>
          <cell r="D13505" t="str">
            <v>RC1283</v>
          </cell>
          <cell r="BA13505">
            <v>3.49</v>
          </cell>
        </row>
        <row r="13506">
          <cell r="C13506" t="str">
            <v>4533 - CANDY</v>
          </cell>
          <cell r="D13506" t="str">
            <v>RC1129</v>
          </cell>
          <cell r="BA13506">
            <v>3.49</v>
          </cell>
        </row>
        <row r="13507">
          <cell r="C13507" t="str">
            <v>4533 - CANDY</v>
          </cell>
          <cell r="D13507" t="str">
            <v>RC1118</v>
          </cell>
          <cell r="BA13507">
            <v>3.49</v>
          </cell>
        </row>
        <row r="13508">
          <cell r="C13508" t="str">
            <v>4533 - CANDY</v>
          </cell>
          <cell r="D13508" t="str">
            <v>CONSC21174</v>
          </cell>
          <cell r="BA13508">
            <v>4.59</v>
          </cell>
        </row>
        <row r="13509">
          <cell r="C13509" t="str">
            <v>4533 - CANDY</v>
          </cell>
          <cell r="D13509" t="str">
            <v>MW338951</v>
          </cell>
          <cell r="BA13509">
            <v>7.59</v>
          </cell>
        </row>
        <row r="13510">
          <cell r="C13510" t="str">
            <v>4534 - CARBONATED DRINKS</v>
          </cell>
          <cell r="D13510" t="str">
            <v>CCMENERGY</v>
          </cell>
          <cell r="BA13510">
            <v>2.39</v>
          </cell>
        </row>
        <row r="13511">
          <cell r="C13511" t="str">
            <v>4534 - CARBONATED DRINKS</v>
          </cell>
          <cell r="D13511" t="str">
            <v>CCMENERGYREHAB</v>
          </cell>
          <cell r="BA13511">
            <v>2.39</v>
          </cell>
        </row>
        <row r="13512">
          <cell r="C13512" t="str">
            <v>4534 - CARBONATED DRINKS</v>
          </cell>
          <cell r="D13512" t="str">
            <v>CLASSICCOKE20OZ</v>
          </cell>
          <cell r="BA13512">
            <v>2.19</v>
          </cell>
        </row>
        <row r="13513">
          <cell r="C13513" t="str">
            <v>4534 - CARBONATED DRINKS</v>
          </cell>
          <cell r="D13513" t="str">
            <v>FULTHRT16OZ</v>
          </cell>
          <cell r="BA13513">
            <v>2.4900000000000002</v>
          </cell>
        </row>
        <row r="13514">
          <cell r="C13514" t="str">
            <v>4534 - CARBONATED DRINKS</v>
          </cell>
          <cell r="D13514" t="str">
            <v>RB3445</v>
          </cell>
          <cell r="BA13514">
            <v>3.79</v>
          </cell>
        </row>
        <row r="13515">
          <cell r="C13515" t="str">
            <v>4534 - CARBONATED DRINKS</v>
          </cell>
          <cell r="D13515" t="str">
            <v>RB4198</v>
          </cell>
          <cell r="BA13515">
            <v>2.99</v>
          </cell>
        </row>
        <row r="13516">
          <cell r="C13516" t="str">
            <v>4534 - CARBONATED DRINKS</v>
          </cell>
          <cell r="D13516" t="str">
            <v>RB4298</v>
          </cell>
          <cell r="BA13516">
            <v>2.99</v>
          </cell>
        </row>
        <row r="13517">
          <cell r="C13517" t="str">
            <v>4534 - CARBONATED DRINKS</v>
          </cell>
          <cell r="D13517" t="str">
            <v>CCCZ20</v>
          </cell>
          <cell r="BA13517">
            <v>2.19</v>
          </cell>
        </row>
        <row r="13518">
          <cell r="C13518" t="str">
            <v>4534 - CARBONATED DRINKS</v>
          </cell>
          <cell r="D13518" t="str">
            <v>NOS500582</v>
          </cell>
          <cell r="BA13518">
            <v>2.39</v>
          </cell>
        </row>
        <row r="13519">
          <cell r="C13519" t="str">
            <v>4534 - CARBONATED DRINKS</v>
          </cell>
          <cell r="D13519" t="str">
            <v>ME8442</v>
          </cell>
          <cell r="BA13519">
            <v>2.39</v>
          </cell>
        </row>
        <row r="13520">
          <cell r="C13520" t="str">
            <v>4534 - CARBONATED DRINKS</v>
          </cell>
          <cell r="D13520" t="str">
            <v>CC20DRP</v>
          </cell>
          <cell r="BA13520">
            <v>1.99</v>
          </cell>
        </row>
        <row r="13521">
          <cell r="C13521" t="str">
            <v>4535 - FOOD ITEMS</v>
          </cell>
          <cell r="D13521" t="str">
            <v>CONCHEEZIT36</v>
          </cell>
          <cell r="BA13521">
            <v>2.79</v>
          </cell>
        </row>
        <row r="13522">
          <cell r="C13522" t="str">
            <v>4535 - FOOD ITEMS</v>
          </cell>
          <cell r="D13522" t="str">
            <v>DOTSSTHWST5OZ</v>
          </cell>
          <cell r="BA13522">
            <v>4.29</v>
          </cell>
        </row>
        <row r="13523">
          <cell r="C13523" t="str">
            <v>4535 - FOOD ITEMS</v>
          </cell>
          <cell r="D13523" t="str">
            <v>DOTSHOME5OZ</v>
          </cell>
          <cell r="BA13523">
            <v>4.99</v>
          </cell>
        </row>
        <row r="13524">
          <cell r="C13524" t="str">
            <v>4535 - FOOD ITEMS</v>
          </cell>
          <cell r="D13524" t="str">
            <v>CHZITSC2.2OZ</v>
          </cell>
          <cell r="BA13524">
            <v>2.99</v>
          </cell>
        </row>
        <row r="13525">
          <cell r="C13525" t="str">
            <v>4535 - FOOD ITEMS</v>
          </cell>
          <cell r="D13525" t="str">
            <v>CON84560</v>
          </cell>
          <cell r="BA13525">
            <v>2.59</v>
          </cell>
        </row>
        <row r="13526">
          <cell r="C13526" t="str">
            <v>4535 - FOOD ITEMS</v>
          </cell>
          <cell r="D13526" t="str">
            <v>CON84562</v>
          </cell>
          <cell r="BA13526">
            <v>2.79</v>
          </cell>
        </row>
        <row r="13527">
          <cell r="C13527" t="str">
            <v>4535 - FOOD ITEMS</v>
          </cell>
          <cell r="D13527" t="str">
            <v>CON84563</v>
          </cell>
          <cell r="BA13527">
            <v>2.59</v>
          </cell>
        </row>
        <row r="13528">
          <cell r="C13528" t="str">
            <v>4535 - FOOD ITEMS</v>
          </cell>
          <cell r="D13528" t="str">
            <v>CONSC21456</v>
          </cell>
          <cell r="BA13528">
            <v>4.59</v>
          </cell>
        </row>
        <row r="13529">
          <cell r="C13529" t="str">
            <v>4535 - FOOD ITEMS</v>
          </cell>
          <cell r="D13529" t="str">
            <v>CONGARD7</v>
          </cell>
          <cell r="BA13529">
            <v>5.69</v>
          </cell>
        </row>
        <row r="13530">
          <cell r="C13530" t="str">
            <v>4535 - FOOD ITEMS</v>
          </cell>
          <cell r="D13530" t="str">
            <v>CONCHEEZITWC6</v>
          </cell>
          <cell r="BA13530">
            <v>2.79</v>
          </cell>
        </row>
        <row r="13531">
          <cell r="C13531" t="str">
            <v>4535 - FOOD ITEMS</v>
          </cell>
          <cell r="D13531" t="str">
            <v>CONWS12</v>
          </cell>
          <cell r="BA13531">
            <v>3.49</v>
          </cell>
        </row>
        <row r="13532">
          <cell r="C13532" t="str">
            <v>4535 - FOOD ITEMS</v>
          </cell>
          <cell r="D13532" t="str">
            <v>CONCSU29464</v>
          </cell>
          <cell r="BA13532">
            <v>4.59</v>
          </cell>
        </row>
        <row r="13533">
          <cell r="C13533" t="str">
            <v>4535 - FOOD ITEMS</v>
          </cell>
          <cell r="D13533" t="str">
            <v>DELIBFSTKJAL</v>
          </cell>
          <cell r="BA13533">
            <v>1.49</v>
          </cell>
        </row>
        <row r="13534">
          <cell r="C13534" t="str">
            <v>4535 - FOOD ITEMS</v>
          </cell>
          <cell r="D13534" t="str">
            <v>JL008383</v>
          </cell>
          <cell r="BA13534">
            <v>3.29</v>
          </cell>
        </row>
        <row r="13535">
          <cell r="C13535" t="str">
            <v>4535 - FOOD ITEMS</v>
          </cell>
          <cell r="D13535" t="str">
            <v>JL008382</v>
          </cell>
          <cell r="BA13535">
            <v>3.29</v>
          </cell>
        </row>
        <row r="13536">
          <cell r="C13536" t="str">
            <v>4535 - FOOD ITEMS</v>
          </cell>
          <cell r="D13536" t="str">
            <v>JL008381</v>
          </cell>
          <cell r="BA13536">
            <v>2.29</v>
          </cell>
        </row>
        <row r="13537">
          <cell r="C13537" t="str">
            <v>4535 - FOOD ITEMS</v>
          </cell>
          <cell r="D13537" t="str">
            <v>JL009330</v>
          </cell>
          <cell r="BA13537">
            <v>1.39</v>
          </cell>
        </row>
        <row r="13538">
          <cell r="C13538" t="str">
            <v>4535 - FOOD ITEMS</v>
          </cell>
          <cell r="D13538" t="str">
            <v>OTSTK1.2OZ</v>
          </cell>
          <cell r="BA13538">
            <v>0.99</v>
          </cell>
        </row>
        <row r="13539">
          <cell r="C13539" t="str">
            <v>4535 - FOOD ITEMS</v>
          </cell>
          <cell r="D13539" t="str">
            <v>OT17143</v>
          </cell>
          <cell r="BA13539">
            <v>8.39</v>
          </cell>
        </row>
        <row r="13540">
          <cell r="C13540" t="str">
            <v>4535 - FOOD ITEMS</v>
          </cell>
          <cell r="D13540" t="str">
            <v>OT17140</v>
          </cell>
          <cell r="BA13540">
            <v>8.39</v>
          </cell>
        </row>
        <row r="13541">
          <cell r="C13541" t="str">
            <v>4535 - FOOD ITEMS</v>
          </cell>
          <cell r="D13541" t="str">
            <v>OT17141</v>
          </cell>
          <cell r="BA13541">
            <v>8.39</v>
          </cell>
        </row>
        <row r="13542">
          <cell r="C13542" t="str">
            <v>4535 - FOOD ITEMS</v>
          </cell>
          <cell r="D13542" t="str">
            <v>DDI2280156</v>
          </cell>
          <cell r="BA13542">
            <v>0</v>
          </cell>
        </row>
        <row r="13543">
          <cell r="C13543" t="str">
            <v>4535 - FOOD ITEMS</v>
          </cell>
          <cell r="D13543" t="str">
            <v>PEPSTKHOT</v>
          </cell>
          <cell r="BA13543">
            <v>1.0900000000000001</v>
          </cell>
        </row>
        <row r="13544">
          <cell r="C13544" t="str">
            <v>4535 - FOOD ITEMS</v>
          </cell>
          <cell r="D13544" t="str">
            <v>PEPSTKORG</v>
          </cell>
          <cell r="BA13544">
            <v>1.0900000000000001</v>
          </cell>
        </row>
        <row r="13545">
          <cell r="C13545" t="str">
            <v>4535 - FOOD ITEMS</v>
          </cell>
          <cell r="D13545" t="str">
            <v>PEPSTKTER</v>
          </cell>
          <cell r="BA13545">
            <v>1.19</v>
          </cell>
        </row>
        <row r="13546">
          <cell r="C13546" t="str">
            <v>4535 - FOOD ITEMS</v>
          </cell>
          <cell r="D13546" t="str">
            <v>OT33215</v>
          </cell>
          <cell r="BA13546">
            <v>14.99</v>
          </cell>
        </row>
        <row r="13547">
          <cell r="C13547" t="str">
            <v>4535 - FOOD ITEMS</v>
          </cell>
          <cell r="D13547" t="str">
            <v>BFJRKTER10OZ</v>
          </cell>
          <cell r="BA13547">
            <v>14.59</v>
          </cell>
        </row>
        <row r="13548">
          <cell r="C13548" t="str">
            <v>4535 - FOOD ITEMS</v>
          </cell>
          <cell r="D13548" t="str">
            <v>IS2094506</v>
          </cell>
          <cell r="BA13548">
            <v>9.99</v>
          </cell>
        </row>
        <row r="13549">
          <cell r="C13549" t="str">
            <v>4535 - FOOD ITEMS</v>
          </cell>
          <cell r="D13549" t="str">
            <v>JL88060</v>
          </cell>
          <cell r="BA13549">
            <v>3.29</v>
          </cell>
        </row>
        <row r="13550">
          <cell r="C13550" t="str">
            <v>4535 - FOOD ITEMS</v>
          </cell>
          <cell r="D13550" t="str">
            <v>IS-1.5CSBA</v>
          </cell>
          <cell r="BA13550">
            <v>2.99</v>
          </cell>
        </row>
        <row r="13551">
          <cell r="C13551" t="str">
            <v>4535 - FOOD ITEMS</v>
          </cell>
          <cell r="D13551" t="str">
            <v>IS-1.5CSN</v>
          </cell>
          <cell r="BA13551">
            <v>2.99</v>
          </cell>
        </row>
        <row r="13552">
          <cell r="C13552" t="str">
            <v>4535 - FOOD ITEMS</v>
          </cell>
          <cell r="D13552" t="str">
            <v>IS-1.5MSSK</v>
          </cell>
          <cell r="BA13552">
            <v>2.99</v>
          </cell>
        </row>
        <row r="13553">
          <cell r="C13553" t="str">
            <v>4535 - FOOD ITEMS</v>
          </cell>
          <cell r="D13553" t="str">
            <v>IS-1.5CSTE</v>
          </cell>
          <cell r="BA13553">
            <v>2.19</v>
          </cell>
        </row>
        <row r="13554">
          <cell r="C13554" t="str">
            <v>4535 - FOOD ITEMS</v>
          </cell>
          <cell r="D13554" t="str">
            <v>IS-1.5MSSP</v>
          </cell>
          <cell r="BA13554">
            <v>2.99</v>
          </cell>
        </row>
        <row r="13555">
          <cell r="C13555" t="str">
            <v>4535 - FOOD ITEMS</v>
          </cell>
          <cell r="D13555" t="str">
            <v>422465</v>
          </cell>
          <cell r="BA13555">
            <v>3.79</v>
          </cell>
        </row>
        <row r="13556">
          <cell r="C13556" t="str">
            <v>4535 - FOOD ITEMS</v>
          </cell>
          <cell r="D13556" t="str">
            <v>CONSC21146</v>
          </cell>
          <cell r="BA13556">
            <v>4.59</v>
          </cell>
        </row>
        <row r="13557">
          <cell r="C13557" t="str">
            <v>4535 - FOOD ITEMS</v>
          </cell>
          <cell r="D13557" t="str">
            <v>451995</v>
          </cell>
          <cell r="BA13557">
            <v>3.79</v>
          </cell>
        </row>
        <row r="13558">
          <cell r="C13558" t="str">
            <v>4535 - FOOD ITEMS</v>
          </cell>
          <cell r="D13558" t="str">
            <v>483276</v>
          </cell>
          <cell r="BA13558">
            <v>2.79</v>
          </cell>
        </row>
        <row r="13559">
          <cell r="C13559" t="str">
            <v>4535 - FOOD ITEMS</v>
          </cell>
          <cell r="D13559" t="str">
            <v>CONSC21454</v>
          </cell>
          <cell r="BA13559">
            <v>4.59</v>
          </cell>
        </row>
        <row r="13560">
          <cell r="C13560" t="str">
            <v>4537 - MEDICAL SUPPLIES</v>
          </cell>
          <cell r="D13560" t="str">
            <v>9301-25P</v>
          </cell>
          <cell r="BA13560">
            <v>34.99</v>
          </cell>
        </row>
        <row r="13561">
          <cell r="C13561" t="str">
            <v>4537 - MEDICAL SUPPLIES</v>
          </cell>
          <cell r="D13561" t="str">
            <v>3M9411880025T</v>
          </cell>
          <cell r="BA13561">
            <v>25.99</v>
          </cell>
        </row>
        <row r="13562">
          <cell r="C13562" t="str">
            <v>4537 - MEDICAL SUPPLIES</v>
          </cell>
          <cell r="D13562" t="str">
            <v>FAO-340</v>
          </cell>
          <cell r="BA13562">
            <v>34.99</v>
          </cell>
        </row>
        <row r="13563">
          <cell r="C13563" t="str">
            <v>4538 - NONCARBONATED DRINKS</v>
          </cell>
          <cell r="D13563" t="str">
            <v>CCCSLEMONPT</v>
          </cell>
          <cell r="BA13563">
            <v>1.79</v>
          </cell>
        </row>
        <row r="13564">
          <cell r="C13564" t="str">
            <v>4538 - NONCARBONATED DRINKS</v>
          </cell>
          <cell r="D13564" t="str">
            <v>GTRZEROGLFRS20OZ</v>
          </cell>
          <cell r="BA13564">
            <v>1.69</v>
          </cell>
        </row>
        <row r="13565">
          <cell r="C13565" t="str">
            <v>4538 - NONCARBONATED DRINKS</v>
          </cell>
          <cell r="D13565" t="str">
            <v>PTGH</v>
          </cell>
          <cell r="BA13565">
            <v>1.79</v>
          </cell>
        </row>
        <row r="13566">
          <cell r="C13566" t="str">
            <v>4538 - NONCARBONATED DRINKS</v>
          </cell>
          <cell r="D13566" t="str">
            <v>748125</v>
          </cell>
          <cell r="BA13566">
            <v>3.79</v>
          </cell>
        </row>
        <row r="13567">
          <cell r="C13567" t="str">
            <v>4538 - NONCARBONATED DRINKS</v>
          </cell>
          <cell r="D13567" t="str">
            <v>500181</v>
          </cell>
          <cell r="BA13567">
            <v>2.99</v>
          </cell>
        </row>
        <row r="13568">
          <cell r="C13568" t="str">
            <v>4538 - NONCARBONATED DRINKS</v>
          </cell>
          <cell r="D13568" t="str">
            <v>GAT20781</v>
          </cell>
          <cell r="BA13568">
            <v>1.69</v>
          </cell>
        </row>
        <row r="13569">
          <cell r="C13569" t="str">
            <v>4539 - RESIDENTIAL HEATING FUEL</v>
          </cell>
          <cell r="D13569" t="str">
            <v>SS700G1</v>
          </cell>
          <cell r="BA13569">
            <v>14.99</v>
          </cell>
        </row>
        <row r="13570">
          <cell r="C13570" t="str">
            <v>4539 - RESIDENTIAL HEATING FUEL</v>
          </cell>
          <cell r="D13570" t="str">
            <v>FG10WV</v>
          </cell>
          <cell r="BA13570">
            <v>6.99</v>
          </cell>
        </row>
        <row r="13571">
          <cell r="C13571" t="str">
            <v>4539 - RESIDENTIAL HEATING FUEL</v>
          </cell>
          <cell r="D13571" t="str">
            <v>EHPELLET</v>
          </cell>
          <cell r="BA13571">
            <v>5.89</v>
          </cell>
        </row>
        <row r="13572">
          <cell r="C13572" t="str">
            <v>4539 - RESIDENTIAL HEATING FUEL</v>
          </cell>
          <cell r="D13572" t="str">
            <v>EHPELLETTON</v>
          </cell>
          <cell r="BA13572">
            <v>279.99</v>
          </cell>
        </row>
        <row r="13573">
          <cell r="C13573" t="str">
            <v>4565 - APPLIANCES-OTHER</v>
          </cell>
          <cell r="D13573" t="str">
            <v>CAM20850</v>
          </cell>
          <cell r="BA13573">
            <v>29.99</v>
          </cell>
        </row>
        <row r="13574">
          <cell r="C13574" t="str">
            <v>4565 - APPLIANCES-OTHER</v>
          </cell>
          <cell r="D13574" t="str">
            <v>30X32WSHMCPN</v>
          </cell>
          <cell r="BA13574">
            <v>22.99</v>
          </cell>
        </row>
        <row r="13575">
          <cell r="C13575" t="str">
            <v>4565 - APPLIANCES-OTHER</v>
          </cell>
          <cell r="D13575" t="str">
            <v>IS75993</v>
          </cell>
          <cell r="BA13575">
            <v>179.99</v>
          </cell>
        </row>
        <row r="13576">
          <cell r="C13576" t="str">
            <v>4565 - APPLIANCES-OTHER</v>
          </cell>
          <cell r="D13576" t="str">
            <v>IS76037H</v>
          </cell>
          <cell r="BA13576">
            <v>159.99</v>
          </cell>
        </row>
        <row r="13577">
          <cell r="C13577" t="str">
            <v>4565 - APPLIANCES-OTHER</v>
          </cell>
          <cell r="D13577" t="str">
            <v>ISBADGER1</v>
          </cell>
          <cell r="BA13577">
            <v>129.99</v>
          </cell>
        </row>
        <row r="13578">
          <cell r="C13578" t="str">
            <v>4565 - APPLIANCES-OTHER</v>
          </cell>
          <cell r="D13578" t="str">
            <v>WKL2600</v>
          </cell>
          <cell r="BA13578">
            <v>129.99</v>
          </cell>
        </row>
        <row r="13579">
          <cell r="C13579" t="str">
            <v>5201 - INTERIOR DOOR UNITS (BOM)</v>
          </cell>
          <cell r="D13579" t="str">
            <v>LABORID</v>
          </cell>
          <cell r="BA13579">
            <v>7.89</v>
          </cell>
        </row>
        <row r="13580">
          <cell r="C13580" t="str">
            <v>5201 - INTERIOR DOOR UNITS (BOM)</v>
          </cell>
          <cell r="D13580" t="str">
            <v>CUTDOWNW</v>
          </cell>
          <cell r="BA13580">
            <v>56.99</v>
          </cell>
        </row>
        <row r="13581">
          <cell r="C13581" t="str">
            <v>5201 - INTERIOR DOOR UNITS (BOM)</v>
          </cell>
          <cell r="D13581" t="str">
            <v>CUTDOWNH</v>
          </cell>
          <cell r="BA13581">
            <v>35.090000000000003</v>
          </cell>
        </row>
        <row r="13582">
          <cell r="C13582" t="str">
            <v>5201 - INTERIOR DOOR UNITS (BOM)</v>
          </cell>
          <cell r="D13582" t="str">
            <v>APPBRTBRASS</v>
          </cell>
          <cell r="BA13582">
            <v>4.59</v>
          </cell>
        </row>
        <row r="13583">
          <cell r="C13583" t="str">
            <v>5201 - INTERIOR DOOR UNITS (BOM)</v>
          </cell>
          <cell r="D13583" t="str">
            <v>APPBRTBRASS8</v>
          </cell>
          <cell r="BA13583">
            <v>6.09</v>
          </cell>
        </row>
        <row r="13584">
          <cell r="C13584" t="str">
            <v>5201 - INTERIOR DOOR UNITS (BOM)</v>
          </cell>
          <cell r="D13584" t="str">
            <v>APPBPR48</v>
          </cell>
          <cell r="BA13584">
            <v>47.89</v>
          </cell>
        </row>
        <row r="13585">
          <cell r="C13585" t="str">
            <v>5201 - INTERIOR DOOR UNITS (BOM)</v>
          </cell>
          <cell r="D13585" t="str">
            <v>APPBPR60</v>
          </cell>
          <cell r="BA13585">
            <v>49.39</v>
          </cell>
        </row>
        <row r="13586">
          <cell r="C13586" t="str">
            <v>5201 - INTERIOR DOOR UNITS (BOM)</v>
          </cell>
          <cell r="D13586" t="str">
            <v>APPBPR72</v>
          </cell>
          <cell r="BA13586">
            <v>50.49</v>
          </cell>
        </row>
        <row r="13587">
          <cell r="C13587" t="str">
            <v>5201 - INTERIOR DOOR UNITS (BOM)</v>
          </cell>
          <cell r="D13587" t="str">
            <v>APPBPR96</v>
          </cell>
          <cell r="BA13587">
            <v>73.989999999999995</v>
          </cell>
        </row>
        <row r="13588">
          <cell r="C13588" t="str">
            <v>5201 - INTERIOR DOOR UNITS (BOM)</v>
          </cell>
          <cell r="D13588" t="str">
            <v>APPHINGEPCBB</v>
          </cell>
          <cell r="BA13588">
            <v>4.79</v>
          </cell>
        </row>
        <row r="13589">
          <cell r="C13589" t="str">
            <v>5201 - INTERIOR DOOR UNITS (BOM)</v>
          </cell>
          <cell r="D13589" t="str">
            <v>APPHINGEPCBB8</v>
          </cell>
          <cell r="BA13589">
            <v>6.39</v>
          </cell>
        </row>
        <row r="13590">
          <cell r="C13590" t="str">
            <v>5201 - INTERIOR DOOR UNITS (BOM)</v>
          </cell>
          <cell r="D13590" t="str">
            <v>APPSS</v>
          </cell>
          <cell r="BA13590">
            <v>11.59</v>
          </cell>
        </row>
        <row r="13591">
          <cell r="C13591" t="str">
            <v>5201 - INTERIOR DOOR UNITS (BOM)</v>
          </cell>
          <cell r="D13591" t="str">
            <v>PDBSE</v>
          </cell>
          <cell r="BA13591">
            <v>25.09</v>
          </cell>
        </row>
        <row r="13592">
          <cell r="C13592" t="str">
            <v>5201 - INTERIOR DOOR UNITS (BOM)</v>
          </cell>
          <cell r="D13592" t="str">
            <v>PDSH</v>
          </cell>
          <cell r="BA13592">
            <v>4.99</v>
          </cell>
        </row>
        <row r="13593">
          <cell r="C13593" t="str">
            <v>5201 - INTERIOR DOOR UNITS (BOM)</v>
          </cell>
          <cell r="D13593" t="str">
            <v>TEARDOWNINT</v>
          </cell>
          <cell r="BA13593">
            <v>17.59</v>
          </cell>
        </row>
        <row r="13594">
          <cell r="C13594" t="str">
            <v>5201 - INTERIOR DOOR UNITS (BOM)</v>
          </cell>
          <cell r="D13594" t="str">
            <v>PSJ</v>
          </cell>
          <cell r="BA13594">
            <v>87.99</v>
          </cell>
        </row>
        <row r="13595">
          <cell r="C13595" t="str">
            <v>5201 - INTERIOR DOOR UNITS (BOM)</v>
          </cell>
          <cell r="D13595" t="str">
            <v>SENBPD</v>
          </cell>
          <cell r="BA13595">
            <v>4.99</v>
          </cell>
        </row>
        <row r="13596">
          <cell r="C13596" t="str">
            <v>5201 - INTERIOR DOOR UNITS (BOM)</v>
          </cell>
          <cell r="D13596" t="str">
            <v>BDBE</v>
          </cell>
          <cell r="BA13596">
            <v>4.99</v>
          </cell>
        </row>
        <row r="13597">
          <cell r="C13597" t="str">
            <v>5201 - INTERIOR DOOR UNITS (BOM)</v>
          </cell>
          <cell r="D13597" t="str">
            <v>BPDPP</v>
          </cell>
          <cell r="BA13597">
            <v>6.29</v>
          </cell>
        </row>
        <row r="13598">
          <cell r="C13598" t="str">
            <v>5201 - INTERIOR DOOR UNITS (BOM)</v>
          </cell>
          <cell r="D13598" t="str">
            <v>PSRB</v>
          </cell>
          <cell r="BA13598">
            <v>6.29</v>
          </cell>
        </row>
        <row r="13599">
          <cell r="C13599" t="str">
            <v>5201 - INTERIOR DOOR UNITS (BOM)</v>
          </cell>
          <cell r="D13599" t="str">
            <v>REWORKINT</v>
          </cell>
          <cell r="BA13599">
            <v>112.99</v>
          </cell>
        </row>
        <row r="13600">
          <cell r="C13600" t="str">
            <v>5201 - INTERIOR DOOR UNITS (BOM)</v>
          </cell>
          <cell r="D13600" t="str">
            <v>RIPSG</v>
          </cell>
          <cell r="BA13600">
            <v>6.29</v>
          </cell>
        </row>
        <row r="13601">
          <cell r="C13601" t="str">
            <v>5201 - INTERIOR DOOR UNITS (BOM)</v>
          </cell>
          <cell r="D13601" t="str">
            <v>I2PSDRP16ROR</v>
          </cell>
          <cell r="BA13601">
            <v>139.99</v>
          </cell>
        </row>
        <row r="13602">
          <cell r="C13602" t="str">
            <v>5201 - INTERIOR DOOR UNITS (BOM)</v>
          </cell>
          <cell r="D13602" t="str">
            <v>I2PSDRP16LOR</v>
          </cell>
          <cell r="BA13602">
            <v>139.99</v>
          </cell>
        </row>
        <row r="13603">
          <cell r="C13603" t="str">
            <v>5201 - INTERIOR DOOR UNITS (BOM)</v>
          </cell>
          <cell r="D13603" t="str">
            <v>I2PSDRP110LOR</v>
          </cell>
          <cell r="BA13603">
            <v>139.99</v>
          </cell>
        </row>
        <row r="13604">
          <cell r="C13604" t="str">
            <v>5201 - INTERIOR DOOR UNITS (BOM)</v>
          </cell>
          <cell r="D13604" t="str">
            <v>I2PSDRP20ROR</v>
          </cell>
          <cell r="BA13604">
            <v>138.99</v>
          </cell>
        </row>
        <row r="13605">
          <cell r="C13605" t="str">
            <v>5201 - INTERIOR DOOR UNITS (BOM)</v>
          </cell>
          <cell r="D13605" t="str">
            <v>I2PSDRP20LOR</v>
          </cell>
          <cell r="BA13605">
            <v>138.99</v>
          </cell>
        </row>
        <row r="13606">
          <cell r="C13606" t="str">
            <v>5201 - INTERIOR DOOR UNITS (BOM)</v>
          </cell>
          <cell r="D13606" t="str">
            <v>I2PSDRP22ROR</v>
          </cell>
          <cell r="BA13606">
            <v>144.99</v>
          </cell>
        </row>
        <row r="13607">
          <cell r="C13607" t="str">
            <v>5201 - INTERIOR DOOR UNITS (BOM)</v>
          </cell>
          <cell r="D13607" t="str">
            <v>I2PSDRP22LOR</v>
          </cell>
          <cell r="BA13607">
            <v>144.99</v>
          </cell>
        </row>
        <row r="13608">
          <cell r="C13608" t="str">
            <v>5201 - INTERIOR DOOR UNITS (BOM)</v>
          </cell>
          <cell r="D13608" t="str">
            <v>I2PSDRP24ROR</v>
          </cell>
          <cell r="BA13608">
            <v>143.99</v>
          </cell>
        </row>
        <row r="13609">
          <cell r="C13609" t="str">
            <v>5201 - INTERIOR DOOR UNITS (BOM)</v>
          </cell>
          <cell r="D13609" t="str">
            <v>I2PSDRP24LOR</v>
          </cell>
          <cell r="BA13609">
            <v>143.99</v>
          </cell>
        </row>
        <row r="13610">
          <cell r="C13610" t="str">
            <v>5201 - INTERIOR DOOR UNITS (BOM)</v>
          </cell>
          <cell r="D13610" t="str">
            <v>I2PSDRP26ROR</v>
          </cell>
          <cell r="BA13610">
            <v>146.99</v>
          </cell>
        </row>
        <row r="13611">
          <cell r="C13611" t="str">
            <v>5201 - INTERIOR DOOR UNITS (BOM)</v>
          </cell>
          <cell r="D13611" t="str">
            <v>I2PSDRP26LOR</v>
          </cell>
          <cell r="BA13611">
            <v>146.99</v>
          </cell>
        </row>
        <row r="13612">
          <cell r="C13612" t="str">
            <v>5201 - INTERIOR DOOR UNITS (BOM)</v>
          </cell>
          <cell r="D13612" t="str">
            <v>I2PSDRP28ROR</v>
          </cell>
          <cell r="BA13612">
            <v>149.99</v>
          </cell>
        </row>
        <row r="13613">
          <cell r="C13613" t="str">
            <v>5201 - INTERIOR DOOR UNITS (BOM)</v>
          </cell>
          <cell r="D13613" t="str">
            <v>I2PSDRP28LOR</v>
          </cell>
          <cell r="BA13613">
            <v>149.99</v>
          </cell>
        </row>
        <row r="13614">
          <cell r="C13614" t="str">
            <v>5201 - INTERIOR DOOR UNITS (BOM)</v>
          </cell>
          <cell r="D13614" t="str">
            <v>I2PSDRP210ROR</v>
          </cell>
          <cell r="BA13614">
            <v>154.99</v>
          </cell>
        </row>
        <row r="13615">
          <cell r="C13615" t="str">
            <v>5201 - INTERIOR DOOR UNITS (BOM)</v>
          </cell>
          <cell r="D13615" t="str">
            <v>I2PSDRP210LOR</v>
          </cell>
          <cell r="BA13615">
            <v>154.99</v>
          </cell>
        </row>
        <row r="13616">
          <cell r="C13616" t="str">
            <v>5201 - INTERIOR DOOR UNITS (BOM)</v>
          </cell>
          <cell r="D13616" t="str">
            <v>I2PSDRP30ROR</v>
          </cell>
          <cell r="BA13616">
            <v>153.99</v>
          </cell>
        </row>
        <row r="13617">
          <cell r="C13617" t="str">
            <v>5201 - INTERIOR DOOR UNITS (BOM)</v>
          </cell>
          <cell r="D13617" t="str">
            <v>I2PSDRP30LOR</v>
          </cell>
          <cell r="BA13617">
            <v>153.99</v>
          </cell>
        </row>
        <row r="13618">
          <cell r="C13618" t="str">
            <v>5201 - INTERIOR DOOR UNITS (BOM)</v>
          </cell>
          <cell r="D13618" t="str">
            <v>I2PSDRP40RTOR</v>
          </cell>
          <cell r="BA13618">
            <v>286.99</v>
          </cell>
        </row>
        <row r="13619">
          <cell r="C13619" t="str">
            <v>5201 - INTERIOR DOOR UNITS (BOM)</v>
          </cell>
          <cell r="D13619" t="str">
            <v>I2PSDRP48RTOR</v>
          </cell>
          <cell r="BA13619">
            <v>295.99</v>
          </cell>
        </row>
        <row r="13620">
          <cell r="C13620" t="str">
            <v>5201 - INTERIOR DOOR UNITS (BOM)</v>
          </cell>
          <cell r="D13620" t="str">
            <v>I2PSDRP48LTOR</v>
          </cell>
          <cell r="BA13620">
            <v>295.99</v>
          </cell>
        </row>
        <row r="13621">
          <cell r="C13621" t="str">
            <v>5201 - INTERIOR DOOR UNITS (BOM)</v>
          </cell>
          <cell r="D13621" t="str">
            <v>I2PSDRP50RTOR</v>
          </cell>
          <cell r="BA13621">
            <v>301.99</v>
          </cell>
        </row>
        <row r="13622">
          <cell r="C13622" t="str">
            <v>5201 - INTERIOR DOOR UNITS (BOM)</v>
          </cell>
          <cell r="D13622" t="str">
            <v>I2PSDRP40BCOR</v>
          </cell>
          <cell r="BA13622">
            <v>260.99</v>
          </cell>
        </row>
        <row r="13623">
          <cell r="C13623" t="str">
            <v>5201 - INTERIOR DOOR UNITS (BOM)</v>
          </cell>
          <cell r="D13623" t="str">
            <v>I2PSDRP48BCOR</v>
          </cell>
          <cell r="BA13623">
            <v>271.99</v>
          </cell>
        </row>
        <row r="13624">
          <cell r="C13624" t="str">
            <v>5201 - INTERIOR DOOR UNITS (BOM)</v>
          </cell>
          <cell r="D13624" t="str">
            <v>I2PSDRP50BCOR</v>
          </cell>
          <cell r="BA13624">
            <v>276.99</v>
          </cell>
        </row>
        <row r="13625">
          <cell r="C13625" t="str">
            <v>5201 - INTERIOR DOOR UNITS (BOM)</v>
          </cell>
          <cell r="D13625" t="str">
            <v>I2PSDRP54BCOR</v>
          </cell>
          <cell r="BA13625">
            <v>284.99</v>
          </cell>
        </row>
        <row r="13626">
          <cell r="C13626" t="str">
            <v>5201 - INTERIOR DOOR UNITS (BOM)</v>
          </cell>
          <cell r="D13626" t="str">
            <v>I2PSDRP16RSN</v>
          </cell>
          <cell r="BA13626">
            <v>140.99</v>
          </cell>
        </row>
        <row r="13627">
          <cell r="C13627" t="str">
            <v>5201 - INTERIOR DOOR UNITS (BOM)</v>
          </cell>
          <cell r="D13627" t="str">
            <v>I2PSDRP16LSN</v>
          </cell>
          <cell r="BA13627">
            <v>140.99</v>
          </cell>
        </row>
        <row r="13628">
          <cell r="C13628" t="str">
            <v>5201 - INTERIOR DOOR UNITS (BOM)</v>
          </cell>
          <cell r="D13628" t="str">
            <v>I2PSDRP110RSN</v>
          </cell>
          <cell r="BA13628">
            <v>140.99</v>
          </cell>
        </row>
        <row r="13629">
          <cell r="C13629" t="str">
            <v>5201 - INTERIOR DOOR UNITS (BOM)</v>
          </cell>
          <cell r="D13629" t="str">
            <v>I2PSDRP110LSN</v>
          </cell>
          <cell r="BA13629">
            <v>140.99</v>
          </cell>
        </row>
        <row r="13630">
          <cell r="C13630" t="str">
            <v>5201 - INTERIOR DOOR UNITS (BOM)</v>
          </cell>
          <cell r="D13630" t="str">
            <v>I2PSDRP20RSN</v>
          </cell>
          <cell r="BA13630">
            <v>140.99</v>
          </cell>
        </row>
        <row r="13631">
          <cell r="C13631" t="str">
            <v>5201 - INTERIOR DOOR UNITS (BOM)</v>
          </cell>
          <cell r="D13631" t="str">
            <v>I2PSDRP20LSN</v>
          </cell>
          <cell r="BA13631">
            <v>140.99</v>
          </cell>
        </row>
        <row r="13632">
          <cell r="C13632" t="str">
            <v>5201 - INTERIOR DOOR UNITS (BOM)</v>
          </cell>
          <cell r="D13632" t="str">
            <v>I2PSDRP22RSN</v>
          </cell>
          <cell r="BA13632">
            <v>146.99</v>
          </cell>
        </row>
        <row r="13633">
          <cell r="C13633" t="str">
            <v>5201 - INTERIOR DOOR UNITS (BOM)</v>
          </cell>
          <cell r="D13633" t="str">
            <v>I2PSDRP22LSN</v>
          </cell>
          <cell r="BA13633">
            <v>146.99</v>
          </cell>
        </row>
        <row r="13634">
          <cell r="C13634" t="str">
            <v>5201 - INTERIOR DOOR UNITS (BOM)</v>
          </cell>
          <cell r="D13634" t="str">
            <v>I2PSDRP24RSN</v>
          </cell>
          <cell r="BA13634">
            <v>144.99</v>
          </cell>
        </row>
        <row r="13635">
          <cell r="C13635" t="str">
            <v>5201 - INTERIOR DOOR UNITS (BOM)</v>
          </cell>
          <cell r="D13635" t="str">
            <v>I2PSDRP24LSN</v>
          </cell>
          <cell r="BA13635">
            <v>144.99</v>
          </cell>
        </row>
        <row r="13636">
          <cell r="C13636" t="str">
            <v>5201 - INTERIOR DOOR UNITS (BOM)</v>
          </cell>
          <cell r="D13636" t="str">
            <v>I2PSDRP26RSN</v>
          </cell>
          <cell r="BA13636">
            <v>147.99</v>
          </cell>
        </row>
        <row r="13637">
          <cell r="C13637" t="str">
            <v>5201 - INTERIOR DOOR UNITS (BOM)</v>
          </cell>
          <cell r="D13637" t="str">
            <v>I2PSDRP26LSN</v>
          </cell>
          <cell r="BA13637">
            <v>147.99</v>
          </cell>
        </row>
        <row r="13638">
          <cell r="C13638" t="str">
            <v>5201 - INTERIOR DOOR UNITS (BOM)</v>
          </cell>
          <cell r="D13638" t="str">
            <v>I2PSDRP28RSN</v>
          </cell>
          <cell r="BA13638">
            <v>151.99</v>
          </cell>
        </row>
        <row r="13639">
          <cell r="C13639" t="str">
            <v>5201 - INTERIOR DOOR UNITS (BOM)</v>
          </cell>
          <cell r="D13639" t="str">
            <v>I2PSDRP28LSN</v>
          </cell>
          <cell r="BA13639">
            <v>151.99</v>
          </cell>
        </row>
        <row r="13640">
          <cell r="C13640" t="str">
            <v>5201 - INTERIOR DOOR UNITS (BOM)</v>
          </cell>
          <cell r="D13640" t="str">
            <v>I2PSDRP210RSN</v>
          </cell>
          <cell r="BA13640">
            <v>156.99</v>
          </cell>
        </row>
        <row r="13641">
          <cell r="C13641" t="str">
            <v>5201 - INTERIOR DOOR UNITS (BOM)</v>
          </cell>
          <cell r="D13641" t="str">
            <v>I2PSDRP210LSN</v>
          </cell>
          <cell r="BA13641">
            <v>156.99</v>
          </cell>
        </row>
        <row r="13642">
          <cell r="C13642" t="str">
            <v>5201 - INTERIOR DOOR UNITS (BOM)</v>
          </cell>
          <cell r="D13642" t="str">
            <v>I2PSDRP30RSN</v>
          </cell>
          <cell r="BA13642">
            <v>153.99</v>
          </cell>
        </row>
        <row r="13643">
          <cell r="C13643" t="str">
            <v>5201 - INTERIOR DOOR UNITS (BOM)</v>
          </cell>
          <cell r="D13643" t="str">
            <v>I2PSDRP30LSN</v>
          </cell>
          <cell r="BA13643">
            <v>153.99</v>
          </cell>
        </row>
        <row r="13644">
          <cell r="C13644" t="str">
            <v>5201 - INTERIOR DOOR UNITS (BOM)</v>
          </cell>
          <cell r="D13644" t="str">
            <v>I2PSDRP40RTSN</v>
          </cell>
          <cell r="BA13644">
            <v>290.99</v>
          </cell>
        </row>
        <row r="13645">
          <cell r="C13645" t="str">
            <v>5201 - INTERIOR DOOR UNITS (BOM)</v>
          </cell>
          <cell r="D13645" t="str">
            <v>I2PSDRP40LTSN</v>
          </cell>
          <cell r="BA13645">
            <v>290.99</v>
          </cell>
        </row>
        <row r="13646">
          <cell r="C13646" t="str">
            <v>5201 - INTERIOR DOOR UNITS (BOM)</v>
          </cell>
          <cell r="D13646" t="str">
            <v>I2PSDRP48RTSN</v>
          </cell>
          <cell r="BA13646">
            <v>299.99</v>
          </cell>
        </row>
        <row r="13647">
          <cell r="C13647" t="str">
            <v>5201 - INTERIOR DOOR UNITS (BOM)</v>
          </cell>
          <cell r="D13647" t="str">
            <v>I2PSDRP48LTSN</v>
          </cell>
          <cell r="BA13647">
            <v>299.99</v>
          </cell>
        </row>
        <row r="13648">
          <cell r="C13648" t="str">
            <v>5201 - INTERIOR DOOR UNITS (BOM)</v>
          </cell>
          <cell r="D13648" t="str">
            <v>I2PSDRP50RTSN</v>
          </cell>
          <cell r="BA13648">
            <v>304.99</v>
          </cell>
        </row>
        <row r="13649">
          <cell r="C13649" t="str">
            <v>5201 - INTERIOR DOOR UNITS (BOM)</v>
          </cell>
          <cell r="D13649" t="str">
            <v>I2PSDRP50LTSN</v>
          </cell>
          <cell r="BA13649">
            <v>304.99</v>
          </cell>
        </row>
        <row r="13650">
          <cell r="C13650" t="str">
            <v>5201 - INTERIOR DOOR UNITS (BOM)</v>
          </cell>
          <cell r="D13650" t="str">
            <v>I2PSDRP30BCSN</v>
          </cell>
          <cell r="BA13650">
            <v>257.99</v>
          </cell>
        </row>
        <row r="13651">
          <cell r="C13651" t="str">
            <v>5201 - INTERIOR DOOR UNITS (BOM)</v>
          </cell>
          <cell r="D13651" t="str">
            <v>I2PSDRP40BCSN</v>
          </cell>
          <cell r="BA13651">
            <v>264.99</v>
          </cell>
        </row>
        <row r="13652">
          <cell r="C13652" t="str">
            <v>5201 - INTERIOR DOOR UNITS (BOM)</v>
          </cell>
          <cell r="D13652" t="str">
            <v>I2PSDRP48BCSN</v>
          </cell>
          <cell r="BA13652">
            <v>274.99</v>
          </cell>
        </row>
        <row r="13653">
          <cell r="C13653" t="str">
            <v>5201 - INTERIOR DOOR UNITS (BOM)</v>
          </cell>
          <cell r="D13653" t="str">
            <v>I2PSDRP50BCSN</v>
          </cell>
          <cell r="BA13653">
            <v>279.99</v>
          </cell>
        </row>
        <row r="13654">
          <cell r="C13654" t="str">
            <v>5201 - INTERIOR DOOR UNITS (BOM)</v>
          </cell>
          <cell r="D13654" t="str">
            <v>I2PSDRP60BCSN</v>
          </cell>
          <cell r="BA13654">
            <v>292.99</v>
          </cell>
        </row>
        <row r="13655">
          <cell r="C13655" t="str">
            <v>5201 - INTERIOR DOOR UNITS (BOM)</v>
          </cell>
          <cell r="D13655" t="str">
            <v>I1FPDRP16LOR</v>
          </cell>
          <cell r="BA13655">
            <v>155.99</v>
          </cell>
        </row>
        <row r="13656">
          <cell r="C13656" t="str">
            <v>5201 - INTERIOR DOOR UNITS (BOM)</v>
          </cell>
          <cell r="D13656" t="str">
            <v>I1FPDRP110ROR</v>
          </cell>
          <cell r="BA13656">
            <v>161.99</v>
          </cell>
        </row>
        <row r="13657">
          <cell r="C13657" t="str">
            <v>5201 - INTERIOR DOOR UNITS (BOM)</v>
          </cell>
          <cell r="D13657" t="str">
            <v>I1FPDRP110LOR</v>
          </cell>
          <cell r="BA13657">
            <v>161.99</v>
          </cell>
        </row>
        <row r="13658">
          <cell r="C13658" t="str">
            <v>5201 - INTERIOR DOOR UNITS (BOM)</v>
          </cell>
          <cell r="D13658" t="str">
            <v>I1FPDRP20ROR</v>
          </cell>
          <cell r="BA13658">
            <v>160.99</v>
          </cell>
        </row>
        <row r="13659">
          <cell r="C13659" t="str">
            <v>5201 - INTERIOR DOOR UNITS (BOM)</v>
          </cell>
          <cell r="D13659" t="str">
            <v>I1FPDRP20LOR</v>
          </cell>
          <cell r="BA13659">
            <v>160.99</v>
          </cell>
        </row>
        <row r="13660">
          <cell r="C13660" t="str">
            <v>5201 - INTERIOR DOOR UNITS (BOM)</v>
          </cell>
          <cell r="D13660" t="str">
            <v>I1FPDRP22ROR</v>
          </cell>
          <cell r="BA13660">
            <v>165.99</v>
          </cell>
        </row>
        <row r="13661">
          <cell r="C13661" t="str">
            <v>5201 - INTERIOR DOOR UNITS (BOM)</v>
          </cell>
          <cell r="D13661" t="str">
            <v>I1FPDRP24ROR</v>
          </cell>
          <cell r="BA13661">
            <v>164.99</v>
          </cell>
        </row>
        <row r="13662">
          <cell r="C13662" t="str">
            <v>5201 - INTERIOR DOOR UNITS (BOM)</v>
          </cell>
          <cell r="D13662" t="str">
            <v>I1FPDRP24LOR</v>
          </cell>
          <cell r="BA13662">
            <v>164.99</v>
          </cell>
        </row>
        <row r="13663">
          <cell r="C13663" t="str">
            <v>5201 - INTERIOR DOOR UNITS (BOM)</v>
          </cell>
          <cell r="D13663" t="str">
            <v>I1FPDRP26ROR</v>
          </cell>
          <cell r="BA13663">
            <v>168.99</v>
          </cell>
        </row>
        <row r="13664">
          <cell r="C13664" t="str">
            <v>5201 - INTERIOR DOOR UNITS (BOM)</v>
          </cell>
          <cell r="D13664" t="str">
            <v>I1FPDRP26LOR</v>
          </cell>
          <cell r="BA13664">
            <v>168.99</v>
          </cell>
        </row>
        <row r="13665">
          <cell r="C13665" t="str">
            <v>5201 - INTERIOR DOOR UNITS (BOM)</v>
          </cell>
          <cell r="D13665" t="str">
            <v>I1FPDRP28ROR</v>
          </cell>
          <cell r="BA13665">
            <v>172.99</v>
          </cell>
        </row>
        <row r="13666">
          <cell r="C13666" t="str">
            <v>5201 - INTERIOR DOOR UNITS (BOM)</v>
          </cell>
          <cell r="D13666" t="str">
            <v>I1FPDRP28LOR</v>
          </cell>
          <cell r="BA13666">
            <v>172.99</v>
          </cell>
        </row>
        <row r="13667">
          <cell r="C13667" t="str">
            <v>5201 - INTERIOR DOOR UNITS (BOM)</v>
          </cell>
          <cell r="D13667" t="str">
            <v>I1FPDRP210ROR</v>
          </cell>
          <cell r="BA13667">
            <v>175.99</v>
          </cell>
        </row>
        <row r="13668">
          <cell r="C13668" t="str">
            <v>5201 - INTERIOR DOOR UNITS (BOM)</v>
          </cell>
          <cell r="D13668" t="str">
            <v>I1FPDRP210LOR</v>
          </cell>
          <cell r="BA13668">
            <v>175.99</v>
          </cell>
        </row>
        <row r="13669">
          <cell r="C13669" t="str">
            <v>5201 - INTERIOR DOOR UNITS (BOM)</v>
          </cell>
          <cell r="D13669" t="str">
            <v>I1FPDRP30ROR</v>
          </cell>
          <cell r="BA13669">
            <v>177.99</v>
          </cell>
        </row>
        <row r="13670">
          <cell r="C13670" t="str">
            <v>5201 - INTERIOR DOOR UNITS (BOM)</v>
          </cell>
          <cell r="D13670" t="str">
            <v>I1FPDRP30LOR</v>
          </cell>
          <cell r="BA13670">
            <v>177.99</v>
          </cell>
        </row>
        <row r="13671">
          <cell r="C13671" t="str">
            <v>5201 - INTERIOR DOOR UNITS (BOM)</v>
          </cell>
          <cell r="D13671" t="str">
            <v>I1FPDRP48LTOR</v>
          </cell>
          <cell r="BA13671">
            <v>335.99</v>
          </cell>
        </row>
        <row r="13672">
          <cell r="C13672" t="str">
            <v>5201 - INTERIOR DOOR UNITS (BOM)</v>
          </cell>
          <cell r="D13672" t="str">
            <v>I1FPDRP50RTOR</v>
          </cell>
          <cell r="BA13672">
            <v>343.99</v>
          </cell>
        </row>
        <row r="13673">
          <cell r="C13673" t="str">
            <v>5201 - INTERIOR DOOR UNITS (BOM)</v>
          </cell>
          <cell r="D13673" t="str">
            <v>I1FPDRP50LTOR</v>
          </cell>
          <cell r="BA13673">
            <v>343.99</v>
          </cell>
        </row>
        <row r="13674">
          <cell r="C13674" t="str">
            <v>5201 - INTERIOR DOOR UNITS (BOM)</v>
          </cell>
          <cell r="D13674" t="str">
            <v>I1FPDRP40BCOR</v>
          </cell>
          <cell r="BA13674">
            <v>303.99</v>
          </cell>
        </row>
        <row r="13675">
          <cell r="C13675" t="str">
            <v>5201 - INTERIOR DOOR UNITS (BOM)</v>
          </cell>
          <cell r="D13675" t="str">
            <v>I1FPDRP48BCOR</v>
          </cell>
          <cell r="BA13675">
            <v>310.99</v>
          </cell>
        </row>
        <row r="13676">
          <cell r="C13676" t="str">
            <v>5201 - INTERIOR DOOR UNITS (BOM)</v>
          </cell>
          <cell r="D13676" t="str">
            <v>I1FPDRP50BCOR</v>
          </cell>
          <cell r="BA13676">
            <v>319.99</v>
          </cell>
        </row>
        <row r="13677">
          <cell r="C13677" t="str">
            <v>5201 - INTERIOR DOOR UNITS (BOM)</v>
          </cell>
          <cell r="D13677" t="str">
            <v>I1FPDRP16RSN</v>
          </cell>
          <cell r="BA13677">
            <v>156.99</v>
          </cell>
        </row>
        <row r="13678">
          <cell r="C13678" t="str">
            <v>5201 - INTERIOR DOOR UNITS (BOM)</v>
          </cell>
          <cell r="D13678" t="str">
            <v>I1FPDRP16LSN</v>
          </cell>
          <cell r="BA13678">
            <v>156.99</v>
          </cell>
        </row>
        <row r="13679">
          <cell r="C13679" t="str">
            <v>5201 - INTERIOR DOOR UNITS (BOM)</v>
          </cell>
          <cell r="D13679" t="str">
            <v>I1FPDRP110LSN</v>
          </cell>
          <cell r="BA13679">
            <v>162.99</v>
          </cell>
        </row>
        <row r="13680">
          <cell r="C13680" t="str">
            <v>5201 - INTERIOR DOOR UNITS (BOM)</v>
          </cell>
          <cell r="D13680" t="str">
            <v>I1FPDRP20RSN</v>
          </cell>
          <cell r="BA13680">
            <v>162.99</v>
          </cell>
        </row>
        <row r="13681">
          <cell r="C13681" t="str">
            <v>5201 - INTERIOR DOOR UNITS (BOM)</v>
          </cell>
          <cell r="D13681" t="str">
            <v>I1FPDRP20LSN</v>
          </cell>
          <cell r="BA13681">
            <v>162.99</v>
          </cell>
        </row>
        <row r="13682">
          <cell r="C13682" t="str">
            <v>5201 - INTERIOR DOOR UNITS (BOM)</v>
          </cell>
          <cell r="D13682" t="str">
            <v>I1FPDRP22RSN</v>
          </cell>
          <cell r="BA13682">
            <v>166.99</v>
          </cell>
        </row>
        <row r="13683">
          <cell r="C13683" t="str">
            <v>5201 - INTERIOR DOOR UNITS (BOM)</v>
          </cell>
          <cell r="D13683" t="str">
            <v>I1FPDRP22LSN</v>
          </cell>
          <cell r="BA13683">
            <v>166.99</v>
          </cell>
        </row>
        <row r="13684">
          <cell r="C13684" t="str">
            <v>5201 - INTERIOR DOOR UNITS (BOM)</v>
          </cell>
          <cell r="D13684" t="str">
            <v>I1FPDRP24RSN</v>
          </cell>
          <cell r="BA13684">
            <v>165.99</v>
          </cell>
        </row>
        <row r="13685">
          <cell r="C13685" t="str">
            <v>5201 - INTERIOR DOOR UNITS (BOM)</v>
          </cell>
          <cell r="D13685" t="str">
            <v>I1FPDRP24LSN</v>
          </cell>
          <cell r="BA13685">
            <v>165.99</v>
          </cell>
        </row>
        <row r="13686">
          <cell r="C13686" t="str">
            <v>5201 - INTERIOR DOOR UNITS (BOM)</v>
          </cell>
          <cell r="D13686" t="str">
            <v>I1FPDRP26RSN</v>
          </cell>
          <cell r="BA13686">
            <v>170.99</v>
          </cell>
        </row>
        <row r="13687">
          <cell r="C13687" t="str">
            <v>5201 - INTERIOR DOOR UNITS (BOM)</v>
          </cell>
          <cell r="D13687" t="str">
            <v>I1FPDRP26LSN</v>
          </cell>
          <cell r="BA13687">
            <v>170.99</v>
          </cell>
        </row>
        <row r="13688">
          <cell r="C13688" t="str">
            <v>5201 - INTERIOR DOOR UNITS (BOM)</v>
          </cell>
          <cell r="D13688" t="str">
            <v>I1FPDRP28RSN</v>
          </cell>
          <cell r="BA13688">
            <v>173.99</v>
          </cell>
        </row>
        <row r="13689">
          <cell r="C13689" t="str">
            <v>5201 - INTERIOR DOOR UNITS (BOM)</v>
          </cell>
          <cell r="D13689" t="str">
            <v>I1FPDRP28LSN</v>
          </cell>
          <cell r="BA13689">
            <v>173.99</v>
          </cell>
        </row>
        <row r="13690">
          <cell r="C13690" t="str">
            <v>5201 - INTERIOR DOOR UNITS (BOM)</v>
          </cell>
          <cell r="D13690" t="str">
            <v>I1FPDRP210RSN</v>
          </cell>
          <cell r="BA13690">
            <v>176.99</v>
          </cell>
        </row>
        <row r="13691">
          <cell r="C13691" t="str">
            <v>5201 - INTERIOR DOOR UNITS (BOM)</v>
          </cell>
          <cell r="D13691" t="str">
            <v>I1FPDRP210LSN</v>
          </cell>
          <cell r="BA13691">
            <v>176.99</v>
          </cell>
        </row>
        <row r="13692">
          <cell r="C13692" t="str">
            <v>5201 - INTERIOR DOOR UNITS (BOM)</v>
          </cell>
          <cell r="D13692" t="str">
            <v>I1FPDRP30RSN</v>
          </cell>
          <cell r="BA13692">
            <v>178.99</v>
          </cell>
        </row>
        <row r="13693">
          <cell r="C13693" t="str">
            <v>5201 - INTERIOR DOOR UNITS (BOM)</v>
          </cell>
          <cell r="D13693" t="str">
            <v>I1FPDRP30LSN</v>
          </cell>
          <cell r="BA13693">
            <v>178.99</v>
          </cell>
        </row>
        <row r="13694">
          <cell r="C13694" t="str">
            <v>5201 - INTERIOR DOOR UNITS (BOM)</v>
          </cell>
          <cell r="D13694" t="str">
            <v>I1FPDRP48RTSN</v>
          </cell>
          <cell r="BA13694">
            <v>339.99</v>
          </cell>
        </row>
        <row r="13695">
          <cell r="C13695" t="str">
            <v>5201 - INTERIOR DOOR UNITS (BOM)</v>
          </cell>
          <cell r="D13695" t="str">
            <v>I1FPDRP50RTSN</v>
          </cell>
          <cell r="BA13695">
            <v>347.99</v>
          </cell>
        </row>
        <row r="13696">
          <cell r="C13696" t="str">
            <v>5201 - INTERIOR DOOR UNITS (BOM)</v>
          </cell>
          <cell r="D13696" t="str">
            <v>I1FPDRP40BCSN</v>
          </cell>
          <cell r="BA13696">
            <v>306.99</v>
          </cell>
        </row>
        <row r="13697">
          <cell r="C13697" t="str">
            <v>5201 - INTERIOR DOOR UNITS (BOM)</v>
          </cell>
          <cell r="D13697" t="str">
            <v>I1FPDRP50BCSN</v>
          </cell>
          <cell r="BA13697">
            <v>322.99</v>
          </cell>
        </row>
        <row r="13698">
          <cell r="C13698" t="str">
            <v>5201 - INTERIOR DOOR UNITS (BOM)</v>
          </cell>
          <cell r="D13698" t="str">
            <v>I2PSLDRP16ROR</v>
          </cell>
          <cell r="BA13698">
            <v>157.99</v>
          </cell>
        </row>
        <row r="13699">
          <cell r="C13699" t="str">
            <v>5201 - INTERIOR DOOR UNITS (BOM)</v>
          </cell>
          <cell r="D13699" t="str">
            <v>I2PSLDRP16LOR</v>
          </cell>
          <cell r="BA13699">
            <v>157.99</v>
          </cell>
        </row>
        <row r="13700">
          <cell r="C13700" t="str">
            <v>5201 - INTERIOR DOOR UNITS (BOM)</v>
          </cell>
          <cell r="D13700" t="str">
            <v>I2PSLDRP20ROR</v>
          </cell>
          <cell r="BA13700">
            <v>158.99</v>
          </cell>
        </row>
        <row r="13701">
          <cell r="C13701" t="str">
            <v>5201 - INTERIOR DOOR UNITS (BOM)</v>
          </cell>
          <cell r="D13701" t="str">
            <v>I2PSLDRP20LOR</v>
          </cell>
          <cell r="BA13701">
            <v>158.99</v>
          </cell>
        </row>
        <row r="13702">
          <cell r="C13702" t="str">
            <v>5201 - INTERIOR DOOR UNITS (BOM)</v>
          </cell>
          <cell r="D13702" t="str">
            <v>I2PSLDRP24ROR</v>
          </cell>
          <cell r="BA13702">
            <v>163.99</v>
          </cell>
        </row>
        <row r="13703">
          <cell r="C13703" t="str">
            <v>5201 - INTERIOR DOOR UNITS (BOM)</v>
          </cell>
          <cell r="D13703" t="str">
            <v>I2PSLDRP24LOR</v>
          </cell>
          <cell r="BA13703">
            <v>163.99</v>
          </cell>
        </row>
        <row r="13704">
          <cell r="C13704" t="str">
            <v>5201 - INTERIOR DOOR UNITS (BOM)</v>
          </cell>
          <cell r="D13704" t="str">
            <v>I2PSLDRP26ROR</v>
          </cell>
          <cell r="BA13704">
            <v>167.99</v>
          </cell>
        </row>
        <row r="13705">
          <cell r="C13705" t="str">
            <v>5201 - INTERIOR DOOR UNITS (BOM)</v>
          </cell>
          <cell r="D13705" t="str">
            <v>I2PSLDRP26LOR</v>
          </cell>
          <cell r="BA13705">
            <v>168.99</v>
          </cell>
        </row>
        <row r="13706">
          <cell r="C13706" t="str">
            <v>5201 - INTERIOR DOOR UNITS (BOM)</v>
          </cell>
          <cell r="D13706" t="str">
            <v>I2PSLDRP28ROR</v>
          </cell>
          <cell r="BA13706">
            <v>169.99</v>
          </cell>
        </row>
        <row r="13707">
          <cell r="C13707" t="str">
            <v>5201 - INTERIOR DOOR UNITS (BOM)</v>
          </cell>
          <cell r="D13707" t="str">
            <v>I2PSLDRP28LOR</v>
          </cell>
          <cell r="BA13707">
            <v>169.99</v>
          </cell>
        </row>
        <row r="13708">
          <cell r="C13708" t="str">
            <v>5201 - INTERIOR DOOR UNITS (BOM)</v>
          </cell>
          <cell r="D13708" t="str">
            <v>I2PSLDRP210ROR</v>
          </cell>
          <cell r="BA13708">
            <v>169.99</v>
          </cell>
        </row>
        <row r="13709">
          <cell r="C13709" t="str">
            <v>5201 - INTERIOR DOOR UNITS (BOM)</v>
          </cell>
          <cell r="D13709" t="str">
            <v>I2PSLDRP210LOR</v>
          </cell>
          <cell r="BA13709">
            <v>169.99</v>
          </cell>
        </row>
        <row r="13710">
          <cell r="C13710" t="str">
            <v>5201 - INTERIOR DOOR UNITS (BOM)</v>
          </cell>
          <cell r="D13710" t="str">
            <v>I2PSLDRP30ROR</v>
          </cell>
          <cell r="BA13710">
            <v>176.99</v>
          </cell>
        </row>
        <row r="13711">
          <cell r="C13711" t="str">
            <v>5201 - INTERIOR DOOR UNITS (BOM)</v>
          </cell>
          <cell r="D13711" t="str">
            <v>I2PSLDRP30LOR</v>
          </cell>
          <cell r="BA13711">
            <v>176.99</v>
          </cell>
        </row>
        <row r="13712">
          <cell r="C13712" t="str">
            <v>5201 - INTERIOR DOOR UNITS (BOM)</v>
          </cell>
          <cell r="D13712" t="str">
            <v>I2PSLDRP48RTOR</v>
          </cell>
          <cell r="BA13712">
            <v>334.99</v>
          </cell>
        </row>
        <row r="13713">
          <cell r="C13713" t="str">
            <v>5201 - INTERIOR DOOR UNITS (BOM)</v>
          </cell>
          <cell r="D13713" t="str">
            <v>I2PSLDRP48LTOR</v>
          </cell>
          <cell r="BA13713">
            <v>334.99</v>
          </cell>
        </row>
        <row r="13714">
          <cell r="C13714" t="str">
            <v>5201 - INTERIOR DOOR UNITS (BOM)</v>
          </cell>
          <cell r="D13714" t="str">
            <v>I2PSLDRP50RTOR</v>
          </cell>
          <cell r="BA13714">
            <v>342.99</v>
          </cell>
        </row>
        <row r="13715">
          <cell r="C13715" t="str">
            <v>5201 - INTERIOR DOOR UNITS (BOM)</v>
          </cell>
          <cell r="D13715" t="str">
            <v>I2PSLDRP30BCOR</v>
          </cell>
          <cell r="BA13715">
            <v>290.99</v>
          </cell>
        </row>
        <row r="13716">
          <cell r="C13716" t="str">
            <v>5201 - INTERIOR DOOR UNITS (BOM)</v>
          </cell>
          <cell r="D13716" t="str">
            <v>I2PSLDRP40BCOR</v>
          </cell>
          <cell r="BA13716">
            <v>299.99</v>
          </cell>
        </row>
        <row r="13717">
          <cell r="C13717" t="str">
            <v>5201 - INTERIOR DOOR UNITS (BOM)</v>
          </cell>
          <cell r="D13717" t="str">
            <v>I2PSLDRP48BCOR</v>
          </cell>
          <cell r="BA13717">
            <v>309.99</v>
          </cell>
        </row>
        <row r="13718">
          <cell r="C13718" t="str">
            <v>5201 - INTERIOR DOOR UNITS (BOM)</v>
          </cell>
          <cell r="D13718" t="str">
            <v>I2PSLDRP50BCOR</v>
          </cell>
          <cell r="BA13718">
            <v>318.99</v>
          </cell>
        </row>
        <row r="13719">
          <cell r="C13719" t="str">
            <v>5201 - INTERIOR DOOR UNITS (BOM)</v>
          </cell>
          <cell r="D13719" t="str">
            <v>I2PSLDRP60BCOR</v>
          </cell>
          <cell r="BA13719">
            <v>335.99</v>
          </cell>
        </row>
        <row r="13720">
          <cell r="C13720" t="str">
            <v>5201 - INTERIOR DOOR UNITS (BOM)</v>
          </cell>
          <cell r="D13720" t="str">
            <v>I2PSLDRP16RSN</v>
          </cell>
          <cell r="BA13720">
            <v>158.99</v>
          </cell>
        </row>
        <row r="13721">
          <cell r="C13721" t="str">
            <v>5201 - INTERIOR DOOR UNITS (BOM)</v>
          </cell>
          <cell r="D13721" t="str">
            <v>I2PSLDRP16LSN</v>
          </cell>
          <cell r="BA13721">
            <v>158.99</v>
          </cell>
        </row>
        <row r="13722">
          <cell r="C13722" t="str">
            <v>5201 - INTERIOR DOOR UNITS (BOM)</v>
          </cell>
          <cell r="D13722" t="str">
            <v>I2PSLDRP20RSN</v>
          </cell>
          <cell r="BA13722">
            <v>160.99</v>
          </cell>
        </row>
        <row r="13723">
          <cell r="C13723" t="str">
            <v>5201 - INTERIOR DOOR UNITS (BOM)</v>
          </cell>
          <cell r="D13723" t="str">
            <v>I2PSLDRP20LSN</v>
          </cell>
          <cell r="BA13723">
            <v>160.99</v>
          </cell>
        </row>
        <row r="13724">
          <cell r="C13724" t="str">
            <v>5201 - INTERIOR DOOR UNITS (BOM)</v>
          </cell>
          <cell r="D13724" t="str">
            <v>I2PSLDRP24RSN</v>
          </cell>
          <cell r="BA13724">
            <v>165.99</v>
          </cell>
        </row>
        <row r="13725">
          <cell r="C13725" t="str">
            <v>5201 - INTERIOR DOOR UNITS (BOM)</v>
          </cell>
          <cell r="D13725" t="str">
            <v>I2PSLDRP24LSN</v>
          </cell>
          <cell r="BA13725">
            <v>165.99</v>
          </cell>
        </row>
        <row r="13726">
          <cell r="C13726" t="str">
            <v>5201 - INTERIOR DOOR UNITS (BOM)</v>
          </cell>
          <cell r="D13726" t="str">
            <v>I2PSLDRP26RSN</v>
          </cell>
          <cell r="BA13726">
            <v>169.99</v>
          </cell>
        </row>
        <row r="13727">
          <cell r="C13727" t="str">
            <v>5201 - INTERIOR DOOR UNITS (BOM)</v>
          </cell>
          <cell r="D13727" t="str">
            <v>I2PSLDRP26LSN</v>
          </cell>
          <cell r="BA13727">
            <v>169.99</v>
          </cell>
        </row>
        <row r="13728">
          <cell r="C13728" t="str">
            <v>5201 - INTERIOR DOOR UNITS (BOM)</v>
          </cell>
          <cell r="D13728" t="str">
            <v>I2PSLDRP28RSN</v>
          </cell>
          <cell r="BA13728">
            <v>171.99</v>
          </cell>
        </row>
        <row r="13729">
          <cell r="C13729" t="str">
            <v>5201 - INTERIOR DOOR UNITS (BOM)</v>
          </cell>
          <cell r="D13729" t="str">
            <v>I2PSLDRP28LSN</v>
          </cell>
          <cell r="BA13729">
            <v>171.99</v>
          </cell>
        </row>
        <row r="13730">
          <cell r="C13730" t="str">
            <v>5201 - INTERIOR DOOR UNITS (BOM)</v>
          </cell>
          <cell r="D13730" t="str">
            <v>I2PSLDRP210RSN</v>
          </cell>
          <cell r="BA13730">
            <v>171.99</v>
          </cell>
        </row>
        <row r="13731">
          <cell r="C13731" t="str">
            <v>5201 - INTERIOR DOOR UNITS (BOM)</v>
          </cell>
          <cell r="D13731" t="str">
            <v>I2PSLDRP210LSN</v>
          </cell>
          <cell r="BA13731">
            <v>171.99</v>
          </cell>
        </row>
        <row r="13732">
          <cell r="C13732" t="str">
            <v>5201 - INTERIOR DOOR UNITS (BOM)</v>
          </cell>
          <cell r="D13732" t="str">
            <v>I2PSLDRP30RSN</v>
          </cell>
          <cell r="BA13732">
            <v>177.99</v>
          </cell>
        </row>
        <row r="13733">
          <cell r="C13733" t="str">
            <v>5201 - INTERIOR DOOR UNITS (BOM)</v>
          </cell>
          <cell r="D13733" t="str">
            <v>I2PSLDRP30LSN</v>
          </cell>
          <cell r="BA13733">
            <v>177.99</v>
          </cell>
        </row>
        <row r="13734">
          <cell r="C13734" t="str">
            <v>5201 - INTERIOR DOOR UNITS (BOM)</v>
          </cell>
          <cell r="D13734" t="str">
            <v>I2PSLDRP50RTSN</v>
          </cell>
          <cell r="BA13734">
            <v>346.99</v>
          </cell>
        </row>
        <row r="13735">
          <cell r="C13735" t="str">
            <v>5201 - INTERIOR DOOR UNITS (BOM)</v>
          </cell>
          <cell r="D13735" t="str">
            <v>I2PSLDRP50LTSN</v>
          </cell>
          <cell r="BA13735">
            <v>346.99</v>
          </cell>
        </row>
        <row r="13736">
          <cell r="C13736" t="str">
            <v>5201 - INTERIOR DOOR UNITS (BOM)</v>
          </cell>
          <cell r="D13736" t="str">
            <v>I2PSLDRP60LTSN</v>
          </cell>
          <cell r="BA13736">
            <v>363.99</v>
          </cell>
        </row>
        <row r="13737">
          <cell r="C13737" t="str">
            <v>5201 - INTERIOR DOOR UNITS (BOM)</v>
          </cell>
          <cell r="D13737" t="str">
            <v>I2PSLDRP48BCSN</v>
          </cell>
          <cell r="BA13737">
            <v>312.99</v>
          </cell>
        </row>
        <row r="13738">
          <cell r="C13738" t="str">
            <v>5201 - INTERIOR DOOR UNITS (BOM)</v>
          </cell>
          <cell r="D13738" t="str">
            <v>I2PSLDRP50BCSN</v>
          </cell>
          <cell r="BA13738">
            <v>321.99</v>
          </cell>
        </row>
        <row r="13739">
          <cell r="C13739" t="str">
            <v>5201 - INTERIOR DOOR UNITS (BOM)</v>
          </cell>
          <cell r="D13739" t="str">
            <v>I2PSLDRP60BCSN</v>
          </cell>
          <cell r="BA13739">
            <v>337.99</v>
          </cell>
        </row>
        <row r="13740">
          <cell r="C13740" t="str">
            <v>5201 - INTERIOR DOOR UNITS (BOM)</v>
          </cell>
          <cell r="D13740" t="str">
            <v>I3PWLDRP24RSN</v>
          </cell>
          <cell r="BA13740">
            <v>164.99</v>
          </cell>
        </row>
        <row r="13741">
          <cell r="C13741" t="str">
            <v>5201 - INTERIOR DOOR UNITS (BOM)</v>
          </cell>
          <cell r="D13741" t="str">
            <v>I3PWLDRP24LSN</v>
          </cell>
          <cell r="BA13741">
            <v>164.99</v>
          </cell>
        </row>
        <row r="13742">
          <cell r="C13742" t="str">
            <v>5201 - INTERIOR DOOR UNITS (BOM)</v>
          </cell>
          <cell r="D13742" t="str">
            <v>I3PWLDRP26RSN</v>
          </cell>
          <cell r="BA13742">
            <v>168.99</v>
          </cell>
        </row>
        <row r="13743">
          <cell r="C13743" t="str">
            <v>5201 - INTERIOR DOOR UNITS (BOM)</v>
          </cell>
          <cell r="D13743" t="str">
            <v>I3PWLDRP26LSN</v>
          </cell>
          <cell r="BA13743">
            <v>168.99</v>
          </cell>
        </row>
        <row r="13744">
          <cell r="C13744" t="str">
            <v>5201 - INTERIOR DOOR UNITS (BOM)</v>
          </cell>
          <cell r="D13744" t="str">
            <v>I3PWLDRP28RSN</v>
          </cell>
          <cell r="BA13744">
            <v>173.99</v>
          </cell>
        </row>
        <row r="13745">
          <cell r="C13745" t="str">
            <v>5201 - INTERIOR DOOR UNITS (BOM)</v>
          </cell>
          <cell r="D13745" t="str">
            <v>I3PWLDRP28LSN</v>
          </cell>
          <cell r="BA13745">
            <v>173.99</v>
          </cell>
        </row>
        <row r="13746">
          <cell r="C13746" t="str">
            <v>5201 - INTERIOR DOOR UNITS (BOM)</v>
          </cell>
          <cell r="D13746" t="str">
            <v>I3PWLDRP30RSN</v>
          </cell>
          <cell r="BA13746">
            <v>176.99</v>
          </cell>
        </row>
        <row r="13747">
          <cell r="C13747" t="str">
            <v>5201 - INTERIOR DOOR UNITS (BOM)</v>
          </cell>
          <cell r="D13747" t="str">
            <v>I3PWLDRP30LSN</v>
          </cell>
          <cell r="BA13747">
            <v>176.99</v>
          </cell>
        </row>
        <row r="13748">
          <cell r="C13748" t="str">
            <v>5201 - INTERIOR DOOR UNITS (BOM)</v>
          </cell>
          <cell r="D13748" t="str">
            <v>I3PWLDRP50BCSN</v>
          </cell>
          <cell r="BA13748">
            <v>319.99</v>
          </cell>
        </row>
        <row r="13749">
          <cell r="C13749" t="str">
            <v>5201 - INTERIOR DOOR UNITS (BOM)</v>
          </cell>
          <cell r="D13749" t="str">
            <v>I3PWLDRP60BCSN</v>
          </cell>
          <cell r="BA13749">
            <v>336.99</v>
          </cell>
        </row>
        <row r="13750">
          <cell r="C13750" t="str">
            <v>5201 - INTERIOR DOOR UNITS (BOM)</v>
          </cell>
          <cell r="D13750" t="str">
            <v>I3PWLDRP24ROR</v>
          </cell>
          <cell r="BA13750">
            <v>163.99</v>
          </cell>
        </row>
        <row r="13751">
          <cell r="C13751" t="str">
            <v>5201 - INTERIOR DOOR UNITS (BOM)</v>
          </cell>
          <cell r="D13751" t="str">
            <v>I3PWLDRP24LOR</v>
          </cell>
          <cell r="BA13751">
            <v>163.99</v>
          </cell>
        </row>
        <row r="13752">
          <cell r="C13752" t="str">
            <v>5201 - INTERIOR DOOR UNITS (BOM)</v>
          </cell>
          <cell r="D13752" t="str">
            <v>I3PWLDRP26ROR</v>
          </cell>
          <cell r="BA13752">
            <v>167.99</v>
          </cell>
        </row>
        <row r="13753">
          <cell r="C13753" t="str">
            <v>5201 - INTERIOR DOOR UNITS (BOM)</v>
          </cell>
          <cell r="D13753" t="str">
            <v>I3PWLDRP26LOR</v>
          </cell>
          <cell r="BA13753">
            <v>167.99</v>
          </cell>
        </row>
        <row r="13754">
          <cell r="C13754" t="str">
            <v>5201 - INTERIOR DOOR UNITS (BOM)</v>
          </cell>
          <cell r="D13754" t="str">
            <v>I3PWLDRP28ROR</v>
          </cell>
          <cell r="BA13754">
            <v>172.99</v>
          </cell>
        </row>
        <row r="13755">
          <cell r="C13755" t="str">
            <v>5201 - INTERIOR DOOR UNITS (BOM)</v>
          </cell>
          <cell r="D13755" t="str">
            <v>I3PWLDRP28LOR</v>
          </cell>
          <cell r="BA13755">
            <v>172.99</v>
          </cell>
        </row>
        <row r="13756">
          <cell r="C13756" t="str">
            <v>5201 - INTERIOR DOOR UNITS (BOM)</v>
          </cell>
          <cell r="D13756" t="str">
            <v>I3PWLDRP30ROR</v>
          </cell>
          <cell r="BA13756">
            <v>175.99</v>
          </cell>
        </row>
        <row r="13757">
          <cell r="C13757" t="str">
            <v>5201 - INTERIOR DOOR UNITS (BOM)</v>
          </cell>
          <cell r="D13757" t="str">
            <v>I3PWLDRP30LOR</v>
          </cell>
          <cell r="BA13757">
            <v>175.99</v>
          </cell>
        </row>
        <row r="13758">
          <cell r="C13758" t="str">
            <v>5201 - INTERIOR DOOR UNITS (BOM)</v>
          </cell>
          <cell r="D13758" t="str">
            <v>I3PWLDRP50BCOR</v>
          </cell>
          <cell r="BA13758">
            <v>316.99</v>
          </cell>
        </row>
        <row r="13759">
          <cell r="C13759" t="str">
            <v>5201 - INTERIOR DOOR UNITS (BOM)</v>
          </cell>
          <cell r="D13759" t="str">
            <v>I5HPDRP16RSN</v>
          </cell>
          <cell r="BA13759">
            <v>140.99</v>
          </cell>
        </row>
        <row r="13760">
          <cell r="C13760" t="str">
            <v>5201 - INTERIOR DOOR UNITS (BOM)</v>
          </cell>
          <cell r="D13760" t="str">
            <v>I5HPDRP16LSN</v>
          </cell>
          <cell r="BA13760">
            <v>140.99</v>
          </cell>
        </row>
        <row r="13761">
          <cell r="C13761" t="str">
            <v>5201 - INTERIOR DOOR UNITS (BOM)</v>
          </cell>
          <cell r="D13761" t="str">
            <v>I5HPDRP20RSN</v>
          </cell>
          <cell r="BA13761">
            <v>141.99</v>
          </cell>
        </row>
        <row r="13762">
          <cell r="C13762" t="str">
            <v>5201 - INTERIOR DOOR UNITS (BOM)</v>
          </cell>
          <cell r="D13762" t="str">
            <v>I5HPDRP20LSN</v>
          </cell>
          <cell r="BA13762">
            <v>141.99</v>
          </cell>
        </row>
        <row r="13763">
          <cell r="C13763" t="str">
            <v>5201 - INTERIOR DOOR UNITS (BOM)</v>
          </cell>
          <cell r="D13763" t="str">
            <v>I5HPDRP24RSN</v>
          </cell>
          <cell r="BA13763">
            <v>145.99</v>
          </cell>
        </row>
        <row r="13764">
          <cell r="C13764" t="str">
            <v>5201 - INTERIOR DOOR UNITS (BOM)</v>
          </cell>
          <cell r="D13764" t="str">
            <v>I5HPDRP24LSN</v>
          </cell>
          <cell r="BA13764">
            <v>145.99</v>
          </cell>
        </row>
        <row r="13765">
          <cell r="C13765" t="str">
            <v>5201 - INTERIOR DOOR UNITS (BOM)</v>
          </cell>
          <cell r="D13765" t="str">
            <v>I5HPDRP26RSN</v>
          </cell>
          <cell r="BA13765">
            <v>147.99</v>
          </cell>
        </row>
        <row r="13766">
          <cell r="C13766" t="str">
            <v>5201 - INTERIOR DOOR UNITS (BOM)</v>
          </cell>
          <cell r="D13766" t="str">
            <v>I5HPDRP26LSN</v>
          </cell>
          <cell r="BA13766">
            <v>147.99</v>
          </cell>
        </row>
        <row r="13767">
          <cell r="C13767" t="str">
            <v>5201 - INTERIOR DOOR UNITS (BOM)</v>
          </cell>
          <cell r="D13767" t="str">
            <v>I5HPDRP28RSN</v>
          </cell>
          <cell r="BA13767">
            <v>150.99</v>
          </cell>
        </row>
        <row r="13768">
          <cell r="C13768" t="str">
            <v>5201 - INTERIOR DOOR UNITS (BOM)</v>
          </cell>
          <cell r="D13768" t="str">
            <v>I5HPDRP28LSN</v>
          </cell>
          <cell r="BA13768">
            <v>150.99</v>
          </cell>
        </row>
        <row r="13769">
          <cell r="C13769" t="str">
            <v>5201 - INTERIOR DOOR UNITS (BOM)</v>
          </cell>
          <cell r="D13769" t="str">
            <v>I5HPDRP30RSN</v>
          </cell>
          <cell r="BA13769">
            <v>154.99</v>
          </cell>
        </row>
        <row r="13770">
          <cell r="C13770" t="str">
            <v>5201 - INTERIOR DOOR UNITS (BOM)</v>
          </cell>
          <cell r="D13770" t="str">
            <v>I5HPDRP30LSN</v>
          </cell>
          <cell r="BA13770">
            <v>154.99</v>
          </cell>
        </row>
        <row r="13771">
          <cell r="C13771" t="str">
            <v>5201 - INTERIOR DOOR UNITS (BOM)</v>
          </cell>
          <cell r="D13771" t="str">
            <v>I5HPDRP48RTSN</v>
          </cell>
          <cell r="BA13771">
            <v>298.99</v>
          </cell>
        </row>
        <row r="13772">
          <cell r="C13772" t="str">
            <v>5201 - INTERIOR DOOR UNITS (BOM)</v>
          </cell>
          <cell r="D13772" t="str">
            <v>I5HPDRP50RTSN</v>
          </cell>
          <cell r="BA13772">
            <v>302.99</v>
          </cell>
        </row>
        <row r="13773">
          <cell r="C13773" t="str">
            <v>5201 - INTERIOR DOOR UNITS (BOM)</v>
          </cell>
          <cell r="D13773" t="str">
            <v>I5HPDRP16ROR</v>
          </cell>
          <cell r="BA13773">
            <v>138.99</v>
          </cell>
        </row>
        <row r="13774">
          <cell r="C13774" t="str">
            <v>5201 - INTERIOR DOOR UNITS (BOM)</v>
          </cell>
          <cell r="D13774" t="str">
            <v>I5HPDRP16LOR</v>
          </cell>
          <cell r="BA13774">
            <v>137.99</v>
          </cell>
        </row>
        <row r="13775">
          <cell r="C13775" t="str">
            <v>5201 - INTERIOR DOOR UNITS (BOM)</v>
          </cell>
          <cell r="D13775" t="str">
            <v>I5HPDRP20ROR</v>
          </cell>
          <cell r="BA13775">
            <v>139.99</v>
          </cell>
        </row>
        <row r="13776">
          <cell r="C13776" t="str">
            <v>5201 - INTERIOR DOOR UNITS (BOM)</v>
          </cell>
          <cell r="D13776" t="str">
            <v>I5HPDRP20LOR</v>
          </cell>
          <cell r="BA13776">
            <v>140.99</v>
          </cell>
        </row>
        <row r="13777">
          <cell r="C13777" t="str">
            <v>5201 - INTERIOR DOOR UNITS (BOM)</v>
          </cell>
          <cell r="D13777" t="str">
            <v>I5HPDRP24ROR</v>
          </cell>
          <cell r="BA13777">
            <v>143.99</v>
          </cell>
        </row>
        <row r="13778">
          <cell r="C13778" t="str">
            <v>5201 - INTERIOR DOOR UNITS (BOM)</v>
          </cell>
          <cell r="D13778" t="str">
            <v>I5HPDRP24LOR</v>
          </cell>
          <cell r="BA13778">
            <v>143.99</v>
          </cell>
        </row>
        <row r="13779">
          <cell r="C13779" t="str">
            <v>5201 - INTERIOR DOOR UNITS (BOM)</v>
          </cell>
          <cell r="D13779" t="str">
            <v>I5HPDRP26ROR</v>
          </cell>
          <cell r="BA13779">
            <v>145.99</v>
          </cell>
        </row>
        <row r="13780">
          <cell r="C13780" t="str">
            <v>5201 - INTERIOR DOOR UNITS (BOM)</v>
          </cell>
          <cell r="D13780" t="str">
            <v>I5HPDRP26LOR</v>
          </cell>
          <cell r="BA13780">
            <v>145.99</v>
          </cell>
        </row>
        <row r="13781">
          <cell r="C13781" t="str">
            <v>5201 - INTERIOR DOOR UNITS (BOM)</v>
          </cell>
          <cell r="D13781" t="str">
            <v>I5HPDRP28ROR</v>
          </cell>
          <cell r="BA13781">
            <v>148.99</v>
          </cell>
        </row>
        <row r="13782">
          <cell r="C13782" t="str">
            <v>5201 - INTERIOR DOOR UNITS (BOM)</v>
          </cell>
          <cell r="D13782" t="str">
            <v>I5HPDRP28LOR</v>
          </cell>
          <cell r="BA13782">
            <v>148.99</v>
          </cell>
        </row>
        <row r="13783">
          <cell r="C13783" t="str">
            <v>5201 - INTERIOR DOOR UNITS (BOM)</v>
          </cell>
          <cell r="D13783" t="str">
            <v>I5HPDRP30ROR</v>
          </cell>
          <cell r="BA13783">
            <v>153.99</v>
          </cell>
        </row>
        <row r="13784">
          <cell r="C13784" t="str">
            <v>5201 - INTERIOR DOOR UNITS (BOM)</v>
          </cell>
          <cell r="D13784" t="str">
            <v>I5HPDRP30LOR</v>
          </cell>
          <cell r="BA13784">
            <v>151.99</v>
          </cell>
        </row>
        <row r="13785">
          <cell r="C13785" t="str">
            <v>5201 - INTERIOR DOOR UNITS (BOM)</v>
          </cell>
          <cell r="D13785" t="str">
            <v>I5HPDRP48RTOR</v>
          </cell>
          <cell r="BA13785">
            <v>294.99</v>
          </cell>
        </row>
        <row r="13786">
          <cell r="C13786" t="str">
            <v>5201 - INTERIOR DOOR UNITS (BOM)</v>
          </cell>
          <cell r="D13786" t="str">
            <v>I5HPDRP48LTOR</v>
          </cell>
          <cell r="BA13786">
            <v>294.99</v>
          </cell>
        </row>
        <row r="13787">
          <cell r="C13787" t="str">
            <v>5201 - INTERIOR DOOR UNITS (BOM)</v>
          </cell>
          <cell r="D13787" t="str">
            <v>I5HPDRP50RTOR</v>
          </cell>
          <cell r="BA13787">
            <v>298.99</v>
          </cell>
        </row>
        <row r="13788">
          <cell r="C13788" t="str">
            <v>5201 - INTERIOR DOOR UNITS (BOM)</v>
          </cell>
          <cell r="D13788" t="str">
            <v>I5HPDRP50LTOR</v>
          </cell>
          <cell r="BA13788">
            <v>298.99</v>
          </cell>
        </row>
        <row r="13789">
          <cell r="C13789" t="str">
            <v>5201 - INTERIOR DOOR UNITS (BOM)</v>
          </cell>
          <cell r="D13789" t="str">
            <v>I5HPDRP30BCOR</v>
          </cell>
          <cell r="BA13789">
            <v>253.99</v>
          </cell>
        </row>
        <row r="13790">
          <cell r="C13790" t="str">
            <v>5201 - INTERIOR DOOR UNITS (BOM)</v>
          </cell>
          <cell r="D13790" t="str">
            <v>I5HPDRP40BCOR</v>
          </cell>
          <cell r="BA13790">
            <v>262.99</v>
          </cell>
        </row>
        <row r="13791">
          <cell r="C13791" t="str">
            <v>5201 - INTERIOR DOOR UNITS (BOM)</v>
          </cell>
          <cell r="D13791" t="str">
            <v>I5HPDRP48BCOR</v>
          </cell>
          <cell r="BA13791">
            <v>270.99</v>
          </cell>
        </row>
        <row r="13792">
          <cell r="C13792" t="str">
            <v>5201 - INTERIOR DOOR UNITS (BOM)</v>
          </cell>
          <cell r="D13792" t="str">
            <v>I3PESDRP20RSN</v>
          </cell>
          <cell r="BA13792">
            <v>164.99</v>
          </cell>
        </row>
        <row r="13793">
          <cell r="C13793" t="str">
            <v>5201 - INTERIOR DOOR UNITS (BOM)</v>
          </cell>
          <cell r="D13793" t="str">
            <v>I3PESDRP20LSN</v>
          </cell>
          <cell r="BA13793">
            <v>164.99</v>
          </cell>
        </row>
        <row r="13794">
          <cell r="C13794" t="str">
            <v>5201 - INTERIOR DOOR UNITS (BOM)</v>
          </cell>
          <cell r="D13794" t="str">
            <v>I3PESDRP24RSN</v>
          </cell>
          <cell r="BA13794">
            <v>166.99</v>
          </cell>
        </row>
        <row r="13795">
          <cell r="C13795" t="str">
            <v>5201 - INTERIOR DOOR UNITS (BOM)</v>
          </cell>
          <cell r="D13795" t="str">
            <v>I3PESDRP24LSN</v>
          </cell>
          <cell r="BA13795">
            <v>166.99</v>
          </cell>
        </row>
        <row r="13796">
          <cell r="C13796" t="str">
            <v>5201 - INTERIOR DOOR UNITS (BOM)</v>
          </cell>
          <cell r="D13796" t="str">
            <v>I3PESDRP26RSN</v>
          </cell>
          <cell r="BA13796">
            <v>170.99</v>
          </cell>
        </row>
        <row r="13797">
          <cell r="C13797" t="str">
            <v>5201 - INTERIOR DOOR UNITS (BOM)</v>
          </cell>
          <cell r="D13797" t="str">
            <v>I3PESDRP26LSN</v>
          </cell>
          <cell r="BA13797">
            <v>170.99</v>
          </cell>
        </row>
        <row r="13798">
          <cell r="C13798" t="str">
            <v>5201 - INTERIOR DOOR UNITS (BOM)</v>
          </cell>
          <cell r="D13798" t="str">
            <v>I3PESDRP28RSN</v>
          </cell>
          <cell r="BA13798">
            <v>174.99</v>
          </cell>
        </row>
        <row r="13799">
          <cell r="C13799" t="str">
            <v>5201 - INTERIOR DOOR UNITS (BOM)</v>
          </cell>
          <cell r="D13799" t="str">
            <v>I3PESDRP28LSN</v>
          </cell>
          <cell r="BA13799">
            <v>174.99</v>
          </cell>
        </row>
        <row r="13800">
          <cell r="C13800" t="str">
            <v>5201 - INTERIOR DOOR UNITS (BOM)</v>
          </cell>
          <cell r="D13800" t="str">
            <v>I3PESDRP210RSN</v>
          </cell>
          <cell r="BA13800">
            <v>171.99</v>
          </cell>
        </row>
        <row r="13801">
          <cell r="C13801" t="str">
            <v>5201 - INTERIOR DOOR UNITS (BOM)</v>
          </cell>
          <cell r="D13801" t="str">
            <v>I3PESDRP210LSN</v>
          </cell>
          <cell r="BA13801">
            <v>171.99</v>
          </cell>
        </row>
        <row r="13802">
          <cell r="C13802" t="str">
            <v>5201 - INTERIOR DOOR UNITS (BOM)</v>
          </cell>
          <cell r="D13802" t="str">
            <v>I3PESDRP30RSN</v>
          </cell>
          <cell r="BA13802">
            <v>177.99</v>
          </cell>
        </row>
        <row r="13803">
          <cell r="C13803" t="str">
            <v>5201 - INTERIOR DOOR UNITS (BOM)</v>
          </cell>
          <cell r="D13803" t="str">
            <v>I3PESDRP30LSN</v>
          </cell>
          <cell r="BA13803">
            <v>177.99</v>
          </cell>
        </row>
        <row r="13804">
          <cell r="C13804" t="str">
            <v>5201 - INTERIOR DOOR UNITS (BOM)</v>
          </cell>
          <cell r="D13804" t="str">
            <v>I3PESDRP48BCSN</v>
          </cell>
          <cell r="BA13804">
            <v>314.99</v>
          </cell>
        </row>
        <row r="13805">
          <cell r="C13805" t="str">
            <v>5201 - INTERIOR DOOR UNITS (BOM)</v>
          </cell>
          <cell r="D13805" t="str">
            <v>I3PESDRP20ROR</v>
          </cell>
          <cell r="BA13805">
            <v>163.99</v>
          </cell>
        </row>
        <row r="13806">
          <cell r="C13806" t="str">
            <v>5201 - INTERIOR DOOR UNITS (BOM)</v>
          </cell>
          <cell r="D13806" t="str">
            <v>I3PESDRP20LOR</v>
          </cell>
          <cell r="BA13806">
            <v>163.99</v>
          </cell>
        </row>
        <row r="13807">
          <cell r="C13807" t="str">
            <v>5201 - INTERIOR DOOR UNITS (BOM)</v>
          </cell>
          <cell r="D13807" t="str">
            <v>I3PESDRP24ROR</v>
          </cell>
          <cell r="BA13807">
            <v>164.99</v>
          </cell>
        </row>
        <row r="13808">
          <cell r="C13808" t="str">
            <v>5201 - INTERIOR DOOR UNITS (BOM)</v>
          </cell>
          <cell r="D13808" t="str">
            <v>I3PESDRP24LOR</v>
          </cell>
          <cell r="BA13808">
            <v>164.99</v>
          </cell>
        </row>
        <row r="13809">
          <cell r="C13809" t="str">
            <v>5201 - INTERIOR DOOR UNITS (BOM)</v>
          </cell>
          <cell r="D13809" t="str">
            <v>I3PESDRP26ROR</v>
          </cell>
          <cell r="BA13809">
            <v>168.99</v>
          </cell>
        </row>
        <row r="13810">
          <cell r="C13810" t="str">
            <v>5201 - INTERIOR DOOR UNITS (BOM)</v>
          </cell>
          <cell r="D13810" t="str">
            <v>I3PESDRP26LOR</v>
          </cell>
          <cell r="BA13810">
            <v>168.99</v>
          </cell>
        </row>
        <row r="13811">
          <cell r="C13811" t="str">
            <v>5201 - INTERIOR DOOR UNITS (BOM)</v>
          </cell>
          <cell r="D13811" t="str">
            <v>I3PESDRP28ROR</v>
          </cell>
          <cell r="BA13811">
            <v>173.99</v>
          </cell>
        </row>
        <row r="13812">
          <cell r="C13812" t="str">
            <v>5201 - INTERIOR DOOR UNITS (BOM)</v>
          </cell>
          <cell r="D13812" t="str">
            <v>I3PESDRP28LOR</v>
          </cell>
          <cell r="BA13812">
            <v>173.99</v>
          </cell>
        </row>
        <row r="13813">
          <cell r="C13813" t="str">
            <v>5201 - INTERIOR DOOR UNITS (BOM)</v>
          </cell>
          <cell r="D13813" t="str">
            <v>I3PESDRP210ROR</v>
          </cell>
          <cell r="BA13813">
            <v>169.99</v>
          </cell>
        </row>
        <row r="13814">
          <cell r="C13814" t="str">
            <v>5201 - INTERIOR DOOR UNITS (BOM)</v>
          </cell>
          <cell r="D13814" t="str">
            <v>I3PESDRP210LOR</v>
          </cell>
          <cell r="BA13814">
            <v>169.99</v>
          </cell>
        </row>
        <row r="13815">
          <cell r="C13815" t="str">
            <v>5201 - INTERIOR DOOR UNITS (BOM)</v>
          </cell>
          <cell r="D13815" t="str">
            <v>I3PESDRP30ROR</v>
          </cell>
          <cell r="BA13815">
            <v>175.99</v>
          </cell>
        </row>
        <row r="13816">
          <cell r="C13816" t="str">
            <v>5201 - INTERIOR DOOR UNITS (BOM)</v>
          </cell>
          <cell r="D13816" t="str">
            <v>I3PESDRP30LOR</v>
          </cell>
          <cell r="BA13816">
            <v>175.99</v>
          </cell>
        </row>
        <row r="13817">
          <cell r="C13817" t="str">
            <v>5201 - INTERIOR DOOR UNITS (BOM)</v>
          </cell>
          <cell r="D13817" t="str">
            <v>I3PESDRP48RTOR</v>
          </cell>
          <cell r="BA13817">
            <v>336.99</v>
          </cell>
        </row>
        <row r="13818">
          <cell r="C13818" t="str">
            <v>5201 - INTERIOR DOOR UNITS (BOM)</v>
          </cell>
          <cell r="D13818" t="str">
            <v>I3PESDRP48LTOR</v>
          </cell>
          <cell r="BA13818">
            <v>336.99</v>
          </cell>
        </row>
        <row r="13819">
          <cell r="C13819" t="str">
            <v>5201 - INTERIOR DOOR UNITS (BOM)</v>
          </cell>
          <cell r="D13819" t="str">
            <v>I3PESDRP50RTOR</v>
          </cell>
          <cell r="BA13819">
            <v>344.99</v>
          </cell>
        </row>
        <row r="13820">
          <cell r="C13820" t="str">
            <v>5201 - INTERIOR DOOR UNITS (BOM)</v>
          </cell>
          <cell r="D13820" t="str">
            <v>I3PESDRP50LTOR</v>
          </cell>
          <cell r="BA13820">
            <v>344.99</v>
          </cell>
        </row>
        <row r="13821">
          <cell r="C13821" t="str">
            <v>5201 - INTERIOR DOOR UNITS (BOM)</v>
          </cell>
          <cell r="D13821" t="str">
            <v>I3PESDRP60RTOR</v>
          </cell>
          <cell r="BA13821">
            <v>358.99</v>
          </cell>
        </row>
        <row r="13822">
          <cell r="C13822" t="str">
            <v>5201 - INTERIOR DOOR UNITS (BOM)</v>
          </cell>
          <cell r="D13822" t="str">
            <v>I3PESDRP40BCOR</v>
          </cell>
          <cell r="BA13822">
            <v>308.99</v>
          </cell>
        </row>
        <row r="13823">
          <cell r="C13823" t="str">
            <v>5201 - INTERIOR DOOR UNITS (BOM)</v>
          </cell>
          <cell r="D13823" t="str">
            <v>I3PESDRP48BCOR</v>
          </cell>
          <cell r="BA13823">
            <v>312.99</v>
          </cell>
        </row>
        <row r="13824">
          <cell r="C13824" t="str">
            <v>5201 - INTERIOR DOOR UNITS (BOM)</v>
          </cell>
          <cell r="D13824" t="str">
            <v>I3PESDRP50BCOR</v>
          </cell>
          <cell r="BA13824">
            <v>319.99</v>
          </cell>
        </row>
        <row r="13825">
          <cell r="C13825" t="str">
            <v>5201 - INTERIOR DOOR UNITS (BOM)</v>
          </cell>
          <cell r="D13825" t="str">
            <v>I3PESDRP60BCOR</v>
          </cell>
          <cell r="BA13825">
            <v>333.99</v>
          </cell>
        </row>
        <row r="13826">
          <cell r="C13826" t="str">
            <v>5201 - INTERIOR DOOR UNITS (BOM)</v>
          </cell>
          <cell r="D13826" t="str">
            <v>IFDRP30ROR</v>
          </cell>
          <cell r="BA13826">
            <v>83.49</v>
          </cell>
        </row>
        <row r="13827">
          <cell r="C13827" t="str">
            <v>5201 - INTERIOR DOOR UNITS (BOM)</v>
          </cell>
          <cell r="D13827" t="str">
            <v>IFDRP30LOR</v>
          </cell>
          <cell r="BA13827">
            <v>83.49</v>
          </cell>
        </row>
        <row r="13828">
          <cell r="C13828" t="str">
            <v>5201 - INTERIOR DOOR UNITS (BOM)</v>
          </cell>
          <cell r="D13828" t="str">
            <v>IFDRP60RTOR</v>
          </cell>
          <cell r="BA13828">
            <v>171.99</v>
          </cell>
        </row>
        <row r="13829">
          <cell r="C13829" t="str">
            <v>5201 - INTERIOR DOOR UNITS (BOM)</v>
          </cell>
          <cell r="D13829" t="str">
            <v>IFDRP60LTOR</v>
          </cell>
          <cell r="BA13829">
            <v>173.99</v>
          </cell>
        </row>
        <row r="13830">
          <cell r="C13830" t="str">
            <v>5201 - INTERIOR DOOR UNITS (BOM)</v>
          </cell>
          <cell r="D13830" t="str">
            <v>IFDRP60BCOR</v>
          </cell>
          <cell r="BA13830">
            <v>148.99</v>
          </cell>
        </row>
        <row r="13831">
          <cell r="C13831" t="str">
            <v>5201 - INTERIOR DOOR UNITS (BOM)</v>
          </cell>
          <cell r="D13831" t="str">
            <v>IFDRP3080ROR</v>
          </cell>
          <cell r="BA13831">
            <v>113.99</v>
          </cell>
        </row>
        <row r="13832">
          <cell r="C13832" t="str">
            <v>5201 - INTERIOR DOOR UNITS (BOM)</v>
          </cell>
          <cell r="D13832" t="str">
            <v>IFDRP3080LOR</v>
          </cell>
          <cell r="BA13832">
            <v>113.99</v>
          </cell>
        </row>
        <row r="13833">
          <cell r="C13833" t="str">
            <v>5201 - INTERIOR DOOR UNITS (BOM)</v>
          </cell>
          <cell r="D13833" t="str">
            <v>IFDRP6080RTOR</v>
          </cell>
          <cell r="BA13833">
            <v>258.99</v>
          </cell>
        </row>
        <row r="13834">
          <cell r="C13834" t="str">
            <v>5201 - INTERIOR DOOR UNITS (BOM)</v>
          </cell>
          <cell r="D13834" t="str">
            <v>IFDRP6080LTOR</v>
          </cell>
          <cell r="BA13834">
            <v>258.99</v>
          </cell>
        </row>
        <row r="13835">
          <cell r="C13835" t="str">
            <v>5201 - INTERIOR DOOR UNITS (BOM)</v>
          </cell>
          <cell r="D13835" t="str">
            <v>IFDRP6080BCOR</v>
          </cell>
          <cell r="BA13835">
            <v>206.99</v>
          </cell>
        </row>
        <row r="13836">
          <cell r="C13836" t="str">
            <v>5201 - INTERIOR DOOR UNITS (BOM)</v>
          </cell>
          <cell r="D13836" t="str">
            <v>IFDRP47830ROR</v>
          </cell>
          <cell r="BA13836">
            <v>79.989999999999995</v>
          </cell>
        </row>
        <row r="13837">
          <cell r="C13837" t="str">
            <v>5201 - INTERIOR DOOR UNITS (BOM)</v>
          </cell>
          <cell r="D13837" t="str">
            <v>IFDRP47830LOR</v>
          </cell>
          <cell r="BA13837">
            <v>79.989999999999995</v>
          </cell>
        </row>
        <row r="13838">
          <cell r="C13838" t="str">
            <v>5201 - INTERIOR DOOR UNITS (BOM)</v>
          </cell>
          <cell r="D13838" t="str">
            <v>IFDRP47860BCOR</v>
          </cell>
          <cell r="BA13838">
            <v>144.99</v>
          </cell>
        </row>
        <row r="13839">
          <cell r="C13839" t="str">
            <v>5201 - INTERIOR DOOR UNITS (BOM)</v>
          </cell>
          <cell r="D13839" t="str">
            <v>IFDRP4783080ROR</v>
          </cell>
          <cell r="BA13839">
            <v>124.99</v>
          </cell>
        </row>
        <row r="13840">
          <cell r="C13840" t="str">
            <v>5201 - INTERIOR DOOR UNITS (BOM)</v>
          </cell>
          <cell r="D13840" t="str">
            <v>IFDRP4783080LOR</v>
          </cell>
          <cell r="BA13840">
            <v>124.99</v>
          </cell>
        </row>
        <row r="13841">
          <cell r="C13841" t="str">
            <v>5201 - INTERIOR DOOR UNITS (BOM)</v>
          </cell>
          <cell r="D13841" t="str">
            <v>IFDRP4786080RTOR</v>
          </cell>
          <cell r="BA13841">
            <v>272.99</v>
          </cell>
        </row>
        <row r="13842">
          <cell r="C13842" t="str">
            <v>5201 - INTERIOR DOOR UNITS (BOM)</v>
          </cell>
          <cell r="D13842" t="str">
            <v>IFDRP4786080BCOR</v>
          </cell>
          <cell r="BA13842">
            <v>220.99</v>
          </cell>
        </row>
        <row r="13843">
          <cell r="C13843" t="str">
            <v>5201 - INTERIOR DOOR UNITS (BOM)</v>
          </cell>
          <cell r="D13843" t="str">
            <v>IFDRP47830RSN</v>
          </cell>
          <cell r="BA13843">
            <v>80.989999999999995</v>
          </cell>
        </row>
        <row r="13844">
          <cell r="C13844" t="str">
            <v>5201 - INTERIOR DOOR UNITS (BOM)</v>
          </cell>
          <cell r="D13844" t="str">
            <v>IFDRP47830LSN</v>
          </cell>
          <cell r="BA13844">
            <v>80.989999999999995</v>
          </cell>
        </row>
        <row r="13845">
          <cell r="C13845" t="str">
            <v>5201 - INTERIOR DOOR UNITS (BOM)</v>
          </cell>
          <cell r="D13845" t="str">
            <v>IFDRP47860RTSN</v>
          </cell>
          <cell r="BA13845">
            <v>172.99</v>
          </cell>
        </row>
        <row r="13846">
          <cell r="C13846" t="str">
            <v>5201 - INTERIOR DOOR UNITS (BOM)</v>
          </cell>
          <cell r="D13846" t="str">
            <v>IFDRP47860LTSN</v>
          </cell>
          <cell r="BA13846">
            <v>172.99</v>
          </cell>
        </row>
        <row r="13847">
          <cell r="C13847" t="str">
            <v>5201 - INTERIOR DOOR UNITS (BOM)</v>
          </cell>
          <cell r="D13847" t="str">
            <v>IFDRP47860BCSN</v>
          </cell>
          <cell r="BA13847">
            <v>147.99</v>
          </cell>
        </row>
        <row r="13848">
          <cell r="C13848" t="str">
            <v>5201 - INTERIOR DOOR UNITS (BOM)</v>
          </cell>
          <cell r="D13848" t="str">
            <v>IFDRP4783080RSN</v>
          </cell>
          <cell r="BA13848">
            <v>126.99</v>
          </cell>
        </row>
        <row r="13849">
          <cell r="C13849" t="str">
            <v>5201 - INTERIOR DOOR UNITS (BOM)</v>
          </cell>
          <cell r="D13849" t="str">
            <v>IFDRP4783080LSN</v>
          </cell>
          <cell r="BA13849">
            <v>126.99</v>
          </cell>
        </row>
        <row r="13850">
          <cell r="C13850" t="str">
            <v>5201 - INTERIOR DOOR UNITS (BOM)</v>
          </cell>
          <cell r="D13850" t="str">
            <v>IFDRP4786080BCSN</v>
          </cell>
          <cell r="BA13850">
            <v>224.99</v>
          </cell>
        </row>
        <row r="13851">
          <cell r="C13851" t="str">
            <v>5201 - INTERIOR DOOR UNITS (BOM)</v>
          </cell>
          <cell r="D13851" t="str">
            <v>IFDRP51430ROR</v>
          </cell>
          <cell r="BA13851">
            <v>110.99</v>
          </cell>
        </row>
        <row r="13852">
          <cell r="C13852" t="str">
            <v>5201 - INTERIOR DOOR UNITS (BOM)</v>
          </cell>
          <cell r="D13852" t="str">
            <v>IFDRP51430LOR</v>
          </cell>
          <cell r="BA13852">
            <v>110.99</v>
          </cell>
        </row>
        <row r="13853">
          <cell r="C13853" t="str">
            <v>5201 - INTERIOR DOOR UNITS (BOM)</v>
          </cell>
          <cell r="D13853" t="str">
            <v>IFDRP51460RTOR</v>
          </cell>
          <cell r="BA13853">
            <v>205.99</v>
          </cell>
        </row>
        <row r="13854">
          <cell r="C13854" t="str">
            <v>5201 - INTERIOR DOOR UNITS (BOM)</v>
          </cell>
          <cell r="D13854" t="str">
            <v>IFDRP51460LTOR</v>
          </cell>
          <cell r="BA13854">
            <v>205.99</v>
          </cell>
        </row>
        <row r="13855">
          <cell r="C13855" t="str">
            <v>5201 - INTERIOR DOOR UNITS (BOM)</v>
          </cell>
          <cell r="D13855" t="str">
            <v>IFDRP51460BCOR</v>
          </cell>
          <cell r="BA13855">
            <v>181.99</v>
          </cell>
        </row>
        <row r="13856">
          <cell r="C13856" t="str">
            <v>5201 - INTERIOR DOOR UNITS (BOM)</v>
          </cell>
          <cell r="D13856" t="str">
            <v>IFDRP5143080ROR</v>
          </cell>
          <cell r="BA13856">
            <v>134.99</v>
          </cell>
        </row>
        <row r="13857">
          <cell r="C13857" t="str">
            <v>5201 - INTERIOR DOOR UNITS (BOM)</v>
          </cell>
          <cell r="D13857" t="str">
            <v>IFDRP5143080LOR</v>
          </cell>
          <cell r="BA13857">
            <v>134.99</v>
          </cell>
        </row>
        <row r="13858">
          <cell r="C13858" t="str">
            <v>5201 - INTERIOR DOOR UNITS (BOM)</v>
          </cell>
          <cell r="D13858" t="str">
            <v>IFDRP5146080LTOR</v>
          </cell>
          <cell r="BA13858">
            <v>283.99</v>
          </cell>
        </row>
        <row r="13859">
          <cell r="C13859" t="str">
            <v>5201 - INTERIOR DOOR UNITS (BOM)</v>
          </cell>
          <cell r="D13859" t="str">
            <v>IFDRP51430RSN</v>
          </cell>
          <cell r="BA13859">
            <v>111.99</v>
          </cell>
        </row>
        <row r="13860">
          <cell r="C13860" t="str">
            <v>5201 - INTERIOR DOOR UNITS (BOM)</v>
          </cell>
          <cell r="D13860" t="str">
            <v>IFDRP51430LSN</v>
          </cell>
          <cell r="BA13860">
            <v>111.99</v>
          </cell>
        </row>
        <row r="13861">
          <cell r="C13861" t="str">
            <v>5201 - INTERIOR DOOR UNITS (BOM)</v>
          </cell>
          <cell r="D13861" t="str">
            <v>IFDRP51460RTSN</v>
          </cell>
          <cell r="BA13861">
            <v>209.99</v>
          </cell>
        </row>
        <row r="13862">
          <cell r="C13862" t="str">
            <v>5201 - INTERIOR DOOR UNITS (BOM)</v>
          </cell>
          <cell r="D13862" t="str">
            <v>IFDRP51460BCSN</v>
          </cell>
          <cell r="BA13862">
            <v>184.99</v>
          </cell>
        </row>
        <row r="13863">
          <cell r="C13863" t="str">
            <v>5201 - INTERIOR DOOR UNITS (BOM)</v>
          </cell>
          <cell r="D13863" t="str">
            <v>IFDRP5143080RSN</v>
          </cell>
          <cell r="BA13863">
            <v>135.99</v>
          </cell>
        </row>
        <row r="13864">
          <cell r="C13864" t="str">
            <v>5201 - INTERIOR DOOR UNITS (BOM)</v>
          </cell>
          <cell r="D13864" t="str">
            <v>IFDRP5143080LSN</v>
          </cell>
          <cell r="BA13864">
            <v>135.99</v>
          </cell>
        </row>
        <row r="13865">
          <cell r="C13865" t="str">
            <v>5201 - INTERIOR DOOR UNITS (BOM)</v>
          </cell>
          <cell r="D13865" t="str">
            <v>IFDRP5146080BCSN</v>
          </cell>
          <cell r="BA13865">
            <v>235.99</v>
          </cell>
        </row>
        <row r="13866">
          <cell r="C13866" t="str">
            <v>5201 - INTERIOR DOOR UNITS (BOM)</v>
          </cell>
          <cell r="D13866" t="str">
            <v>IFDRP630ROR</v>
          </cell>
          <cell r="BA13866">
            <v>125.99</v>
          </cell>
        </row>
        <row r="13867">
          <cell r="C13867" t="str">
            <v>5201 - INTERIOR DOOR UNITS (BOM)</v>
          </cell>
          <cell r="D13867" t="str">
            <v>IFDRP630LOR</v>
          </cell>
          <cell r="BA13867">
            <v>125.99</v>
          </cell>
        </row>
        <row r="13868">
          <cell r="C13868" t="str">
            <v>5201 - INTERIOR DOOR UNITS (BOM)</v>
          </cell>
          <cell r="D13868" t="str">
            <v>IFDRP660RTOR</v>
          </cell>
          <cell r="BA13868">
            <v>224.99</v>
          </cell>
        </row>
        <row r="13869">
          <cell r="C13869" t="str">
            <v>5201 - INTERIOR DOOR UNITS (BOM)</v>
          </cell>
          <cell r="D13869" t="str">
            <v>IFDRP660LTOR</v>
          </cell>
          <cell r="BA13869">
            <v>224.99</v>
          </cell>
        </row>
        <row r="13870">
          <cell r="C13870" t="str">
            <v>5201 - INTERIOR DOOR UNITS (BOM)</v>
          </cell>
          <cell r="D13870" t="str">
            <v>IFDRP660BCOR</v>
          </cell>
          <cell r="BA13870">
            <v>200.99</v>
          </cell>
        </row>
        <row r="13871">
          <cell r="C13871" t="str">
            <v>5201 - INTERIOR DOOR UNITS (BOM)</v>
          </cell>
          <cell r="D13871" t="str">
            <v>IFDRP63080ROR</v>
          </cell>
          <cell r="BA13871">
            <v>177.99</v>
          </cell>
        </row>
        <row r="13872">
          <cell r="C13872" t="str">
            <v>5201 - INTERIOR DOOR UNITS (BOM)</v>
          </cell>
          <cell r="D13872" t="str">
            <v>IFDRP63080LOR</v>
          </cell>
          <cell r="BA13872">
            <v>177.99</v>
          </cell>
        </row>
        <row r="13873">
          <cell r="C13873" t="str">
            <v>5201 - INTERIOR DOOR UNITS (BOM)</v>
          </cell>
          <cell r="D13873" t="str">
            <v>IFDRP66080RTOR</v>
          </cell>
          <cell r="BA13873">
            <v>336.99</v>
          </cell>
        </row>
        <row r="13874">
          <cell r="C13874" t="str">
            <v>5201 - INTERIOR DOOR UNITS (BOM)</v>
          </cell>
          <cell r="D13874" t="str">
            <v>IFDRP66080LTOR</v>
          </cell>
          <cell r="BA13874">
            <v>335.99</v>
          </cell>
        </row>
        <row r="13875">
          <cell r="C13875" t="str">
            <v>5201 - INTERIOR DOOR UNITS (BOM)</v>
          </cell>
          <cell r="D13875" t="str">
            <v>IFDRP66080BCOR</v>
          </cell>
          <cell r="BA13875">
            <v>283.99</v>
          </cell>
        </row>
        <row r="13876">
          <cell r="C13876" t="str">
            <v>5201 - INTERIOR DOOR UNITS (BOM)</v>
          </cell>
          <cell r="D13876" t="str">
            <v>IFDRP630RSN</v>
          </cell>
          <cell r="BA13876">
            <v>127.99</v>
          </cell>
        </row>
        <row r="13877">
          <cell r="C13877" t="str">
            <v>5201 - INTERIOR DOOR UNITS (BOM)</v>
          </cell>
          <cell r="D13877" t="str">
            <v>IFDRP630LSN</v>
          </cell>
          <cell r="BA13877">
            <v>127.99</v>
          </cell>
        </row>
        <row r="13878">
          <cell r="C13878" t="str">
            <v>5201 - INTERIOR DOOR UNITS (BOM)</v>
          </cell>
          <cell r="D13878" t="str">
            <v>IFDRP660RTSN</v>
          </cell>
          <cell r="BA13878">
            <v>228.99</v>
          </cell>
        </row>
        <row r="13879">
          <cell r="C13879" t="str">
            <v>5201 - INTERIOR DOOR UNITS (BOM)</v>
          </cell>
          <cell r="D13879" t="str">
            <v>IFDRP660LTSN</v>
          </cell>
          <cell r="BA13879">
            <v>228.99</v>
          </cell>
        </row>
        <row r="13880">
          <cell r="C13880" t="str">
            <v>5201 - INTERIOR DOOR UNITS (BOM)</v>
          </cell>
          <cell r="D13880" t="str">
            <v>IFDRP660BCSN</v>
          </cell>
          <cell r="BA13880">
            <v>202.99</v>
          </cell>
        </row>
        <row r="13881">
          <cell r="C13881" t="str">
            <v>5201 - INTERIOR DOOR UNITS (BOM)</v>
          </cell>
          <cell r="D13881" t="str">
            <v>IFDRP30RSN</v>
          </cell>
          <cell r="BA13881">
            <v>83.99</v>
          </cell>
        </row>
        <row r="13882">
          <cell r="C13882" t="str">
            <v>5201 - INTERIOR DOOR UNITS (BOM)</v>
          </cell>
          <cell r="D13882" t="str">
            <v>IFDRP30LSN</v>
          </cell>
          <cell r="BA13882">
            <v>84.99</v>
          </cell>
        </row>
        <row r="13883">
          <cell r="C13883" t="str">
            <v>5201 - INTERIOR DOOR UNITS (BOM)</v>
          </cell>
          <cell r="D13883" t="str">
            <v>IFDRP60RTSN</v>
          </cell>
          <cell r="BA13883">
            <v>176.99</v>
          </cell>
        </row>
        <row r="13884">
          <cell r="C13884" t="str">
            <v>5201 - INTERIOR DOOR UNITS (BOM)</v>
          </cell>
          <cell r="D13884" t="str">
            <v>IFDRP60LTSN</v>
          </cell>
          <cell r="BA13884">
            <v>176.99</v>
          </cell>
        </row>
        <row r="13885">
          <cell r="C13885" t="str">
            <v>5201 - INTERIOR DOOR UNITS (BOM)</v>
          </cell>
          <cell r="D13885" t="str">
            <v>IFDRP60BCSN</v>
          </cell>
          <cell r="BA13885">
            <v>151.99</v>
          </cell>
        </row>
        <row r="13886">
          <cell r="C13886" t="str">
            <v>5201 - INTERIOR DOOR UNITS (BOM)</v>
          </cell>
          <cell r="D13886" t="str">
            <v>IFDRP3080RSN</v>
          </cell>
          <cell r="BA13886">
            <v>114.99</v>
          </cell>
        </row>
        <row r="13887">
          <cell r="C13887" t="str">
            <v>5201 - INTERIOR DOOR UNITS (BOM)</v>
          </cell>
          <cell r="D13887" t="str">
            <v>IFDRP3080LSN</v>
          </cell>
          <cell r="BA13887">
            <v>114.99</v>
          </cell>
        </row>
        <row r="13888">
          <cell r="C13888" t="str">
            <v>5201 - INTERIOR DOOR UNITS (BOM)</v>
          </cell>
          <cell r="D13888" t="str">
            <v>IFDRP6080RTSN</v>
          </cell>
          <cell r="BA13888">
            <v>256.99</v>
          </cell>
        </row>
        <row r="13889">
          <cell r="C13889" t="str">
            <v>5201 - INTERIOR DOOR UNITS (BOM)</v>
          </cell>
          <cell r="D13889" t="str">
            <v>IFDRP6080LTSN</v>
          </cell>
          <cell r="BA13889">
            <v>260.99</v>
          </cell>
        </row>
        <row r="13890">
          <cell r="C13890" t="str">
            <v>5201 - INTERIOR DOOR UNITS (BOM)</v>
          </cell>
          <cell r="D13890" t="str">
            <v>IFDRP6080BCSN</v>
          </cell>
          <cell r="BA13890">
            <v>210.99</v>
          </cell>
        </row>
        <row r="13891">
          <cell r="C13891" t="str">
            <v>5201 - INTERIOR DOOR UNITS (BOM)</v>
          </cell>
          <cell r="D13891" t="str">
            <v>IFDRP63080RSN</v>
          </cell>
          <cell r="BA13891">
            <v>179.99</v>
          </cell>
        </row>
        <row r="13892">
          <cell r="C13892" t="str">
            <v>5201 - INTERIOR DOOR UNITS (BOM)</v>
          </cell>
          <cell r="D13892" t="str">
            <v>IFDRP63080LSN</v>
          </cell>
          <cell r="BA13892">
            <v>179.99</v>
          </cell>
        </row>
        <row r="13893">
          <cell r="C13893" t="str">
            <v>5201 - INTERIOR DOOR UNITS (BOM)</v>
          </cell>
          <cell r="D13893" t="str">
            <v>IFDRP66080RTSN</v>
          </cell>
          <cell r="BA13893">
            <v>337.99</v>
          </cell>
        </row>
        <row r="13894">
          <cell r="C13894" t="str">
            <v>5201 - INTERIOR DOOR UNITS (BOM)</v>
          </cell>
          <cell r="D13894" t="str">
            <v>IFDRP66080LTSN</v>
          </cell>
          <cell r="BA13894">
            <v>337.99</v>
          </cell>
        </row>
        <row r="13895">
          <cell r="C13895" t="str">
            <v>5201 - INTERIOR DOOR UNITS (BOM)</v>
          </cell>
          <cell r="D13895" t="str">
            <v>IFDRP66080BCSN</v>
          </cell>
          <cell r="BA13895">
            <v>287.99</v>
          </cell>
        </row>
        <row r="13896">
          <cell r="C13896" t="str">
            <v>5201 - INTERIOR DOOR UNITS (BOM)</v>
          </cell>
          <cell r="D13896" t="str">
            <v>IFDRP71430ROR</v>
          </cell>
          <cell r="BA13896">
            <v>209.99</v>
          </cell>
        </row>
        <row r="13897">
          <cell r="C13897" t="str">
            <v>5201 - INTERIOR DOOR UNITS (BOM)</v>
          </cell>
          <cell r="D13897" t="str">
            <v>IFDRP71430LOR</v>
          </cell>
          <cell r="BA13897">
            <v>209.99</v>
          </cell>
        </row>
        <row r="13898">
          <cell r="C13898" t="str">
            <v>5201 - INTERIOR DOOR UNITS (BOM)</v>
          </cell>
          <cell r="D13898" t="str">
            <v>IFDRP7143080ROR</v>
          </cell>
          <cell r="BA13898">
            <v>236.99</v>
          </cell>
        </row>
        <row r="13899">
          <cell r="C13899" t="str">
            <v>5201 - INTERIOR DOOR UNITS (BOM)</v>
          </cell>
          <cell r="D13899" t="str">
            <v>IFDRP7143080LOR</v>
          </cell>
          <cell r="BA13899">
            <v>236.99</v>
          </cell>
        </row>
        <row r="13900">
          <cell r="C13900" t="str">
            <v>5201 - INTERIOR DOOR UNITS (BOM)</v>
          </cell>
          <cell r="D13900" t="str">
            <v>IFDRP7146080RTOR</v>
          </cell>
          <cell r="BA13900">
            <v>407.99</v>
          </cell>
        </row>
        <row r="13901">
          <cell r="C13901" t="str">
            <v>5201 - INTERIOR DOOR UNITS (BOM)</v>
          </cell>
          <cell r="D13901" t="str">
            <v>IFDRP7146080LTOR</v>
          </cell>
          <cell r="BA13901">
            <v>407.99</v>
          </cell>
        </row>
        <row r="13902">
          <cell r="C13902" t="str">
            <v>5201 - INTERIOR DOOR UNITS (BOM)</v>
          </cell>
          <cell r="D13902" t="str">
            <v>IFDRP7146080BCOR</v>
          </cell>
          <cell r="BA13902">
            <v>355.99</v>
          </cell>
        </row>
        <row r="13903">
          <cell r="C13903" t="str">
            <v>5201 - INTERIOR DOOR UNITS (BOM)</v>
          </cell>
          <cell r="D13903" t="str">
            <v>IFDRP71430RSN</v>
          </cell>
          <cell r="BA13903">
            <v>210.99</v>
          </cell>
        </row>
        <row r="13904">
          <cell r="C13904" t="str">
            <v>5201 - INTERIOR DOOR UNITS (BOM)</v>
          </cell>
          <cell r="D13904" t="str">
            <v>IFDRP71430LSN</v>
          </cell>
          <cell r="BA13904">
            <v>210.99</v>
          </cell>
        </row>
        <row r="13905">
          <cell r="C13905" t="str">
            <v>5201 - INTERIOR DOOR UNITS (BOM)</v>
          </cell>
          <cell r="D13905" t="str">
            <v>IFDRP71460RTSN</v>
          </cell>
          <cell r="BA13905">
            <v>328.99</v>
          </cell>
        </row>
        <row r="13906">
          <cell r="C13906" t="str">
            <v>5201 - INTERIOR DOOR UNITS (BOM)</v>
          </cell>
          <cell r="D13906" t="str">
            <v>IFDRP71460LTSN</v>
          </cell>
          <cell r="BA13906">
            <v>328.99</v>
          </cell>
        </row>
        <row r="13907">
          <cell r="C13907" t="str">
            <v>5201 - INTERIOR DOOR UNITS (BOM)</v>
          </cell>
          <cell r="D13907" t="str">
            <v>IFDRP7143080RSN</v>
          </cell>
          <cell r="BA13907">
            <v>238.99</v>
          </cell>
        </row>
        <row r="13908">
          <cell r="C13908" t="str">
            <v>5201 - INTERIOR DOOR UNITS (BOM)</v>
          </cell>
          <cell r="D13908" t="str">
            <v>IFDRP7146080RTSN</v>
          </cell>
          <cell r="BA13908">
            <v>408.99</v>
          </cell>
        </row>
        <row r="13909">
          <cell r="C13909" t="str">
            <v>5201 - INTERIOR DOOR UNITS (BOM)</v>
          </cell>
          <cell r="D13909" t="str">
            <v>IFDRP16RSN</v>
          </cell>
          <cell r="BA13909">
            <v>76.489999999999995</v>
          </cell>
        </row>
        <row r="13910">
          <cell r="C13910" t="str">
            <v>5201 - INTERIOR DOOR UNITS (BOM)</v>
          </cell>
          <cell r="D13910" t="str">
            <v>IFDRP16LSN</v>
          </cell>
          <cell r="BA13910">
            <v>76.489999999999995</v>
          </cell>
        </row>
        <row r="13911">
          <cell r="C13911" t="str">
            <v>5201 - INTERIOR DOOR UNITS (BOM)</v>
          </cell>
          <cell r="D13911" t="str">
            <v>IFDRP18RSN</v>
          </cell>
          <cell r="BA13911">
            <v>76.489999999999995</v>
          </cell>
        </row>
        <row r="13912">
          <cell r="C13912" t="str">
            <v>5201 - INTERIOR DOOR UNITS (BOM)</v>
          </cell>
          <cell r="D13912" t="str">
            <v>IFDRP18LSN</v>
          </cell>
          <cell r="BA13912">
            <v>76.489999999999995</v>
          </cell>
        </row>
        <row r="13913">
          <cell r="C13913" t="str">
            <v>5201 - INTERIOR DOOR UNITS (BOM)</v>
          </cell>
          <cell r="D13913" t="str">
            <v>IFDRP110RSN</v>
          </cell>
          <cell r="BA13913">
            <v>76.489999999999995</v>
          </cell>
        </row>
        <row r="13914">
          <cell r="C13914" t="str">
            <v>5201 - INTERIOR DOOR UNITS (BOM)</v>
          </cell>
          <cell r="D13914" t="str">
            <v>IFDRP110LSN</v>
          </cell>
          <cell r="BA13914">
            <v>76.489999999999995</v>
          </cell>
        </row>
        <row r="13915">
          <cell r="C13915" t="str">
            <v>5201 - INTERIOR DOOR UNITS (BOM)</v>
          </cell>
          <cell r="D13915" t="str">
            <v>IFDRP20RSN</v>
          </cell>
          <cell r="BA13915">
            <v>76.489999999999995</v>
          </cell>
        </row>
        <row r="13916">
          <cell r="C13916" t="str">
            <v>5201 - INTERIOR DOOR UNITS (BOM)</v>
          </cell>
          <cell r="D13916" t="str">
            <v>IFDRP20LSN</v>
          </cell>
          <cell r="BA13916">
            <v>76.489999999999995</v>
          </cell>
        </row>
        <row r="13917">
          <cell r="C13917" t="str">
            <v>5201 - INTERIOR DOOR UNITS (BOM)</v>
          </cell>
          <cell r="D13917" t="str">
            <v>IFDRP22RSN</v>
          </cell>
          <cell r="BA13917">
            <v>76.489999999999995</v>
          </cell>
        </row>
        <row r="13918">
          <cell r="C13918" t="str">
            <v>5201 - INTERIOR DOOR UNITS (BOM)</v>
          </cell>
          <cell r="D13918" t="str">
            <v>IFDRP22LSN</v>
          </cell>
          <cell r="BA13918">
            <v>76.489999999999995</v>
          </cell>
        </row>
        <row r="13919">
          <cell r="C13919" t="str">
            <v>5201 - INTERIOR DOOR UNITS (BOM)</v>
          </cell>
          <cell r="D13919" t="str">
            <v>IFDRP24RSN</v>
          </cell>
          <cell r="BA13919">
            <v>75.489999999999995</v>
          </cell>
        </row>
        <row r="13920">
          <cell r="C13920" t="str">
            <v>5201 - INTERIOR DOOR UNITS (BOM)</v>
          </cell>
          <cell r="D13920" t="str">
            <v>IFDRP24LSN</v>
          </cell>
          <cell r="BA13920">
            <v>75.489999999999995</v>
          </cell>
        </row>
        <row r="13921">
          <cell r="C13921" t="str">
            <v>5201 - INTERIOR DOOR UNITS (BOM)</v>
          </cell>
          <cell r="D13921" t="str">
            <v>IFDRP26RSN</v>
          </cell>
          <cell r="BA13921">
            <v>76.489999999999995</v>
          </cell>
        </row>
        <row r="13922">
          <cell r="C13922" t="str">
            <v>5201 - INTERIOR DOOR UNITS (BOM)</v>
          </cell>
          <cell r="D13922" t="str">
            <v>IFDRP26LSN</v>
          </cell>
          <cell r="BA13922">
            <v>76.489999999999995</v>
          </cell>
        </row>
        <row r="13923">
          <cell r="C13923" t="str">
            <v>5201 - INTERIOR DOOR UNITS (BOM)</v>
          </cell>
          <cell r="D13923" t="str">
            <v>IFDRP28RSN</v>
          </cell>
          <cell r="BA13923">
            <v>76.489999999999995</v>
          </cell>
        </row>
        <row r="13924">
          <cell r="C13924" t="str">
            <v>5201 - INTERIOR DOOR UNITS (BOM)</v>
          </cell>
          <cell r="D13924" t="str">
            <v>IFDRP28LSN</v>
          </cell>
          <cell r="BA13924">
            <v>76.489999999999995</v>
          </cell>
        </row>
        <row r="13925">
          <cell r="C13925" t="str">
            <v>5201 - INTERIOR DOOR UNITS (BOM)</v>
          </cell>
          <cell r="D13925" t="str">
            <v>IFDRP210RSN</v>
          </cell>
          <cell r="BA13925">
            <v>76.489999999999995</v>
          </cell>
        </row>
        <row r="13926">
          <cell r="C13926" t="str">
            <v>5201 - INTERIOR DOOR UNITS (BOM)</v>
          </cell>
          <cell r="D13926" t="str">
            <v>IFDRP210LSN</v>
          </cell>
          <cell r="BA13926">
            <v>76.489999999999995</v>
          </cell>
        </row>
        <row r="13927">
          <cell r="C13927" t="str">
            <v>5201 - INTERIOR DOOR UNITS (BOM)</v>
          </cell>
          <cell r="D13927" t="str">
            <v>IFDRP36RSN</v>
          </cell>
          <cell r="BA13927">
            <v>80.989999999999995</v>
          </cell>
        </row>
        <row r="13928">
          <cell r="C13928" t="str">
            <v>5201 - INTERIOR DOOR UNITS (BOM)</v>
          </cell>
          <cell r="D13928" t="str">
            <v>IFDRP36LSN</v>
          </cell>
          <cell r="BA13928">
            <v>80.989999999999995</v>
          </cell>
        </row>
        <row r="13929">
          <cell r="C13929" t="str">
            <v>5201 - INTERIOR DOOR UNITS (BOM)</v>
          </cell>
          <cell r="D13929" t="str">
            <v>IFDRP30RTSN</v>
          </cell>
          <cell r="BA13929">
            <v>160.99</v>
          </cell>
        </row>
        <row r="13930">
          <cell r="C13930" t="str">
            <v>5201 - INTERIOR DOOR UNITS (BOM)</v>
          </cell>
          <cell r="D13930" t="str">
            <v>IFDRP30LTSN</v>
          </cell>
          <cell r="BA13930">
            <v>160.99</v>
          </cell>
        </row>
        <row r="13931">
          <cell r="C13931" t="str">
            <v>5201 - INTERIOR DOOR UNITS (BOM)</v>
          </cell>
          <cell r="D13931" t="str">
            <v>IFDRP34RTSN</v>
          </cell>
          <cell r="BA13931">
            <v>160.99</v>
          </cell>
        </row>
        <row r="13932">
          <cell r="C13932" t="str">
            <v>5201 - INTERIOR DOOR UNITS (BOM)</v>
          </cell>
          <cell r="D13932" t="str">
            <v>IFDRP34LTSN</v>
          </cell>
          <cell r="BA13932">
            <v>160.99</v>
          </cell>
        </row>
        <row r="13933">
          <cell r="C13933" t="str">
            <v>5201 - INTERIOR DOOR UNITS (BOM)</v>
          </cell>
          <cell r="D13933" t="str">
            <v>IFDRP38RTSN</v>
          </cell>
          <cell r="BA13933">
            <v>160.99</v>
          </cell>
        </row>
        <row r="13934">
          <cell r="C13934" t="str">
            <v>5201 - INTERIOR DOOR UNITS (BOM)</v>
          </cell>
          <cell r="D13934" t="str">
            <v>IFDRP38LTSN</v>
          </cell>
          <cell r="BA13934">
            <v>160.99</v>
          </cell>
        </row>
        <row r="13935">
          <cell r="C13935" t="str">
            <v>5201 - INTERIOR DOOR UNITS (BOM)</v>
          </cell>
          <cell r="D13935" t="str">
            <v>IFDRP40RTSN</v>
          </cell>
          <cell r="BA13935">
            <v>160.99</v>
          </cell>
        </row>
        <row r="13936">
          <cell r="C13936" t="str">
            <v>5201 - INTERIOR DOOR UNITS (BOM)</v>
          </cell>
          <cell r="D13936" t="str">
            <v>IFDRP40LTSN</v>
          </cell>
          <cell r="BA13936">
            <v>160.99</v>
          </cell>
        </row>
        <row r="13937">
          <cell r="C13937" t="str">
            <v>5201 - INTERIOR DOOR UNITS (BOM)</v>
          </cell>
          <cell r="D13937" t="str">
            <v>IFDRP44RTSN</v>
          </cell>
          <cell r="BA13937">
            <v>160.99</v>
          </cell>
        </row>
        <row r="13938">
          <cell r="C13938" t="str">
            <v>5201 - INTERIOR DOOR UNITS (BOM)</v>
          </cell>
          <cell r="D13938" t="str">
            <v>IFDRP44LTSN</v>
          </cell>
          <cell r="BA13938">
            <v>160.99</v>
          </cell>
        </row>
        <row r="13939">
          <cell r="C13939" t="str">
            <v>5201 - INTERIOR DOOR UNITS (BOM)</v>
          </cell>
          <cell r="D13939" t="str">
            <v>IFDRP48RTSN</v>
          </cell>
          <cell r="BA13939">
            <v>160.99</v>
          </cell>
        </row>
        <row r="13940">
          <cell r="C13940" t="str">
            <v>5201 - INTERIOR DOOR UNITS (BOM)</v>
          </cell>
          <cell r="D13940" t="str">
            <v>IFDRP48LTSN</v>
          </cell>
          <cell r="BA13940">
            <v>160.99</v>
          </cell>
        </row>
        <row r="13941">
          <cell r="C13941" t="str">
            <v>5201 - INTERIOR DOOR UNITS (BOM)</v>
          </cell>
          <cell r="D13941" t="str">
            <v>IFDRP50RTSN</v>
          </cell>
          <cell r="BA13941">
            <v>160.99</v>
          </cell>
        </row>
        <row r="13942">
          <cell r="C13942" t="str">
            <v>5201 - INTERIOR DOOR UNITS (BOM)</v>
          </cell>
          <cell r="D13942" t="str">
            <v>IFDRP50LTSN</v>
          </cell>
          <cell r="BA13942">
            <v>160.99</v>
          </cell>
        </row>
        <row r="13943">
          <cell r="C13943" t="str">
            <v>5201 - INTERIOR DOOR UNITS (BOM)</v>
          </cell>
          <cell r="D13943" t="str">
            <v>IFDRP54RTSN</v>
          </cell>
          <cell r="BA13943">
            <v>160.99</v>
          </cell>
        </row>
        <row r="13944">
          <cell r="C13944" t="str">
            <v>5201 - INTERIOR DOOR UNITS (BOM)</v>
          </cell>
          <cell r="D13944" t="str">
            <v>IFDRP54LTSN</v>
          </cell>
          <cell r="BA13944">
            <v>160.99</v>
          </cell>
        </row>
        <row r="13945">
          <cell r="C13945" t="str">
            <v>5201 - INTERIOR DOOR UNITS (BOM)</v>
          </cell>
          <cell r="D13945" t="str">
            <v>IFDRP58RTSN</v>
          </cell>
          <cell r="BA13945">
            <v>160.99</v>
          </cell>
        </row>
        <row r="13946">
          <cell r="C13946" t="str">
            <v>5201 - INTERIOR DOOR UNITS (BOM)</v>
          </cell>
          <cell r="D13946" t="str">
            <v>IFDRP58LTSN</v>
          </cell>
          <cell r="BA13946">
            <v>160.99</v>
          </cell>
        </row>
        <row r="13947">
          <cell r="C13947" t="str">
            <v>5201 - INTERIOR DOOR UNITS (BOM)</v>
          </cell>
          <cell r="D13947" t="str">
            <v>IFDRP30BCSN</v>
          </cell>
          <cell r="BA13947">
            <v>136.99</v>
          </cell>
        </row>
        <row r="13948">
          <cell r="C13948" t="str">
            <v>5201 - INTERIOR DOOR UNITS (BOM)</v>
          </cell>
          <cell r="D13948" t="str">
            <v>IFDRP34BCSN</v>
          </cell>
          <cell r="BA13948">
            <v>136.99</v>
          </cell>
        </row>
        <row r="13949">
          <cell r="C13949" t="str">
            <v>5201 - INTERIOR DOOR UNITS (BOM)</v>
          </cell>
          <cell r="D13949" t="str">
            <v>IFDRP38BCSN</v>
          </cell>
          <cell r="BA13949">
            <v>136.99</v>
          </cell>
        </row>
        <row r="13950">
          <cell r="C13950" t="str">
            <v>5201 - INTERIOR DOOR UNITS (BOM)</v>
          </cell>
          <cell r="D13950" t="str">
            <v>IFDRP40BCSN</v>
          </cell>
          <cell r="BA13950">
            <v>136.99</v>
          </cell>
        </row>
        <row r="13951">
          <cell r="C13951" t="str">
            <v>5201 - INTERIOR DOOR UNITS (BOM)</v>
          </cell>
          <cell r="D13951" t="str">
            <v>IFDRP44BCSN</v>
          </cell>
          <cell r="BA13951">
            <v>136.99</v>
          </cell>
        </row>
        <row r="13952">
          <cell r="C13952" t="str">
            <v>5201 - INTERIOR DOOR UNITS (BOM)</v>
          </cell>
          <cell r="D13952" t="str">
            <v>IFDRP48BCSN</v>
          </cell>
          <cell r="BA13952">
            <v>136.99</v>
          </cell>
        </row>
        <row r="13953">
          <cell r="C13953" t="str">
            <v>5201 - INTERIOR DOOR UNITS (BOM)</v>
          </cell>
          <cell r="D13953" t="str">
            <v>IFDRP50BCSN</v>
          </cell>
          <cell r="BA13953">
            <v>136.99</v>
          </cell>
        </row>
        <row r="13954">
          <cell r="C13954" t="str">
            <v>5201 - INTERIOR DOOR UNITS (BOM)</v>
          </cell>
          <cell r="D13954" t="str">
            <v>IFDRP54BCSN</v>
          </cell>
          <cell r="BA13954">
            <v>136.99</v>
          </cell>
        </row>
        <row r="13955">
          <cell r="C13955" t="str">
            <v>5201 - INTERIOR DOOR UNITS (BOM)</v>
          </cell>
          <cell r="D13955" t="str">
            <v>IFDRP58BCSN</v>
          </cell>
          <cell r="BA13955">
            <v>136.99</v>
          </cell>
        </row>
        <row r="13956">
          <cell r="C13956" t="str">
            <v>5201 - INTERIOR DOOR UNITS (BOM)</v>
          </cell>
          <cell r="D13956" t="str">
            <v>IFDRP1680RSN</v>
          </cell>
          <cell r="BA13956">
            <v>103.99</v>
          </cell>
        </row>
        <row r="13957">
          <cell r="C13957" t="str">
            <v>5201 - INTERIOR DOOR UNITS (BOM)</v>
          </cell>
          <cell r="D13957" t="str">
            <v>IFDRP1680LSN</v>
          </cell>
          <cell r="BA13957">
            <v>103.99</v>
          </cell>
        </row>
        <row r="13958">
          <cell r="C13958" t="str">
            <v>5201 - INTERIOR DOOR UNITS (BOM)</v>
          </cell>
          <cell r="D13958" t="str">
            <v>IFDRP1880RSN</v>
          </cell>
          <cell r="BA13958">
            <v>103.99</v>
          </cell>
        </row>
        <row r="13959">
          <cell r="C13959" t="str">
            <v>5201 - INTERIOR DOOR UNITS (BOM)</v>
          </cell>
          <cell r="D13959" t="str">
            <v>IFDRP1880LSN</v>
          </cell>
          <cell r="BA13959">
            <v>103.99</v>
          </cell>
        </row>
        <row r="13960">
          <cell r="C13960" t="str">
            <v>5201 - INTERIOR DOOR UNITS (BOM)</v>
          </cell>
          <cell r="D13960" t="str">
            <v>IFDRP11080RSN</v>
          </cell>
          <cell r="BA13960">
            <v>103.99</v>
          </cell>
        </row>
        <row r="13961">
          <cell r="C13961" t="str">
            <v>5201 - INTERIOR DOOR UNITS (BOM)</v>
          </cell>
          <cell r="D13961" t="str">
            <v>IFDRP11080LSN</v>
          </cell>
          <cell r="BA13961">
            <v>103.99</v>
          </cell>
        </row>
        <row r="13962">
          <cell r="C13962" t="str">
            <v>5201 - INTERIOR DOOR UNITS (BOM)</v>
          </cell>
          <cell r="D13962" t="str">
            <v>IFDRP2080RSN</v>
          </cell>
          <cell r="BA13962">
            <v>103.99</v>
          </cell>
        </row>
        <row r="13963">
          <cell r="C13963" t="str">
            <v>5201 - INTERIOR DOOR UNITS (BOM)</v>
          </cell>
          <cell r="D13963" t="str">
            <v>IFDRP2080LSN</v>
          </cell>
          <cell r="BA13963">
            <v>103.99</v>
          </cell>
        </row>
        <row r="13964">
          <cell r="C13964" t="str">
            <v>5201 - INTERIOR DOOR UNITS (BOM)</v>
          </cell>
          <cell r="D13964" t="str">
            <v>IFDRP2280RSN</v>
          </cell>
          <cell r="BA13964">
            <v>103.99</v>
          </cell>
        </row>
        <row r="13965">
          <cell r="C13965" t="str">
            <v>5201 - INTERIOR DOOR UNITS (BOM)</v>
          </cell>
          <cell r="D13965" t="str">
            <v>IFDRP2280LSN</v>
          </cell>
          <cell r="BA13965">
            <v>103.99</v>
          </cell>
        </row>
        <row r="13966">
          <cell r="C13966" t="str">
            <v>5201 - INTERIOR DOOR UNITS (BOM)</v>
          </cell>
          <cell r="D13966" t="str">
            <v>IFDRP2480RSN</v>
          </cell>
          <cell r="BA13966">
            <v>103.99</v>
          </cell>
        </row>
        <row r="13967">
          <cell r="C13967" t="str">
            <v>5201 - INTERIOR DOOR UNITS (BOM)</v>
          </cell>
          <cell r="D13967" t="str">
            <v>IFDRP2480LSN</v>
          </cell>
          <cell r="BA13967">
            <v>103.99</v>
          </cell>
        </row>
        <row r="13968">
          <cell r="C13968" t="str">
            <v>5201 - INTERIOR DOOR UNITS (BOM)</v>
          </cell>
          <cell r="D13968" t="str">
            <v>IFDRP2680RSN</v>
          </cell>
          <cell r="BA13968">
            <v>103.99</v>
          </cell>
        </row>
        <row r="13969">
          <cell r="C13969" t="str">
            <v>5201 - INTERIOR DOOR UNITS (BOM)</v>
          </cell>
          <cell r="D13969" t="str">
            <v>IFDRP2680LSN</v>
          </cell>
          <cell r="BA13969">
            <v>103.99</v>
          </cell>
        </row>
        <row r="13970">
          <cell r="C13970" t="str">
            <v>5201 - INTERIOR DOOR UNITS (BOM)</v>
          </cell>
          <cell r="D13970" t="str">
            <v>IFDRP2880RSN</v>
          </cell>
          <cell r="BA13970">
            <v>103.99</v>
          </cell>
        </row>
        <row r="13971">
          <cell r="C13971" t="str">
            <v>5201 - INTERIOR DOOR UNITS (BOM)</v>
          </cell>
          <cell r="D13971" t="str">
            <v>IFDRP2880LSN</v>
          </cell>
          <cell r="BA13971">
            <v>103.99</v>
          </cell>
        </row>
        <row r="13972">
          <cell r="C13972" t="str">
            <v>5201 - INTERIOR DOOR UNITS (BOM)</v>
          </cell>
          <cell r="D13972" t="str">
            <v>IFDRP21080RSN</v>
          </cell>
          <cell r="BA13972">
            <v>103.99</v>
          </cell>
        </row>
        <row r="13973">
          <cell r="C13973" t="str">
            <v>5201 - INTERIOR DOOR UNITS (BOM)</v>
          </cell>
          <cell r="D13973" t="str">
            <v>IFDRP21080LSN</v>
          </cell>
          <cell r="BA13973">
            <v>103.99</v>
          </cell>
        </row>
        <row r="13974">
          <cell r="C13974" t="str">
            <v>5201 - INTERIOR DOOR UNITS (BOM)</v>
          </cell>
          <cell r="D13974" t="str">
            <v>IFDRP3680RSN</v>
          </cell>
          <cell r="BA13974">
            <v>108.99</v>
          </cell>
        </row>
        <row r="13975">
          <cell r="C13975" t="str">
            <v>5201 - INTERIOR DOOR UNITS (BOM)</v>
          </cell>
          <cell r="D13975" t="str">
            <v>IFDRP3680LSN</v>
          </cell>
          <cell r="BA13975">
            <v>108.99</v>
          </cell>
        </row>
        <row r="13976">
          <cell r="C13976" t="str">
            <v>5201 - INTERIOR DOOR UNITS (BOM)</v>
          </cell>
          <cell r="D13976" t="str">
            <v>IFDRP3080RTSN</v>
          </cell>
          <cell r="BA13976">
            <v>236.99</v>
          </cell>
        </row>
        <row r="13977">
          <cell r="C13977" t="str">
            <v>5201 - INTERIOR DOOR UNITS (BOM)</v>
          </cell>
          <cell r="D13977" t="str">
            <v>IFDRP3080LTSN</v>
          </cell>
          <cell r="BA13977">
            <v>236.99</v>
          </cell>
        </row>
        <row r="13978">
          <cell r="C13978" t="str">
            <v>5201 - INTERIOR DOOR UNITS (BOM)</v>
          </cell>
          <cell r="D13978" t="str">
            <v>IFDRP3480RTSN</v>
          </cell>
          <cell r="BA13978">
            <v>236.99</v>
          </cell>
        </row>
        <row r="13979">
          <cell r="C13979" t="str">
            <v>5201 - INTERIOR DOOR UNITS (BOM)</v>
          </cell>
          <cell r="D13979" t="str">
            <v>IFDRP3480LTSN</v>
          </cell>
          <cell r="BA13979">
            <v>236.99</v>
          </cell>
        </row>
        <row r="13980">
          <cell r="C13980" t="str">
            <v>5201 - INTERIOR DOOR UNITS (BOM)</v>
          </cell>
          <cell r="D13980" t="str">
            <v>IFDRP3880RTSN</v>
          </cell>
          <cell r="BA13980">
            <v>236.99</v>
          </cell>
        </row>
        <row r="13981">
          <cell r="C13981" t="str">
            <v>5201 - INTERIOR DOOR UNITS (BOM)</v>
          </cell>
          <cell r="D13981" t="str">
            <v>IFDRP3880LTSN</v>
          </cell>
          <cell r="BA13981">
            <v>236.99</v>
          </cell>
        </row>
        <row r="13982">
          <cell r="C13982" t="str">
            <v>5201 - INTERIOR DOOR UNITS (BOM)</v>
          </cell>
          <cell r="D13982" t="str">
            <v>IFDRP4080RTSN</v>
          </cell>
          <cell r="BA13982">
            <v>236.99</v>
          </cell>
        </row>
        <row r="13983">
          <cell r="C13983" t="str">
            <v>5201 - INTERIOR DOOR UNITS (BOM)</v>
          </cell>
          <cell r="D13983" t="str">
            <v>IFDRP4080LTSN</v>
          </cell>
          <cell r="BA13983">
            <v>236.99</v>
          </cell>
        </row>
        <row r="13984">
          <cell r="C13984" t="str">
            <v>5201 - INTERIOR DOOR UNITS (BOM)</v>
          </cell>
          <cell r="D13984" t="str">
            <v>IFDRP4480RTSN</v>
          </cell>
          <cell r="BA13984">
            <v>236.99</v>
          </cell>
        </row>
        <row r="13985">
          <cell r="C13985" t="str">
            <v>5201 - INTERIOR DOOR UNITS (BOM)</v>
          </cell>
          <cell r="D13985" t="str">
            <v>IFDRP4480LTSN</v>
          </cell>
          <cell r="BA13985">
            <v>236.99</v>
          </cell>
        </row>
        <row r="13986">
          <cell r="C13986" t="str">
            <v>5201 - INTERIOR DOOR UNITS (BOM)</v>
          </cell>
          <cell r="D13986" t="str">
            <v>IFDRP4880RTSN</v>
          </cell>
          <cell r="BA13986">
            <v>236.99</v>
          </cell>
        </row>
        <row r="13987">
          <cell r="C13987" t="str">
            <v>5201 - INTERIOR DOOR UNITS (BOM)</v>
          </cell>
          <cell r="D13987" t="str">
            <v>IFDRP4880LTSN</v>
          </cell>
          <cell r="BA13987">
            <v>236.99</v>
          </cell>
        </row>
        <row r="13988">
          <cell r="C13988" t="str">
            <v>5201 - INTERIOR DOOR UNITS (BOM)</v>
          </cell>
          <cell r="D13988" t="str">
            <v>IFDRP5080RTSN</v>
          </cell>
          <cell r="BA13988">
            <v>236.99</v>
          </cell>
        </row>
        <row r="13989">
          <cell r="C13989" t="str">
            <v>5201 - INTERIOR DOOR UNITS (BOM)</v>
          </cell>
          <cell r="D13989" t="str">
            <v>IFDRP5080LTSN</v>
          </cell>
          <cell r="BA13989">
            <v>236.99</v>
          </cell>
        </row>
        <row r="13990">
          <cell r="C13990" t="str">
            <v>5201 - INTERIOR DOOR UNITS (BOM)</v>
          </cell>
          <cell r="D13990" t="str">
            <v>IFDRP5480RTSN</v>
          </cell>
          <cell r="BA13990">
            <v>236.99</v>
          </cell>
        </row>
        <row r="13991">
          <cell r="C13991" t="str">
            <v>5201 - INTERIOR DOOR UNITS (BOM)</v>
          </cell>
          <cell r="D13991" t="str">
            <v>IFDRP5480LTSN</v>
          </cell>
          <cell r="BA13991">
            <v>236.99</v>
          </cell>
        </row>
        <row r="13992">
          <cell r="C13992" t="str">
            <v>5201 - INTERIOR DOOR UNITS (BOM)</v>
          </cell>
          <cell r="D13992" t="str">
            <v>IFDRP5880RTSN</v>
          </cell>
          <cell r="BA13992">
            <v>236.99</v>
          </cell>
        </row>
        <row r="13993">
          <cell r="C13993" t="str">
            <v>5201 - INTERIOR DOOR UNITS (BOM)</v>
          </cell>
          <cell r="D13993" t="str">
            <v>IFDRP5880LTSN</v>
          </cell>
          <cell r="BA13993">
            <v>236.99</v>
          </cell>
        </row>
        <row r="13994">
          <cell r="C13994" t="str">
            <v>5201 - INTERIOR DOOR UNITS (BOM)</v>
          </cell>
          <cell r="D13994" t="str">
            <v>IFDRP3080BCSN</v>
          </cell>
          <cell r="BA13994">
            <v>189.99</v>
          </cell>
        </row>
        <row r="13995">
          <cell r="C13995" t="str">
            <v>5201 - INTERIOR DOOR UNITS (BOM)</v>
          </cell>
          <cell r="D13995" t="str">
            <v>IFDRP3480BCSN</v>
          </cell>
          <cell r="BA13995">
            <v>189.99</v>
          </cell>
        </row>
        <row r="13996">
          <cell r="C13996" t="str">
            <v>5201 - INTERIOR DOOR UNITS (BOM)</v>
          </cell>
          <cell r="D13996" t="str">
            <v>IFDRP3880BCSN</v>
          </cell>
          <cell r="BA13996">
            <v>189.99</v>
          </cell>
        </row>
        <row r="13997">
          <cell r="C13997" t="str">
            <v>5201 - INTERIOR DOOR UNITS (BOM)</v>
          </cell>
          <cell r="D13997" t="str">
            <v>IFDRP4080BCSN</v>
          </cell>
          <cell r="BA13997">
            <v>189.99</v>
          </cell>
        </row>
        <row r="13998">
          <cell r="C13998" t="str">
            <v>5201 - INTERIOR DOOR UNITS (BOM)</v>
          </cell>
          <cell r="D13998" t="str">
            <v>IFDRP4480BCSN</v>
          </cell>
          <cell r="BA13998">
            <v>189.99</v>
          </cell>
        </row>
        <row r="13999">
          <cell r="C13999" t="str">
            <v>5201 - INTERIOR DOOR UNITS (BOM)</v>
          </cell>
          <cell r="D13999" t="str">
            <v>IFDRP4880BCSN</v>
          </cell>
          <cell r="BA13999">
            <v>189.99</v>
          </cell>
        </row>
        <row r="14000">
          <cell r="C14000" t="str">
            <v>5201 - INTERIOR DOOR UNITS (BOM)</v>
          </cell>
          <cell r="D14000" t="str">
            <v>IFDRP5080BCSN</v>
          </cell>
          <cell r="BA14000">
            <v>189.99</v>
          </cell>
        </row>
        <row r="14001">
          <cell r="C14001" t="str">
            <v>5201 - INTERIOR DOOR UNITS (BOM)</v>
          </cell>
          <cell r="D14001" t="str">
            <v>IFDRP5480BCSN</v>
          </cell>
          <cell r="BA14001">
            <v>189.99</v>
          </cell>
        </row>
        <row r="14002">
          <cell r="C14002" t="str">
            <v>5201 - INTERIOR DOOR UNITS (BOM)</v>
          </cell>
          <cell r="D14002" t="str">
            <v>IFDRP5880BCSN</v>
          </cell>
          <cell r="BA14002">
            <v>189.99</v>
          </cell>
        </row>
        <row r="14003">
          <cell r="C14003" t="str">
            <v>5201 - INTERIOR DOOR UNITS (BOM)</v>
          </cell>
          <cell r="D14003" t="str">
            <v>IFDRP16ROR</v>
          </cell>
          <cell r="BA14003">
            <v>74.989999999999995</v>
          </cell>
        </row>
        <row r="14004">
          <cell r="C14004" t="str">
            <v>5201 - INTERIOR DOOR UNITS (BOM)</v>
          </cell>
          <cell r="D14004" t="str">
            <v>IFDRP16LOR</v>
          </cell>
          <cell r="BA14004">
            <v>74.989999999999995</v>
          </cell>
        </row>
        <row r="14005">
          <cell r="C14005" t="str">
            <v>5201 - INTERIOR DOOR UNITS (BOM)</v>
          </cell>
          <cell r="D14005" t="str">
            <v>IFDRP18ROR</v>
          </cell>
          <cell r="BA14005">
            <v>74.989999999999995</v>
          </cell>
        </row>
        <row r="14006">
          <cell r="C14006" t="str">
            <v>5201 - INTERIOR DOOR UNITS (BOM)</v>
          </cell>
          <cell r="D14006" t="str">
            <v>IFDRP18LOR</v>
          </cell>
          <cell r="BA14006">
            <v>74.989999999999995</v>
          </cell>
        </row>
        <row r="14007">
          <cell r="C14007" t="str">
            <v>5201 - INTERIOR DOOR UNITS (BOM)</v>
          </cell>
          <cell r="D14007" t="str">
            <v>IFDRP110ROR</v>
          </cell>
          <cell r="BA14007">
            <v>74.989999999999995</v>
          </cell>
        </row>
        <row r="14008">
          <cell r="C14008" t="str">
            <v>5201 - INTERIOR DOOR UNITS (BOM)</v>
          </cell>
          <cell r="D14008" t="str">
            <v>IFDRP110LOR</v>
          </cell>
          <cell r="BA14008">
            <v>74.989999999999995</v>
          </cell>
        </row>
        <row r="14009">
          <cell r="C14009" t="str">
            <v>5201 - INTERIOR DOOR UNITS (BOM)</v>
          </cell>
          <cell r="D14009" t="str">
            <v>IFDRP20ROR</v>
          </cell>
          <cell r="BA14009">
            <v>74.989999999999995</v>
          </cell>
        </row>
        <row r="14010">
          <cell r="C14010" t="str">
            <v>5201 - INTERIOR DOOR UNITS (BOM)</v>
          </cell>
          <cell r="D14010" t="str">
            <v>IFDRP20LOR</v>
          </cell>
          <cell r="BA14010">
            <v>74.989999999999995</v>
          </cell>
        </row>
        <row r="14011">
          <cell r="C14011" t="str">
            <v>5201 - INTERIOR DOOR UNITS (BOM)</v>
          </cell>
          <cell r="D14011" t="str">
            <v>IFDRP22ROR</v>
          </cell>
          <cell r="BA14011">
            <v>74.989999999999995</v>
          </cell>
        </row>
        <row r="14012">
          <cell r="C14012" t="str">
            <v>5201 - INTERIOR DOOR UNITS (BOM)</v>
          </cell>
          <cell r="D14012" t="str">
            <v>IFDRP22LOR</v>
          </cell>
          <cell r="BA14012">
            <v>74.989999999999995</v>
          </cell>
        </row>
        <row r="14013">
          <cell r="C14013" t="str">
            <v>5201 - INTERIOR DOOR UNITS (BOM)</v>
          </cell>
          <cell r="D14013" t="str">
            <v>IFDRP24ROR</v>
          </cell>
          <cell r="BA14013">
            <v>74.989999999999995</v>
          </cell>
        </row>
        <row r="14014">
          <cell r="C14014" t="str">
            <v>5201 - INTERIOR DOOR UNITS (BOM)</v>
          </cell>
          <cell r="D14014" t="str">
            <v>IFDRP24LOR</v>
          </cell>
          <cell r="BA14014">
            <v>73.989999999999995</v>
          </cell>
        </row>
        <row r="14015">
          <cell r="C14015" t="str">
            <v>5201 - INTERIOR DOOR UNITS (BOM)</v>
          </cell>
          <cell r="D14015" t="str">
            <v>IFDRP26ROR</v>
          </cell>
          <cell r="BA14015">
            <v>74.989999999999995</v>
          </cell>
        </row>
        <row r="14016">
          <cell r="C14016" t="str">
            <v>5201 - INTERIOR DOOR UNITS (BOM)</v>
          </cell>
          <cell r="D14016" t="str">
            <v>IFDRP26LOR</v>
          </cell>
          <cell r="BA14016">
            <v>74.989999999999995</v>
          </cell>
        </row>
        <row r="14017">
          <cell r="C14017" t="str">
            <v>5201 - INTERIOR DOOR UNITS (BOM)</v>
          </cell>
          <cell r="D14017" t="str">
            <v>IFDRP28ROR</v>
          </cell>
          <cell r="BA14017">
            <v>74.989999999999995</v>
          </cell>
        </row>
        <row r="14018">
          <cell r="C14018" t="str">
            <v>5201 - INTERIOR DOOR UNITS (BOM)</v>
          </cell>
          <cell r="D14018" t="str">
            <v>IFDRP28LOR</v>
          </cell>
          <cell r="BA14018">
            <v>74.989999999999995</v>
          </cell>
        </row>
        <row r="14019">
          <cell r="C14019" t="str">
            <v>5201 - INTERIOR DOOR UNITS (BOM)</v>
          </cell>
          <cell r="D14019" t="str">
            <v>IFDRP210ROR</v>
          </cell>
          <cell r="BA14019">
            <v>74.989999999999995</v>
          </cell>
        </row>
        <row r="14020">
          <cell r="C14020" t="str">
            <v>5201 - INTERIOR DOOR UNITS (BOM)</v>
          </cell>
          <cell r="D14020" t="str">
            <v>IFDRP210LOR</v>
          </cell>
          <cell r="BA14020">
            <v>74.989999999999995</v>
          </cell>
        </row>
        <row r="14021">
          <cell r="C14021" t="str">
            <v>5201 - INTERIOR DOOR UNITS (BOM)</v>
          </cell>
          <cell r="D14021" t="str">
            <v>IFDRP36ROR</v>
          </cell>
          <cell r="BA14021">
            <v>79.989999999999995</v>
          </cell>
        </row>
        <row r="14022">
          <cell r="C14022" t="str">
            <v>5201 - INTERIOR DOOR UNITS (BOM)</v>
          </cell>
          <cell r="D14022" t="str">
            <v>IFDRP36LOR</v>
          </cell>
          <cell r="BA14022">
            <v>79.989999999999995</v>
          </cell>
        </row>
        <row r="14023">
          <cell r="C14023" t="str">
            <v>5201 - INTERIOR DOOR UNITS (BOM)</v>
          </cell>
          <cell r="D14023" t="str">
            <v>IFDRP30RTOR</v>
          </cell>
          <cell r="BA14023">
            <v>155.99</v>
          </cell>
        </row>
        <row r="14024">
          <cell r="C14024" t="str">
            <v>5201 - INTERIOR DOOR UNITS (BOM)</v>
          </cell>
          <cell r="D14024" t="str">
            <v>IFDRP30LTOR</v>
          </cell>
          <cell r="BA14024">
            <v>155.99</v>
          </cell>
        </row>
        <row r="14025">
          <cell r="C14025" t="str">
            <v>5201 - INTERIOR DOOR UNITS (BOM)</v>
          </cell>
          <cell r="D14025" t="str">
            <v>IFDRP34RTOR</v>
          </cell>
          <cell r="BA14025">
            <v>155.99</v>
          </cell>
        </row>
        <row r="14026">
          <cell r="C14026" t="str">
            <v>5201 - INTERIOR DOOR UNITS (BOM)</v>
          </cell>
          <cell r="D14026" t="str">
            <v>IFDRP34LTOR</v>
          </cell>
          <cell r="BA14026">
            <v>155.99</v>
          </cell>
        </row>
        <row r="14027">
          <cell r="C14027" t="str">
            <v>5201 - INTERIOR DOOR UNITS (BOM)</v>
          </cell>
          <cell r="D14027" t="str">
            <v>IFDRP38RTOR</v>
          </cell>
          <cell r="BA14027">
            <v>155.99</v>
          </cell>
        </row>
        <row r="14028">
          <cell r="C14028" t="str">
            <v>5201 - INTERIOR DOOR UNITS (BOM)</v>
          </cell>
          <cell r="D14028" t="str">
            <v>IFDRP38LTOR</v>
          </cell>
          <cell r="BA14028">
            <v>155.99</v>
          </cell>
        </row>
        <row r="14029">
          <cell r="C14029" t="str">
            <v>5201 - INTERIOR DOOR UNITS (BOM)</v>
          </cell>
          <cell r="D14029" t="str">
            <v>IFDRP40RTOR</v>
          </cell>
          <cell r="BA14029">
            <v>155.99</v>
          </cell>
        </row>
        <row r="14030">
          <cell r="C14030" t="str">
            <v>5201 - INTERIOR DOOR UNITS (BOM)</v>
          </cell>
          <cell r="D14030" t="str">
            <v>IFDRP40LTOR</v>
          </cell>
          <cell r="BA14030">
            <v>155.99</v>
          </cell>
        </row>
        <row r="14031">
          <cell r="C14031" t="str">
            <v>5201 - INTERIOR DOOR UNITS (BOM)</v>
          </cell>
          <cell r="D14031" t="str">
            <v>IFDRP44RTOR</v>
          </cell>
          <cell r="BA14031">
            <v>155.99</v>
          </cell>
        </row>
        <row r="14032">
          <cell r="C14032" t="str">
            <v>5201 - INTERIOR DOOR UNITS (BOM)</v>
          </cell>
          <cell r="D14032" t="str">
            <v>IFDRP44LTOR</v>
          </cell>
          <cell r="BA14032">
            <v>155.99</v>
          </cell>
        </row>
        <row r="14033">
          <cell r="C14033" t="str">
            <v>5201 - INTERIOR DOOR UNITS (BOM)</v>
          </cell>
          <cell r="D14033" t="str">
            <v>IFDRP48RTOR</v>
          </cell>
          <cell r="BA14033">
            <v>155.99</v>
          </cell>
        </row>
        <row r="14034">
          <cell r="C14034" t="str">
            <v>5201 - INTERIOR DOOR UNITS (BOM)</v>
          </cell>
          <cell r="D14034" t="str">
            <v>IFDRP48LTOR</v>
          </cell>
          <cell r="BA14034">
            <v>155.99</v>
          </cell>
        </row>
        <row r="14035">
          <cell r="C14035" t="str">
            <v>5201 - INTERIOR DOOR UNITS (BOM)</v>
          </cell>
          <cell r="D14035" t="str">
            <v>IFDRP50RTOR</v>
          </cell>
          <cell r="BA14035">
            <v>155.99</v>
          </cell>
        </row>
        <row r="14036">
          <cell r="C14036" t="str">
            <v>5201 - INTERIOR DOOR UNITS (BOM)</v>
          </cell>
          <cell r="D14036" t="str">
            <v>IFDRP50LTOR</v>
          </cell>
          <cell r="BA14036">
            <v>155.99</v>
          </cell>
        </row>
        <row r="14037">
          <cell r="C14037" t="str">
            <v>5201 - INTERIOR DOOR UNITS (BOM)</v>
          </cell>
          <cell r="D14037" t="str">
            <v>IFDRP54RTOR</v>
          </cell>
          <cell r="BA14037">
            <v>155.99</v>
          </cell>
        </row>
        <row r="14038">
          <cell r="C14038" t="str">
            <v>5201 - INTERIOR DOOR UNITS (BOM)</v>
          </cell>
          <cell r="D14038" t="str">
            <v>IFDRP54LTOR</v>
          </cell>
          <cell r="BA14038">
            <v>155.99</v>
          </cell>
        </row>
        <row r="14039">
          <cell r="C14039" t="str">
            <v>5201 - INTERIOR DOOR UNITS (BOM)</v>
          </cell>
          <cell r="D14039" t="str">
            <v>IFDRP58RTOR</v>
          </cell>
          <cell r="BA14039">
            <v>155.99</v>
          </cell>
        </row>
        <row r="14040">
          <cell r="C14040" t="str">
            <v>5201 - INTERIOR DOOR UNITS (BOM)</v>
          </cell>
          <cell r="D14040" t="str">
            <v>IFDRP58LTOR</v>
          </cell>
          <cell r="BA14040">
            <v>155.99</v>
          </cell>
        </row>
        <row r="14041">
          <cell r="C14041" t="str">
            <v>5201 - INTERIOR DOOR UNITS (BOM)</v>
          </cell>
          <cell r="D14041" t="str">
            <v>IFDRP30BCOR</v>
          </cell>
          <cell r="BA14041">
            <v>133.99</v>
          </cell>
        </row>
        <row r="14042">
          <cell r="C14042" t="str">
            <v>5201 - INTERIOR DOOR UNITS (BOM)</v>
          </cell>
          <cell r="D14042" t="str">
            <v>IFDRP34BCOR</v>
          </cell>
          <cell r="BA14042">
            <v>133.99</v>
          </cell>
        </row>
        <row r="14043">
          <cell r="C14043" t="str">
            <v>5201 - INTERIOR DOOR UNITS (BOM)</v>
          </cell>
          <cell r="D14043" t="str">
            <v>IFDRP38BCOR</v>
          </cell>
          <cell r="BA14043">
            <v>132.99</v>
          </cell>
        </row>
        <row r="14044">
          <cell r="C14044" t="str">
            <v>5201 - INTERIOR DOOR UNITS (BOM)</v>
          </cell>
          <cell r="D14044" t="str">
            <v>IFDRP40BCOR</v>
          </cell>
          <cell r="BA14044">
            <v>133.99</v>
          </cell>
        </row>
        <row r="14045">
          <cell r="C14045" t="str">
            <v>5201 - INTERIOR DOOR UNITS (BOM)</v>
          </cell>
          <cell r="D14045" t="str">
            <v>IFDRP44BCOR</v>
          </cell>
          <cell r="BA14045">
            <v>133.99</v>
          </cell>
        </row>
        <row r="14046">
          <cell r="C14046" t="str">
            <v>5201 - INTERIOR DOOR UNITS (BOM)</v>
          </cell>
          <cell r="D14046" t="str">
            <v>IFDRP48BCOR</v>
          </cell>
          <cell r="BA14046">
            <v>133.99</v>
          </cell>
        </row>
        <row r="14047">
          <cell r="C14047" t="str">
            <v>5201 - INTERIOR DOOR UNITS (BOM)</v>
          </cell>
          <cell r="D14047" t="str">
            <v>IFDRP50BCOR</v>
          </cell>
          <cell r="BA14047">
            <v>133.99</v>
          </cell>
        </row>
        <row r="14048">
          <cell r="C14048" t="str">
            <v>5201 - INTERIOR DOOR UNITS (BOM)</v>
          </cell>
          <cell r="D14048" t="str">
            <v>IFDRP54BCOR</v>
          </cell>
          <cell r="BA14048">
            <v>133.99</v>
          </cell>
        </row>
        <row r="14049">
          <cell r="C14049" t="str">
            <v>5201 - INTERIOR DOOR UNITS (BOM)</v>
          </cell>
          <cell r="D14049" t="str">
            <v>IFDRP58BCOR</v>
          </cell>
          <cell r="BA14049">
            <v>133.99</v>
          </cell>
        </row>
        <row r="14050">
          <cell r="C14050" t="str">
            <v>5201 - INTERIOR DOOR UNITS (BOM)</v>
          </cell>
          <cell r="D14050" t="str">
            <v>IFDRP1680ROR</v>
          </cell>
          <cell r="BA14050">
            <v>101.99</v>
          </cell>
        </row>
        <row r="14051">
          <cell r="C14051" t="str">
            <v>5201 - INTERIOR DOOR UNITS (BOM)</v>
          </cell>
          <cell r="D14051" t="str">
            <v>IFDRP1680LOR</v>
          </cell>
          <cell r="BA14051">
            <v>101.99</v>
          </cell>
        </row>
        <row r="14052">
          <cell r="C14052" t="str">
            <v>5201 - INTERIOR DOOR UNITS (BOM)</v>
          </cell>
          <cell r="D14052" t="str">
            <v>IFDRP1880ROR</v>
          </cell>
          <cell r="BA14052">
            <v>101.99</v>
          </cell>
        </row>
        <row r="14053">
          <cell r="C14053" t="str">
            <v>5201 - INTERIOR DOOR UNITS (BOM)</v>
          </cell>
          <cell r="D14053" t="str">
            <v>IFDRP1880LOR</v>
          </cell>
          <cell r="BA14053">
            <v>101.99</v>
          </cell>
        </row>
        <row r="14054">
          <cell r="C14054" t="str">
            <v>5201 - INTERIOR DOOR UNITS (BOM)</v>
          </cell>
          <cell r="D14054" t="str">
            <v>IFDRP11080ROR</v>
          </cell>
          <cell r="BA14054">
            <v>101.99</v>
          </cell>
        </row>
        <row r="14055">
          <cell r="C14055" t="str">
            <v>5201 - INTERIOR DOOR UNITS (BOM)</v>
          </cell>
          <cell r="D14055" t="str">
            <v>IFDRP11080LOR</v>
          </cell>
          <cell r="BA14055">
            <v>101.99</v>
          </cell>
        </row>
        <row r="14056">
          <cell r="C14056" t="str">
            <v>5201 - INTERIOR DOOR UNITS (BOM)</v>
          </cell>
          <cell r="D14056" t="str">
            <v>IFDRP2080ROR</v>
          </cell>
          <cell r="BA14056">
            <v>101.99</v>
          </cell>
        </row>
        <row r="14057">
          <cell r="C14057" t="str">
            <v>5201 - INTERIOR DOOR UNITS (BOM)</v>
          </cell>
          <cell r="D14057" t="str">
            <v>IFDRP2080LOR</v>
          </cell>
          <cell r="BA14057">
            <v>101.99</v>
          </cell>
        </row>
        <row r="14058">
          <cell r="C14058" t="str">
            <v>5201 - INTERIOR DOOR UNITS (BOM)</v>
          </cell>
          <cell r="D14058" t="str">
            <v>IFDRP2280ROR</v>
          </cell>
          <cell r="BA14058">
            <v>101.99</v>
          </cell>
        </row>
        <row r="14059">
          <cell r="C14059" t="str">
            <v>5201 - INTERIOR DOOR UNITS (BOM)</v>
          </cell>
          <cell r="D14059" t="str">
            <v>IFDRP2280LOR</v>
          </cell>
          <cell r="BA14059">
            <v>101.99</v>
          </cell>
        </row>
        <row r="14060">
          <cell r="C14060" t="str">
            <v>5201 - INTERIOR DOOR UNITS (BOM)</v>
          </cell>
          <cell r="D14060" t="str">
            <v>IFDRP2480ROR</v>
          </cell>
          <cell r="BA14060">
            <v>101.99</v>
          </cell>
        </row>
        <row r="14061">
          <cell r="C14061" t="str">
            <v>5201 - INTERIOR DOOR UNITS (BOM)</v>
          </cell>
          <cell r="D14061" t="str">
            <v>IFDRP2480LOR</v>
          </cell>
          <cell r="BA14061">
            <v>101.99</v>
          </cell>
        </row>
        <row r="14062">
          <cell r="C14062" t="str">
            <v>5201 - INTERIOR DOOR UNITS (BOM)</v>
          </cell>
          <cell r="D14062" t="str">
            <v>IFDRP2680ROR</v>
          </cell>
          <cell r="BA14062">
            <v>101.99</v>
          </cell>
        </row>
        <row r="14063">
          <cell r="C14063" t="str">
            <v>5201 - INTERIOR DOOR UNITS (BOM)</v>
          </cell>
          <cell r="D14063" t="str">
            <v>IFDRP2680LOR</v>
          </cell>
          <cell r="BA14063">
            <v>101.99</v>
          </cell>
        </row>
        <row r="14064">
          <cell r="C14064" t="str">
            <v>5201 - INTERIOR DOOR UNITS (BOM)</v>
          </cell>
          <cell r="D14064" t="str">
            <v>IFDRP2880ROR</v>
          </cell>
          <cell r="BA14064">
            <v>101.99</v>
          </cell>
        </row>
        <row r="14065">
          <cell r="C14065" t="str">
            <v>5201 - INTERIOR DOOR UNITS (BOM)</v>
          </cell>
          <cell r="D14065" t="str">
            <v>IFDRP2880LOR</v>
          </cell>
          <cell r="BA14065">
            <v>101.99</v>
          </cell>
        </row>
        <row r="14066">
          <cell r="C14066" t="str">
            <v>5201 - INTERIOR DOOR UNITS (BOM)</v>
          </cell>
          <cell r="D14066" t="str">
            <v>IFDRP21080ROR</v>
          </cell>
          <cell r="BA14066">
            <v>101.99</v>
          </cell>
        </row>
        <row r="14067">
          <cell r="C14067" t="str">
            <v>5201 - INTERIOR DOOR UNITS (BOM)</v>
          </cell>
          <cell r="D14067" t="str">
            <v>IFDRP21080LOR</v>
          </cell>
          <cell r="BA14067">
            <v>101.99</v>
          </cell>
        </row>
        <row r="14068">
          <cell r="C14068" t="str">
            <v>5201 - INTERIOR DOOR UNITS (BOM)</v>
          </cell>
          <cell r="D14068" t="str">
            <v>IFDRP3680ROR</v>
          </cell>
          <cell r="BA14068">
            <v>107.99</v>
          </cell>
        </row>
        <row r="14069">
          <cell r="C14069" t="str">
            <v>5201 - INTERIOR DOOR UNITS (BOM)</v>
          </cell>
          <cell r="D14069" t="str">
            <v>IFDRP3680LOR</v>
          </cell>
          <cell r="BA14069">
            <v>107.99</v>
          </cell>
        </row>
        <row r="14070">
          <cell r="C14070" t="str">
            <v>5201 - INTERIOR DOOR UNITS (BOM)</v>
          </cell>
          <cell r="D14070" t="str">
            <v>IFDRP3080RTOR</v>
          </cell>
          <cell r="BA14070">
            <v>235.99</v>
          </cell>
        </row>
        <row r="14071">
          <cell r="C14071" t="str">
            <v>5201 - INTERIOR DOOR UNITS (BOM)</v>
          </cell>
          <cell r="D14071" t="str">
            <v>IFDRP3080LTOR</v>
          </cell>
          <cell r="BA14071">
            <v>235.99</v>
          </cell>
        </row>
        <row r="14072">
          <cell r="C14072" t="str">
            <v>5201 - INTERIOR DOOR UNITS (BOM)</v>
          </cell>
          <cell r="D14072" t="str">
            <v>IFDRP3480RTOR</v>
          </cell>
          <cell r="BA14072">
            <v>235.99</v>
          </cell>
        </row>
        <row r="14073">
          <cell r="C14073" t="str">
            <v>5201 - INTERIOR DOOR UNITS (BOM)</v>
          </cell>
          <cell r="D14073" t="str">
            <v>IFDRP3480LTOR</v>
          </cell>
          <cell r="BA14073">
            <v>235.99</v>
          </cell>
        </row>
        <row r="14074">
          <cell r="C14074" t="str">
            <v>5201 - INTERIOR DOOR UNITS (BOM)</v>
          </cell>
          <cell r="D14074" t="str">
            <v>IFDRP3880RTOR</v>
          </cell>
          <cell r="BA14074">
            <v>235.99</v>
          </cell>
        </row>
        <row r="14075">
          <cell r="C14075" t="str">
            <v>5201 - INTERIOR DOOR UNITS (BOM)</v>
          </cell>
          <cell r="D14075" t="str">
            <v>IFDRP3880LTOR</v>
          </cell>
          <cell r="BA14075">
            <v>235.99</v>
          </cell>
        </row>
        <row r="14076">
          <cell r="C14076" t="str">
            <v>5201 - INTERIOR DOOR UNITS (BOM)</v>
          </cell>
          <cell r="D14076" t="str">
            <v>IFDRP4080RTOR</v>
          </cell>
          <cell r="BA14076">
            <v>235.99</v>
          </cell>
        </row>
        <row r="14077">
          <cell r="C14077" t="str">
            <v>5201 - INTERIOR DOOR UNITS (BOM)</v>
          </cell>
          <cell r="D14077" t="str">
            <v>IFDRP4080LTOR</v>
          </cell>
          <cell r="BA14077">
            <v>235.99</v>
          </cell>
        </row>
        <row r="14078">
          <cell r="C14078" t="str">
            <v>5201 - INTERIOR DOOR UNITS (BOM)</v>
          </cell>
          <cell r="D14078" t="str">
            <v>IFDRP4480RTOR</v>
          </cell>
          <cell r="BA14078">
            <v>235.99</v>
          </cell>
        </row>
        <row r="14079">
          <cell r="C14079" t="str">
            <v>5201 - INTERIOR DOOR UNITS (BOM)</v>
          </cell>
          <cell r="D14079" t="str">
            <v>IFDRP4480LTOR</v>
          </cell>
          <cell r="BA14079">
            <v>235.99</v>
          </cell>
        </row>
        <row r="14080">
          <cell r="C14080" t="str">
            <v>5201 - INTERIOR DOOR UNITS (BOM)</v>
          </cell>
          <cell r="D14080" t="str">
            <v>IFDRP4880RTOR</v>
          </cell>
          <cell r="BA14080">
            <v>235.99</v>
          </cell>
        </row>
        <row r="14081">
          <cell r="C14081" t="str">
            <v>5201 - INTERIOR DOOR UNITS (BOM)</v>
          </cell>
          <cell r="D14081" t="str">
            <v>IFDRP4880LTOR</v>
          </cell>
          <cell r="BA14081">
            <v>235.99</v>
          </cell>
        </row>
        <row r="14082">
          <cell r="C14082" t="str">
            <v>5201 - INTERIOR DOOR UNITS (BOM)</v>
          </cell>
          <cell r="D14082" t="str">
            <v>IFDRP5080RTOR</v>
          </cell>
          <cell r="BA14082">
            <v>235.99</v>
          </cell>
        </row>
        <row r="14083">
          <cell r="C14083" t="str">
            <v>5201 - INTERIOR DOOR UNITS (BOM)</v>
          </cell>
          <cell r="D14083" t="str">
            <v>IFDRP5080LTOR</v>
          </cell>
          <cell r="BA14083">
            <v>235.99</v>
          </cell>
        </row>
        <row r="14084">
          <cell r="C14084" t="str">
            <v>5201 - INTERIOR DOOR UNITS (BOM)</v>
          </cell>
          <cell r="D14084" t="str">
            <v>IFDRP5480RTOR</v>
          </cell>
          <cell r="BA14084">
            <v>235.99</v>
          </cell>
        </row>
        <row r="14085">
          <cell r="C14085" t="str">
            <v>5201 - INTERIOR DOOR UNITS (BOM)</v>
          </cell>
          <cell r="D14085" t="str">
            <v>IFDRP5480LTOR</v>
          </cell>
          <cell r="BA14085">
            <v>235.99</v>
          </cell>
        </row>
        <row r="14086">
          <cell r="C14086" t="str">
            <v>5201 - INTERIOR DOOR UNITS (BOM)</v>
          </cell>
          <cell r="D14086" t="str">
            <v>IFDRP5880RTOR</v>
          </cell>
          <cell r="BA14086">
            <v>235.99</v>
          </cell>
        </row>
        <row r="14087">
          <cell r="C14087" t="str">
            <v>5201 - INTERIOR DOOR UNITS (BOM)</v>
          </cell>
          <cell r="D14087" t="str">
            <v>IFDRP5880LTOR</v>
          </cell>
          <cell r="BA14087">
            <v>235.99</v>
          </cell>
        </row>
        <row r="14088">
          <cell r="C14088" t="str">
            <v>5201 - INTERIOR DOOR UNITS (BOM)</v>
          </cell>
          <cell r="D14088" t="str">
            <v>IFDRP3080BCOR</v>
          </cell>
          <cell r="BA14088">
            <v>185.99</v>
          </cell>
        </row>
        <row r="14089">
          <cell r="C14089" t="str">
            <v>5201 - INTERIOR DOOR UNITS (BOM)</v>
          </cell>
          <cell r="D14089" t="str">
            <v>IFDRP3480BCOR</v>
          </cell>
          <cell r="BA14089">
            <v>185.99</v>
          </cell>
        </row>
        <row r="14090">
          <cell r="C14090" t="str">
            <v>5201 - INTERIOR DOOR UNITS (BOM)</v>
          </cell>
          <cell r="D14090" t="str">
            <v>IFDRP3880BCOR</v>
          </cell>
          <cell r="BA14090">
            <v>185.99</v>
          </cell>
        </row>
        <row r="14091">
          <cell r="C14091" t="str">
            <v>5201 - INTERIOR DOOR UNITS (BOM)</v>
          </cell>
          <cell r="D14091" t="str">
            <v>IFDRP4080BCOR</v>
          </cell>
          <cell r="BA14091">
            <v>185.99</v>
          </cell>
        </row>
        <row r="14092">
          <cell r="C14092" t="str">
            <v>5201 - INTERIOR DOOR UNITS (BOM)</v>
          </cell>
          <cell r="D14092" t="str">
            <v>IFDRP4480BCOR</v>
          </cell>
          <cell r="BA14092">
            <v>185.99</v>
          </cell>
        </row>
        <row r="14093">
          <cell r="C14093" t="str">
            <v>5201 - INTERIOR DOOR UNITS (BOM)</v>
          </cell>
          <cell r="D14093" t="str">
            <v>IFDRP4880BCOR</v>
          </cell>
          <cell r="BA14093">
            <v>185.99</v>
          </cell>
        </row>
        <row r="14094">
          <cell r="C14094" t="str">
            <v>5201 - INTERIOR DOOR UNITS (BOM)</v>
          </cell>
          <cell r="D14094" t="str">
            <v>IFDRP5080BCOR</v>
          </cell>
          <cell r="BA14094">
            <v>185.99</v>
          </cell>
        </row>
        <row r="14095">
          <cell r="C14095" t="str">
            <v>5201 - INTERIOR DOOR UNITS (BOM)</v>
          </cell>
          <cell r="D14095" t="str">
            <v>IFDRP5480BCOR</v>
          </cell>
          <cell r="BA14095">
            <v>185.99</v>
          </cell>
        </row>
        <row r="14096">
          <cell r="C14096" t="str">
            <v>5201 - INTERIOR DOOR UNITS (BOM)</v>
          </cell>
          <cell r="D14096" t="str">
            <v>IFDRP5880BCOR</v>
          </cell>
          <cell r="BA14096">
            <v>185.99</v>
          </cell>
        </row>
        <row r="14097">
          <cell r="C14097" t="str">
            <v>5202 - INTERIOR DR UNITS (PURCHASED)</v>
          </cell>
          <cell r="D14097" t="str">
            <v>PH6PT4FP26LSN</v>
          </cell>
          <cell r="BA14097">
            <v>125.99</v>
          </cell>
        </row>
        <row r="14098">
          <cell r="C14098" t="str">
            <v>5202 - INTERIOR DR UNITS (PURCHASED)</v>
          </cell>
          <cell r="D14098" t="str">
            <v>PH6PT4FP28RSN</v>
          </cell>
          <cell r="BA14098">
            <v>115.99</v>
          </cell>
        </row>
        <row r="14099">
          <cell r="C14099" t="str">
            <v>5202 - INTERIOR DR UNITS (PURCHASED)</v>
          </cell>
          <cell r="D14099" t="str">
            <v>PH6PT4FP28LSN</v>
          </cell>
          <cell r="BA14099">
            <v>102.99</v>
          </cell>
        </row>
        <row r="14100">
          <cell r="C14100" t="str">
            <v>5202 - INTERIOR DR UNITS (PURCHASED)</v>
          </cell>
          <cell r="D14100" t="str">
            <v>PH6PT4FP30LSN</v>
          </cell>
          <cell r="BA14100">
            <v>123.99</v>
          </cell>
        </row>
        <row r="14101">
          <cell r="C14101" t="str">
            <v>5202 - INTERIOR DR UNITS (PURCHASED)</v>
          </cell>
          <cell r="D14101" t="str">
            <v>PH6PT4FP30RSN</v>
          </cell>
          <cell r="BA14101">
            <v>180.99</v>
          </cell>
        </row>
        <row r="14102">
          <cell r="C14102" t="str">
            <v>5202 - INTERIOR DR UNITS (PURCHASED)</v>
          </cell>
          <cell r="D14102" t="str">
            <v>24PDF</v>
          </cell>
          <cell r="BA14102">
            <v>125.99</v>
          </cell>
        </row>
        <row r="14103">
          <cell r="C14103" t="str">
            <v>5202 - INTERIOR DR UNITS (PURCHASED)</v>
          </cell>
          <cell r="D14103" t="str">
            <v>26PDF</v>
          </cell>
          <cell r="BA14103">
            <v>123.99</v>
          </cell>
        </row>
        <row r="14104">
          <cell r="C14104" t="str">
            <v>5202 - INTERIOR DR UNITS (PURCHASED)</v>
          </cell>
          <cell r="D14104" t="str">
            <v>28PDF</v>
          </cell>
          <cell r="BA14104">
            <v>123.99</v>
          </cell>
        </row>
        <row r="14105">
          <cell r="C14105" t="str">
            <v>5202 - INTERIOR DR UNITS (PURCHASED)</v>
          </cell>
          <cell r="D14105" t="str">
            <v>30PDF</v>
          </cell>
          <cell r="BA14105">
            <v>122.99</v>
          </cell>
        </row>
        <row r="14106">
          <cell r="C14106" t="str">
            <v>5202 - INTERIOR DR UNITS (PURCHASED)</v>
          </cell>
          <cell r="D14106" t="str">
            <v>J30PDF</v>
          </cell>
          <cell r="BA14106">
            <v>109.99</v>
          </cell>
        </row>
        <row r="14107">
          <cell r="C14107" t="str">
            <v>5202 - INTERIOR DR UNITS (PURCHASED)</v>
          </cell>
          <cell r="D14107" t="str">
            <v>PK-1200-80-BB</v>
          </cell>
          <cell r="BA14107">
            <v>98.99</v>
          </cell>
        </row>
        <row r="14108">
          <cell r="C14108" t="str">
            <v>5202 - INTERIOR DR UNITS (PURCHASED)</v>
          </cell>
          <cell r="D14108" t="str">
            <v>PK-1200-96-BB</v>
          </cell>
          <cell r="BA14108">
            <v>172.99</v>
          </cell>
        </row>
        <row r="14109">
          <cell r="C14109" t="str">
            <v>5202 - INTERIOR DR UNITS (PURCHASED)</v>
          </cell>
          <cell r="D14109" t="str">
            <v>ORPK1225KIT</v>
          </cell>
          <cell r="BA14109">
            <v>18.89</v>
          </cell>
        </row>
        <row r="14110">
          <cell r="C14110" t="str">
            <v>5202 - INTERIOR DR UNITS (PURCHASED)</v>
          </cell>
          <cell r="D14110" t="str">
            <v>ORPK1211-VERG</v>
          </cell>
          <cell r="BA14110">
            <v>5.99</v>
          </cell>
        </row>
        <row r="14111">
          <cell r="C14111" t="str">
            <v>5202 - INTERIOR DR UNITS (PURCHASED)</v>
          </cell>
          <cell r="D14111" t="str">
            <v>20HDPDF</v>
          </cell>
          <cell r="BA14111">
            <v>123.99</v>
          </cell>
        </row>
        <row r="14112">
          <cell r="C14112" t="str">
            <v>5202 - INTERIOR DR UNITS (PURCHASED)</v>
          </cell>
          <cell r="D14112" t="str">
            <v>24HDPDF</v>
          </cell>
          <cell r="BA14112">
            <v>123.99</v>
          </cell>
        </row>
        <row r="14113">
          <cell r="C14113" t="str">
            <v>5202 - INTERIOR DR UNITS (PURCHASED)</v>
          </cell>
          <cell r="D14113" t="str">
            <v>26HDPDF</v>
          </cell>
          <cell r="BA14113">
            <v>123.99</v>
          </cell>
        </row>
        <row r="14114">
          <cell r="C14114" t="str">
            <v>5202 - INTERIOR DR UNITS (PURCHASED)</v>
          </cell>
          <cell r="D14114" t="str">
            <v>28HDPDF</v>
          </cell>
          <cell r="BA14114">
            <v>123.99</v>
          </cell>
        </row>
        <row r="14115">
          <cell r="C14115" t="str">
            <v>5202 - INTERIOR DR UNITS (PURCHASED)</v>
          </cell>
          <cell r="D14115" t="str">
            <v>30HDPDF</v>
          </cell>
          <cell r="BA14115">
            <v>123.99</v>
          </cell>
        </row>
        <row r="14116">
          <cell r="C14116" t="str">
            <v>5202 - INTERIOR DR UNITS (PURCHASED)</v>
          </cell>
          <cell r="D14116" t="str">
            <v>PDFK8</v>
          </cell>
          <cell r="BA14116">
            <v>159.99</v>
          </cell>
        </row>
        <row r="14117">
          <cell r="C14117" t="str">
            <v>5202 - INTERIOR DR UNITS (PURCHASED)</v>
          </cell>
          <cell r="D14117" t="str">
            <v>J153080PF</v>
          </cell>
          <cell r="BA14117">
            <v>131.99</v>
          </cell>
        </row>
        <row r="14118">
          <cell r="C14118" t="str">
            <v>5203 - BIFOLD/BYPASS DOORS</v>
          </cell>
          <cell r="D14118" t="str">
            <v>502PSBF</v>
          </cell>
          <cell r="BA14118">
            <v>132.99</v>
          </cell>
        </row>
        <row r="14119">
          <cell r="C14119" t="str">
            <v>5204 - INTERIOR DOOR SLABS</v>
          </cell>
          <cell r="D14119" t="str">
            <v>M203FPS</v>
          </cell>
          <cell r="BA14119">
            <v>78.989999999999995</v>
          </cell>
        </row>
        <row r="14120">
          <cell r="C14120" t="str">
            <v>5204 - INTERIOR DOOR SLABS</v>
          </cell>
          <cell r="D14120" t="str">
            <v>M243FPS</v>
          </cell>
          <cell r="BA14120">
            <v>81.99</v>
          </cell>
        </row>
        <row r="14121">
          <cell r="C14121" t="str">
            <v>5204 - INTERIOR DOOR SLABS</v>
          </cell>
          <cell r="D14121" t="str">
            <v>M263FPS</v>
          </cell>
          <cell r="BA14121">
            <v>85.99</v>
          </cell>
        </row>
        <row r="14122">
          <cell r="C14122" t="str">
            <v>5204 - INTERIOR DOOR SLABS</v>
          </cell>
          <cell r="D14122" t="str">
            <v>M283FPS</v>
          </cell>
          <cell r="BA14122">
            <v>89.99</v>
          </cell>
        </row>
        <row r="14123">
          <cell r="C14123" t="str">
            <v>5204 - INTERIOR DOOR SLABS</v>
          </cell>
          <cell r="D14123" t="str">
            <v>M2103FPS</v>
          </cell>
          <cell r="BA14123">
            <v>86.99</v>
          </cell>
        </row>
        <row r="14124">
          <cell r="C14124" t="str">
            <v>5204 - INTERIOR DOOR SLABS</v>
          </cell>
          <cell r="D14124" t="str">
            <v>M303FPS</v>
          </cell>
          <cell r="BA14124">
            <v>92.49</v>
          </cell>
        </row>
        <row r="14125">
          <cell r="C14125" t="str">
            <v>5204 - INTERIOR DOOR SLABS</v>
          </cell>
          <cell r="D14125" t="str">
            <v>M283FPS34SC20</v>
          </cell>
          <cell r="BA14125">
            <v>144.99</v>
          </cell>
        </row>
        <row r="14126">
          <cell r="C14126" t="str">
            <v>5204 - INTERIOR DOOR SLABS</v>
          </cell>
          <cell r="D14126" t="str">
            <v>M303FPS34SC20</v>
          </cell>
          <cell r="BA14126">
            <v>168.99</v>
          </cell>
        </row>
        <row r="14127">
          <cell r="C14127" t="str">
            <v>5204 - INTERIOR DOOR SLABS</v>
          </cell>
          <cell r="D14127" t="str">
            <v>M166PT</v>
          </cell>
          <cell r="BA14127">
            <v>46.69</v>
          </cell>
        </row>
        <row r="14128">
          <cell r="C14128" t="str">
            <v>5204 - INTERIOR DOOR SLABS</v>
          </cell>
          <cell r="D14128" t="str">
            <v>M206PT</v>
          </cell>
          <cell r="BA14128">
            <v>49.49</v>
          </cell>
        </row>
        <row r="14129">
          <cell r="C14129" t="str">
            <v>5204 - INTERIOR DOOR SLABS</v>
          </cell>
          <cell r="D14129" t="str">
            <v>M246PT</v>
          </cell>
          <cell r="BA14129">
            <v>51.49</v>
          </cell>
        </row>
        <row r="14130">
          <cell r="C14130" t="str">
            <v>5204 - INTERIOR DOOR SLABS</v>
          </cell>
          <cell r="D14130" t="str">
            <v>M266PT</v>
          </cell>
          <cell r="BA14130">
            <v>55.49</v>
          </cell>
        </row>
        <row r="14131">
          <cell r="C14131" t="str">
            <v>5204 - INTERIOR DOOR SLABS</v>
          </cell>
          <cell r="D14131" t="str">
            <v>M286PT</v>
          </cell>
          <cell r="BA14131">
            <v>55.99</v>
          </cell>
        </row>
        <row r="14132">
          <cell r="C14132" t="str">
            <v>5204 - INTERIOR DOOR SLABS</v>
          </cell>
          <cell r="D14132" t="str">
            <v>M2106PT</v>
          </cell>
          <cell r="BA14132">
            <v>57.49</v>
          </cell>
        </row>
        <row r="14133">
          <cell r="C14133" t="str">
            <v>5204 - INTERIOR DOOR SLABS</v>
          </cell>
          <cell r="D14133" t="str">
            <v>M306PT</v>
          </cell>
          <cell r="BA14133">
            <v>58.99</v>
          </cell>
        </row>
        <row r="14134">
          <cell r="C14134" t="str">
            <v>5204 - INTERIOR DOOR SLABS</v>
          </cell>
          <cell r="D14134" t="str">
            <v>HB20P</v>
          </cell>
          <cell r="BA14134">
            <v>45.49</v>
          </cell>
        </row>
        <row r="14135">
          <cell r="C14135" t="str">
            <v>5204 - INTERIOR DOOR SLABS</v>
          </cell>
          <cell r="D14135" t="str">
            <v>HB24P</v>
          </cell>
          <cell r="BA14135">
            <v>47.79</v>
          </cell>
        </row>
        <row r="14136">
          <cell r="C14136" t="str">
            <v>5204 - INTERIOR DOOR SLABS</v>
          </cell>
          <cell r="D14136" t="str">
            <v>HB26P</v>
          </cell>
          <cell r="BA14136">
            <v>49.89</v>
          </cell>
        </row>
        <row r="14137">
          <cell r="C14137" t="str">
            <v>5204 - INTERIOR DOOR SLABS</v>
          </cell>
          <cell r="D14137" t="str">
            <v>HB28P</v>
          </cell>
          <cell r="BA14137">
            <v>52.49</v>
          </cell>
        </row>
        <row r="14138">
          <cell r="C14138" t="str">
            <v>5204 - INTERIOR DOOR SLABS</v>
          </cell>
          <cell r="D14138" t="str">
            <v>HB30P</v>
          </cell>
          <cell r="BA14138">
            <v>54.99</v>
          </cell>
        </row>
        <row r="14139">
          <cell r="C14139" t="str">
            <v>5204 - INTERIOR DOOR SLABS</v>
          </cell>
          <cell r="D14139" t="str">
            <v>M161FP</v>
          </cell>
          <cell r="BA14139">
            <v>72.489999999999995</v>
          </cell>
        </row>
        <row r="14140">
          <cell r="C14140" t="str">
            <v>5204 - INTERIOR DOOR SLABS</v>
          </cell>
          <cell r="D14140" t="str">
            <v>M1101FP</v>
          </cell>
          <cell r="BA14140">
            <v>78.489999999999995</v>
          </cell>
        </row>
        <row r="14141">
          <cell r="C14141" t="str">
            <v>5204 - INTERIOR DOOR SLABS</v>
          </cell>
          <cell r="D14141" t="str">
            <v>M201FP</v>
          </cell>
          <cell r="BA14141">
            <v>77.489999999999995</v>
          </cell>
        </row>
        <row r="14142">
          <cell r="C14142" t="str">
            <v>5204 - INTERIOR DOOR SLABS</v>
          </cell>
          <cell r="D14142" t="str">
            <v>M221FP</v>
          </cell>
          <cell r="BA14142">
            <v>81.99</v>
          </cell>
        </row>
        <row r="14143">
          <cell r="C14143" t="str">
            <v>5204 - INTERIOR DOOR SLABS</v>
          </cell>
          <cell r="D14143" t="str">
            <v>M241FP</v>
          </cell>
          <cell r="BA14143">
            <v>81.489999999999995</v>
          </cell>
        </row>
        <row r="14144">
          <cell r="C14144" t="str">
            <v>5204 - INTERIOR DOOR SLABS</v>
          </cell>
          <cell r="D14144" t="str">
            <v>M261FP</v>
          </cell>
          <cell r="BA14144">
            <v>85.49</v>
          </cell>
        </row>
        <row r="14145">
          <cell r="C14145" t="str">
            <v>5204 - INTERIOR DOOR SLABS</v>
          </cell>
          <cell r="D14145" t="str">
            <v>M281FP</v>
          </cell>
          <cell r="BA14145">
            <v>88.99</v>
          </cell>
        </row>
        <row r="14146">
          <cell r="C14146" t="str">
            <v>5204 - INTERIOR DOOR SLABS</v>
          </cell>
          <cell r="D14146" t="str">
            <v>M2101FP</v>
          </cell>
          <cell r="BA14146">
            <v>92.49</v>
          </cell>
        </row>
        <row r="14147">
          <cell r="C14147" t="str">
            <v>5204 - INTERIOR DOOR SLABS</v>
          </cell>
          <cell r="D14147" t="str">
            <v>M301FP</v>
          </cell>
          <cell r="BA14147">
            <v>94.49</v>
          </cell>
        </row>
        <row r="14148">
          <cell r="C14148" t="str">
            <v>5204 - INTERIOR DOOR SLABS</v>
          </cell>
          <cell r="D14148" t="str">
            <v>M20801FP</v>
          </cell>
          <cell r="BA14148">
            <v>130.99</v>
          </cell>
        </row>
        <row r="14149">
          <cell r="C14149" t="str">
            <v>5204 - INTERIOR DOOR SLABS</v>
          </cell>
          <cell r="D14149" t="str">
            <v>M24801FP</v>
          </cell>
          <cell r="BA14149">
            <v>106.99</v>
          </cell>
        </row>
        <row r="14150">
          <cell r="C14150" t="str">
            <v>5204 - INTERIOR DOOR SLABS</v>
          </cell>
          <cell r="D14150" t="str">
            <v>M26801FP</v>
          </cell>
          <cell r="BA14150">
            <v>128.99</v>
          </cell>
        </row>
        <row r="14151">
          <cell r="C14151" t="str">
            <v>5204 - INTERIOR DOOR SLABS</v>
          </cell>
          <cell r="D14151" t="str">
            <v>M28801FP</v>
          </cell>
          <cell r="BA14151">
            <v>110.99</v>
          </cell>
        </row>
        <row r="14152">
          <cell r="C14152" t="str">
            <v>5204 - INTERIOR DOOR SLABS</v>
          </cell>
          <cell r="D14152" t="str">
            <v>M30801FP</v>
          </cell>
          <cell r="BA14152">
            <v>118.99</v>
          </cell>
        </row>
        <row r="14153">
          <cell r="C14153" t="str">
            <v>5204 - INTERIOR DOOR SLABS</v>
          </cell>
          <cell r="D14153" t="str">
            <v>M162PSL</v>
          </cell>
          <cell r="BA14153">
            <v>74.489999999999995</v>
          </cell>
        </row>
        <row r="14154">
          <cell r="C14154" t="str">
            <v>5204 - INTERIOR DOOR SLABS</v>
          </cell>
          <cell r="D14154" t="str">
            <v>M202PSL</v>
          </cell>
          <cell r="BA14154">
            <v>75.489999999999995</v>
          </cell>
        </row>
        <row r="14155">
          <cell r="C14155" t="str">
            <v>5204 - INTERIOR DOOR SLABS</v>
          </cell>
          <cell r="D14155" t="str">
            <v>M242PSL</v>
          </cell>
          <cell r="BA14155">
            <v>80.989999999999995</v>
          </cell>
        </row>
        <row r="14156">
          <cell r="C14156" t="str">
            <v>5204 - INTERIOR DOOR SLABS</v>
          </cell>
          <cell r="D14156" t="str">
            <v>M262PSL</v>
          </cell>
          <cell r="BA14156">
            <v>84.99</v>
          </cell>
        </row>
        <row r="14157">
          <cell r="C14157" t="str">
            <v>5204 - INTERIOR DOOR SLABS</v>
          </cell>
          <cell r="D14157" t="str">
            <v>M282PSL</v>
          </cell>
          <cell r="BA14157">
            <v>88.49</v>
          </cell>
        </row>
        <row r="14158">
          <cell r="C14158" t="str">
            <v>5204 - INTERIOR DOOR SLABS</v>
          </cell>
          <cell r="D14158" t="str">
            <v>M2102PSL</v>
          </cell>
          <cell r="BA14158">
            <v>90.49</v>
          </cell>
        </row>
        <row r="14159">
          <cell r="C14159" t="str">
            <v>5204 - INTERIOR DOOR SLABS</v>
          </cell>
          <cell r="D14159" t="str">
            <v>M302PSL</v>
          </cell>
          <cell r="BA14159">
            <v>93.99</v>
          </cell>
        </row>
        <row r="14160">
          <cell r="C14160" t="str">
            <v>5204 - INTERIOR DOOR SLABS</v>
          </cell>
          <cell r="D14160" t="str">
            <v>W20B34SC20</v>
          </cell>
          <cell r="BA14160">
            <v>149.99</v>
          </cell>
        </row>
        <row r="14161">
          <cell r="C14161" t="str">
            <v>5204 - INTERIOR DOOR SLABS</v>
          </cell>
          <cell r="D14161" t="str">
            <v>3070SB34SCC</v>
          </cell>
          <cell r="BA14161">
            <v>391.99</v>
          </cell>
        </row>
        <row r="14162">
          <cell r="C14162" t="str">
            <v>5204 - INTERIOR DOOR SLABS</v>
          </cell>
          <cell r="D14162" t="str">
            <v>3036SB34SCC</v>
          </cell>
          <cell r="BA14162">
            <v>116.99</v>
          </cell>
        </row>
        <row r="14163">
          <cell r="C14163" t="str">
            <v>5204 - INTERIOR DOOR SLABS</v>
          </cell>
          <cell r="D14163" t="str">
            <v>W24B34SC20</v>
          </cell>
          <cell r="BA14163">
            <v>162.99</v>
          </cell>
        </row>
        <row r="14164">
          <cell r="C14164" t="str">
            <v>5204 - INTERIOR DOOR SLABS</v>
          </cell>
          <cell r="D14164" t="str">
            <v>W26B34SC20</v>
          </cell>
          <cell r="BA14164">
            <v>167.99</v>
          </cell>
        </row>
        <row r="14165">
          <cell r="C14165" t="str">
            <v>5204 - INTERIOR DOOR SLABS</v>
          </cell>
          <cell r="D14165" t="str">
            <v>M282PSL34SC20</v>
          </cell>
          <cell r="BA14165">
            <v>142.99</v>
          </cell>
        </row>
        <row r="14166">
          <cell r="C14166" t="str">
            <v>5204 - INTERIOR DOOR SLABS</v>
          </cell>
          <cell r="D14166" t="str">
            <v>M302PSL34SC20</v>
          </cell>
          <cell r="BA14166">
            <v>155.99</v>
          </cell>
        </row>
        <row r="14167">
          <cell r="C14167" t="str">
            <v>5204 - INTERIOR DOOR SLABS</v>
          </cell>
          <cell r="D14167" t="str">
            <v>M142PS</v>
          </cell>
          <cell r="BA14167">
            <v>46.99</v>
          </cell>
        </row>
        <row r="14168">
          <cell r="C14168" t="str">
            <v>5204 - INTERIOR DOOR SLABS</v>
          </cell>
          <cell r="D14168" t="str">
            <v>M162PS</v>
          </cell>
          <cell r="BA14168">
            <v>56.49</v>
          </cell>
        </row>
        <row r="14169">
          <cell r="C14169" t="str">
            <v>5204 - INTERIOR DOOR SLABS</v>
          </cell>
          <cell r="D14169" t="str">
            <v>M1102PS</v>
          </cell>
          <cell r="BA14169">
            <v>55.99</v>
          </cell>
        </row>
        <row r="14170">
          <cell r="C14170" t="str">
            <v>5204 - INTERIOR DOOR SLABS</v>
          </cell>
          <cell r="D14170" t="str">
            <v>M202PS</v>
          </cell>
          <cell r="BA14170">
            <v>56.99</v>
          </cell>
        </row>
        <row r="14171">
          <cell r="C14171" t="str">
            <v>5204 - INTERIOR DOOR SLABS</v>
          </cell>
          <cell r="D14171" t="str">
            <v>M222PS</v>
          </cell>
          <cell r="BA14171">
            <v>61.99</v>
          </cell>
        </row>
        <row r="14172">
          <cell r="C14172" t="str">
            <v>5204 - INTERIOR DOOR SLABS</v>
          </cell>
          <cell r="D14172" t="str">
            <v>M242PS</v>
          </cell>
          <cell r="BA14172">
            <v>61.49</v>
          </cell>
        </row>
        <row r="14173">
          <cell r="C14173" t="str">
            <v>5204 - INTERIOR DOOR SLABS</v>
          </cell>
          <cell r="D14173" t="str">
            <v>M262PS</v>
          </cell>
          <cell r="BA14173">
            <v>63.99</v>
          </cell>
        </row>
        <row r="14174">
          <cell r="C14174" t="str">
            <v>5204 - INTERIOR DOOR SLABS</v>
          </cell>
          <cell r="D14174" t="str">
            <v>M282PS</v>
          </cell>
          <cell r="BA14174">
            <v>67.989999999999995</v>
          </cell>
        </row>
        <row r="14175">
          <cell r="C14175" t="str">
            <v>5204 - INTERIOR DOOR SLABS</v>
          </cell>
          <cell r="D14175" t="str">
            <v>M2102PS</v>
          </cell>
          <cell r="BA14175">
            <v>71.489999999999995</v>
          </cell>
        </row>
        <row r="14176">
          <cell r="C14176" t="str">
            <v>5204 - INTERIOR DOOR SLABS</v>
          </cell>
          <cell r="D14176" t="str">
            <v>M302PS</v>
          </cell>
          <cell r="BA14176">
            <v>70.489999999999995</v>
          </cell>
        </row>
        <row r="14177">
          <cell r="C14177" t="str">
            <v>5204 - INTERIOR DOOR SLABS</v>
          </cell>
          <cell r="D14177" t="str">
            <v>M20802PS</v>
          </cell>
          <cell r="BA14177">
            <v>94.99</v>
          </cell>
        </row>
        <row r="14178">
          <cell r="C14178" t="str">
            <v>5204 - INTERIOR DOOR SLABS</v>
          </cell>
          <cell r="D14178" t="str">
            <v>M24802PS</v>
          </cell>
          <cell r="BA14178">
            <v>102.99</v>
          </cell>
        </row>
        <row r="14179">
          <cell r="C14179" t="str">
            <v>5204 - INTERIOR DOOR SLABS</v>
          </cell>
          <cell r="D14179" t="str">
            <v>M26802PS</v>
          </cell>
          <cell r="BA14179">
            <v>106.99</v>
          </cell>
        </row>
        <row r="14180">
          <cell r="C14180" t="str">
            <v>5204 - INTERIOR DOOR SLABS</v>
          </cell>
          <cell r="D14180" t="str">
            <v>M28802PS</v>
          </cell>
          <cell r="BA14180">
            <v>113.99</v>
          </cell>
        </row>
        <row r="14181">
          <cell r="C14181" t="str">
            <v>5204 - INTERIOR DOOR SLABS</v>
          </cell>
          <cell r="D14181" t="str">
            <v>M210802PS</v>
          </cell>
          <cell r="BA14181">
            <v>115.99</v>
          </cell>
        </row>
        <row r="14182">
          <cell r="C14182" t="str">
            <v>5204 - INTERIOR DOOR SLABS</v>
          </cell>
          <cell r="D14182" t="str">
            <v>M30802PS</v>
          </cell>
          <cell r="BA14182">
            <v>116.99</v>
          </cell>
        </row>
        <row r="14183">
          <cell r="C14183" t="str">
            <v>5204 - INTERIOR DOOR SLABS</v>
          </cell>
          <cell r="D14183" t="str">
            <v>M203PSWL</v>
          </cell>
          <cell r="BA14183">
            <v>86.99</v>
          </cell>
        </row>
        <row r="14184">
          <cell r="C14184" t="str">
            <v>5204 - INTERIOR DOOR SLABS</v>
          </cell>
          <cell r="D14184" t="str">
            <v>M243PSWL</v>
          </cell>
          <cell r="BA14184">
            <v>80.489999999999995</v>
          </cell>
        </row>
        <row r="14185">
          <cell r="C14185" t="str">
            <v>5204 - INTERIOR DOOR SLABS</v>
          </cell>
          <cell r="D14185" t="str">
            <v>M263PSWL</v>
          </cell>
          <cell r="BA14185">
            <v>83.99</v>
          </cell>
        </row>
        <row r="14186">
          <cell r="C14186" t="str">
            <v>5204 - INTERIOR DOOR SLABS</v>
          </cell>
          <cell r="D14186" t="str">
            <v>M283PSWL</v>
          </cell>
          <cell r="BA14186">
            <v>89.49</v>
          </cell>
        </row>
        <row r="14187">
          <cell r="C14187" t="str">
            <v>5204 - INTERIOR DOOR SLABS</v>
          </cell>
          <cell r="D14187" t="str">
            <v>M303PSWL</v>
          </cell>
          <cell r="BA14187">
            <v>92.49</v>
          </cell>
        </row>
        <row r="14188">
          <cell r="C14188" t="str">
            <v>5204 - INTERIOR DOOR SLABS</v>
          </cell>
          <cell r="D14188" t="str">
            <v>M165HPS</v>
          </cell>
          <cell r="BA14188">
            <v>55.49</v>
          </cell>
        </row>
        <row r="14189">
          <cell r="C14189" t="str">
            <v>5204 - INTERIOR DOOR SLABS</v>
          </cell>
          <cell r="D14189" t="str">
            <v>M1105HPS</v>
          </cell>
          <cell r="BA14189">
            <v>80.489999999999995</v>
          </cell>
        </row>
        <row r="14190">
          <cell r="C14190" t="str">
            <v>5204 - INTERIOR DOOR SLABS</v>
          </cell>
          <cell r="D14190" t="str">
            <v>M205HPS</v>
          </cell>
          <cell r="BA14190">
            <v>57.99</v>
          </cell>
        </row>
        <row r="14191">
          <cell r="C14191" t="str">
            <v>5204 - INTERIOR DOOR SLABS</v>
          </cell>
          <cell r="D14191" t="str">
            <v>M245HPS</v>
          </cell>
          <cell r="BA14191">
            <v>60.99</v>
          </cell>
        </row>
        <row r="14192">
          <cell r="C14192" t="str">
            <v>5204 - INTERIOR DOOR SLABS</v>
          </cell>
          <cell r="D14192" t="str">
            <v>M265HPS</v>
          </cell>
          <cell r="BA14192">
            <v>63.49</v>
          </cell>
        </row>
        <row r="14193">
          <cell r="C14193" t="str">
            <v>5204 - INTERIOR DOOR SLABS</v>
          </cell>
          <cell r="D14193" t="str">
            <v>M285HPS</v>
          </cell>
          <cell r="BA14193">
            <v>65.989999999999995</v>
          </cell>
        </row>
        <row r="14194">
          <cell r="C14194" t="str">
            <v>5204 - INTERIOR DOOR SLABS</v>
          </cell>
          <cell r="D14194" t="str">
            <v>M305HPS</v>
          </cell>
          <cell r="BA14194">
            <v>69.989999999999995</v>
          </cell>
        </row>
        <row r="14195">
          <cell r="C14195" t="str">
            <v>5204 - INTERIOR DOOR SLABS</v>
          </cell>
          <cell r="D14195" t="str">
            <v>M20806HPS</v>
          </cell>
          <cell r="BA14195">
            <v>88.49</v>
          </cell>
        </row>
        <row r="14196">
          <cell r="C14196" t="str">
            <v>5204 - INTERIOR DOOR SLABS</v>
          </cell>
          <cell r="D14196" t="str">
            <v>M24806HPS</v>
          </cell>
          <cell r="BA14196">
            <v>90.49</v>
          </cell>
        </row>
        <row r="14197">
          <cell r="C14197" t="str">
            <v>5204 - INTERIOR DOOR SLABS</v>
          </cell>
          <cell r="D14197" t="str">
            <v>M26806HPS</v>
          </cell>
          <cell r="BA14197">
            <v>92.99</v>
          </cell>
        </row>
        <row r="14198">
          <cell r="C14198" t="str">
            <v>5204 - INTERIOR DOOR SLABS</v>
          </cell>
          <cell r="D14198" t="str">
            <v>M28806HPS</v>
          </cell>
          <cell r="BA14198">
            <v>99.99</v>
          </cell>
        </row>
        <row r="14199">
          <cell r="C14199" t="str">
            <v>5204 - INTERIOR DOOR SLABS</v>
          </cell>
          <cell r="D14199" t="str">
            <v>M30806HPS</v>
          </cell>
          <cell r="BA14199">
            <v>103.99</v>
          </cell>
        </row>
        <row r="14200">
          <cell r="C14200" t="str">
            <v>5204 - INTERIOR DOOR SLABS</v>
          </cell>
          <cell r="D14200" t="str">
            <v>M286PT34SC</v>
          </cell>
          <cell r="BA14200">
            <v>116.99</v>
          </cell>
        </row>
        <row r="14201">
          <cell r="C14201" t="str">
            <v>5204 - INTERIOR DOOR SLABS</v>
          </cell>
          <cell r="D14201" t="str">
            <v>M306PT34SC</v>
          </cell>
          <cell r="BA14201">
            <v>122.99</v>
          </cell>
        </row>
        <row r="14202">
          <cell r="C14202" t="str">
            <v>5204 - INTERIOR DOOR SLABS</v>
          </cell>
          <cell r="D14202" t="str">
            <v>M281FPS34SC20</v>
          </cell>
          <cell r="BA14202">
            <v>147.99</v>
          </cell>
        </row>
        <row r="14203">
          <cell r="C14203" t="str">
            <v>5204 - INTERIOR DOOR SLABS</v>
          </cell>
          <cell r="D14203" t="str">
            <v>M301FPS34SC20</v>
          </cell>
          <cell r="BA14203">
            <v>161.99</v>
          </cell>
        </row>
        <row r="14204">
          <cell r="C14204" t="str">
            <v>5204 - INTERIOR DOOR SLABS</v>
          </cell>
          <cell r="D14204" t="str">
            <v>M285HPS34SC20</v>
          </cell>
          <cell r="BA14204">
            <v>142.99</v>
          </cell>
        </row>
        <row r="14205">
          <cell r="C14205" t="str">
            <v>5204 - INTERIOR DOOR SLABS</v>
          </cell>
          <cell r="D14205" t="str">
            <v>M305HPS34SC20</v>
          </cell>
          <cell r="BA14205">
            <v>147.99</v>
          </cell>
        </row>
        <row r="14206">
          <cell r="C14206" t="str">
            <v>5204 - INTERIOR DOOR SLABS</v>
          </cell>
          <cell r="D14206" t="str">
            <v>M28806HPS34SC20</v>
          </cell>
          <cell r="BA14206">
            <v>170.99</v>
          </cell>
        </row>
        <row r="14207">
          <cell r="C14207" t="str">
            <v>5204 - INTERIOR DOOR SLABS</v>
          </cell>
          <cell r="D14207" t="str">
            <v>M30806HPS34SC20</v>
          </cell>
          <cell r="BA14207">
            <v>168.99</v>
          </cell>
        </row>
        <row r="14208">
          <cell r="C14208" t="str">
            <v>5204 - INTERIOR DOOR SLABS</v>
          </cell>
          <cell r="D14208" t="str">
            <v>M28801FP34SC20</v>
          </cell>
          <cell r="BA14208">
            <v>214.99</v>
          </cell>
        </row>
        <row r="14209">
          <cell r="C14209" t="str">
            <v>5204 - INTERIOR DOOR SLABS</v>
          </cell>
          <cell r="D14209" t="str">
            <v>M30801FP34SC20</v>
          </cell>
          <cell r="BA14209">
            <v>227.99</v>
          </cell>
        </row>
        <row r="14210">
          <cell r="C14210" t="str">
            <v>5204 - INTERIOR DOOR SLABS</v>
          </cell>
          <cell r="D14210" t="str">
            <v>M282PS34SC20</v>
          </cell>
          <cell r="BA14210">
            <v>141.99</v>
          </cell>
        </row>
        <row r="14211">
          <cell r="C14211" t="str">
            <v>5204 - INTERIOR DOOR SLABS</v>
          </cell>
          <cell r="D14211" t="str">
            <v>M302PS34SC20</v>
          </cell>
          <cell r="BA14211">
            <v>139.99</v>
          </cell>
        </row>
        <row r="14212">
          <cell r="C14212" t="str">
            <v>5204 - INTERIOR DOOR SLABS</v>
          </cell>
          <cell r="D14212" t="str">
            <v>M28802PS34SC20</v>
          </cell>
          <cell r="BA14212">
            <v>201.99</v>
          </cell>
        </row>
        <row r="14213">
          <cell r="C14213" t="str">
            <v>5204 - INTERIOR DOOR SLABS</v>
          </cell>
          <cell r="D14213" t="str">
            <v>M30802PS34SC20</v>
          </cell>
          <cell r="BA14213">
            <v>212.99</v>
          </cell>
        </row>
        <row r="14214">
          <cell r="C14214" t="str">
            <v>5204 - INTERIOR DOOR SLABS</v>
          </cell>
          <cell r="D14214" t="str">
            <v>M283PSWL34SC20</v>
          </cell>
          <cell r="BA14214">
            <v>140.99</v>
          </cell>
        </row>
        <row r="14215">
          <cell r="C14215" t="str">
            <v>5204 - INTERIOR DOOR SLABS</v>
          </cell>
          <cell r="D14215" t="str">
            <v>M303PSWL34SC20</v>
          </cell>
          <cell r="BA14215">
            <v>146.99</v>
          </cell>
        </row>
        <row r="14216">
          <cell r="C14216" t="str">
            <v>5204 - INTERIOR DOOR SLABS</v>
          </cell>
          <cell r="D14216" t="str">
            <v>M20801FPQ</v>
          </cell>
          <cell r="BA14216">
            <v>229.99</v>
          </cell>
        </row>
        <row r="14217">
          <cell r="C14217" t="str">
            <v>5204 - INTERIOR DOOR SLABS</v>
          </cell>
          <cell r="D14217" t="str">
            <v>M22801FPQ</v>
          </cell>
          <cell r="BA14217">
            <v>224.99</v>
          </cell>
        </row>
        <row r="14218">
          <cell r="C14218" t="str">
            <v>5204 - INTERIOR DOOR SLABS</v>
          </cell>
          <cell r="D14218" t="str">
            <v>M24801FPQ</v>
          </cell>
          <cell r="BA14218">
            <v>214.99</v>
          </cell>
        </row>
        <row r="14219">
          <cell r="C14219" t="str">
            <v>5204 - INTERIOR DOOR SLABS</v>
          </cell>
          <cell r="D14219" t="str">
            <v>M26801FPQ</v>
          </cell>
          <cell r="BA14219">
            <v>187.99</v>
          </cell>
        </row>
        <row r="14220">
          <cell r="C14220" t="str">
            <v>5204 - INTERIOR DOOR SLABS</v>
          </cell>
          <cell r="D14220" t="str">
            <v>M28801FPQ</v>
          </cell>
          <cell r="BA14220">
            <v>178.99</v>
          </cell>
        </row>
        <row r="14221">
          <cell r="C14221" t="str">
            <v>5204 - INTERIOR DOOR SLABS</v>
          </cell>
          <cell r="D14221" t="str">
            <v>M30801FPQ</v>
          </cell>
          <cell r="BA14221">
            <v>224.99</v>
          </cell>
        </row>
        <row r="14222">
          <cell r="C14222" t="str">
            <v>5204 - INTERIOR DOOR SLABS</v>
          </cell>
          <cell r="D14222" t="str">
            <v>M2102PSSS</v>
          </cell>
          <cell r="BA14222">
            <v>128.99</v>
          </cell>
        </row>
        <row r="14223">
          <cell r="C14223" t="str">
            <v>5206 - INTERIOR DOOR SHOP WORK (BOM)</v>
          </cell>
          <cell r="D14223" t="str">
            <v>APPBLACK</v>
          </cell>
          <cell r="BA14223">
            <v>2.39</v>
          </cell>
        </row>
        <row r="14224">
          <cell r="C14224" t="str">
            <v>5206 - INTERIOR DOOR SHOP WORK (BOM)</v>
          </cell>
          <cell r="D14224" t="str">
            <v>APPBLACK8</v>
          </cell>
          <cell r="BA14224">
            <v>3.19</v>
          </cell>
        </row>
        <row r="14225">
          <cell r="C14225" t="str">
            <v>5206 - INTERIOR DOOR SHOP WORK (BOM)</v>
          </cell>
          <cell r="D14225" t="str">
            <v>APPSS8</v>
          </cell>
          <cell r="BA14225">
            <v>17.690000000000001</v>
          </cell>
        </row>
        <row r="14226">
          <cell r="C14226" t="str">
            <v>5206 - INTERIOR DOOR SHOP WORK (BOM)</v>
          </cell>
          <cell r="D14226" t="str">
            <v>APPORBBB</v>
          </cell>
          <cell r="BA14226">
            <v>3.59</v>
          </cell>
        </row>
        <row r="14227">
          <cell r="C14227" t="str">
            <v>5206 - INTERIOR DOOR SHOP WORK (BOM)</v>
          </cell>
          <cell r="D14227" t="str">
            <v>APPSATNICKELBB</v>
          </cell>
          <cell r="BA14227">
            <v>4.8899999999999997</v>
          </cell>
        </row>
        <row r="14228">
          <cell r="C14228" t="str">
            <v>5206 - INTERIOR DOOR SHOP WORK (BOM)</v>
          </cell>
          <cell r="D14228" t="str">
            <v>APPCATCHSN</v>
          </cell>
          <cell r="BA14228">
            <v>23.19</v>
          </cell>
        </row>
        <row r="14229">
          <cell r="C14229" t="str">
            <v>5206 - INTERIOR DOOR SHOP WORK (BOM)</v>
          </cell>
          <cell r="D14229" t="str">
            <v>APPCATCHORB</v>
          </cell>
          <cell r="BA14229">
            <v>23.09</v>
          </cell>
        </row>
        <row r="14230">
          <cell r="C14230" t="str">
            <v>5206 - INTERIOR DOOR SHOP WORK (BOM)</v>
          </cell>
          <cell r="D14230" t="str">
            <v>APP3068CBC</v>
          </cell>
          <cell r="BA14230">
            <v>5.29</v>
          </cell>
        </row>
        <row r="14231">
          <cell r="C14231" t="str">
            <v>5208 - TRANSOM SASH/GLASS</v>
          </cell>
          <cell r="D14231" t="str">
            <v>APPSIT4DROP</v>
          </cell>
          <cell r="BA14231">
            <v>66.489999999999995</v>
          </cell>
        </row>
        <row r="14232">
          <cell r="C14232" t="str">
            <v>5208 - TRANSOM SASH/GLASS</v>
          </cell>
          <cell r="D14232" t="str">
            <v>APPDIT4DROP</v>
          </cell>
          <cell r="BA14232">
            <v>73.989999999999995</v>
          </cell>
        </row>
        <row r="14233">
          <cell r="C14233" t="str">
            <v>5210 - MISC. INTERIOR DOORS</v>
          </cell>
          <cell r="D14233" t="str">
            <v>ILRSJI</v>
          </cell>
          <cell r="BA14233">
            <v>61.49</v>
          </cell>
        </row>
        <row r="14234">
          <cell r="C14234" t="str">
            <v>5210 - MISC. INTERIOR DOORS</v>
          </cell>
          <cell r="D14234" t="str">
            <v>ILMMI68</v>
          </cell>
          <cell r="BA14234">
            <v>131.99</v>
          </cell>
        </row>
        <row r="14235">
          <cell r="C14235" t="str">
            <v>5210 - MISC. INTERIOR DOORS</v>
          </cell>
          <cell r="D14235" t="str">
            <v>ILMMI80</v>
          </cell>
          <cell r="BA14235">
            <v>175.99</v>
          </cell>
        </row>
        <row r="14236">
          <cell r="C14236" t="str">
            <v>5501 - PRIMED/PREFINISHED MOULDINGS</v>
          </cell>
          <cell r="D14236" t="str">
            <v>2318CYPFJPS</v>
          </cell>
          <cell r="BA14236">
            <v>25.39</v>
          </cell>
        </row>
        <row r="14237">
          <cell r="C14237" t="str">
            <v>5501 - PRIMED/PREFINISHED MOULDINGS</v>
          </cell>
          <cell r="D14237" t="str">
            <v>WM3002P10</v>
          </cell>
          <cell r="BA14237">
            <v>10.29</v>
          </cell>
        </row>
        <row r="14238">
          <cell r="C14238" t="str">
            <v>5501 - PRIMED/PREFINISHED MOULDINGS</v>
          </cell>
          <cell r="D14238" t="str">
            <v>WM3002P14</v>
          </cell>
          <cell r="BA14238">
            <v>14.39</v>
          </cell>
        </row>
        <row r="14239">
          <cell r="C14239" t="str">
            <v>5501 - PRIMED/PREFINISHED MOULDINGS</v>
          </cell>
          <cell r="D14239" t="str">
            <v>WM3002P7</v>
          </cell>
          <cell r="BA14239">
            <v>7.19</v>
          </cell>
        </row>
        <row r="14240">
          <cell r="C14240" t="str">
            <v>5501 - PRIMED/PREFINISHED MOULDINGS</v>
          </cell>
          <cell r="D14240" t="str">
            <v>WM356PF14</v>
          </cell>
          <cell r="BA14240">
            <v>10.29</v>
          </cell>
        </row>
        <row r="14241">
          <cell r="C14241" t="str">
            <v>5501 - PRIMED/PREFINISHED MOULDINGS</v>
          </cell>
          <cell r="D14241" t="str">
            <v>OPP32300207</v>
          </cell>
          <cell r="BA14241">
            <v>7.19</v>
          </cell>
        </row>
        <row r="14242">
          <cell r="C14242" t="str">
            <v>5501 - PRIMED/PREFINISHED MOULDINGS</v>
          </cell>
          <cell r="D14242" t="str">
            <v>OPP32300210</v>
          </cell>
          <cell r="BA14242">
            <v>10.29</v>
          </cell>
        </row>
        <row r="14243">
          <cell r="C14243" t="str">
            <v>5501 - PRIMED/PREFINISHED MOULDINGS</v>
          </cell>
          <cell r="D14243" t="str">
            <v>WM444P</v>
          </cell>
          <cell r="BA14243">
            <v>178</v>
          </cell>
        </row>
        <row r="14244">
          <cell r="C14244" t="str">
            <v>5501 - PRIMED/PREFINISHED MOULDINGS</v>
          </cell>
          <cell r="D14244" t="str">
            <v>WM444FP8</v>
          </cell>
          <cell r="BA14244">
            <v>14.29</v>
          </cell>
        </row>
        <row r="14245">
          <cell r="C14245" t="str">
            <v>5501 - PRIMED/PREFINISHED MOULDINGS</v>
          </cell>
          <cell r="D14245" t="str">
            <v>WM444FP16</v>
          </cell>
          <cell r="BA14245">
            <v>28.49</v>
          </cell>
        </row>
        <row r="14246">
          <cell r="C14246" t="str">
            <v>5501 - PRIMED/PREFINISHED MOULDINGS</v>
          </cell>
          <cell r="D14246" t="str">
            <v>WM356P</v>
          </cell>
          <cell r="BA14246">
            <v>74</v>
          </cell>
        </row>
        <row r="14247">
          <cell r="C14247" t="str">
            <v>5501 - PRIMED/PREFINISHED MOULDINGS</v>
          </cell>
          <cell r="D14247" t="str">
            <v>MP104</v>
          </cell>
          <cell r="BA14247">
            <v>0.67</v>
          </cell>
        </row>
        <row r="14248">
          <cell r="C14248" t="str">
            <v>5501 - PRIMED/PREFINISHED MOULDINGS</v>
          </cell>
          <cell r="D14248" t="str">
            <v>WM254P8</v>
          </cell>
          <cell r="BA14248">
            <v>3.09</v>
          </cell>
        </row>
        <row r="14249">
          <cell r="C14249" t="str">
            <v>5501 - PRIMED/PREFINISHED MOULDINGS</v>
          </cell>
          <cell r="D14249" t="str">
            <v>WM352PCRNR</v>
          </cell>
          <cell r="BA14249">
            <v>266</v>
          </cell>
        </row>
        <row r="14250">
          <cell r="C14250" t="str">
            <v>5501 - PRIMED/PREFINISHED MOULDINGS</v>
          </cell>
          <cell r="D14250" t="str">
            <v>WM93P8</v>
          </cell>
          <cell r="BA14250">
            <v>3.49</v>
          </cell>
        </row>
        <row r="14251">
          <cell r="C14251" t="str">
            <v>5501 - PRIMED/PREFINISHED MOULDINGS</v>
          </cell>
          <cell r="D14251" t="str">
            <v>MP106P</v>
          </cell>
          <cell r="BA14251">
            <v>0.99</v>
          </cell>
        </row>
        <row r="14252">
          <cell r="C14252" t="str">
            <v>5501 - PRIMED/PREFINISHED MOULDINGS</v>
          </cell>
          <cell r="D14252" t="str">
            <v>WM356PF7</v>
          </cell>
          <cell r="BA14252">
            <v>5.19</v>
          </cell>
        </row>
        <row r="14253">
          <cell r="C14253" t="str">
            <v>5501 - PRIMED/PREFINISHED MOULDINGS</v>
          </cell>
          <cell r="D14253" t="str">
            <v>OPP32035610</v>
          </cell>
          <cell r="BA14253">
            <v>7.39</v>
          </cell>
        </row>
        <row r="14254">
          <cell r="C14254" t="str">
            <v>5501 - PRIMED/PREFINISHED MOULDINGS</v>
          </cell>
          <cell r="D14254" t="str">
            <v>WM618P</v>
          </cell>
          <cell r="BA14254">
            <v>165</v>
          </cell>
        </row>
        <row r="14255">
          <cell r="C14255" t="str">
            <v>5501 - PRIMED/PREFINISHED MOULDINGS</v>
          </cell>
          <cell r="D14255" t="str">
            <v>WM618P8</v>
          </cell>
          <cell r="BA14255">
            <v>13.19</v>
          </cell>
        </row>
        <row r="14256">
          <cell r="C14256" t="str">
            <v>5501 - PRIMED/PREFINISHED MOULDINGS</v>
          </cell>
          <cell r="D14256" t="str">
            <v>WM618P16</v>
          </cell>
          <cell r="BA14256">
            <v>26.39</v>
          </cell>
        </row>
        <row r="14257">
          <cell r="C14257" t="str">
            <v>5501 - PRIMED/PREFINISHED MOULDINGS</v>
          </cell>
          <cell r="D14257" t="str">
            <v>WM623P</v>
          </cell>
          <cell r="BA14257">
            <v>102</v>
          </cell>
        </row>
        <row r="14258">
          <cell r="C14258" t="str">
            <v>5501 - PRIMED/PREFINISHED MOULDINGS</v>
          </cell>
          <cell r="D14258" t="str">
            <v>OPP61062316</v>
          </cell>
          <cell r="BA14258">
            <v>16.190000000000001</v>
          </cell>
        </row>
        <row r="14259">
          <cell r="C14259" t="str">
            <v>5501 - PRIMED/PREFINISHED MOULDINGS</v>
          </cell>
          <cell r="D14259" t="str">
            <v>WM623P8</v>
          </cell>
          <cell r="BA14259">
            <v>9.39</v>
          </cell>
        </row>
        <row r="14260">
          <cell r="C14260" t="str">
            <v>5501 - PRIMED/PREFINISHED MOULDINGS</v>
          </cell>
          <cell r="D14260" t="str">
            <v>WM623P16</v>
          </cell>
          <cell r="BA14260">
            <v>16.190000000000001</v>
          </cell>
        </row>
        <row r="14261">
          <cell r="C14261" t="str">
            <v>5501 - PRIMED/PREFINISHED MOULDINGS</v>
          </cell>
          <cell r="D14261" t="str">
            <v>WM3507P</v>
          </cell>
          <cell r="BA14261">
            <v>2.09</v>
          </cell>
        </row>
        <row r="14262">
          <cell r="C14262" t="str">
            <v>5501 - PRIMED/PREFINISHED MOULDINGS</v>
          </cell>
          <cell r="D14262" t="str">
            <v>WM503P</v>
          </cell>
          <cell r="BA14262">
            <v>0.74</v>
          </cell>
        </row>
        <row r="14263">
          <cell r="C14263" t="str">
            <v>5501 - PRIMED/PREFINISHED MOULDINGS</v>
          </cell>
          <cell r="D14263" t="str">
            <v>WM504P</v>
          </cell>
          <cell r="BA14263">
            <v>2.69</v>
          </cell>
        </row>
        <row r="14264">
          <cell r="C14264" t="str">
            <v>5501 - PRIMED/PREFINISHED MOULDINGS</v>
          </cell>
          <cell r="D14264" t="str">
            <v>WM911P</v>
          </cell>
          <cell r="BA14264">
            <v>1.89</v>
          </cell>
        </row>
        <row r="14265">
          <cell r="C14265" t="str">
            <v>5501 - PRIMED/PREFINISHED MOULDINGS</v>
          </cell>
          <cell r="D14265" t="str">
            <v>OC90OSCP10</v>
          </cell>
          <cell r="BA14265">
            <v>26.59</v>
          </cell>
        </row>
        <row r="14266">
          <cell r="C14266" t="str">
            <v>5501 - PRIMED/PREFINISHED MOULDINGS</v>
          </cell>
          <cell r="D14266" t="str">
            <v>OC90OSCP18</v>
          </cell>
          <cell r="BA14266">
            <v>47.89</v>
          </cell>
        </row>
        <row r="14267">
          <cell r="C14267" t="str">
            <v>5501 - PRIMED/PREFINISHED MOULDINGS</v>
          </cell>
          <cell r="D14267" t="str">
            <v>WM129P16</v>
          </cell>
          <cell r="BA14267">
            <v>3.99</v>
          </cell>
        </row>
        <row r="14268">
          <cell r="C14268" t="str">
            <v>5501 - PRIMED/PREFINISHED MOULDINGS</v>
          </cell>
          <cell r="D14268" t="str">
            <v>WM128P16</v>
          </cell>
          <cell r="BA14268">
            <v>4.49</v>
          </cell>
        </row>
        <row r="14269">
          <cell r="C14269" t="str">
            <v>5501 - PRIMED/PREFINISHED MOULDINGS</v>
          </cell>
          <cell r="D14269" t="str">
            <v>WM126P</v>
          </cell>
          <cell r="BA14269">
            <v>31</v>
          </cell>
        </row>
        <row r="14270">
          <cell r="C14270" t="str">
            <v>5501 - PRIMED/PREFINISHED MOULDINGS</v>
          </cell>
          <cell r="D14270" t="str">
            <v>WM508P</v>
          </cell>
          <cell r="BA14270">
            <v>1.99</v>
          </cell>
        </row>
        <row r="14271">
          <cell r="C14271" t="str">
            <v>5501 - PRIMED/PREFINISHED MOULDINGS</v>
          </cell>
          <cell r="D14271" t="str">
            <v>WM506P</v>
          </cell>
          <cell r="BA14271">
            <v>1.59</v>
          </cell>
        </row>
        <row r="14272">
          <cell r="C14272" t="str">
            <v>5501 - PRIMED/PREFINISHED MOULDINGS</v>
          </cell>
          <cell r="D14272" t="str">
            <v>WM650P</v>
          </cell>
          <cell r="BA14272">
            <v>2.99</v>
          </cell>
        </row>
        <row r="14273">
          <cell r="C14273" t="str">
            <v>5501 - PRIMED/PREFINISHED MOULDINGS</v>
          </cell>
          <cell r="D14273" t="str">
            <v>WM142P8</v>
          </cell>
          <cell r="BA14273">
            <v>1.79</v>
          </cell>
        </row>
        <row r="14274">
          <cell r="C14274" t="str">
            <v>5501 - PRIMED/PREFINISHED MOULDINGS</v>
          </cell>
          <cell r="D14274" t="str">
            <v>WM953P</v>
          </cell>
          <cell r="BA14274">
            <v>51</v>
          </cell>
        </row>
        <row r="14275">
          <cell r="C14275" t="str">
            <v>5501 - PRIMED/PREFINISHED MOULDINGS</v>
          </cell>
          <cell r="D14275" t="str">
            <v>WM180P7</v>
          </cell>
          <cell r="BA14275">
            <v>6.29</v>
          </cell>
        </row>
        <row r="14276">
          <cell r="C14276" t="str">
            <v>5501 - PRIMED/PREFINISHED MOULDINGS</v>
          </cell>
          <cell r="D14276" t="str">
            <v>WM180P8</v>
          </cell>
          <cell r="BA14276">
            <v>12.39</v>
          </cell>
        </row>
        <row r="14277">
          <cell r="C14277" t="str">
            <v>5501 - PRIMED/PREFINISHED MOULDINGS</v>
          </cell>
          <cell r="D14277" t="str">
            <v>WM180P10</v>
          </cell>
          <cell r="BA14277">
            <v>15.49</v>
          </cell>
        </row>
        <row r="14278">
          <cell r="C14278" t="str">
            <v>5501 - PRIMED/PREFINISHED MOULDINGS</v>
          </cell>
          <cell r="D14278" t="str">
            <v>WM180P-18</v>
          </cell>
          <cell r="BA14278">
            <v>27.89</v>
          </cell>
        </row>
        <row r="14279">
          <cell r="C14279" t="str">
            <v>5501 - PRIMED/PREFINISHED MOULDINGS</v>
          </cell>
          <cell r="D14279" t="str">
            <v>WM180P</v>
          </cell>
          <cell r="BA14279">
            <v>155</v>
          </cell>
        </row>
        <row r="14280">
          <cell r="C14280" t="str">
            <v>5501 - PRIMED/PREFINISHED MOULDINGS</v>
          </cell>
          <cell r="D14280" t="str">
            <v>WM106P8</v>
          </cell>
          <cell r="BA14280">
            <v>2.99</v>
          </cell>
        </row>
        <row r="14281">
          <cell r="C14281" t="str">
            <v>5501 - PRIMED/PREFINISHED MOULDINGS</v>
          </cell>
          <cell r="D14281" t="str">
            <v>WM108P8</v>
          </cell>
          <cell r="BA14281">
            <v>2.4900000000000002</v>
          </cell>
        </row>
        <row r="14282">
          <cell r="C14282" t="str">
            <v>5501 - PRIMED/PREFINISHED MOULDINGS</v>
          </cell>
          <cell r="D14282" t="str">
            <v>TAST68</v>
          </cell>
          <cell r="BA14282">
            <v>27.19</v>
          </cell>
        </row>
        <row r="14283">
          <cell r="C14283" t="str">
            <v>5502 - FINGER-JOINTED MOULDINGS</v>
          </cell>
          <cell r="D14283" t="str">
            <v>WM350953F</v>
          </cell>
          <cell r="BA14283">
            <v>79</v>
          </cell>
        </row>
        <row r="14284">
          <cell r="C14284" t="str">
            <v>5502 - FINGER-JOINTED MOULDINGS</v>
          </cell>
          <cell r="D14284" t="str">
            <v>TAST80F</v>
          </cell>
          <cell r="BA14284">
            <v>22.79</v>
          </cell>
        </row>
        <row r="14285">
          <cell r="C14285" t="str">
            <v>5502 - FINGER-JOINTED MOULDINGS</v>
          </cell>
          <cell r="D14285" t="str">
            <v>WM356F8</v>
          </cell>
          <cell r="BA14285">
            <v>5.69</v>
          </cell>
        </row>
        <row r="14286">
          <cell r="C14286" t="str">
            <v>5502 - FINGER-JOINTED MOULDINGS</v>
          </cell>
          <cell r="D14286" t="str">
            <v>WM356F10</v>
          </cell>
          <cell r="BA14286">
            <v>7.09</v>
          </cell>
        </row>
        <row r="14287">
          <cell r="C14287" t="str">
            <v>5502 - FINGER-JOINTED MOULDINGS</v>
          </cell>
          <cell r="D14287" t="str">
            <v>WM356F14</v>
          </cell>
          <cell r="BA14287">
            <v>9.99</v>
          </cell>
        </row>
        <row r="14288">
          <cell r="C14288" t="str">
            <v>5502 - FINGER-JOINTED MOULDINGS</v>
          </cell>
          <cell r="D14288" t="str">
            <v>WM356F16</v>
          </cell>
          <cell r="BA14288">
            <v>11.39</v>
          </cell>
        </row>
        <row r="14289">
          <cell r="C14289" t="str">
            <v>5502 - FINGER-JOINTED MOULDINGS</v>
          </cell>
          <cell r="D14289" t="str">
            <v>WM180F18</v>
          </cell>
          <cell r="BA14289">
            <v>26.89</v>
          </cell>
        </row>
        <row r="14290">
          <cell r="C14290" t="str">
            <v>5502 - FINGER-JOINTED MOULDINGS</v>
          </cell>
          <cell r="D14290" t="str">
            <v>WM442SM</v>
          </cell>
          <cell r="BA14290">
            <v>152</v>
          </cell>
        </row>
        <row r="14291">
          <cell r="C14291" t="str">
            <v>5502 - FINGER-JOINTED MOULDINGS</v>
          </cell>
          <cell r="D14291" t="str">
            <v>OPP62135616356</v>
          </cell>
          <cell r="BA14291">
            <v>11.39</v>
          </cell>
        </row>
        <row r="14292">
          <cell r="C14292" t="str">
            <v>5503 - CLEAR MOULDINGS</v>
          </cell>
          <cell r="D14292" t="str">
            <v>TAST80CL</v>
          </cell>
          <cell r="BA14292">
            <v>29.39</v>
          </cell>
        </row>
        <row r="14293">
          <cell r="C14293" t="str">
            <v>5503 - CLEAR MOULDINGS</v>
          </cell>
          <cell r="D14293" t="str">
            <v>OPH442SM12</v>
          </cell>
          <cell r="BA14293">
            <v>51.99</v>
          </cell>
        </row>
        <row r="14294">
          <cell r="C14294" t="str">
            <v>5503 - CLEAR MOULDINGS</v>
          </cell>
          <cell r="D14294" t="str">
            <v>OPH18014</v>
          </cell>
          <cell r="BA14294">
            <v>40.090000000000003</v>
          </cell>
        </row>
        <row r="14295">
          <cell r="C14295" t="str">
            <v>5503 - CLEAR MOULDINGS</v>
          </cell>
          <cell r="D14295" t="str">
            <v>OPH18018</v>
          </cell>
          <cell r="BA14295">
            <v>51.99</v>
          </cell>
        </row>
        <row r="14296">
          <cell r="C14296" t="str">
            <v>5503 - CLEAR MOULDINGS</v>
          </cell>
          <cell r="D14296" t="str">
            <v>WM444S</v>
          </cell>
          <cell r="BA14296">
            <v>190</v>
          </cell>
        </row>
        <row r="14297">
          <cell r="C14297" t="str">
            <v>5503 - CLEAR MOULDINGS</v>
          </cell>
          <cell r="D14297" t="str">
            <v>WM41H8</v>
          </cell>
          <cell r="BA14297">
            <v>11.39</v>
          </cell>
        </row>
        <row r="14298">
          <cell r="C14298" t="str">
            <v>5503 - CLEAR MOULDINGS</v>
          </cell>
          <cell r="D14298" t="str">
            <v>WM41H10</v>
          </cell>
          <cell r="BA14298">
            <v>14.19</v>
          </cell>
        </row>
        <row r="14299">
          <cell r="C14299" t="str">
            <v>5503 - CLEAR MOULDINGS</v>
          </cell>
          <cell r="D14299" t="str">
            <v>OPH120808</v>
          </cell>
          <cell r="BA14299">
            <v>17.489999999999998</v>
          </cell>
        </row>
        <row r="14300">
          <cell r="C14300" t="str">
            <v>5503 - CLEAR MOULDINGS</v>
          </cell>
          <cell r="D14300" t="str">
            <v>WM1208H</v>
          </cell>
          <cell r="BA14300">
            <v>219</v>
          </cell>
        </row>
        <row r="14301">
          <cell r="C14301" t="str">
            <v>5503 - CLEAR MOULDINGS</v>
          </cell>
          <cell r="D14301" t="str">
            <v>OPH44412</v>
          </cell>
          <cell r="BA14301">
            <v>22.79</v>
          </cell>
        </row>
        <row r="14302">
          <cell r="C14302" t="str">
            <v>5503 - CLEAR MOULDINGS</v>
          </cell>
          <cell r="D14302" t="str">
            <v>WM356H</v>
          </cell>
          <cell r="BA14302">
            <v>127</v>
          </cell>
        </row>
        <row r="14303">
          <cell r="C14303" t="str">
            <v>5503 - CLEAR MOULDINGS</v>
          </cell>
          <cell r="D14303" t="str">
            <v>OPH3288</v>
          </cell>
          <cell r="BA14303">
            <v>43</v>
          </cell>
        </row>
        <row r="14304">
          <cell r="C14304" t="str">
            <v>5503 - CLEAR MOULDINGS</v>
          </cell>
          <cell r="D14304" t="str">
            <v>WM175H</v>
          </cell>
          <cell r="BA14304">
            <v>175</v>
          </cell>
        </row>
        <row r="14305">
          <cell r="C14305" t="str">
            <v>5503 - CLEAR MOULDINGS</v>
          </cell>
          <cell r="D14305" t="str">
            <v>OPH62510</v>
          </cell>
          <cell r="BA14305">
            <v>12.99</v>
          </cell>
        </row>
        <row r="14306">
          <cell r="C14306" t="str">
            <v>5503 - CLEAR MOULDINGS</v>
          </cell>
          <cell r="D14306" t="str">
            <v>OPH6258</v>
          </cell>
          <cell r="BA14306">
            <v>10.39</v>
          </cell>
        </row>
        <row r="14307">
          <cell r="C14307" t="str">
            <v>5503 - CLEAR MOULDINGS</v>
          </cell>
          <cell r="D14307" t="str">
            <v>OPH50</v>
          </cell>
          <cell r="BA14307">
            <v>165</v>
          </cell>
        </row>
        <row r="14308">
          <cell r="C14308" t="str">
            <v>5503 - CLEAR MOULDINGS</v>
          </cell>
          <cell r="D14308" t="str">
            <v>OPH75</v>
          </cell>
          <cell r="BA14308">
            <v>179</v>
          </cell>
        </row>
        <row r="14309">
          <cell r="C14309" t="str">
            <v>5503 - CLEAR MOULDINGS</v>
          </cell>
          <cell r="D14309" t="str">
            <v>OPH320610</v>
          </cell>
          <cell r="BA14309">
            <v>4.99</v>
          </cell>
        </row>
        <row r="14310">
          <cell r="C14310" t="str">
            <v>5503 - CLEAR MOULDINGS</v>
          </cell>
          <cell r="D14310" t="str">
            <v>OPH310212</v>
          </cell>
          <cell r="BA14310">
            <v>19.79</v>
          </cell>
        </row>
        <row r="14311">
          <cell r="C14311" t="str">
            <v>5503 - CLEAR MOULDINGS</v>
          </cell>
          <cell r="D14311" t="str">
            <v>OPH44008</v>
          </cell>
          <cell r="BA14311">
            <v>14.09</v>
          </cell>
        </row>
        <row r="14312">
          <cell r="C14312" t="str">
            <v>5503 - CLEAR MOULDINGS</v>
          </cell>
          <cell r="D14312" t="str">
            <v>OPH44012</v>
          </cell>
          <cell r="BA14312">
            <v>21.19</v>
          </cell>
        </row>
        <row r="14313">
          <cell r="C14313" t="str">
            <v>5503 - CLEAR MOULDINGS</v>
          </cell>
          <cell r="D14313" t="str">
            <v>OPH23110</v>
          </cell>
          <cell r="BA14313">
            <v>27.69</v>
          </cell>
        </row>
        <row r="14314">
          <cell r="C14314" t="str">
            <v>5503 - CLEAR MOULDINGS</v>
          </cell>
          <cell r="D14314" t="str">
            <v>OPH23112</v>
          </cell>
          <cell r="BA14314">
            <v>33.29</v>
          </cell>
        </row>
        <row r="14315">
          <cell r="C14315" t="str">
            <v>5503 - CLEAR MOULDINGS</v>
          </cell>
          <cell r="D14315" t="str">
            <v>WM231H8</v>
          </cell>
          <cell r="BA14315">
            <v>22.19</v>
          </cell>
        </row>
        <row r="14316">
          <cell r="C14316" t="str">
            <v>5503 - CLEAR MOULDINGS</v>
          </cell>
          <cell r="D14316" t="str">
            <v>3226H</v>
          </cell>
          <cell r="BA14316">
            <v>115</v>
          </cell>
        </row>
        <row r="14317">
          <cell r="C14317" t="str">
            <v>5503 - CLEAR MOULDINGS</v>
          </cell>
          <cell r="D14317" t="str">
            <v>MWHFR151616</v>
          </cell>
          <cell r="BA14317">
            <v>26.79</v>
          </cell>
        </row>
        <row r="14318">
          <cell r="C14318" t="str">
            <v>5503 - CLEAR MOULDINGS</v>
          </cell>
          <cell r="D14318" t="str">
            <v>OPH322606</v>
          </cell>
          <cell r="BA14318">
            <v>10.09</v>
          </cell>
        </row>
        <row r="14319">
          <cell r="C14319" t="str">
            <v>5503 - CLEAR MOULDINGS</v>
          </cell>
          <cell r="D14319" t="str">
            <v>OPH322608</v>
          </cell>
          <cell r="BA14319">
            <v>13.39</v>
          </cell>
        </row>
        <row r="14320">
          <cell r="C14320" t="str">
            <v>5503 - CLEAR MOULDINGS</v>
          </cell>
          <cell r="D14320" t="str">
            <v>OPH322610</v>
          </cell>
          <cell r="BA14320">
            <v>16.79</v>
          </cell>
        </row>
        <row r="14321">
          <cell r="C14321" t="str">
            <v>5503 - CLEAR MOULDINGS</v>
          </cell>
          <cell r="D14321" t="str">
            <v>OPH322612</v>
          </cell>
          <cell r="BA14321">
            <v>20.09</v>
          </cell>
        </row>
        <row r="14322">
          <cell r="C14322" t="str">
            <v>5503 - CLEAR MOULDINGS</v>
          </cell>
          <cell r="D14322" t="str">
            <v>WM3228H</v>
          </cell>
          <cell r="BA14322">
            <v>227</v>
          </cell>
        </row>
        <row r="14323">
          <cell r="C14323" t="str">
            <v>5503 - CLEAR MOULDINGS</v>
          </cell>
          <cell r="D14323" t="str">
            <v>WM3206H</v>
          </cell>
          <cell r="BA14323">
            <v>50</v>
          </cell>
        </row>
        <row r="14324">
          <cell r="C14324" t="str">
            <v>5503 - CLEAR MOULDINGS</v>
          </cell>
          <cell r="D14324" t="str">
            <v>WM3206H8</v>
          </cell>
          <cell r="BA14324">
            <v>3.99</v>
          </cell>
        </row>
        <row r="14325">
          <cell r="C14325" t="str">
            <v>5503 - CLEAR MOULDINGS</v>
          </cell>
          <cell r="D14325" t="str">
            <v>WM3206H12</v>
          </cell>
          <cell r="BA14325">
            <v>5.99</v>
          </cell>
        </row>
        <row r="14326">
          <cell r="C14326" t="str">
            <v>5503 - CLEAR MOULDINGS</v>
          </cell>
          <cell r="D14326" t="str">
            <v>WM268H</v>
          </cell>
          <cell r="BA14326">
            <v>49</v>
          </cell>
        </row>
        <row r="14327">
          <cell r="C14327" t="str">
            <v>5503 - CLEAR MOULDINGS</v>
          </cell>
          <cell r="D14327" t="str">
            <v>WM268H10</v>
          </cell>
          <cell r="BA14327">
            <v>4.8899999999999997</v>
          </cell>
        </row>
        <row r="14328">
          <cell r="C14328" t="str">
            <v>5503 - CLEAR MOULDINGS</v>
          </cell>
          <cell r="D14328" t="str">
            <v>WM268H8</v>
          </cell>
          <cell r="BA14328">
            <v>3.89</v>
          </cell>
        </row>
        <row r="14329">
          <cell r="C14329" t="str">
            <v>5503 - CLEAR MOULDINGS</v>
          </cell>
          <cell r="D14329" t="str">
            <v>WM3200H</v>
          </cell>
          <cell r="BA14329">
            <v>0.43</v>
          </cell>
        </row>
        <row r="14330">
          <cell r="C14330" t="str">
            <v>5503 - CLEAR MOULDINGS</v>
          </cell>
          <cell r="D14330" t="str">
            <v>WM3212H</v>
          </cell>
          <cell r="BA14330">
            <v>60</v>
          </cell>
        </row>
        <row r="14331">
          <cell r="C14331" t="str">
            <v>5503 - CLEAR MOULDINGS</v>
          </cell>
          <cell r="D14331" t="str">
            <v>OPH390</v>
          </cell>
          <cell r="BA14331">
            <v>143</v>
          </cell>
        </row>
        <row r="14332">
          <cell r="C14332" t="str">
            <v>5503 - CLEAR MOULDINGS</v>
          </cell>
          <cell r="D14332" t="str">
            <v>WM3202H8</v>
          </cell>
          <cell r="BA14332">
            <v>3.39</v>
          </cell>
        </row>
        <row r="14333">
          <cell r="C14333" t="str">
            <v>5503 - CLEAR MOULDINGS</v>
          </cell>
          <cell r="D14333" t="str">
            <v>WM3260H12</v>
          </cell>
          <cell r="BA14333">
            <v>5.89</v>
          </cell>
        </row>
        <row r="14334">
          <cell r="C14334" t="str">
            <v>5503 - CLEAR MOULDINGS</v>
          </cell>
          <cell r="D14334" t="str">
            <v>WM3260H8</v>
          </cell>
          <cell r="BA14334">
            <v>3.99</v>
          </cell>
        </row>
        <row r="14335">
          <cell r="C14335" t="str">
            <v>5503 - CLEAR MOULDINGS</v>
          </cell>
          <cell r="D14335" t="str">
            <v>OPH326410</v>
          </cell>
          <cell r="BA14335">
            <v>6.39</v>
          </cell>
        </row>
        <row r="14336">
          <cell r="C14336" t="str">
            <v>5503 - CLEAR MOULDINGS</v>
          </cell>
          <cell r="D14336" t="str">
            <v>WM3264H8</v>
          </cell>
          <cell r="BA14336">
            <v>5.09</v>
          </cell>
        </row>
        <row r="14337">
          <cell r="C14337" t="str">
            <v>5503 - CLEAR MOULDINGS</v>
          </cell>
          <cell r="D14337" t="str">
            <v>WM334H</v>
          </cell>
          <cell r="BA14337">
            <v>1.19</v>
          </cell>
        </row>
        <row r="14338">
          <cell r="C14338" t="str">
            <v>5503 - CLEAR MOULDINGS</v>
          </cell>
          <cell r="D14338" t="str">
            <v>WM334H10</v>
          </cell>
          <cell r="BA14338">
            <v>11.49</v>
          </cell>
        </row>
        <row r="14339">
          <cell r="C14339" t="str">
            <v>5503 - CLEAR MOULDINGS</v>
          </cell>
          <cell r="D14339" t="str">
            <v>WM334H12</v>
          </cell>
          <cell r="BA14339">
            <v>13.79</v>
          </cell>
        </row>
        <row r="14340">
          <cell r="C14340" t="str">
            <v>5503 - CLEAR MOULDINGS</v>
          </cell>
          <cell r="D14340" t="str">
            <v>WM334H8</v>
          </cell>
          <cell r="BA14340">
            <v>9.19</v>
          </cell>
        </row>
        <row r="14341">
          <cell r="C14341" t="str">
            <v>5503 - CLEAR MOULDINGS</v>
          </cell>
          <cell r="D14341" t="str">
            <v>WM3274H8</v>
          </cell>
          <cell r="BA14341">
            <v>3.29</v>
          </cell>
        </row>
        <row r="14342">
          <cell r="C14342" t="str">
            <v>5503 - CLEAR MOULDINGS</v>
          </cell>
          <cell r="D14342" t="str">
            <v>WM32801H</v>
          </cell>
          <cell r="BA14342">
            <v>1.29</v>
          </cell>
        </row>
        <row r="14343">
          <cell r="C14343" t="str">
            <v>5503 - CLEAR MOULDINGS</v>
          </cell>
          <cell r="D14343" t="str">
            <v>WM32801H8</v>
          </cell>
          <cell r="BA14343">
            <v>9.69</v>
          </cell>
        </row>
        <row r="14344">
          <cell r="C14344" t="str">
            <v>5503 - CLEAR MOULDINGS</v>
          </cell>
          <cell r="D14344" t="str">
            <v>OPH328810</v>
          </cell>
          <cell r="BA14344">
            <v>4.29</v>
          </cell>
        </row>
        <row r="14345">
          <cell r="C14345" t="str">
            <v>5503 - CLEAR MOULDINGS</v>
          </cell>
          <cell r="D14345" t="str">
            <v>OPH328812</v>
          </cell>
          <cell r="BA14345">
            <v>5.09</v>
          </cell>
        </row>
        <row r="14346">
          <cell r="C14346" t="str">
            <v>5503 - CLEAR MOULDINGS</v>
          </cell>
          <cell r="D14346" t="str">
            <v>OPH86908</v>
          </cell>
          <cell r="BA14346">
            <v>4.79</v>
          </cell>
        </row>
        <row r="14347">
          <cell r="C14347" t="str">
            <v>5503 - CLEAR MOULDINGS</v>
          </cell>
          <cell r="D14347" t="str">
            <v>OPH86910</v>
          </cell>
          <cell r="BA14347">
            <v>5.99</v>
          </cell>
        </row>
        <row r="14348">
          <cell r="C14348" t="str">
            <v>5503 - CLEAR MOULDINGS</v>
          </cell>
          <cell r="D14348" t="str">
            <v>WM3288H8</v>
          </cell>
          <cell r="BA14348">
            <v>3.39</v>
          </cell>
        </row>
        <row r="14349">
          <cell r="C14349" t="str">
            <v>5503 - CLEAR MOULDINGS</v>
          </cell>
          <cell r="D14349" t="str">
            <v>WM869H</v>
          </cell>
          <cell r="BA14349">
            <v>0.59</v>
          </cell>
        </row>
        <row r="14350">
          <cell r="C14350" t="str">
            <v>5503 - CLEAR MOULDINGS</v>
          </cell>
          <cell r="D14350" t="str">
            <v>WM3428H8</v>
          </cell>
          <cell r="BA14350">
            <v>4.09</v>
          </cell>
        </row>
        <row r="14351">
          <cell r="C14351" t="str">
            <v>5503 - CLEAR MOULDINGS</v>
          </cell>
          <cell r="D14351" t="str">
            <v>WM3516H</v>
          </cell>
          <cell r="BA14351">
            <v>0.99</v>
          </cell>
        </row>
        <row r="14352">
          <cell r="C14352" t="str">
            <v>5503 - CLEAR MOULDINGS</v>
          </cell>
          <cell r="D14352" t="str">
            <v>WM3516H8</v>
          </cell>
          <cell r="BA14352">
            <v>7.39</v>
          </cell>
        </row>
        <row r="14353">
          <cell r="C14353" t="str">
            <v>5503 - CLEAR MOULDINGS</v>
          </cell>
          <cell r="D14353" t="str">
            <v>H703PM</v>
          </cell>
          <cell r="BA14353">
            <v>0.89</v>
          </cell>
        </row>
        <row r="14354">
          <cell r="C14354" t="str">
            <v>5503 - CLEAR MOULDINGS</v>
          </cell>
          <cell r="D14354" t="str">
            <v>H711PM</v>
          </cell>
          <cell r="BA14354">
            <v>0.89</v>
          </cell>
        </row>
        <row r="14355">
          <cell r="C14355" t="str">
            <v>5503 - CLEAR MOULDINGS</v>
          </cell>
          <cell r="D14355" t="str">
            <v>WM95310</v>
          </cell>
          <cell r="BA14355">
            <v>9.59</v>
          </cell>
        </row>
        <row r="14356">
          <cell r="C14356" t="str">
            <v>5503 - CLEAR MOULDINGS</v>
          </cell>
          <cell r="D14356" t="str">
            <v>WM865H</v>
          </cell>
          <cell r="BA14356">
            <v>110</v>
          </cell>
        </row>
        <row r="14357">
          <cell r="C14357" t="str">
            <v>5503 - CLEAR MOULDINGS</v>
          </cell>
          <cell r="D14357" t="str">
            <v>OPH86608</v>
          </cell>
          <cell r="BA14357">
            <v>6.89</v>
          </cell>
        </row>
        <row r="14358">
          <cell r="C14358" t="str">
            <v>5503 - CLEAR MOULDINGS</v>
          </cell>
          <cell r="D14358" t="str">
            <v>OPH86610</v>
          </cell>
          <cell r="BA14358">
            <v>8.59</v>
          </cell>
        </row>
        <row r="14359">
          <cell r="C14359" t="str">
            <v>5503 - CLEAR MOULDINGS</v>
          </cell>
          <cell r="D14359" t="str">
            <v>OPH86612</v>
          </cell>
          <cell r="BA14359">
            <v>10.29</v>
          </cell>
        </row>
        <row r="14360">
          <cell r="C14360" t="str">
            <v>5503 - CLEAR MOULDINGS</v>
          </cell>
          <cell r="D14360" t="str">
            <v>WM866138H</v>
          </cell>
          <cell r="BA14360">
            <v>86</v>
          </cell>
        </row>
        <row r="14361">
          <cell r="C14361" t="str">
            <v>5503 - CLEAR MOULDINGS</v>
          </cell>
          <cell r="D14361" t="str">
            <v>80138HEMTAST</v>
          </cell>
          <cell r="BA14361">
            <v>27.99</v>
          </cell>
        </row>
        <row r="14362">
          <cell r="C14362" t="str">
            <v>5503 - CLEAR MOULDINGS</v>
          </cell>
          <cell r="D14362" t="str">
            <v>WM180H</v>
          </cell>
          <cell r="BA14362">
            <v>287</v>
          </cell>
        </row>
        <row r="14363">
          <cell r="C14363" t="str">
            <v>5503 - CLEAR MOULDINGS</v>
          </cell>
          <cell r="D14363" t="str">
            <v>WM180H7</v>
          </cell>
          <cell r="BA14363">
            <v>20.09</v>
          </cell>
        </row>
        <row r="14364">
          <cell r="C14364" t="str">
            <v>5503 - CLEAR MOULDINGS</v>
          </cell>
          <cell r="D14364" t="str">
            <v>H440SHINGLEMLD</v>
          </cell>
          <cell r="BA14364">
            <v>128</v>
          </cell>
        </row>
        <row r="14365">
          <cell r="C14365" t="str">
            <v>5503 - CLEAR MOULDINGS</v>
          </cell>
          <cell r="D14365" t="str">
            <v>MWP1CS</v>
          </cell>
          <cell r="BA14365">
            <v>0.27</v>
          </cell>
        </row>
        <row r="14366">
          <cell r="C14366" t="str">
            <v>5503 - CLEAR MOULDINGS</v>
          </cell>
          <cell r="D14366" t="str">
            <v>OPP99510</v>
          </cell>
          <cell r="BA14366">
            <v>2.79</v>
          </cell>
        </row>
        <row r="14367">
          <cell r="C14367" t="str">
            <v>5503 - CLEAR MOULDINGS</v>
          </cell>
          <cell r="D14367" t="str">
            <v>MWHBC112</v>
          </cell>
          <cell r="BA14367">
            <v>84</v>
          </cell>
        </row>
        <row r="14368">
          <cell r="C14368" t="str">
            <v>5503 - CLEAR MOULDINGS</v>
          </cell>
          <cell r="D14368" t="str">
            <v>MWHBC11210</v>
          </cell>
          <cell r="BA14368">
            <v>7.89</v>
          </cell>
        </row>
        <row r="14369">
          <cell r="C14369" t="str">
            <v>5503 - CLEAR MOULDINGS</v>
          </cell>
          <cell r="D14369" t="str">
            <v>MWHBC11212</v>
          </cell>
          <cell r="BA14369">
            <v>9.49</v>
          </cell>
        </row>
        <row r="14370">
          <cell r="C14370" t="str">
            <v>5503 - CLEAR MOULDINGS</v>
          </cell>
          <cell r="D14370" t="str">
            <v>MWHBC1127</v>
          </cell>
          <cell r="BA14370">
            <v>5.89</v>
          </cell>
        </row>
        <row r="14371">
          <cell r="C14371" t="str">
            <v>5503 - CLEAR MOULDINGS</v>
          </cell>
          <cell r="D14371" t="str">
            <v>MWHBC1128</v>
          </cell>
          <cell r="BA14371">
            <v>6.29</v>
          </cell>
        </row>
        <row r="14372">
          <cell r="C14372" t="str">
            <v>5503 - CLEAR MOULDINGS</v>
          </cell>
          <cell r="D14372" t="str">
            <v>MWHBC214</v>
          </cell>
          <cell r="BA14372">
            <v>127</v>
          </cell>
        </row>
        <row r="14373">
          <cell r="C14373" t="str">
            <v>5503 - CLEAR MOULDINGS</v>
          </cell>
          <cell r="D14373" t="str">
            <v>MWHBC21410</v>
          </cell>
          <cell r="BA14373">
            <v>12.69</v>
          </cell>
        </row>
        <row r="14374">
          <cell r="C14374" t="str">
            <v>5503 - CLEAR MOULDINGS</v>
          </cell>
          <cell r="D14374" t="str">
            <v>MWHBC21412</v>
          </cell>
          <cell r="BA14374">
            <v>15.19</v>
          </cell>
        </row>
        <row r="14375">
          <cell r="C14375" t="str">
            <v>5503 - CLEAR MOULDINGS</v>
          </cell>
          <cell r="D14375" t="str">
            <v>MWHBC2147</v>
          </cell>
          <cell r="BA14375">
            <v>8.89</v>
          </cell>
        </row>
        <row r="14376">
          <cell r="C14376" t="str">
            <v>5503 - CLEAR MOULDINGS</v>
          </cell>
          <cell r="D14376" t="str">
            <v>MWHBC2148</v>
          </cell>
          <cell r="BA14376">
            <v>10.09</v>
          </cell>
        </row>
        <row r="14377">
          <cell r="C14377" t="str">
            <v>5503 - CLEAR MOULDINGS</v>
          </cell>
          <cell r="D14377" t="str">
            <v>OPH86510</v>
          </cell>
          <cell r="BA14377">
            <v>10.99</v>
          </cell>
        </row>
        <row r="14378">
          <cell r="C14378" t="str">
            <v>5503 - CLEAR MOULDINGS</v>
          </cell>
          <cell r="D14378" t="str">
            <v>OPH1916</v>
          </cell>
          <cell r="BA14378">
            <v>19.29</v>
          </cell>
        </row>
        <row r="14379">
          <cell r="C14379" t="str">
            <v>5503 - CLEAR MOULDINGS</v>
          </cell>
          <cell r="D14379" t="str">
            <v>OPH86508</v>
          </cell>
          <cell r="BA14379">
            <v>8.7899999999999991</v>
          </cell>
        </row>
        <row r="14380">
          <cell r="C14380" t="str">
            <v>5503 - CLEAR MOULDINGS</v>
          </cell>
          <cell r="D14380" t="str">
            <v>MWHBS21412</v>
          </cell>
          <cell r="BA14380">
            <v>16.989999999999998</v>
          </cell>
        </row>
        <row r="14381">
          <cell r="C14381" t="str">
            <v>5503 - CLEAR MOULDINGS</v>
          </cell>
          <cell r="D14381" t="str">
            <v>MWHBS31410</v>
          </cell>
          <cell r="BA14381">
            <v>16.489999999999998</v>
          </cell>
        </row>
        <row r="14382">
          <cell r="C14382" t="str">
            <v>5503 - CLEAR MOULDINGS</v>
          </cell>
          <cell r="D14382" t="str">
            <v>MWHBS3148</v>
          </cell>
          <cell r="BA14382">
            <v>13.19</v>
          </cell>
        </row>
        <row r="14383">
          <cell r="C14383" t="str">
            <v>5503 - CLEAR MOULDINGS</v>
          </cell>
          <cell r="D14383" t="str">
            <v>MWHCB314</v>
          </cell>
          <cell r="BA14383">
            <v>186</v>
          </cell>
        </row>
        <row r="14384">
          <cell r="C14384" t="str">
            <v>5503 - CLEAR MOULDINGS</v>
          </cell>
          <cell r="D14384" t="str">
            <v>MWHCB31410</v>
          </cell>
          <cell r="BA14384">
            <v>18.59</v>
          </cell>
        </row>
        <row r="14385">
          <cell r="C14385" t="str">
            <v>5503 - CLEAR MOULDINGS</v>
          </cell>
          <cell r="D14385" t="str">
            <v>MWHCB31412</v>
          </cell>
          <cell r="BA14385">
            <v>22.29</v>
          </cell>
        </row>
        <row r="14386">
          <cell r="C14386" t="str">
            <v>5503 - CLEAR MOULDINGS</v>
          </cell>
          <cell r="D14386" t="str">
            <v>MWHCB3148</v>
          </cell>
          <cell r="BA14386">
            <v>14.89</v>
          </cell>
        </row>
        <row r="14387">
          <cell r="C14387" t="str">
            <v>5503 - CLEAR MOULDINGS</v>
          </cell>
          <cell r="D14387" t="str">
            <v>MWHCC21410</v>
          </cell>
          <cell r="BA14387">
            <v>12.19</v>
          </cell>
        </row>
        <row r="14388">
          <cell r="C14388" t="str">
            <v>5503 - CLEAR MOULDINGS</v>
          </cell>
          <cell r="D14388" t="str">
            <v>MWHCC21412</v>
          </cell>
          <cell r="BA14388">
            <v>14.59</v>
          </cell>
        </row>
        <row r="14389">
          <cell r="C14389" t="str">
            <v>5503 - CLEAR MOULDINGS</v>
          </cell>
          <cell r="D14389" t="str">
            <v>MWHCC2147</v>
          </cell>
          <cell r="BA14389">
            <v>8.89</v>
          </cell>
        </row>
        <row r="14390">
          <cell r="C14390" t="str">
            <v>5503 - CLEAR MOULDINGS</v>
          </cell>
          <cell r="D14390" t="str">
            <v>MWHCC2148</v>
          </cell>
          <cell r="BA14390">
            <v>9.69</v>
          </cell>
        </row>
        <row r="14391">
          <cell r="C14391" t="str">
            <v>5503 - CLEAR MOULDINGS</v>
          </cell>
          <cell r="D14391" t="str">
            <v>MWHCC31410</v>
          </cell>
          <cell r="BA14391">
            <v>18.989999999999998</v>
          </cell>
        </row>
        <row r="14392">
          <cell r="C14392" t="str">
            <v>5503 - CLEAR MOULDINGS</v>
          </cell>
          <cell r="D14392" t="str">
            <v>MWHCOV1116</v>
          </cell>
          <cell r="BA14392">
            <v>64</v>
          </cell>
        </row>
        <row r="14393">
          <cell r="C14393" t="str">
            <v>5503 - CLEAR MOULDINGS</v>
          </cell>
          <cell r="D14393" t="str">
            <v>MWHOC1148</v>
          </cell>
          <cell r="BA14393">
            <v>12.39</v>
          </cell>
        </row>
        <row r="14394">
          <cell r="C14394" t="str">
            <v>5503 - CLEAR MOULDINGS</v>
          </cell>
          <cell r="D14394" t="str">
            <v>OPH204</v>
          </cell>
          <cell r="BA14394">
            <v>155</v>
          </cell>
        </row>
        <row r="14395">
          <cell r="C14395" t="str">
            <v>5503 - CLEAR MOULDINGS</v>
          </cell>
          <cell r="D14395" t="str">
            <v>MWHQR148</v>
          </cell>
          <cell r="BA14395">
            <v>3.49</v>
          </cell>
        </row>
        <row r="14396">
          <cell r="C14396" t="str">
            <v>5503 - CLEAR MOULDINGS</v>
          </cell>
          <cell r="D14396" t="str">
            <v>MWHSC21407</v>
          </cell>
          <cell r="BA14396">
            <v>9.49</v>
          </cell>
        </row>
        <row r="14397">
          <cell r="C14397" t="str">
            <v>5503 - CLEAR MOULDINGS</v>
          </cell>
          <cell r="D14397" t="str">
            <v>MWHSC21408</v>
          </cell>
          <cell r="BA14397">
            <v>10.79</v>
          </cell>
        </row>
        <row r="14398">
          <cell r="C14398" t="str">
            <v>5503 - CLEAR MOULDINGS</v>
          </cell>
          <cell r="D14398" t="str">
            <v>MWHSK212</v>
          </cell>
          <cell r="BA14398">
            <v>34.39</v>
          </cell>
        </row>
        <row r="14399">
          <cell r="C14399" t="str">
            <v>5503 - CLEAR MOULDINGS</v>
          </cell>
          <cell r="D14399" t="str">
            <v>MWHSM34</v>
          </cell>
          <cell r="BA14399">
            <v>41</v>
          </cell>
        </row>
        <row r="14400">
          <cell r="C14400" t="str">
            <v>5503 - CLEAR MOULDINGS</v>
          </cell>
          <cell r="D14400" t="str">
            <v>OPH3005</v>
          </cell>
          <cell r="BA14400">
            <v>89</v>
          </cell>
        </row>
        <row r="14401">
          <cell r="C14401" t="str">
            <v>5503 - CLEAR MOULDINGS</v>
          </cell>
          <cell r="D14401" t="str">
            <v>OPH54</v>
          </cell>
          <cell r="BA14401">
            <v>123</v>
          </cell>
        </row>
        <row r="14402">
          <cell r="C14402" t="str">
            <v>5503 - CLEAR MOULDINGS</v>
          </cell>
          <cell r="D14402" t="str">
            <v>OPH41</v>
          </cell>
          <cell r="BA14402">
            <v>142</v>
          </cell>
        </row>
        <row r="14403">
          <cell r="C14403" t="str">
            <v>5503 - CLEAR MOULDINGS</v>
          </cell>
          <cell r="D14403" t="str">
            <v>OPH4107</v>
          </cell>
          <cell r="BA14403">
            <v>9.89</v>
          </cell>
        </row>
        <row r="14404">
          <cell r="C14404" t="str">
            <v>5503 - CLEAR MOULDINGS</v>
          </cell>
          <cell r="D14404" t="str">
            <v>OPH442</v>
          </cell>
          <cell r="BA14404">
            <v>433</v>
          </cell>
        </row>
        <row r="14405">
          <cell r="C14405" t="str">
            <v>5503 - CLEAR MOULDINGS</v>
          </cell>
          <cell r="D14405" t="str">
            <v>OPH26712</v>
          </cell>
          <cell r="BA14405">
            <v>5.69</v>
          </cell>
        </row>
        <row r="14406">
          <cell r="C14406" t="str">
            <v>5503 - CLEAR MOULDINGS</v>
          </cell>
          <cell r="D14406" t="str">
            <v>OPH2668</v>
          </cell>
          <cell r="BA14406">
            <v>7.29</v>
          </cell>
        </row>
        <row r="14407">
          <cell r="C14407" t="str">
            <v>5503 - CLEAR MOULDINGS</v>
          </cell>
          <cell r="D14407" t="str">
            <v>OPH26412</v>
          </cell>
          <cell r="BA14407">
            <v>14.59</v>
          </cell>
        </row>
        <row r="14408">
          <cell r="C14408" t="str">
            <v>5503 - CLEAR MOULDINGS</v>
          </cell>
          <cell r="D14408" t="str">
            <v>OPH26610</v>
          </cell>
          <cell r="BA14408">
            <v>9.09</v>
          </cell>
        </row>
        <row r="14409">
          <cell r="C14409" t="str">
            <v>5503 - CLEAR MOULDINGS</v>
          </cell>
          <cell r="D14409" t="str">
            <v>OPH328010</v>
          </cell>
          <cell r="BA14409">
            <v>12.09</v>
          </cell>
        </row>
        <row r="14410">
          <cell r="C14410" t="str">
            <v>5503 - CLEAR MOULDINGS</v>
          </cell>
          <cell r="D14410" t="str">
            <v>OPH20410</v>
          </cell>
          <cell r="BA14410">
            <v>15.49</v>
          </cell>
        </row>
        <row r="14411">
          <cell r="C14411" t="str">
            <v>5503 - CLEAR MOULDINGS</v>
          </cell>
          <cell r="D14411" t="str">
            <v>OPH20412</v>
          </cell>
          <cell r="BA14411">
            <v>18.59</v>
          </cell>
        </row>
        <row r="14412">
          <cell r="C14412" t="str">
            <v>5503 - CLEAR MOULDINGS</v>
          </cell>
          <cell r="D14412" t="str">
            <v>OPH3282LF</v>
          </cell>
          <cell r="BA14412">
            <v>87</v>
          </cell>
        </row>
        <row r="14413">
          <cell r="C14413" t="str">
            <v>5503 - CLEAR MOULDINGS</v>
          </cell>
          <cell r="D14413" t="str">
            <v>OPH328210</v>
          </cell>
          <cell r="BA14413">
            <v>8.69</v>
          </cell>
        </row>
        <row r="14414">
          <cell r="C14414" t="str">
            <v>5503 - CLEAR MOULDINGS</v>
          </cell>
          <cell r="D14414" t="str">
            <v>OPH328212</v>
          </cell>
          <cell r="BA14414">
            <v>10.49</v>
          </cell>
        </row>
        <row r="14415">
          <cell r="C14415" t="str">
            <v>5503 - CLEAR MOULDINGS</v>
          </cell>
          <cell r="D14415" t="str">
            <v>OPH342812</v>
          </cell>
          <cell r="BA14415">
            <v>6.09</v>
          </cell>
        </row>
        <row r="14416">
          <cell r="C14416" t="str">
            <v>5503 - CLEAR MOULDINGS</v>
          </cell>
          <cell r="D14416" t="str">
            <v>OPH320210</v>
          </cell>
          <cell r="BA14416">
            <v>4.29</v>
          </cell>
        </row>
        <row r="14417">
          <cell r="C14417" t="str">
            <v>5503 - CLEAR MOULDINGS</v>
          </cell>
          <cell r="D14417" t="str">
            <v>OPH44207</v>
          </cell>
          <cell r="BA14417">
            <v>30.29</v>
          </cell>
        </row>
        <row r="14418">
          <cell r="C14418" t="str">
            <v>5503 - CLEAR MOULDINGS</v>
          </cell>
          <cell r="D14418" t="str">
            <v>OPH44210</v>
          </cell>
          <cell r="BA14418">
            <v>43.29</v>
          </cell>
        </row>
        <row r="14419">
          <cell r="C14419" t="str">
            <v>5503 - CLEAR MOULDINGS</v>
          </cell>
          <cell r="D14419" t="str">
            <v>OPH327410</v>
          </cell>
          <cell r="BA14419">
            <v>4.09</v>
          </cell>
        </row>
        <row r="14420">
          <cell r="C14420" t="str">
            <v>5503 - CLEAR MOULDINGS</v>
          </cell>
          <cell r="D14420" t="str">
            <v>OPH327412</v>
          </cell>
          <cell r="BA14420">
            <v>4.8899999999999997</v>
          </cell>
        </row>
        <row r="14421">
          <cell r="C14421" t="str">
            <v>5503 - CLEAR MOULDINGS</v>
          </cell>
          <cell r="D14421" t="str">
            <v>OPH351708</v>
          </cell>
          <cell r="BA14421">
            <v>18.79</v>
          </cell>
        </row>
        <row r="14422">
          <cell r="C14422" t="str">
            <v>5503 - CLEAR MOULDINGS</v>
          </cell>
          <cell r="D14422" t="str">
            <v>OPH3517</v>
          </cell>
          <cell r="BA14422">
            <v>234</v>
          </cell>
        </row>
        <row r="14423">
          <cell r="C14423" t="str">
            <v>5503 - CLEAR MOULDINGS</v>
          </cell>
          <cell r="D14423" t="str">
            <v>OPH29208</v>
          </cell>
          <cell r="BA14423">
            <v>10.39</v>
          </cell>
        </row>
        <row r="14424">
          <cell r="C14424" t="str">
            <v>5503 - CLEAR MOULDINGS</v>
          </cell>
          <cell r="D14424" t="str">
            <v>OPH292</v>
          </cell>
          <cell r="BA14424">
            <v>130</v>
          </cell>
        </row>
        <row r="14425">
          <cell r="C14425" t="str">
            <v>5503 - CLEAR MOULDINGS</v>
          </cell>
          <cell r="D14425" t="str">
            <v>OPH625</v>
          </cell>
          <cell r="BA14425">
            <v>130</v>
          </cell>
        </row>
        <row r="14426">
          <cell r="C14426" t="str">
            <v>5503 - CLEAR MOULDINGS</v>
          </cell>
          <cell r="D14426" t="str">
            <v>OPH3260</v>
          </cell>
          <cell r="BA14426">
            <v>49</v>
          </cell>
        </row>
        <row r="14427">
          <cell r="C14427" t="str">
            <v>5503 - CLEAR MOULDINGS</v>
          </cell>
          <cell r="D14427" t="str">
            <v>OPH936</v>
          </cell>
          <cell r="BA14427">
            <v>76</v>
          </cell>
        </row>
        <row r="14428">
          <cell r="C14428" t="str">
            <v>5503 - CLEAR MOULDINGS</v>
          </cell>
          <cell r="D14428" t="str">
            <v>OPH3428</v>
          </cell>
          <cell r="BA14428">
            <v>51</v>
          </cell>
        </row>
        <row r="14429">
          <cell r="C14429" t="str">
            <v>5503 - CLEAR MOULDINGS</v>
          </cell>
          <cell r="D14429" t="str">
            <v>OPH3202</v>
          </cell>
          <cell r="BA14429">
            <v>43</v>
          </cell>
        </row>
        <row r="14430">
          <cell r="C14430" t="str">
            <v>5503 - CLEAR MOULDINGS</v>
          </cell>
          <cell r="D14430" t="str">
            <v>OPH3102</v>
          </cell>
          <cell r="BA14430">
            <v>165</v>
          </cell>
        </row>
        <row r="14431">
          <cell r="C14431" t="str">
            <v>5504 - MDF MOULDINGS</v>
          </cell>
          <cell r="D14431" t="str">
            <v>4916CROWN</v>
          </cell>
          <cell r="BA14431">
            <v>15.19</v>
          </cell>
        </row>
        <row r="14432">
          <cell r="C14432" t="str">
            <v>5504 - MDF MOULDINGS</v>
          </cell>
          <cell r="D14432" t="str">
            <v>12212MDFE2E16</v>
          </cell>
          <cell r="BA14432">
            <v>8.2899999999999991</v>
          </cell>
        </row>
        <row r="14433">
          <cell r="C14433" t="str">
            <v>5504 - MDF MOULDINGS</v>
          </cell>
          <cell r="D14433" t="str">
            <v>623MDF8</v>
          </cell>
          <cell r="BA14433">
            <v>5.09</v>
          </cell>
        </row>
        <row r="14434">
          <cell r="C14434" t="str">
            <v>5504 - MDF MOULDINGS</v>
          </cell>
          <cell r="D14434" t="str">
            <v>MDF35612</v>
          </cell>
          <cell r="BA14434">
            <v>7.29</v>
          </cell>
        </row>
        <row r="14435">
          <cell r="C14435" t="str">
            <v>5504 - MDF MOULDINGS</v>
          </cell>
          <cell r="D14435" t="str">
            <v>MDF49507</v>
          </cell>
          <cell r="BA14435">
            <v>6.79</v>
          </cell>
        </row>
        <row r="14436">
          <cell r="C14436" t="str">
            <v>5504 - MDF MOULDINGS</v>
          </cell>
          <cell r="D14436" t="str">
            <v>MFP356MDF</v>
          </cell>
          <cell r="BA14436">
            <v>30</v>
          </cell>
        </row>
        <row r="14437">
          <cell r="C14437" t="str">
            <v>5504 - MDF MOULDINGS</v>
          </cell>
          <cell r="D14437" t="str">
            <v>MFP356MDF10</v>
          </cell>
          <cell r="BA14437">
            <v>6.09</v>
          </cell>
        </row>
        <row r="14438">
          <cell r="C14438" t="str">
            <v>5504 - MDF MOULDINGS</v>
          </cell>
          <cell r="D14438" t="str">
            <v>MFP356MDF16</v>
          </cell>
          <cell r="BA14438">
            <v>9.7899999999999991</v>
          </cell>
        </row>
        <row r="14439">
          <cell r="C14439" t="str">
            <v>5504 - MDF MOULDINGS</v>
          </cell>
          <cell r="D14439" t="str">
            <v>MFP356MDF7</v>
          </cell>
          <cell r="BA14439">
            <v>2.29</v>
          </cell>
        </row>
        <row r="14440">
          <cell r="C14440" t="str">
            <v>5504 - MDF MOULDINGS</v>
          </cell>
          <cell r="D14440" t="str">
            <v>MFP356MDF17</v>
          </cell>
          <cell r="BA14440">
            <v>10.39</v>
          </cell>
        </row>
        <row r="14441">
          <cell r="C14441" t="str">
            <v>5504 - MDF MOULDINGS</v>
          </cell>
          <cell r="D14441" t="str">
            <v>MDF44408</v>
          </cell>
          <cell r="BA14441">
            <v>6.89</v>
          </cell>
        </row>
        <row r="14442">
          <cell r="C14442" t="str">
            <v>5504 - MDF MOULDINGS</v>
          </cell>
          <cell r="D14442" t="str">
            <v>MDF44410</v>
          </cell>
          <cell r="BA14442">
            <v>8.49</v>
          </cell>
        </row>
        <row r="14443">
          <cell r="C14443" t="str">
            <v>5504 - MDF MOULDINGS</v>
          </cell>
          <cell r="D14443" t="str">
            <v>MDF44412</v>
          </cell>
          <cell r="BA14443">
            <v>10.19</v>
          </cell>
        </row>
        <row r="14444">
          <cell r="C14444" t="str">
            <v>5504 - MDF MOULDINGS</v>
          </cell>
          <cell r="D14444" t="str">
            <v>MFP623MDFLF</v>
          </cell>
          <cell r="BA14444">
            <v>0.39</v>
          </cell>
        </row>
        <row r="14445">
          <cell r="C14445" t="str">
            <v>5504 - MDF MOULDINGS</v>
          </cell>
          <cell r="D14445" t="str">
            <v>MFP62310</v>
          </cell>
          <cell r="BA14445">
            <v>6.39</v>
          </cell>
        </row>
        <row r="14446">
          <cell r="C14446" t="str">
            <v>5504 - MDF MOULDINGS</v>
          </cell>
          <cell r="D14446" t="str">
            <v>MFP6238</v>
          </cell>
          <cell r="BA14446">
            <v>5.09</v>
          </cell>
        </row>
        <row r="14447">
          <cell r="C14447" t="str">
            <v>5504 - MDF MOULDINGS</v>
          </cell>
          <cell r="D14447" t="str">
            <v>MFP62312</v>
          </cell>
          <cell r="BA14447">
            <v>7.69</v>
          </cell>
        </row>
        <row r="14448">
          <cell r="C14448" t="str">
            <v>5504 - MDF MOULDINGS</v>
          </cell>
          <cell r="D14448" t="str">
            <v>MFP618MDF16</v>
          </cell>
          <cell r="BA14448">
            <v>16.690000000000001</v>
          </cell>
        </row>
        <row r="14449">
          <cell r="C14449" t="str">
            <v>5504 - MDF MOULDINGS</v>
          </cell>
          <cell r="D14449" t="str">
            <v>MFP623MDF16</v>
          </cell>
          <cell r="BA14449">
            <v>10.19</v>
          </cell>
        </row>
        <row r="14450">
          <cell r="C14450" t="str">
            <v>5504 - MDF MOULDINGS</v>
          </cell>
          <cell r="D14450" t="str">
            <v>01056MDF</v>
          </cell>
          <cell r="BA14450">
            <v>20.89</v>
          </cell>
        </row>
        <row r="14451">
          <cell r="C14451" t="str">
            <v>5504 - MDF MOULDINGS</v>
          </cell>
          <cell r="D14451" t="str">
            <v>356MDF10</v>
          </cell>
          <cell r="BA14451">
            <v>6.09</v>
          </cell>
        </row>
        <row r="14452">
          <cell r="C14452" t="str">
            <v>5504 - MDF MOULDINGS</v>
          </cell>
          <cell r="D14452" t="str">
            <v>356MDF12</v>
          </cell>
          <cell r="BA14452">
            <v>7.29</v>
          </cell>
        </row>
        <row r="14453">
          <cell r="C14453" t="str">
            <v>5504 - MDF MOULDINGS</v>
          </cell>
          <cell r="D14453" t="str">
            <v>356MDF17</v>
          </cell>
          <cell r="BA14453">
            <v>10.39</v>
          </cell>
        </row>
        <row r="14454">
          <cell r="C14454" t="str">
            <v>5504 - MDF MOULDINGS</v>
          </cell>
          <cell r="D14454" t="str">
            <v>435MDF</v>
          </cell>
          <cell r="BA14454">
            <v>0.33</v>
          </cell>
        </row>
        <row r="14455">
          <cell r="C14455" t="str">
            <v>5504 - MDF MOULDINGS</v>
          </cell>
          <cell r="D14455" t="str">
            <v>473MDF</v>
          </cell>
          <cell r="BA14455">
            <v>32</v>
          </cell>
        </row>
        <row r="14456">
          <cell r="C14456" t="str">
            <v>5504 - MDF MOULDINGS</v>
          </cell>
          <cell r="D14456" t="str">
            <v>473MDF7</v>
          </cell>
          <cell r="BA14456">
            <v>2.4900000000000002</v>
          </cell>
        </row>
        <row r="14457">
          <cell r="C14457" t="str">
            <v>5504 - MDF MOULDINGS</v>
          </cell>
          <cell r="D14457" t="str">
            <v>473MDF17</v>
          </cell>
          <cell r="BA14457">
            <v>9.7899999999999991</v>
          </cell>
        </row>
        <row r="14458">
          <cell r="C14458" t="str">
            <v>5504 - MDF MOULDINGS</v>
          </cell>
          <cell r="D14458" t="str">
            <v>5000MDF16</v>
          </cell>
          <cell r="BA14458">
            <v>30.89</v>
          </cell>
        </row>
        <row r="14459">
          <cell r="C14459" t="str">
            <v>5504 - MDF MOULDINGS</v>
          </cell>
          <cell r="D14459" t="str">
            <v>14E2EMDF</v>
          </cell>
          <cell r="BA14459">
            <v>49</v>
          </cell>
        </row>
        <row r="14460">
          <cell r="C14460" t="str">
            <v>5504 - MDF MOULDINGS</v>
          </cell>
          <cell r="D14460" t="str">
            <v>14E2EMDF17BO</v>
          </cell>
          <cell r="BA14460">
            <v>49</v>
          </cell>
        </row>
        <row r="14461">
          <cell r="C14461" t="str">
            <v>5504 - MDF MOULDINGS</v>
          </cell>
          <cell r="D14461" t="str">
            <v>003MDF</v>
          </cell>
          <cell r="BA14461">
            <v>60</v>
          </cell>
        </row>
        <row r="14462">
          <cell r="C14462" t="str">
            <v>5504 - MDF MOULDINGS</v>
          </cell>
          <cell r="D14462" t="str">
            <v>14E2EMDF7</v>
          </cell>
          <cell r="BA14462">
            <v>3.49</v>
          </cell>
        </row>
        <row r="14463">
          <cell r="C14463" t="str">
            <v>5504 - MDF MOULDINGS</v>
          </cell>
          <cell r="D14463" t="str">
            <v>14314E2EMDFP</v>
          </cell>
          <cell r="BA14463">
            <v>0.49</v>
          </cell>
        </row>
        <row r="14464">
          <cell r="C14464" t="str">
            <v>5504 - MDF MOULDINGS</v>
          </cell>
          <cell r="D14464" t="str">
            <v>14314E2EMDFP7</v>
          </cell>
          <cell r="BA14464">
            <v>3.39</v>
          </cell>
        </row>
        <row r="14465">
          <cell r="C14465" t="str">
            <v>5504 - MDF MOULDINGS</v>
          </cell>
          <cell r="D14465" t="str">
            <v>14314E2EMDFP9</v>
          </cell>
          <cell r="BA14465">
            <v>4.3899999999999997</v>
          </cell>
        </row>
        <row r="14466">
          <cell r="C14466" t="str">
            <v>5504 - MDF MOULDINGS</v>
          </cell>
          <cell r="D14466" t="str">
            <v>34314MDF</v>
          </cell>
          <cell r="BA14466">
            <v>0.99</v>
          </cell>
        </row>
        <row r="14467">
          <cell r="C14467" t="str">
            <v>5504 - MDF MOULDINGS</v>
          </cell>
          <cell r="D14467" t="str">
            <v>618MDF8</v>
          </cell>
          <cell r="BA14467">
            <v>8.39</v>
          </cell>
        </row>
        <row r="14468">
          <cell r="C14468" t="str">
            <v>5504 - MDF MOULDINGS</v>
          </cell>
          <cell r="D14468" t="str">
            <v>618MDF</v>
          </cell>
          <cell r="BA14468">
            <v>63</v>
          </cell>
        </row>
        <row r="14469">
          <cell r="C14469" t="str">
            <v>5504 - MDF MOULDINGS</v>
          </cell>
          <cell r="D14469" t="str">
            <v>618MDF16</v>
          </cell>
          <cell r="BA14469">
            <v>16.690000000000001</v>
          </cell>
        </row>
        <row r="14470">
          <cell r="C14470" t="str">
            <v>5504 - MDF MOULDINGS</v>
          </cell>
          <cell r="D14470" t="str">
            <v>623MDF16</v>
          </cell>
          <cell r="BA14470">
            <v>10.19</v>
          </cell>
        </row>
        <row r="14471">
          <cell r="C14471" t="str">
            <v>5504 - MDF MOULDINGS</v>
          </cell>
          <cell r="D14471" t="str">
            <v>MDF634M10</v>
          </cell>
          <cell r="BA14471">
            <v>6.19</v>
          </cell>
        </row>
        <row r="14472">
          <cell r="C14472" t="str">
            <v>5504 - MDF MOULDINGS</v>
          </cell>
          <cell r="D14472" t="str">
            <v>MDF634M12</v>
          </cell>
          <cell r="BA14472">
            <v>7.39</v>
          </cell>
        </row>
        <row r="14473">
          <cell r="C14473" t="str">
            <v>5504 - MDF MOULDINGS</v>
          </cell>
          <cell r="D14473" t="str">
            <v>MDF634M16</v>
          </cell>
          <cell r="BA14473">
            <v>9.89</v>
          </cell>
        </row>
        <row r="14474">
          <cell r="C14474" t="str">
            <v>5504 - MDF MOULDINGS</v>
          </cell>
          <cell r="D14474" t="str">
            <v>MDF634M8</v>
          </cell>
          <cell r="BA14474">
            <v>4.99</v>
          </cell>
        </row>
        <row r="14475">
          <cell r="C14475" t="str">
            <v>5504 - MDF MOULDINGS</v>
          </cell>
          <cell r="D14475" t="str">
            <v>544MDFPEE</v>
          </cell>
          <cell r="BA14475">
            <v>77</v>
          </cell>
        </row>
        <row r="14476">
          <cell r="C14476" t="str">
            <v>5504 - MDF MOULDINGS</v>
          </cell>
          <cell r="D14476" t="str">
            <v>545MDFPEE</v>
          </cell>
          <cell r="BA14476">
            <v>167</v>
          </cell>
        </row>
        <row r="14477">
          <cell r="C14477" t="str">
            <v>5504 - MDF MOULDINGS</v>
          </cell>
          <cell r="D14477" t="str">
            <v>546MDFPEE</v>
          </cell>
          <cell r="BA14477">
            <v>121</v>
          </cell>
        </row>
        <row r="14478">
          <cell r="C14478" t="str">
            <v>5504 - MDF MOULDINGS</v>
          </cell>
          <cell r="D14478" t="str">
            <v>548MDFPEE</v>
          </cell>
          <cell r="BA14478">
            <v>180</v>
          </cell>
        </row>
        <row r="14479">
          <cell r="C14479" t="str">
            <v>5504 - MDF MOULDINGS</v>
          </cell>
          <cell r="D14479" t="str">
            <v>11010ULMDFS</v>
          </cell>
          <cell r="BA14479">
            <v>20.69</v>
          </cell>
        </row>
        <row r="14480">
          <cell r="C14480" t="str">
            <v>5504 - MDF MOULDINGS</v>
          </cell>
          <cell r="D14480" t="str">
            <v>1108ULMDFS</v>
          </cell>
          <cell r="BA14480">
            <v>16.489999999999998</v>
          </cell>
        </row>
        <row r="14481">
          <cell r="C14481" t="str">
            <v>5504 - MDF MOULDINGS</v>
          </cell>
          <cell r="D14481" t="str">
            <v>11210ULMDFS</v>
          </cell>
          <cell r="BA14481">
            <v>30.69</v>
          </cell>
        </row>
        <row r="14482">
          <cell r="C14482" t="str">
            <v>5504 - MDF MOULDINGS</v>
          </cell>
          <cell r="D14482" t="str">
            <v>11216ULMDFS</v>
          </cell>
          <cell r="BA14482">
            <v>48.99</v>
          </cell>
        </row>
        <row r="14483">
          <cell r="C14483" t="str">
            <v>5504 - MDF MOULDINGS</v>
          </cell>
          <cell r="D14483" t="str">
            <v>1128ULMDFS</v>
          </cell>
          <cell r="BA14483">
            <v>24.49</v>
          </cell>
        </row>
        <row r="14484">
          <cell r="C14484" t="str">
            <v>5504 - MDF MOULDINGS</v>
          </cell>
          <cell r="D14484" t="str">
            <v>11016ULMDFP</v>
          </cell>
          <cell r="BA14484">
            <v>32.99</v>
          </cell>
        </row>
        <row r="14485">
          <cell r="C14485" t="str">
            <v>5504 - MDF MOULDINGS</v>
          </cell>
          <cell r="D14485" t="str">
            <v>148MDFP</v>
          </cell>
          <cell r="BA14485">
            <v>7.39</v>
          </cell>
        </row>
        <row r="14486">
          <cell r="C14486" t="str">
            <v>5504 - MDF MOULDINGS</v>
          </cell>
          <cell r="D14486" t="str">
            <v>168MDFP</v>
          </cell>
          <cell r="BA14486">
            <v>10.99</v>
          </cell>
        </row>
        <row r="14487">
          <cell r="C14487" t="str">
            <v>5504 - MDF MOULDINGS</v>
          </cell>
          <cell r="D14487" t="str">
            <v>544MDF8S4S</v>
          </cell>
          <cell r="BA14487">
            <v>10.99</v>
          </cell>
        </row>
        <row r="14488">
          <cell r="C14488" t="str">
            <v>5504 - MDF MOULDINGS</v>
          </cell>
          <cell r="D14488" t="str">
            <v>544MDF16S4S</v>
          </cell>
          <cell r="BA14488">
            <v>21.99</v>
          </cell>
        </row>
        <row r="14489">
          <cell r="C14489" t="str">
            <v>5504 - MDF MOULDINGS</v>
          </cell>
          <cell r="D14489" t="str">
            <v>356MDF7</v>
          </cell>
          <cell r="BA14489">
            <v>4.29</v>
          </cell>
        </row>
        <row r="14490">
          <cell r="C14490" t="str">
            <v>5504 - MDF MOULDINGS</v>
          </cell>
          <cell r="D14490" t="str">
            <v>MDF953</v>
          </cell>
          <cell r="BA14490">
            <v>59</v>
          </cell>
        </row>
        <row r="14491">
          <cell r="C14491" t="str">
            <v>5504 - MDF MOULDINGS</v>
          </cell>
          <cell r="D14491" t="str">
            <v>124MDFPEE</v>
          </cell>
          <cell r="BA14491">
            <v>37</v>
          </cell>
        </row>
        <row r="14492">
          <cell r="C14492" t="str">
            <v>5504 - MDF MOULDINGS</v>
          </cell>
          <cell r="D14492" t="str">
            <v>1248MDFPEE</v>
          </cell>
          <cell r="BA14492">
            <v>5.69</v>
          </cell>
        </row>
        <row r="14493">
          <cell r="C14493" t="str">
            <v>5504 - MDF MOULDINGS</v>
          </cell>
          <cell r="D14493" t="str">
            <v>12416MDFPEE</v>
          </cell>
          <cell r="BA14493">
            <v>10.19</v>
          </cell>
        </row>
        <row r="14494">
          <cell r="C14494" t="str">
            <v>5504 - MDF MOULDINGS</v>
          </cell>
          <cell r="D14494" t="str">
            <v>12516MDFPEE</v>
          </cell>
          <cell r="BA14494">
            <v>14.49</v>
          </cell>
        </row>
        <row r="14495">
          <cell r="C14495" t="str">
            <v>5504 - MDF MOULDINGS</v>
          </cell>
          <cell r="D14495" t="str">
            <v>126MDFPEE</v>
          </cell>
          <cell r="BA14495">
            <v>55</v>
          </cell>
        </row>
        <row r="14496">
          <cell r="C14496" t="str">
            <v>5504 - MDF MOULDINGS</v>
          </cell>
          <cell r="D14496" t="str">
            <v>1268MDFPEE</v>
          </cell>
          <cell r="BA14496">
            <v>8.59</v>
          </cell>
        </row>
        <row r="14497">
          <cell r="C14497" t="str">
            <v>5504 - MDF MOULDINGS</v>
          </cell>
          <cell r="D14497" t="str">
            <v>12616MDFPEE</v>
          </cell>
          <cell r="BA14497">
            <v>15.49</v>
          </cell>
        </row>
        <row r="14498">
          <cell r="C14498" t="str">
            <v>5504 - MDF MOULDINGS</v>
          </cell>
          <cell r="D14498" t="str">
            <v>128MDFPEE</v>
          </cell>
          <cell r="BA14498">
            <v>67</v>
          </cell>
        </row>
        <row r="14499">
          <cell r="C14499" t="str">
            <v>5504 - MDF MOULDINGS</v>
          </cell>
          <cell r="D14499" t="str">
            <v>12816MDFPEE</v>
          </cell>
          <cell r="BA14499">
            <v>20.49</v>
          </cell>
        </row>
        <row r="14500">
          <cell r="C14500" t="str">
            <v>5504 - MDF MOULDINGS</v>
          </cell>
          <cell r="D14500" t="str">
            <v>121016MDFPEE</v>
          </cell>
          <cell r="BA14500">
            <v>21.99</v>
          </cell>
        </row>
        <row r="14501">
          <cell r="C14501" t="str">
            <v>5504 - MDF MOULDINGS</v>
          </cell>
          <cell r="D14501" t="str">
            <v>12MDFPEE</v>
          </cell>
          <cell r="BA14501">
            <v>26</v>
          </cell>
        </row>
        <row r="14502">
          <cell r="C14502" t="str">
            <v>5504 - MDF MOULDINGS</v>
          </cell>
          <cell r="D14502" t="str">
            <v>128MDFPE2E</v>
          </cell>
          <cell r="BA14502">
            <v>3.69</v>
          </cell>
        </row>
        <row r="14503">
          <cell r="C14503" t="str">
            <v>5504 - MDF MOULDINGS</v>
          </cell>
          <cell r="D14503" t="str">
            <v>1210MDFPEE</v>
          </cell>
          <cell r="BA14503">
            <v>4.6900000000000004</v>
          </cell>
        </row>
        <row r="14504">
          <cell r="C14504" t="str">
            <v>5504 - MDF MOULDINGS</v>
          </cell>
          <cell r="D14504" t="str">
            <v>1212MDFPEE</v>
          </cell>
          <cell r="BA14504">
            <v>5.59</v>
          </cell>
        </row>
        <row r="14505">
          <cell r="C14505" t="str">
            <v>5504 - MDF MOULDINGS</v>
          </cell>
          <cell r="D14505" t="str">
            <v>1216MDFPEE</v>
          </cell>
          <cell r="BA14505">
            <v>7.49</v>
          </cell>
        </row>
        <row r="14506">
          <cell r="C14506" t="str">
            <v>5504 - MDF MOULDINGS</v>
          </cell>
          <cell r="D14506" t="str">
            <v>13MDFPEE</v>
          </cell>
          <cell r="BA14506">
            <v>37</v>
          </cell>
        </row>
        <row r="14507">
          <cell r="C14507" t="str">
            <v>5504 - MDF MOULDINGS</v>
          </cell>
          <cell r="D14507" t="str">
            <v>138MDFPEE</v>
          </cell>
          <cell r="BA14507">
            <v>5.09</v>
          </cell>
        </row>
        <row r="14508">
          <cell r="C14508" t="str">
            <v>5504 - MDF MOULDINGS</v>
          </cell>
          <cell r="D14508" t="str">
            <v>1310MDFPEE</v>
          </cell>
          <cell r="BA14508">
            <v>4.6900000000000004</v>
          </cell>
        </row>
        <row r="14509">
          <cell r="C14509" t="str">
            <v>5504 - MDF MOULDINGS</v>
          </cell>
          <cell r="D14509" t="str">
            <v>1312MDFPEE</v>
          </cell>
          <cell r="BA14509">
            <v>7.69</v>
          </cell>
        </row>
        <row r="14510">
          <cell r="C14510" t="str">
            <v>5504 - MDF MOULDINGS</v>
          </cell>
          <cell r="D14510" t="str">
            <v>1316MDFPEE</v>
          </cell>
          <cell r="BA14510">
            <v>10.19</v>
          </cell>
        </row>
        <row r="14511">
          <cell r="C14511" t="str">
            <v>5504 - MDF MOULDINGS</v>
          </cell>
          <cell r="D14511" t="str">
            <v>14MDFPEE</v>
          </cell>
          <cell r="BA14511">
            <v>49</v>
          </cell>
        </row>
        <row r="14512">
          <cell r="C14512" t="str">
            <v>5504 - MDF MOULDINGS</v>
          </cell>
          <cell r="D14512" t="str">
            <v>148MDFPE2E</v>
          </cell>
          <cell r="BA14512">
            <v>7.39</v>
          </cell>
        </row>
        <row r="14513">
          <cell r="C14513" t="str">
            <v>5504 - MDF MOULDINGS</v>
          </cell>
          <cell r="D14513" t="str">
            <v>148MDFPEE</v>
          </cell>
          <cell r="BA14513">
            <v>7.39</v>
          </cell>
        </row>
        <row r="14514">
          <cell r="C14514" t="str">
            <v>5504 - MDF MOULDINGS</v>
          </cell>
          <cell r="D14514" t="str">
            <v>1410MDFPEE</v>
          </cell>
          <cell r="BA14514">
            <v>8.2899999999999991</v>
          </cell>
        </row>
        <row r="14515">
          <cell r="C14515" t="str">
            <v>5504 - MDF MOULDINGS</v>
          </cell>
          <cell r="D14515" t="str">
            <v>1412MDFPEE</v>
          </cell>
          <cell r="BA14515">
            <v>10.99</v>
          </cell>
        </row>
        <row r="14516">
          <cell r="C14516" t="str">
            <v>5504 - MDF MOULDINGS</v>
          </cell>
          <cell r="D14516" t="str">
            <v>158MDFPEE</v>
          </cell>
          <cell r="BA14516">
            <v>9.49</v>
          </cell>
        </row>
        <row r="14517">
          <cell r="C14517" t="str">
            <v>5504 - MDF MOULDINGS</v>
          </cell>
          <cell r="D14517" t="str">
            <v>15MDFPEE</v>
          </cell>
          <cell r="BA14517">
            <v>62</v>
          </cell>
        </row>
        <row r="14518">
          <cell r="C14518" t="str">
            <v>5504 - MDF MOULDINGS</v>
          </cell>
          <cell r="D14518" t="str">
            <v>1510MDFPEE</v>
          </cell>
          <cell r="BA14518">
            <v>8.39</v>
          </cell>
        </row>
        <row r="14519">
          <cell r="C14519" t="str">
            <v>5504 - MDF MOULDINGS</v>
          </cell>
          <cell r="D14519" t="str">
            <v>1512MDFPEE</v>
          </cell>
          <cell r="BA14519">
            <v>14.09</v>
          </cell>
        </row>
        <row r="14520">
          <cell r="C14520" t="str">
            <v>5504 - MDF MOULDINGS</v>
          </cell>
          <cell r="D14520" t="str">
            <v>1516MDFPEE</v>
          </cell>
          <cell r="BA14520">
            <v>18.89</v>
          </cell>
        </row>
        <row r="14521">
          <cell r="C14521" t="str">
            <v>5504 - MDF MOULDINGS</v>
          </cell>
          <cell r="D14521" t="str">
            <v>16MDFPEE</v>
          </cell>
          <cell r="BA14521">
            <v>75</v>
          </cell>
        </row>
        <row r="14522">
          <cell r="C14522" t="str">
            <v>5504 - MDF MOULDINGS</v>
          </cell>
          <cell r="D14522" t="str">
            <v>168MDFPE2E</v>
          </cell>
          <cell r="BA14522">
            <v>10.99</v>
          </cell>
        </row>
        <row r="14523">
          <cell r="C14523" t="str">
            <v>5504 - MDF MOULDINGS</v>
          </cell>
          <cell r="D14523" t="str">
            <v>1610MDFPEE</v>
          </cell>
          <cell r="BA14523">
            <v>13.79</v>
          </cell>
        </row>
        <row r="14524">
          <cell r="C14524" t="str">
            <v>5504 - MDF MOULDINGS</v>
          </cell>
          <cell r="D14524" t="str">
            <v>1612MDFPEE</v>
          </cell>
          <cell r="BA14524">
            <v>16.489999999999998</v>
          </cell>
        </row>
        <row r="14525">
          <cell r="C14525" t="str">
            <v>5504 - MDF MOULDINGS</v>
          </cell>
          <cell r="D14525" t="str">
            <v>1616MDFPEE</v>
          </cell>
          <cell r="BA14525">
            <v>21.99</v>
          </cell>
        </row>
        <row r="14526">
          <cell r="C14526" t="str">
            <v>5504 - MDF MOULDINGS</v>
          </cell>
          <cell r="D14526" t="str">
            <v>17MDFPEE</v>
          </cell>
          <cell r="BA14526">
            <v>92</v>
          </cell>
        </row>
        <row r="14527">
          <cell r="C14527" t="str">
            <v>5504 - MDF MOULDINGS</v>
          </cell>
          <cell r="D14527" t="str">
            <v>1716MDFPEE</v>
          </cell>
          <cell r="BA14527">
            <v>25.89</v>
          </cell>
        </row>
        <row r="14528">
          <cell r="C14528" t="str">
            <v>5504 - MDF MOULDINGS</v>
          </cell>
          <cell r="D14528" t="str">
            <v>18MDFPEE</v>
          </cell>
          <cell r="BA14528">
            <v>106</v>
          </cell>
        </row>
        <row r="14529">
          <cell r="C14529" t="str">
            <v>5504 - MDF MOULDINGS</v>
          </cell>
          <cell r="D14529" t="str">
            <v>188MDFPE2E</v>
          </cell>
          <cell r="BA14529">
            <v>14.19</v>
          </cell>
        </row>
        <row r="14530">
          <cell r="C14530" t="str">
            <v>5504 - MDF MOULDINGS</v>
          </cell>
          <cell r="D14530" t="str">
            <v>1810MDFPEE</v>
          </cell>
          <cell r="BA14530">
            <v>17.79</v>
          </cell>
        </row>
        <row r="14531">
          <cell r="C14531" t="str">
            <v>5504 - MDF MOULDINGS</v>
          </cell>
          <cell r="D14531" t="str">
            <v>1812MDFPEE</v>
          </cell>
          <cell r="BA14531">
            <v>21.39</v>
          </cell>
        </row>
        <row r="14532">
          <cell r="C14532" t="str">
            <v>5504 - MDF MOULDINGS</v>
          </cell>
          <cell r="D14532" t="str">
            <v>1816MDFPEE</v>
          </cell>
          <cell r="BA14532">
            <v>28.49</v>
          </cell>
        </row>
        <row r="14533">
          <cell r="C14533" t="str">
            <v>5504 - MDF MOULDINGS</v>
          </cell>
          <cell r="D14533" t="str">
            <v>110MDFPEE</v>
          </cell>
          <cell r="BA14533">
            <v>130</v>
          </cell>
        </row>
        <row r="14534">
          <cell r="C14534" t="str">
            <v>5504 - MDF MOULDINGS</v>
          </cell>
          <cell r="D14534" t="str">
            <v>1108MDFPEE</v>
          </cell>
          <cell r="BA14534">
            <v>16.489999999999998</v>
          </cell>
        </row>
        <row r="14535">
          <cell r="C14535" t="str">
            <v>5504 - MDF MOULDINGS</v>
          </cell>
          <cell r="D14535" t="str">
            <v>11010MDFPEE</v>
          </cell>
          <cell r="BA14535">
            <v>20.69</v>
          </cell>
        </row>
        <row r="14536">
          <cell r="C14536" t="str">
            <v>5504 - MDF MOULDINGS</v>
          </cell>
          <cell r="D14536" t="str">
            <v>11012MDFPEE</v>
          </cell>
          <cell r="BA14536">
            <v>24.79</v>
          </cell>
        </row>
        <row r="14537">
          <cell r="C14537" t="str">
            <v>5504 - MDF MOULDINGS</v>
          </cell>
          <cell r="D14537" t="str">
            <v>11016MDFPEE</v>
          </cell>
          <cell r="BA14537">
            <v>32.99</v>
          </cell>
        </row>
        <row r="14538">
          <cell r="C14538" t="str">
            <v>5504 - MDF MOULDINGS</v>
          </cell>
          <cell r="D14538" t="str">
            <v>112MDFPEE</v>
          </cell>
          <cell r="BA14538">
            <v>156</v>
          </cell>
        </row>
        <row r="14539">
          <cell r="C14539" t="str">
            <v>5504 - MDF MOULDINGS</v>
          </cell>
          <cell r="D14539" t="str">
            <v>1128MDFPEE</v>
          </cell>
          <cell r="BA14539">
            <v>24.49</v>
          </cell>
        </row>
        <row r="14540">
          <cell r="C14540" t="str">
            <v>5504 - MDF MOULDINGS</v>
          </cell>
          <cell r="D14540" t="str">
            <v>11210MDFPEE</v>
          </cell>
          <cell r="BA14540">
            <v>30.69</v>
          </cell>
        </row>
        <row r="14541">
          <cell r="C14541" t="str">
            <v>5504 - MDF MOULDINGS</v>
          </cell>
          <cell r="D14541" t="str">
            <v>11212MDFPEE</v>
          </cell>
          <cell r="BA14541">
            <v>36.79</v>
          </cell>
        </row>
        <row r="14542">
          <cell r="C14542" t="str">
            <v>5504 - MDF MOULDINGS</v>
          </cell>
          <cell r="D14542" t="str">
            <v>11216MDFPEE</v>
          </cell>
          <cell r="BA14542">
            <v>48.99</v>
          </cell>
        </row>
        <row r="14543">
          <cell r="C14543" t="str">
            <v>5504 - MDF MOULDINGS</v>
          </cell>
          <cell r="D14543" t="str">
            <v>54616MDFPEE</v>
          </cell>
          <cell r="BA14543">
            <v>32.590000000000003</v>
          </cell>
        </row>
        <row r="14544">
          <cell r="C14544" t="str">
            <v>5504 - MDF MOULDINGS</v>
          </cell>
          <cell r="D14544" t="str">
            <v>5468MDFPEE</v>
          </cell>
          <cell r="BA14544">
            <v>16.39</v>
          </cell>
        </row>
        <row r="14545">
          <cell r="C14545" t="str">
            <v>5504 - MDF MOULDINGS</v>
          </cell>
          <cell r="D14545" t="str">
            <v>54816MDFPEE</v>
          </cell>
          <cell r="BA14545">
            <v>42.99</v>
          </cell>
        </row>
        <row r="14546">
          <cell r="C14546" t="str">
            <v>5504 - MDF MOULDINGS</v>
          </cell>
          <cell r="D14546" t="str">
            <v>OPF31162316</v>
          </cell>
          <cell r="BA14546">
            <v>10.19</v>
          </cell>
        </row>
        <row r="14547">
          <cell r="C14547" t="str">
            <v>5504 - MDF MOULDINGS</v>
          </cell>
          <cell r="D14547" t="str">
            <v>MDF158CS10</v>
          </cell>
          <cell r="BA14547">
            <v>4.3899999999999997</v>
          </cell>
        </row>
        <row r="14548">
          <cell r="C14548" t="str">
            <v>5504 - MDF MOULDINGS</v>
          </cell>
          <cell r="D14548" t="str">
            <v>MDF158CS7</v>
          </cell>
          <cell r="BA14548">
            <v>3.09</v>
          </cell>
        </row>
        <row r="14549">
          <cell r="C14549" t="str">
            <v>5504 - MDF MOULDINGS</v>
          </cell>
          <cell r="D14549" t="str">
            <v>MDFCS2147</v>
          </cell>
          <cell r="BA14549">
            <v>3.79</v>
          </cell>
        </row>
        <row r="14550">
          <cell r="C14550" t="str">
            <v>5504 - MDF MOULDINGS</v>
          </cell>
          <cell r="D14550" t="str">
            <v>MDFCS21410</v>
          </cell>
          <cell r="BA14550">
            <v>5.39</v>
          </cell>
        </row>
        <row r="14551">
          <cell r="C14551" t="str">
            <v>5504 - MDF MOULDINGS</v>
          </cell>
          <cell r="D14551" t="str">
            <v>MDFCS21412</v>
          </cell>
          <cell r="BA14551">
            <v>6.49</v>
          </cell>
        </row>
        <row r="14552">
          <cell r="C14552" t="str">
            <v>5505 - INTERIOR/EXTERIOR JAMBS/MULLS</v>
          </cell>
          <cell r="D14552" t="str">
            <v>458FJS68</v>
          </cell>
          <cell r="BA14552">
            <v>4.09</v>
          </cell>
        </row>
        <row r="14553">
          <cell r="C14553" t="str">
            <v>5505 - INTERIOR/EXTERIOR JAMBS/MULLS</v>
          </cell>
          <cell r="D14553" t="str">
            <v>JSPRDR4</v>
          </cell>
          <cell r="BA14553">
            <v>10.09</v>
          </cell>
        </row>
        <row r="14554">
          <cell r="C14554" t="str">
            <v>5505 - INTERIOR/EXTERIOR JAMBS/MULLS</v>
          </cell>
          <cell r="D14554" t="str">
            <v>JSPRDR478</v>
          </cell>
          <cell r="BA14554">
            <v>8.99</v>
          </cell>
        </row>
        <row r="14555">
          <cell r="C14555" t="str">
            <v>5505 - INTERIOR/EXTERIOR JAMBS/MULLS</v>
          </cell>
          <cell r="D14555" t="str">
            <v>JSPRDR4788</v>
          </cell>
          <cell r="BA14555">
            <v>15.09</v>
          </cell>
        </row>
        <row r="14556">
          <cell r="C14556" t="str">
            <v>5505 - INTERIOR/EXTERIOR JAMBS/MULLS</v>
          </cell>
          <cell r="D14556" t="str">
            <v>JSPRDR48</v>
          </cell>
          <cell r="BA14556">
            <v>11.49</v>
          </cell>
        </row>
        <row r="14557">
          <cell r="C14557" t="str">
            <v>5505 - INTERIOR/EXTERIOR JAMBS/MULLS</v>
          </cell>
          <cell r="D14557" t="str">
            <v>JSPRDR514</v>
          </cell>
          <cell r="BA14557">
            <v>21.39</v>
          </cell>
        </row>
        <row r="14558">
          <cell r="C14558" t="str">
            <v>5505 - INTERIOR/EXTERIOR JAMBS/MULLS</v>
          </cell>
          <cell r="D14558" t="str">
            <v>JSPRDR5148</v>
          </cell>
          <cell r="BA14558">
            <v>19.89</v>
          </cell>
        </row>
        <row r="14559">
          <cell r="C14559" t="str">
            <v>5505 - INTERIOR/EXTERIOR JAMBS/MULLS</v>
          </cell>
          <cell r="D14559" t="str">
            <v>JSPRDR6</v>
          </cell>
          <cell r="BA14559">
            <v>27.59</v>
          </cell>
        </row>
        <row r="14560">
          <cell r="C14560" t="str">
            <v>5505 - INTERIOR/EXTERIOR JAMBS/MULLS</v>
          </cell>
          <cell r="D14560" t="str">
            <v>JSPRDR68</v>
          </cell>
          <cell r="BA14560">
            <v>37.29</v>
          </cell>
        </row>
        <row r="14561">
          <cell r="C14561" t="str">
            <v>5505 - INTERIOR/EXTERIOR JAMBS/MULLS</v>
          </cell>
          <cell r="D14561" t="str">
            <v>JSPRDR7148</v>
          </cell>
          <cell r="BA14561">
            <v>60.99</v>
          </cell>
        </row>
        <row r="14562">
          <cell r="C14562" t="str">
            <v>5505 - INTERIOR/EXTERIOR JAMBS/MULLS</v>
          </cell>
          <cell r="D14562" t="str">
            <v>EFR68MPFB</v>
          </cell>
          <cell r="BA14562">
            <v>38.79</v>
          </cell>
        </row>
        <row r="14563">
          <cell r="C14563" t="str">
            <v>5505 - INTERIOR/EXTERIOR JAMBS/MULLS</v>
          </cell>
          <cell r="D14563" t="str">
            <v>EFR68</v>
          </cell>
          <cell r="BA14563">
            <v>13.39</v>
          </cell>
        </row>
        <row r="14564">
          <cell r="C14564" t="str">
            <v>5505 - INTERIOR/EXTERIOR JAMBS/MULLS</v>
          </cell>
          <cell r="D14564" t="str">
            <v>EFR68658</v>
          </cell>
          <cell r="BA14564">
            <v>19.190000000000001</v>
          </cell>
        </row>
        <row r="14565">
          <cell r="C14565" t="str">
            <v>5505 - INTERIOR/EXTERIOR JAMBS/MULLS</v>
          </cell>
          <cell r="D14565" t="str">
            <v>EFR68714</v>
          </cell>
          <cell r="BA14565">
            <v>21.99</v>
          </cell>
        </row>
        <row r="14566">
          <cell r="C14566" t="str">
            <v>5505 - INTERIOR/EXTERIOR JAMBS/MULLS</v>
          </cell>
          <cell r="D14566" t="str">
            <v>EFR68878</v>
          </cell>
          <cell r="BA14566">
            <v>42.99</v>
          </cell>
        </row>
        <row r="14567">
          <cell r="C14567" t="str">
            <v>5505 - INTERIOR/EXTERIOR JAMBS/MULLS</v>
          </cell>
          <cell r="D14567" t="str">
            <v>EFR80658</v>
          </cell>
          <cell r="BA14567">
            <v>21.69</v>
          </cell>
        </row>
        <row r="14568">
          <cell r="C14568" t="str">
            <v>5505 - INTERIOR/EXTERIOR JAMBS/MULLS</v>
          </cell>
          <cell r="D14568" t="str">
            <v>EFR80714</v>
          </cell>
          <cell r="BA14568">
            <v>25.99</v>
          </cell>
        </row>
        <row r="14569">
          <cell r="C14569" t="str">
            <v>5505 - INTERIOR/EXTERIOR JAMBS/MULLS</v>
          </cell>
          <cell r="D14569" t="str">
            <v>EFR80878</v>
          </cell>
          <cell r="BA14569">
            <v>53.99</v>
          </cell>
        </row>
        <row r="14570">
          <cell r="C14570" t="str">
            <v>5505 - INTERIOR/EXTERIOR JAMBS/MULLS</v>
          </cell>
          <cell r="D14570" t="str">
            <v>EFR80658-FS</v>
          </cell>
          <cell r="BA14570">
            <v>80.489999999999995</v>
          </cell>
        </row>
        <row r="14571">
          <cell r="C14571" t="str">
            <v>5505 - INTERIOR/EXTERIOR JAMBS/MULLS</v>
          </cell>
          <cell r="D14571" t="str">
            <v>EFR80MPFB</v>
          </cell>
          <cell r="BA14571">
            <v>88.49</v>
          </cell>
        </row>
        <row r="14572">
          <cell r="C14572" t="str">
            <v>5505 - INTERIOR/EXTERIOR JAMBS/MULLS</v>
          </cell>
          <cell r="D14572" t="str">
            <v>OPEFR68658-FT</v>
          </cell>
          <cell r="BA14572">
            <v>23.29</v>
          </cell>
        </row>
        <row r="14573">
          <cell r="C14573" t="str">
            <v>5505 - INTERIOR/EXTERIOR JAMBS/MULLS</v>
          </cell>
          <cell r="D14573" t="str">
            <v>TTEFR68658-COMP</v>
          </cell>
          <cell r="BA14573">
            <v>49.89</v>
          </cell>
        </row>
        <row r="14574">
          <cell r="C14574" t="str">
            <v>5506 - NON-WOOD MOULDINGS</v>
          </cell>
          <cell r="D14574" t="str">
            <v>PVCWM10516</v>
          </cell>
          <cell r="BA14574">
            <v>16.59</v>
          </cell>
        </row>
        <row r="14575">
          <cell r="C14575" t="str">
            <v>5506 - NON-WOOD MOULDINGS</v>
          </cell>
          <cell r="D14575" t="str">
            <v>HM</v>
          </cell>
          <cell r="BA14575">
            <v>1.59</v>
          </cell>
        </row>
        <row r="14576">
          <cell r="C14576" t="str">
            <v>5508 - PARTICLE BOARD-SHELVES/BOARDS</v>
          </cell>
          <cell r="D14576" t="str">
            <v>78250</v>
          </cell>
          <cell r="BA14576">
            <v>11.99</v>
          </cell>
        </row>
        <row r="14577">
          <cell r="C14577" t="str">
            <v>5508 - PARTICLE BOARD-SHELVES/BOARDS</v>
          </cell>
          <cell r="D14577" t="str">
            <v>78210</v>
          </cell>
          <cell r="BA14577">
            <v>11.99</v>
          </cell>
        </row>
        <row r="14578">
          <cell r="C14578" t="str">
            <v>5508 - PARTICLE BOARD-SHELVES/BOARDS</v>
          </cell>
          <cell r="D14578" t="str">
            <v>88265</v>
          </cell>
          <cell r="BA14578">
            <v>9.99</v>
          </cell>
        </row>
        <row r="14579">
          <cell r="C14579" t="str">
            <v>5508 - PARTICLE BOARD-SHELVES/BOARDS</v>
          </cell>
          <cell r="D14579" t="str">
            <v>341210PBS</v>
          </cell>
          <cell r="BA14579">
            <v>15.59</v>
          </cell>
        </row>
        <row r="14580">
          <cell r="C14580" t="str">
            <v>5508 - PARTICLE BOARD-SHELVES/BOARDS</v>
          </cell>
          <cell r="D14580" t="str">
            <v>341212PBS</v>
          </cell>
          <cell r="BA14580">
            <v>19.59</v>
          </cell>
        </row>
        <row r="14581">
          <cell r="C14581" t="str">
            <v>5508 - PARTICLE BOARD-SHELVES/BOARDS</v>
          </cell>
          <cell r="D14581" t="str">
            <v>34128PBS</v>
          </cell>
          <cell r="BA14581">
            <v>12.29</v>
          </cell>
        </row>
        <row r="14582">
          <cell r="C14582" t="str">
            <v>5508 - PARTICLE BOARD-SHELVES/BOARDS</v>
          </cell>
          <cell r="D14582" t="str">
            <v>341610PBS</v>
          </cell>
          <cell r="BA14582">
            <v>19.89</v>
          </cell>
        </row>
        <row r="14583">
          <cell r="C14583" t="str">
            <v>5508 - PARTICLE BOARD-SHELVES/BOARDS</v>
          </cell>
          <cell r="D14583" t="str">
            <v>341612PBS</v>
          </cell>
          <cell r="BA14583">
            <v>26.69</v>
          </cell>
        </row>
        <row r="14584">
          <cell r="C14584" t="str">
            <v>5508 - PARTICLE BOARD-SHELVES/BOARDS</v>
          </cell>
          <cell r="D14584" t="str">
            <v>34168PBS</v>
          </cell>
          <cell r="BA14584">
            <v>16.39</v>
          </cell>
        </row>
        <row r="14585">
          <cell r="C14585" t="str">
            <v>5508 - PARTICLE BOARD-SHELVES/BOARDS</v>
          </cell>
          <cell r="D14585" t="str">
            <v>342412PBS</v>
          </cell>
          <cell r="BA14585">
            <v>43.69</v>
          </cell>
        </row>
        <row r="14586">
          <cell r="C14586" t="str">
            <v>5508 - PARTICLE BOARD-SHELVES/BOARDS</v>
          </cell>
          <cell r="D14586" t="str">
            <v>4858PB</v>
          </cell>
          <cell r="BA14586">
            <v>983</v>
          </cell>
        </row>
        <row r="14587">
          <cell r="C14587" t="str">
            <v>5508 - PARTICLE BOARD-SHELVES/BOARDS</v>
          </cell>
          <cell r="D14587" t="str">
            <v>4834PB</v>
          </cell>
          <cell r="BA14587">
            <v>1032</v>
          </cell>
        </row>
        <row r="14588">
          <cell r="C14588" t="str">
            <v>5508 - PARTICLE BOARD-SHELVES/BOARDS</v>
          </cell>
          <cell r="D14588" t="str">
            <v>34110WMS</v>
          </cell>
          <cell r="BA14588">
            <v>28.59</v>
          </cell>
        </row>
        <row r="14589">
          <cell r="C14589" t="str">
            <v>5508 - PARTICLE BOARD-SHELVES/BOARDS</v>
          </cell>
          <cell r="D14589" t="str">
            <v>341610WMS</v>
          </cell>
          <cell r="BA14589">
            <v>36.590000000000003</v>
          </cell>
        </row>
        <row r="14590">
          <cell r="C14590" t="str">
            <v>5508 - PARTICLE BOARD-SHELVES/BOARDS</v>
          </cell>
          <cell r="D14590" t="str">
            <v>1128WMS</v>
          </cell>
          <cell r="BA14590">
            <v>24.29</v>
          </cell>
        </row>
        <row r="14591">
          <cell r="C14591" t="str">
            <v>5508 - PARTICLE BOARD-SHELVES/BOARDS</v>
          </cell>
          <cell r="D14591" t="str">
            <v>11210WMS</v>
          </cell>
          <cell r="BA14591">
            <v>28.69</v>
          </cell>
        </row>
        <row r="14592">
          <cell r="C14592" t="str">
            <v>5508 - PARTICLE BOARD-SHELVES/BOARDS</v>
          </cell>
          <cell r="D14592" t="str">
            <v>11212WMS</v>
          </cell>
          <cell r="BA14592">
            <v>33.090000000000003</v>
          </cell>
        </row>
        <row r="14593">
          <cell r="C14593" t="str">
            <v>5508 - PARTICLE BOARD-SHELVES/BOARDS</v>
          </cell>
          <cell r="D14593" t="str">
            <v>1168WMS</v>
          </cell>
          <cell r="BA14593">
            <v>31.99</v>
          </cell>
        </row>
        <row r="14594">
          <cell r="C14594" t="str">
            <v>5508 - PARTICLE BOARD-SHELVES/BOARDS</v>
          </cell>
          <cell r="D14594" t="str">
            <v>11612WMS</v>
          </cell>
          <cell r="BA14594">
            <v>48.59</v>
          </cell>
        </row>
        <row r="14595">
          <cell r="C14595" t="str">
            <v>5508 - PARTICLE BOARD-SHELVES/BOARDS</v>
          </cell>
          <cell r="D14595" t="str">
            <v>1248WMS</v>
          </cell>
          <cell r="BA14595">
            <v>48.59</v>
          </cell>
        </row>
        <row r="14596">
          <cell r="C14596" t="str">
            <v>5512 - MISC. INTERIOR TRIM/PANELING</v>
          </cell>
          <cell r="D14596" t="str">
            <v>1213CORBEL</v>
          </cell>
          <cell r="BA14596">
            <v>27.29</v>
          </cell>
        </row>
        <row r="14597">
          <cell r="C14597" t="str">
            <v>5512 - MISC. INTERIOR TRIM/PANELING</v>
          </cell>
          <cell r="D14597" t="str">
            <v>1520CORBEL</v>
          </cell>
          <cell r="BA14597">
            <v>29.89</v>
          </cell>
        </row>
        <row r="14598">
          <cell r="C14598" t="str">
            <v>5520 - RELOAD WOOD MOULDINGS</v>
          </cell>
          <cell r="D14598" t="str">
            <v>WM356F7</v>
          </cell>
          <cell r="BA14598">
            <v>5.19</v>
          </cell>
        </row>
        <row r="14599">
          <cell r="C14599" t="str">
            <v>5520 - RELOAD WOOD MOULDINGS</v>
          </cell>
          <cell r="D14599" t="str">
            <v>WM356P7</v>
          </cell>
          <cell r="BA14599">
            <v>5.19</v>
          </cell>
        </row>
        <row r="14600">
          <cell r="C14600" t="str">
            <v>5521 - RELOAD MDF MOULDINGS</v>
          </cell>
          <cell r="D14600" t="str">
            <v>620MDF</v>
          </cell>
          <cell r="BA14600">
            <v>64</v>
          </cell>
        </row>
        <row r="14601">
          <cell r="C14601" t="str">
            <v>5521 - RELOAD MDF MOULDINGS</v>
          </cell>
          <cell r="D14601" t="str">
            <v>1416MDFPEE</v>
          </cell>
          <cell r="BA14601">
            <v>14.59</v>
          </cell>
        </row>
        <row r="14602">
          <cell r="C14602" t="str">
            <v>5575 - MLDG/INT TRIM TOOLS &amp; SUPPLIES</v>
          </cell>
          <cell r="D14602" t="str">
            <v>33437</v>
          </cell>
          <cell r="BA14602">
            <v>10.99</v>
          </cell>
        </row>
        <row r="14603">
          <cell r="C14603" t="str">
            <v>5602 - STAIR PARTS PRIMED</v>
          </cell>
          <cell r="D14603" t="str">
            <v>4091PR</v>
          </cell>
          <cell r="BA14603">
            <v>217.99</v>
          </cell>
        </row>
        <row r="14604">
          <cell r="C14604" t="str">
            <v>5602 - STAIR PARTS PRIMED</v>
          </cell>
          <cell r="D14604" t="str">
            <v>S5060PR38</v>
          </cell>
          <cell r="BA14604">
            <v>5.29</v>
          </cell>
        </row>
        <row r="14605">
          <cell r="C14605" t="str">
            <v>5602 - STAIR PARTS PRIMED</v>
          </cell>
          <cell r="D14605" t="str">
            <v>4175PR</v>
          </cell>
          <cell r="BA14605">
            <v>143.99</v>
          </cell>
        </row>
        <row r="14606">
          <cell r="C14606" t="str">
            <v>5603 - STAIR PARTS (OTHER)</v>
          </cell>
          <cell r="D14606" t="str">
            <v>LJ-6C01SJ-18-AL</v>
          </cell>
          <cell r="BA14606">
            <v>396.99</v>
          </cell>
        </row>
        <row r="14607">
          <cell r="C14607" t="str">
            <v>5603 - STAIR PARTS (OTHER)</v>
          </cell>
          <cell r="D14607" t="str">
            <v>LJ-6C01SJ-20-AL</v>
          </cell>
          <cell r="BA14607">
            <v>440.99</v>
          </cell>
        </row>
        <row r="14608">
          <cell r="C14608" t="str">
            <v>5603 - STAIR PARTS (OTHER)</v>
          </cell>
          <cell r="D14608" t="str">
            <v>4X58G-H</v>
          </cell>
          <cell r="BA14608">
            <v>115.99</v>
          </cell>
        </row>
        <row r="14609">
          <cell r="C14609" t="str">
            <v>5603 - STAIR PARTS (OTHER)</v>
          </cell>
          <cell r="D14609" t="str">
            <v>4001A</v>
          </cell>
          <cell r="BA14609">
            <v>123.99</v>
          </cell>
        </row>
        <row r="14610">
          <cell r="C14610" t="str">
            <v>5603 - STAIR PARTS (OTHER)</v>
          </cell>
          <cell r="D14610" t="str">
            <v>4175A</v>
          </cell>
          <cell r="BA14610">
            <v>226.99</v>
          </cell>
        </row>
        <row r="14611">
          <cell r="C14611" t="str">
            <v>5603 - STAIR PARTS (OTHER)</v>
          </cell>
          <cell r="D14611" t="str">
            <v>4091A</v>
          </cell>
          <cell r="BA14611">
            <v>250.99</v>
          </cell>
        </row>
        <row r="14612">
          <cell r="C14612" t="str">
            <v>5603 - STAIR PARTS (OTHER)</v>
          </cell>
          <cell r="D14612" t="str">
            <v>3019A</v>
          </cell>
          <cell r="BA14612">
            <v>26.19</v>
          </cell>
        </row>
        <row r="14613">
          <cell r="C14613" t="str">
            <v>5603 - STAIR PARTS (OTHER)</v>
          </cell>
          <cell r="D14613" t="str">
            <v>3003A</v>
          </cell>
          <cell r="BA14613">
            <v>1.69</v>
          </cell>
        </row>
        <row r="14614">
          <cell r="C14614" t="str">
            <v>5603 - STAIR PARTS (OTHER)</v>
          </cell>
          <cell r="D14614" t="str">
            <v>6000A</v>
          </cell>
          <cell r="BA14614">
            <v>2.09</v>
          </cell>
        </row>
        <row r="14615">
          <cell r="C14615" t="str">
            <v>5603 - STAIR PARTS (OTHER)</v>
          </cell>
          <cell r="D14615" t="str">
            <v>6C01A</v>
          </cell>
          <cell r="BA14615">
            <v>16.190000000000001</v>
          </cell>
        </row>
        <row r="14616">
          <cell r="C14616" t="str">
            <v>5603 - STAIR PARTS (OTHER)</v>
          </cell>
          <cell r="D14616" t="str">
            <v>6C01AP</v>
          </cell>
          <cell r="BA14616">
            <v>12.89</v>
          </cell>
        </row>
        <row r="14617">
          <cell r="C14617" t="str">
            <v>5603 - STAIR PARTS (OTHER)</v>
          </cell>
          <cell r="D14617" t="str">
            <v>6045P</v>
          </cell>
          <cell r="BA14617">
            <v>3.29</v>
          </cell>
        </row>
        <row r="14618">
          <cell r="C14618" t="str">
            <v>5603 - STAIR PARTS (OTHER)</v>
          </cell>
          <cell r="D14618" t="str">
            <v>3000H</v>
          </cell>
          <cell r="BA14618">
            <v>0.4</v>
          </cell>
        </row>
        <row r="14619">
          <cell r="C14619" t="str">
            <v>5603 - STAIR PARTS (OTHER)</v>
          </cell>
          <cell r="D14619" t="str">
            <v>3026H</v>
          </cell>
          <cell r="BA14619">
            <v>0.21</v>
          </cell>
        </row>
        <row r="14620">
          <cell r="C14620" t="str">
            <v>5603 - STAIR PARTS (OTHER)</v>
          </cell>
          <cell r="D14620" t="str">
            <v>5360H42</v>
          </cell>
          <cell r="BA14620">
            <v>8.59</v>
          </cell>
        </row>
        <row r="14621">
          <cell r="C14621" t="str">
            <v>5603 - STAIR PARTS (OTHER)</v>
          </cell>
          <cell r="D14621" t="str">
            <v>LJ4001H</v>
          </cell>
          <cell r="BA14621">
            <v>59.49</v>
          </cell>
        </row>
        <row r="14622">
          <cell r="C14622" t="str">
            <v>5603 - STAIR PARTS (OTHER)</v>
          </cell>
          <cell r="D14622" t="str">
            <v>4091H</v>
          </cell>
          <cell r="BA14622">
            <v>252.99</v>
          </cell>
        </row>
        <row r="14623">
          <cell r="C14623" t="str">
            <v>5603 - STAIR PARTS (OTHER)</v>
          </cell>
          <cell r="D14623" t="str">
            <v>4175H</v>
          </cell>
          <cell r="BA14623">
            <v>173.99</v>
          </cell>
        </row>
        <row r="14624">
          <cell r="C14624" t="str">
            <v>5603 - STAIR PARTS (OTHER)</v>
          </cell>
          <cell r="D14624" t="str">
            <v>OPH350712</v>
          </cell>
          <cell r="BA14624">
            <v>35.49</v>
          </cell>
        </row>
        <row r="14625">
          <cell r="C14625" t="str">
            <v>5603 - STAIR PARTS (OTHER)</v>
          </cell>
          <cell r="D14625" t="str">
            <v>3507H</v>
          </cell>
          <cell r="BA14625">
            <v>3.39</v>
          </cell>
        </row>
        <row r="14626">
          <cell r="C14626" t="str">
            <v>5603 - STAIR PARTS (OTHER)</v>
          </cell>
          <cell r="D14626" t="str">
            <v>OPH350710</v>
          </cell>
          <cell r="BA14626">
            <v>32.29</v>
          </cell>
        </row>
        <row r="14627">
          <cell r="C14627" t="str">
            <v>5603 - STAIR PARTS (OTHER)</v>
          </cell>
          <cell r="D14627" t="str">
            <v>OPH350708</v>
          </cell>
          <cell r="BA14627">
            <v>24.69</v>
          </cell>
        </row>
        <row r="14628">
          <cell r="C14628" t="str">
            <v>5603 - STAIR PARTS (OTHER)</v>
          </cell>
          <cell r="D14628" t="str">
            <v>6601H</v>
          </cell>
          <cell r="BA14628">
            <v>9.19</v>
          </cell>
        </row>
        <row r="14629">
          <cell r="C14629" t="str">
            <v>5603 - STAIR PARTS (OTHER)</v>
          </cell>
          <cell r="D14629" t="str">
            <v>6601HP</v>
          </cell>
          <cell r="BA14629">
            <v>9.89</v>
          </cell>
        </row>
        <row r="14630">
          <cell r="C14630" t="str">
            <v>5603 - STAIR PARTS (OTHER)</v>
          </cell>
          <cell r="D14630" t="str">
            <v>6910H</v>
          </cell>
          <cell r="BA14630">
            <v>4.99</v>
          </cell>
        </row>
        <row r="14631">
          <cell r="C14631" t="str">
            <v>5603 - STAIR PARTS (OTHER)</v>
          </cell>
          <cell r="D14631" t="str">
            <v>WM231H</v>
          </cell>
          <cell r="BA14631">
            <v>2.69</v>
          </cell>
        </row>
        <row r="14632">
          <cell r="C14632" t="str">
            <v>5603 - STAIR PARTS (OTHER)</v>
          </cell>
          <cell r="D14632" t="str">
            <v>6045H</v>
          </cell>
          <cell r="BA14632">
            <v>5.59</v>
          </cell>
        </row>
        <row r="14633">
          <cell r="C14633" t="str">
            <v>5603 - STAIR PARTS (OTHER)</v>
          </cell>
          <cell r="D14633" t="str">
            <v>LIHHOLPLA44SB</v>
          </cell>
          <cell r="BA14633">
            <v>4.29</v>
          </cell>
        </row>
        <row r="14634">
          <cell r="C14634" t="str">
            <v>5603 - STAIR PARTS (OTHER)</v>
          </cell>
          <cell r="D14634" t="str">
            <v>LIPSH02MB</v>
          </cell>
          <cell r="BA14634">
            <v>1.89</v>
          </cell>
        </row>
        <row r="14635">
          <cell r="C14635" t="str">
            <v>5603 - STAIR PARTS (OTHER)</v>
          </cell>
          <cell r="D14635" t="str">
            <v>LIM06MB</v>
          </cell>
          <cell r="BA14635">
            <v>1.59</v>
          </cell>
        </row>
        <row r="14636">
          <cell r="C14636" t="str">
            <v>5603 - STAIR PARTS (OTHER)</v>
          </cell>
          <cell r="D14636" t="str">
            <v>72217</v>
          </cell>
          <cell r="BA14636">
            <v>25.99</v>
          </cell>
        </row>
        <row r="14637">
          <cell r="C14637" t="str">
            <v>5603 - STAIR PARTS (OTHER)</v>
          </cell>
          <cell r="D14637" t="str">
            <v>72219</v>
          </cell>
          <cell r="BA14637">
            <v>37.99</v>
          </cell>
        </row>
        <row r="14638">
          <cell r="C14638" t="str">
            <v>5603 - STAIR PARTS (OTHER)</v>
          </cell>
          <cell r="D14638" t="str">
            <v>72262</v>
          </cell>
          <cell r="BA14638">
            <v>14.99</v>
          </cell>
        </row>
        <row r="14639">
          <cell r="C14639" t="str">
            <v>5603 - STAIR PARTS (OTHER)</v>
          </cell>
          <cell r="D14639" t="str">
            <v>72890</v>
          </cell>
          <cell r="BA14639">
            <v>14.99</v>
          </cell>
        </row>
        <row r="14640">
          <cell r="C14640" t="str">
            <v>5603 - STAIR PARTS (OTHER)</v>
          </cell>
          <cell r="D14640" t="str">
            <v>1212OSBS</v>
          </cell>
          <cell r="BA14640">
            <v>22.99</v>
          </cell>
        </row>
        <row r="14641">
          <cell r="C14641" t="str">
            <v>5603 - STAIR PARTS (OTHER)</v>
          </cell>
          <cell r="D14641" t="str">
            <v>3008-10H</v>
          </cell>
          <cell r="BA14641">
            <v>20.49</v>
          </cell>
        </row>
        <row r="14642">
          <cell r="C14642" t="str">
            <v>5603 - STAIR PARTS (OTHER)</v>
          </cell>
          <cell r="D14642" t="str">
            <v>6000FH</v>
          </cell>
          <cell r="BA14642">
            <v>0.57999999999999996</v>
          </cell>
        </row>
        <row r="14643">
          <cell r="C14643" t="str">
            <v>5603 - STAIR PARTS (OTHER)</v>
          </cell>
          <cell r="D14643" t="str">
            <v>684CH</v>
          </cell>
          <cell r="BA14643">
            <v>10.89</v>
          </cell>
        </row>
        <row r="14644">
          <cell r="C14644" t="str">
            <v>5620 - ATTIC/FOLDING STAIRS</v>
          </cell>
          <cell r="D14644" t="str">
            <v>AH4255489</v>
          </cell>
          <cell r="BA14644">
            <v>279.99</v>
          </cell>
        </row>
        <row r="14645">
          <cell r="C14645" t="str">
            <v>5620 - ATTIC/FOLDING STAIRS</v>
          </cell>
          <cell r="D14645" t="str">
            <v>AH225410444</v>
          </cell>
          <cell r="BA14645">
            <v>194.99</v>
          </cell>
        </row>
        <row r="14646">
          <cell r="C14646" t="str">
            <v>5620 - ATTIC/FOLDING STAIRS</v>
          </cell>
          <cell r="D14646" t="str">
            <v>AS4225410FT</v>
          </cell>
          <cell r="BA14646">
            <v>379.99</v>
          </cell>
        </row>
        <row r="14647">
          <cell r="C14647" t="str">
            <v>5620 - ATTIC/FOLDING STAIRS</v>
          </cell>
          <cell r="D14647" t="str">
            <v>ASH2254FS10</v>
          </cell>
          <cell r="BA14647">
            <v>299.99</v>
          </cell>
        </row>
        <row r="14648">
          <cell r="C14648" t="str">
            <v>5620 - ATTIC/FOLDING STAIRS</v>
          </cell>
          <cell r="D14648" t="str">
            <v>LLAA2210</v>
          </cell>
          <cell r="BA14648">
            <v>439.99</v>
          </cell>
        </row>
        <row r="14649">
          <cell r="C14649" t="str">
            <v>5620 - ATTIC/FOLDING STAIRS</v>
          </cell>
          <cell r="D14649" t="str">
            <v>AL2240MG</v>
          </cell>
          <cell r="BA14649">
            <v>439.99</v>
          </cell>
        </row>
        <row r="14650">
          <cell r="C14650" t="str">
            <v>5622 - MISC. STAIR PARTS</v>
          </cell>
          <cell r="D14650" t="str">
            <v>3019H</v>
          </cell>
          <cell r="BA14650">
            <v>26.59</v>
          </cell>
        </row>
        <row r="14651">
          <cell r="C14651" t="str">
            <v>5622 - MISC. STAIR PARTS</v>
          </cell>
          <cell r="D14651" t="str">
            <v>3000A</v>
          </cell>
          <cell r="BA14651">
            <v>0.99</v>
          </cell>
        </row>
        <row r="14652">
          <cell r="C14652" t="str">
            <v>5622 - MISC. STAIR PARTS</v>
          </cell>
          <cell r="D14652" t="str">
            <v>3079H</v>
          </cell>
          <cell r="BA14652">
            <v>2.79</v>
          </cell>
        </row>
        <row r="14653">
          <cell r="C14653" t="str">
            <v>5710 - LAMINATE COUNTERTOPS</v>
          </cell>
          <cell r="D14653" t="str">
            <v>342510PPBCT</v>
          </cell>
          <cell r="BA14653">
            <v>17.190000000000001</v>
          </cell>
        </row>
        <row r="14654">
          <cell r="C14654" t="str">
            <v>5815 - CABINET HARDWARE</v>
          </cell>
          <cell r="D14654" t="str">
            <v>DEL7178US15</v>
          </cell>
          <cell r="BA14654">
            <v>27.49</v>
          </cell>
        </row>
        <row r="14655">
          <cell r="C14655" t="str">
            <v>5815 - CABINET HARDWARE</v>
          </cell>
          <cell r="D14655" t="str">
            <v>DEL7178US19</v>
          </cell>
          <cell r="BA14655">
            <v>30.59</v>
          </cell>
        </row>
        <row r="14656">
          <cell r="C14656" t="str">
            <v>5815 - CABINET HARDWARE</v>
          </cell>
          <cell r="D14656" t="str">
            <v>DEL1810US15</v>
          </cell>
          <cell r="BA14656">
            <v>41.49</v>
          </cell>
        </row>
        <row r="14657">
          <cell r="C14657" t="str">
            <v>5815 - CABINET HARDWARE</v>
          </cell>
          <cell r="D14657" t="str">
            <v>DEL1810US19</v>
          </cell>
          <cell r="BA14657">
            <v>66.989999999999995</v>
          </cell>
        </row>
        <row r="14658">
          <cell r="C14658" t="str">
            <v>6501 - EXTERIOR DOOR UNITS (BOMS)</v>
          </cell>
          <cell r="D14658" t="str">
            <v>REKEY</v>
          </cell>
          <cell r="BA14658">
            <v>14.39</v>
          </cell>
        </row>
        <row r="14659">
          <cell r="C14659" t="str">
            <v>6501 - EXTERIOR DOOR UNITS (BOMS)</v>
          </cell>
          <cell r="D14659" t="str">
            <v>REKEY1</v>
          </cell>
          <cell r="BA14659">
            <v>5.09</v>
          </cell>
        </row>
        <row r="14660">
          <cell r="C14660" t="str">
            <v>6501 - EXTERIOR DOOR UNITS (BOMS)</v>
          </cell>
          <cell r="D14660" t="str">
            <v>ELCRREHC</v>
          </cell>
          <cell r="BA14660">
            <v>158.99</v>
          </cell>
        </row>
        <row r="14661">
          <cell r="C14661" t="str">
            <v>6501 - EXTERIOR DOOR UNITS (BOMS)</v>
          </cell>
          <cell r="D14661" t="str">
            <v>ELMME68</v>
          </cell>
          <cell r="BA14661">
            <v>158.99</v>
          </cell>
        </row>
        <row r="14662">
          <cell r="C14662" t="str">
            <v>6501 - EXTERIOR DOOR UNITS (BOMS)</v>
          </cell>
          <cell r="D14662" t="str">
            <v>ELMME80</v>
          </cell>
          <cell r="BA14662">
            <v>197.99</v>
          </cell>
        </row>
        <row r="14663">
          <cell r="C14663" t="str">
            <v>6501 - EXTERIOR DOOR UNITS (BOMS)</v>
          </cell>
          <cell r="D14663" t="str">
            <v>JM30LSCA81D</v>
          </cell>
          <cell r="BA14663">
            <v>53.49</v>
          </cell>
        </row>
        <row r="14664">
          <cell r="C14664" t="str">
            <v>6501 - EXTERIOR DOOR UNITS (BOMS)</v>
          </cell>
          <cell r="D14664" t="str">
            <v>EFBT30RID6PSN</v>
          </cell>
          <cell r="BA14664">
            <v>369.99</v>
          </cell>
        </row>
        <row r="14665">
          <cell r="C14665" t="str">
            <v>6501 - EXTERIOR DOOR UNITS (BOMS)</v>
          </cell>
          <cell r="D14665" t="str">
            <v>EFBT30LID6PSN</v>
          </cell>
          <cell r="BA14665">
            <v>369.99</v>
          </cell>
        </row>
        <row r="14666">
          <cell r="C14666" t="str">
            <v>6501 - EXTERIOR DOOR UNITS (BOMS)</v>
          </cell>
          <cell r="D14666" t="str">
            <v>EFBT30RID6POR</v>
          </cell>
          <cell r="BA14666">
            <v>368.99</v>
          </cell>
        </row>
        <row r="14667">
          <cell r="C14667" t="str">
            <v>6501 - EXTERIOR DOOR UNITS (BOMS)</v>
          </cell>
          <cell r="D14667" t="str">
            <v>EFBT30LID6POR</v>
          </cell>
          <cell r="BA14667">
            <v>368.99</v>
          </cell>
        </row>
        <row r="14668">
          <cell r="C14668" t="str">
            <v>6501 - EXTERIOR DOOR UNITS (BOMS)</v>
          </cell>
          <cell r="D14668" t="str">
            <v>A458DBLTO</v>
          </cell>
          <cell r="BA14668">
            <v>93.99</v>
          </cell>
        </row>
        <row r="14669">
          <cell r="C14669" t="str">
            <v>6501 - EXTERIOR DOOR UNITS (BOMS)</v>
          </cell>
          <cell r="D14669" t="str">
            <v>A658SGLTO</v>
          </cell>
          <cell r="BA14669">
            <v>93.49</v>
          </cell>
        </row>
        <row r="14670">
          <cell r="C14670" t="str">
            <v>6501 - EXTERIOR DOOR UNITS (BOMS)</v>
          </cell>
          <cell r="D14670" t="str">
            <v>APP44STSRR</v>
          </cell>
          <cell r="BA14670">
            <v>20.09</v>
          </cell>
        </row>
        <row r="14671">
          <cell r="C14671" t="str">
            <v>6501 - EXTERIOR DOOR UNITS (BOMS)</v>
          </cell>
          <cell r="D14671" t="str">
            <v>APP44BBRROS</v>
          </cell>
          <cell r="BA14671">
            <v>15.49</v>
          </cell>
        </row>
        <row r="14672">
          <cell r="C14672" t="str">
            <v>6501 - EXTERIOR DOOR UNITS (BOMS)</v>
          </cell>
          <cell r="D14672" t="str">
            <v>APP44BBRROS8</v>
          </cell>
          <cell r="BA14672">
            <v>19.190000000000001</v>
          </cell>
        </row>
        <row r="14673">
          <cell r="C14673" t="str">
            <v>6501 - EXTERIOR DOOR UNITS (BOMS)</v>
          </cell>
          <cell r="D14673" t="str">
            <v>APP44BLKSP</v>
          </cell>
          <cell r="BA14673">
            <v>12.99</v>
          </cell>
        </row>
        <row r="14674">
          <cell r="C14674" t="str">
            <v>6501 - EXTERIOR DOOR UNITS (BOMS)</v>
          </cell>
          <cell r="D14674" t="str">
            <v>APP44BLKSP8</v>
          </cell>
          <cell r="BA14674">
            <v>14.19</v>
          </cell>
        </row>
        <row r="14675">
          <cell r="C14675" t="str">
            <v>6501 - EXTERIOR DOOR UNITS (BOMS)</v>
          </cell>
          <cell r="D14675" t="str">
            <v>APP44BBRRSP</v>
          </cell>
          <cell r="BA14675">
            <v>16.09</v>
          </cell>
        </row>
        <row r="14676">
          <cell r="C14676" t="str">
            <v>6501 - EXTERIOR DOOR UNITS (BOMS)</v>
          </cell>
          <cell r="D14676" t="str">
            <v>APP44BBRRSP8</v>
          </cell>
          <cell r="BA14676">
            <v>19.79</v>
          </cell>
        </row>
        <row r="14677">
          <cell r="C14677" t="str">
            <v>6501 - EXTERIOR DOOR UNITS (BOMS)</v>
          </cell>
          <cell r="D14677" t="str">
            <v>APP44SSRR8</v>
          </cell>
          <cell r="BA14677">
            <v>26.69</v>
          </cell>
        </row>
        <row r="14678">
          <cell r="C14678" t="str">
            <v>6501 - EXTERIOR DOOR UNITS (BOMS)</v>
          </cell>
          <cell r="D14678" t="str">
            <v>APP44SSRRSP8</v>
          </cell>
          <cell r="BA14678">
            <v>44.99</v>
          </cell>
        </row>
        <row r="14679">
          <cell r="C14679" t="str">
            <v>6501 - EXTERIOR DOOR UNITS (BOMS)</v>
          </cell>
          <cell r="D14679" t="str">
            <v>MB28RI2PSS6PSN</v>
          </cell>
          <cell r="BA14679">
            <v>381.99</v>
          </cell>
        </row>
        <row r="14680">
          <cell r="C14680" t="str">
            <v>6501 - EXTERIOR DOOR UNITS (BOMS)</v>
          </cell>
          <cell r="D14680" t="str">
            <v>MB28LI2PSS6PSN</v>
          </cell>
          <cell r="BA14680">
            <v>381.99</v>
          </cell>
        </row>
        <row r="14681">
          <cell r="C14681" t="str">
            <v>6501 - EXTERIOR DOOR UNITS (BOMS)</v>
          </cell>
          <cell r="D14681" t="str">
            <v>MB28LI2PSS6POR</v>
          </cell>
          <cell r="BA14681">
            <v>381.99</v>
          </cell>
        </row>
        <row r="14682">
          <cell r="C14682" t="str">
            <v>6501 - EXTERIOR DOOR UNITS (BOMS)</v>
          </cell>
          <cell r="D14682" t="str">
            <v>MB30RI2PSS6POR</v>
          </cell>
          <cell r="BA14682">
            <v>382.99</v>
          </cell>
        </row>
        <row r="14683">
          <cell r="C14683" t="str">
            <v>6501 - EXTERIOR DOOR UNITS (BOMS)</v>
          </cell>
          <cell r="D14683" t="str">
            <v>MB28RI5HPS6PSN</v>
          </cell>
          <cell r="BA14683">
            <v>382.99</v>
          </cell>
        </row>
        <row r="14684">
          <cell r="C14684" t="str">
            <v>6501 - EXTERIOR DOOR UNITS (BOMS)</v>
          </cell>
          <cell r="D14684" t="str">
            <v>MB28RI5HPS6POR</v>
          </cell>
          <cell r="BA14684">
            <v>382.99</v>
          </cell>
        </row>
        <row r="14685">
          <cell r="C14685" t="str">
            <v>6501 - EXTERIOR DOOR UNITS (BOMS)</v>
          </cell>
          <cell r="D14685" t="str">
            <v>MB28LI5HPS6POR</v>
          </cell>
          <cell r="BA14685">
            <v>382.99</v>
          </cell>
        </row>
        <row r="14686">
          <cell r="C14686" t="str">
            <v>6501 - EXTERIOR DOOR UNITS (BOMS)</v>
          </cell>
          <cell r="D14686" t="str">
            <v>MB30RI5HPS6POR</v>
          </cell>
          <cell r="BA14686">
            <v>389.99</v>
          </cell>
        </row>
        <row r="14687">
          <cell r="C14687" t="str">
            <v>6501 - EXTERIOR DOOR UNITS (BOMS)</v>
          </cell>
          <cell r="D14687" t="str">
            <v>MB30LI5HPS6POR</v>
          </cell>
          <cell r="BA14687">
            <v>389.99</v>
          </cell>
        </row>
        <row r="14688">
          <cell r="C14688" t="str">
            <v>6501 - EXTERIOR DOOR UNITS (BOMS)</v>
          </cell>
          <cell r="D14688" t="str">
            <v>EFB28RID4PSN</v>
          </cell>
          <cell r="BA14688">
            <v>201.99</v>
          </cell>
        </row>
        <row r="14689">
          <cell r="C14689" t="str">
            <v>6501 - EXTERIOR DOOR UNITS (BOMS)</v>
          </cell>
          <cell r="D14689" t="str">
            <v>EFB28LID4PSN</v>
          </cell>
          <cell r="BA14689">
            <v>201.99</v>
          </cell>
        </row>
        <row r="14690">
          <cell r="C14690" t="str">
            <v>6501 - EXTERIOR DOOR UNITS (BOMS)</v>
          </cell>
          <cell r="D14690" t="str">
            <v>EFB30RID4PSN</v>
          </cell>
          <cell r="BA14690">
            <v>208.99</v>
          </cell>
        </row>
        <row r="14691">
          <cell r="C14691" t="str">
            <v>6501 - EXTERIOR DOOR UNITS (BOMS)</v>
          </cell>
          <cell r="D14691" t="str">
            <v>EFB30LID4PSN</v>
          </cell>
          <cell r="BA14691">
            <v>201.99</v>
          </cell>
        </row>
        <row r="14692">
          <cell r="C14692" t="str">
            <v>6501 - EXTERIOR DOOR UNITS (BOMS)</v>
          </cell>
          <cell r="D14692" t="str">
            <v>EFB36RID4PSN</v>
          </cell>
          <cell r="BA14692">
            <v>249.99</v>
          </cell>
        </row>
        <row r="14693">
          <cell r="C14693" t="str">
            <v>6501 - EXTERIOR DOOR UNITS (BOMS)</v>
          </cell>
          <cell r="D14693" t="str">
            <v>EFB36LID4PSN</v>
          </cell>
          <cell r="BA14693">
            <v>284.99</v>
          </cell>
        </row>
        <row r="14694">
          <cell r="C14694" t="str">
            <v>6501 - EXTERIOR DOOR UNITS (BOMS)</v>
          </cell>
          <cell r="D14694" t="str">
            <v>EFB28ROD4PSN</v>
          </cell>
          <cell r="BA14694">
            <v>200.99</v>
          </cell>
        </row>
        <row r="14695">
          <cell r="C14695" t="str">
            <v>6501 - EXTERIOR DOOR UNITS (BOMS)</v>
          </cell>
          <cell r="D14695" t="str">
            <v>EFB28LOD4PSN</v>
          </cell>
          <cell r="BA14695">
            <v>200.99</v>
          </cell>
        </row>
        <row r="14696">
          <cell r="C14696" t="str">
            <v>6501 - EXTERIOR DOOR UNITS (BOMS)</v>
          </cell>
          <cell r="D14696" t="str">
            <v>EFB30ROD4PSN</v>
          </cell>
          <cell r="BA14696">
            <v>203.99</v>
          </cell>
        </row>
        <row r="14697">
          <cell r="C14697" t="str">
            <v>6501 - EXTERIOR DOOR UNITS (BOMS)</v>
          </cell>
          <cell r="D14697" t="str">
            <v>EFB30LOD4PSN</v>
          </cell>
          <cell r="BA14697">
            <v>203.99</v>
          </cell>
        </row>
        <row r="14698">
          <cell r="C14698" t="str">
            <v>6501 - EXTERIOR DOOR UNITS (BOMS)</v>
          </cell>
          <cell r="D14698" t="str">
            <v>EFB308RID4PSN</v>
          </cell>
          <cell r="BA14698">
            <v>265.99</v>
          </cell>
        </row>
        <row r="14699">
          <cell r="C14699" t="str">
            <v>6501 - EXTERIOR DOOR UNITS (BOMS)</v>
          </cell>
          <cell r="D14699" t="str">
            <v>EFB288ROD4PSN</v>
          </cell>
          <cell r="BA14699">
            <v>263.99</v>
          </cell>
        </row>
        <row r="14700">
          <cell r="C14700" t="str">
            <v>6501 - EXTERIOR DOOR UNITS (BOMS)</v>
          </cell>
          <cell r="D14700" t="str">
            <v>EFB60RID4PSN</v>
          </cell>
          <cell r="BA14700">
            <v>559.99</v>
          </cell>
        </row>
        <row r="14701">
          <cell r="C14701" t="str">
            <v>6501 - EXTERIOR DOOR UNITS (BOMS)</v>
          </cell>
          <cell r="D14701" t="str">
            <v>EFB60LID4PSN</v>
          </cell>
          <cell r="BA14701">
            <v>574.99</v>
          </cell>
        </row>
        <row r="14702">
          <cell r="C14702" t="str">
            <v>6501 - EXTERIOR DOOR UNITS (BOMS)</v>
          </cell>
          <cell r="D14702" t="str">
            <v>EFB60ROD4PSN</v>
          </cell>
          <cell r="BA14702">
            <v>659.99</v>
          </cell>
        </row>
        <row r="14703">
          <cell r="C14703" t="str">
            <v>6501 - EXTERIOR DOOR UNITS (BOMS)</v>
          </cell>
          <cell r="D14703" t="str">
            <v>EFB60LOD4PSN</v>
          </cell>
          <cell r="BA14703">
            <v>654.99</v>
          </cell>
        </row>
        <row r="14704">
          <cell r="C14704" t="str">
            <v>6501 - EXTERIOR DOOR UNITS (BOMS)</v>
          </cell>
          <cell r="D14704" t="str">
            <v>EFB608LID4PSN</v>
          </cell>
          <cell r="BA14704">
            <v>679.99</v>
          </cell>
        </row>
        <row r="14705">
          <cell r="C14705" t="str">
            <v>6501 - EXTERIOR DOOR UNITS (BOMS)</v>
          </cell>
          <cell r="D14705" t="str">
            <v>EFB608LOD4PSN</v>
          </cell>
          <cell r="BA14705">
            <v>724.99</v>
          </cell>
        </row>
        <row r="14706">
          <cell r="C14706" t="str">
            <v>6501 - EXTERIOR DOOR UNITS (BOMS)</v>
          </cell>
          <cell r="D14706" t="str">
            <v>EFB28RID4POR</v>
          </cell>
          <cell r="BA14706">
            <v>200.99</v>
          </cell>
        </row>
        <row r="14707">
          <cell r="C14707" t="str">
            <v>6501 - EXTERIOR DOOR UNITS (BOMS)</v>
          </cell>
          <cell r="D14707" t="str">
            <v>EFB28LID4POR</v>
          </cell>
          <cell r="BA14707">
            <v>200.99</v>
          </cell>
        </row>
        <row r="14708">
          <cell r="C14708" t="str">
            <v>6501 - EXTERIOR DOOR UNITS (BOMS)</v>
          </cell>
          <cell r="D14708" t="str">
            <v>EFB30RID4POR</v>
          </cell>
          <cell r="BA14708">
            <v>200.99</v>
          </cell>
        </row>
        <row r="14709">
          <cell r="C14709" t="str">
            <v>6501 - EXTERIOR DOOR UNITS (BOMS)</v>
          </cell>
          <cell r="D14709" t="str">
            <v>EFB30LID4POR</v>
          </cell>
          <cell r="BA14709">
            <v>200.99</v>
          </cell>
        </row>
        <row r="14710">
          <cell r="C14710" t="str">
            <v>6501 - EXTERIOR DOOR UNITS (BOMS)</v>
          </cell>
          <cell r="D14710" t="str">
            <v>EFB36RID4POR</v>
          </cell>
          <cell r="BA14710">
            <v>248.99</v>
          </cell>
        </row>
        <row r="14711">
          <cell r="C14711" t="str">
            <v>6501 - EXTERIOR DOOR UNITS (BOMS)</v>
          </cell>
          <cell r="D14711" t="str">
            <v>EFB36LID4POR</v>
          </cell>
          <cell r="BA14711">
            <v>248.99</v>
          </cell>
        </row>
        <row r="14712">
          <cell r="C14712" t="str">
            <v>6501 - EXTERIOR DOOR UNITS (BOMS)</v>
          </cell>
          <cell r="D14712" t="str">
            <v>EFB28ROD4POR</v>
          </cell>
          <cell r="BA14712">
            <v>199.99</v>
          </cell>
        </row>
        <row r="14713">
          <cell r="C14713" t="str">
            <v>6501 - EXTERIOR DOOR UNITS (BOMS)</v>
          </cell>
          <cell r="D14713" t="str">
            <v>EFB28LOD4POR</v>
          </cell>
          <cell r="BA14713">
            <v>199.99</v>
          </cell>
        </row>
        <row r="14714">
          <cell r="C14714" t="str">
            <v>6501 - EXTERIOR DOOR UNITS (BOMS)</v>
          </cell>
          <cell r="D14714" t="str">
            <v>EFB30ROD4POR</v>
          </cell>
          <cell r="BA14714">
            <v>202.99</v>
          </cell>
        </row>
        <row r="14715">
          <cell r="C14715" t="str">
            <v>6501 - EXTERIOR DOOR UNITS (BOMS)</v>
          </cell>
          <cell r="D14715" t="str">
            <v>EFB30LOD4POR</v>
          </cell>
          <cell r="BA14715">
            <v>208.99</v>
          </cell>
        </row>
        <row r="14716">
          <cell r="C14716" t="str">
            <v>6501 - EXTERIOR DOOR UNITS (BOMS)</v>
          </cell>
          <cell r="D14716" t="str">
            <v>EFB36LOD4POR</v>
          </cell>
          <cell r="BA14716">
            <v>271.99</v>
          </cell>
        </row>
        <row r="14717">
          <cell r="C14717" t="str">
            <v>6501 - EXTERIOR DOOR UNITS (BOMS)</v>
          </cell>
          <cell r="D14717" t="str">
            <v>EFB288RID4POR</v>
          </cell>
          <cell r="BA14717">
            <v>263.99</v>
          </cell>
        </row>
        <row r="14718">
          <cell r="C14718" t="str">
            <v>6501 - EXTERIOR DOOR UNITS (BOMS)</v>
          </cell>
          <cell r="D14718" t="str">
            <v>EFB288LID4POR</v>
          </cell>
          <cell r="BA14718">
            <v>263.99</v>
          </cell>
        </row>
        <row r="14719">
          <cell r="C14719" t="str">
            <v>6501 - EXTERIOR DOOR UNITS (BOMS)</v>
          </cell>
          <cell r="D14719" t="str">
            <v>EFB308RID4POR</v>
          </cell>
          <cell r="BA14719">
            <v>264.99</v>
          </cell>
        </row>
        <row r="14720">
          <cell r="C14720" t="str">
            <v>6501 - EXTERIOR DOOR UNITS (BOMS)</v>
          </cell>
          <cell r="D14720" t="str">
            <v>EFB308LID4POR</v>
          </cell>
          <cell r="BA14720">
            <v>264.99</v>
          </cell>
        </row>
        <row r="14721">
          <cell r="C14721" t="str">
            <v>6501 - EXTERIOR DOOR UNITS (BOMS)</v>
          </cell>
          <cell r="D14721" t="str">
            <v>EFB288LOD4POR</v>
          </cell>
          <cell r="BA14721">
            <v>262.99</v>
          </cell>
        </row>
        <row r="14722">
          <cell r="C14722" t="str">
            <v>6501 - EXTERIOR DOOR UNITS (BOMS)</v>
          </cell>
          <cell r="D14722" t="str">
            <v>EFB308LOD4POR</v>
          </cell>
          <cell r="BA14722">
            <v>265.99</v>
          </cell>
        </row>
        <row r="14723">
          <cell r="C14723" t="str">
            <v>6501 - EXTERIOR DOOR UNITS (BOMS)</v>
          </cell>
          <cell r="D14723" t="str">
            <v>EFB60RID4POR</v>
          </cell>
          <cell r="BA14723">
            <v>559.99</v>
          </cell>
        </row>
        <row r="14724">
          <cell r="C14724" t="str">
            <v>6501 - EXTERIOR DOOR UNITS (BOMS)</v>
          </cell>
          <cell r="D14724" t="str">
            <v>EFB60ROD4POR</v>
          </cell>
          <cell r="BA14724">
            <v>659.99</v>
          </cell>
        </row>
        <row r="14725">
          <cell r="C14725" t="str">
            <v>6501 - EXTERIOR DOOR UNITS (BOMS)</v>
          </cell>
          <cell r="D14725" t="str">
            <v>EFB60LOD4POR</v>
          </cell>
          <cell r="BA14725">
            <v>649.99</v>
          </cell>
        </row>
        <row r="14726">
          <cell r="C14726" t="str">
            <v>6501 - EXTERIOR DOOR UNITS (BOMS)</v>
          </cell>
          <cell r="D14726" t="str">
            <v>EFB608RID4POR</v>
          </cell>
          <cell r="BA14726">
            <v>704.99</v>
          </cell>
        </row>
        <row r="14727">
          <cell r="C14727" t="str">
            <v>6501 - EXTERIOR DOOR UNITS (BOMS)</v>
          </cell>
          <cell r="D14727" t="str">
            <v>EFB608LID4POR</v>
          </cell>
          <cell r="BA14727">
            <v>674.99</v>
          </cell>
        </row>
        <row r="14728">
          <cell r="C14728" t="str">
            <v>6501 - EXTERIOR DOOR UNITS (BOMS)</v>
          </cell>
          <cell r="D14728" t="str">
            <v>EFB28RID6PSN</v>
          </cell>
          <cell r="BA14728">
            <v>234.99</v>
          </cell>
        </row>
        <row r="14729">
          <cell r="C14729" t="str">
            <v>6501 - EXTERIOR DOOR UNITS (BOMS)</v>
          </cell>
          <cell r="D14729" t="str">
            <v>EFB28LID6PSN</v>
          </cell>
          <cell r="BA14729">
            <v>234.99</v>
          </cell>
        </row>
        <row r="14730">
          <cell r="C14730" t="str">
            <v>6501 - EXTERIOR DOOR UNITS (BOMS)</v>
          </cell>
          <cell r="D14730" t="str">
            <v>EFB30RID6PSN</v>
          </cell>
          <cell r="BA14730">
            <v>237.99</v>
          </cell>
        </row>
        <row r="14731">
          <cell r="C14731" t="str">
            <v>6501 - EXTERIOR DOOR UNITS (BOMS)</v>
          </cell>
          <cell r="D14731" t="str">
            <v>EFB30LID6PSN</v>
          </cell>
          <cell r="BA14731">
            <v>237.99</v>
          </cell>
        </row>
        <row r="14732">
          <cell r="C14732" t="str">
            <v>6501 - EXTERIOR DOOR UNITS (BOMS)</v>
          </cell>
          <cell r="D14732" t="str">
            <v>EFB36RID6PSN</v>
          </cell>
          <cell r="BA14732">
            <v>298.99</v>
          </cell>
        </row>
        <row r="14733">
          <cell r="C14733" t="str">
            <v>6501 - EXTERIOR DOOR UNITS (BOMS)</v>
          </cell>
          <cell r="D14733" t="str">
            <v>EFB36LID6PSN</v>
          </cell>
          <cell r="BA14733">
            <v>298.99</v>
          </cell>
        </row>
        <row r="14734">
          <cell r="C14734" t="str">
            <v>6501 - EXTERIOR DOOR UNITS (BOMS)</v>
          </cell>
          <cell r="D14734" t="str">
            <v>EFB28ROD6PSN</v>
          </cell>
          <cell r="BA14734">
            <v>241.99</v>
          </cell>
        </row>
        <row r="14735">
          <cell r="C14735" t="str">
            <v>6501 - EXTERIOR DOOR UNITS (BOMS)</v>
          </cell>
          <cell r="D14735" t="str">
            <v>EFB28LOD6PSN</v>
          </cell>
          <cell r="BA14735">
            <v>241.99</v>
          </cell>
        </row>
        <row r="14736">
          <cell r="C14736" t="str">
            <v>6501 - EXTERIOR DOOR UNITS (BOMS)</v>
          </cell>
          <cell r="D14736" t="str">
            <v>EFB30ROD6PSN</v>
          </cell>
          <cell r="BA14736">
            <v>241.99</v>
          </cell>
        </row>
        <row r="14737">
          <cell r="C14737" t="str">
            <v>6501 - EXTERIOR DOOR UNITS (BOMS)</v>
          </cell>
          <cell r="D14737" t="str">
            <v>EFB30LOD6PSN</v>
          </cell>
          <cell r="BA14737">
            <v>241.99</v>
          </cell>
        </row>
        <row r="14738">
          <cell r="C14738" t="str">
            <v>6501 - EXTERIOR DOOR UNITS (BOMS)</v>
          </cell>
          <cell r="D14738" t="str">
            <v>EFB288RID6PSN</v>
          </cell>
          <cell r="BA14738">
            <v>280.99</v>
          </cell>
        </row>
        <row r="14739">
          <cell r="C14739" t="str">
            <v>6501 - EXTERIOR DOOR UNITS (BOMS)</v>
          </cell>
          <cell r="D14739" t="str">
            <v>EFB288LID6PSN</v>
          </cell>
          <cell r="BA14739">
            <v>280.99</v>
          </cell>
        </row>
        <row r="14740">
          <cell r="C14740" t="str">
            <v>6501 - EXTERIOR DOOR UNITS (BOMS)</v>
          </cell>
          <cell r="D14740" t="str">
            <v>EFB308RID6PSN</v>
          </cell>
          <cell r="BA14740">
            <v>283.99</v>
          </cell>
        </row>
        <row r="14741">
          <cell r="C14741" t="str">
            <v>6501 - EXTERIOR DOOR UNITS (BOMS)</v>
          </cell>
          <cell r="D14741" t="str">
            <v>EFB308LID6PSN</v>
          </cell>
          <cell r="BA14741">
            <v>283.99</v>
          </cell>
        </row>
        <row r="14742">
          <cell r="C14742" t="str">
            <v>6501 - EXTERIOR DOOR UNITS (BOMS)</v>
          </cell>
          <cell r="D14742" t="str">
            <v>EFB368RID6PSN</v>
          </cell>
          <cell r="BA14742">
            <v>344.99</v>
          </cell>
        </row>
        <row r="14743">
          <cell r="C14743" t="str">
            <v>6501 - EXTERIOR DOOR UNITS (BOMS)</v>
          </cell>
          <cell r="D14743" t="str">
            <v>EFB368LID6PSN</v>
          </cell>
          <cell r="BA14743">
            <v>344.99</v>
          </cell>
        </row>
        <row r="14744">
          <cell r="C14744" t="str">
            <v>6501 - EXTERIOR DOOR UNITS (BOMS)</v>
          </cell>
          <cell r="D14744" t="str">
            <v>EFB288ROD6PSN</v>
          </cell>
          <cell r="BA14744">
            <v>287.99</v>
          </cell>
        </row>
        <row r="14745">
          <cell r="C14745" t="str">
            <v>6501 - EXTERIOR DOOR UNITS (BOMS)</v>
          </cell>
          <cell r="D14745" t="str">
            <v>EFB288LOD6PSN</v>
          </cell>
          <cell r="BA14745">
            <v>287.99</v>
          </cell>
        </row>
        <row r="14746">
          <cell r="C14746" t="str">
            <v>6501 - EXTERIOR DOOR UNITS (BOMS)</v>
          </cell>
          <cell r="D14746" t="str">
            <v>EFB308ROD6PSN</v>
          </cell>
          <cell r="BA14746">
            <v>287.99</v>
          </cell>
        </row>
        <row r="14747">
          <cell r="C14747" t="str">
            <v>6501 - EXTERIOR DOOR UNITS (BOMS)</v>
          </cell>
          <cell r="D14747" t="str">
            <v>EFB308LOD6PSN</v>
          </cell>
          <cell r="BA14747">
            <v>287.99</v>
          </cell>
        </row>
        <row r="14748">
          <cell r="C14748" t="str">
            <v>6501 - EXTERIOR DOOR UNITS (BOMS)</v>
          </cell>
          <cell r="D14748" t="str">
            <v>EFB60RID6PSN</v>
          </cell>
          <cell r="BA14748">
            <v>609.99</v>
          </cell>
        </row>
        <row r="14749">
          <cell r="C14749" t="str">
            <v>6501 - EXTERIOR DOOR UNITS (BOMS)</v>
          </cell>
          <cell r="D14749" t="str">
            <v>EFB60LID6PSN</v>
          </cell>
          <cell r="BA14749">
            <v>619.99</v>
          </cell>
        </row>
        <row r="14750">
          <cell r="C14750" t="str">
            <v>6501 - EXTERIOR DOOR UNITS (BOMS)</v>
          </cell>
          <cell r="D14750" t="str">
            <v>EFB60ROD6PSN</v>
          </cell>
          <cell r="BA14750">
            <v>699.99</v>
          </cell>
        </row>
        <row r="14751">
          <cell r="C14751" t="str">
            <v>6501 - EXTERIOR DOOR UNITS (BOMS)</v>
          </cell>
          <cell r="D14751" t="str">
            <v>EFB60LOD6PSN</v>
          </cell>
          <cell r="BA14751">
            <v>694.99</v>
          </cell>
        </row>
        <row r="14752">
          <cell r="C14752" t="str">
            <v>6501 - EXTERIOR DOOR UNITS (BOMS)</v>
          </cell>
          <cell r="D14752" t="str">
            <v>EFB608RID6PSN</v>
          </cell>
          <cell r="BA14752">
            <v>739.99</v>
          </cell>
        </row>
        <row r="14753">
          <cell r="C14753" t="str">
            <v>6501 - EXTERIOR DOOR UNITS (BOMS)</v>
          </cell>
          <cell r="D14753" t="str">
            <v>EFB608LID6PSN</v>
          </cell>
          <cell r="BA14753">
            <v>709.99</v>
          </cell>
        </row>
        <row r="14754">
          <cell r="C14754" t="str">
            <v>6501 - EXTERIOR DOOR UNITS (BOMS)</v>
          </cell>
          <cell r="D14754" t="str">
            <v>EFB608ROD6PSN</v>
          </cell>
          <cell r="BA14754">
            <v>734.99</v>
          </cell>
        </row>
        <row r="14755">
          <cell r="C14755" t="str">
            <v>6501 - EXTERIOR DOOR UNITS (BOMS)</v>
          </cell>
          <cell r="D14755" t="str">
            <v>EFB608LOD6PSN</v>
          </cell>
          <cell r="BA14755">
            <v>734.99</v>
          </cell>
        </row>
        <row r="14756">
          <cell r="C14756" t="str">
            <v>6501 - EXTERIOR DOOR UNITS (BOMS)</v>
          </cell>
          <cell r="D14756" t="str">
            <v>EFB1230RID6PSN</v>
          </cell>
          <cell r="BA14756">
            <v>491.99</v>
          </cell>
        </row>
        <row r="14757">
          <cell r="C14757" t="str">
            <v>6501 - EXTERIOR DOOR UNITS (BOMS)</v>
          </cell>
          <cell r="D14757" t="str">
            <v>EFB1230LID6PSN</v>
          </cell>
          <cell r="BA14757">
            <v>491.99</v>
          </cell>
        </row>
        <row r="14758">
          <cell r="C14758" t="str">
            <v>6501 - EXTERIOR DOOR UNITS (BOMS)</v>
          </cell>
          <cell r="D14758" t="str">
            <v>EFB28RID6POR</v>
          </cell>
          <cell r="BA14758">
            <v>233.99</v>
          </cell>
        </row>
        <row r="14759">
          <cell r="C14759" t="str">
            <v>6501 - EXTERIOR DOOR UNITS (BOMS)</v>
          </cell>
          <cell r="D14759" t="str">
            <v>EFB28LID6POR</v>
          </cell>
          <cell r="BA14759">
            <v>233.99</v>
          </cell>
        </row>
        <row r="14760">
          <cell r="C14760" t="str">
            <v>6501 - EXTERIOR DOOR UNITS (BOMS)</v>
          </cell>
          <cell r="D14760" t="str">
            <v>EFB30RID6POR</v>
          </cell>
          <cell r="BA14760">
            <v>236.99</v>
          </cell>
        </row>
        <row r="14761">
          <cell r="C14761" t="str">
            <v>6501 - EXTERIOR DOOR UNITS (BOMS)</v>
          </cell>
          <cell r="D14761" t="str">
            <v>EFB30LID6POR</v>
          </cell>
          <cell r="BA14761">
            <v>236.99</v>
          </cell>
        </row>
        <row r="14762">
          <cell r="C14762" t="str">
            <v>6501 - EXTERIOR DOOR UNITS (BOMS)</v>
          </cell>
          <cell r="D14762" t="str">
            <v>EFB36RID6POR</v>
          </cell>
          <cell r="BA14762">
            <v>297.99</v>
          </cell>
        </row>
        <row r="14763">
          <cell r="C14763" t="str">
            <v>6501 - EXTERIOR DOOR UNITS (BOMS)</v>
          </cell>
          <cell r="D14763" t="str">
            <v>EFB36LID6POR</v>
          </cell>
          <cell r="BA14763">
            <v>297.99</v>
          </cell>
        </row>
        <row r="14764">
          <cell r="C14764" t="str">
            <v>6501 - EXTERIOR DOOR UNITS (BOMS)</v>
          </cell>
          <cell r="D14764" t="str">
            <v>EFB28ROD6POR</v>
          </cell>
          <cell r="BA14764">
            <v>239.99</v>
          </cell>
        </row>
        <row r="14765">
          <cell r="C14765" t="str">
            <v>6501 - EXTERIOR DOOR UNITS (BOMS)</v>
          </cell>
          <cell r="D14765" t="str">
            <v>EFB28LOD6POR</v>
          </cell>
          <cell r="BA14765">
            <v>239.99</v>
          </cell>
        </row>
        <row r="14766">
          <cell r="C14766" t="str">
            <v>6501 - EXTERIOR DOOR UNITS (BOMS)</v>
          </cell>
          <cell r="D14766" t="str">
            <v>EFB30ROD6POR</v>
          </cell>
          <cell r="BA14766">
            <v>240.99</v>
          </cell>
        </row>
        <row r="14767">
          <cell r="C14767" t="str">
            <v>6501 - EXTERIOR DOOR UNITS (BOMS)</v>
          </cell>
          <cell r="D14767" t="str">
            <v>EFB30LOD6POR</v>
          </cell>
          <cell r="BA14767">
            <v>240.99</v>
          </cell>
        </row>
        <row r="14768">
          <cell r="C14768" t="str">
            <v>6501 - EXTERIOR DOOR UNITS (BOMS)</v>
          </cell>
          <cell r="D14768" t="str">
            <v>EFB36ROD6POR</v>
          </cell>
          <cell r="BA14768">
            <v>310.99</v>
          </cell>
        </row>
        <row r="14769">
          <cell r="C14769" t="str">
            <v>6501 - EXTERIOR DOOR UNITS (BOMS)</v>
          </cell>
          <cell r="D14769" t="str">
            <v>EFB288RID6POR</v>
          </cell>
          <cell r="BA14769">
            <v>279.99</v>
          </cell>
        </row>
        <row r="14770">
          <cell r="C14770" t="str">
            <v>6501 - EXTERIOR DOOR UNITS (BOMS)</v>
          </cell>
          <cell r="D14770" t="str">
            <v>EFB288LID6POR</v>
          </cell>
          <cell r="BA14770">
            <v>279.99</v>
          </cell>
        </row>
        <row r="14771">
          <cell r="C14771" t="str">
            <v>6501 - EXTERIOR DOOR UNITS (BOMS)</v>
          </cell>
          <cell r="D14771" t="str">
            <v>EFB308RID6POR</v>
          </cell>
          <cell r="BA14771">
            <v>282.99</v>
          </cell>
        </row>
        <row r="14772">
          <cell r="C14772" t="str">
            <v>6501 - EXTERIOR DOOR UNITS (BOMS)</v>
          </cell>
          <cell r="D14772" t="str">
            <v>EFB308LID6POR</v>
          </cell>
          <cell r="BA14772">
            <v>282.99</v>
          </cell>
        </row>
        <row r="14773">
          <cell r="C14773" t="str">
            <v>6501 - EXTERIOR DOOR UNITS (BOMS)</v>
          </cell>
          <cell r="D14773" t="str">
            <v>EFB368RID6POR</v>
          </cell>
          <cell r="BA14773">
            <v>343.99</v>
          </cell>
        </row>
        <row r="14774">
          <cell r="C14774" t="str">
            <v>6501 - EXTERIOR DOOR UNITS (BOMS)</v>
          </cell>
          <cell r="D14774" t="str">
            <v>EFB368LID6POR</v>
          </cell>
          <cell r="BA14774">
            <v>343.99</v>
          </cell>
        </row>
        <row r="14775">
          <cell r="C14775" t="str">
            <v>6501 - EXTERIOR DOOR UNITS (BOMS)</v>
          </cell>
          <cell r="D14775" t="str">
            <v>EFB288ROD6POR</v>
          </cell>
          <cell r="BA14775">
            <v>286.99</v>
          </cell>
        </row>
        <row r="14776">
          <cell r="C14776" t="str">
            <v>6501 - EXTERIOR DOOR UNITS (BOMS)</v>
          </cell>
          <cell r="D14776" t="str">
            <v>EFB288LOD6POR</v>
          </cell>
          <cell r="BA14776">
            <v>286.99</v>
          </cell>
        </row>
        <row r="14777">
          <cell r="C14777" t="str">
            <v>6501 - EXTERIOR DOOR UNITS (BOMS)</v>
          </cell>
          <cell r="D14777" t="str">
            <v>EFB308ROD6POR</v>
          </cell>
          <cell r="BA14777">
            <v>286.99</v>
          </cell>
        </row>
        <row r="14778">
          <cell r="C14778" t="str">
            <v>6501 - EXTERIOR DOOR UNITS (BOMS)</v>
          </cell>
          <cell r="D14778" t="str">
            <v>EFB308LOD6POR</v>
          </cell>
          <cell r="BA14778">
            <v>286.99</v>
          </cell>
        </row>
        <row r="14779">
          <cell r="C14779" t="str">
            <v>6501 - EXTERIOR DOOR UNITS (BOMS)</v>
          </cell>
          <cell r="D14779" t="str">
            <v>EFB60RID6POR</v>
          </cell>
          <cell r="BA14779">
            <v>609.99</v>
          </cell>
        </row>
        <row r="14780">
          <cell r="C14780" t="str">
            <v>6501 - EXTERIOR DOOR UNITS (BOMS)</v>
          </cell>
          <cell r="D14780" t="str">
            <v>EFB60LID6POR</v>
          </cell>
          <cell r="BA14780">
            <v>619.99</v>
          </cell>
        </row>
        <row r="14781">
          <cell r="C14781" t="str">
            <v>6501 - EXTERIOR DOOR UNITS (BOMS)</v>
          </cell>
          <cell r="D14781" t="str">
            <v>EFB60ROD6POR</v>
          </cell>
          <cell r="BA14781">
            <v>699.99</v>
          </cell>
        </row>
        <row r="14782">
          <cell r="C14782" t="str">
            <v>6501 - EXTERIOR DOOR UNITS (BOMS)</v>
          </cell>
          <cell r="D14782" t="str">
            <v>EFB60LOD6POR</v>
          </cell>
          <cell r="BA14782">
            <v>689.99</v>
          </cell>
        </row>
        <row r="14783">
          <cell r="C14783" t="str">
            <v>6501 - EXTERIOR DOOR UNITS (BOMS)</v>
          </cell>
          <cell r="D14783" t="str">
            <v>EFB608RID6POR</v>
          </cell>
          <cell r="BA14783">
            <v>739.99</v>
          </cell>
        </row>
        <row r="14784">
          <cell r="C14784" t="str">
            <v>6501 - EXTERIOR DOOR UNITS (BOMS)</v>
          </cell>
          <cell r="D14784" t="str">
            <v>EFB608LID6POR</v>
          </cell>
          <cell r="BA14784">
            <v>709.99</v>
          </cell>
        </row>
        <row r="14785">
          <cell r="C14785" t="str">
            <v>6501 - EXTERIOR DOOR UNITS (BOMS)</v>
          </cell>
          <cell r="D14785" t="str">
            <v>EFB608ROD6POR</v>
          </cell>
          <cell r="BA14785">
            <v>744.99</v>
          </cell>
        </row>
        <row r="14786">
          <cell r="C14786" t="str">
            <v>6501 - EXTERIOR DOOR UNITS (BOMS)</v>
          </cell>
          <cell r="D14786" t="str">
            <v>EFB608LOD6POR</v>
          </cell>
          <cell r="BA14786">
            <v>744.99</v>
          </cell>
        </row>
        <row r="14787">
          <cell r="C14787" t="str">
            <v>6501 - EXTERIOR DOOR UNITS (BOMS)</v>
          </cell>
          <cell r="D14787" t="str">
            <v>EFB30RID4RSN</v>
          </cell>
          <cell r="BA14787">
            <v>254.99</v>
          </cell>
        </row>
        <row r="14788">
          <cell r="C14788" t="str">
            <v>6501 - EXTERIOR DOOR UNITS (BOMS)</v>
          </cell>
          <cell r="D14788" t="str">
            <v>EFB28ROD4RSN</v>
          </cell>
          <cell r="BA14788">
            <v>253.99</v>
          </cell>
        </row>
        <row r="14789">
          <cell r="C14789" t="str">
            <v>6501 - EXTERIOR DOOR UNITS (BOMS)</v>
          </cell>
          <cell r="D14789" t="str">
            <v>EFB28LOD4RSN</v>
          </cell>
          <cell r="BA14789">
            <v>253.99</v>
          </cell>
        </row>
        <row r="14790">
          <cell r="C14790" t="str">
            <v>6501 - EXTERIOR DOOR UNITS (BOMS)</v>
          </cell>
          <cell r="D14790" t="str">
            <v>EFB30LOD4RSN</v>
          </cell>
          <cell r="BA14790">
            <v>256.99</v>
          </cell>
        </row>
        <row r="14791">
          <cell r="C14791" t="str">
            <v>6501 - EXTERIOR DOOR UNITS (BOMS)</v>
          </cell>
          <cell r="D14791" t="str">
            <v>EFB1230LID4RSN</v>
          </cell>
          <cell r="BA14791">
            <v>519.99</v>
          </cell>
        </row>
        <row r="14792">
          <cell r="C14792" t="str">
            <v>6501 - EXTERIOR DOOR UNITS (BOMS)</v>
          </cell>
          <cell r="D14792" t="str">
            <v>EFB30LID4ROR</v>
          </cell>
          <cell r="BA14792">
            <v>253.99</v>
          </cell>
        </row>
        <row r="14793">
          <cell r="C14793" t="str">
            <v>6501 - EXTERIOR DOOR UNITS (BOMS)</v>
          </cell>
          <cell r="D14793" t="str">
            <v>EFB60LOD4ROR</v>
          </cell>
          <cell r="BA14793">
            <v>644.99</v>
          </cell>
        </row>
        <row r="14794">
          <cell r="C14794" t="str">
            <v>6501 - EXTERIOR DOOR UNITS (BOMS)</v>
          </cell>
          <cell r="D14794" t="str">
            <v>EFB28RID6RSN</v>
          </cell>
          <cell r="BA14794">
            <v>245.99</v>
          </cell>
        </row>
        <row r="14795">
          <cell r="C14795" t="str">
            <v>6501 - EXTERIOR DOOR UNITS (BOMS)</v>
          </cell>
          <cell r="D14795" t="str">
            <v>EFB28LID6RSN</v>
          </cell>
          <cell r="BA14795">
            <v>245.99</v>
          </cell>
        </row>
        <row r="14796">
          <cell r="C14796" t="str">
            <v>6501 - EXTERIOR DOOR UNITS (BOMS)</v>
          </cell>
          <cell r="D14796" t="str">
            <v>EFB30RID6RSN</v>
          </cell>
          <cell r="BA14796">
            <v>248.99</v>
          </cell>
        </row>
        <row r="14797">
          <cell r="C14797" t="str">
            <v>6501 - EXTERIOR DOOR UNITS (BOMS)</v>
          </cell>
          <cell r="D14797" t="str">
            <v>EFB30LID6RSN</v>
          </cell>
          <cell r="BA14797">
            <v>248.99</v>
          </cell>
        </row>
        <row r="14798">
          <cell r="C14798" t="str">
            <v>6501 - EXTERIOR DOOR UNITS (BOMS)</v>
          </cell>
          <cell r="D14798" t="str">
            <v>EFB36RID6RSN</v>
          </cell>
          <cell r="BA14798">
            <v>309.99</v>
          </cell>
        </row>
        <row r="14799">
          <cell r="C14799" t="str">
            <v>6501 - EXTERIOR DOOR UNITS (BOMS)</v>
          </cell>
          <cell r="D14799" t="str">
            <v>EFB36LID6RSN</v>
          </cell>
          <cell r="BA14799">
            <v>309.99</v>
          </cell>
        </row>
        <row r="14800">
          <cell r="C14800" t="str">
            <v>6501 - EXTERIOR DOOR UNITS (BOMS)</v>
          </cell>
          <cell r="D14800" t="str">
            <v>EFB28ROD6RSN</v>
          </cell>
          <cell r="BA14800">
            <v>236.99</v>
          </cell>
        </row>
        <row r="14801">
          <cell r="C14801" t="str">
            <v>6501 - EXTERIOR DOOR UNITS (BOMS)</v>
          </cell>
          <cell r="D14801" t="str">
            <v>EFB28LOD6RSN</v>
          </cell>
          <cell r="BA14801">
            <v>236.99</v>
          </cell>
        </row>
        <row r="14802">
          <cell r="C14802" t="str">
            <v>6501 - EXTERIOR DOOR UNITS (BOMS)</v>
          </cell>
          <cell r="D14802" t="str">
            <v>EFB30ROD6RSN</v>
          </cell>
          <cell r="BA14802">
            <v>239.99</v>
          </cell>
        </row>
        <row r="14803">
          <cell r="C14803" t="str">
            <v>6501 - EXTERIOR DOOR UNITS (BOMS)</v>
          </cell>
          <cell r="D14803" t="str">
            <v>EFB30LOD6RSN</v>
          </cell>
          <cell r="BA14803">
            <v>239.99</v>
          </cell>
        </row>
        <row r="14804">
          <cell r="C14804" t="str">
            <v>6501 - EXTERIOR DOOR UNITS (BOMS)</v>
          </cell>
          <cell r="D14804" t="str">
            <v>EFB36ROD6RSN</v>
          </cell>
          <cell r="BA14804">
            <v>313.99</v>
          </cell>
        </row>
        <row r="14805">
          <cell r="C14805" t="str">
            <v>6501 - EXTERIOR DOOR UNITS (BOMS)</v>
          </cell>
          <cell r="D14805" t="str">
            <v>EFB36LOD6RSN</v>
          </cell>
          <cell r="BA14805">
            <v>313.99</v>
          </cell>
        </row>
        <row r="14806">
          <cell r="C14806" t="str">
            <v>6501 - EXTERIOR DOOR UNITS (BOMS)</v>
          </cell>
          <cell r="D14806" t="str">
            <v>EFB308RID6RSN</v>
          </cell>
          <cell r="BA14806">
            <v>401.99</v>
          </cell>
        </row>
        <row r="14807">
          <cell r="C14807" t="str">
            <v>6501 - EXTERIOR DOOR UNITS (BOMS)</v>
          </cell>
          <cell r="D14807" t="str">
            <v>EFB308ROD6RSN</v>
          </cell>
          <cell r="BA14807">
            <v>392.99</v>
          </cell>
        </row>
        <row r="14808">
          <cell r="C14808" t="str">
            <v>6501 - EXTERIOR DOOR UNITS (BOMS)</v>
          </cell>
          <cell r="D14808" t="str">
            <v>EFB308LOD6RSN</v>
          </cell>
          <cell r="BA14808">
            <v>392.99</v>
          </cell>
        </row>
        <row r="14809">
          <cell r="C14809" t="str">
            <v>6501 - EXTERIOR DOOR UNITS (BOMS)</v>
          </cell>
          <cell r="D14809" t="str">
            <v>EFB60RID6RSN</v>
          </cell>
          <cell r="BA14809">
            <v>619.99</v>
          </cell>
        </row>
        <row r="14810">
          <cell r="C14810" t="str">
            <v>6501 - EXTERIOR DOOR UNITS (BOMS)</v>
          </cell>
          <cell r="D14810" t="str">
            <v>EFB60LID6RSN</v>
          </cell>
          <cell r="BA14810">
            <v>634.99</v>
          </cell>
        </row>
        <row r="14811">
          <cell r="C14811" t="str">
            <v>6501 - EXTERIOR DOOR UNITS (BOMS)</v>
          </cell>
          <cell r="D14811" t="str">
            <v>EFB60ROD6RSN</v>
          </cell>
          <cell r="BA14811">
            <v>659.99</v>
          </cell>
        </row>
        <row r="14812">
          <cell r="C14812" t="str">
            <v>6501 - EXTERIOR DOOR UNITS (BOMS)</v>
          </cell>
          <cell r="D14812" t="str">
            <v>EFB60LOD6RSN</v>
          </cell>
          <cell r="BA14812">
            <v>659.99</v>
          </cell>
        </row>
        <row r="14813">
          <cell r="C14813" t="str">
            <v>6501 - EXTERIOR DOOR UNITS (BOMS)</v>
          </cell>
          <cell r="D14813" t="str">
            <v>EFB28RID6ROR</v>
          </cell>
          <cell r="BA14813">
            <v>244.99</v>
          </cell>
        </row>
        <row r="14814">
          <cell r="C14814" t="str">
            <v>6501 - EXTERIOR DOOR UNITS (BOMS)</v>
          </cell>
          <cell r="D14814" t="str">
            <v>EFB28LID6ROR</v>
          </cell>
          <cell r="BA14814">
            <v>244.99</v>
          </cell>
        </row>
        <row r="14815">
          <cell r="C14815" t="str">
            <v>6501 - EXTERIOR DOOR UNITS (BOMS)</v>
          </cell>
          <cell r="D14815" t="str">
            <v>EFB30RID6ROR</v>
          </cell>
          <cell r="BA14815">
            <v>247.99</v>
          </cell>
        </row>
        <row r="14816">
          <cell r="C14816" t="str">
            <v>6501 - EXTERIOR DOOR UNITS (BOMS)</v>
          </cell>
          <cell r="D14816" t="str">
            <v>EFB30LID6ROR</v>
          </cell>
          <cell r="BA14816">
            <v>247.99</v>
          </cell>
        </row>
        <row r="14817">
          <cell r="C14817" t="str">
            <v>6501 - EXTERIOR DOOR UNITS (BOMS)</v>
          </cell>
          <cell r="D14817" t="str">
            <v>EFB36RID6ROR</v>
          </cell>
          <cell r="BA14817">
            <v>308.99</v>
          </cell>
        </row>
        <row r="14818">
          <cell r="C14818" t="str">
            <v>6501 - EXTERIOR DOOR UNITS (BOMS)</v>
          </cell>
          <cell r="D14818" t="str">
            <v>EFB36LID6ROR</v>
          </cell>
          <cell r="BA14818">
            <v>308.99</v>
          </cell>
        </row>
        <row r="14819">
          <cell r="C14819" t="str">
            <v>6501 - EXTERIOR DOOR UNITS (BOMS)</v>
          </cell>
          <cell r="D14819" t="str">
            <v>EFB28ROD6ROR</v>
          </cell>
          <cell r="BA14819">
            <v>235.99</v>
          </cell>
        </row>
        <row r="14820">
          <cell r="C14820" t="str">
            <v>6501 - EXTERIOR DOOR UNITS (BOMS)</v>
          </cell>
          <cell r="D14820" t="str">
            <v>EFB28LOD6ROR</v>
          </cell>
          <cell r="BA14820">
            <v>235.99</v>
          </cell>
        </row>
        <row r="14821">
          <cell r="C14821" t="str">
            <v>6501 - EXTERIOR DOOR UNITS (BOMS)</v>
          </cell>
          <cell r="D14821" t="str">
            <v>EFB30ROD6ROR</v>
          </cell>
          <cell r="BA14821">
            <v>238.99</v>
          </cell>
        </row>
        <row r="14822">
          <cell r="C14822" t="str">
            <v>6501 - EXTERIOR DOOR UNITS (BOMS)</v>
          </cell>
          <cell r="D14822" t="str">
            <v>EFB30LOD6ROR</v>
          </cell>
          <cell r="BA14822">
            <v>238.99</v>
          </cell>
        </row>
        <row r="14823">
          <cell r="C14823" t="str">
            <v>6501 - EXTERIOR DOOR UNITS (BOMS)</v>
          </cell>
          <cell r="D14823" t="str">
            <v>EFB36ROD6ROR</v>
          </cell>
          <cell r="BA14823">
            <v>312.99</v>
          </cell>
        </row>
        <row r="14824">
          <cell r="C14824" t="str">
            <v>6501 - EXTERIOR DOOR UNITS (BOMS)</v>
          </cell>
          <cell r="D14824" t="str">
            <v>EFB36LOD6ROR</v>
          </cell>
          <cell r="BA14824">
            <v>312.99</v>
          </cell>
        </row>
        <row r="14825">
          <cell r="C14825" t="str">
            <v>6501 - EXTERIOR DOOR UNITS (BOMS)</v>
          </cell>
          <cell r="D14825" t="str">
            <v>EFB288RID6ROR</v>
          </cell>
          <cell r="BA14825">
            <v>397.99</v>
          </cell>
        </row>
        <row r="14826">
          <cell r="C14826" t="str">
            <v>6501 - EXTERIOR DOOR UNITS (BOMS)</v>
          </cell>
          <cell r="D14826" t="str">
            <v>EFB308RID6ROR</v>
          </cell>
          <cell r="BA14826">
            <v>400.99</v>
          </cell>
        </row>
        <row r="14827">
          <cell r="C14827" t="str">
            <v>6501 - EXTERIOR DOOR UNITS (BOMS)</v>
          </cell>
          <cell r="D14827" t="str">
            <v>EFB308LID6ROR</v>
          </cell>
          <cell r="BA14827">
            <v>400.99</v>
          </cell>
        </row>
        <row r="14828">
          <cell r="C14828" t="str">
            <v>6501 - EXTERIOR DOOR UNITS (BOMS)</v>
          </cell>
          <cell r="D14828" t="str">
            <v>EFB368RID6ROR</v>
          </cell>
          <cell r="BA14828">
            <v>461.99</v>
          </cell>
        </row>
        <row r="14829">
          <cell r="C14829" t="str">
            <v>6501 - EXTERIOR DOOR UNITS (BOMS)</v>
          </cell>
          <cell r="D14829" t="str">
            <v>EFB60RID6ROR</v>
          </cell>
          <cell r="BA14829">
            <v>619.99</v>
          </cell>
        </row>
        <row r="14830">
          <cell r="C14830" t="str">
            <v>6501 - EXTERIOR DOOR UNITS (BOMS)</v>
          </cell>
          <cell r="D14830" t="str">
            <v>EFB60LID6ROR</v>
          </cell>
          <cell r="BA14830">
            <v>629.99</v>
          </cell>
        </row>
        <row r="14831">
          <cell r="C14831" t="str">
            <v>6501 - EXTERIOR DOOR UNITS (BOMS)</v>
          </cell>
          <cell r="D14831" t="str">
            <v>EFB60ROD6ROR</v>
          </cell>
          <cell r="BA14831">
            <v>659.99</v>
          </cell>
        </row>
        <row r="14832">
          <cell r="C14832" t="str">
            <v>6501 - EXTERIOR DOOR UNITS (BOMS)</v>
          </cell>
          <cell r="D14832" t="str">
            <v>EFB60LOD6ROR</v>
          </cell>
          <cell r="BA14832">
            <v>659.99</v>
          </cell>
        </row>
        <row r="14833">
          <cell r="C14833" t="str">
            <v>6501 - EXTERIOR DOOR UNITS (BOMS)</v>
          </cell>
          <cell r="D14833" t="str">
            <v>EFB608RID6ROR</v>
          </cell>
          <cell r="BA14833">
            <v>854.99</v>
          </cell>
        </row>
        <row r="14834">
          <cell r="C14834" t="str">
            <v>6501 - EXTERIOR DOOR UNITS (BOMS)</v>
          </cell>
          <cell r="D14834" t="str">
            <v>EFB608LID6ROR</v>
          </cell>
          <cell r="BA14834">
            <v>824.99</v>
          </cell>
        </row>
        <row r="14835">
          <cell r="C14835" t="str">
            <v>6501 - EXTERIOR DOOR UNITS (BOMS)</v>
          </cell>
          <cell r="D14835" t="str">
            <v>EFB608ROD6ROR</v>
          </cell>
          <cell r="BA14835">
            <v>894.99</v>
          </cell>
        </row>
        <row r="14836">
          <cell r="C14836" t="str">
            <v>6501 - EXTERIOR DOOR UNITS (BOMS)</v>
          </cell>
          <cell r="D14836" t="str">
            <v>EFB1230LID6ROR</v>
          </cell>
          <cell r="BA14836">
            <v>504.99</v>
          </cell>
        </row>
        <row r="14837">
          <cell r="C14837" t="str">
            <v>6501 - EXTERIOR DOOR UNITS (BOMS)</v>
          </cell>
          <cell r="D14837" t="str">
            <v>APP44ORBRRBB</v>
          </cell>
          <cell r="BA14837">
            <v>5.59</v>
          </cell>
        </row>
        <row r="14838">
          <cell r="C14838" t="str">
            <v>6501 - EXTERIOR DOOR UNITS (BOMS)</v>
          </cell>
          <cell r="D14838" t="str">
            <v>APP44ORBRRBB8</v>
          </cell>
          <cell r="BA14838">
            <v>7.49</v>
          </cell>
        </row>
        <row r="14839">
          <cell r="C14839" t="str">
            <v>6501 - EXTERIOR DOOR UNITS (BOMS)</v>
          </cell>
          <cell r="D14839" t="str">
            <v>EFB28RID54POR</v>
          </cell>
          <cell r="BA14839">
            <v>221.99</v>
          </cell>
        </row>
        <row r="14840">
          <cell r="C14840" t="str">
            <v>6501 - EXTERIOR DOOR UNITS (BOMS)</v>
          </cell>
          <cell r="D14840" t="str">
            <v>EFB28LID54POR</v>
          </cell>
          <cell r="BA14840">
            <v>221.99</v>
          </cell>
        </row>
        <row r="14841">
          <cell r="C14841" t="str">
            <v>6501 - EXTERIOR DOOR UNITS (BOMS)</v>
          </cell>
          <cell r="D14841" t="str">
            <v>EFB30RID54POR</v>
          </cell>
          <cell r="BA14841">
            <v>221.99</v>
          </cell>
        </row>
        <row r="14842">
          <cell r="C14842" t="str">
            <v>6501 - EXTERIOR DOOR UNITS (BOMS)</v>
          </cell>
          <cell r="D14842" t="str">
            <v>EFB30LID54POR</v>
          </cell>
          <cell r="BA14842">
            <v>221.99</v>
          </cell>
        </row>
        <row r="14843">
          <cell r="C14843" t="str">
            <v>6501 - EXTERIOR DOOR UNITS (BOMS)</v>
          </cell>
          <cell r="D14843" t="str">
            <v>EFB30LOD54POR</v>
          </cell>
          <cell r="BA14843">
            <v>223.99</v>
          </cell>
        </row>
        <row r="14844">
          <cell r="C14844" t="str">
            <v>6501 - EXTERIOR DOOR UNITS (BOMS)</v>
          </cell>
          <cell r="D14844" t="str">
            <v>EFB60LID54POR</v>
          </cell>
          <cell r="BA14844">
            <v>594.99</v>
          </cell>
        </row>
        <row r="14845">
          <cell r="C14845" t="str">
            <v>6501 - EXTERIOR DOOR UNITS (BOMS)</v>
          </cell>
          <cell r="D14845" t="str">
            <v>EFB60ROD54POR</v>
          </cell>
          <cell r="BA14845">
            <v>644.99</v>
          </cell>
        </row>
        <row r="14846">
          <cell r="C14846" t="str">
            <v>6501 - EXTERIOR DOOR UNITS (BOMS)</v>
          </cell>
          <cell r="D14846" t="str">
            <v>EFB28RID54PSN</v>
          </cell>
          <cell r="BA14846">
            <v>222.99</v>
          </cell>
        </row>
        <row r="14847">
          <cell r="C14847" t="str">
            <v>6501 - EXTERIOR DOOR UNITS (BOMS)</v>
          </cell>
          <cell r="D14847" t="str">
            <v>EFB28LID54PSN</v>
          </cell>
          <cell r="BA14847">
            <v>222.99</v>
          </cell>
        </row>
        <row r="14848">
          <cell r="C14848" t="str">
            <v>6501 - EXTERIOR DOOR UNITS (BOMS)</v>
          </cell>
          <cell r="D14848" t="str">
            <v>EFB30RID54PSN</v>
          </cell>
          <cell r="BA14848">
            <v>222.99</v>
          </cell>
        </row>
        <row r="14849">
          <cell r="C14849" t="str">
            <v>6501 - EXTERIOR DOOR UNITS (BOMS)</v>
          </cell>
          <cell r="D14849" t="str">
            <v>EFB30LID54PSN</v>
          </cell>
          <cell r="BA14849">
            <v>222.99</v>
          </cell>
        </row>
        <row r="14850">
          <cell r="C14850" t="str">
            <v>6501 - EXTERIOR DOOR UNITS (BOMS)</v>
          </cell>
          <cell r="D14850" t="str">
            <v>EFB36RID54PSN</v>
          </cell>
          <cell r="BA14850">
            <v>274.99</v>
          </cell>
        </row>
        <row r="14851">
          <cell r="C14851" t="str">
            <v>6501 - EXTERIOR DOOR UNITS (BOMS)</v>
          </cell>
          <cell r="D14851" t="str">
            <v>EFB28ROD54PSN</v>
          </cell>
          <cell r="BA14851">
            <v>221.99</v>
          </cell>
        </row>
        <row r="14852">
          <cell r="C14852" t="str">
            <v>6501 - EXTERIOR DOOR UNITS (BOMS)</v>
          </cell>
          <cell r="D14852" t="str">
            <v>EFB28LOD54PSN</v>
          </cell>
          <cell r="BA14852">
            <v>221.99</v>
          </cell>
        </row>
        <row r="14853">
          <cell r="C14853" t="str">
            <v>6501 - EXTERIOR DOOR UNITS (BOMS)</v>
          </cell>
          <cell r="D14853" t="str">
            <v>EFB60LID54PSN</v>
          </cell>
          <cell r="BA14853">
            <v>599.99</v>
          </cell>
        </row>
        <row r="14854">
          <cell r="C14854" t="str">
            <v>6501 - EXTERIOR DOOR UNITS (BOMS)</v>
          </cell>
          <cell r="D14854" t="str">
            <v>EFB308RID54PSN</v>
          </cell>
          <cell r="BA14854">
            <v>269.99</v>
          </cell>
        </row>
        <row r="14855">
          <cell r="C14855" t="str">
            <v>6501 - EXTERIOR DOOR UNITS (BOMS)</v>
          </cell>
          <cell r="D14855" t="str">
            <v>EFB608FACSD54PSN</v>
          </cell>
          <cell r="BA14855">
            <v>649.99</v>
          </cell>
        </row>
        <row r="14856">
          <cell r="C14856" t="str">
            <v>6501 - EXTERIOR DOOR UNITS (BOMS)</v>
          </cell>
          <cell r="D14856" t="str">
            <v>APP44SSRRNRP</v>
          </cell>
          <cell r="BA14856">
            <v>23.69</v>
          </cell>
        </row>
        <row r="14857">
          <cell r="C14857" t="str">
            <v>6501 - EXTERIOR DOOR UNITS (BOMS)</v>
          </cell>
          <cell r="D14857" t="str">
            <v>APP44SSRRNRP8</v>
          </cell>
          <cell r="BA14857">
            <v>30.29</v>
          </cell>
        </row>
        <row r="14858">
          <cell r="C14858" t="str">
            <v>6501 - EXTERIOR DOOR UNITS (BOMS)</v>
          </cell>
          <cell r="D14858" t="str">
            <v>MB28LI1FPS6PSN</v>
          </cell>
          <cell r="BA14858">
            <v>387.99</v>
          </cell>
        </row>
        <row r="14859">
          <cell r="C14859" t="str">
            <v>6501 - EXTERIOR DOOR UNITS (BOMS)</v>
          </cell>
          <cell r="D14859" t="str">
            <v>MB28RI1FPS6POR</v>
          </cell>
          <cell r="BA14859">
            <v>387.99</v>
          </cell>
        </row>
        <row r="14860">
          <cell r="C14860" t="str">
            <v>6501 - EXTERIOR DOOR UNITS (BOMS)</v>
          </cell>
          <cell r="D14860" t="str">
            <v>MB28LI1FPS6POR</v>
          </cell>
          <cell r="BA14860">
            <v>387.99</v>
          </cell>
        </row>
        <row r="14861">
          <cell r="C14861" t="str">
            <v>6501 - EXTERIOR DOOR UNITS (BOMS)</v>
          </cell>
          <cell r="D14861" t="str">
            <v>MB30LI1FPS6POR</v>
          </cell>
          <cell r="BA14861">
            <v>404.99</v>
          </cell>
        </row>
        <row r="14862">
          <cell r="C14862" t="str">
            <v>6501 - EXTERIOR DOOR UNITS (BOMS)</v>
          </cell>
          <cell r="D14862" t="str">
            <v>APP44SNRRBB</v>
          </cell>
          <cell r="BA14862">
            <v>5.99</v>
          </cell>
        </row>
        <row r="14863">
          <cell r="C14863" t="str">
            <v>6501 - EXTERIOR DOOR UNITS (BOMS)</v>
          </cell>
          <cell r="D14863" t="str">
            <v>APP44SNRRBB8</v>
          </cell>
          <cell r="BA14863">
            <v>7.99</v>
          </cell>
        </row>
        <row r="14864">
          <cell r="C14864" t="str">
            <v>6501 - EXTERIOR DOOR UNITS (BOMS)</v>
          </cell>
          <cell r="D14864" t="str">
            <v>APP44BLKRROS</v>
          </cell>
          <cell r="BA14864">
            <v>3.79</v>
          </cell>
        </row>
        <row r="14865">
          <cell r="C14865" t="str">
            <v>6501 - EXTERIOR DOOR UNITS (BOMS)</v>
          </cell>
          <cell r="D14865" t="str">
            <v>APP44BLKRROS8</v>
          </cell>
          <cell r="BA14865">
            <v>4.99</v>
          </cell>
        </row>
        <row r="14866">
          <cell r="C14866" t="str">
            <v>6501 - EXTERIOR DOOR UNITS (BOMS)</v>
          </cell>
          <cell r="D14866" t="str">
            <v>EFB28RID74PSN</v>
          </cell>
          <cell r="BA14866">
            <v>241.99</v>
          </cell>
        </row>
        <row r="14867">
          <cell r="C14867" t="str">
            <v>6501 - EXTERIOR DOOR UNITS (BOMS)</v>
          </cell>
          <cell r="D14867" t="str">
            <v>EFB28LID74PSN</v>
          </cell>
          <cell r="BA14867">
            <v>241.99</v>
          </cell>
        </row>
        <row r="14868">
          <cell r="C14868" t="str">
            <v>6501 - EXTERIOR DOOR UNITS (BOMS)</v>
          </cell>
          <cell r="D14868" t="str">
            <v>EFB28ROD74PSN</v>
          </cell>
          <cell r="BA14868">
            <v>232.99</v>
          </cell>
        </row>
        <row r="14869">
          <cell r="C14869" t="str">
            <v>6501 - EXTERIOR DOOR UNITS (BOMS)</v>
          </cell>
          <cell r="D14869" t="str">
            <v>EFB28LOD74PSN</v>
          </cell>
          <cell r="BA14869">
            <v>232.99</v>
          </cell>
        </row>
        <row r="14870">
          <cell r="C14870" t="str">
            <v>6501 - EXTERIOR DOOR UNITS (BOMS)</v>
          </cell>
          <cell r="D14870" t="str">
            <v>EFB288RID74PSN</v>
          </cell>
          <cell r="BA14870">
            <v>291.99</v>
          </cell>
        </row>
        <row r="14871">
          <cell r="C14871" t="str">
            <v>6501 - EXTERIOR DOOR UNITS (BOMS)</v>
          </cell>
          <cell r="D14871" t="str">
            <v>EFB288LID74PSN</v>
          </cell>
          <cell r="BA14871">
            <v>291.99</v>
          </cell>
        </row>
        <row r="14872">
          <cell r="C14872" t="str">
            <v>6501 - EXTERIOR DOOR UNITS (BOMS)</v>
          </cell>
          <cell r="D14872" t="str">
            <v>EFB288LOD74PSN</v>
          </cell>
          <cell r="BA14872">
            <v>282.99</v>
          </cell>
        </row>
        <row r="14873">
          <cell r="C14873" t="str">
            <v>6501 - EXTERIOR DOOR UNITS (BOMS)</v>
          </cell>
          <cell r="D14873" t="str">
            <v>EFB30RID74PSN</v>
          </cell>
          <cell r="BA14873">
            <v>244.99</v>
          </cell>
        </row>
        <row r="14874">
          <cell r="C14874" t="str">
            <v>6501 - EXTERIOR DOOR UNITS (BOMS)</v>
          </cell>
          <cell r="D14874" t="str">
            <v>EFB30LID74PSN</v>
          </cell>
          <cell r="BA14874">
            <v>244.99</v>
          </cell>
        </row>
        <row r="14875">
          <cell r="C14875" t="str">
            <v>6501 - EXTERIOR DOOR UNITS (BOMS)</v>
          </cell>
          <cell r="D14875" t="str">
            <v>EFB30ROD74PSN</v>
          </cell>
          <cell r="BA14875">
            <v>235.99</v>
          </cell>
        </row>
        <row r="14876">
          <cell r="C14876" t="str">
            <v>6501 - EXTERIOR DOOR UNITS (BOMS)</v>
          </cell>
          <cell r="D14876" t="str">
            <v>EFB30LOD74PSN</v>
          </cell>
          <cell r="BA14876">
            <v>235.99</v>
          </cell>
        </row>
        <row r="14877">
          <cell r="C14877" t="str">
            <v>6501 - EXTERIOR DOOR UNITS (BOMS)</v>
          </cell>
          <cell r="D14877" t="str">
            <v>EFB308RID74PSN</v>
          </cell>
          <cell r="BA14877">
            <v>293.99</v>
          </cell>
        </row>
        <row r="14878">
          <cell r="C14878" t="str">
            <v>6501 - EXTERIOR DOOR UNITS (BOMS)</v>
          </cell>
          <cell r="D14878" t="str">
            <v>EFB308LID74PSN</v>
          </cell>
          <cell r="BA14878">
            <v>293.99</v>
          </cell>
        </row>
        <row r="14879">
          <cell r="C14879" t="str">
            <v>6501 - EXTERIOR DOOR UNITS (BOMS)</v>
          </cell>
          <cell r="D14879" t="str">
            <v>EFB308ROD74PSN</v>
          </cell>
          <cell r="BA14879">
            <v>285.99</v>
          </cell>
        </row>
        <row r="14880">
          <cell r="C14880" t="str">
            <v>6501 - EXTERIOR DOOR UNITS (BOMS)</v>
          </cell>
          <cell r="D14880" t="str">
            <v>EFB308LOD74PSN</v>
          </cell>
          <cell r="BA14880">
            <v>285.99</v>
          </cell>
        </row>
        <row r="14881">
          <cell r="C14881" t="str">
            <v>6501 - EXTERIOR DOOR UNITS (BOMS)</v>
          </cell>
          <cell r="D14881" t="str">
            <v>EFB368LID74PSN</v>
          </cell>
          <cell r="BA14881">
            <v>352.99</v>
          </cell>
        </row>
        <row r="14882">
          <cell r="C14882" t="str">
            <v>6501 - EXTERIOR DOOR UNITS (BOMS)</v>
          </cell>
          <cell r="D14882" t="str">
            <v>EFB60RID74PSN</v>
          </cell>
          <cell r="BA14882">
            <v>614.99</v>
          </cell>
        </row>
        <row r="14883">
          <cell r="C14883" t="str">
            <v>6501 - EXTERIOR DOOR UNITS (BOMS)</v>
          </cell>
          <cell r="D14883" t="str">
            <v>EFB60LID74PSN</v>
          </cell>
          <cell r="BA14883">
            <v>624.99</v>
          </cell>
        </row>
        <row r="14884">
          <cell r="C14884" t="str">
            <v>6501 - EXTERIOR DOOR UNITS (BOMS)</v>
          </cell>
          <cell r="D14884" t="str">
            <v>EFB60LOD74PSN</v>
          </cell>
          <cell r="BA14884">
            <v>654.99</v>
          </cell>
        </row>
        <row r="14885">
          <cell r="C14885" t="str">
            <v>6501 - EXTERIOR DOOR UNITS (BOMS)</v>
          </cell>
          <cell r="D14885" t="str">
            <v>EFB608LID74PSN</v>
          </cell>
          <cell r="BA14885">
            <v>714.99</v>
          </cell>
        </row>
        <row r="14886">
          <cell r="C14886" t="str">
            <v>6501 - EXTERIOR DOOR UNITS (BOMS)</v>
          </cell>
          <cell r="D14886" t="str">
            <v>EFB608LOD74PSN</v>
          </cell>
          <cell r="BA14886">
            <v>784.99</v>
          </cell>
        </row>
        <row r="14887">
          <cell r="C14887" t="str">
            <v>6501 - EXTERIOR DOOR UNITS (BOMS)</v>
          </cell>
          <cell r="D14887" t="str">
            <v>EFB28RID74POR</v>
          </cell>
          <cell r="BA14887">
            <v>240.99</v>
          </cell>
        </row>
        <row r="14888">
          <cell r="C14888" t="str">
            <v>6501 - EXTERIOR DOOR UNITS (BOMS)</v>
          </cell>
          <cell r="D14888" t="str">
            <v>EFB28LID74POR</v>
          </cell>
          <cell r="BA14888">
            <v>240.99</v>
          </cell>
        </row>
        <row r="14889">
          <cell r="C14889" t="str">
            <v>6501 - EXTERIOR DOOR UNITS (BOMS)</v>
          </cell>
          <cell r="D14889" t="str">
            <v>EFB28ROD74POR</v>
          </cell>
          <cell r="BA14889">
            <v>231.99</v>
          </cell>
        </row>
        <row r="14890">
          <cell r="C14890" t="str">
            <v>6501 - EXTERIOR DOOR UNITS (BOMS)</v>
          </cell>
          <cell r="D14890" t="str">
            <v>EFB28LOD74POR</v>
          </cell>
          <cell r="BA14890">
            <v>231.99</v>
          </cell>
        </row>
        <row r="14891">
          <cell r="C14891" t="str">
            <v>6501 - EXTERIOR DOOR UNITS (BOMS)</v>
          </cell>
          <cell r="D14891" t="str">
            <v>EFB288RID74POR</v>
          </cell>
          <cell r="BA14891">
            <v>290.99</v>
          </cell>
        </row>
        <row r="14892">
          <cell r="C14892" t="str">
            <v>6501 - EXTERIOR DOOR UNITS (BOMS)</v>
          </cell>
          <cell r="D14892" t="str">
            <v>EFB288LID74POR</v>
          </cell>
          <cell r="BA14892">
            <v>290.99</v>
          </cell>
        </row>
        <row r="14893">
          <cell r="C14893" t="str">
            <v>6501 - EXTERIOR DOOR UNITS (BOMS)</v>
          </cell>
          <cell r="D14893" t="str">
            <v>EFB288ROD74POR</v>
          </cell>
          <cell r="BA14893">
            <v>280.99</v>
          </cell>
        </row>
        <row r="14894">
          <cell r="C14894" t="str">
            <v>6501 - EXTERIOR DOOR UNITS (BOMS)</v>
          </cell>
          <cell r="D14894" t="str">
            <v>EFB30RID74POR</v>
          </cell>
          <cell r="BA14894">
            <v>243.99</v>
          </cell>
        </row>
        <row r="14895">
          <cell r="C14895" t="str">
            <v>6501 - EXTERIOR DOOR UNITS (BOMS)</v>
          </cell>
          <cell r="D14895" t="str">
            <v>EFB30LID74POR</v>
          </cell>
          <cell r="BA14895">
            <v>243.99</v>
          </cell>
        </row>
        <row r="14896">
          <cell r="C14896" t="str">
            <v>6501 - EXTERIOR DOOR UNITS (BOMS)</v>
          </cell>
          <cell r="D14896" t="str">
            <v>EFB30ROD74POR</v>
          </cell>
          <cell r="BA14896">
            <v>234.99</v>
          </cell>
        </row>
        <row r="14897">
          <cell r="C14897" t="str">
            <v>6501 - EXTERIOR DOOR UNITS (BOMS)</v>
          </cell>
          <cell r="D14897" t="str">
            <v>EFB30LOD74POR</v>
          </cell>
          <cell r="BA14897">
            <v>234.99</v>
          </cell>
        </row>
        <row r="14898">
          <cell r="C14898" t="str">
            <v>6501 - EXTERIOR DOOR UNITS (BOMS)</v>
          </cell>
          <cell r="D14898" t="str">
            <v>EFB308RID74POR</v>
          </cell>
          <cell r="BA14898">
            <v>293.99</v>
          </cell>
        </row>
        <row r="14899">
          <cell r="C14899" t="str">
            <v>6501 - EXTERIOR DOOR UNITS (BOMS)</v>
          </cell>
          <cell r="D14899" t="str">
            <v>EFB308LID74POR</v>
          </cell>
          <cell r="BA14899">
            <v>293.99</v>
          </cell>
        </row>
        <row r="14900">
          <cell r="C14900" t="str">
            <v>6501 - EXTERIOR DOOR UNITS (BOMS)</v>
          </cell>
          <cell r="D14900" t="str">
            <v>EFB308ROD74POR</v>
          </cell>
          <cell r="BA14900">
            <v>283.99</v>
          </cell>
        </row>
        <row r="14901">
          <cell r="C14901" t="str">
            <v>6501 - EXTERIOR DOOR UNITS (BOMS)</v>
          </cell>
          <cell r="D14901" t="str">
            <v>EFB308LOD74POR</v>
          </cell>
          <cell r="BA14901">
            <v>283.99</v>
          </cell>
        </row>
        <row r="14902">
          <cell r="C14902" t="str">
            <v>6501 - EXTERIOR DOOR UNITS (BOMS)</v>
          </cell>
          <cell r="D14902" t="str">
            <v>EFB368RID74POR</v>
          </cell>
          <cell r="BA14902">
            <v>351.99</v>
          </cell>
        </row>
        <row r="14903">
          <cell r="C14903" t="str">
            <v>6501 - EXTERIOR DOOR UNITS (BOMS)</v>
          </cell>
          <cell r="D14903" t="str">
            <v>EFB368LID74POR</v>
          </cell>
          <cell r="BA14903">
            <v>351.99</v>
          </cell>
        </row>
        <row r="14904">
          <cell r="C14904" t="str">
            <v>6501 - EXTERIOR DOOR UNITS (BOMS)</v>
          </cell>
          <cell r="D14904" t="str">
            <v>EFB60LID74POR</v>
          </cell>
          <cell r="BA14904">
            <v>624.99</v>
          </cell>
        </row>
        <row r="14905">
          <cell r="C14905" t="str">
            <v>6501 - EXTERIOR DOOR UNITS (BOMS)</v>
          </cell>
          <cell r="D14905" t="str">
            <v>EFB60ROD74POR</v>
          </cell>
          <cell r="BA14905">
            <v>654.99</v>
          </cell>
        </row>
        <row r="14906">
          <cell r="C14906" t="str">
            <v>6501 - EXTERIOR DOOR UNITS (BOMS)</v>
          </cell>
          <cell r="D14906" t="str">
            <v>EFB60LOD74POR</v>
          </cell>
          <cell r="BA14906">
            <v>654.99</v>
          </cell>
        </row>
        <row r="14907">
          <cell r="C14907" t="str">
            <v>6501 - EXTERIOR DOOR UNITS (BOMS)</v>
          </cell>
          <cell r="D14907" t="str">
            <v>EFB608ROD74POR</v>
          </cell>
          <cell r="BA14907">
            <v>784.99</v>
          </cell>
        </row>
        <row r="14908">
          <cell r="C14908" t="str">
            <v>6501 - EXTERIOR DOOR UNITS (BOMS)</v>
          </cell>
          <cell r="D14908" t="str">
            <v>EFB608LOD74POR</v>
          </cell>
          <cell r="BA14908">
            <v>784.99</v>
          </cell>
        </row>
        <row r="14909">
          <cell r="C14909" t="str">
            <v>6501 - EXTERIOR DOOR UNITS (BOMS)</v>
          </cell>
          <cell r="D14909" t="str">
            <v>APPPEEP20015</v>
          </cell>
          <cell r="BA14909">
            <v>19.09</v>
          </cell>
        </row>
        <row r="14910">
          <cell r="C14910" t="str">
            <v>6501 - EXTERIOR DOOR UNITS (BOMS)</v>
          </cell>
          <cell r="D14910" t="str">
            <v>APPSATNICKELBB8</v>
          </cell>
          <cell r="BA14910">
            <v>6.59</v>
          </cell>
        </row>
        <row r="14911">
          <cell r="C14911" t="str">
            <v>6501 - EXTERIOR DOOR UNITS (BOMS)</v>
          </cell>
          <cell r="D14911" t="str">
            <v>APPORBBB8</v>
          </cell>
          <cell r="BA14911">
            <v>4.79</v>
          </cell>
        </row>
        <row r="14912">
          <cell r="C14912" t="str">
            <v>6501 - EXTERIOR DOOR UNITS (BOMS)</v>
          </cell>
          <cell r="D14912" t="str">
            <v>HIN</v>
          </cell>
          <cell r="BA14912">
            <v>225.99</v>
          </cell>
        </row>
        <row r="14913">
          <cell r="C14913" t="str">
            <v>6501 - EXTERIOR DOOR UNITS (BOMS)</v>
          </cell>
          <cell r="D14913" t="str">
            <v>REKEYCONST</v>
          </cell>
          <cell r="BA14913">
            <v>23.79</v>
          </cell>
        </row>
        <row r="14914">
          <cell r="C14914" t="str">
            <v>6501 - EXTERIOR DOOR UNITS (BOMS)</v>
          </cell>
          <cell r="D14914" t="str">
            <v>TEARDOWNEXT</v>
          </cell>
          <cell r="BA14914">
            <v>38.39</v>
          </cell>
        </row>
        <row r="14915">
          <cell r="C14915" t="str">
            <v>6501 - EXTERIOR DOOR UNITS (BOMS)</v>
          </cell>
          <cell r="D14915" t="str">
            <v>TEARDOWNCUSTOM</v>
          </cell>
          <cell r="BA14915">
            <v>56.49</v>
          </cell>
        </row>
        <row r="14916">
          <cell r="C14916" t="str">
            <v>6501 - EXTERIOR DOOR UNITS (BOMS)</v>
          </cell>
          <cell r="D14916" t="str">
            <v>IPD</v>
          </cell>
          <cell r="BA14916">
            <v>135.99</v>
          </cell>
        </row>
        <row r="14917">
          <cell r="C14917" t="str">
            <v>6501 - EXTERIOR DOOR UNITS (BOMS)</v>
          </cell>
          <cell r="D14917" t="str">
            <v>CII</v>
          </cell>
          <cell r="BA14917">
            <v>45.19</v>
          </cell>
        </row>
        <row r="14918">
          <cell r="C14918" t="str">
            <v>6501 - EXTERIOR DOOR UNITS (BOMS)</v>
          </cell>
          <cell r="D14918" t="str">
            <v>WAR</v>
          </cell>
          <cell r="BA14918">
            <v>225.99</v>
          </cell>
        </row>
        <row r="14919">
          <cell r="C14919" t="str">
            <v>6501 - EXTERIOR DOOR UNITS (BOMS)</v>
          </cell>
          <cell r="D14919" t="str">
            <v>TTPO</v>
          </cell>
          <cell r="BA14919">
            <v>22.59</v>
          </cell>
        </row>
        <row r="14920">
          <cell r="C14920" t="str">
            <v>6501 - EXTERIOR DOOR UNITS (BOMS)</v>
          </cell>
          <cell r="D14920" t="str">
            <v>TSPO</v>
          </cell>
          <cell r="BA14920">
            <v>22.59</v>
          </cell>
        </row>
        <row r="14921">
          <cell r="C14921" t="str">
            <v>6501 - EXTERIOR DOOR UNITS (BOMS)</v>
          </cell>
          <cell r="D14921" t="str">
            <v>TIPO</v>
          </cell>
          <cell r="BA14921">
            <v>45.19</v>
          </cell>
        </row>
        <row r="14922">
          <cell r="C14922" t="str">
            <v>6501 - EXTERIOR DOOR UNITS (BOMS)</v>
          </cell>
          <cell r="D14922" t="str">
            <v>ADS</v>
          </cell>
          <cell r="BA14922">
            <v>33.89</v>
          </cell>
        </row>
        <row r="14923">
          <cell r="C14923" t="str">
            <v>6501 - EXTERIOR DOOR UNITS (BOMS)</v>
          </cell>
          <cell r="D14923" t="str">
            <v>BDDL</v>
          </cell>
          <cell r="BA14923">
            <v>338.99</v>
          </cell>
        </row>
        <row r="14924">
          <cell r="C14924" t="str">
            <v>6501 - EXTERIOR DOOR UNITS (BOMS)</v>
          </cell>
          <cell r="D14924" t="str">
            <v>AFL</v>
          </cell>
          <cell r="BA14924">
            <v>11.89</v>
          </cell>
        </row>
        <row r="14925">
          <cell r="C14925" t="str">
            <v>6501 - EXTERIOR DOOR UNITS (BOMS)</v>
          </cell>
          <cell r="D14925" t="str">
            <v>REWORKEXT</v>
          </cell>
          <cell r="BA14925">
            <v>225.99</v>
          </cell>
        </row>
        <row r="14926">
          <cell r="C14926" t="str">
            <v>6501 - EXTERIOR DOOR UNITS (BOMS)</v>
          </cell>
          <cell r="D14926" t="str">
            <v>EFB28RID6CSN</v>
          </cell>
          <cell r="BA14926">
            <v>344.99</v>
          </cell>
        </row>
        <row r="14927">
          <cell r="C14927" t="str">
            <v>6501 - EXTERIOR DOOR UNITS (BOMS)</v>
          </cell>
          <cell r="D14927" t="str">
            <v>EFB28LID6CSN</v>
          </cell>
          <cell r="BA14927">
            <v>344.99</v>
          </cell>
        </row>
        <row r="14928">
          <cell r="C14928" t="str">
            <v>6501 - EXTERIOR DOOR UNITS (BOMS)</v>
          </cell>
          <cell r="D14928" t="str">
            <v>EFB30RID6CSN</v>
          </cell>
          <cell r="BA14928">
            <v>347.99</v>
          </cell>
        </row>
        <row r="14929">
          <cell r="C14929" t="str">
            <v>6501 - EXTERIOR DOOR UNITS (BOMS)</v>
          </cell>
          <cell r="D14929" t="str">
            <v>EFB30LID6CSN</v>
          </cell>
          <cell r="BA14929">
            <v>347.99</v>
          </cell>
        </row>
        <row r="14930">
          <cell r="C14930" t="str">
            <v>6501 - EXTERIOR DOOR UNITS (BOMS)</v>
          </cell>
          <cell r="D14930" t="str">
            <v>EFB60RID6CSN</v>
          </cell>
          <cell r="BA14930">
            <v>729.99</v>
          </cell>
        </row>
        <row r="14931">
          <cell r="C14931" t="str">
            <v>6501 - EXTERIOR DOOR UNITS (BOMS)</v>
          </cell>
          <cell r="D14931" t="str">
            <v>EFB60LID6CSN</v>
          </cell>
          <cell r="BA14931">
            <v>779.99</v>
          </cell>
        </row>
        <row r="14932">
          <cell r="C14932" t="str">
            <v>6501 - EXTERIOR DOOR UNITS (BOMS)</v>
          </cell>
          <cell r="D14932" t="str">
            <v>APP44BBBBRR</v>
          </cell>
          <cell r="BA14932">
            <v>4.6900000000000004</v>
          </cell>
        </row>
        <row r="14933">
          <cell r="C14933" t="str">
            <v>6501 - EXTERIOR DOOR UNITS (BOMS)</v>
          </cell>
          <cell r="D14933" t="str">
            <v>APP44BBBBRR8</v>
          </cell>
          <cell r="BA14933">
            <v>6.19</v>
          </cell>
        </row>
        <row r="14934">
          <cell r="C14934" t="str">
            <v>6501 - EXTERIOR DOOR UNITS (BOMS)</v>
          </cell>
          <cell r="D14934" t="str">
            <v>APP44PCBBRR</v>
          </cell>
          <cell r="BA14934">
            <v>5.59</v>
          </cell>
        </row>
        <row r="14935">
          <cell r="C14935" t="str">
            <v>6501 - EXTERIOR DOOR UNITS (BOMS)</v>
          </cell>
          <cell r="D14935" t="str">
            <v>APP44PCBBRR8</v>
          </cell>
          <cell r="BA14935">
            <v>7.39</v>
          </cell>
        </row>
        <row r="14936">
          <cell r="C14936" t="str">
            <v>6501 - EXTERIOR DOOR UNITS (BOMS)</v>
          </cell>
          <cell r="D14936" t="str">
            <v>APPH44BLKRRBB</v>
          </cell>
          <cell r="BA14936">
            <v>3.69</v>
          </cell>
        </row>
        <row r="14937">
          <cell r="C14937" t="str">
            <v>6501 - EXTERIOR DOOR UNITS (BOMS)</v>
          </cell>
          <cell r="D14937" t="str">
            <v>APPH44BLKRRBB8</v>
          </cell>
          <cell r="BA14937">
            <v>4.8899999999999997</v>
          </cell>
        </row>
        <row r="14938">
          <cell r="C14938" t="str">
            <v>6501 - EXTERIOR DOOR UNITS (BOMS)</v>
          </cell>
          <cell r="D14938" t="str">
            <v>MB30RI1FPS74PSN</v>
          </cell>
          <cell r="BA14938">
            <v>411.99</v>
          </cell>
        </row>
        <row r="14939">
          <cell r="C14939" t="str">
            <v>6501 - EXTERIOR DOOR UNITS (BOMS)</v>
          </cell>
          <cell r="D14939" t="str">
            <v>MB30LI1FPS74PSN</v>
          </cell>
          <cell r="BA14939">
            <v>411.99</v>
          </cell>
        </row>
        <row r="14940">
          <cell r="C14940" t="str">
            <v>6501 - EXTERIOR DOOR UNITS (BOMS)</v>
          </cell>
          <cell r="D14940" t="str">
            <v>MB28RI2PSS74PSN</v>
          </cell>
          <cell r="BA14940">
            <v>388.99</v>
          </cell>
        </row>
        <row r="14941">
          <cell r="C14941" t="str">
            <v>6501 - EXTERIOR DOOR UNITS (BOMS)</v>
          </cell>
          <cell r="D14941" t="str">
            <v>MB28LI5HPS74PSN</v>
          </cell>
          <cell r="BA14941">
            <v>390.99</v>
          </cell>
        </row>
        <row r="14942">
          <cell r="C14942" t="str">
            <v>6501 - EXTERIOR DOOR UNITS (BOMS)</v>
          </cell>
          <cell r="D14942" t="str">
            <v>MB28LI2PSLS74PSN</v>
          </cell>
          <cell r="BA14942">
            <v>389.99</v>
          </cell>
        </row>
        <row r="14943">
          <cell r="C14943" t="str">
            <v>6501 - EXTERIOR DOOR UNITS (BOMS)</v>
          </cell>
          <cell r="D14943" t="str">
            <v>MB28RI1FPS74POR</v>
          </cell>
          <cell r="BA14943">
            <v>394.99</v>
          </cell>
        </row>
        <row r="14944">
          <cell r="C14944" t="str">
            <v>6501 - EXTERIOR DOOR UNITS (BOMS)</v>
          </cell>
          <cell r="D14944" t="str">
            <v>MB30RI2PSS74POR</v>
          </cell>
          <cell r="BA14944">
            <v>389.99</v>
          </cell>
        </row>
        <row r="14945">
          <cell r="C14945" t="str">
            <v>6501 - EXTERIOR DOOR UNITS (BOMS)</v>
          </cell>
          <cell r="D14945" t="str">
            <v>MB28LI5HPS74POR</v>
          </cell>
          <cell r="BA14945">
            <v>389.99</v>
          </cell>
        </row>
        <row r="14946">
          <cell r="C14946" t="str">
            <v>6501 - EXTERIOR DOOR UNITS (BOMS)</v>
          </cell>
          <cell r="D14946" t="str">
            <v>MB28RI2PSLS6POR</v>
          </cell>
          <cell r="BA14946">
            <v>382.99</v>
          </cell>
        </row>
        <row r="14947">
          <cell r="C14947" t="str">
            <v>6501 - EXTERIOR DOOR UNITS (BOMS)</v>
          </cell>
          <cell r="D14947" t="str">
            <v>MB30RI2PSLS6POR</v>
          </cell>
          <cell r="BA14947">
            <v>398.99</v>
          </cell>
        </row>
        <row r="14948">
          <cell r="C14948" t="str">
            <v>6501 - EXTERIOR DOOR UNITS (BOMS)</v>
          </cell>
          <cell r="D14948" t="str">
            <v>MB28LI2PSLS74POR</v>
          </cell>
          <cell r="BA14948">
            <v>389.99</v>
          </cell>
        </row>
        <row r="14949">
          <cell r="C14949" t="str">
            <v>6501 - EXTERIOR DOOR UNITS (BOMS)</v>
          </cell>
          <cell r="D14949" t="str">
            <v>MB30RI2PSLS74POR</v>
          </cell>
          <cell r="BA14949">
            <v>405.99</v>
          </cell>
        </row>
        <row r="14950">
          <cell r="C14950" t="str">
            <v>6501 - EXTERIOR DOOR UNITS (BOMS)</v>
          </cell>
          <cell r="D14950" t="str">
            <v>MB28RI3PESS6PSN</v>
          </cell>
          <cell r="BA14950">
            <v>384.99</v>
          </cell>
        </row>
        <row r="14951">
          <cell r="C14951" t="str">
            <v>6501 - EXTERIOR DOOR UNITS (BOMS)</v>
          </cell>
          <cell r="D14951" t="str">
            <v>MB28LI3PESS6PSN</v>
          </cell>
          <cell r="BA14951">
            <v>384.99</v>
          </cell>
        </row>
        <row r="14952">
          <cell r="C14952" t="str">
            <v>6501 - EXTERIOR DOOR UNITS (BOMS)</v>
          </cell>
          <cell r="D14952" t="str">
            <v>MB28RI3PESS6POR</v>
          </cell>
          <cell r="BA14952">
            <v>384.99</v>
          </cell>
        </row>
        <row r="14953">
          <cell r="C14953" t="str">
            <v>6501 - EXTERIOR DOOR UNITS (BOMS)</v>
          </cell>
          <cell r="D14953" t="str">
            <v>MB28LI3PESS6POR</v>
          </cell>
          <cell r="BA14953">
            <v>384.99</v>
          </cell>
        </row>
        <row r="14954">
          <cell r="C14954" t="str">
            <v>6501 - EXTERIOR DOOR UNITS (BOMS)</v>
          </cell>
          <cell r="D14954" t="str">
            <v>EFB28RID6COR</v>
          </cell>
          <cell r="BA14954">
            <v>343.99</v>
          </cell>
        </row>
        <row r="14955">
          <cell r="C14955" t="str">
            <v>6501 - EXTERIOR DOOR UNITS (BOMS)</v>
          </cell>
          <cell r="D14955" t="str">
            <v>EFB28LID6COR</v>
          </cell>
          <cell r="BA14955">
            <v>343.99</v>
          </cell>
        </row>
        <row r="14956">
          <cell r="C14956" t="str">
            <v>6501 - EXTERIOR DOOR UNITS (BOMS)</v>
          </cell>
          <cell r="D14956" t="str">
            <v>EFB30RID6COR</v>
          </cell>
          <cell r="BA14956">
            <v>346.99</v>
          </cell>
        </row>
        <row r="14957">
          <cell r="C14957" t="str">
            <v>6501 - EXTERIOR DOOR UNITS (BOMS)</v>
          </cell>
          <cell r="D14957" t="str">
            <v>EFB30LID6COR</v>
          </cell>
          <cell r="BA14957">
            <v>346.99</v>
          </cell>
        </row>
        <row r="14958">
          <cell r="C14958" t="str">
            <v>6501 - EXTERIOR DOOR UNITS (BOMS)</v>
          </cell>
          <cell r="D14958" t="str">
            <v>EFB60RID6COR</v>
          </cell>
          <cell r="BA14958">
            <v>764.99</v>
          </cell>
        </row>
        <row r="14959">
          <cell r="C14959" t="str">
            <v>6501 - EXTERIOR DOOR UNITS (BOMS)</v>
          </cell>
          <cell r="D14959" t="str">
            <v>EFB60LID6COR</v>
          </cell>
          <cell r="BA14959">
            <v>779.99</v>
          </cell>
        </row>
        <row r="14960">
          <cell r="C14960" t="str">
            <v>6501 - EXTERIOR DOOR UNITS (BOMS)</v>
          </cell>
          <cell r="D14960" t="str">
            <v>EFB28ROD6COR</v>
          </cell>
          <cell r="BA14960">
            <v>333.99</v>
          </cell>
        </row>
        <row r="14961">
          <cell r="C14961" t="str">
            <v>6501 - EXTERIOR DOOR UNITS (BOMS)</v>
          </cell>
          <cell r="D14961" t="str">
            <v>EFB28LOD6COR</v>
          </cell>
          <cell r="BA14961">
            <v>333.99</v>
          </cell>
        </row>
        <row r="14962">
          <cell r="C14962" t="str">
            <v>6501 - EXTERIOR DOOR UNITS (BOMS)</v>
          </cell>
          <cell r="D14962" t="str">
            <v>EFB30ROD6COR</v>
          </cell>
          <cell r="BA14962">
            <v>336.99</v>
          </cell>
        </row>
        <row r="14963">
          <cell r="C14963" t="str">
            <v>6501 - EXTERIOR DOOR UNITS (BOMS)</v>
          </cell>
          <cell r="D14963" t="str">
            <v>EFB30LOD6COR</v>
          </cell>
          <cell r="BA14963">
            <v>336.99</v>
          </cell>
        </row>
        <row r="14964">
          <cell r="C14964" t="str">
            <v>6501 - EXTERIOR DOOR UNITS (BOMS)</v>
          </cell>
          <cell r="D14964" t="str">
            <v>EFB60ROD6COR</v>
          </cell>
          <cell r="BA14964">
            <v>849.99</v>
          </cell>
        </row>
        <row r="14965">
          <cell r="C14965" t="str">
            <v>6501 - EXTERIOR DOOR UNITS (BOMS)</v>
          </cell>
          <cell r="D14965" t="str">
            <v>EFB60LOD6COR</v>
          </cell>
          <cell r="BA14965">
            <v>844.99</v>
          </cell>
        </row>
        <row r="14966">
          <cell r="C14966" t="str">
            <v>6502 - EXTERIOR DR UNITS (PURCHASED)</v>
          </cell>
          <cell r="D14966" t="str">
            <v>TT28LS6PASSDB</v>
          </cell>
          <cell r="BA14966">
            <v>349.99</v>
          </cell>
        </row>
        <row r="14967">
          <cell r="C14967" t="str">
            <v>6502 - EXTERIOR DR UNITS (PURCHASED)</v>
          </cell>
          <cell r="D14967" t="str">
            <v>TT30RS100DB</v>
          </cell>
          <cell r="BA14967">
            <v>312.99</v>
          </cell>
        </row>
        <row r="14968">
          <cell r="C14968" t="str">
            <v>6502 - EXTERIOR DR UNITS (PURCHASED)</v>
          </cell>
          <cell r="D14968" t="str">
            <v>ST30R6PUK1DB6</v>
          </cell>
          <cell r="BA14968">
            <v>466.99</v>
          </cell>
        </row>
        <row r="14969">
          <cell r="C14969" t="str">
            <v>6502 - EXTERIOR DR UNITS (PURCHASED)</v>
          </cell>
          <cell r="D14969" t="str">
            <v>TT30RS6PSSDB</v>
          </cell>
          <cell r="BA14969">
            <v>357.99</v>
          </cell>
        </row>
        <row r="14970">
          <cell r="C14970" t="str">
            <v>6502 - EXTERIOR DR UNITS (PURCHASED)</v>
          </cell>
          <cell r="D14970" t="str">
            <v>TT30RS6PSSDB6</v>
          </cell>
          <cell r="BA14970">
            <v>343.99</v>
          </cell>
        </row>
        <row r="14971">
          <cell r="C14971" t="str">
            <v>6502 - EXTERIOR DR UNITS (PURCHASED)</v>
          </cell>
          <cell r="D14971" t="str">
            <v>TT30LS6PSSDB6</v>
          </cell>
          <cell r="BA14971">
            <v>343.99</v>
          </cell>
        </row>
        <row r="14972">
          <cell r="C14972" t="str">
            <v>6502 - EXTERIOR DR UNITS (PURCHASED)</v>
          </cell>
          <cell r="D14972" t="str">
            <v>TT3080S8120SSNB</v>
          </cell>
          <cell r="BA14972">
            <v>569.99</v>
          </cell>
        </row>
        <row r="14973">
          <cell r="C14973" t="str">
            <v>6502 - EXTERIOR DR UNITS (PURCHASED)</v>
          </cell>
          <cell r="D14973" t="str">
            <v>TT3080S84800SSNB</v>
          </cell>
          <cell r="BA14973">
            <v>554.99</v>
          </cell>
        </row>
        <row r="14974">
          <cell r="C14974" t="str">
            <v>6502 - EXTERIOR DR UNITS (PURCHASED)</v>
          </cell>
          <cell r="D14974" t="str">
            <v>TT30681LFGSENB</v>
          </cell>
          <cell r="BA14974">
            <v>719.99</v>
          </cell>
        </row>
        <row r="14975">
          <cell r="C14975" t="str">
            <v>6502 - EXTERIOR DR UNITS (PURCHASED)</v>
          </cell>
          <cell r="D14975" t="str">
            <v>TT30801LTRAIN</v>
          </cell>
          <cell r="BA14975">
            <v>979.99</v>
          </cell>
        </row>
        <row r="14976">
          <cell r="C14976" t="str">
            <v>6502 - EXTERIOR DR UNITS (PURCHASED)</v>
          </cell>
          <cell r="D14976" t="str">
            <v>TT3080RHS83XC4L</v>
          </cell>
          <cell r="BA14976">
            <v>969.99</v>
          </cell>
        </row>
        <row r="14977">
          <cell r="C14977" t="str">
            <v>6502 - EXTERIOR DR UNITS (PURCHASED)</v>
          </cell>
          <cell r="D14977" t="str">
            <v>TT3080LHS83XC4L</v>
          </cell>
          <cell r="BA14977">
            <v>969.99</v>
          </cell>
        </row>
        <row r="14978">
          <cell r="C14978" t="str">
            <v>6502 - EXTERIOR DR UNITS (PURCHASED)</v>
          </cell>
          <cell r="D14978" t="str">
            <v>TT3080RHS84810LE</v>
          </cell>
          <cell r="BA14978">
            <v>744.99</v>
          </cell>
        </row>
        <row r="14979">
          <cell r="C14979" t="str">
            <v>6502 - EXTERIOR DR UNITS (PURCHASED)</v>
          </cell>
          <cell r="D14979" t="str">
            <v>TT3080LHS84810LE</v>
          </cell>
          <cell r="BA14979">
            <v>744.99</v>
          </cell>
        </row>
        <row r="14980">
          <cell r="C14980" t="str">
            <v>6502 - EXTERIOR DR UNITS (PURCHASED)</v>
          </cell>
          <cell r="D14980" t="str">
            <v>OCZ30R6P6</v>
          </cell>
          <cell r="BA14980">
            <v>232.99</v>
          </cell>
        </row>
        <row r="14981">
          <cell r="C14981" t="str">
            <v>6502 - EXTERIOR DR UNITS (PURCHASED)</v>
          </cell>
          <cell r="D14981" t="str">
            <v>OCZ30L6P6</v>
          </cell>
          <cell r="BA14981">
            <v>227.99</v>
          </cell>
        </row>
        <row r="14982">
          <cell r="C14982" t="str">
            <v>6502 - EXTERIOR DR UNITS (PURCHASED)</v>
          </cell>
          <cell r="D14982" t="str">
            <v>OCZ30R6PDB6</v>
          </cell>
          <cell r="BA14982">
            <v>326.99</v>
          </cell>
        </row>
        <row r="14983">
          <cell r="C14983" t="str">
            <v>6502 - EXTERIOR DR UNITS (PURCHASED)</v>
          </cell>
          <cell r="D14983" t="str">
            <v>OCZ30L6PDB6</v>
          </cell>
          <cell r="BA14983">
            <v>326.99</v>
          </cell>
        </row>
        <row r="14984">
          <cell r="C14984" t="str">
            <v>6502 - EXTERIOR DR UNITS (PURCHASED)</v>
          </cell>
          <cell r="D14984" t="str">
            <v>OCZ30R6PDB</v>
          </cell>
          <cell r="BA14984">
            <v>209.99</v>
          </cell>
        </row>
        <row r="14985">
          <cell r="C14985" t="str">
            <v>6502 - EXTERIOR DR UNITS (PURCHASED)</v>
          </cell>
          <cell r="D14985" t="str">
            <v>OCZ30R6P</v>
          </cell>
          <cell r="BA14985">
            <v>201.99</v>
          </cell>
        </row>
        <row r="14986">
          <cell r="C14986" t="str">
            <v>6502 - EXTERIOR DR UNITS (PURCHASED)</v>
          </cell>
          <cell r="D14986" t="str">
            <v>O30R6PUK1DB</v>
          </cell>
          <cell r="BA14986">
            <v>430.99</v>
          </cell>
        </row>
        <row r="14987">
          <cell r="C14987" t="str">
            <v>6503 - EXTERIOR DOOR SHOP WORK</v>
          </cell>
          <cell r="D14987" t="str">
            <v>APPBMP</v>
          </cell>
          <cell r="BA14987">
            <v>25.69</v>
          </cell>
        </row>
        <row r="14988">
          <cell r="C14988" t="str">
            <v>6503 - EXTERIOR DOOR SHOP WORK</v>
          </cell>
          <cell r="D14988" t="str">
            <v>APPBMPD</v>
          </cell>
          <cell r="BA14988">
            <v>30.79</v>
          </cell>
        </row>
        <row r="14989">
          <cell r="C14989" t="str">
            <v>6503 - EXTERIOR DOOR SHOP WORK</v>
          </cell>
          <cell r="D14989" t="str">
            <v>APP44ORBRROS</v>
          </cell>
          <cell r="BA14989">
            <v>4.1900000000000004</v>
          </cell>
        </row>
        <row r="14990">
          <cell r="C14990" t="str">
            <v>6503 - EXTERIOR DOOR SHOP WORK</v>
          </cell>
          <cell r="D14990" t="str">
            <v>APP44ORBRROS8</v>
          </cell>
          <cell r="BA14990">
            <v>6.09</v>
          </cell>
        </row>
        <row r="14991">
          <cell r="C14991" t="str">
            <v>6503 - EXTERIOR DOOR SHOP WORK</v>
          </cell>
          <cell r="D14991" t="str">
            <v>APP44ORBRRSP8</v>
          </cell>
          <cell r="BA14991">
            <v>15.69</v>
          </cell>
        </row>
        <row r="14992">
          <cell r="C14992" t="str">
            <v>6503 - EXTERIOR DOOR SHOP WORK</v>
          </cell>
          <cell r="D14992" t="str">
            <v>APP44SNRRSP</v>
          </cell>
          <cell r="BA14992">
            <v>13.89</v>
          </cell>
        </row>
        <row r="14993">
          <cell r="C14993" t="str">
            <v>6503 - EXTERIOR DOOR SHOP WORK</v>
          </cell>
          <cell r="D14993" t="str">
            <v>APP44SNRRSP8</v>
          </cell>
          <cell r="BA14993">
            <v>15.89</v>
          </cell>
        </row>
        <row r="14994">
          <cell r="C14994" t="str">
            <v>6503 - EXTERIOR DOOR SHOP WORK</v>
          </cell>
          <cell r="D14994" t="str">
            <v>APP44ORBRRSP</v>
          </cell>
          <cell r="BA14994">
            <v>13.79</v>
          </cell>
        </row>
        <row r="14995">
          <cell r="C14995" t="str">
            <v>6503 - EXTERIOR DOOR SHOP WORK</v>
          </cell>
          <cell r="D14995" t="str">
            <v>APP44SSRRSP</v>
          </cell>
          <cell r="BA14995">
            <v>31.39</v>
          </cell>
        </row>
        <row r="14996">
          <cell r="C14996" t="str">
            <v>6503 - EXTERIOR DOOR SHOP WORK</v>
          </cell>
          <cell r="D14996" t="str">
            <v>APP44PCRRSP</v>
          </cell>
          <cell r="BA14996">
            <v>14.19</v>
          </cell>
        </row>
        <row r="14997">
          <cell r="C14997" t="str">
            <v>6503 - EXTERIOR DOOR SHOP WORK</v>
          </cell>
          <cell r="D14997" t="str">
            <v>APP44PCRRSP8</v>
          </cell>
          <cell r="BA14997">
            <v>15.99</v>
          </cell>
        </row>
        <row r="14998">
          <cell r="C14998" t="str">
            <v>6503 - EXTERIOR DOOR SHOP WORK</v>
          </cell>
          <cell r="D14998" t="str">
            <v>APP44SNRROS</v>
          </cell>
          <cell r="BA14998">
            <v>4.99</v>
          </cell>
        </row>
        <row r="14999">
          <cell r="C14999" t="str">
            <v>6503 - EXTERIOR DOOR SHOP WORK</v>
          </cell>
          <cell r="D14999" t="str">
            <v>APP44SNRROS8</v>
          </cell>
          <cell r="BA14999">
            <v>6.99</v>
          </cell>
        </row>
        <row r="15000">
          <cell r="C15000" t="str">
            <v>6503 - EXTERIOR DOOR SHOP WORK</v>
          </cell>
          <cell r="D15000" t="str">
            <v>218DB</v>
          </cell>
          <cell r="BA15000">
            <v>8.69</v>
          </cell>
        </row>
        <row r="15001">
          <cell r="C15001" t="str">
            <v>6503 - EXTERIOR DOOR SHOP WORK</v>
          </cell>
          <cell r="D15001" t="str">
            <v>APP44PCRRNRP</v>
          </cell>
          <cell r="BA15001">
            <v>5.19</v>
          </cell>
        </row>
        <row r="15002">
          <cell r="C15002" t="str">
            <v>6503 - EXTERIOR DOOR SHOP WORK</v>
          </cell>
          <cell r="D15002" t="str">
            <v>APP44PCRRNRP8</v>
          </cell>
          <cell r="BA15002">
            <v>6.99</v>
          </cell>
        </row>
        <row r="15003">
          <cell r="C15003" t="str">
            <v>6503 - EXTERIOR DOOR SHOP WORK</v>
          </cell>
          <cell r="D15003" t="str">
            <v>APPVIEWERORB</v>
          </cell>
          <cell r="BA15003">
            <v>15.99</v>
          </cell>
        </row>
        <row r="15004">
          <cell r="C15004" t="str">
            <v>6505 - FIBERGLASS SLABS</v>
          </cell>
          <cell r="D15004" t="str">
            <v>FS26FNB</v>
          </cell>
          <cell r="BA15004">
            <v>232.99</v>
          </cell>
        </row>
        <row r="15005">
          <cell r="C15005" t="str">
            <v>6505 - FIBERGLASS SLABS</v>
          </cell>
          <cell r="D15005" t="str">
            <v>FS28FNB</v>
          </cell>
          <cell r="BA15005">
            <v>226.99</v>
          </cell>
        </row>
        <row r="15006">
          <cell r="C15006" t="str">
            <v>6505 - FIBERGLASS SLABS</v>
          </cell>
          <cell r="D15006" t="str">
            <v>FS30FNB</v>
          </cell>
          <cell r="BA15006">
            <v>252.99</v>
          </cell>
        </row>
        <row r="15007">
          <cell r="C15007" t="str">
            <v>6505 - FIBERGLASS SLABS</v>
          </cell>
          <cell r="D15007" t="str">
            <v>FS282PNB</v>
          </cell>
          <cell r="BA15007">
            <v>235.99</v>
          </cell>
        </row>
        <row r="15008">
          <cell r="C15008" t="str">
            <v>6505 - FIBERGLASS SLABS</v>
          </cell>
          <cell r="D15008" t="str">
            <v>FS302PNB</v>
          </cell>
          <cell r="BA15008">
            <v>307.99</v>
          </cell>
        </row>
        <row r="15009">
          <cell r="C15009" t="str">
            <v>6505 - FIBERGLASS SLABS</v>
          </cell>
          <cell r="D15009" t="str">
            <v>FS303PCMNB</v>
          </cell>
          <cell r="BA15009">
            <v>509.99</v>
          </cell>
        </row>
        <row r="15010">
          <cell r="C15010" t="str">
            <v>6505 - FIBERGLASS SLABS</v>
          </cell>
          <cell r="D15010" t="str">
            <v>FS286PNB</v>
          </cell>
          <cell r="BA15010">
            <v>216.99</v>
          </cell>
        </row>
        <row r="15011">
          <cell r="C15011" t="str">
            <v>6505 - FIBERGLASS SLABS</v>
          </cell>
          <cell r="D15011" t="str">
            <v>FS306PNB</v>
          </cell>
          <cell r="BA15011">
            <v>233.99</v>
          </cell>
        </row>
        <row r="15012">
          <cell r="C15012" t="str">
            <v>6505 - FIBERGLASS SLABS</v>
          </cell>
          <cell r="D15012" t="str">
            <v>FS26FNB1LFGENP</v>
          </cell>
          <cell r="BA15012">
            <v>463.99</v>
          </cell>
        </row>
        <row r="15013">
          <cell r="C15013" t="str">
            <v>6505 - FIBERGLASS SLABS</v>
          </cell>
          <cell r="D15013" t="str">
            <v>FS28FNB1LFGENP</v>
          </cell>
          <cell r="BA15013">
            <v>436.99</v>
          </cell>
        </row>
        <row r="15014">
          <cell r="C15014" t="str">
            <v>6505 - FIBERGLASS SLABS</v>
          </cell>
          <cell r="D15014" t="str">
            <v>FS30FNB1LFGENP</v>
          </cell>
          <cell r="BA15014">
            <v>450.99</v>
          </cell>
        </row>
        <row r="15015">
          <cell r="C15015" t="str">
            <v>6505 - FIBERGLASS SLABS</v>
          </cell>
          <cell r="D15015" t="str">
            <v>FS2880R1LEFGTTNB</v>
          </cell>
          <cell r="BA15015">
            <v>879.99</v>
          </cell>
        </row>
        <row r="15016">
          <cell r="C15016" t="str">
            <v>6505 - FIBERGLASS SLABS</v>
          </cell>
          <cell r="D15016" t="str">
            <v>FS2880L1LEFGTTNB</v>
          </cell>
          <cell r="BA15016">
            <v>879.99</v>
          </cell>
        </row>
        <row r="15017">
          <cell r="C15017" t="str">
            <v>6505 - FIBERGLASS SLABS</v>
          </cell>
          <cell r="D15017" t="str">
            <v>FS3080R1LEFGTTNB</v>
          </cell>
          <cell r="BA15017">
            <v>844.99</v>
          </cell>
        </row>
        <row r="15018">
          <cell r="C15018" t="str">
            <v>6505 - FIBERGLASS SLABS</v>
          </cell>
          <cell r="D15018" t="str">
            <v>FS3080L1LEFGTTNB</v>
          </cell>
          <cell r="BA15018">
            <v>964.99</v>
          </cell>
        </row>
        <row r="15019">
          <cell r="C15019" t="str">
            <v>6505 - FIBERGLASS SLABS</v>
          </cell>
          <cell r="D15019" t="str">
            <v>FS302PSS4810</v>
          </cell>
          <cell r="BA15019">
            <v>544.99</v>
          </cell>
        </row>
        <row r="15020">
          <cell r="C15020" t="str">
            <v>6505 - FIBERGLASS SLABS</v>
          </cell>
          <cell r="D15020" t="str">
            <v>TT30S4810XE</v>
          </cell>
          <cell r="BA15020">
            <v>684.99</v>
          </cell>
        </row>
        <row r="15021">
          <cell r="C15021" t="str">
            <v>6505 - FIBERGLASS SLABS</v>
          </cell>
          <cell r="D15021" t="str">
            <v>FS3080S8200TTNB</v>
          </cell>
          <cell r="BA15021">
            <v>614.99</v>
          </cell>
        </row>
        <row r="15022">
          <cell r="C15022" t="str">
            <v>6505 - FIBERGLASS SLABS</v>
          </cell>
          <cell r="D15022" t="str">
            <v>FS30803PCTTNB</v>
          </cell>
          <cell r="BA15022">
            <v>579.99</v>
          </cell>
        </row>
        <row r="15023">
          <cell r="C15023" t="str">
            <v>6505 - FIBERGLASS SLABS</v>
          </cell>
          <cell r="D15023" t="str">
            <v>FS30TT3SDLBARONB</v>
          </cell>
          <cell r="BA15023">
            <v>934.99</v>
          </cell>
        </row>
        <row r="15024">
          <cell r="C15024" t="str">
            <v>6505 - FIBERGLASS SLABS</v>
          </cell>
          <cell r="D15024" t="str">
            <v>FS30TT4SDLBARONB</v>
          </cell>
          <cell r="BA15024">
            <v>989.99</v>
          </cell>
        </row>
        <row r="15025">
          <cell r="C15025" t="str">
            <v>6507 - WOOD SLABS</v>
          </cell>
          <cell r="D15025" t="str">
            <v>302PSKANG</v>
          </cell>
          <cell r="BA15025">
            <v>368.99</v>
          </cell>
        </row>
        <row r="15026">
          <cell r="C15026" t="str">
            <v>6507 - WOOD SLABS</v>
          </cell>
          <cell r="D15026" t="str">
            <v>26TEMP</v>
          </cell>
          <cell r="BA15026">
            <v>111.99</v>
          </cell>
        </row>
        <row r="15027">
          <cell r="C15027" t="str">
            <v>6507 - WOOD SLABS</v>
          </cell>
          <cell r="D15027" t="str">
            <v>28TEMP</v>
          </cell>
          <cell r="BA15027">
            <v>65.489999999999995</v>
          </cell>
        </row>
        <row r="15028">
          <cell r="C15028" t="str">
            <v>6507 - WOOD SLABS</v>
          </cell>
          <cell r="D15028" t="str">
            <v>30TEMP</v>
          </cell>
          <cell r="BA15028">
            <v>67.989999999999995</v>
          </cell>
        </row>
        <row r="15029">
          <cell r="C15029" t="str">
            <v>6507 - WOOD SLABS</v>
          </cell>
          <cell r="D15029" t="str">
            <v>2680TEMP</v>
          </cell>
          <cell r="BA15029">
            <v>92.49</v>
          </cell>
        </row>
        <row r="15030">
          <cell r="C15030" t="str">
            <v>6507 - WOOD SLABS</v>
          </cell>
          <cell r="D15030" t="str">
            <v>2880TEMP</v>
          </cell>
          <cell r="BA15030">
            <v>99.99</v>
          </cell>
        </row>
        <row r="15031">
          <cell r="C15031" t="str">
            <v>6507 - WOOD SLABS</v>
          </cell>
          <cell r="D15031" t="str">
            <v>21080TEMP</v>
          </cell>
          <cell r="BA15031">
            <v>122.99</v>
          </cell>
        </row>
        <row r="15032">
          <cell r="C15032" t="str">
            <v>6507 - WOOD SLABS</v>
          </cell>
          <cell r="D15032" t="str">
            <v>3080TEMP</v>
          </cell>
          <cell r="BA15032">
            <v>104.99</v>
          </cell>
        </row>
        <row r="15033">
          <cell r="C15033" t="str">
            <v>6507 - WOOD SLABS</v>
          </cell>
          <cell r="D15033" t="str">
            <v>3680TEMP</v>
          </cell>
          <cell r="BA15033">
            <v>171.99</v>
          </cell>
        </row>
        <row r="15034">
          <cell r="C15034" t="str">
            <v>6508 - DOOR LITES/INSERTS</v>
          </cell>
          <cell r="D15034" t="str">
            <v>22064LX</v>
          </cell>
          <cell r="BA15034">
            <v>44.69</v>
          </cell>
        </row>
        <row r="15035">
          <cell r="C15035" t="str">
            <v>6508 - DOOR LITES/INSERTS</v>
          </cell>
          <cell r="D15035" t="str">
            <v>A2264MBRL</v>
          </cell>
          <cell r="BA15035">
            <v>302.99</v>
          </cell>
        </row>
        <row r="15036">
          <cell r="C15036" t="str">
            <v>6508 - DOOR LITES/INSERTS</v>
          </cell>
          <cell r="D15036" t="str">
            <v>TT21151LTSE</v>
          </cell>
          <cell r="BA15036">
            <v>168.99</v>
          </cell>
        </row>
        <row r="15037">
          <cell r="C15037" t="str">
            <v>6508 - DOOR LITES/INSERTS</v>
          </cell>
          <cell r="D15037" t="str">
            <v>TT21151LTFRAME</v>
          </cell>
          <cell r="BA15037">
            <v>11.49</v>
          </cell>
        </row>
        <row r="15038">
          <cell r="C15038" t="str">
            <v>6508 - DOOR LITES/INSERTS</v>
          </cell>
          <cell r="D15038" t="str">
            <v>TT764FFRAMEADV</v>
          </cell>
          <cell r="BA15038">
            <v>18.59</v>
          </cell>
        </row>
        <row r="15039">
          <cell r="C15039" t="str">
            <v>6508 - DOOR LITES/INSERTS</v>
          </cell>
          <cell r="D15039" t="str">
            <v>TT0764SATETHGLSS</v>
          </cell>
          <cell r="BA15039">
            <v>195.99</v>
          </cell>
        </row>
        <row r="15040">
          <cell r="C15040" t="str">
            <v>6508 - DOOR LITES/INSERTS</v>
          </cell>
          <cell r="D15040" t="str">
            <v>TT21151LE</v>
          </cell>
          <cell r="BA15040">
            <v>140.99</v>
          </cell>
        </row>
        <row r="15041">
          <cell r="C15041" t="str">
            <v>6508 - DOOR LITES/INSERTS</v>
          </cell>
          <cell r="D15041" t="str">
            <v>TTSDL2316W</v>
          </cell>
          <cell r="BA15041">
            <v>38.69</v>
          </cell>
        </row>
        <row r="15042">
          <cell r="C15042" t="str">
            <v>6508 - DOOR LITES/INSERTS</v>
          </cell>
          <cell r="D15042" t="str">
            <v>TT31225SDLSMWBAR</v>
          </cell>
          <cell r="BA15042">
            <v>38.090000000000003</v>
          </cell>
        </row>
        <row r="15043">
          <cell r="C15043" t="str">
            <v>6508 - DOOR LITES/INSERTS</v>
          </cell>
          <cell r="D15043" t="str">
            <v>TTSDL23166L</v>
          </cell>
          <cell r="BA15043">
            <v>213.99</v>
          </cell>
        </row>
        <row r="15044">
          <cell r="C15044" t="str">
            <v>6508 - DOOR LITES/INSERTS</v>
          </cell>
          <cell r="D15044" t="str">
            <v>23164LSDLKIT</v>
          </cell>
          <cell r="BA15044">
            <v>124.99</v>
          </cell>
        </row>
        <row r="15045">
          <cell r="C15045" t="str">
            <v>6508 - DOOR LITES/INSERTS</v>
          </cell>
          <cell r="D15045" t="str">
            <v>TTSDL2115BAR</v>
          </cell>
          <cell r="BA15045">
            <v>33.99</v>
          </cell>
        </row>
        <row r="15046">
          <cell r="C15046" t="str">
            <v>6511 - EXTERIOR DOOR PARTS/ACCESS.</v>
          </cell>
          <cell r="D15046" t="str">
            <v>LABOREDR</v>
          </cell>
          <cell r="BA15046">
            <v>4.6900000000000004</v>
          </cell>
        </row>
        <row r="15047">
          <cell r="C15047" t="str">
            <v>6511 - EXTERIOR DOOR PARTS/ACCESS.</v>
          </cell>
          <cell r="D15047" t="str">
            <v>PDTSS12</v>
          </cell>
          <cell r="BA15047">
            <v>3.09</v>
          </cell>
        </row>
        <row r="15048">
          <cell r="C15048" t="str">
            <v>6511 - EXTERIOR DOOR PARTS/ACCESS.</v>
          </cell>
          <cell r="D15048" t="str">
            <v>SW40</v>
          </cell>
          <cell r="BA15048">
            <v>4.59</v>
          </cell>
        </row>
        <row r="15049">
          <cell r="C15049" t="str">
            <v>6511 - EXTERIOR DOOR PARTS/ACCESS.</v>
          </cell>
          <cell r="D15049" t="str">
            <v>SW30</v>
          </cell>
          <cell r="BA15049">
            <v>3.09</v>
          </cell>
        </row>
        <row r="15050">
          <cell r="C15050" t="str">
            <v>6511 - EXTERIOR DOOR PARTS/ACCESS.</v>
          </cell>
          <cell r="D15050" t="str">
            <v>SB28B-7</v>
          </cell>
          <cell r="BA15050">
            <v>44.19</v>
          </cell>
        </row>
        <row r="15051">
          <cell r="C15051" t="str">
            <v>6511 - EXTERIOR DOOR PARTS/ACCESS.</v>
          </cell>
          <cell r="D15051" t="str">
            <v>SB30B-7</v>
          </cell>
          <cell r="BA15051">
            <v>44.49</v>
          </cell>
        </row>
        <row r="15052">
          <cell r="C15052" t="str">
            <v>6511 - EXTERIOR DOOR PARTS/ACCESS.</v>
          </cell>
          <cell r="D15052" t="str">
            <v>SB60B-7</v>
          </cell>
          <cell r="BA15052">
            <v>105.99</v>
          </cell>
        </row>
        <row r="15053">
          <cell r="C15053" t="str">
            <v>6511 - EXTERIOR DOOR PARTS/ACCESS.</v>
          </cell>
          <cell r="D15053" t="str">
            <v>CPSS</v>
          </cell>
          <cell r="BA15053">
            <v>0.74</v>
          </cell>
        </row>
        <row r="15054">
          <cell r="C15054" t="str">
            <v>6511 - EXTERIOR DOOR PARTS/ACCESS.</v>
          </cell>
          <cell r="D15054" t="str">
            <v>MD91868</v>
          </cell>
          <cell r="BA15054">
            <v>6.49</v>
          </cell>
        </row>
        <row r="15055">
          <cell r="C15055" t="str">
            <v>6511 - EXTERIOR DOOR PARTS/ACCESS.</v>
          </cell>
          <cell r="D15055" t="str">
            <v>MD87767</v>
          </cell>
          <cell r="BA15055">
            <v>6.99</v>
          </cell>
        </row>
        <row r="15056">
          <cell r="C15056" t="str">
            <v>6511 - EXTERIOR DOOR PARTS/ACCESS.</v>
          </cell>
          <cell r="D15056" t="str">
            <v>WS81</v>
          </cell>
          <cell r="BA15056">
            <v>4.09</v>
          </cell>
        </row>
        <row r="15057">
          <cell r="C15057" t="str">
            <v>6511 - EXTERIOR DOOR PARTS/ACCESS.</v>
          </cell>
          <cell r="D15057" t="str">
            <v>WS97LRB</v>
          </cell>
          <cell r="BA15057">
            <v>3.99</v>
          </cell>
        </row>
        <row r="15058">
          <cell r="C15058" t="str">
            <v>6511 - EXTERIOR DOOR PARTS/ACCESS.</v>
          </cell>
          <cell r="D15058" t="str">
            <v>WS97B</v>
          </cell>
          <cell r="BA15058">
            <v>3.69</v>
          </cell>
        </row>
        <row r="15059">
          <cell r="C15059" t="str">
            <v>6511 - EXTERIOR DOOR PARTS/ACCESS.</v>
          </cell>
          <cell r="D15059" t="str">
            <v>WS81B</v>
          </cell>
          <cell r="BA15059">
            <v>4.09</v>
          </cell>
        </row>
        <row r="15060">
          <cell r="C15060" t="str">
            <v>6511 - EXTERIOR DOOR PARTS/ACCESS.</v>
          </cell>
          <cell r="D15060" t="str">
            <v>WS81WR</v>
          </cell>
          <cell r="BA15060">
            <v>3.09</v>
          </cell>
        </row>
        <row r="15061">
          <cell r="C15061" t="str">
            <v>6511 - EXTERIOR DOOR PARTS/ACCESS.</v>
          </cell>
          <cell r="D15061" t="str">
            <v>3068CBC</v>
          </cell>
          <cell r="BA15061">
            <v>5.29</v>
          </cell>
        </row>
        <row r="15062">
          <cell r="C15062" t="str">
            <v>6511 - EXTERIOR DOOR PARTS/ACCESS.</v>
          </cell>
          <cell r="D15062" t="str">
            <v>MD01610</v>
          </cell>
          <cell r="BA15062">
            <v>25.99</v>
          </cell>
        </row>
        <row r="15063">
          <cell r="C15063" t="str">
            <v>6511 - EXTERIOR DOOR PARTS/ACCESS.</v>
          </cell>
          <cell r="D15063" t="str">
            <v>TASTWROS</v>
          </cell>
          <cell r="BA15063">
            <v>139.99</v>
          </cell>
        </row>
        <row r="15064">
          <cell r="C15064" t="str">
            <v>6511 - EXTERIOR DOOR PARTS/ACCESS.</v>
          </cell>
          <cell r="D15064" t="str">
            <v>TASTWLOS</v>
          </cell>
          <cell r="BA15064">
            <v>139.99</v>
          </cell>
        </row>
        <row r="15065">
          <cell r="C15065" t="str">
            <v>6511 - EXTERIOR DOOR PARTS/ACCESS.</v>
          </cell>
          <cell r="D15065" t="str">
            <v>TAST8ROS</v>
          </cell>
          <cell r="BA15065">
            <v>109.99</v>
          </cell>
        </row>
        <row r="15066">
          <cell r="C15066" t="str">
            <v>6511 - EXTERIOR DOOR PARTS/ACCESS.</v>
          </cell>
          <cell r="D15066" t="str">
            <v>TAST8LOS</v>
          </cell>
          <cell r="BA15066">
            <v>109.99</v>
          </cell>
        </row>
        <row r="15067">
          <cell r="C15067" t="str">
            <v>6511 - EXTERIOR DOOR PARTS/ACCESS.</v>
          </cell>
          <cell r="D15067" t="str">
            <v>TAST68SWRI</v>
          </cell>
          <cell r="BA15067">
            <v>118.99</v>
          </cell>
        </row>
        <row r="15068">
          <cell r="C15068" t="str">
            <v>6511 - EXTERIOR DOOR PARTS/ACCESS.</v>
          </cell>
          <cell r="D15068" t="str">
            <v>TAST68SWLI</v>
          </cell>
          <cell r="BA15068">
            <v>129.99</v>
          </cell>
        </row>
        <row r="15069">
          <cell r="C15069" t="str">
            <v>6511 - EXTERIOR DOOR PARTS/ACCESS.</v>
          </cell>
          <cell r="D15069" t="str">
            <v>TAST80SWRI</v>
          </cell>
          <cell r="BA15069">
            <v>160.99</v>
          </cell>
        </row>
        <row r="15070">
          <cell r="C15070" t="str">
            <v>6511 - EXTERIOR DOOR PARTS/ACCESS.</v>
          </cell>
          <cell r="D15070" t="str">
            <v>TAST80SWLI</v>
          </cell>
          <cell r="BA15070">
            <v>128.99</v>
          </cell>
        </row>
        <row r="15071">
          <cell r="C15071" t="str">
            <v>6511 - EXTERIOR DOOR PARTS/ACCESS.</v>
          </cell>
          <cell r="D15071" t="str">
            <v>68WTASC</v>
          </cell>
          <cell r="BA15071">
            <v>37.89</v>
          </cell>
        </row>
        <row r="15072">
          <cell r="C15072" t="str">
            <v>6511 - EXTERIOR DOOR PARTS/ACCESS.</v>
          </cell>
          <cell r="D15072" t="str">
            <v>80RWTASC</v>
          </cell>
          <cell r="BA15072">
            <v>35.590000000000003</v>
          </cell>
        </row>
        <row r="15073">
          <cell r="C15073" t="str">
            <v>6511 - EXTERIOR DOOR PARTS/ACCESS.</v>
          </cell>
          <cell r="D15073" t="str">
            <v>80LWTASC</v>
          </cell>
          <cell r="BA15073">
            <v>35.79</v>
          </cell>
        </row>
        <row r="15074">
          <cell r="C15074" t="str">
            <v>6511 - EXTERIOR DOOR PARTS/ACCESS.</v>
          </cell>
          <cell r="D15074" t="str">
            <v>ETAST80H</v>
          </cell>
          <cell r="BA15074">
            <v>52.49</v>
          </cell>
        </row>
        <row r="15075">
          <cell r="C15075" t="str">
            <v>6511 - EXTERIOR DOOR PARTS/ACCESS.</v>
          </cell>
          <cell r="D15075" t="str">
            <v>SSCREW10B</v>
          </cell>
          <cell r="BA15075">
            <v>0</v>
          </cell>
        </row>
        <row r="15076">
          <cell r="C15076" t="str">
            <v>6511 - EXTERIOR DOOR PARTS/ACCESS.</v>
          </cell>
          <cell r="D15076" t="str">
            <v>SSCREW15</v>
          </cell>
          <cell r="BA15076">
            <v>0.09</v>
          </cell>
        </row>
        <row r="15077">
          <cell r="C15077" t="str">
            <v>6511 - EXTERIOR DOOR PARTS/ACCESS.</v>
          </cell>
          <cell r="D15077" t="str">
            <v>DOORCLIPOS</v>
          </cell>
          <cell r="BA15077">
            <v>0</v>
          </cell>
        </row>
        <row r="15078">
          <cell r="C15078" t="str">
            <v>6511 - EXTERIOR DOOR PARTS/ACCESS.</v>
          </cell>
          <cell r="D15078" t="str">
            <v>DOORCLIP</v>
          </cell>
          <cell r="BA15078">
            <v>2.66</v>
          </cell>
        </row>
        <row r="15079">
          <cell r="C15079" t="str">
            <v>6511 - EXTERIOR DOOR PARTS/ACCESS.</v>
          </cell>
          <cell r="D15079" t="str">
            <v>10116BAS</v>
          </cell>
          <cell r="BA15079">
            <v>9.99</v>
          </cell>
        </row>
        <row r="15080">
          <cell r="C15080" t="str">
            <v>6511 - EXTERIOR DOOR PARTS/ACCESS.</v>
          </cell>
          <cell r="D15080" t="str">
            <v>SVCA28B</v>
          </cell>
          <cell r="BA15080">
            <v>25.09</v>
          </cell>
        </row>
        <row r="15081">
          <cell r="C15081" t="str">
            <v>6511 - EXTERIOR DOOR PARTS/ACCESS.</v>
          </cell>
          <cell r="D15081" t="str">
            <v>SVCA30B</v>
          </cell>
          <cell r="BA15081">
            <v>25.39</v>
          </cell>
        </row>
        <row r="15082">
          <cell r="C15082" t="str">
            <v>6511 - EXTERIOR DOOR PARTS/ACCESS.</v>
          </cell>
          <cell r="D15082" t="str">
            <v>SVCA60B</v>
          </cell>
          <cell r="BA15082">
            <v>93.99</v>
          </cell>
        </row>
        <row r="15083">
          <cell r="C15083" t="str">
            <v>6511 - EXTERIOR DOOR PARTS/ACCESS.</v>
          </cell>
          <cell r="D15083" t="str">
            <v>SVCA28BW</v>
          </cell>
          <cell r="BA15083">
            <v>32.99</v>
          </cell>
        </row>
        <row r="15084">
          <cell r="C15084" t="str">
            <v>6511 - EXTERIOR DOOR PARTS/ACCESS.</v>
          </cell>
          <cell r="D15084" t="str">
            <v>SVCA30BW</v>
          </cell>
          <cell r="BA15084">
            <v>35.99</v>
          </cell>
        </row>
        <row r="15085">
          <cell r="C15085" t="str">
            <v>6511 - EXTERIOR DOOR PARTS/ACCESS.</v>
          </cell>
          <cell r="D15085" t="str">
            <v>SVCA60BW</v>
          </cell>
          <cell r="BA15085">
            <v>86.49</v>
          </cell>
        </row>
        <row r="15086">
          <cell r="C15086" t="str">
            <v>6511 - EXTERIOR DOOR PARTS/ACCESS.</v>
          </cell>
          <cell r="D15086" t="str">
            <v>SVCA154BW</v>
          </cell>
          <cell r="BA15086">
            <v>181.99</v>
          </cell>
        </row>
        <row r="15087">
          <cell r="C15087" t="str">
            <v>6511 - EXTERIOR DOOR PARTS/ACCESS.</v>
          </cell>
          <cell r="D15087" t="str">
            <v>SHCI3069B</v>
          </cell>
          <cell r="BA15087">
            <v>37.090000000000003</v>
          </cell>
        </row>
        <row r="15088">
          <cell r="C15088" t="str">
            <v>6511 - EXTERIOR DOOR PARTS/ACCESS.</v>
          </cell>
          <cell r="D15088" t="str">
            <v>SHCI30B</v>
          </cell>
          <cell r="BA15088">
            <v>27.89</v>
          </cell>
        </row>
        <row r="15089">
          <cell r="C15089" t="str">
            <v>6511 - EXTERIOR DOOR PARTS/ACCESS.</v>
          </cell>
          <cell r="D15089" t="str">
            <v>SB28B</v>
          </cell>
          <cell r="BA15089">
            <v>28.59</v>
          </cell>
        </row>
        <row r="15090">
          <cell r="C15090" t="str">
            <v>6511 - EXTERIOR DOOR PARTS/ACCESS.</v>
          </cell>
          <cell r="D15090" t="str">
            <v>SB30B</v>
          </cell>
          <cell r="BA15090">
            <v>31.59</v>
          </cell>
        </row>
        <row r="15091">
          <cell r="C15091" t="str">
            <v>6511 - EXTERIOR DOOR PARTS/ACCESS.</v>
          </cell>
          <cell r="D15091" t="str">
            <v>SB60B</v>
          </cell>
          <cell r="BA15091">
            <v>95.99</v>
          </cell>
        </row>
        <row r="15092">
          <cell r="C15092" t="str">
            <v>6511 - EXTERIOR DOOR PARTS/ACCESS.</v>
          </cell>
          <cell r="D15092" t="str">
            <v>SCIA30DSG</v>
          </cell>
          <cell r="BA15092">
            <v>19.89</v>
          </cell>
        </row>
        <row r="15093">
          <cell r="C15093" t="str">
            <v>6511 - EXTERIOR DOOR PARTS/ACCESS.</v>
          </cell>
          <cell r="D15093" t="str">
            <v>SLCAP36</v>
          </cell>
          <cell r="BA15093">
            <v>14.49</v>
          </cell>
        </row>
        <row r="15094">
          <cell r="C15094" t="str">
            <v>6511 - EXTERIOR DOOR PARTS/ACCESS.</v>
          </cell>
          <cell r="D15094" t="str">
            <v>SX260B</v>
          </cell>
          <cell r="BA15094">
            <v>36.49</v>
          </cell>
        </row>
        <row r="15095">
          <cell r="C15095" t="str">
            <v>6511 - EXTERIOR DOOR PARTS/ACCESS.</v>
          </cell>
          <cell r="D15095" t="str">
            <v>HF7860FLEX</v>
          </cell>
          <cell r="BA15095">
            <v>12.79</v>
          </cell>
        </row>
        <row r="15096">
          <cell r="C15096" t="str">
            <v>6511 - EXTERIOR DOOR PARTS/ACCESS.</v>
          </cell>
          <cell r="D15096" t="str">
            <v>JS4916-30SP</v>
          </cell>
          <cell r="BA15096">
            <v>18.39</v>
          </cell>
        </row>
        <row r="15097">
          <cell r="C15097" t="str">
            <v>6511 - EXTERIOR DOOR PARTS/ACCESS.</v>
          </cell>
          <cell r="D15097" t="str">
            <v>JS6916-30SP</v>
          </cell>
          <cell r="BA15097">
            <v>22.09</v>
          </cell>
        </row>
        <row r="15098">
          <cell r="C15098" t="str">
            <v>6511 - EXTERIOR DOOR PARTS/ACCESS.</v>
          </cell>
          <cell r="D15098" t="str">
            <v>MD11742</v>
          </cell>
          <cell r="BA15098">
            <v>14.99</v>
          </cell>
        </row>
        <row r="15099">
          <cell r="C15099" t="str">
            <v>6511 - EXTERIOR DOOR PARTS/ACCESS.</v>
          </cell>
          <cell r="D15099" t="str">
            <v>THRM32</v>
          </cell>
          <cell r="BA15099">
            <v>32.69</v>
          </cell>
        </row>
        <row r="15100">
          <cell r="C15100" t="str">
            <v>6511 - EXTERIOR DOOR PARTS/ACCESS.</v>
          </cell>
          <cell r="D15100" t="str">
            <v>MD08383</v>
          </cell>
          <cell r="BA15100">
            <v>12.99</v>
          </cell>
        </row>
        <row r="15101">
          <cell r="C15101" t="str">
            <v>6511 - EXTERIOR DOOR PARTS/ACCESS.</v>
          </cell>
          <cell r="D15101" t="str">
            <v>MD08102</v>
          </cell>
          <cell r="BA15101">
            <v>21.99</v>
          </cell>
        </row>
        <row r="15102">
          <cell r="C15102" t="str">
            <v>6511 - EXTERIOR DOOR PARTS/ACCESS.</v>
          </cell>
          <cell r="D15102" t="str">
            <v>MD13565</v>
          </cell>
          <cell r="BA15102">
            <v>5.69</v>
          </cell>
        </row>
        <row r="15103">
          <cell r="C15103" t="str">
            <v>6511 - EXTERIOR DOOR PARTS/ACCESS.</v>
          </cell>
          <cell r="D15103" t="str">
            <v>THRM36</v>
          </cell>
          <cell r="BA15103">
            <v>38.19</v>
          </cell>
        </row>
        <row r="15104">
          <cell r="C15104" t="str">
            <v>6511 - EXTERIOR DOOR PARTS/ACCESS.</v>
          </cell>
          <cell r="D15104" t="str">
            <v>MD05603</v>
          </cell>
          <cell r="BA15104">
            <v>7.59</v>
          </cell>
        </row>
        <row r="15105">
          <cell r="C15105" t="str">
            <v>6511 - EXTERIOR DOOR PARTS/ACCESS.</v>
          </cell>
          <cell r="D15105" t="str">
            <v>MD05991</v>
          </cell>
          <cell r="BA15105">
            <v>12.99</v>
          </cell>
        </row>
        <row r="15106">
          <cell r="C15106" t="str">
            <v>6511 - EXTERIOR DOOR PARTS/ACCESS.</v>
          </cell>
          <cell r="D15106" t="str">
            <v>MD06528</v>
          </cell>
          <cell r="BA15106">
            <v>12.99</v>
          </cell>
        </row>
        <row r="15107">
          <cell r="C15107" t="str">
            <v>6511 - EXTERIOR DOOR PARTS/ACCESS.</v>
          </cell>
          <cell r="D15107" t="str">
            <v>MD82586</v>
          </cell>
          <cell r="BA15107">
            <v>11.99</v>
          </cell>
        </row>
        <row r="15108">
          <cell r="C15108" t="str">
            <v>6604 - COMMERCIAL COMPONENTS</v>
          </cell>
          <cell r="D15108" t="str">
            <v>FIRELABEL</v>
          </cell>
          <cell r="BA15108">
            <v>3.39</v>
          </cell>
        </row>
        <row r="15109">
          <cell r="C15109" t="str">
            <v>6706 - SLIDING GLASS DOORS</v>
          </cell>
          <cell r="D15109" t="str">
            <v>WDW6068EA366OX1</v>
          </cell>
          <cell r="BA15109">
            <v>994.99</v>
          </cell>
        </row>
        <row r="15110">
          <cell r="C15110" t="str">
            <v>6706 - SLIDING GLASS DOORS</v>
          </cell>
          <cell r="D15110" t="str">
            <v>WDW60610E366OX</v>
          </cell>
          <cell r="BA15110">
            <v>1019.99</v>
          </cell>
        </row>
        <row r="15111">
          <cell r="C15111" t="str">
            <v>6706 - SLIDING GLASS DOORS</v>
          </cell>
          <cell r="D15111" t="str">
            <v>WDW6080E366OX</v>
          </cell>
          <cell r="BA15111">
            <v>1124.99</v>
          </cell>
        </row>
        <row r="15112">
          <cell r="C15112" t="str">
            <v>6706 - SLIDING GLASS DOORS</v>
          </cell>
          <cell r="D15112" t="str">
            <v>WDW6068E366XO</v>
          </cell>
          <cell r="BA15112">
            <v>994.99</v>
          </cell>
        </row>
        <row r="15113">
          <cell r="C15113" t="str">
            <v>6706 - SLIDING GLASS DOORS</v>
          </cell>
          <cell r="D15113" t="str">
            <v>WDW60610E366XO</v>
          </cell>
          <cell r="BA15113">
            <v>1019.99</v>
          </cell>
        </row>
        <row r="15114">
          <cell r="C15114" t="str">
            <v>6706 - SLIDING GLASS DOORS</v>
          </cell>
          <cell r="D15114" t="str">
            <v>WDW6080E366XO</v>
          </cell>
          <cell r="BA15114">
            <v>1124.99</v>
          </cell>
        </row>
        <row r="15115">
          <cell r="C15115" t="str">
            <v>6706 - SLIDING GLASS DOORS</v>
          </cell>
          <cell r="D15115" t="str">
            <v>WDW8080E366XO</v>
          </cell>
          <cell r="BA15115">
            <v>1349.99</v>
          </cell>
        </row>
        <row r="15116">
          <cell r="C15116" t="str">
            <v>6706 - SLIDING GLASS DOORS</v>
          </cell>
          <cell r="D15116" t="str">
            <v>WDW8080E366OX</v>
          </cell>
          <cell r="BA15116">
            <v>1349.99</v>
          </cell>
        </row>
        <row r="15117">
          <cell r="C15117" t="str">
            <v>6706 - SLIDING GLASS DOORS</v>
          </cell>
          <cell r="D15117" t="str">
            <v>WDW10080E366OXXO</v>
          </cell>
          <cell r="BA15117">
            <v>2449.9899999999998</v>
          </cell>
        </row>
        <row r="15118">
          <cell r="C15118" t="str">
            <v>6706 - SLIDING GLASS DOORS</v>
          </cell>
          <cell r="D15118" t="str">
            <v>WDW12080E366OXXO</v>
          </cell>
          <cell r="BA15118">
            <v>2649.99</v>
          </cell>
        </row>
        <row r="15119">
          <cell r="C15119" t="str">
            <v>6706 - SLIDING GLASS DOORS</v>
          </cell>
          <cell r="D15119" t="str">
            <v>WDW9080E366OXX</v>
          </cell>
          <cell r="BA15119">
            <v>2889.99</v>
          </cell>
        </row>
        <row r="15120">
          <cell r="C15120" t="str">
            <v>6706 - SLIDING GLASS DOORS</v>
          </cell>
          <cell r="D15120" t="str">
            <v>WDW9080E366XXO</v>
          </cell>
          <cell r="BA15120">
            <v>2889.99</v>
          </cell>
        </row>
        <row r="15121">
          <cell r="C15121" t="str">
            <v>6706 - SLIDING GLASS DOORS</v>
          </cell>
          <cell r="D15121" t="str">
            <v>WDW12080E366OXX</v>
          </cell>
          <cell r="BA15121">
            <v>3619.99</v>
          </cell>
        </row>
        <row r="15122">
          <cell r="C15122" t="str">
            <v>6706 - SLIDING GLASS DOORS</v>
          </cell>
          <cell r="D15122" t="str">
            <v>WDW12080E366XXO</v>
          </cell>
          <cell r="BA15122">
            <v>3619.99</v>
          </cell>
        </row>
        <row r="15123">
          <cell r="C15123" t="str">
            <v>6706 - SLIDING GLASS DOORS</v>
          </cell>
          <cell r="D15123" t="str">
            <v>WDW16080E366OXXX</v>
          </cell>
          <cell r="BA15123">
            <v>4819.99</v>
          </cell>
        </row>
        <row r="15124">
          <cell r="C15124" t="str">
            <v>6706 - SLIDING GLASS DOORS</v>
          </cell>
          <cell r="D15124" t="str">
            <v>WDW16080E366XXXO</v>
          </cell>
          <cell r="BA15124">
            <v>4819.99</v>
          </cell>
        </row>
        <row r="15125">
          <cell r="C15125" t="str">
            <v>6706 - SLIDING GLASS DOORS</v>
          </cell>
          <cell r="D15125" t="str">
            <v>WDB6068E366OX</v>
          </cell>
          <cell r="BA15125">
            <v>994.99</v>
          </cell>
        </row>
        <row r="15126">
          <cell r="C15126" t="str">
            <v>6706 - SLIDING GLASS DOORS</v>
          </cell>
          <cell r="D15126" t="str">
            <v>WDB60610E366OX</v>
          </cell>
          <cell r="BA15126">
            <v>1019.99</v>
          </cell>
        </row>
        <row r="15127">
          <cell r="C15127" t="str">
            <v>6706 - SLIDING GLASS DOORS</v>
          </cell>
          <cell r="D15127" t="str">
            <v>WDB6080E366OX</v>
          </cell>
          <cell r="BA15127">
            <v>1124.99</v>
          </cell>
        </row>
        <row r="15128">
          <cell r="C15128" t="str">
            <v>6706 - SLIDING GLASS DOORS</v>
          </cell>
          <cell r="D15128" t="str">
            <v>WDB6068E366XO</v>
          </cell>
          <cell r="BA15128">
            <v>994.99</v>
          </cell>
        </row>
        <row r="15129">
          <cell r="C15129" t="str">
            <v>6706 - SLIDING GLASS DOORS</v>
          </cell>
          <cell r="D15129" t="str">
            <v>WDB60610E366XO</v>
          </cell>
          <cell r="BA15129">
            <v>1019.99</v>
          </cell>
        </row>
        <row r="15130">
          <cell r="C15130" t="str">
            <v>6706 - SLIDING GLASS DOORS</v>
          </cell>
          <cell r="D15130" t="str">
            <v>WDB6080E366XO</v>
          </cell>
          <cell r="BA15130">
            <v>1124.99</v>
          </cell>
        </row>
        <row r="15131">
          <cell r="C15131" t="str">
            <v>6706 - SLIDING GLASS DOORS</v>
          </cell>
          <cell r="D15131" t="str">
            <v>WDB8080E366XO</v>
          </cell>
          <cell r="BA15131">
            <v>1349.99</v>
          </cell>
        </row>
        <row r="15132">
          <cell r="C15132" t="str">
            <v>6706 - SLIDING GLASS DOORS</v>
          </cell>
          <cell r="D15132" t="str">
            <v>WDB8080E366OX</v>
          </cell>
          <cell r="BA15132">
            <v>1349.99</v>
          </cell>
        </row>
        <row r="15133">
          <cell r="C15133" t="str">
            <v>6706 - SLIDING GLASS DOORS</v>
          </cell>
          <cell r="D15133" t="str">
            <v>WDB10080E366OXXO</v>
          </cell>
          <cell r="BA15133">
            <v>2449.9899999999998</v>
          </cell>
        </row>
        <row r="15134">
          <cell r="C15134" t="str">
            <v>6706 - SLIDING GLASS DOORS</v>
          </cell>
          <cell r="D15134" t="str">
            <v>WDB12080E366OXXO</v>
          </cell>
          <cell r="BA15134">
            <v>2649.99</v>
          </cell>
        </row>
        <row r="15135">
          <cell r="C15135" t="str">
            <v>6706 - SLIDING GLASS DOORS</v>
          </cell>
          <cell r="D15135" t="str">
            <v>WDB9080E366OXX</v>
          </cell>
          <cell r="BA15135">
            <v>3144.99</v>
          </cell>
        </row>
        <row r="15136">
          <cell r="C15136" t="str">
            <v>6706 - SLIDING GLASS DOORS</v>
          </cell>
          <cell r="D15136" t="str">
            <v>WDB9080E366XXO</v>
          </cell>
          <cell r="BA15136">
            <v>3144.99</v>
          </cell>
        </row>
        <row r="15137">
          <cell r="C15137" t="str">
            <v>6706 - SLIDING GLASS DOORS</v>
          </cell>
          <cell r="D15137" t="str">
            <v>WDB12080E366OXX</v>
          </cell>
          <cell r="BA15137">
            <v>3884.99</v>
          </cell>
        </row>
        <row r="15138">
          <cell r="C15138" t="str">
            <v>6706 - SLIDING GLASS DOORS</v>
          </cell>
          <cell r="D15138" t="str">
            <v>WDB12080E366XXO</v>
          </cell>
          <cell r="BA15138">
            <v>3884.99</v>
          </cell>
        </row>
        <row r="15139">
          <cell r="C15139" t="str">
            <v>6706 - SLIDING GLASS DOORS</v>
          </cell>
          <cell r="D15139" t="str">
            <v>WDB16080E366OXXX</v>
          </cell>
          <cell r="BA15139">
            <v>5069.99</v>
          </cell>
        </row>
        <row r="15140">
          <cell r="C15140" t="str">
            <v>6706 - SLIDING GLASS DOORS</v>
          </cell>
          <cell r="D15140" t="str">
            <v>WDB16080E366XXXO</v>
          </cell>
          <cell r="BA15140">
            <v>5069.99</v>
          </cell>
        </row>
        <row r="15141">
          <cell r="C15141" t="str">
            <v>6706 - SLIDING GLASS DOORS</v>
          </cell>
          <cell r="D15141" t="str">
            <v>WDBW6068E366OX</v>
          </cell>
          <cell r="BA15141">
            <v>1324.99</v>
          </cell>
        </row>
        <row r="15142">
          <cell r="C15142" t="str">
            <v>6706 - SLIDING GLASS DOORS</v>
          </cell>
          <cell r="D15142" t="str">
            <v>WDBW60610E366OX</v>
          </cell>
          <cell r="BA15142">
            <v>1369.99</v>
          </cell>
        </row>
        <row r="15143">
          <cell r="C15143" t="str">
            <v>6706 - SLIDING GLASS DOORS</v>
          </cell>
          <cell r="D15143" t="str">
            <v>WDBW6080E366OX</v>
          </cell>
          <cell r="BA15143">
            <v>1529.99</v>
          </cell>
        </row>
        <row r="15144">
          <cell r="C15144" t="str">
            <v>6706 - SLIDING GLASS DOORS</v>
          </cell>
          <cell r="D15144" t="str">
            <v>WDBW6068E366XO</v>
          </cell>
          <cell r="BA15144">
            <v>1324.99</v>
          </cell>
        </row>
        <row r="15145">
          <cell r="C15145" t="str">
            <v>6706 - SLIDING GLASS DOORS</v>
          </cell>
          <cell r="D15145" t="str">
            <v>WDBW60610E366XO</v>
          </cell>
          <cell r="BA15145">
            <v>1369.99</v>
          </cell>
        </row>
        <row r="15146">
          <cell r="C15146" t="str">
            <v>6706 - SLIDING GLASS DOORS</v>
          </cell>
          <cell r="D15146" t="str">
            <v>WDBW6080E366XO</v>
          </cell>
          <cell r="BA15146">
            <v>1529.99</v>
          </cell>
        </row>
        <row r="15147">
          <cell r="C15147" t="str">
            <v>6706 - SLIDING GLASS DOORS</v>
          </cell>
          <cell r="D15147" t="str">
            <v>WDBW8080E366XO</v>
          </cell>
          <cell r="BA15147">
            <v>1799.99</v>
          </cell>
        </row>
        <row r="15148">
          <cell r="C15148" t="str">
            <v>6706 - SLIDING GLASS DOORS</v>
          </cell>
          <cell r="D15148" t="str">
            <v>WDBW8080E366OX</v>
          </cell>
          <cell r="BA15148">
            <v>1799.99</v>
          </cell>
        </row>
        <row r="15149">
          <cell r="C15149" t="str">
            <v>6706 - SLIDING GLASS DOORS</v>
          </cell>
          <cell r="D15149" t="str">
            <v>WDBW10080366OXXO</v>
          </cell>
          <cell r="BA15149">
            <v>3364.99</v>
          </cell>
        </row>
        <row r="15150">
          <cell r="C15150" t="str">
            <v>6706 - SLIDING GLASS DOORS</v>
          </cell>
          <cell r="D15150" t="str">
            <v>WDBW12080366OXXO</v>
          </cell>
          <cell r="BA15150">
            <v>3624.99</v>
          </cell>
        </row>
        <row r="15151">
          <cell r="C15151" t="str">
            <v>6706 - SLIDING GLASS DOORS</v>
          </cell>
          <cell r="D15151" t="str">
            <v>WDBW9080E366OXX</v>
          </cell>
          <cell r="BA15151">
            <v>3424.99</v>
          </cell>
        </row>
        <row r="15152">
          <cell r="C15152" t="str">
            <v>6706 - SLIDING GLASS DOORS</v>
          </cell>
          <cell r="D15152" t="str">
            <v>WDBW9080E366XXO</v>
          </cell>
          <cell r="BA15152">
            <v>3424.99</v>
          </cell>
        </row>
        <row r="15153">
          <cell r="C15153" t="str">
            <v>6706 - SLIDING GLASS DOORS</v>
          </cell>
          <cell r="D15153" t="str">
            <v>WDBW12080E366OXX</v>
          </cell>
          <cell r="BA15153">
            <v>4064.99</v>
          </cell>
        </row>
        <row r="15154">
          <cell r="C15154" t="str">
            <v>6706 - SLIDING GLASS DOORS</v>
          </cell>
          <cell r="D15154" t="str">
            <v>WDBW12080E366XXO</v>
          </cell>
          <cell r="BA15154">
            <v>4064.99</v>
          </cell>
        </row>
        <row r="15155">
          <cell r="C15155" t="str">
            <v>6706 - SLIDING GLASS DOORS</v>
          </cell>
          <cell r="D15155" t="str">
            <v>WDBW16080366OXXX</v>
          </cell>
          <cell r="BA15155">
            <v>5729.99</v>
          </cell>
        </row>
        <row r="15156">
          <cell r="C15156" t="str">
            <v>6706 - SLIDING GLASS DOORS</v>
          </cell>
          <cell r="D15156" t="str">
            <v>WDBW16080366XXXO</v>
          </cell>
          <cell r="BA15156">
            <v>5729.99</v>
          </cell>
        </row>
        <row r="15157">
          <cell r="C15157" t="str">
            <v>6706 - SLIDING GLASS DOORS</v>
          </cell>
          <cell r="D15157" t="str">
            <v>WDBRW6068E366OX</v>
          </cell>
          <cell r="BA15157">
            <v>1324.99</v>
          </cell>
        </row>
        <row r="15158">
          <cell r="C15158" t="str">
            <v>6706 - SLIDING GLASS DOORS</v>
          </cell>
          <cell r="D15158" t="str">
            <v>WDBRW60610E366OX</v>
          </cell>
          <cell r="BA15158">
            <v>1369.99</v>
          </cell>
        </row>
        <row r="15159">
          <cell r="C15159" t="str">
            <v>6706 - SLIDING GLASS DOORS</v>
          </cell>
          <cell r="D15159" t="str">
            <v>WDBRW6080E366OX</v>
          </cell>
          <cell r="BA15159">
            <v>1529.99</v>
          </cell>
        </row>
        <row r="15160">
          <cell r="C15160" t="str">
            <v>6706 - SLIDING GLASS DOORS</v>
          </cell>
          <cell r="D15160" t="str">
            <v>WDBRW6068E366XO</v>
          </cell>
          <cell r="BA15160">
            <v>1324.99</v>
          </cell>
        </row>
        <row r="15161">
          <cell r="C15161" t="str">
            <v>6706 - SLIDING GLASS DOORS</v>
          </cell>
          <cell r="D15161" t="str">
            <v>WDBRW60610E366XO</v>
          </cell>
          <cell r="BA15161">
            <v>1369.99</v>
          </cell>
        </row>
        <row r="15162">
          <cell r="C15162" t="str">
            <v>6706 - SLIDING GLASS DOORS</v>
          </cell>
          <cell r="D15162" t="str">
            <v>WDBRW6080E366XO</v>
          </cell>
          <cell r="BA15162">
            <v>1529.99</v>
          </cell>
        </row>
        <row r="15163">
          <cell r="C15163" t="str">
            <v>6706 - SLIDING GLASS DOORS</v>
          </cell>
          <cell r="D15163" t="str">
            <v>WDBRW8080E366XO</v>
          </cell>
          <cell r="BA15163">
            <v>1799.99</v>
          </cell>
        </row>
        <row r="15164">
          <cell r="C15164" t="str">
            <v>6706 - SLIDING GLASS DOORS</v>
          </cell>
          <cell r="D15164" t="str">
            <v>WDBRW8080E366OX</v>
          </cell>
          <cell r="BA15164">
            <v>1799.99</v>
          </cell>
        </row>
        <row r="15165">
          <cell r="C15165" t="str">
            <v>6706 - SLIDING GLASS DOORS</v>
          </cell>
          <cell r="D15165" t="str">
            <v>WDBRW1008036OXXO</v>
          </cell>
          <cell r="BA15165">
            <v>3364.99</v>
          </cell>
        </row>
        <row r="15166">
          <cell r="C15166" t="str">
            <v>6706 - SLIDING GLASS DOORS</v>
          </cell>
          <cell r="D15166" t="str">
            <v>WDBRW1208036OXXO</v>
          </cell>
          <cell r="BA15166">
            <v>3624.99</v>
          </cell>
        </row>
        <row r="15167">
          <cell r="C15167" t="str">
            <v>6706 - SLIDING GLASS DOORS</v>
          </cell>
          <cell r="D15167" t="str">
            <v>WDBRW9080E366OXX</v>
          </cell>
          <cell r="BA15167">
            <v>3424.99</v>
          </cell>
        </row>
        <row r="15168">
          <cell r="C15168" t="str">
            <v>6706 - SLIDING GLASS DOORS</v>
          </cell>
          <cell r="D15168" t="str">
            <v>WDBRW9080E366XXO</v>
          </cell>
          <cell r="BA15168">
            <v>3424.99</v>
          </cell>
        </row>
        <row r="15169">
          <cell r="C15169" t="str">
            <v>6706 - SLIDING GLASS DOORS</v>
          </cell>
          <cell r="D15169" t="str">
            <v>WDBRW12080366OXX</v>
          </cell>
          <cell r="BA15169">
            <v>4064.99</v>
          </cell>
        </row>
        <row r="15170">
          <cell r="C15170" t="str">
            <v>6706 - SLIDING GLASS DOORS</v>
          </cell>
          <cell r="D15170" t="str">
            <v>WDBRW12080366XXO</v>
          </cell>
          <cell r="BA15170">
            <v>4064.99</v>
          </cell>
        </row>
        <row r="15171">
          <cell r="C15171" t="str">
            <v>6706 - SLIDING GLASS DOORS</v>
          </cell>
          <cell r="D15171" t="str">
            <v>WDBRW1608036OXXX</v>
          </cell>
          <cell r="BA15171">
            <v>5729.99</v>
          </cell>
        </row>
        <row r="15172">
          <cell r="C15172" t="str">
            <v>6706 - SLIDING GLASS DOORS</v>
          </cell>
          <cell r="D15172" t="str">
            <v>WDBRW1608036XXXO</v>
          </cell>
          <cell r="BA15172">
            <v>5729.99</v>
          </cell>
        </row>
        <row r="15173">
          <cell r="C15173" t="str">
            <v>6706 - SLIDING GLASS DOORS</v>
          </cell>
          <cell r="D15173" t="str">
            <v>WDBB6068E366OX</v>
          </cell>
          <cell r="BA15173">
            <v>1524.99</v>
          </cell>
        </row>
        <row r="15174">
          <cell r="C15174" t="str">
            <v>6706 - SLIDING GLASS DOORS</v>
          </cell>
          <cell r="D15174" t="str">
            <v>WDBB60610E366OX</v>
          </cell>
          <cell r="BA15174">
            <v>1589.99</v>
          </cell>
        </row>
        <row r="15175">
          <cell r="C15175" t="str">
            <v>6706 - SLIDING GLASS DOORS</v>
          </cell>
          <cell r="D15175" t="str">
            <v>WDBB6080E366OX</v>
          </cell>
          <cell r="BA15175">
            <v>1844.99</v>
          </cell>
        </row>
        <row r="15176">
          <cell r="C15176" t="str">
            <v>6706 - SLIDING GLASS DOORS</v>
          </cell>
          <cell r="D15176" t="str">
            <v>WDBB6068E366XO</v>
          </cell>
          <cell r="BA15176">
            <v>1524.99</v>
          </cell>
        </row>
        <row r="15177">
          <cell r="C15177" t="str">
            <v>6706 - SLIDING GLASS DOORS</v>
          </cell>
          <cell r="D15177" t="str">
            <v>WDBB60610E366XO</v>
          </cell>
          <cell r="BA15177">
            <v>1589.99</v>
          </cell>
        </row>
        <row r="15178">
          <cell r="C15178" t="str">
            <v>6706 - SLIDING GLASS DOORS</v>
          </cell>
          <cell r="D15178" t="str">
            <v>WDBB6080E366XO</v>
          </cell>
          <cell r="BA15178">
            <v>1844.99</v>
          </cell>
        </row>
        <row r="15179">
          <cell r="C15179" t="str">
            <v>6706 - SLIDING GLASS DOORS</v>
          </cell>
          <cell r="D15179" t="str">
            <v>WDBB8080E366XO</v>
          </cell>
          <cell r="BA15179">
            <v>2199.9899999999998</v>
          </cell>
        </row>
        <row r="15180">
          <cell r="C15180" t="str">
            <v>6706 - SLIDING GLASS DOORS</v>
          </cell>
          <cell r="D15180" t="str">
            <v>WDBB8080E366OX</v>
          </cell>
          <cell r="BA15180">
            <v>2199.9899999999998</v>
          </cell>
        </row>
        <row r="15181">
          <cell r="C15181" t="str">
            <v>6706 - SLIDING GLASS DOORS</v>
          </cell>
          <cell r="D15181" t="str">
            <v>WDBB10080366OXXO</v>
          </cell>
          <cell r="BA15181">
            <v>4074.99</v>
          </cell>
        </row>
        <row r="15182">
          <cell r="C15182" t="str">
            <v>6706 - SLIDING GLASS DOORS</v>
          </cell>
          <cell r="D15182" t="str">
            <v>WDBB12080366OXXO</v>
          </cell>
          <cell r="BA15182">
            <v>4354.99</v>
          </cell>
        </row>
        <row r="15183">
          <cell r="C15183" t="str">
            <v>6706 - SLIDING GLASS DOORS</v>
          </cell>
          <cell r="D15183" t="str">
            <v>WDBB9080E366OXX</v>
          </cell>
          <cell r="BA15183">
            <v>4644.99</v>
          </cell>
        </row>
        <row r="15184">
          <cell r="C15184" t="str">
            <v>6706 - SLIDING GLASS DOORS</v>
          </cell>
          <cell r="D15184" t="str">
            <v>WDBB9080E366XXO</v>
          </cell>
          <cell r="BA15184">
            <v>4644.99</v>
          </cell>
        </row>
        <row r="15185">
          <cell r="C15185" t="str">
            <v>6706 - SLIDING GLASS DOORS</v>
          </cell>
          <cell r="D15185" t="str">
            <v>WDBB12080E366OXX</v>
          </cell>
          <cell r="BA15185">
            <v>5409.99</v>
          </cell>
        </row>
        <row r="15186">
          <cell r="C15186" t="str">
            <v>6706 - SLIDING GLASS DOORS</v>
          </cell>
          <cell r="D15186" t="str">
            <v>WDBB12080E366XXO</v>
          </cell>
          <cell r="BA15186">
            <v>5409.99</v>
          </cell>
        </row>
        <row r="15187">
          <cell r="C15187" t="str">
            <v>6706 - SLIDING GLASS DOORS</v>
          </cell>
          <cell r="D15187" t="str">
            <v>WDBB16080366OXXX</v>
          </cell>
          <cell r="BA15187">
            <v>7504.99</v>
          </cell>
        </row>
        <row r="15188">
          <cell r="C15188" t="str">
            <v>6706 - SLIDING GLASS DOORS</v>
          </cell>
          <cell r="D15188" t="str">
            <v>WDBB16080366XXXO</v>
          </cell>
          <cell r="BA15188">
            <v>7504.99</v>
          </cell>
        </row>
        <row r="15189">
          <cell r="C15189" t="str">
            <v>7430 - BFS VINYL BRONZE WINDOWS</v>
          </cell>
          <cell r="D15189" t="str">
            <v>2D8060AS9/6L</v>
          </cell>
          <cell r="BA15189">
            <v>432.99</v>
          </cell>
        </row>
        <row r="15190">
          <cell r="C15190" t="str">
            <v>7790 - PLYGEM MISC WIND/SGD/PARTS</v>
          </cell>
          <cell r="D15190" t="str">
            <v>400PG7236WE</v>
          </cell>
          <cell r="BA15190">
            <v>174.99</v>
          </cell>
        </row>
        <row r="15191">
          <cell r="C15191" t="str">
            <v>7790 - PLYGEM MISC WIND/SGD/PARTS</v>
          </cell>
          <cell r="D15191" t="str">
            <v>400PG2436WE</v>
          </cell>
          <cell r="BA15191">
            <v>119.99</v>
          </cell>
        </row>
        <row r="15192">
          <cell r="C15192" t="str">
            <v>7790 - PLYGEM MISC WIND/SGD/PARTS</v>
          </cell>
          <cell r="D15192" t="str">
            <v>400PG3624XOWE</v>
          </cell>
          <cell r="BA15192">
            <v>115.99</v>
          </cell>
        </row>
        <row r="15193">
          <cell r="C15193" t="str">
            <v>7790 - PLYGEM MISC WIND/SGD/PARTS</v>
          </cell>
          <cell r="D15193" t="str">
            <v>400PG2424XOSLWE</v>
          </cell>
          <cell r="BA15193">
            <v>89.99</v>
          </cell>
        </row>
        <row r="15194">
          <cell r="C15194" t="str">
            <v>7790 - PLYGEM MISC WIND/SGD/PARTS</v>
          </cell>
          <cell r="D15194" t="str">
            <v>400PG3636XOSLWE</v>
          </cell>
          <cell r="BA15194">
            <v>150.99</v>
          </cell>
        </row>
        <row r="15195">
          <cell r="C15195" t="str">
            <v>7790 - PLYGEM MISC WIND/SGD/PARTS</v>
          </cell>
          <cell r="D15195" t="str">
            <v>400PG4836XOSLWE</v>
          </cell>
          <cell r="BA15195">
            <v>147.99</v>
          </cell>
        </row>
        <row r="15196">
          <cell r="C15196" t="str">
            <v>7790 - PLYGEM MISC WIND/SGD/PARTS</v>
          </cell>
          <cell r="D15196" t="str">
            <v>400PG6048XOSLWE</v>
          </cell>
          <cell r="BA15196">
            <v>176.99</v>
          </cell>
        </row>
        <row r="15197">
          <cell r="C15197" t="str">
            <v>7790 - PLYGEM MISC WIND/SGD/PARTS</v>
          </cell>
          <cell r="D15197" t="str">
            <v>400PG4050XOSLWE</v>
          </cell>
          <cell r="BA15197">
            <v>158.99</v>
          </cell>
        </row>
        <row r="15198">
          <cell r="C15198" t="str">
            <v>7790 - PLYGEM MISC WIND/SGD/PARTS</v>
          </cell>
          <cell r="D15198" t="str">
            <v>400PG2030SHWE1</v>
          </cell>
          <cell r="BA15198">
            <v>169.99</v>
          </cell>
        </row>
        <row r="15199">
          <cell r="C15199" t="str">
            <v>7790 - PLYGEM MISC WIND/SGD/PARTS</v>
          </cell>
          <cell r="D15199" t="str">
            <v>400PG3030SVWE1</v>
          </cell>
          <cell r="BA15199">
            <v>197.99</v>
          </cell>
        </row>
        <row r="15200">
          <cell r="C15200" t="str">
            <v>7901 - MISC. SKYLITES/ACCESSORIES</v>
          </cell>
          <cell r="D15200" t="str">
            <v>ASI2626TT</v>
          </cell>
          <cell r="BA15200">
            <v>230.99</v>
          </cell>
        </row>
        <row r="15201">
          <cell r="C15201" t="str">
            <v>7901 - MISC. SKYLITES/ACCESSORIES</v>
          </cell>
          <cell r="D15201" t="str">
            <v>ASI2650TT</v>
          </cell>
          <cell r="BA15201">
            <v>271.99</v>
          </cell>
        </row>
        <row r="15202">
          <cell r="C15202" t="str">
            <v>7901 - MISC. SKYLITES/ACCESSORIES</v>
          </cell>
          <cell r="D15202" t="str">
            <v>ASI2626FK</v>
          </cell>
          <cell r="BA15202">
            <v>110.99</v>
          </cell>
        </row>
        <row r="15203">
          <cell r="C15203" t="str">
            <v>7901 - MISC. SKYLITES/ACCESSORIES</v>
          </cell>
          <cell r="D15203" t="str">
            <v>ASI2650FK</v>
          </cell>
          <cell r="BA15203">
            <v>129.99</v>
          </cell>
        </row>
        <row r="15204">
          <cell r="C15204" t="str">
            <v>7901 - MISC. SKYLITES/ACCESSORIES</v>
          </cell>
          <cell r="D15204" t="str">
            <v>TGF-014</v>
          </cell>
          <cell r="BA15204">
            <v>313.99</v>
          </cell>
        </row>
        <row r="15205">
          <cell r="C15205" t="str">
            <v>7901 - MISC. SKYLITES/ACCESSORIES</v>
          </cell>
          <cell r="D15205" t="str">
            <v>FCM2222</v>
          </cell>
          <cell r="BA15205">
            <v>244.99</v>
          </cell>
        </row>
        <row r="15206">
          <cell r="C15206" t="str">
            <v>7901 - MISC. SKYLITES/ACCESSORIES</v>
          </cell>
          <cell r="D15206" t="str">
            <v>FCM2246</v>
          </cell>
          <cell r="BA15206">
            <v>292.99</v>
          </cell>
        </row>
        <row r="15207">
          <cell r="C15207" t="str">
            <v>7901 - MISC. SKYLITES/ACCESSORIES</v>
          </cell>
          <cell r="D15207" t="str">
            <v>FCM2246-2004S</v>
          </cell>
          <cell r="BA15207">
            <v>564.99</v>
          </cell>
        </row>
        <row r="15208">
          <cell r="C15208" t="str">
            <v>7901 - MISC. SKYLITES/ACCESSORIES</v>
          </cell>
          <cell r="D15208" t="str">
            <v>FCM22460004</v>
          </cell>
          <cell r="BA15208">
            <v>290.99</v>
          </cell>
        </row>
        <row r="15209">
          <cell r="C15209" t="str">
            <v>7901 - MISC. SKYLITES/ACCESSORIES</v>
          </cell>
          <cell r="D15209" t="str">
            <v>FCM22460005</v>
          </cell>
          <cell r="BA15209">
            <v>265.99</v>
          </cell>
        </row>
        <row r="15210">
          <cell r="C15210" t="str">
            <v>7901 - MISC. SKYLITES/ACCESSORIES</v>
          </cell>
          <cell r="D15210" t="str">
            <v>FSD062004</v>
          </cell>
          <cell r="BA15210">
            <v>403.99</v>
          </cell>
        </row>
        <row r="15211">
          <cell r="C15211" t="str">
            <v>7901 - MISC. SKYLITES/ACCESSORIES</v>
          </cell>
          <cell r="D15211" t="str">
            <v>FCM4646</v>
          </cell>
          <cell r="BA15211">
            <v>450.99</v>
          </cell>
        </row>
        <row r="15212">
          <cell r="C15212" t="str">
            <v>7901 - MISC. SKYLITES/ACCESSORIES</v>
          </cell>
          <cell r="D15212" t="str">
            <v>ECL4646FLASH</v>
          </cell>
          <cell r="BA15212">
            <v>132.99</v>
          </cell>
        </row>
        <row r="15213">
          <cell r="C15213" t="str">
            <v>7901 - MISC. SKYLITES/ACCESSORIES</v>
          </cell>
          <cell r="D15213" t="str">
            <v>EDL06FLASH</v>
          </cell>
          <cell r="BA15213">
            <v>115.99</v>
          </cell>
        </row>
        <row r="15214">
          <cell r="C15214" t="str">
            <v>7901 - MISC. SKYLITES/ACCESSORIES</v>
          </cell>
          <cell r="D15214" t="str">
            <v>EDLC06</v>
          </cell>
          <cell r="BA15214">
            <v>96.99</v>
          </cell>
        </row>
        <row r="15215">
          <cell r="C15215" t="str">
            <v>7901 - MISC. SKYLITES/ACCESSORIES</v>
          </cell>
          <cell r="D15215" t="str">
            <v>ECL2246FLASH</v>
          </cell>
          <cell r="BA15215">
            <v>114.99</v>
          </cell>
        </row>
        <row r="15216">
          <cell r="C15216" t="str">
            <v>8001 - GLASS</v>
          </cell>
          <cell r="D15216" t="str">
            <v>GG35781118E</v>
          </cell>
          <cell r="BA15216">
            <v>39.99</v>
          </cell>
        </row>
        <row r="15217">
          <cell r="C15217" t="str">
            <v>8001 - GLASS</v>
          </cell>
          <cell r="D15217" t="str">
            <v>GG59781034</v>
          </cell>
          <cell r="BA15217">
            <v>22.49</v>
          </cell>
        </row>
        <row r="15218">
          <cell r="C15218" t="str">
            <v>8001 - GLASS</v>
          </cell>
          <cell r="D15218" t="str">
            <v>GG35781518E</v>
          </cell>
          <cell r="BA15218">
            <v>66.489999999999995</v>
          </cell>
        </row>
        <row r="15219">
          <cell r="C15219" t="str">
            <v>8601 - GARAGE DOOR UNITS</v>
          </cell>
          <cell r="D15219" t="str">
            <v>MD87700</v>
          </cell>
          <cell r="BA15219">
            <v>17.989999999999998</v>
          </cell>
        </row>
        <row r="15220">
          <cell r="C15220" t="str">
            <v>8602 - GARAGE DOOR PARTS/ACCESSORIES</v>
          </cell>
          <cell r="D15220" t="str">
            <v>MD87742</v>
          </cell>
          <cell r="BA15220">
            <v>16.989999999999998</v>
          </cell>
        </row>
        <row r="15221">
          <cell r="C15221" t="str">
            <v>8805 - PIPE &amp; ACCESSORIES</v>
          </cell>
          <cell r="D15221" t="str">
            <v>NWM318911</v>
          </cell>
          <cell r="BA15221">
            <v>0.01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83D29-0A01-4E04-8164-7AADDE86A596}" name="updatetool_PriceUpdate" displayName="updatetool_PriceUpdate" ref="A4:M135" totalsRowShown="0" headerRowDxfId="15" dataDxfId="14" tableBorderDxfId="13" headerRowCellStyle="Normal 18">
  <autoFilter ref="A4:M135" xr:uid="{0F297183-367C-47A2-8339-525F34409269}"/>
  <tableColumns count="13">
    <tableColumn id="1" xr3:uid="{DACAEA3F-1EAF-4C0E-A6F9-58492788C3CF}" name="Pricing Zone" dataDxfId="12" dataCellStyle="Normal 18">
      <calculatedColumnFormula>_xlfn.XLOOKUP(updatetool_PriceUpdate[[#This Row],[Item ID]], [1]!costsheet_UnconvertedPricing[Item ID], [1]!costsheet_UnconvertedPricing[Pricing Zone], "")</calculatedColumnFormula>
    </tableColumn>
    <tableColumn id="2" xr3:uid="{684E1A32-0898-4296-8717-5A680431C792}" name="Product Category" dataDxfId="11" dataCellStyle="Normal 18">
      <calculatedColumnFormula>_xlfn.XLOOKUP(updatetool_PriceUpdate[[#This Row],[Item ID]], [1]!costsheet_UnconvertedPricing[Item ID], [1]!costsheet_UnconvertedPricing[Product Category Description], "")</calculatedColumnFormula>
    </tableColumn>
    <tableColumn id="3" xr3:uid="{72F1F3C3-4CCD-4F8A-9E84-B6C1F5271D3B}" name="Minor Category" dataDxfId="10" dataCellStyle="Normal 18">
      <calculatedColumnFormula>_xlfn.XLOOKUP(updatetool_PriceUpdate[[#This Row],[Item ID]], [1]!costsheet_UnconvertedPricing[Item ID], [1]!costsheet_UnconvertedPricing[Minor Category Description], "")</calculatedColumnFormula>
    </tableColumn>
    <tableColumn id="4" xr3:uid="{70C98A7A-FFC2-4056-BEA8-A7CD88E983A9}" name="Item ID" dataDxfId="9" dataCellStyle="Normal 18">
      <calculatedColumnFormula array="1">_xlfn._xlws.FILTER([1]!costsheet_Conversion[[#This Row],[SKU]], [1]!costsheet_Conversion[[#This Row],[SKU]]&lt;&gt;"")</calculatedColumnFormula>
    </tableColumn>
    <tableColumn id="5" xr3:uid="{6E1C0D9D-EC46-4FA0-9575-E6031B6B0632}" name="Description" dataDxfId="8">
      <calculatedColumnFormula>_xlfn.XLOOKUP(updatetool_PriceUpdate[[#This Row],[Item ID]], [1]!costsheet_UnconvertedPricing[Item ID], [1]!costsheet_UnconvertedPricing[Item Description], "")</calculatedColumnFormula>
    </tableColumn>
    <tableColumn id="6" xr3:uid="{6F021A5C-5BB3-46D2-90B6-A631BA1B4466}" name="New_Price" dataDxfId="7">
      <calculatedColumnFormula>_xlfn.XLOOKUP(updatetool_PriceUpdate[[#This Row],[Item ID]], [1]!costsheet_Conversion[SKU], [1]!costsheet_Conversion[Sell_UOM], "")</calculatedColumnFormula>
    </tableColumn>
    <tableColumn id="10" xr3:uid="{C0C97524-A043-44AA-B6C7-1BCA75D432A6}" name="Price Level" dataDxfId="6" dataCellStyle="Normal 18">
      <calculatedColumnFormula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calculatedColumnFormula>
    </tableColumn>
    <tableColumn id="11" xr3:uid="{080CB6C1-D3C0-4CE5-88A4-F10C2802F893}" name="Status" dataDxfId="5" dataCellStyle="Normal 18"/>
    <tableColumn id="12" xr3:uid="{0FB5A56E-F151-4528-8D98-F9BF68A23C38}" name="Target Column" dataDxfId="4" dataCellStyle="Normal 18">
      <calculatedColumnFormula>IF(G5="","",INDEX('[1]PRICE SHEET MAP'!$3:$3,1,18+(G5*3)-1))</calculatedColumnFormula>
    </tableColumn>
    <tableColumn id="13" xr3:uid="{CD8D5F22-6F22-416B-B306-B012FC77BA85}" name="Notes" dataDxfId="3" dataCellStyle="Normal 18">
      <calculatedColumnFormula>IF(G5="","","Will update PL"&amp;TEXT(G5,"00")&amp;" → Column "&amp;I5)</calculatedColumnFormula>
    </tableColumn>
    <tableColumn id="9" xr3:uid="{F0746F24-05AA-45FB-8D2F-736A999A5D72}" name="Category" dataDxfId="2" dataCellStyle="Normal 18">
      <calculatedColumnFormula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calculatedColumnFormula>
    </tableColumn>
    <tableColumn id="7" xr3:uid="{2C52D90A-60E6-4273-A8A5-558B06F23489}" name="Dart_Category_No" dataDxfId="1" dataCellStyle="Normal 18">
      <calculatedColumnFormula>_xlfn.XLOOKUP(updatetool_PriceUpdate[[#This Row],[Minor_Category_No]],[1]!reference_Dart[Online Minor Code],[1]!reference_Dart[DART Major Code])</calculatedColumnFormula>
    </tableColumn>
    <tableColumn id="8" xr3:uid="{870518E0-4E96-4BA2-BDCA-01571833D1D3}" name="Minor_Category_No" dataDxfId="0" dataCellStyle="Normal 18">
      <calculatedColumnFormula>_xlfn.NUMBERVALUE(K5)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AB00-6427-46CB-877A-28B3697CA7FB}">
  <sheetPr codeName="Sheet114"/>
  <dimension ref="A1:M135"/>
  <sheetViews>
    <sheetView tabSelected="1" zoomScale="70" zoomScaleNormal="70" workbookViewId="0">
      <selection activeCell="M4" sqref="M4"/>
    </sheetView>
  </sheetViews>
  <sheetFormatPr defaultColWidth="8.6328125" defaultRowHeight="14.5" x14ac:dyDescent="0.35"/>
  <cols>
    <col min="1" max="1" width="13.08984375" style="1" customWidth="1"/>
    <col min="2" max="2" width="25" style="1" bestFit="1" customWidth="1"/>
    <col min="3" max="3" width="30" style="1" bestFit="1" customWidth="1"/>
    <col min="4" max="4" width="15.26953125" style="1" bestFit="1" customWidth="1"/>
    <col min="5" max="5" width="35" style="1" bestFit="1" customWidth="1"/>
    <col min="6" max="6" width="14.36328125" style="1" customWidth="1"/>
    <col min="7" max="7" width="16.36328125" style="1" bestFit="1" customWidth="1"/>
    <col min="8" max="8" width="30" style="1" bestFit="1" customWidth="1"/>
    <col min="9" max="9" width="14.90625" style="1" customWidth="1"/>
    <col min="10" max="10" width="35" style="1" bestFit="1" customWidth="1"/>
    <col min="11" max="11" width="14.7265625" style="1" bestFit="1" customWidth="1"/>
    <col min="12" max="13" width="15" style="1" bestFit="1" customWidth="1"/>
    <col min="14" max="16384" width="8.6328125" style="1"/>
  </cols>
  <sheetData>
    <row r="1" spans="1:13" ht="17.5" customHeight="1" x14ac:dyDescent="0.35">
      <c r="A1" s="1" t="s">
        <v>0</v>
      </c>
      <c r="B1" s="1" t="s">
        <v>1</v>
      </c>
    </row>
    <row r="2" spans="1:13" ht="17.5" x14ac:dyDescent="0.35">
      <c r="A2" s="2" t="s">
        <v>2</v>
      </c>
    </row>
    <row r="3" spans="1:13" x14ac:dyDescent="0.35">
      <c r="A3" s="3" t="s">
        <v>3</v>
      </c>
    </row>
    <row r="4" spans="1:13" ht="29" x14ac:dyDescent="0.3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4" t="s">
        <v>14</v>
      </c>
      <c r="L4" s="4" t="s">
        <v>15</v>
      </c>
      <c r="M4" s="4" t="s">
        <v>16</v>
      </c>
    </row>
    <row r="5" spans="1:13" x14ac:dyDescent="0.35">
      <c r="A5" s="6" t="str">
        <f>_xlfn.XLOOKUP(updatetool_PriceUpdate[[#This Row],[Item ID]], [1]!costsheet_UnconvertedPricing[Item ID], [1]!costsheet_UnconvertedPricing[Pricing Zone], "")</f>
        <v>PORTOR</v>
      </c>
      <c r="B5" s="7" t="str">
        <f>_xlfn.XLOOKUP(updatetool_PriceUpdate[[#This Row],[Item ID]], [1]!costsheet_UnconvertedPricing[Item ID], [1]!costsheet_UnconvertedPricing[Product Category Description], "")</f>
        <v>30 - TREATED</v>
      </c>
      <c r="C5" s="7" t="str">
        <f>_xlfn.XLOOKUP(updatetool_PriceUpdate[[#This Row],[Item ID]], [1]!costsheet_UnconvertedPricing[Item ID], [1]!costsheet_UnconvertedPricing[Minor Category Description], "")</f>
        <v>3002 - TREATED LUMBER</v>
      </c>
      <c r="D5" s="7" t="str" cm="1">
        <f t="array" ref="D5">_xlfn._xlws.FILTER([1]!costsheet_Conversion[[#This Row],[SKU]], [1]!costsheet_Conversion[[#This Row],[SKU]]&lt;&gt;"")</f>
        <v>2616HF3TICAG</v>
      </c>
      <c r="E5" s="7" t="str">
        <f>_xlfn.XLOOKUP(updatetool_PriceUpdate[[#This Row],[Item ID]], [1]!costsheet_UnconvertedPricing[Item ID], [1]!costsheet_UnconvertedPricing[Item Description], "")</f>
        <v>2X6-16' #3 HF TRTD AG ICT</v>
      </c>
      <c r="F5" s="7">
        <f>_xlfn.XLOOKUP(updatetool_PriceUpdate[[#This Row],[Item ID]], [1]!costsheet_Conversion[SKU], [1]!costsheet_Conversion[Sell_UOM], "")</f>
        <v>857.65</v>
      </c>
      <c r="G5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5" s="9"/>
      <c r="I5" s="10" t="str">
        <f>IF(G5="","",INDEX('[1]PRICE SHEET MAP'!$3:$3,1,18+(G5*3)-1))</f>
        <v>AR</v>
      </c>
      <c r="J5" s="11" t="str">
        <f>IF(G5="","","Will update PL"&amp;TEXT(G5,"00")&amp;" → Column "&amp;I5)</f>
        <v>Will update PL09 → Column AR</v>
      </c>
      <c r="K5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5" s="13">
        <f>_xlfn.XLOOKUP(updatetool_PriceUpdate[[#This Row],[Minor_Category_No]],[1]!reference_Dart[Online Minor Code],[1]!reference_Dart[DART Major Code])</f>
        <v>1</v>
      </c>
      <c r="M5" s="13">
        <f t="shared" ref="M5:M68" si="0">_xlfn.NUMBERVALUE(K5)</f>
        <v>3002</v>
      </c>
    </row>
    <row r="6" spans="1:13" x14ac:dyDescent="0.35">
      <c r="A6" s="6" t="str">
        <f>_xlfn.XLOOKUP(updatetool_PriceUpdate[[#This Row],[Item ID]], [1]!costsheet_UnconvertedPricing[Item ID], [1]!costsheet_UnconvertedPricing[Pricing Zone], "")</f>
        <v>PORTOR</v>
      </c>
      <c r="B6" s="7" t="str">
        <f>_xlfn.XLOOKUP(updatetool_PriceUpdate[[#This Row],[Item ID]], [1]!costsheet_UnconvertedPricing[Item ID], [1]!costsheet_UnconvertedPricing[Product Category Description], "")</f>
        <v>30 - TREATED</v>
      </c>
      <c r="C6" s="7" t="str">
        <f>_xlfn.XLOOKUP(updatetool_PriceUpdate[[#This Row],[Item ID]], [1]!costsheet_UnconvertedPricing[Item ID], [1]!costsheet_UnconvertedPricing[Minor Category Description], "")</f>
        <v>3002 - TREATED LUMBER</v>
      </c>
      <c r="D6" s="7" t="str" cm="1">
        <f t="array" ref="D6">_xlfn._xlws.FILTER([1]!costsheet_Conversion[[#This Row],[SKU]], [1]!costsheet_Conversion[[#This Row],[SKU]]&lt;&gt;"")</f>
        <v>248HF2TICGC</v>
      </c>
      <c r="E6" s="7" t="str">
        <f>_xlfn.XLOOKUP(updatetool_PriceUpdate[[#This Row],[Item ID]], [1]!costsheet_UnconvertedPricing[Item ID], [1]!costsheet_UnconvertedPricing[Item Description], "")</f>
        <v>2X4-8' #2 HF TRTD GC ICT</v>
      </c>
      <c r="F6" s="7">
        <f>_xlfn.XLOOKUP(updatetool_PriceUpdate[[#This Row],[Item ID]], [1]!costsheet_Conversion[SKU], [1]!costsheet_Conversion[Sell_UOM], "")</f>
        <v>1082.3499999999999</v>
      </c>
      <c r="G6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6" s="9"/>
      <c r="I6" s="10" t="str">
        <f>IF(G6="","",INDEX('[1]PRICE SHEET MAP'!$3:$3,1,18+(G6*3)-1))</f>
        <v>AR</v>
      </c>
      <c r="J6" s="11" t="str">
        <f t="shared" ref="J6:J69" si="1">IF(G6="","","Will update PL"&amp;TEXT(G6,"00")&amp;" → Column "&amp;I6)</f>
        <v>Will update PL09 → Column AR</v>
      </c>
      <c r="K6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6" s="13">
        <f>_xlfn.XLOOKUP(updatetool_PriceUpdate[[#This Row],[Minor_Category_No]],[1]!reference_Dart[Online Minor Code],[1]!reference_Dart[DART Major Code])</f>
        <v>1</v>
      </c>
      <c r="M6" s="13">
        <f t="shared" si="0"/>
        <v>3002</v>
      </c>
    </row>
    <row r="7" spans="1:13" x14ac:dyDescent="0.35">
      <c r="A7" s="6" t="str">
        <f>_xlfn.XLOOKUP(updatetool_PriceUpdate[[#This Row],[Item ID]], [1]!costsheet_UnconvertedPricing[Item ID], [1]!costsheet_UnconvertedPricing[Pricing Zone], "")</f>
        <v>PORTOR</v>
      </c>
      <c r="B7" s="7" t="str">
        <f>_xlfn.XLOOKUP(updatetool_PriceUpdate[[#This Row],[Item ID]], [1]!costsheet_UnconvertedPricing[Item ID], [1]!costsheet_UnconvertedPricing[Product Category Description], "")</f>
        <v>30 - TREATED</v>
      </c>
      <c r="C7" s="7" t="str">
        <f>_xlfn.XLOOKUP(updatetool_PriceUpdate[[#This Row],[Item ID]], [1]!costsheet_UnconvertedPricing[Item ID], [1]!costsheet_UnconvertedPricing[Minor Category Description], "")</f>
        <v>3002 - TREATED LUMBER</v>
      </c>
      <c r="D7" s="7" t="str" cm="1">
        <f t="array" ref="D7">_xlfn._xlws.FILTER([1]!costsheet_Conversion[[#This Row],[SKU]], [1]!costsheet_Conversion[[#This Row],[SKU]]&lt;&gt;"")</f>
        <v>2412HF2TICGC</v>
      </c>
      <c r="E7" s="7" t="str">
        <f>_xlfn.XLOOKUP(updatetool_PriceUpdate[[#This Row],[Item ID]], [1]!costsheet_UnconvertedPricing[Item ID], [1]!costsheet_UnconvertedPricing[Item Description], "")</f>
        <v>2X4-12' #2 HF TRTD GC ICT</v>
      </c>
      <c r="F7" s="7">
        <f>_xlfn.XLOOKUP(updatetool_PriceUpdate[[#This Row],[Item ID]], [1]!costsheet_Conversion[SKU], [1]!costsheet_Conversion[Sell_UOM], "")</f>
        <v>1082.3499999999999</v>
      </c>
      <c r="G7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7" s="9"/>
      <c r="I7" s="10" t="str">
        <f>IF(G7="","",INDEX('[1]PRICE SHEET MAP'!$3:$3,1,18+(G7*3)-1))</f>
        <v>AR</v>
      </c>
      <c r="J7" s="11" t="str">
        <f t="shared" si="1"/>
        <v>Will update PL09 → Column AR</v>
      </c>
      <c r="K7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7" s="13">
        <f>_xlfn.XLOOKUP(updatetool_PriceUpdate[[#This Row],[Minor_Category_No]],[1]!reference_Dart[Online Minor Code],[1]!reference_Dart[DART Major Code])</f>
        <v>1</v>
      </c>
      <c r="M7" s="13">
        <f t="shared" si="0"/>
        <v>3002</v>
      </c>
    </row>
    <row r="8" spans="1:13" x14ac:dyDescent="0.35">
      <c r="A8" s="6" t="str">
        <f>_xlfn.XLOOKUP(updatetool_PriceUpdate[[#This Row],[Item ID]], [1]!costsheet_UnconvertedPricing[Item ID], [1]!costsheet_UnconvertedPricing[Pricing Zone], "")</f>
        <v>PORTOR</v>
      </c>
      <c r="B8" s="7" t="str">
        <f>_xlfn.XLOOKUP(updatetool_PriceUpdate[[#This Row],[Item ID]], [1]!costsheet_UnconvertedPricing[Item ID], [1]!costsheet_UnconvertedPricing[Product Category Description], "")</f>
        <v>30 - TREATED</v>
      </c>
      <c r="C8" s="7" t="str">
        <f>_xlfn.XLOOKUP(updatetool_PriceUpdate[[#This Row],[Item ID]], [1]!costsheet_UnconvertedPricing[Item ID], [1]!costsheet_UnconvertedPricing[Minor Category Description], "")</f>
        <v>3002 - TREATED LUMBER</v>
      </c>
      <c r="D8" s="7" t="str" cm="1">
        <f t="array" ref="D8">_xlfn._xlws.FILTER([1]!costsheet_Conversion[[#This Row],[SKU]], [1]!costsheet_Conversion[[#This Row],[SKU]]&lt;&gt;"")</f>
        <v>2420HF2TICGC</v>
      </c>
      <c r="E8" s="7" t="str">
        <f>_xlfn.XLOOKUP(updatetool_PriceUpdate[[#This Row],[Item ID]], [1]!costsheet_UnconvertedPricing[Item ID], [1]!costsheet_UnconvertedPricing[Item Description], "")</f>
        <v>2X4-20' #2 HF TRTD GC ICT</v>
      </c>
      <c r="F8" s="7">
        <f>_xlfn.XLOOKUP(updatetool_PriceUpdate[[#This Row],[Item ID]], [1]!costsheet_Conversion[SKU], [1]!costsheet_Conversion[Sell_UOM], "")</f>
        <v>1082.3499999999999</v>
      </c>
      <c r="G8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8" s="9"/>
      <c r="I8" s="10" t="str">
        <f>IF(G8="","",INDEX('[1]PRICE SHEET MAP'!$3:$3,1,18+(G8*3)-1))</f>
        <v>AR</v>
      </c>
      <c r="J8" s="11" t="str">
        <f t="shared" si="1"/>
        <v>Will update PL09 → Column AR</v>
      </c>
      <c r="K8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8" s="13">
        <f>_xlfn.XLOOKUP(updatetool_PriceUpdate[[#This Row],[Minor_Category_No]],[1]!reference_Dart[Online Minor Code],[1]!reference_Dart[DART Major Code])</f>
        <v>1</v>
      </c>
      <c r="M8" s="13">
        <f t="shared" si="0"/>
        <v>3002</v>
      </c>
    </row>
    <row r="9" spans="1:13" x14ac:dyDescent="0.35">
      <c r="A9" s="6" t="str">
        <f>_xlfn.XLOOKUP(updatetool_PriceUpdate[[#This Row],[Item ID]], [1]!costsheet_UnconvertedPricing[Item ID], [1]!costsheet_UnconvertedPricing[Pricing Zone], "")</f>
        <v>PORTOR</v>
      </c>
      <c r="B9" s="7" t="str">
        <f>_xlfn.XLOOKUP(updatetool_PriceUpdate[[#This Row],[Item ID]], [1]!costsheet_UnconvertedPricing[Item ID], [1]!costsheet_UnconvertedPricing[Product Category Description], "")</f>
        <v>30 - TREATED</v>
      </c>
      <c r="C9" s="7" t="str">
        <f>_xlfn.XLOOKUP(updatetool_PriceUpdate[[#This Row],[Item ID]], [1]!costsheet_UnconvertedPricing[Item ID], [1]!costsheet_UnconvertedPricing[Minor Category Description], "")</f>
        <v>3002 - TREATED LUMBER</v>
      </c>
      <c r="D9" s="7" t="str" cm="1">
        <f t="array" ref="D9">_xlfn._xlws.FILTER([1]!costsheet_Conversion[[#This Row],[SKU]], [1]!costsheet_Conversion[[#This Row],[SKU]]&lt;&gt;"")</f>
        <v>268HF2TICGC</v>
      </c>
      <c r="E9" s="7" t="str">
        <f>_xlfn.XLOOKUP(updatetool_PriceUpdate[[#This Row],[Item ID]], [1]!costsheet_UnconvertedPricing[Item ID], [1]!costsheet_UnconvertedPricing[Item Description], "")</f>
        <v>2X6-8' #2 HF TRTD GC ICT</v>
      </c>
      <c r="F9" s="7">
        <f>_xlfn.XLOOKUP(updatetool_PriceUpdate[[#This Row],[Item ID]], [1]!costsheet_Conversion[SKU], [1]!costsheet_Conversion[Sell_UOM], "")</f>
        <v>1005.88</v>
      </c>
      <c r="G9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9" s="9"/>
      <c r="I9" s="10" t="str">
        <f>IF(G9="","",INDEX('[1]PRICE SHEET MAP'!$3:$3,1,18+(G9*3)-1))</f>
        <v>AR</v>
      </c>
      <c r="J9" s="11" t="str">
        <f t="shared" si="1"/>
        <v>Will update PL09 → Column AR</v>
      </c>
      <c r="K9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9" s="13">
        <f>_xlfn.XLOOKUP(updatetool_PriceUpdate[[#This Row],[Minor_Category_No]],[1]!reference_Dart[Online Minor Code],[1]!reference_Dart[DART Major Code])</f>
        <v>1</v>
      </c>
      <c r="M9" s="13">
        <f t="shared" si="0"/>
        <v>3002</v>
      </c>
    </row>
    <row r="10" spans="1:13" x14ac:dyDescent="0.35">
      <c r="A10" s="6" t="str">
        <f>_xlfn.XLOOKUP(updatetool_PriceUpdate[[#This Row],[Item ID]], [1]!costsheet_UnconvertedPricing[Item ID], [1]!costsheet_UnconvertedPricing[Pricing Zone], "")</f>
        <v>PORTOR</v>
      </c>
      <c r="B10" s="7" t="str">
        <f>_xlfn.XLOOKUP(updatetool_PriceUpdate[[#This Row],[Item ID]], [1]!costsheet_UnconvertedPricing[Item ID], [1]!costsheet_UnconvertedPricing[Product Category Description], "")</f>
        <v>30 - TREATED</v>
      </c>
      <c r="C10" s="7" t="str">
        <f>_xlfn.XLOOKUP(updatetool_PriceUpdate[[#This Row],[Item ID]], [1]!costsheet_UnconvertedPricing[Item ID], [1]!costsheet_UnconvertedPricing[Minor Category Description], "")</f>
        <v>3002 - TREATED LUMBER</v>
      </c>
      <c r="D10" s="7" t="str" cm="1">
        <f t="array" ref="D10">_xlfn._xlws.FILTER([1]!costsheet_Conversion[[#This Row],[SKU]], [1]!costsheet_Conversion[[#This Row],[SKU]]&lt;&gt;"")</f>
        <v>2610HF2TICGC</v>
      </c>
      <c r="E10" s="7" t="str">
        <f>_xlfn.XLOOKUP(updatetool_PriceUpdate[[#This Row],[Item ID]], [1]!costsheet_UnconvertedPricing[Item ID], [1]!costsheet_UnconvertedPricing[Item Description], "")</f>
        <v>2X6-10' #2 HF TRTD GC ICT</v>
      </c>
      <c r="F10" s="7">
        <f>_xlfn.XLOOKUP(updatetool_PriceUpdate[[#This Row],[Item ID]], [1]!costsheet_Conversion[SKU], [1]!costsheet_Conversion[Sell_UOM], "")</f>
        <v>1005.88</v>
      </c>
      <c r="G10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0" s="9"/>
      <c r="I10" s="10" t="str">
        <f>IF(G10="","",INDEX('[1]PRICE SHEET MAP'!$3:$3,1,18+(G10*3)-1))</f>
        <v>AR</v>
      </c>
      <c r="J10" s="11" t="str">
        <f t="shared" si="1"/>
        <v>Will update PL09 → Column AR</v>
      </c>
      <c r="K10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10" s="13">
        <f>_xlfn.XLOOKUP(updatetool_PriceUpdate[[#This Row],[Minor_Category_No]],[1]!reference_Dart[Online Minor Code],[1]!reference_Dart[DART Major Code])</f>
        <v>1</v>
      </c>
      <c r="M10" s="13">
        <f t="shared" si="0"/>
        <v>3002</v>
      </c>
    </row>
    <row r="11" spans="1:13" x14ac:dyDescent="0.35">
      <c r="A11" s="6" t="str">
        <f>_xlfn.XLOOKUP(updatetool_PriceUpdate[[#This Row],[Item ID]], [1]!costsheet_UnconvertedPricing[Item ID], [1]!costsheet_UnconvertedPricing[Pricing Zone], "")</f>
        <v>PORTOR</v>
      </c>
      <c r="B11" s="7" t="str">
        <f>_xlfn.XLOOKUP(updatetool_PriceUpdate[[#This Row],[Item ID]], [1]!costsheet_UnconvertedPricing[Item ID], [1]!costsheet_UnconvertedPricing[Product Category Description], "")</f>
        <v>30 - TREATED</v>
      </c>
      <c r="C11" s="7" t="str">
        <f>_xlfn.XLOOKUP(updatetool_PriceUpdate[[#This Row],[Item ID]], [1]!costsheet_UnconvertedPricing[Item ID], [1]!costsheet_UnconvertedPricing[Minor Category Description], "")</f>
        <v>3002 - TREATED LUMBER</v>
      </c>
      <c r="D11" s="7" t="str" cm="1">
        <f t="array" ref="D11">_xlfn._xlws.FILTER([1]!costsheet_Conversion[[#This Row],[SKU]], [1]!costsheet_Conversion[[#This Row],[SKU]]&lt;&gt;"")</f>
        <v>2612HF2TICGC</v>
      </c>
      <c r="E11" s="7" t="str">
        <f>_xlfn.XLOOKUP(updatetool_PriceUpdate[[#This Row],[Item ID]], [1]!costsheet_UnconvertedPricing[Item ID], [1]!costsheet_UnconvertedPricing[Item Description], "")</f>
        <v>2X6-12' #2 HF TRTD GC ICT</v>
      </c>
      <c r="F11" s="7">
        <f>_xlfn.XLOOKUP(updatetool_PriceUpdate[[#This Row],[Item ID]], [1]!costsheet_Conversion[SKU], [1]!costsheet_Conversion[Sell_UOM], "")</f>
        <v>1005.88</v>
      </c>
      <c r="G11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1" s="9"/>
      <c r="I11" s="10" t="str">
        <f>IF(G11="","",INDEX('[1]PRICE SHEET MAP'!$3:$3,1,18+(G11*3)-1))</f>
        <v>AR</v>
      </c>
      <c r="J11" s="11" t="str">
        <f t="shared" si="1"/>
        <v>Will update PL09 → Column AR</v>
      </c>
      <c r="K11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11" s="13">
        <f>_xlfn.XLOOKUP(updatetool_PriceUpdate[[#This Row],[Minor_Category_No]],[1]!reference_Dart[Online Minor Code],[1]!reference_Dart[DART Major Code])</f>
        <v>1</v>
      </c>
      <c r="M11" s="13">
        <f t="shared" si="0"/>
        <v>3002</v>
      </c>
    </row>
    <row r="12" spans="1:13" x14ac:dyDescent="0.35">
      <c r="A12" s="6" t="str">
        <f>_xlfn.XLOOKUP(updatetool_PriceUpdate[[#This Row],[Item ID]], [1]!costsheet_UnconvertedPricing[Item ID], [1]!costsheet_UnconvertedPricing[Pricing Zone], "")</f>
        <v>PORTOR</v>
      </c>
      <c r="B12" s="7" t="str">
        <f>_xlfn.XLOOKUP(updatetool_PriceUpdate[[#This Row],[Item ID]], [1]!costsheet_UnconvertedPricing[Item ID], [1]!costsheet_UnconvertedPricing[Product Category Description], "")</f>
        <v>30 - TREATED</v>
      </c>
      <c r="C12" s="7" t="str">
        <f>_xlfn.XLOOKUP(updatetool_PriceUpdate[[#This Row],[Item ID]], [1]!costsheet_UnconvertedPricing[Item ID], [1]!costsheet_UnconvertedPricing[Minor Category Description], "")</f>
        <v>3002 - TREATED LUMBER</v>
      </c>
      <c r="D12" s="7" t="str" cm="1">
        <f t="array" ref="D12">_xlfn._xlws.FILTER([1]!costsheet_Conversion[[#This Row],[SKU]], [1]!costsheet_Conversion[[#This Row],[SKU]]&lt;&gt;"")</f>
        <v>2614HF2TICGC</v>
      </c>
      <c r="E12" s="7" t="str">
        <f>_xlfn.XLOOKUP(updatetool_PriceUpdate[[#This Row],[Item ID]], [1]!costsheet_UnconvertedPricing[Item ID], [1]!costsheet_UnconvertedPricing[Item Description], "")</f>
        <v>2X6-14' #2 HF TRTD GC ICT</v>
      </c>
      <c r="F12" s="7">
        <f>_xlfn.XLOOKUP(updatetool_PriceUpdate[[#This Row],[Item ID]], [1]!costsheet_Conversion[SKU], [1]!costsheet_Conversion[Sell_UOM], "")</f>
        <v>1005.88</v>
      </c>
      <c r="G12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2" s="9"/>
      <c r="I12" s="10" t="str">
        <f>IF(G12="","",INDEX('[1]PRICE SHEET MAP'!$3:$3,1,18+(G12*3)-1))</f>
        <v>AR</v>
      </c>
      <c r="J12" s="11" t="str">
        <f t="shared" si="1"/>
        <v>Will update PL09 → Column AR</v>
      </c>
      <c r="K12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12" s="13">
        <f>_xlfn.XLOOKUP(updatetool_PriceUpdate[[#This Row],[Minor_Category_No]],[1]!reference_Dart[Online Minor Code],[1]!reference_Dart[DART Major Code])</f>
        <v>1</v>
      </c>
      <c r="M12" s="13">
        <f t="shared" si="0"/>
        <v>3002</v>
      </c>
    </row>
    <row r="13" spans="1:13" x14ac:dyDescent="0.35">
      <c r="A13" s="6" t="str">
        <f>_xlfn.XLOOKUP(updatetool_PriceUpdate[[#This Row],[Item ID]], [1]!costsheet_UnconvertedPricing[Item ID], [1]!costsheet_UnconvertedPricing[Pricing Zone], "")</f>
        <v>PORTOR</v>
      </c>
      <c r="B13" s="7" t="str">
        <f>_xlfn.XLOOKUP(updatetool_PriceUpdate[[#This Row],[Item ID]], [1]!costsheet_UnconvertedPricing[Item ID], [1]!costsheet_UnconvertedPricing[Product Category Description], "")</f>
        <v>30 - TREATED</v>
      </c>
      <c r="C13" s="7" t="str">
        <f>_xlfn.XLOOKUP(updatetool_PriceUpdate[[#This Row],[Item ID]], [1]!costsheet_UnconvertedPricing[Item ID], [1]!costsheet_UnconvertedPricing[Minor Category Description], "")</f>
        <v>3002 - TREATED LUMBER</v>
      </c>
      <c r="D13" s="7" t="str" cm="1">
        <f t="array" ref="D13">_xlfn._xlws.FILTER([1]!costsheet_Conversion[[#This Row],[SKU]], [1]!costsheet_Conversion[[#This Row],[SKU]]&lt;&gt;"")</f>
        <v>2616HF2TICGC</v>
      </c>
      <c r="E13" s="7" t="str">
        <f>_xlfn.XLOOKUP(updatetool_PriceUpdate[[#This Row],[Item ID]], [1]!costsheet_UnconvertedPricing[Item ID], [1]!costsheet_UnconvertedPricing[Item Description], "")</f>
        <v>2X6-16' #2 HF TRTD GC ICT</v>
      </c>
      <c r="F13" s="7">
        <f>_xlfn.XLOOKUP(updatetool_PriceUpdate[[#This Row],[Item ID]], [1]!costsheet_Conversion[SKU], [1]!costsheet_Conversion[Sell_UOM], "")</f>
        <v>1005.88</v>
      </c>
      <c r="G13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3" s="9"/>
      <c r="I13" s="10" t="str">
        <f>IF(G13="","",INDEX('[1]PRICE SHEET MAP'!$3:$3,1,18+(G13*3)-1))</f>
        <v>AR</v>
      </c>
      <c r="J13" s="11" t="str">
        <f t="shared" si="1"/>
        <v>Will update PL09 → Column AR</v>
      </c>
      <c r="K13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13" s="13">
        <f>_xlfn.XLOOKUP(updatetool_PriceUpdate[[#This Row],[Minor_Category_No]],[1]!reference_Dart[Online Minor Code],[1]!reference_Dart[DART Major Code])</f>
        <v>1</v>
      </c>
      <c r="M13" s="13">
        <f t="shared" si="0"/>
        <v>3002</v>
      </c>
    </row>
    <row r="14" spans="1:13" x14ac:dyDescent="0.35">
      <c r="A14" s="6" t="str">
        <f>_xlfn.XLOOKUP(updatetool_PriceUpdate[[#This Row],[Item ID]], [1]!costsheet_UnconvertedPricing[Item ID], [1]!costsheet_UnconvertedPricing[Pricing Zone], "")</f>
        <v>PORTOR</v>
      </c>
      <c r="B14" s="7" t="str">
        <f>_xlfn.XLOOKUP(updatetool_PriceUpdate[[#This Row],[Item ID]], [1]!costsheet_UnconvertedPricing[Item ID], [1]!costsheet_UnconvertedPricing[Product Category Description], "")</f>
        <v>30 - TREATED</v>
      </c>
      <c r="C14" s="7" t="str">
        <f>_xlfn.XLOOKUP(updatetool_PriceUpdate[[#This Row],[Item ID]], [1]!costsheet_UnconvertedPricing[Item ID], [1]!costsheet_UnconvertedPricing[Minor Category Description], "")</f>
        <v>3002 - TREATED LUMBER</v>
      </c>
      <c r="D14" s="7" t="str" cm="1">
        <f t="array" ref="D14">_xlfn._xlws.FILTER([1]!costsheet_Conversion[[#This Row],[SKU]], [1]!costsheet_Conversion[[#This Row],[SKU]]&lt;&gt;"")</f>
        <v>2620HF2TICGC</v>
      </c>
      <c r="E14" s="7" t="str">
        <f>_xlfn.XLOOKUP(updatetool_PriceUpdate[[#This Row],[Item ID]], [1]!costsheet_UnconvertedPricing[Item ID], [1]!costsheet_UnconvertedPricing[Item Description], "")</f>
        <v>2X6-20' #2 HF TRTD GC ICT</v>
      </c>
      <c r="F14" s="7">
        <f>_xlfn.XLOOKUP(updatetool_PriceUpdate[[#This Row],[Item ID]], [1]!costsheet_Conversion[SKU], [1]!costsheet_Conversion[Sell_UOM], "")</f>
        <v>1005.88</v>
      </c>
      <c r="G14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4" s="9"/>
      <c r="I14" s="10" t="str">
        <f>IF(G14="","",INDEX('[1]PRICE SHEET MAP'!$3:$3,1,18+(G14*3)-1))</f>
        <v>AR</v>
      </c>
      <c r="J14" s="11" t="str">
        <f t="shared" si="1"/>
        <v>Will update PL09 → Column AR</v>
      </c>
      <c r="K14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14" s="13">
        <f>_xlfn.XLOOKUP(updatetool_PriceUpdate[[#This Row],[Minor_Category_No]],[1]!reference_Dart[Online Minor Code],[1]!reference_Dart[DART Major Code])</f>
        <v>1</v>
      </c>
      <c r="M14" s="13">
        <f t="shared" si="0"/>
        <v>3002</v>
      </c>
    </row>
    <row r="15" spans="1:13" x14ac:dyDescent="0.35">
      <c r="A15" s="6" t="str">
        <f>_xlfn.XLOOKUP(updatetool_PriceUpdate[[#This Row],[Item ID]], [1]!costsheet_UnconvertedPricing[Item ID], [1]!costsheet_UnconvertedPricing[Pricing Zone], "")</f>
        <v>PORTOR</v>
      </c>
      <c r="B15" s="7" t="str">
        <f>_xlfn.XLOOKUP(updatetool_PriceUpdate[[#This Row],[Item ID]], [1]!costsheet_UnconvertedPricing[Item ID], [1]!costsheet_UnconvertedPricing[Product Category Description], "")</f>
        <v>30 - TREATED</v>
      </c>
      <c r="C15" s="7" t="str">
        <f>_xlfn.XLOOKUP(updatetool_PriceUpdate[[#This Row],[Item ID]], [1]!costsheet_UnconvertedPricing[Item ID], [1]!costsheet_UnconvertedPricing[Minor Category Description], "")</f>
        <v>3002 - TREATED LUMBER</v>
      </c>
      <c r="D15" s="7" t="str" cm="1">
        <f t="array" ref="D15">_xlfn._xlws.FILTER([1]!costsheet_Conversion[[#This Row],[SKU]], [1]!costsheet_Conversion[[#This Row],[SKU]]&lt;&gt;"")</f>
        <v>288HF2TICGC</v>
      </c>
      <c r="E15" s="7" t="str">
        <f>_xlfn.XLOOKUP(updatetool_PriceUpdate[[#This Row],[Item ID]], [1]!costsheet_UnconvertedPricing[Item ID], [1]!costsheet_UnconvertedPricing[Item Description], "")</f>
        <v>2X8-8' #2 HF TRTD GC ICT</v>
      </c>
      <c r="F15" s="7">
        <f>_xlfn.XLOOKUP(updatetool_PriceUpdate[[#This Row],[Item ID]], [1]!costsheet_Conversion[SKU], [1]!costsheet_Conversion[Sell_UOM], "")</f>
        <v>1047.06</v>
      </c>
      <c r="G15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5" s="9"/>
      <c r="I15" s="10" t="str">
        <f>IF(G15="","",INDEX('[1]PRICE SHEET MAP'!$3:$3,1,18+(G15*3)-1))</f>
        <v>AR</v>
      </c>
      <c r="J15" s="11" t="str">
        <f t="shared" si="1"/>
        <v>Will update PL09 → Column AR</v>
      </c>
      <c r="K15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15" s="13">
        <f>_xlfn.XLOOKUP(updatetool_PriceUpdate[[#This Row],[Minor_Category_No]],[1]!reference_Dart[Online Minor Code],[1]!reference_Dart[DART Major Code])</f>
        <v>1</v>
      </c>
      <c r="M15" s="13">
        <f t="shared" si="0"/>
        <v>3002</v>
      </c>
    </row>
    <row r="16" spans="1:13" x14ac:dyDescent="0.35">
      <c r="A16" s="6" t="str">
        <f>_xlfn.XLOOKUP(updatetool_PriceUpdate[[#This Row],[Item ID]], [1]!costsheet_UnconvertedPricing[Item ID], [1]!costsheet_UnconvertedPricing[Pricing Zone], "")</f>
        <v>PORTOR</v>
      </c>
      <c r="B16" s="7" t="str">
        <f>_xlfn.XLOOKUP(updatetool_PriceUpdate[[#This Row],[Item ID]], [1]!costsheet_UnconvertedPricing[Item ID], [1]!costsheet_UnconvertedPricing[Product Category Description], "")</f>
        <v>30 - TREATED</v>
      </c>
      <c r="C16" s="7" t="str">
        <f>_xlfn.XLOOKUP(updatetool_PriceUpdate[[#This Row],[Item ID]], [1]!costsheet_UnconvertedPricing[Item ID], [1]!costsheet_UnconvertedPricing[Minor Category Description], "")</f>
        <v>3002 - TREATED LUMBER</v>
      </c>
      <c r="D16" s="7" t="str" cm="1">
        <f t="array" ref="D16">_xlfn._xlws.FILTER([1]!costsheet_Conversion[[#This Row],[SKU]], [1]!costsheet_Conversion[[#This Row],[SKU]]&lt;&gt;"")</f>
        <v>2810HF2TICGC</v>
      </c>
      <c r="E16" s="7" t="str">
        <f>_xlfn.XLOOKUP(updatetool_PriceUpdate[[#This Row],[Item ID]], [1]!costsheet_UnconvertedPricing[Item ID], [1]!costsheet_UnconvertedPricing[Item Description], "")</f>
        <v>2X8-10' #2 HF TRTD GC ICT</v>
      </c>
      <c r="F16" s="7">
        <f>_xlfn.XLOOKUP(updatetool_PriceUpdate[[#This Row],[Item ID]], [1]!costsheet_Conversion[SKU], [1]!costsheet_Conversion[Sell_UOM], "")</f>
        <v>1047.06</v>
      </c>
      <c r="G16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6" s="9"/>
      <c r="I16" s="10" t="str">
        <f>IF(G16="","",INDEX('[1]PRICE SHEET MAP'!$3:$3,1,18+(G16*3)-1))</f>
        <v>AR</v>
      </c>
      <c r="J16" s="11" t="str">
        <f t="shared" si="1"/>
        <v>Will update PL09 → Column AR</v>
      </c>
      <c r="K16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16" s="13">
        <f>_xlfn.XLOOKUP(updatetool_PriceUpdate[[#This Row],[Minor_Category_No]],[1]!reference_Dart[Online Minor Code],[1]!reference_Dart[DART Major Code])</f>
        <v>1</v>
      </c>
      <c r="M16" s="13">
        <f t="shared" si="0"/>
        <v>3002</v>
      </c>
    </row>
    <row r="17" spans="1:13" x14ac:dyDescent="0.35">
      <c r="A17" s="6" t="str">
        <f>_xlfn.XLOOKUP(updatetool_PriceUpdate[[#This Row],[Item ID]], [1]!costsheet_UnconvertedPricing[Item ID], [1]!costsheet_UnconvertedPricing[Pricing Zone], "")</f>
        <v>PORTOR</v>
      </c>
      <c r="B17" s="7" t="str">
        <f>_xlfn.XLOOKUP(updatetool_PriceUpdate[[#This Row],[Item ID]], [1]!costsheet_UnconvertedPricing[Item ID], [1]!costsheet_UnconvertedPricing[Product Category Description], "")</f>
        <v>30 - TREATED</v>
      </c>
      <c r="C17" s="7" t="str">
        <f>_xlfn.XLOOKUP(updatetool_PriceUpdate[[#This Row],[Item ID]], [1]!costsheet_UnconvertedPricing[Item ID], [1]!costsheet_UnconvertedPricing[Minor Category Description], "")</f>
        <v>3002 - TREATED LUMBER</v>
      </c>
      <c r="D17" s="7" t="str" cm="1">
        <f t="array" ref="D17">_xlfn._xlws.FILTER([1]!costsheet_Conversion[[#This Row],[SKU]], [1]!costsheet_Conversion[[#This Row],[SKU]]&lt;&gt;"")</f>
        <v>2812HF2TICGC</v>
      </c>
      <c r="E17" s="7" t="str">
        <f>_xlfn.XLOOKUP(updatetool_PriceUpdate[[#This Row],[Item ID]], [1]!costsheet_UnconvertedPricing[Item ID], [1]!costsheet_UnconvertedPricing[Item Description], "")</f>
        <v>2X8-12' #2 HF TRTD GC ICT</v>
      </c>
      <c r="F17" s="7">
        <f>_xlfn.XLOOKUP(updatetool_PriceUpdate[[#This Row],[Item ID]], [1]!costsheet_Conversion[SKU], [1]!costsheet_Conversion[Sell_UOM], "")</f>
        <v>1047.06</v>
      </c>
      <c r="G17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7" s="9"/>
      <c r="I17" s="10" t="str">
        <f>IF(G17="","",INDEX('[1]PRICE SHEET MAP'!$3:$3,1,18+(G17*3)-1))</f>
        <v>AR</v>
      </c>
      <c r="J17" s="11" t="str">
        <f t="shared" si="1"/>
        <v>Will update PL09 → Column AR</v>
      </c>
      <c r="K17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17" s="13">
        <f>_xlfn.XLOOKUP(updatetool_PriceUpdate[[#This Row],[Minor_Category_No]],[1]!reference_Dart[Online Minor Code],[1]!reference_Dart[DART Major Code])</f>
        <v>1</v>
      </c>
      <c r="M17" s="13">
        <f t="shared" si="0"/>
        <v>3002</v>
      </c>
    </row>
    <row r="18" spans="1:13" x14ac:dyDescent="0.35">
      <c r="A18" s="6" t="str">
        <f>_xlfn.XLOOKUP(updatetool_PriceUpdate[[#This Row],[Item ID]], [1]!costsheet_UnconvertedPricing[Item ID], [1]!costsheet_UnconvertedPricing[Pricing Zone], "")</f>
        <v>PORTOR</v>
      </c>
      <c r="B18" s="7" t="str">
        <f>_xlfn.XLOOKUP(updatetool_PriceUpdate[[#This Row],[Item ID]], [1]!costsheet_UnconvertedPricing[Item ID], [1]!costsheet_UnconvertedPricing[Product Category Description], "")</f>
        <v>30 - TREATED</v>
      </c>
      <c r="C18" s="7" t="str">
        <f>_xlfn.XLOOKUP(updatetool_PriceUpdate[[#This Row],[Item ID]], [1]!costsheet_UnconvertedPricing[Item ID], [1]!costsheet_UnconvertedPricing[Minor Category Description], "")</f>
        <v>3002 - TREATED LUMBER</v>
      </c>
      <c r="D18" s="7" t="str" cm="1">
        <f t="array" ref="D18">_xlfn._xlws.FILTER([1]!costsheet_Conversion[[#This Row],[SKU]], [1]!costsheet_Conversion[[#This Row],[SKU]]&lt;&gt;"")</f>
        <v>2814HF2TICGC</v>
      </c>
      <c r="E18" s="7" t="str">
        <f>_xlfn.XLOOKUP(updatetool_PriceUpdate[[#This Row],[Item ID]], [1]!costsheet_UnconvertedPricing[Item ID], [1]!costsheet_UnconvertedPricing[Item Description], "")</f>
        <v>2X8-14' #2 HF TRTD GC ICT</v>
      </c>
      <c r="F18" s="7">
        <f>_xlfn.XLOOKUP(updatetool_PriceUpdate[[#This Row],[Item ID]], [1]!costsheet_Conversion[SKU], [1]!costsheet_Conversion[Sell_UOM], "")</f>
        <v>1047.06</v>
      </c>
      <c r="G18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8" s="9"/>
      <c r="I18" s="10" t="str">
        <f>IF(G18="","",INDEX('[1]PRICE SHEET MAP'!$3:$3,1,18+(G18*3)-1))</f>
        <v>AR</v>
      </c>
      <c r="J18" s="11" t="str">
        <f t="shared" si="1"/>
        <v>Will update PL09 → Column AR</v>
      </c>
      <c r="K18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18" s="13">
        <f>_xlfn.XLOOKUP(updatetool_PriceUpdate[[#This Row],[Minor_Category_No]],[1]!reference_Dart[Online Minor Code],[1]!reference_Dart[DART Major Code])</f>
        <v>1</v>
      </c>
      <c r="M18" s="13">
        <f t="shared" si="0"/>
        <v>3002</v>
      </c>
    </row>
    <row r="19" spans="1:13" x14ac:dyDescent="0.35">
      <c r="A19" s="6" t="str">
        <f>_xlfn.XLOOKUP(updatetool_PriceUpdate[[#This Row],[Item ID]], [1]!costsheet_UnconvertedPricing[Item ID], [1]!costsheet_UnconvertedPricing[Pricing Zone], "")</f>
        <v>PORTOR</v>
      </c>
      <c r="B19" s="7" t="str">
        <f>_xlfn.XLOOKUP(updatetool_PriceUpdate[[#This Row],[Item ID]], [1]!costsheet_UnconvertedPricing[Item ID], [1]!costsheet_UnconvertedPricing[Product Category Description], "")</f>
        <v>30 - TREATED</v>
      </c>
      <c r="C19" s="7" t="str">
        <f>_xlfn.XLOOKUP(updatetool_PriceUpdate[[#This Row],[Item ID]], [1]!costsheet_UnconvertedPricing[Item ID], [1]!costsheet_UnconvertedPricing[Minor Category Description], "")</f>
        <v>3002 - TREATED LUMBER</v>
      </c>
      <c r="D19" s="7" t="str" cm="1">
        <f t="array" ref="D19">_xlfn._xlws.FILTER([1]!costsheet_Conversion[[#This Row],[SKU]], [1]!costsheet_Conversion[[#This Row],[SKU]]&lt;&gt;"")</f>
        <v>2816HF2TICGC</v>
      </c>
      <c r="E19" s="7" t="str">
        <f>_xlfn.XLOOKUP(updatetool_PriceUpdate[[#This Row],[Item ID]], [1]!costsheet_UnconvertedPricing[Item ID], [1]!costsheet_UnconvertedPricing[Item Description], "")</f>
        <v>2X8-16' #2 HF TRTD GC ICT</v>
      </c>
      <c r="F19" s="7">
        <f>_xlfn.XLOOKUP(updatetool_PriceUpdate[[#This Row],[Item ID]], [1]!costsheet_Conversion[SKU], [1]!costsheet_Conversion[Sell_UOM], "")</f>
        <v>1047.06</v>
      </c>
      <c r="G19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9" s="9"/>
      <c r="I19" s="10" t="str">
        <f>IF(G19="","",INDEX('[1]PRICE SHEET MAP'!$3:$3,1,18+(G19*3)-1))</f>
        <v>AR</v>
      </c>
      <c r="J19" s="11" t="str">
        <f t="shared" si="1"/>
        <v>Will update PL09 → Column AR</v>
      </c>
      <c r="K19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19" s="13">
        <f>_xlfn.XLOOKUP(updatetool_PriceUpdate[[#This Row],[Minor_Category_No]],[1]!reference_Dart[Online Minor Code],[1]!reference_Dart[DART Major Code])</f>
        <v>1</v>
      </c>
      <c r="M19" s="13">
        <f t="shared" si="0"/>
        <v>3002</v>
      </c>
    </row>
    <row r="20" spans="1:13" x14ac:dyDescent="0.35">
      <c r="A20" s="6" t="str">
        <f>_xlfn.XLOOKUP(updatetool_PriceUpdate[[#This Row],[Item ID]], [1]!costsheet_UnconvertedPricing[Item ID], [1]!costsheet_UnconvertedPricing[Pricing Zone], "")</f>
        <v>PORTOR</v>
      </c>
      <c r="B20" s="7" t="str">
        <f>_xlfn.XLOOKUP(updatetool_PriceUpdate[[#This Row],[Item ID]], [1]!costsheet_UnconvertedPricing[Item ID], [1]!costsheet_UnconvertedPricing[Product Category Description], "")</f>
        <v>30 - TREATED</v>
      </c>
      <c r="C20" s="7" t="str">
        <f>_xlfn.XLOOKUP(updatetool_PriceUpdate[[#This Row],[Item ID]], [1]!costsheet_UnconvertedPricing[Item ID], [1]!costsheet_UnconvertedPricing[Minor Category Description], "")</f>
        <v>3002 - TREATED LUMBER</v>
      </c>
      <c r="D20" s="7" t="str" cm="1">
        <f t="array" ref="D20">_xlfn._xlws.FILTER([1]!costsheet_Conversion[[#This Row],[SKU]], [1]!costsheet_Conversion[[#This Row],[SKU]]&lt;&gt;"")</f>
        <v>2820HF2TICGC</v>
      </c>
      <c r="E20" s="7" t="str">
        <f>_xlfn.XLOOKUP(updatetool_PriceUpdate[[#This Row],[Item ID]], [1]!costsheet_UnconvertedPricing[Item ID], [1]!costsheet_UnconvertedPricing[Item Description], "")</f>
        <v>2X8-20' #2 HF TRTD GC ICT</v>
      </c>
      <c r="F20" s="7">
        <f>_xlfn.XLOOKUP(updatetool_PriceUpdate[[#This Row],[Item ID]], [1]!costsheet_Conversion[SKU], [1]!costsheet_Conversion[Sell_UOM], "")</f>
        <v>1047.06</v>
      </c>
      <c r="G20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20" s="9"/>
      <c r="I20" s="10" t="str">
        <f>IF(G20="","",INDEX('[1]PRICE SHEET MAP'!$3:$3,1,18+(G20*3)-1))</f>
        <v>AR</v>
      </c>
      <c r="J20" s="11" t="str">
        <f t="shared" si="1"/>
        <v>Will update PL09 → Column AR</v>
      </c>
      <c r="K20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20" s="13">
        <f>_xlfn.XLOOKUP(updatetool_PriceUpdate[[#This Row],[Minor_Category_No]],[1]!reference_Dart[Online Minor Code],[1]!reference_Dart[DART Major Code])</f>
        <v>1</v>
      </c>
      <c r="M20" s="13">
        <f t="shared" si="0"/>
        <v>3002</v>
      </c>
    </row>
    <row r="21" spans="1:13" x14ac:dyDescent="0.35">
      <c r="A21" s="6" t="str">
        <f>_xlfn.XLOOKUP(updatetool_PriceUpdate[[#This Row],[Item ID]], [1]!costsheet_UnconvertedPricing[Item ID], [1]!costsheet_UnconvertedPricing[Pricing Zone], "")</f>
        <v>PORTOR</v>
      </c>
      <c r="B21" s="7" t="str">
        <f>_xlfn.XLOOKUP(updatetool_PriceUpdate[[#This Row],[Item ID]], [1]!costsheet_UnconvertedPricing[Item ID], [1]!costsheet_UnconvertedPricing[Product Category Description], "")</f>
        <v>30 - TREATED</v>
      </c>
      <c r="C21" s="7" t="str">
        <f>_xlfn.XLOOKUP(updatetool_PriceUpdate[[#This Row],[Item ID]], [1]!costsheet_UnconvertedPricing[Item ID], [1]!costsheet_UnconvertedPricing[Minor Category Description], "")</f>
        <v>3002 - TREATED LUMBER</v>
      </c>
      <c r="D21" s="7" t="str" cm="1">
        <f t="array" ref="D21">_xlfn._xlws.FILTER([1]!costsheet_Conversion[[#This Row],[SKU]], [1]!costsheet_Conversion[[#This Row],[SKU]]&lt;&gt;"")</f>
        <v>2108HF2TICGC</v>
      </c>
      <c r="E21" s="7" t="str">
        <f>_xlfn.XLOOKUP(updatetool_PriceUpdate[[#This Row],[Item ID]], [1]!costsheet_UnconvertedPricing[Item ID], [1]!costsheet_UnconvertedPricing[Item Description], "")</f>
        <v>2X10-8' #2 HF TRTD GC ICT</v>
      </c>
      <c r="F21" s="7">
        <f>_xlfn.XLOOKUP(updatetool_PriceUpdate[[#This Row],[Item ID]], [1]!costsheet_Conversion[SKU], [1]!costsheet_Conversion[Sell_UOM], "")</f>
        <v>1067.06</v>
      </c>
      <c r="G21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21" s="9"/>
      <c r="I21" s="10" t="str">
        <f>IF(G21="","",INDEX('[1]PRICE SHEET MAP'!$3:$3,1,18+(G21*3)-1))</f>
        <v>AR</v>
      </c>
      <c r="J21" s="11" t="str">
        <f t="shared" si="1"/>
        <v>Will update PL09 → Column AR</v>
      </c>
      <c r="K21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21" s="13">
        <f>_xlfn.XLOOKUP(updatetool_PriceUpdate[[#This Row],[Minor_Category_No]],[1]!reference_Dart[Online Minor Code],[1]!reference_Dart[DART Major Code])</f>
        <v>1</v>
      </c>
      <c r="M21" s="13">
        <f t="shared" si="0"/>
        <v>3002</v>
      </c>
    </row>
    <row r="22" spans="1:13" x14ac:dyDescent="0.35">
      <c r="A22" s="6" t="str">
        <f>_xlfn.XLOOKUP(updatetool_PriceUpdate[[#This Row],[Item ID]], [1]!costsheet_UnconvertedPricing[Item ID], [1]!costsheet_UnconvertedPricing[Pricing Zone], "")</f>
        <v>PORTOR</v>
      </c>
      <c r="B22" s="7" t="str">
        <f>_xlfn.XLOOKUP(updatetool_PriceUpdate[[#This Row],[Item ID]], [1]!costsheet_UnconvertedPricing[Item ID], [1]!costsheet_UnconvertedPricing[Product Category Description], "")</f>
        <v>30 - TREATED</v>
      </c>
      <c r="C22" s="7" t="str">
        <f>_xlfn.XLOOKUP(updatetool_PriceUpdate[[#This Row],[Item ID]], [1]!costsheet_UnconvertedPricing[Item ID], [1]!costsheet_UnconvertedPricing[Minor Category Description], "")</f>
        <v>3002 - TREATED LUMBER</v>
      </c>
      <c r="D22" s="7" t="str" cm="1">
        <f t="array" ref="D22">_xlfn._xlws.FILTER([1]!costsheet_Conversion[[#This Row],[SKU]], [1]!costsheet_Conversion[[#This Row],[SKU]]&lt;&gt;"")</f>
        <v>21010HF2TICGC</v>
      </c>
      <c r="E22" s="7" t="str">
        <f>_xlfn.XLOOKUP(updatetool_PriceUpdate[[#This Row],[Item ID]], [1]!costsheet_UnconvertedPricing[Item ID], [1]!costsheet_UnconvertedPricing[Item Description], "")</f>
        <v>2X10-10' #2 HF TRTD GC ICT</v>
      </c>
      <c r="F22" s="7">
        <f>_xlfn.XLOOKUP(updatetool_PriceUpdate[[#This Row],[Item ID]], [1]!costsheet_Conversion[SKU], [1]!costsheet_Conversion[Sell_UOM], "")</f>
        <v>1067.06</v>
      </c>
      <c r="G22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22" s="9"/>
      <c r="I22" s="10" t="str">
        <f>IF(G22="","",INDEX('[1]PRICE SHEET MAP'!$3:$3,1,18+(G22*3)-1))</f>
        <v>AR</v>
      </c>
      <c r="J22" s="11" t="str">
        <f t="shared" si="1"/>
        <v>Will update PL09 → Column AR</v>
      </c>
      <c r="K22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22" s="13">
        <f>_xlfn.XLOOKUP(updatetool_PriceUpdate[[#This Row],[Minor_Category_No]],[1]!reference_Dart[Online Minor Code],[1]!reference_Dart[DART Major Code])</f>
        <v>1</v>
      </c>
      <c r="M22" s="13">
        <f t="shared" si="0"/>
        <v>3002</v>
      </c>
    </row>
    <row r="23" spans="1:13" x14ac:dyDescent="0.35">
      <c r="A23" s="6" t="str">
        <f>_xlfn.XLOOKUP(updatetool_PriceUpdate[[#This Row],[Item ID]], [1]!costsheet_UnconvertedPricing[Item ID], [1]!costsheet_UnconvertedPricing[Pricing Zone], "")</f>
        <v>PORTOR</v>
      </c>
      <c r="B23" s="7" t="str">
        <f>_xlfn.XLOOKUP(updatetool_PriceUpdate[[#This Row],[Item ID]], [1]!costsheet_UnconvertedPricing[Item ID], [1]!costsheet_UnconvertedPricing[Product Category Description], "")</f>
        <v>30 - TREATED</v>
      </c>
      <c r="C23" s="7" t="str">
        <f>_xlfn.XLOOKUP(updatetool_PriceUpdate[[#This Row],[Item ID]], [1]!costsheet_UnconvertedPricing[Item ID], [1]!costsheet_UnconvertedPricing[Minor Category Description], "")</f>
        <v>3002 - TREATED LUMBER</v>
      </c>
      <c r="D23" s="7" t="str" cm="1">
        <f t="array" ref="D23">_xlfn._xlws.FILTER([1]!costsheet_Conversion[[#This Row],[SKU]], [1]!costsheet_Conversion[[#This Row],[SKU]]&lt;&gt;"")</f>
        <v>21012HF2TICGC</v>
      </c>
      <c r="E23" s="7" t="str">
        <f>_xlfn.XLOOKUP(updatetool_PriceUpdate[[#This Row],[Item ID]], [1]!costsheet_UnconvertedPricing[Item ID], [1]!costsheet_UnconvertedPricing[Item Description], "")</f>
        <v>2X10-12' #2 HF TRTD GC ICT</v>
      </c>
      <c r="F23" s="7">
        <f>_xlfn.XLOOKUP(updatetool_PriceUpdate[[#This Row],[Item ID]], [1]!costsheet_Conversion[SKU], [1]!costsheet_Conversion[Sell_UOM], "")</f>
        <v>1067.06</v>
      </c>
      <c r="G23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23" s="9"/>
      <c r="I23" s="10" t="str">
        <f>IF(G23="","",INDEX('[1]PRICE SHEET MAP'!$3:$3,1,18+(G23*3)-1))</f>
        <v>AR</v>
      </c>
      <c r="J23" s="11" t="str">
        <f t="shared" si="1"/>
        <v>Will update PL09 → Column AR</v>
      </c>
      <c r="K23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23" s="13">
        <f>_xlfn.XLOOKUP(updatetool_PriceUpdate[[#This Row],[Minor_Category_No]],[1]!reference_Dart[Online Minor Code],[1]!reference_Dart[DART Major Code])</f>
        <v>1</v>
      </c>
      <c r="M23" s="13">
        <f t="shared" si="0"/>
        <v>3002</v>
      </c>
    </row>
    <row r="24" spans="1:13" x14ac:dyDescent="0.35">
      <c r="A24" s="6" t="str">
        <f>_xlfn.XLOOKUP(updatetool_PriceUpdate[[#This Row],[Item ID]], [1]!costsheet_UnconvertedPricing[Item ID], [1]!costsheet_UnconvertedPricing[Pricing Zone], "")</f>
        <v>PORTOR</v>
      </c>
      <c r="B24" s="7" t="str">
        <f>_xlfn.XLOOKUP(updatetool_PriceUpdate[[#This Row],[Item ID]], [1]!costsheet_UnconvertedPricing[Item ID], [1]!costsheet_UnconvertedPricing[Product Category Description], "")</f>
        <v>30 - TREATED</v>
      </c>
      <c r="C24" s="7" t="str">
        <f>_xlfn.XLOOKUP(updatetool_PriceUpdate[[#This Row],[Item ID]], [1]!costsheet_UnconvertedPricing[Item ID], [1]!costsheet_UnconvertedPricing[Minor Category Description], "")</f>
        <v>3002 - TREATED LUMBER</v>
      </c>
      <c r="D24" s="7" t="str" cm="1">
        <f t="array" ref="D24">_xlfn._xlws.FILTER([1]!costsheet_Conversion[[#This Row],[SKU]], [1]!costsheet_Conversion[[#This Row],[SKU]]&lt;&gt;"")</f>
        <v>21016HF2TICGC</v>
      </c>
      <c r="E24" s="7" t="str">
        <f>_xlfn.XLOOKUP(updatetool_PriceUpdate[[#This Row],[Item ID]], [1]!costsheet_UnconvertedPricing[Item ID], [1]!costsheet_UnconvertedPricing[Item Description], "")</f>
        <v>2X10-16' #2 HF TRTD GC ICT</v>
      </c>
      <c r="F24" s="7">
        <f>_xlfn.XLOOKUP(updatetool_PriceUpdate[[#This Row],[Item ID]], [1]!costsheet_Conversion[SKU], [1]!costsheet_Conversion[Sell_UOM], "")</f>
        <v>1067.06</v>
      </c>
      <c r="G24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24" s="9"/>
      <c r="I24" s="10" t="str">
        <f>IF(G24="","",INDEX('[1]PRICE SHEET MAP'!$3:$3,1,18+(G24*3)-1))</f>
        <v>AR</v>
      </c>
      <c r="J24" s="11" t="str">
        <f t="shared" si="1"/>
        <v>Will update PL09 → Column AR</v>
      </c>
      <c r="K24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24" s="13">
        <f>_xlfn.XLOOKUP(updatetool_PriceUpdate[[#This Row],[Minor_Category_No]],[1]!reference_Dart[Online Minor Code],[1]!reference_Dart[DART Major Code])</f>
        <v>1</v>
      </c>
      <c r="M24" s="13">
        <f t="shared" si="0"/>
        <v>3002</v>
      </c>
    </row>
    <row r="25" spans="1:13" x14ac:dyDescent="0.35">
      <c r="A25" s="6" t="str">
        <f>_xlfn.XLOOKUP(updatetool_PriceUpdate[[#This Row],[Item ID]], [1]!costsheet_UnconvertedPricing[Item ID], [1]!costsheet_UnconvertedPricing[Pricing Zone], "")</f>
        <v>PORTOR</v>
      </c>
      <c r="B25" s="7" t="str">
        <f>_xlfn.XLOOKUP(updatetool_PriceUpdate[[#This Row],[Item ID]], [1]!costsheet_UnconvertedPricing[Item ID], [1]!costsheet_UnconvertedPricing[Product Category Description], "")</f>
        <v>30 - TREATED</v>
      </c>
      <c r="C25" s="7" t="str">
        <f>_xlfn.XLOOKUP(updatetool_PriceUpdate[[#This Row],[Item ID]], [1]!costsheet_UnconvertedPricing[Item ID], [1]!costsheet_UnconvertedPricing[Minor Category Description], "")</f>
        <v>3002 - TREATED LUMBER</v>
      </c>
      <c r="D25" s="7" t="str" cm="1">
        <f t="array" ref="D25">_xlfn._xlws.FILTER([1]!costsheet_Conversion[[#This Row],[SKU]], [1]!costsheet_Conversion[[#This Row],[SKU]]&lt;&gt;"")</f>
        <v>21020HF2TICGC</v>
      </c>
      <c r="E25" s="7" t="str">
        <f>_xlfn.XLOOKUP(updatetool_PriceUpdate[[#This Row],[Item ID]], [1]!costsheet_UnconvertedPricing[Item ID], [1]!costsheet_UnconvertedPricing[Item Description], "")</f>
        <v>2X10-20' #2 HF TRTD GC ICT</v>
      </c>
      <c r="F25" s="7">
        <f>_xlfn.XLOOKUP(updatetool_PriceUpdate[[#This Row],[Item ID]], [1]!costsheet_Conversion[SKU], [1]!costsheet_Conversion[Sell_UOM], "")</f>
        <v>1067.06</v>
      </c>
      <c r="G25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25" s="9"/>
      <c r="I25" s="10" t="str">
        <f>IF(G25="","",INDEX('[1]PRICE SHEET MAP'!$3:$3,1,18+(G25*3)-1))</f>
        <v>AR</v>
      </c>
      <c r="J25" s="11" t="str">
        <f t="shared" si="1"/>
        <v>Will update PL09 → Column AR</v>
      </c>
      <c r="K25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25" s="13">
        <f>_xlfn.XLOOKUP(updatetool_PriceUpdate[[#This Row],[Minor_Category_No]],[1]!reference_Dart[Online Minor Code],[1]!reference_Dart[DART Major Code])</f>
        <v>1</v>
      </c>
      <c r="M25" s="13">
        <f t="shared" si="0"/>
        <v>3002</v>
      </c>
    </row>
    <row r="26" spans="1:13" x14ac:dyDescent="0.35">
      <c r="A26" s="6" t="str">
        <f>_xlfn.XLOOKUP(updatetool_PriceUpdate[[#This Row],[Item ID]], [1]!costsheet_UnconvertedPricing[Item ID], [1]!costsheet_UnconvertedPricing[Pricing Zone], "")</f>
        <v>PORTOR</v>
      </c>
      <c r="B26" s="7" t="str">
        <f>_xlfn.XLOOKUP(updatetool_PriceUpdate[[#This Row],[Item ID]], [1]!costsheet_UnconvertedPricing[Item ID], [1]!costsheet_UnconvertedPricing[Product Category Description], "")</f>
        <v>30 - TREATED</v>
      </c>
      <c r="C26" s="7" t="str">
        <f>_xlfn.XLOOKUP(updatetool_PriceUpdate[[#This Row],[Item ID]], [1]!costsheet_UnconvertedPricing[Item ID], [1]!costsheet_UnconvertedPricing[Minor Category Description], "")</f>
        <v>3002 - TREATED LUMBER</v>
      </c>
      <c r="D26" s="7" t="str" cm="1">
        <f t="array" ref="D26">_xlfn._xlws.FILTER([1]!costsheet_Conversion[[#This Row],[SKU]], [1]!costsheet_Conversion[[#This Row],[SKU]]&lt;&gt;"")</f>
        <v>2128HF2TICGC</v>
      </c>
      <c r="E26" s="7" t="str">
        <f>_xlfn.XLOOKUP(updatetool_PriceUpdate[[#This Row],[Item ID]], [1]!costsheet_UnconvertedPricing[Item ID], [1]!costsheet_UnconvertedPricing[Item Description], "")</f>
        <v>2X12-8' #2 HF TRTD GC ICT</v>
      </c>
      <c r="F26" s="7">
        <f>_xlfn.XLOOKUP(updatetool_PriceUpdate[[#This Row],[Item ID]], [1]!costsheet_Conversion[SKU], [1]!costsheet_Conversion[Sell_UOM], "")</f>
        <v>1072.94</v>
      </c>
      <c r="G26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26" s="9"/>
      <c r="I26" s="10" t="str">
        <f>IF(G26="","",INDEX('[1]PRICE SHEET MAP'!$3:$3,1,18+(G26*3)-1))</f>
        <v>AR</v>
      </c>
      <c r="J26" s="11" t="str">
        <f t="shared" si="1"/>
        <v>Will update PL09 → Column AR</v>
      </c>
      <c r="K26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26" s="13">
        <f>_xlfn.XLOOKUP(updatetool_PriceUpdate[[#This Row],[Minor_Category_No]],[1]!reference_Dart[Online Minor Code],[1]!reference_Dart[DART Major Code])</f>
        <v>1</v>
      </c>
      <c r="M26" s="13">
        <f t="shared" si="0"/>
        <v>3002</v>
      </c>
    </row>
    <row r="27" spans="1:13" x14ac:dyDescent="0.35">
      <c r="A27" s="6" t="str">
        <f>_xlfn.XLOOKUP(updatetool_PriceUpdate[[#This Row],[Item ID]], [1]!costsheet_UnconvertedPricing[Item ID], [1]!costsheet_UnconvertedPricing[Pricing Zone], "")</f>
        <v>PORTOR</v>
      </c>
      <c r="B27" s="7" t="str">
        <f>_xlfn.XLOOKUP(updatetool_PriceUpdate[[#This Row],[Item ID]], [1]!costsheet_UnconvertedPricing[Item ID], [1]!costsheet_UnconvertedPricing[Product Category Description], "")</f>
        <v>30 - TREATED</v>
      </c>
      <c r="C27" s="7" t="str">
        <f>_xlfn.XLOOKUP(updatetool_PriceUpdate[[#This Row],[Item ID]], [1]!costsheet_UnconvertedPricing[Item ID], [1]!costsheet_UnconvertedPricing[Minor Category Description], "")</f>
        <v>3002 - TREATED LUMBER</v>
      </c>
      <c r="D27" s="7" t="str" cm="1">
        <f t="array" ref="D27">_xlfn._xlws.FILTER([1]!costsheet_Conversion[[#This Row],[SKU]], [1]!costsheet_Conversion[[#This Row],[SKU]]&lt;&gt;"")</f>
        <v>21210HF2TICGC</v>
      </c>
      <c r="E27" s="7" t="str">
        <f>_xlfn.XLOOKUP(updatetool_PriceUpdate[[#This Row],[Item ID]], [1]!costsheet_UnconvertedPricing[Item ID], [1]!costsheet_UnconvertedPricing[Item Description], "")</f>
        <v>2X12-10' #2 HF TRTD GC ICT</v>
      </c>
      <c r="F27" s="7">
        <f>_xlfn.XLOOKUP(updatetool_PriceUpdate[[#This Row],[Item ID]], [1]!costsheet_Conversion[SKU], [1]!costsheet_Conversion[Sell_UOM], "")</f>
        <v>1072.94</v>
      </c>
      <c r="G27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27" s="9"/>
      <c r="I27" s="10" t="str">
        <f>IF(G27="","",INDEX('[1]PRICE SHEET MAP'!$3:$3,1,18+(G27*3)-1))</f>
        <v>AR</v>
      </c>
      <c r="J27" s="11" t="str">
        <f t="shared" si="1"/>
        <v>Will update PL09 → Column AR</v>
      </c>
      <c r="K27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27" s="13">
        <f>_xlfn.XLOOKUP(updatetool_PriceUpdate[[#This Row],[Minor_Category_No]],[1]!reference_Dart[Online Minor Code],[1]!reference_Dart[DART Major Code])</f>
        <v>1</v>
      </c>
      <c r="M27" s="13">
        <f t="shared" si="0"/>
        <v>3002</v>
      </c>
    </row>
    <row r="28" spans="1:13" x14ac:dyDescent="0.35">
      <c r="A28" s="6" t="str">
        <f>_xlfn.XLOOKUP(updatetool_PriceUpdate[[#This Row],[Item ID]], [1]!costsheet_UnconvertedPricing[Item ID], [1]!costsheet_UnconvertedPricing[Pricing Zone], "")</f>
        <v>PORTOR</v>
      </c>
      <c r="B28" s="7" t="str">
        <f>_xlfn.XLOOKUP(updatetool_PriceUpdate[[#This Row],[Item ID]], [1]!costsheet_UnconvertedPricing[Item ID], [1]!costsheet_UnconvertedPricing[Product Category Description], "")</f>
        <v>30 - TREATED</v>
      </c>
      <c r="C28" s="7" t="str">
        <f>_xlfn.XLOOKUP(updatetool_PriceUpdate[[#This Row],[Item ID]], [1]!costsheet_UnconvertedPricing[Item ID], [1]!costsheet_UnconvertedPricing[Minor Category Description], "")</f>
        <v>3002 - TREATED LUMBER</v>
      </c>
      <c r="D28" s="7" t="str" cm="1">
        <f t="array" ref="D28">_xlfn._xlws.FILTER([1]!costsheet_Conversion[[#This Row],[SKU]], [1]!costsheet_Conversion[[#This Row],[SKU]]&lt;&gt;"")</f>
        <v>21212HF2TICGC</v>
      </c>
      <c r="E28" s="7" t="str">
        <f>_xlfn.XLOOKUP(updatetool_PriceUpdate[[#This Row],[Item ID]], [1]!costsheet_UnconvertedPricing[Item ID], [1]!costsheet_UnconvertedPricing[Item Description], "")</f>
        <v>2X12-12' #2 HF TRTD GC ICT</v>
      </c>
      <c r="F28" s="7">
        <f>_xlfn.XLOOKUP(updatetool_PriceUpdate[[#This Row],[Item ID]], [1]!costsheet_Conversion[SKU], [1]!costsheet_Conversion[Sell_UOM], "")</f>
        <v>1072.94</v>
      </c>
      <c r="G28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28" s="9"/>
      <c r="I28" s="10" t="str">
        <f>IF(G28="","",INDEX('[1]PRICE SHEET MAP'!$3:$3,1,18+(G28*3)-1))</f>
        <v>AR</v>
      </c>
      <c r="J28" s="11" t="str">
        <f t="shared" si="1"/>
        <v>Will update PL09 → Column AR</v>
      </c>
      <c r="K28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28" s="13">
        <f>_xlfn.XLOOKUP(updatetool_PriceUpdate[[#This Row],[Minor_Category_No]],[1]!reference_Dart[Online Minor Code],[1]!reference_Dart[DART Major Code])</f>
        <v>1</v>
      </c>
      <c r="M28" s="13">
        <f t="shared" si="0"/>
        <v>3002</v>
      </c>
    </row>
    <row r="29" spans="1:13" x14ac:dyDescent="0.35">
      <c r="A29" s="6" t="str">
        <f>_xlfn.XLOOKUP(updatetool_PriceUpdate[[#This Row],[Item ID]], [1]!costsheet_UnconvertedPricing[Item ID], [1]!costsheet_UnconvertedPricing[Pricing Zone], "")</f>
        <v>PORTOR</v>
      </c>
      <c r="B29" s="7" t="str">
        <f>_xlfn.XLOOKUP(updatetool_PriceUpdate[[#This Row],[Item ID]], [1]!costsheet_UnconvertedPricing[Item ID], [1]!costsheet_UnconvertedPricing[Product Category Description], "")</f>
        <v>30 - TREATED</v>
      </c>
      <c r="C29" s="7" t="str">
        <f>_xlfn.XLOOKUP(updatetool_PriceUpdate[[#This Row],[Item ID]], [1]!costsheet_UnconvertedPricing[Item ID], [1]!costsheet_UnconvertedPricing[Minor Category Description], "")</f>
        <v>3002 - TREATED LUMBER</v>
      </c>
      <c r="D29" s="7" t="str" cm="1">
        <f t="array" ref="D29">_xlfn._xlws.FILTER([1]!costsheet_Conversion[[#This Row],[SKU]], [1]!costsheet_Conversion[[#This Row],[SKU]]&lt;&gt;"")</f>
        <v>21216HF2TICGC</v>
      </c>
      <c r="E29" s="7" t="str">
        <f>_xlfn.XLOOKUP(updatetool_PriceUpdate[[#This Row],[Item ID]], [1]!costsheet_UnconvertedPricing[Item ID], [1]!costsheet_UnconvertedPricing[Item Description], "")</f>
        <v>2X12-16' #2 HF TRTD GC ICT</v>
      </c>
      <c r="F29" s="7">
        <f>_xlfn.XLOOKUP(updatetool_PriceUpdate[[#This Row],[Item ID]], [1]!costsheet_Conversion[SKU], [1]!costsheet_Conversion[Sell_UOM], "")</f>
        <v>1072.94</v>
      </c>
      <c r="G29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29" s="9"/>
      <c r="I29" s="10" t="str">
        <f>IF(G29="","",INDEX('[1]PRICE SHEET MAP'!$3:$3,1,18+(G29*3)-1))</f>
        <v>AR</v>
      </c>
      <c r="J29" s="11" t="str">
        <f t="shared" si="1"/>
        <v>Will update PL09 → Column AR</v>
      </c>
      <c r="K29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29" s="13">
        <f>_xlfn.XLOOKUP(updatetool_PriceUpdate[[#This Row],[Minor_Category_No]],[1]!reference_Dart[Online Minor Code],[1]!reference_Dart[DART Major Code])</f>
        <v>1</v>
      </c>
      <c r="M29" s="13">
        <f t="shared" si="0"/>
        <v>3002</v>
      </c>
    </row>
    <row r="30" spans="1:13" x14ac:dyDescent="0.35">
      <c r="A30" s="6" t="str">
        <f>_xlfn.XLOOKUP(updatetool_PriceUpdate[[#This Row],[Item ID]], [1]!costsheet_UnconvertedPricing[Item ID], [1]!costsheet_UnconvertedPricing[Pricing Zone], "")</f>
        <v>PORTOR</v>
      </c>
      <c r="B30" s="7" t="str">
        <f>_xlfn.XLOOKUP(updatetool_PriceUpdate[[#This Row],[Item ID]], [1]!costsheet_UnconvertedPricing[Item ID], [1]!costsheet_UnconvertedPricing[Product Category Description], "")</f>
        <v>30 - TREATED</v>
      </c>
      <c r="C30" s="7" t="str">
        <f>_xlfn.XLOOKUP(updatetool_PriceUpdate[[#This Row],[Item ID]], [1]!costsheet_UnconvertedPricing[Item ID], [1]!costsheet_UnconvertedPricing[Minor Category Description], "")</f>
        <v>3002 - TREATED LUMBER</v>
      </c>
      <c r="D30" s="7" t="str" cm="1">
        <f t="array" ref="D30">_xlfn._xlws.FILTER([1]!costsheet_Conversion[[#This Row],[SKU]], [1]!costsheet_Conversion[[#This Row],[SKU]]&lt;&gt;"")</f>
        <v>21220HF2TICGC</v>
      </c>
      <c r="E30" s="7" t="str">
        <f>_xlfn.XLOOKUP(updatetool_PriceUpdate[[#This Row],[Item ID]], [1]!costsheet_UnconvertedPricing[Item ID], [1]!costsheet_UnconvertedPricing[Item Description], "")</f>
        <v>2X12-20' #2 HF TRTD GC ICT</v>
      </c>
      <c r="F30" s="7">
        <f>_xlfn.XLOOKUP(updatetool_PriceUpdate[[#This Row],[Item ID]], [1]!costsheet_Conversion[SKU], [1]!costsheet_Conversion[Sell_UOM], "")</f>
        <v>1072.94</v>
      </c>
      <c r="G30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30" s="9"/>
      <c r="I30" s="10" t="str">
        <f>IF(G30="","",INDEX('[1]PRICE SHEET MAP'!$3:$3,1,18+(G30*3)-1))</f>
        <v>AR</v>
      </c>
      <c r="J30" s="11" t="str">
        <f t="shared" si="1"/>
        <v>Will update PL09 → Column AR</v>
      </c>
      <c r="K30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3002 </v>
      </c>
      <c r="L30" s="13">
        <f>_xlfn.XLOOKUP(updatetool_PriceUpdate[[#This Row],[Minor_Category_No]],[1]!reference_Dart[Online Minor Code],[1]!reference_Dart[DART Major Code])</f>
        <v>1</v>
      </c>
      <c r="M30" s="13">
        <f t="shared" si="0"/>
        <v>3002</v>
      </c>
    </row>
    <row r="31" spans="1:13" x14ac:dyDescent="0.35">
      <c r="A31" s="6" t="str">
        <f>_xlfn.XLOOKUP(updatetool_PriceUpdate[[#This Row],[Item ID]], [1]!costsheet_UnconvertedPricing[Item ID], [1]!costsheet_UnconvertedPricing[Pricing Zone], "")</f>
        <v>PORTOR</v>
      </c>
      <c r="B31" s="7" t="str">
        <f>_xlfn.XLOOKUP(updatetool_PriceUpdate[[#This Row],[Item ID]], [1]!costsheet_UnconvertedPricing[Item ID], [1]!costsheet_UnconvertedPricing[Product Category Description], "")</f>
        <v>25 - LUMBER</v>
      </c>
      <c r="C31" s="7" t="str">
        <f>_xlfn.XLOOKUP(updatetool_PriceUpdate[[#This Row],[Item ID]], [1]!costsheet_UnconvertedPricing[Item ID], [1]!costsheet_UnconvertedPricing[Minor Category Description], "")</f>
        <v>2505 - ALL STUDS</v>
      </c>
      <c r="D31" s="7" t="str" cm="1">
        <f t="array" ref="D31">_xlfn._xlws.FILTER([1]!costsheet_Conversion[[#This Row],[SKU]], [1]!costsheet_Conversion[[#This Row],[SKU]]&lt;&gt;"")</f>
        <v>249258DF</v>
      </c>
      <c r="E31" s="7" t="str">
        <f>_xlfn.XLOOKUP(updatetool_PriceUpdate[[#This Row],[Item ID]], [1]!costsheet_UnconvertedPricing[Item ID], [1]!costsheet_UnconvertedPricing[Item Description], "")</f>
        <v>2X4-92-5/8" STUD DF PET</v>
      </c>
      <c r="F31" s="7">
        <f>_xlfn.XLOOKUP(updatetool_PriceUpdate[[#This Row],[Item ID]], [1]!costsheet_Conversion[SKU], [1]!costsheet_Conversion[Sell_UOM], "")</f>
        <v>454.55</v>
      </c>
      <c r="G31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31" s="9"/>
      <c r="I31" s="10" t="str">
        <f>IF(G31="","",INDEX('[1]PRICE SHEET MAP'!$3:$3,1,18+(G31*3)-1))</f>
        <v>AR</v>
      </c>
      <c r="J31" s="11" t="str">
        <f t="shared" si="1"/>
        <v>Will update PL09 → Column AR</v>
      </c>
      <c r="K31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2505 </v>
      </c>
      <c r="L31" s="13">
        <f>_xlfn.XLOOKUP(updatetool_PriceUpdate[[#This Row],[Minor_Category_No]],[1]!reference_Dart[Online Minor Code],[1]!reference_Dart[DART Major Code])</f>
        <v>1</v>
      </c>
      <c r="M31" s="13">
        <f t="shared" si="0"/>
        <v>2505</v>
      </c>
    </row>
    <row r="32" spans="1:13" x14ac:dyDescent="0.35">
      <c r="A32" s="6" t="str">
        <f>_xlfn.XLOOKUP(updatetool_PriceUpdate[[#This Row],[Item ID]], [1]!costsheet_UnconvertedPricing[Item ID], [1]!costsheet_UnconvertedPricing[Pricing Zone], "")</f>
        <v>PORTOR</v>
      </c>
      <c r="B32" s="7" t="str">
        <f>_xlfn.XLOOKUP(updatetool_PriceUpdate[[#This Row],[Item ID]], [1]!costsheet_UnconvertedPricing[Item ID], [1]!costsheet_UnconvertedPricing[Product Category Description], "")</f>
        <v>25 - LUMBER</v>
      </c>
      <c r="C32" s="7" t="str">
        <f>_xlfn.XLOOKUP(updatetool_PriceUpdate[[#This Row],[Item ID]], [1]!costsheet_UnconvertedPricing[Item ID], [1]!costsheet_UnconvertedPricing[Minor Category Description], "")</f>
        <v>2505 - ALL STUDS</v>
      </c>
      <c r="D32" s="7" t="str" cm="1">
        <f t="array" ref="D32">_xlfn._xlws.FILTER([1]!costsheet_Conversion[[#This Row],[SKU]], [1]!costsheet_Conversion[[#This Row],[SKU]]&lt;&gt;"")</f>
        <v>269258DF</v>
      </c>
      <c r="E32" s="7" t="str">
        <f>_xlfn.XLOOKUP(updatetool_PriceUpdate[[#This Row],[Item ID]], [1]!costsheet_UnconvertedPricing[Item ID], [1]!costsheet_UnconvertedPricing[Item Description], "")</f>
        <v>2X6-92-5/8" STUD DF PET</v>
      </c>
      <c r="F32" s="7">
        <f>_xlfn.XLOOKUP(updatetool_PriceUpdate[[#This Row],[Item ID]], [1]!costsheet_Conversion[SKU], [1]!costsheet_Conversion[Sell_UOM], "")</f>
        <v>431.82</v>
      </c>
      <c r="G32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32" s="9"/>
      <c r="I32" s="10" t="str">
        <f>IF(G32="","",INDEX('[1]PRICE SHEET MAP'!$3:$3,1,18+(G32*3)-1))</f>
        <v>AR</v>
      </c>
      <c r="J32" s="11" t="str">
        <f t="shared" si="1"/>
        <v>Will update PL09 → Column AR</v>
      </c>
      <c r="K32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2505 </v>
      </c>
      <c r="L32" s="13">
        <f>_xlfn.XLOOKUP(updatetool_PriceUpdate[[#This Row],[Minor_Category_No]],[1]!reference_Dart[Online Minor Code],[1]!reference_Dart[DART Major Code])</f>
        <v>1</v>
      </c>
      <c r="M32" s="13">
        <f t="shared" si="0"/>
        <v>2505</v>
      </c>
    </row>
    <row r="33" spans="1:13" x14ac:dyDescent="0.35">
      <c r="A33" s="6" t="str">
        <f>_xlfn.XLOOKUP(updatetool_PriceUpdate[[#This Row],[Item ID]], [1]!costsheet_UnconvertedPricing[Item ID], [1]!costsheet_UnconvertedPricing[Pricing Zone], "")</f>
        <v>PORTOR</v>
      </c>
      <c r="B33" s="7" t="str">
        <f>_xlfn.XLOOKUP(updatetool_PriceUpdate[[#This Row],[Item ID]], [1]!costsheet_UnconvertedPricing[Item ID], [1]!costsheet_UnconvertedPricing[Product Category Description], "")</f>
        <v>25 - LUMBER</v>
      </c>
      <c r="C33" s="7" t="str">
        <f>_xlfn.XLOOKUP(updatetool_PriceUpdate[[#This Row],[Item ID]], [1]!costsheet_UnconvertedPricing[Item ID], [1]!costsheet_UnconvertedPricing[Minor Category Description], "")</f>
        <v>2505 - ALL STUDS</v>
      </c>
      <c r="D33" s="7" t="str" cm="1">
        <f t="array" ref="D33">_xlfn._xlws.FILTER([1]!costsheet_Conversion[[#This Row],[SKU]], [1]!costsheet_Conversion[[#This Row],[SKU]]&lt;&gt;"")</f>
        <v>2410458DF</v>
      </c>
      <c r="E33" s="7" t="str">
        <f>_xlfn.XLOOKUP(updatetool_PriceUpdate[[#This Row],[Item ID]], [1]!costsheet_UnconvertedPricing[Item ID], [1]!costsheet_UnconvertedPricing[Item Description], "")</f>
        <v>2X4-104-5/8" STUD DF PET</v>
      </c>
      <c r="F33" s="7">
        <f>_xlfn.XLOOKUP(updatetool_PriceUpdate[[#This Row],[Item ID]], [1]!costsheet_Conversion[SKU], [1]!costsheet_Conversion[Sell_UOM], "")</f>
        <v>573.86</v>
      </c>
      <c r="G33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33" s="9"/>
      <c r="I33" s="10" t="str">
        <f>IF(G33="","",INDEX('[1]PRICE SHEET MAP'!$3:$3,1,18+(G33*3)-1))</f>
        <v>AR</v>
      </c>
      <c r="J33" s="11" t="str">
        <f t="shared" si="1"/>
        <v>Will update PL09 → Column AR</v>
      </c>
      <c r="K33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2505 </v>
      </c>
      <c r="L33" s="13">
        <f>_xlfn.XLOOKUP(updatetool_PriceUpdate[[#This Row],[Minor_Category_No]],[1]!reference_Dart[Online Minor Code],[1]!reference_Dart[DART Major Code])</f>
        <v>1</v>
      </c>
      <c r="M33" s="13">
        <f t="shared" si="0"/>
        <v>2505</v>
      </c>
    </row>
    <row r="34" spans="1:13" x14ac:dyDescent="0.35">
      <c r="A34" s="6" t="str">
        <f>_xlfn.XLOOKUP(updatetool_PriceUpdate[[#This Row],[Item ID]], [1]!costsheet_UnconvertedPricing[Item ID], [1]!costsheet_UnconvertedPricing[Pricing Zone], "")</f>
        <v>PORTOR</v>
      </c>
      <c r="B34" s="7" t="str">
        <f>_xlfn.XLOOKUP(updatetool_PriceUpdate[[#This Row],[Item ID]], [1]!costsheet_UnconvertedPricing[Item ID], [1]!costsheet_UnconvertedPricing[Product Category Description], "")</f>
        <v>25 - LUMBER</v>
      </c>
      <c r="C34" s="7" t="str">
        <f>_xlfn.XLOOKUP(updatetool_PriceUpdate[[#This Row],[Item ID]], [1]!costsheet_UnconvertedPricing[Item ID], [1]!costsheet_UnconvertedPricing[Minor Category Description], "")</f>
        <v>2505 - ALL STUDS</v>
      </c>
      <c r="D34" s="7" t="str" cm="1">
        <f t="array" ref="D34">_xlfn._xlws.FILTER([1]!costsheet_Conversion[[#This Row],[SKU]], [1]!costsheet_Conversion[[#This Row],[SKU]]&lt;&gt;"")</f>
        <v>2610458DF</v>
      </c>
      <c r="E34" s="7" t="str">
        <f>_xlfn.XLOOKUP(updatetool_PriceUpdate[[#This Row],[Item ID]], [1]!costsheet_UnconvertedPricing[Item ID], [1]!costsheet_UnconvertedPricing[Item Description], "")</f>
        <v>2X6-104-5/8" STUD DF PET</v>
      </c>
      <c r="F34" s="7">
        <f>_xlfn.XLOOKUP(updatetool_PriceUpdate[[#This Row],[Item ID]], [1]!costsheet_Conversion[SKU], [1]!costsheet_Conversion[Sell_UOM], "")</f>
        <v>574.71</v>
      </c>
      <c r="G34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34" s="9"/>
      <c r="I34" s="10" t="str">
        <f>IF(G34="","",INDEX('[1]PRICE SHEET MAP'!$3:$3,1,18+(G34*3)-1))</f>
        <v>AR</v>
      </c>
      <c r="J34" s="11" t="str">
        <f t="shared" si="1"/>
        <v>Will update PL09 → Column AR</v>
      </c>
      <c r="K34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2505 </v>
      </c>
      <c r="L34" s="13">
        <f>_xlfn.XLOOKUP(updatetool_PriceUpdate[[#This Row],[Minor_Category_No]],[1]!reference_Dart[Online Minor Code],[1]!reference_Dart[DART Major Code])</f>
        <v>1</v>
      </c>
      <c r="M34" s="13">
        <f t="shared" si="0"/>
        <v>2505</v>
      </c>
    </row>
    <row r="35" spans="1:13" x14ac:dyDescent="0.35">
      <c r="A35" s="6" t="str">
        <f>_xlfn.XLOOKUP(updatetool_PriceUpdate[[#This Row],[Item ID]], [1]!costsheet_UnconvertedPricing[Item ID], [1]!costsheet_UnconvertedPricing[Pricing Zone], "")</f>
        <v>PORTOR</v>
      </c>
      <c r="B35" s="7" t="str">
        <f>_xlfn.XLOOKUP(updatetool_PriceUpdate[[#This Row],[Item ID]], [1]!costsheet_UnconvertedPricing[Item ID], [1]!costsheet_UnconvertedPricing[Product Category Description], "")</f>
        <v>25 - LUMBER</v>
      </c>
      <c r="C35" s="7" t="str">
        <f>_xlfn.XLOOKUP(updatetool_PriceUpdate[[#This Row],[Item ID]], [1]!costsheet_UnconvertedPricing[Item ID], [1]!costsheet_UnconvertedPricing[Minor Category Description], "")</f>
        <v>2505 - ALL STUDS</v>
      </c>
      <c r="D35" s="7" t="str" cm="1">
        <f t="array" ref="D35">_xlfn._xlws.FILTER([1]!costsheet_Conversion[[#This Row],[SKU]], [1]!costsheet_Conversion[[#This Row],[SKU]]&lt;&gt;"")</f>
        <v>2411658DF</v>
      </c>
      <c r="E35" s="7" t="str">
        <f>_xlfn.XLOOKUP(updatetool_PriceUpdate[[#This Row],[Item ID]], [1]!costsheet_UnconvertedPricing[Item ID], [1]!costsheet_UnconvertedPricing[Item Description], "")</f>
        <v>2X4-116-5/8" STUD DF PET</v>
      </c>
      <c r="F35" s="7">
        <f>_xlfn.XLOOKUP(updatetool_PriceUpdate[[#This Row],[Item ID]], [1]!costsheet_Conversion[SKU], [1]!costsheet_Conversion[Sell_UOM], "")</f>
        <v>522.73</v>
      </c>
      <c r="G35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35" s="9"/>
      <c r="I35" s="10" t="str">
        <f>IF(G35="","",INDEX('[1]PRICE SHEET MAP'!$3:$3,1,18+(G35*3)-1))</f>
        <v>AR</v>
      </c>
      <c r="J35" s="11" t="str">
        <f t="shared" si="1"/>
        <v>Will update PL09 → Column AR</v>
      </c>
      <c r="K35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2505 </v>
      </c>
      <c r="L35" s="13">
        <f>_xlfn.XLOOKUP(updatetool_PriceUpdate[[#This Row],[Minor_Category_No]],[1]!reference_Dart[Online Minor Code],[1]!reference_Dart[DART Major Code])</f>
        <v>1</v>
      </c>
      <c r="M35" s="13">
        <f t="shared" si="0"/>
        <v>2505</v>
      </c>
    </row>
    <row r="36" spans="1:13" x14ac:dyDescent="0.35">
      <c r="A36" s="6" t="str">
        <f>_xlfn.XLOOKUP(updatetool_PriceUpdate[[#This Row],[Item ID]], [1]!costsheet_UnconvertedPricing[Item ID], [1]!costsheet_UnconvertedPricing[Pricing Zone], "")</f>
        <v>PORTOR</v>
      </c>
      <c r="B36" s="7" t="str">
        <f>_xlfn.XLOOKUP(updatetool_PriceUpdate[[#This Row],[Item ID]], [1]!costsheet_UnconvertedPricing[Item ID], [1]!costsheet_UnconvertedPricing[Product Category Description], "")</f>
        <v>25 - LUMBER</v>
      </c>
      <c r="C36" s="7" t="str">
        <f>_xlfn.XLOOKUP(updatetool_PriceUpdate[[#This Row],[Item ID]], [1]!costsheet_UnconvertedPricing[Item ID], [1]!costsheet_UnconvertedPricing[Minor Category Description], "")</f>
        <v>2505 - ALL STUDS</v>
      </c>
      <c r="D36" s="7" t="str" cm="1">
        <f t="array" ref="D36">_xlfn._xlws.FILTER([1]!costsheet_Conversion[[#This Row],[SKU]], [1]!costsheet_Conversion[[#This Row],[SKU]]&lt;&gt;"")</f>
        <v>2611658DF</v>
      </c>
      <c r="E36" s="7" t="str">
        <f>_xlfn.XLOOKUP(updatetool_PriceUpdate[[#This Row],[Item ID]], [1]!costsheet_UnconvertedPricing[Item ID], [1]!costsheet_UnconvertedPricing[Item Description], "")</f>
        <v>2X6-116-5/8" STUD DF PET</v>
      </c>
      <c r="F36" s="7">
        <f>_xlfn.XLOOKUP(updatetool_PriceUpdate[[#This Row],[Item ID]], [1]!costsheet_Conversion[SKU], [1]!costsheet_Conversion[Sell_UOM], "")</f>
        <v>534.09</v>
      </c>
      <c r="G36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36" s="9"/>
      <c r="I36" s="10" t="str">
        <f>IF(G36="","",INDEX('[1]PRICE SHEET MAP'!$3:$3,1,18+(G36*3)-1))</f>
        <v>AR</v>
      </c>
      <c r="J36" s="11" t="str">
        <f t="shared" si="1"/>
        <v>Will update PL09 → Column AR</v>
      </c>
      <c r="K36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2505 </v>
      </c>
      <c r="L36" s="13">
        <f>_xlfn.XLOOKUP(updatetool_PriceUpdate[[#This Row],[Minor_Category_No]],[1]!reference_Dart[Online Minor Code],[1]!reference_Dart[DART Major Code])</f>
        <v>1</v>
      </c>
      <c r="M36" s="13">
        <f t="shared" si="0"/>
        <v>2505</v>
      </c>
    </row>
    <row r="37" spans="1:13" x14ac:dyDescent="0.35">
      <c r="A37" s="6" t="str">
        <f>_xlfn.XLOOKUP(updatetool_PriceUpdate[[#This Row],[Item ID]], [1]!costsheet_UnconvertedPricing[Item ID], [1]!costsheet_UnconvertedPricing[Pricing Zone], "")</f>
        <v>PORTOR</v>
      </c>
      <c r="B37" s="7" t="str">
        <f>_xlfn.XLOOKUP(updatetool_PriceUpdate[[#This Row],[Item ID]], [1]!costsheet_UnconvertedPricing[Item ID], [1]!costsheet_UnconvertedPricing[Product Category Description], "")</f>
        <v>25 - LUMBER</v>
      </c>
      <c r="C37" s="7" t="str">
        <f>_xlfn.XLOOKUP(updatetool_PriceUpdate[[#This Row],[Item ID]], [1]!costsheet_UnconvertedPricing[Item ID], [1]!costsheet_UnconvertedPricing[Minor Category Description], "")</f>
        <v>2503 - DOUG FIR-LUMBER</v>
      </c>
      <c r="D37" s="7" t="str" cm="1">
        <f t="array" ref="D37">_xlfn._xlws.FILTER([1]!costsheet_Conversion[[#This Row],[SKU]], [1]!costsheet_Conversion[[#This Row],[SKU]]&lt;&gt;"")</f>
        <v>24DF</v>
      </c>
      <c r="E37" s="7" t="str">
        <f>_xlfn.XLOOKUP(updatetool_PriceUpdate[[#This Row],[Item ID]], [1]!costsheet_UnconvertedPricing[Item ID], [1]!costsheet_UnconvertedPricing[Item Description], "")</f>
        <v>2X4-RL STD&amp;BTR DF</v>
      </c>
      <c r="F37" s="7">
        <f>_xlfn.XLOOKUP(updatetool_PriceUpdate[[#This Row],[Item ID]], [1]!costsheet_Conversion[SKU], [1]!costsheet_Conversion[Sell_UOM], "")</f>
        <v>634.83000000000004</v>
      </c>
      <c r="G37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37" s="9"/>
      <c r="I37" s="10" t="str">
        <f>IF(G37="","",INDEX('[1]PRICE SHEET MAP'!$3:$3,1,18+(G37*3)-1))</f>
        <v>AR</v>
      </c>
      <c r="J37" s="11" t="str">
        <f t="shared" si="1"/>
        <v>Will update PL09 → Column AR</v>
      </c>
      <c r="K37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37" s="13">
        <f>_xlfn.XLOOKUP(updatetool_PriceUpdate[[#This Row],[Minor_Category_No]],[1]!reference_Dart[Online Minor Code],[1]!reference_Dart[DART Major Code])</f>
        <v>1</v>
      </c>
      <c r="M37" s="13">
        <f t="shared" si="0"/>
        <v>2503</v>
      </c>
    </row>
    <row r="38" spans="1:13" x14ac:dyDescent="0.35">
      <c r="A38" s="6" t="str">
        <f>_xlfn.XLOOKUP(updatetool_PriceUpdate[[#This Row],[Item ID]], [1]!costsheet_UnconvertedPricing[Item ID], [1]!costsheet_UnconvertedPricing[Pricing Zone], "")</f>
        <v>PORTOR</v>
      </c>
      <c r="B38" s="7" t="str">
        <f>_xlfn.XLOOKUP(updatetool_PriceUpdate[[#This Row],[Item ID]], [1]!costsheet_UnconvertedPricing[Item ID], [1]!costsheet_UnconvertedPricing[Product Category Description], "")</f>
        <v>25 - LUMBER</v>
      </c>
      <c r="C38" s="7" t="str">
        <f>_xlfn.XLOOKUP(updatetool_PriceUpdate[[#This Row],[Item ID]], [1]!costsheet_UnconvertedPricing[Item ID], [1]!costsheet_UnconvertedPricing[Minor Category Description], "")</f>
        <v>2503 - DOUG FIR-LUMBER</v>
      </c>
      <c r="D38" s="7" t="str" cm="1">
        <f t="array" ref="D38">_xlfn._xlws.FILTER([1]!costsheet_Conversion[[#This Row],[SKU]], [1]!costsheet_Conversion[[#This Row],[SKU]]&lt;&gt;"")</f>
        <v>248DF</v>
      </c>
      <c r="E38" s="7" t="str">
        <f>_xlfn.XLOOKUP(updatetool_PriceUpdate[[#This Row],[Item ID]], [1]!costsheet_UnconvertedPricing[Item ID], [1]!costsheet_UnconvertedPricing[Item Description], "")</f>
        <v>2X4-8' STD&amp;BTR DF</v>
      </c>
      <c r="F38" s="7">
        <f>_xlfn.XLOOKUP(updatetool_PriceUpdate[[#This Row],[Item ID]], [1]!costsheet_Conversion[SKU], [1]!costsheet_Conversion[Sell_UOM], "")</f>
        <v>634.83000000000004</v>
      </c>
      <c r="G38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38" s="9"/>
      <c r="I38" s="10" t="str">
        <f>IF(G38="","",INDEX('[1]PRICE SHEET MAP'!$3:$3,1,18+(G38*3)-1))</f>
        <v>AR</v>
      </c>
      <c r="J38" s="11" t="str">
        <f t="shared" si="1"/>
        <v>Will update PL09 → Column AR</v>
      </c>
      <c r="K38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38" s="13">
        <f>_xlfn.XLOOKUP(updatetool_PriceUpdate[[#This Row],[Minor_Category_No]],[1]!reference_Dart[Online Minor Code],[1]!reference_Dart[DART Major Code])</f>
        <v>1</v>
      </c>
      <c r="M38" s="13">
        <f t="shared" si="0"/>
        <v>2503</v>
      </c>
    </row>
    <row r="39" spans="1:13" x14ac:dyDescent="0.35">
      <c r="A39" s="6" t="str">
        <f>_xlfn.XLOOKUP(updatetool_PriceUpdate[[#This Row],[Item ID]], [1]!costsheet_UnconvertedPricing[Item ID], [1]!costsheet_UnconvertedPricing[Pricing Zone], "")</f>
        <v>PORTOR</v>
      </c>
      <c r="B39" s="7" t="str">
        <f>_xlfn.XLOOKUP(updatetool_PriceUpdate[[#This Row],[Item ID]], [1]!costsheet_UnconvertedPricing[Item ID], [1]!costsheet_UnconvertedPricing[Product Category Description], "")</f>
        <v>25 - LUMBER</v>
      </c>
      <c r="C39" s="7" t="str">
        <f>_xlfn.XLOOKUP(updatetool_PriceUpdate[[#This Row],[Item ID]], [1]!costsheet_UnconvertedPricing[Item ID], [1]!costsheet_UnconvertedPricing[Minor Category Description], "")</f>
        <v>2503 - DOUG FIR-LUMBER</v>
      </c>
      <c r="D39" s="7" t="str" cm="1">
        <f t="array" ref="D39">_xlfn._xlws.FILTER([1]!costsheet_Conversion[[#This Row],[SKU]], [1]!costsheet_Conversion[[#This Row],[SKU]]&lt;&gt;"")</f>
        <v>2410DF</v>
      </c>
      <c r="E39" s="7" t="str">
        <f>_xlfn.XLOOKUP(updatetool_PriceUpdate[[#This Row],[Item ID]], [1]!costsheet_UnconvertedPricing[Item ID], [1]!costsheet_UnconvertedPricing[Item Description], "")</f>
        <v>2X4-10' STD&amp;BTR DF</v>
      </c>
      <c r="F39" s="7">
        <f>_xlfn.XLOOKUP(updatetool_PriceUpdate[[#This Row],[Item ID]], [1]!costsheet_Conversion[SKU], [1]!costsheet_Conversion[Sell_UOM], "")</f>
        <v>634.83000000000004</v>
      </c>
      <c r="G39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39" s="9"/>
      <c r="I39" s="10" t="str">
        <f>IF(G39="","",INDEX('[1]PRICE SHEET MAP'!$3:$3,1,18+(G39*3)-1))</f>
        <v>AR</v>
      </c>
      <c r="J39" s="11" t="str">
        <f t="shared" si="1"/>
        <v>Will update PL09 → Column AR</v>
      </c>
      <c r="K39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39" s="13">
        <f>_xlfn.XLOOKUP(updatetool_PriceUpdate[[#This Row],[Minor_Category_No]],[1]!reference_Dart[Online Minor Code],[1]!reference_Dart[DART Major Code])</f>
        <v>1</v>
      </c>
      <c r="M39" s="13">
        <f t="shared" si="0"/>
        <v>2503</v>
      </c>
    </row>
    <row r="40" spans="1:13" x14ac:dyDescent="0.35">
      <c r="A40" s="6" t="str">
        <f>_xlfn.XLOOKUP(updatetool_PriceUpdate[[#This Row],[Item ID]], [1]!costsheet_UnconvertedPricing[Item ID], [1]!costsheet_UnconvertedPricing[Pricing Zone], "")</f>
        <v>PORTOR</v>
      </c>
      <c r="B40" s="7" t="str">
        <f>_xlfn.XLOOKUP(updatetool_PriceUpdate[[#This Row],[Item ID]], [1]!costsheet_UnconvertedPricing[Item ID], [1]!costsheet_UnconvertedPricing[Product Category Description], "")</f>
        <v>25 - LUMBER</v>
      </c>
      <c r="C40" s="7" t="str">
        <f>_xlfn.XLOOKUP(updatetool_PriceUpdate[[#This Row],[Item ID]], [1]!costsheet_UnconvertedPricing[Item ID], [1]!costsheet_UnconvertedPricing[Minor Category Description], "")</f>
        <v>2503 - DOUG FIR-LUMBER</v>
      </c>
      <c r="D40" s="7" t="str" cm="1">
        <f t="array" ref="D40">_xlfn._xlws.FILTER([1]!costsheet_Conversion[[#This Row],[SKU]], [1]!costsheet_Conversion[[#This Row],[SKU]]&lt;&gt;"")</f>
        <v>2412DF</v>
      </c>
      <c r="E40" s="7" t="str">
        <f>_xlfn.XLOOKUP(updatetool_PriceUpdate[[#This Row],[Item ID]], [1]!costsheet_UnconvertedPricing[Item ID], [1]!costsheet_UnconvertedPricing[Item Description], "")</f>
        <v>2X4-12' STD&amp;BTR DF</v>
      </c>
      <c r="F40" s="7">
        <f>_xlfn.XLOOKUP(updatetool_PriceUpdate[[#This Row],[Item ID]], [1]!costsheet_Conversion[SKU], [1]!costsheet_Conversion[Sell_UOM], "")</f>
        <v>634.83000000000004</v>
      </c>
      <c r="G40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40" s="9"/>
      <c r="I40" s="10" t="str">
        <f>IF(G40="","",INDEX('[1]PRICE SHEET MAP'!$3:$3,1,18+(G40*3)-1))</f>
        <v>AR</v>
      </c>
      <c r="J40" s="11" t="str">
        <f t="shared" si="1"/>
        <v>Will update PL09 → Column AR</v>
      </c>
      <c r="K40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40" s="13">
        <f>_xlfn.XLOOKUP(updatetool_PriceUpdate[[#This Row],[Minor_Category_No]],[1]!reference_Dart[Online Minor Code],[1]!reference_Dart[DART Major Code])</f>
        <v>1</v>
      </c>
      <c r="M40" s="13">
        <f t="shared" si="0"/>
        <v>2503</v>
      </c>
    </row>
    <row r="41" spans="1:13" x14ac:dyDescent="0.35">
      <c r="A41" s="6" t="str">
        <f>_xlfn.XLOOKUP(updatetool_PriceUpdate[[#This Row],[Item ID]], [1]!costsheet_UnconvertedPricing[Item ID], [1]!costsheet_UnconvertedPricing[Pricing Zone], "")</f>
        <v>PORTOR</v>
      </c>
      <c r="B41" s="7" t="str">
        <f>_xlfn.XLOOKUP(updatetool_PriceUpdate[[#This Row],[Item ID]], [1]!costsheet_UnconvertedPricing[Item ID], [1]!costsheet_UnconvertedPricing[Product Category Description], "")</f>
        <v>25 - LUMBER</v>
      </c>
      <c r="C41" s="7" t="str">
        <f>_xlfn.XLOOKUP(updatetool_PriceUpdate[[#This Row],[Item ID]], [1]!costsheet_UnconvertedPricing[Item ID], [1]!costsheet_UnconvertedPricing[Minor Category Description], "")</f>
        <v>2503 - DOUG FIR-LUMBER</v>
      </c>
      <c r="D41" s="7" t="str" cm="1">
        <f t="array" ref="D41">_xlfn._xlws.FILTER([1]!costsheet_Conversion[[#This Row],[SKU]], [1]!costsheet_Conversion[[#This Row],[SKU]]&lt;&gt;"")</f>
        <v>2414DF</v>
      </c>
      <c r="E41" s="7" t="str">
        <f>_xlfn.XLOOKUP(updatetool_PriceUpdate[[#This Row],[Item ID]], [1]!costsheet_UnconvertedPricing[Item ID], [1]!costsheet_UnconvertedPricing[Item Description], "")</f>
        <v>2X4-14' STD&amp;BTR DF</v>
      </c>
      <c r="F41" s="7">
        <f>_xlfn.XLOOKUP(updatetool_PriceUpdate[[#This Row],[Item ID]], [1]!costsheet_Conversion[SKU], [1]!costsheet_Conversion[Sell_UOM], "")</f>
        <v>634.83000000000004</v>
      </c>
      <c r="G41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41" s="9"/>
      <c r="I41" s="10" t="str">
        <f>IF(G41="","",INDEX('[1]PRICE SHEET MAP'!$3:$3,1,18+(G41*3)-1))</f>
        <v>AR</v>
      </c>
      <c r="J41" s="11" t="str">
        <f t="shared" si="1"/>
        <v>Will update PL09 → Column AR</v>
      </c>
      <c r="K41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41" s="13">
        <f>_xlfn.XLOOKUP(updatetool_PriceUpdate[[#This Row],[Minor_Category_No]],[1]!reference_Dart[Online Minor Code],[1]!reference_Dart[DART Major Code])</f>
        <v>1</v>
      </c>
      <c r="M41" s="13">
        <f t="shared" si="0"/>
        <v>2503</v>
      </c>
    </row>
    <row r="42" spans="1:13" x14ac:dyDescent="0.35">
      <c r="A42" s="6" t="str">
        <f>_xlfn.XLOOKUP(updatetool_PriceUpdate[[#This Row],[Item ID]], [1]!costsheet_UnconvertedPricing[Item ID], [1]!costsheet_UnconvertedPricing[Pricing Zone], "")</f>
        <v>PORTOR</v>
      </c>
      <c r="B42" s="7" t="str">
        <f>_xlfn.XLOOKUP(updatetool_PriceUpdate[[#This Row],[Item ID]], [1]!costsheet_UnconvertedPricing[Item ID], [1]!costsheet_UnconvertedPricing[Product Category Description], "")</f>
        <v>25 - LUMBER</v>
      </c>
      <c r="C42" s="7" t="str">
        <f>_xlfn.XLOOKUP(updatetool_PriceUpdate[[#This Row],[Item ID]], [1]!costsheet_UnconvertedPricing[Item ID], [1]!costsheet_UnconvertedPricing[Minor Category Description], "")</f>
        <v>2503 - DOUG FIR-LUMBER</v>
      </c>
      <c r="D42" s="7" t="str" cm="1">
        <f t="array" ref="D42">_xlfn._xlws.FILTER([1]!costsheet_Conversion[[#This Row],[SKU]], [1]!costsheet_Conversion[[#This Row],[SKU]]&lt;&gt;"")</f>
        <v>2416DF</v>
      </c>
      <c r="E42" s="7" t="str">
        <f>_xlfn.XLOOKUP(updatetool_PriceUpdate[[#This Row],[Item ID]], [1]!costsheet_UnconvertedPricing[Item ID], [1]!costsheet_UnconvertedPricing[Item Description], "")</f>
        <v>2X4-16' STD&amp;BTR DF</v>
      </c>
      <c r="F42" s="7">
        <f>_xlfn.XLOOKUP(updatetool_PriceUpdate[[#This Row],[Item ID]], [1]!costsheet_Conversion[SKU], [1]!costsheet_Conversion[Sell_UOM], "")</f>
        <v>634.83000000000004</v>
      </c>
      <c r="G42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42" s="9"/>
      <c r="I42" s="10" t="str">
        <f>IF(G42="","",INDEX('[1]PRICE SHEET MAP'!$3:$3,1,18+(G42*3)-1))</f>
        <v>AR</v>
      </c>
      <c r="J42" s="11" t="str">
        <f t="shared" si="1"/>
        <v>Will update PL09 → Column AR</v>
      </c>
      <c r="K42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42" s="13">
        <f>_xlfn.XLOOKUP(updatetool_PriceUpdate[[#This Row],[Minor_Category_No]],[1]!reference_Dart[Online Minor Code],[1]!reference_Dart[DART Major Code])</f>
        <v>1</v>
      </c>
      <c r="M42" s="13">
        <f t="shared" si="0"/>
        <v>2503</v>
      </c>
    </row>
    <row r="43" spans="1:13" x14ac:dyDescent="0.35">
      <c r="A43" s="6" t="str">
        <f>_xlfn.XLOOKUP(updatetool_PriceUpdate[[#This Row],[Item ID]], [1]!costsheet_UnconvertedPricing[Item ID], [1]!costsheet_UnconvertedPricing[Pricing Zone], "")</f>
        <v>PORTOR</v>
      </c>
      <c r="B43" s="7" t="str">
        <f>_xlfn.XLOOKUP(updatetool_PriceUpdate[[#This Row],[Item ID]], [1]!costsheet_UnconvertedPricing[Item ID], [1]!costsheet_UnconvertedPricing[Product Category Description], "")</f>
        <v>25 - LUMBER</v>
      </c>
      <c r="C43" s="7" t="str">
        <f>_xlfn.XLOOKUP(updatetool_PriceUpdate[[#This Row],[Item ID]], [1]!costsheet_UnconvertedPricing[Item ID], [1]!costsheet_UnconvertedPricing[Minor Category Description], "")</f>
        <v>2503 - DOUG FIR-LUMBER</v>
      </c>
      <c r="D43" s="7" t="str" cm="1">
        <f t="array" ref="D43">_xlfn._xlws.FILTER([1]!costsheet_Conversion[[#This Row],[SKU]], [1]!costsheet_Conversion[[#This Row],[SKU]]&lt;&gt;"")</f>
        <v>2418DF</v>
      </c>
      <c r="E43" s="7" t="str">
        <f>_xlfn.XLOOKUP(updatetool_PriceUpdate[[#This Row],[Item ID]], [1]!costsheet_UnconvertedPricing[Item ID], [1]!costsheet_UnconvertedPricing[Item Description], "")</f>
        <v>2X4-18' STD&amp;BTR DF</v>
      </c>
      <c r="F43" s="7">
        <f>_xlfn.XLOOKUP(updatetool_PriceUpdate[[#This Row],[Item ID]], [1]!costsheet_Conversion[SKU], [1]!costsheet_Conversion[Sell_UOM], "")</f>
        <v>634.83000000000004</v>
      </c>
      <c r="G43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43" s="9"/>
      <c r="I43" s="10" t="str">
        <f>IF(G43="","",INDEX('[1]PRICE SHEET MAP'!$3:$3,1,18+(G43*3)-1))</f>
        <v>AR</v>
      </c>
      <c r="J43" s="11" t="str">
        <f t="shared" si="1"/>
        <v>Will update PL09 → Column AR</v>
      </c>
      <c r="K43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43" s="13">
        <f>_xlfn.XLOOKUP(updatetool_PriceUpdate[[#This Row],[Minor_Category_No]],[1]!reference_Dart[Online Minor Code],[1]!reference_Dart[DART Major Code])</f>
        <v>1</v>
      </c>
      <c r="M43" s="13">
        <f t="shared" si="0"/>
        <v>2503</v>
      </c>
    </row>
    <row r="44" spans="1:13" x14ac:dyDescent="0.35">
      <c r="A44" s="6" t="str">
        <f>_xlfn.XLOOKUP(updatetool_PriceUpdate[[#This Row],[Item ID]], [1]!costsheet_UnconvertedPricing[Item ID], [1]!costsheet_UnconvertedPricing[Pricing Zone], "")</f>
        <v>PORTOR</v>
      </c>
      <c r="B44" s="7" t="str">
        <f>_xlfn.XLOOKUP(updatetool_PriceUpdate[[#This Row],[Item ID]], [1]!costsheet_UnconvertedPricing[Item ID], [1]!costsheet_UnconvertedPricing[Product Category Description], "")</f>
        <v>25 - LUMBER</v>
      </c>
      <c r="C44" s="7" t="str">
        <f>_xlfn.XLOOKUP(updatetool_PriceUpdate[[#This Row],[Item ID]], [1]!costsheet_UnconvertedPricing[Item ID], [1]!costsheet_UnconvertedPricing[Minor Category Description], "")</f>
        <v>2503 - DOUG FIR-LUMBER</v>
      </c>
      <c r="D44" s="7" t="str" cm="1">
        <f t="array" ref="D44">_xlfn._xlws.FILTER([1]!costsheet_Conversion[[#This Row],[SKU]], [1]!costsheet_Conversion[[#This Row],[SKU]]&lt;&gt;"")</f>
        <v>2420DF</v>
      </c>
      <c r="E44" s="7" t="str">
        <f>_xlfn.XLOOKUP(updatetool_PriceUpdate[[#This Row],[Item ID]], [1]!costsheet_UnconvertedPricing[Item ID], [1]!costsheet_UnconvertedPricing[Item Description], "")</f>
        <v>2X4-20' STD&amp;BTR DF</v>
      </c>
      <c r="F44" s="7">
        <f>_xlfn.XLOOKUP(updatetool_PriceUpdate[[#This Row],[Item ID]], [1]!costsheet_Conversion[SKU], [1]!costsheet_Conversion[Sell_UOM], "")</f>
        <v>634.83000000000004</v>
      </c>
      <c r="G44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44" s="9"/>
      <c r="I44" s="10" t="str">
        <f>IF(G44="","",INDEX('[1]PRICE SHEET MAP'!$3:$3,1,18+(G44*3)-1))</f>
        <v>AR</v>
      </c>
      <c r="J44" s="11" t="str">
        <f t="shared" si="1"/>
        <v>Will update PL09 → Column AR</v>
      </c>
      <c r="K44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44" s="13">
        <f>_xlfn.XLOOKUP(updatetool_PriceUpdate[[#This Row],[Minor_Category_No]],[1]!reference_Dart[Online Minor Code],[1]!reference_Dart[DART Major Code])</f>
        <v>1</v>
      </c>
      <c r="M44" s="13">
        <f t="shared" si="0"/>
        <v>2503</v>
      </c>
    </row>
    <row r="45" spans="1:13" x14ac:dyDescent="0.35">
      <c r="A45" s="6" t="str">
        <f>_xlfn.XLOOKUP(updatetool_PriceUpdate[[#This Row],[Item ID]], [1]!costsheet_UnconvertedPricing[Item ID], [1]!costsheet_UnconvertedPricing[Pricing Zone], "")</f>
        <v>PORTOR</v>
      </c>
      <c r="B45" s="7" t="str">
        <f>_xlfn.XLOOKUP(updatetool_PriceUpdate[[#This Row],[Item ID]], [1]!costsheet_UnconvertedPricing[Item ID], [1]!costsheet_UnconvertedPricing[Product Category Description], "")</f>
        <v>25 - LUMBER</v>
      </c>
      <c r="C45" s="7" t="str">
        <f>_xlfn.XLOOKUP(updatetool_PriceUpdate[[#This Row],[Item ID]], [1]!costsheet_UnconvertedPricing[Item ID], [1]!costsheet_UnconvertedPricing[Minor Category Description], "")</f>
        <v>2503 - DOUG FIR-LUMBER</v>
      </c>
      <c r="D45" s="7" t="str" cm="1">
        <f t="array" ref="D45">_xlfn._xlws.FILTER([1]!costsheet_Conversion[[#This Row],[SKU]], [1]!costsheet_Conversion[[#This Row],[SKU]]&lt;&gt;"")</f>
        <v>26DF2</v>
      </c>
      <c r="E45" s="7" t="str">
        <f>_xlfn.XLOOKUP(updatetool_PriceUpdate[[#This Row],[Item ID]], [1]!costsheet_UnconvertedPricing[Item ID], [1]!costsheet_UnconvertedPricing[Item Description], "")</f>
        <v>2X6-RL #2&amp;BTR DF</v>
      </c>
      <c r="F45" s="7">
        <f>_xlfn.XLOOKUP(updatetool_PriceUpdate[[#This Row],[Item ID]], [1]!costsheet_Conversion[SKU], [1]!costsheet_Conversion[Sell_UOM], "")</f>
        <v>567.41999999999996</v>
      </c>
      <c r="G45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45" s="9"/>
      <c r="I45" s="10" t="str">
        <f>IF(G45="","",INDEX('[1]PRICE SHEET MAP'!$3:$3,1,18+(G45*3)-1))</f>
        <v>AR</v>
      </c>
      <c r="J45" s="11" t="str">
        <f t="shared" si="1"/>
        <v>Will update PL09 → Column AR</v>
      </c>
      <c r="K45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45" s="13">
        <f>_xlfn.XLOOKUP(updatetool_PriceUpdate[[#This Row],[Minor_Category_No]],[1]!reference_Dart[Online Minor Code],[1]!reference_Dart[DART Major Code])</f>
        <v>1</v>
      </c>
      <c r="M45" s="13">
        <f t="shared" si="0"/>
        <v>2503</v>
      </c>
    </row>
    <row r="46" spans="1:13" x14ac:dyDescent="0.35">
      <c r="A46" s="6" t="str">
        <f>_xlfn.XLOOKUP(updatetool_PriceUpdate[[#This Row],[Item ID]], [1]!costsheet_UnconvertedPricing[Item ID], [1]!costsheet_UnconvertedPricing[Pricing Zone], "")</f>
        <v>PORTOR</v>
      </c>
      <c r="B46" s="7" t="str">
        <f>_xlfn.XLOOKUP(updatetool_PriceUpdate[[#This Row],[Item ID]], [1]!costsheet_UnconvertedPricing[Item ID], [1]!costsheet_UnconvertedPricing[Product Category Description], "")</f>
        <v>25 - LUMBER</v>
      </c>
      <c r="C46" s="7" t="str">
        <f>_xlfn.XLOOKUP(updatetool_PriceUpdate[[#This Row],[Item ID]], [1]!costsheet_UnconvertedPricing[Item ID], [1]!costsheet_UnconvertedPricing[Minor Category Description], "")</f>
        <v>2503 - DOUG FIR-LUMBER</v>
      </c>
      <c r="D46" s="7" t="str" cm="1">
        <f t="array" ref="D46">_xlfn._xlws.FILTER([1]!costsheet_Conversion[[#This Row],[SKU]], [1]!costsheet_Conversion[[#This Row],[SKU]]&lt;&gt;"")</f>
        <v>268DF2</v>
      </c>
      <c r="E46" s="7" t="str">
        <f>_xlfn.XLOOKUP(updatetool_PriceUpdate[[#This Row],[Item ID]], [1]!costsheet_UnconvertedPricing[Item ID], [1]!costsheet_UnconvertedPricing[Item Description], "")</f>
        <v>2X6-8' #2&amp;BTR DF</v>
      </c>
      <c r="F46" s="7">
        <f>_xlfn.XLOOKUP(updatetool_PriceUpdate[[#This Row],[Item ID]], [1]!costsheet_Conversion[SKU], [1]!costsheet_Conversion[Sell_UOM], "")</f>
        <v>567.41999999999996</v>
      </c>
      <c r="G46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46" s="9"/>
      <c r="I46" s="10" t="str">
        <f>IF(G46="","",INDEX('[1]PRICE SHEET MAP'!$3:$3,1,18+(G46*3)-1))</f>
        <v>AR</v>
      </c>
      <c r="J46" s="11" t="str">
        <f t="shared" si="1"/>
        <v>Will update PL09 → Column AR</v>
      </c>
      <c r="K46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46" s="13">
        <f>_xlfn.XLOOKUP(updatetool_PriceUpdate[[#This Row],[Minor_Category_No]],[1]!reference_Dart[Online Minor Code],[1]!reference_Dart[DART Major Code])</f>
        <v>1</v>
      </c>
      <c r="M46" s="13">
        <f t="shared" si="0"/>
        <v>2503</v>
      </c>
    </row>
    <row r="47" spans="1:13" x14ac:dyDescent="0.35">
      <c r="A47" s="6" t="str">
        <f>_xlfn.XLOOKUP(updatetool_PriceUpdate[[#This Row],[Item ID]], [1]!costsheet_UnconvertedPricing[Item ID], [1]!costsheet_UnconvertedPricing[Pricing Zone], "")</f>
        <v>PORTOR</v>
      </c>
      <c r="B47" s="7" t="str">
        <f>_xlfn.XLOOKUP(updatetool_PriceUpdate[[#This Row],[Item ID]], [1]!costsheet_UnconvertedPricing[Item ID], [1]!costsheet_UnconvertedPricing[Product Category Description], "")</f>
        <v>25 - LUMBER</v>
      </c>
      <c r="C47" s="7" t="str">
        <f>_xlfn.XLOOKUP(updatetool_PriceUpdate[[#This Row],[Item ID]], [1]!costsheet_UnconvertedPricing[Item ID], [1]!costsheet_UnconvertedPricing[Minor Category Description], "")</f>
        <v>2503 - DOUG FIR-LUMBER</v>
      </c>
      <c r="D47" s="7" t="str" cm="1">
        <f t="array" ref="D47">_xlfn._xlws.FILTER([1]!costsheet_Conversion[[#This Row],[SKU]], [1]!costsheet_Conversion[[#This Row],[SKU]]&lt;&gt;"")</f>
        <v>2610DF2</v>
      </c>
      <c r="E47" s="7" t="str">
        <f>_xlfn.XLOOKUP(updatetool_PriceUpdate[[#This Row],[Item ID]], [1]!costsheet_UnconvertedPricing[Item ID], [1]!costsheet_UnconvertedPricing[Item Description], "")</f>
        <v>2X6-10' #2&amp;BTR DF</v>
      </c>
      <c r="F47" s="7">
        <f>_xlfn.XLOOKUP(updatetool_PriceUpdate[[#This Row],[Item ID]], [1]!costsheet_Conversion[SKU], [1]!costsheet_Conversion[Sell_UOM], "")</f>
        <v>567.41999999999996</v>
      </c>
      <c r="G47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47" s="9"/>
      <c r="I47" s="10" t="str">
        <f>IF(G47="","",INDEX('[1]PRICE SHEET MAP'!$3:$3,1,18+(G47*3)-1))</f>
        <v>AR</v>
      </c>
      <c r="J47" s="11" t="str">
        <f t="shared" si="1"/>
        <v>Will update PL09 → Column AR</v>
      </c>
      <c r="K47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47" s="13">
        <f>_xlfn.XLOOKUP(updatetool_PriceUpdate[[#This Row],[Minor_Category_No]],[1]!reference_Dart[Online Minor Code],[1]!reference_Dart[DART Major Code])</f>
        <v>1</v>
      </c>
      <c r="M47" s="13">
        <f t="shared" si="0"/>
        <v>2503</v>
      </c>
    </row>
    <row r="48" spans="1:13" x14ac:dyDescent="0.35">
      <c r="A48" s="6" t="str">
        <f>_xlfn.XLOOKUP(updatetool_PriceUpdate[[#This Row],[Item ID]], [1]!costsheet_UnconvertedPricing[Item ID], [1]!costsheet_UnconvertedPricing[Pricing Zone], "")</f>
        <v>PORTOR</v>
      </c>
      <c r="B48" s="7" t="str">
        <f>_xlfn.XLOOKUP(updatetool_PriceUpdate[[#This Row],[Item ID]], [1]!costsheet_UnconvertedPricing[Item ID], [1]!costsheet_UnconvertedPricing[Product Category Description], "")</f>
        <v>25 - LUMBER</v>
      </c>
      <c r="C48" s="7" t="str">
        <f>_xlfn.XLOOKUP(updatetool_PriceUpdate[[#This Row],[Item ID]], [1]!costsheet_UnconvertedPricing[Item ID], [1]!costsheet_UnconvertedPricing[Minor Category Description], "")</f>
        <v>2503 - DOUG FIR-LUMBER</v>
      </c>
      <c r="D48" s="7" t="str" cm="1">
        <f t="array" ref="D48">_xlfn._xlws.FILTER([1]!costsheet_Conversion[[#This Row],[SKU]], [1]!costsheet_Conversion[[#This Row],[SKU]]&lt;&gt;"")</f>
        <v>2612DF2</v>
      </c>
      <c r="E48" s="7" t="str">
        <f>_xlfn.XLOOKUP(updatetool_PriceUpdate[[#This Row],[Item ID]], [1]!costsheet_UnconvertedPricing[Item ID], [1]!costsheet_UnconvertedPricing[Item Description], "")</f>
        <v>2X6-12' #2&amp;BTR DF</v>
      </c>
      <c r="F48" s="7">
        <f>_xlfn.XLOOKUP(updatetool_PriceUpdate[[#This Row],[Item ID]], [1]!costsheet_Conversion[SKU], [1]!costsheet_Conversion[Sell_UOM], "")</f>
        <v>567.41999999999996</v>
      </c>
      <c r="G48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48" s="9"/>
      <c r="I48" s="10" t="str">
        <f>IF(G48="","",INDEX('[1]PRICE SHEET MAP'!$3:$3,1,18+(G48*3)-1))</f>
        <v>AR</v>
      </c>
      <c r="J48" s="11" t="str">
        <f t="shared" si="1"/>
        <v>Will update PL09 → Column AR</v>
      </c>
      <c r="K48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48" s="13">
        <f>_xlfn.XLOOKUP(updatetool_PriceUpdate[[#This Row],[Minor_Category_No]],[1]!reference_Dart[Online Minor Code],[1]!reference_Dart[DART Major Code])</f>
        <v>1</v>
      </c>
      <c r="M48" s="13">
        <f t="shared" si="0"/>
        <v>2503</v>
      </c>
    </row>
    <row r="49" spans="1:13" x14ac:dyDescent="0.35">
      <c r="A49" s="6" t="str">
        <f>_xlfn.XLOOKUP(updatetool_PriceUpdate[[#This Row],[Item ID]], [1]!costsheet_UnconvertedPricing[Item ID], [1]!costsheet_UnconvertedPricing[Pricing Zone], "")</f>
        <v>PORTOR</v>
      </c>
      <c r="B49" s="7" t="str">
        <f>_xlfn.XLOOKUP(updatetool_PriceUpdate[[#This Row],[Item ID]], [1]!costsheet_UnconvertedPricing[Item ID], [1]!costsheet_UnconvertedPricing[Product Category Description], "")</f>
        <v>25 - LUMBER</v>
      </c>
      <c r="C49" s="7" t="str">
        <f>_xlfn.XLOOKUP(updatetool_PriceUpdate[[#This Row],[Item ID]], [1]!costsheet_UnconvertedPricing[Item ID], [1]!costsheet_UnconvertedPricing[Minor Category Description], "")</f>
        <v>2503 - DOUG FIR-LUMBER</v>
      </c>
      <c r="D49" s="7" t="str" cm="1">
        <f t="array" ref="D49">_xlfn._xlws.FILTER([1]!costsheet_Conversion[[#This Row],[SKU]], [1]!costsheet_Conversion[[#This Row],[SKU]]&lt;&gt;"")</f>
        <v>2614DF2</v>
      </c>
      <c r="E49" s="7" t="str">
        <f>_xlfn.XLOOKUP(updatetool_PriceUpdate[[#This Row],[Item ID]], [1]!costsheet_UnconvertedPricing[Item ID], [1]!costsheet_UnconvertedPricing[Item Description], "")</f>
        <v>2X6-14' #2&amp;BTR DF</v>
      </c>
      <c r="F49" s="7">
        <f>_xlfn.XLOOKUP(updatetool_PriceUpdate[[#This Row],[Item ID]], [1]!costsheet_Conversion[SKU], [1]!costsheet_Conversion[Sell_UOM], "")</f>
        <v>567.41999999999996</v>
      </c>
      <c r="G49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49" s="9"/>
      <c r="I49" s="10" t="str">
        <f>IF(G49="","",INDEX('[1]PRICE SHEET MAP'!$3:$3,1,18+(G49*3)-1))</f>
        <v>AR</v>
      </c>
      <c r="J49" s="11" t="str">
        <f t="shared" si="1"/>
        <v>Will update PL09 → Column AR</v>
      </c>
      <c r="K49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49" s="13">
        <f>_xlfn.XLOOKUP(updatetool_PriceUpdate[[#This Row],[Minor_Category_No]],[1]!reference_Dart[Online Minor Code],[1]!reference_Dart[DART Major Code])</f>
        <v>1</v>
      </c>
      <c r="M49" s="13">
        <f t="shared" si="0"/>
        <v>2503</v>
      </c>
    </row>
    <row r="50" spans="1:13" x14ac:dyDescent="0.35">
      <c r="A50" s="6" t="str">
        <f>_xlfn.XLOOKUP(updatetool_PriceUpdate[[#This Row],[Item ID]], [1]!costsheet_UnconvertedPricing[Item ID], [1]!costsheet_UnconvertedPricing[Pricing Zone], "")</f>
        <v>PORTOR</v>
      </c>
      <c r="B50" s="7" t="str">
        <f>_xlfn.XLOOKUP(updatetool_PriceUpdate[[#This Row],[Item ID]], [1]!costsheet_UnconvertedPricing[Item ID], [1]!costsheet_UnconvertedPricing[Product Category Description], "")</f>
        <v>25 - LUMBER</v>
      </c>
      <c r="C50" s="7" t="str">
        <f>_xlfn.XLOOKUP(updatetool_PriceUpdate[[#This Row],[Item ID]], [1]!costsheet_UnconvertedPricing[Item ID], [1]!costsheet_UnconvertedPricing[Minor Category Description], "")</f>
        <v>2503 - DOUG FIR-LUMBER</v>
      </c>
      <c r="D50" s="7" t="str" cm="1">
        <f t="array" ref="D50">_xlfn._xlws.FILTER([1]!costsheet_Conversion[[#This Row],[SKU]], [1]!costsheet_Conversion[[#This Row],[SKU]]&lt;&gt;"")</f>
        <v>2616DF2</v>
      </c>
      <c r="E50" s="7" t="str">
        <f>_xlfn.XLOOKUP(updatetool_PriceUpdate[[#This Row],[Item ID]], [1]!costsheet_UnconvertedPricing[Item ID], [1]!costsheet_UnconvertedPricing[Item Description], "")</f>
        <v>2X6-16' #2&amp;BTR DF</v>
      </c>
      <c r="F50" s="7">
        <f>_xlfn.XLOOKUP(updatetool_PriceUpdate[[#This Row],[Item ID]], [1]!costsheet_Conversion[SKU], [1]!costsheet_Conversion[Sell_UOM], "")</f>
        <v>567.41999999999996</v>
      </c>
      <c r="G50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50" s="9"/>
      <c r="I50" s="10" t="str">
        <f>IF(G50="","",INDEX('[1]PRICE SHEET MAP'!$3:$3,1,18+(G50*3)-1))</f>
        <v>AR</v>
      </c>
      <c r="J50" s="11" t="str">
        <f t="shared" si="1"/>
        <v>Will update PL09 → Column AR</v>
      </c>
      <c r="K50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50" s="13">
        <f>_xlfn.XLOOKUP(updatetool_PriceUpdate[[#This Row],[Minor_Category_No]],[1]!reference_Dart[Online Minor Code],[1]!reference_Dart[DART Major Code])</f>
        <v>1</v>
      </c>
      <c r="M50" s="13">
        <f t="shared" si="0"/>
        <v>2503</v>
      </c>
    </row>
    <row r="51" spans="1:13" x14ac:dyDescent="0.35">
      <c r="A51" s="6" t="str">
        <f>_xlfn.XLOOKUP(updatetool_PriceUpdate[[#This Row],[Item ID]], [1]!costsheet_UnconvertedPricing[Item ID], [1]!costsheet_UnconvertedPricing[Pricing Zone], "")</f>
        <v>PORTOR</v>
      </c>
      <c r="B51" s="7" t="str">
        <f>_xlfn.XLOOKUP(updatetool_PriceUpdate[[#This Row],[Item ID]], [1]!costsheet_UnconvertedPricing[Item ID], [1]!costsheet_UnconvertedPricing[Product Category Description], "")</f>
        <v>25 - LUMBER</v>
      </c>
      <c r="C51" s="7" t="str">
        <f>_xlfn.XLOOKUP(updatetool_PriceUpdate[[#This Row],[Item ID]], [1]!costsheet_UnconvertedPricing[Item ID], [1]!costsheet_UnconvertedPricing[Minor Category Description], "")</f>
        <v>2503 - DOUG FIR-LUMBER</v>
      </c>
      <c r="D51" s="7" t="str" cm="1">
        <f t="array" ref="D51">_xlfn._xlws.FILTER([1]!costsheet_Conversion[[#This Row],[SKU]], [1]!costsheet_Conversion[[#This Row],[SKU]]&lt;&gt;"")</f>
        <v>2618DF2</v>
      </c>
      <c r="E51" s="7" t="str">
        <f>_xlfn.XLOOKUP(updatetool_PriceUpdate[[#This Row],[Item ID]], [1]!costsheet_UnconvertedPricing[Item ID], [1]!costsheet_UnconvertedPricing[Item Description], "")</f>
        <v>2X6-18' #2&amp;BTR DF</v>
      </c>
      <c r="F51" s="7">
        <f>_xlfn.XLOOKUP(updatetool_PriceUpdate[[#This Row],[Item ID]], [1]!costsheet_Conversion[SKU], [1]!costsheet_Conversion[Sell_UOM], "")</f>
        <v>567.41999999999996</v>
      </c>
      <c r="G51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51" s="9"/>
      <c r="I51" s="10" t="str">
        <f>IF(G51="","",INDEX('[1]PRICE SHEET MAP'!$3:$3,1,18+(G51*3)-1))</f>
        <v>AR</v>
      </c>
      <c r="J51" s="11" t="str">
        <f t="shared" si="1"/>
        <v>Will update PL09 → Column AR</v>
      </c>
      <c r="K51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51" s="13">
        <f>_xlfn.XLOOKUP(updatetool_PriceUpdate[[#This Row],[Minor_Category_No]],[1]!reference_Dart[Online Minor Code],[1]!reference_Dart[DART Major Code])</f>
        <v>1</v>
      </c>
      <c r="M51" s="13">
        <f t="shared" si="0"/>
        <v>2503</v>
      </c>
    </row>
    <row r="52" spans="1:13" x14ac:dyDescent="0.35">
      <c r="A52" s="6" t="str">
        <f>_xlfn.XLOOKUP(updatetool_PriceUpdate[[#This Row],[Item ID]], [1]!costsheet_UnconvertedPricing[Item ID], [1]!costsheet_UnconvertedPricing[Pricing Zone], "")</f>
        <v>PORTOR</v>
      </c>
      <c r="B52" s="7" t="str">
        <f>_xlfn.XLOOKUP(updatetool_PriceUpdate[[#This Row],[Item ID]], [1]!costsheet_UnconvertedPricing[Item ID], [1]!costsheet_UnconvertedPricing[Product Category Description], "")</f>
        <v>25 - LUMBER</v>
      </c>
      <c r="C52" s="7" t="str">
        <f>_xlfn.XLOOKUP(updatetool_PriceUpdate[[#This Row],[Item ID]], [1]!costsheet_UnconvertedPricing[Item ID], [1]!costsheet_UnconvertedPricing[Minor Category Description], "")</f>
        <v>2503 - DOUG FIR-LUMBER</v>
      </c>
      <c r="D52" s="7" t="str" cm="1">
        <f t="array" ref="D52">_xlfn._xlws.FILTER([1]!costsheet_Conversion[[#This Row],[SKU]], [1]!costsheet_Conversion[[#This Row],[SKU]]&lt;&gt;"")</f>
        <v>2620DF2</v>
      </c>
      <c r="E52" s="7" t="str">
        <f>_xlfn.XLOOKUP(updatetool_PriceUpdate[[#This Row],[Item ID]], [1]!costsheet_UnconvertedPricing[Item ID], [1]!costsheet_UnconvertedPricing[Item Description], "")</f>
        <v>2X6-20' #2&amp;BTR DF</v>
      </c>
      <c r="F52" s="7">
        <f>_xlfn.XLOOKUP(updatetool_PriceUpdate[[#This Row],[Item ID]], [1]!costsheet_Conversion[SKU], [1]!costsheet_Conversion[Sell_UOM], "")</f>
        <v>567.41999999999996</v>
      </c>
      <c r="G52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52" s="9"/>
      <c r="I52" s="10" t="str">
        <f>IF(G52="","",INDEX('[1]PRICE SHEET MAP'!$3:$3,1,18+(G52*3)-1))</f>
        <v>AR</v>
      </c>
      <c r="J52" s="11" t="str">
        <f t="shared" si="1"/>
        <v>Will update PL09 → Column AR</v>
      </c>
      <c r="K52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52" s="13">
        <f>_xlfn.XLOOKUP(updatetool_PriceUpdate[[#This Row],[Minor_Category_No]],[1]!reference_Dart[Online Minor Code],[1]!reference_Dart[DART Major Code])</f>
        <v>1</v>
      </c>
      <c r="M52" s="13">
        <f t="shared" si="0"/>
        <v>2503</v>
      </c>
    </row>
    <row r="53" spans="1:13" x14ac:dyDescent="0.35">
      <c r="A53" s="6" t="str">
        <f>_xlfn.XLOOKUP(updatetool_PriceUpdate[[#This Row],[Item ID]], [1]!costsheet_UnconvertedPricing[Item ID], [1]!costsheet_UnconvertedPricing[Pricing Zone], "")</f>
        <v>PORTOR</v>
      </c>
      <c r="B53" s="7" t="str">
        <f>_xlfn.XLOOKUP(updatetool_PriceUpdate[[#This Row],[Item ID]], [1]!costsheet_UnconvertedPricing[Item ID], [1]!costsheet_UnconvertedPricing[Product Category Description], "")</f>
        <v>25 - LUMBER</v>
      </c>
      <c r="C53" s="7" t="str">
        <f>_xlfn.XLOOKUP(updatetool_PriceUpdate[[#This Row],[Item ID]], [1]!costsheet_UnconvertedPricing[Item ID], [1]!costsheet_UnconvertedPricing[Minor Category Description], "")</f>
        <v>2503 - DOUG FIR-LUMBER</v>
      </c>
      <c r="D53" s="7" t="str" cm="1">
        <f t="array" ref="D53">_xlfn._xlws.FILTER([1]!costsheet_Conversion[[#This Row],[SKU]], [1]!costsheet_Conversion[[#This Row],[SKU]]&lt;&gt;"")</f>
        <v>28DF2</v>
      </c>
      <c r="E53" s="7" t="str">
        <f>_xlfn.XLOOKUP(updatetool_PriceUpdate[[#This Row],[Item ID]], [1]!costsheet_UnconvertedPricing[Item ID], [1]!costsheet_UnconvertedPricing[Item Description], "")</f>
        <v>2X8-RL #2&amp;BTR DF</v>
      </c>
      <c r="F53" s="7">
        <f>_xlfn.XLOOKUP(updatetool_PriceUpdate[[#This Row],[Item ID]], [1]!costsheet_Conversion[SKU], [1]!costsheet_Conversion[Sell_UOM], "")</f>
        <v>653.41</v>
      </c>
      <c r="G53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53" s="9"/>
      <c r="I53" s="10" t="str">
        <f>IF(G53="","",INDEX('[1]PRICE SHEET MAP'!$3:$3,1,18+(G53*3)-1))</f>
        <v>AR</v>
      </c>
      <c r="J53" s="11" t="str">
        <f t="shared" si="1"/>
        <v>Will update PL09 → Column AR</v>
      </c>
      <c r="K53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53" s="13">
        <f>_xlfn.XLOOKUP(updatetool_PriceUpdate[[#This Row],[Minor_Category_No]],[1]!reference_Dart[Online Minor Code],[1]!reference_Dart[DART Major Code])</f>
        <v>1</v>
      </c>
      <c r="M53" s="13">
        <f t="shared" si="0"/>
        <v>2503</v>
      </c>
    </row>
    <row r="54" spans="1:13" x14ac:dyDescent="0.35">
      <c r="A54" s="6" t="str">
        <f>_xlfn.XLOOKUP(updatetool_PriceUpdate[[#This Row],[Item ID]], [1]!costsheet_UnconvertedPricing[Item ID], [1]!costsheet_UnconvertedPricing[Pricing Zone], "")</f>
        <v>PORTOR</v>
      </c>
      <c r="B54" s="7" t="str">
        <f>_xlfn.XLOOKUP(updatetool_PriceUpdate[[#This Row],[Item ID]], [1]!costsheet_UnconvertedPricing[Item ID], [1]!costsheet_UnconvertedPricing[Product Category Description], "")</f>
        <v>25 - LUMBER</v>
      </c>
      <c r="C54" s="7" t="str">
        <f>_xlfn.XLOOKUP(updatetool_PriceUpdate[[#This Row],[Item ID]], [1]!costsheet_UnconvertedPricing[Item ID], [1]!costsheet_UnconvertedPricing[Minor Category Description], "")</f>
        <v>2503 - DOUG FIR-LUMBER</v>
      </c>
      <c r="D54" s="7" t="str" cm="1">
        <f t="array" ref="D54">_xlfn._xlws.FILTER([1]!costsheet_Conversion[[#This Row],[SKU]], [1]!costsheet_Conversion[[#This Row],[SKU]]&lt;&gt;"")</f>
        <v>288DF2</v>
      </c>
      <c r="E54" s="7" t="str">
        <f>_xlfn.XLOOKUP(updatetool_PriceUpdate[[#This Row],[Item ID]], [1]!costsheet_UnconvertedPricing[Item ID], [1]!costsheet_UnconvertedPricing[Item Description], "")</f>
        <v>2X8-8' #2&amp;BTR DF</v>
      </c>
      <c r="F54" s="7">
        <f>_xlfn.XLOOKUP(updatetool_PriceUpdate[[#This Row],[Item ID]], [1]!costsheet_Conversion[SKU], [1]!costsheet_Conversion[Sell_UOM], "")</f>
        <v>653.41</v>
      </c>
      <c r="G54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54" s="9"/>
      <c r="I54" s="10" t="str">
        <f>IF(G54="","",INDEX('[1]PRICE SHEET MAP'!$3:$3,1,18+(G54*3)-1))</f>
        <v>AR</v>
      </c>
      <c r="J54" s="11" t="str">
        <f t="shared" si="1"/>
        <v>Will update PL09 → Column AR</v>
      </c>
      <c r="K54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54" s="13">
        <f>_xlfn.XLOOKUP(updatetool_PriceUpdate[[#This Row],[Minor_Category_No]],[1]!reference_Dart[Online Minor Code],[1]!reference_Dart[DART Major Code])</f>
        <v>1</v>
      </c>
      <c r="M54" s="13">
        <f t="shared" si="0"/>
        <v>2503</v>
      </c>
    </row>
    <row r="55" spans="1:13" x14ac:dyDescent="0.35">
      <c r="A55" s="6" t="str">
        <f>_xlfn.XLOOKUP(updatetool_PriceUpdate[[#This Row],[Item ID]], [1]!costsheet_UnconvertedPricing[Item ID], [1]!costsheet_UnconvertedPricing[Pricing Zone], "")</f>
        <v>PORTOR</v>
      </c>
      <c r="B55" s="7" t="str">
        <f>_xlfn.XLOOKUP(updatetool_PriceUpdate[[#This Row],[Item ID]], [1]!costsheet_UnconvertedPricing[Item ID], [1]!costsheet_UnconvertedPricing[Product Category Description], "")</f>
        <v>25 - LUMBER</v>
      </c>
      <c r="C55" s="7" t="str">
        <f>_xlfn.XLOOKUP(updatetool_PriceUpdate[[#This Row],[Item ID]], [1]!costsheet_UnconvertedPricing[Item ID], [1]!costsheet_UnconvertedPricing[Minor Category Description], "")</f>
        <v>2503 - DOUG FIR-LUMBER</v>
      </c>
      <c r="D55" s="7" t="str" cm="1">
        <f t="array" ref="D55">_xlfn._xlws.FILTER([1]!costsheet_Conversion[[#This Row],[SKU]], [1]!costsheet_Conversion[[#This Row],[SKU]]&lt;&gt;"")</f>
        <v>2810DF2</v>
      </c>
      <c r="E55" s="7" t="str">
        <f>_xlfn.XLOOKUP(updatetool_PriceUpdate[[#This Row],[Item ID]], [1]!costsheet_UnconvertedPricing[Item ID], [1]!costsheet_UnconvertedPricing[Item Description], "")</f>
        <v>2X8-10' #2&amp;BTR DF</v>
      </c>
      <c r="F55" s="7">
        <f>_xlfn.XLOOKUP(updatetool_PriceUpdate[[#This Row],[Item ID]], [1]!costsheet_Conversion[SKU], [1]!costsheet_Conversion[Sell_UOM], "")</f>
        <v>653.41</v>
      </c>
      <c r="G55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55" s="9"/>
      <c r="I55" s="10" t="str">
        <f>IF(G55="","",INDEX('[1]PRICE SHEET MAP'!$3:$3,1,18+(G55*3)-1))</f>
        <v>AR</v>
      </c>
      <c r="J55" s="11" t="str">
        <f t="shared" si="1"/>
        <v>Will update PL09 → Column AR</v>
      </c>
      <c r="K55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55" s="13">
        <f>_xlfn.XLOOKUP(updatetool_PriceUpdate[[#This Row],[Minor_Category_No]],[1]!reference_Dart[Online Minor Code],[1]!reference_Dart[DART Major Code])</f>
        <v>1</v>
      </c>
      <c r="M55" s="13">
        <f t="shared" si="0"/>
        <v>2503</v>
      </c>
    </row>
    <row r="56" spans="1:13" x14ac:dyDescent="0.35">
      <c r="A56" s="6" t="str">
        <f>_xlfn.XLOOKUP(updatetool_PriceUpdate[[#This Row],[Item ID]], [1]!costsheet_UnconvertedPricing[Item ID], [1]!costsheet_UnconvertedPricing[Pricing Zone], "")</f>
        <v>PORTOR</v>
      </c>
      <c r="B56" s="7" t="str">
        <f>_xlfn.XLOOKUP(updatetool_PriceUpdate[[#This Row],[Item ID]], [1]!costsheet_UnconvertedPricing[Item ID], [1]!costsheet_UnconvertedPricing[Product Category Description], "")</f>
        <v>25 - LUMBER</v>
      </c>
      <c r="C56" s="7" t="str">
        <f>_xlfn.XLOOKUP(updatetool_PriceUpdate[[#This Row],[Item ID]], [1]!costsheet_UnconvertedPricing[Item ID], [1]!costsheet_UnconvertedPricing[Minor Category Description], "")</f>
        <v>2503 - DOUG FIR-LUMBER</v>
      </c>
      <c r="D56" s="7" t="str" cm="1">
        <f t="array" ref="D56">_xlfn._xlws.FILTER([1]!costsheet_Conversion[[#This Row],[SKU]], [1]!costsheet_Conversion[[#This Row],[SKU]]&lt;&gt;"")</f>
        <v>2812DF2</v>
      </c>
      <c r="E56" s="7" t="str">
        <f>_xlfn.XLOOKUP(updatetool_PriceUpdate[[#This Row],[Item ID]], [1]!costsheet_UnconvertedPricing[Item ID], [1]!costsheet_UnconvertedPricing[Item Description], "")</f>
        <v>2X8-12' #2&amp;BTR DF</v>
      </c>
      <c r="F56" s="7">
        <f>_xlfn.XLOOKUP(updatetool_PriceUpdate[[#This Row],[Item ID]], [1]!costsheet_Conversion[SKU], [1]!costsheet_Conversion[Sell_UOM], "")</f>
        <v>653.41</v>
      </c>
      <c r="G56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56" s="9"/>
      <c r="I56" s="10" t="str">
        <f>IF(G56="","",INDEX('[1]PRICE SHEET MAP'!$3:$3,1,18+(G56*3)-1))</f>
        <v>AR</v>
      </c>
      <c r="J56" s="11" t="str">
        <f t="shared" si="1"/>
        <v>Will update PL09 → Column AR</v>
      </c>
      <c r="K56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56" s="13">
        <f>_xlfn.XLOOKUP(updatetool_PriceUpdate[[#This Row],[Minor_Category_No]],[1]!reference_Dart[Online Minor Code],[1]!reference_Dart[DART Major Code])</f>
        <v>1</v>
      </c>
      <c r="M56" s="13">
        <f t="shared" si="0"/>
        <v>2503</v>
      </c>
    </row>
    <row r="57" spans="1:13" x14ac:dyDescent="0.35">
      <c r="A57" s="6" t="str">
        <f>_xlfn.XLOOKUP(updatetool_PriceUpdate[[#This Row],[Item ID]], [1]!costsheet_UnconvertedPricing[Item ID], [1]!costsheet_UnconvertedPricing[Pricing Zone], "")</f>
        <v>PORTOR</v>
      </c>
      <c r="B57" s="7" t="str">
        <f>_xlfn.XLOOKUP(updatetool_PriceUpdate[[#This Row],[Item ID]], [1]!costsheet_UnconvertedPricing[Item ID], [1]!costsheet_UnconvertedPricing[Product Category Description], "")</f>
        <v>25 - LUMBER</v>
      </c>
      <c r="C57" s="7" t="str">
        <f>_xlfn.XLOOKUP(updatetool_PriceUpdate[[#This Row],[Item ID]], [1]!costsheet_UnconvertedPricing[Item ID], [1]!costsheet_UnconvertedPricing[Minor Category Description], "")</f>
        <v>2503 - DOUG FIR-LUMBER</v>
      </c>
      <c r="D57" s="7" t="str" cm="1">
        <f t="array" ref="D57">_xlfn._xlws.FILTER([1]!costsheet_Conversion[[#This Row],[SKU]], [1]!costsheet_Conversion[[#This Row],[SKU]]&lt;&gt;"")</f>
        <v>2814DF2</v>
      </c>
      <c r="E57" s="7" t="str">
        <f>_xlfn.XLOOKUP(updatetool_PriceUpdate[[#This Row],[Item ID]], [1]!costsheet_UnconvertedPricing[Item ID], [1]!costsheet_UnconvertedPricing[Item Description], "")</f>
        <v>2X8-14' #2&amp;BTR DF</v>
      </c>
      <c r="F57" s="7">
        <f>_xlfn.XLOOKUP(updatetool_PriceUpdate[[#This Row],[Item ID]], [1]!costsheet_Conversion[SKU], [1]!costsheet_Conversion[Sell_UOM], "")</f>
        <v>653.41</v>
      </c>
      <c r="G57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57" s="9"/>
      <c r="I57" s="10" t="str">
        <f>IF(G57="","",INDEX('[1]PRICE SHEET MAP'!$3:$3,1,18+(G57*3)-1))</f>
        <v>AR</v>
      </c>
      <c r="J57" s="11" t="str">
        <f t="shared" si="1"/>
        <v>Will update PL09 → Column AR</v>
      </c>
      <c r="K57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57" s="13">
        <f>_xlfn.XLOOKUP(updatetool_PriceUpdate[[#This Row],[Minor_Category_No]],[1]!reference_Dart[Online Minor Code],[1]!reference_Dart[DART Major Code])</f>
        <v>1</v>
      </c>
      <c r="M57" s="13">
        <f t="shared" si="0"/>
        <v>2503</v>
      </c>
    </row>
    <row r="58" spans="1:13" x14ac:dyDescent="0.35">
      <c r="A58" s="6" t="str">
        <f>_xlfn.XLOOKUP(updatetool_PriceUpdate[[#This Row],[Item ID]], [1]!costsheet_UnconvertedPricing[Item ID], [1]!costsheet_UnconvertedPricing[Pricing Zone], "")</f>
        <v>PORTOR</v>
      </c>
      <c r="B58" s="7" t="str">
        <f>_xlfn.XLOOKUP(updatetool_PriceUpdate[[#This Row],[Item ID]], [1]!costsheet_UnconvertedPricing[Item ID], [1]!costsheet_UnconvertedPricing[Product Category Description], "")</f>
        <v>25 - LUMBER</v>
      </c>
      <c r="C58" s="7" t="str">
        <f>_xlfn.XLOOKUP(updatetool_PriceUpdate[[#This Row],[Item ID]], [1]!costsheet_UnconvertedPricing[Item ID], [1]!costsheet_UnconvertedPricing[Minor Category Description], "")</f>
        <v>2503 - DOUG FIR-LUMBER</v>
      </c>
      <c r="D58" s="7" t="str" cm="1">
        <f t="array" ref="D58">_xlfn._xlws.FILTER([1]!costsheet_Conversion[[#This Row],[SKU]], [1]!costsheet_Conversion[[#This Row],[SKU]]&lt;&gt;"")</f>
        <v>2816DF2</v>
      </c>
      <c r="E58" s="7" t="str">
        <f>_xlfn.XLOOKUP(updatetool_PriceUpdate[[#This Row],[Item ID]], [1]!costsheet_UnconvertedPricing[Item ID], [1]!costsheet_UnconvertedPricing[Item Description], "")</f>
        <v>2X8-16' #2&amp;BTR DF</v>
      </c>
      <c r="F58" s="7">
        <f>_xlfn.XLOOKUP(updatetool_PriceUpdate[[#This Row],[Item ID]], [1]!costsheet_Conversion[SKU], [1]!costsheet_Conversion[Sell_UOM], "")</f>
        <v>653.41</v>
      </c>
      <c r="G58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58" s="9"/>
      <c r="I58" s="10" t="str">
        <f>IF(G58="","",INDEX('[1]PRICE SHEET MAP'!$3:$3,1,18+(G58*3)-1))</f>
        <v>AR</v>
      </c>
      <c r="J58" s="11" t="str">
        <f t="shared" si="1"/>
        <v>Will update PL09 → Column AR</v>
      </c>
      <c r="K58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58" s="13">
        <f>_xlfn.XLOOKUP(updatetool_PriceUpdate[[#This Row],[Minor_Category_No]],[1]!reference_Dart[Online Minor Code],[1]!reference_Dart[DART Major Code])</f>
        <v>1</v>
      </c>
      <c r="M58" s="13">
        <f t="shared" si="0"/>
        <v>2503</v>
      </c>
    </row>
    <row r="59" spans="1:13" x14ac:dyDescent="0.35">
      <c r="A59" s="6" t="str">
        <f>_xlfn.XLOOKUP(updatetool_PriceUpdate[[#This Row],[Item ID]], [1]!costsheet_UnconvertedPricing[Item ID], [1]!costsheet_UnconvertedPricing[Pricing Zone], "")</f>
        <v>PORTOR</v>
      </c>
      <c r="B59" s="7" t="str">
        <f>_xlfn.XLOOKUP(updatetool_PriceUpdate[[#This Row],[Item ID]], [1]!costsheet_UnconvertedPricing[Item ID], [1]!costsheet_UnconvertedPricing[Product Category Description], "")</f>
        <v>25 - LUMBER</v>
      </c>
      <c r="C59" s="7" t="str">
        <f>_xlfn.XLOOKUP(updatetool_PriceUpdate[[#This Row],[Item ID]], [1]!costsheet_UnconvertedPricing[Item ID], [1]!costsheet_UnconvertedPricing[Minor Category Description], "")</f>
        <v>2503 - DOUG FIR-LUMBER</v>
      </c>
      <c r="D59" s="7" t="str" cm="1">
        <f t="array" ref="D59">_xlfn._xlws.FILTER([1]!costsheet_Conversion[[#This Row],[SKU]], [1]!costsheet_Conversion[[#This Row],[SKU]]&lt;&gt;"")</f>
        <v>2818DF2</v>
      </c>
      <c r="E59" s="7" t="str">
        <f>_xlfn.XLOOKUP(updatetool_PriceUpdate[[#This Row],[Item ID]], [1]!costsheet_UnconvertedPricing[Item ID], [1]!costsheet_UnconvertedPricing[Item Description], "")</f>
        <v>2X8-18' #2&amp;BTR DF</v>
      </c>
      <c r="F59" s="7">
        <f>_xlfn.XLOOKUP(updatetool_PriceUpdate[[#This Row],[Item ID]], [1]!costsheet_Conversion[SKU], [1]!costsheet_Conversion[Sell_UOM], "")</f>
        <v>653.41</v>
      </c>
      <c r="G59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59" s="9"/>
      <c r="I59" s="10" t="str">
        <f>IF(G59="","",INDEX('[1]PRICE SHEET MAP'!$3:$3,1,18+(G59*3)-1))</f>
        <v>AR</v>
      </c>
      <c r="J59" s="11" t="str">
        <f t="shared" si="1"/>
        <v>Will update PL09 → Column AR</v>
      </c>
      <c r="K59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59" s="13">
        <f>_xlfn.XLOOKUP(updatetool_PriceUpdate[[#This Row],[Minor_Category_No]],[1]!reference_Dart[Online Minor Code],[1]!reference_Dart[DART Major Code])</f>
        <v>1</v>
      </c>
      <c r="M59" s="13">
        <f t="shared" si="0"/>
        <v>2503</v>
      </c>
    </row>
    <row r="60" spans="1:13" x14ac:dyDescent="0.35">
      <c r="A60" s="6" t="str">
        <f>_xlfn.XLOOKUP(updatetool_PriceUpdate[[#This Row],[Item ID]], [1]!costsheet_UnconvertedPricing[Item ID], [1]!costsheet_UnconvertedPricing[Pricing Zone], "")</f>
        <v>PORTOR</v>
      </c>
      <c r="B60" s="7" t="str">
        <f>_xlfn.XLOOKUP(updatetool_PriceUpdate[[#This Row],[Item ID]], [1]!costsheet_UnconvertedPricing[Item ID], [1]!costsheet_UnconvertedPricing[Product Category Description], "")</f>
        <v>25 - LUMBER</v>
      </c>
      <c r="C60" s="7" t="str">
        <f>_xlfn.XLOOKUP(updatetool_PriceUpdate[[#This Row],[Item ID]], [1]!costsheet_UnconvertedPricing[Item ID], [1]!costsheet_UnconvertedPricing[Minor Category Description], "")</f>
        <v>2503 - DOUG FIR-LUMBER</v>
      </c>
      <c r="D60" s="7" t="str" cm="1">
        <f t="array" ref="D60">_xlfn._xlws.FILTER([1]!costsheet_Conversion[[#This Row],[SKU]], [1]!costsheet_Conversion[[#This Row],[SKU]]&lt;&gt;"")</f>
        <v>2820DF2</v>
      </c>
      <c r="E60" s="7" t="str">
        <f>_xlfn.XLOOKUP(updatetool_PriceUpdate[[#This Row],[Item ID]], [1]!costsheet_UnconvertedPricing[Item ID], [1]!costsheet_UnconvertedPricing[Item Description], "")</f>
        <v>2X8-20' #2&amp;BTR DF</v>
      </c>
      <c r="F60" s="7">
        <f>_xlfn.XLOOKUP(updatetool_PriceUpdate[[#This Row],[Item ID]], [1]!costsheet_Conversion[SKU], [1]!costsheet_Conversion[Sell_UOM], "")</f>
        <v>653.41</v>
      </c>
      <c r="G60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60" s="9"/>
      <c r="I60" s="10" t="str">
        <f>IF(G60="","",INDEX('[1]PRICE SHEET MAP'!$3:$3,1,18+(G60*3)-1))</f>
        <v>AR</v>
      </c>
      <c r="J60" s="11" t="str">
        <f t="shared" si="1"/>
        <v>Will update PL09 → Column AR</v>
      </c>
      <c r="K60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60" s="13">
        <f>_xlfn.XLOOKUP(updatetool_PriceUpdate[[#This Row],[Minor_Category_No]],[1]!reference_Dart[Online Minor Code],[1]!reference_Dart[DART Major Code])</f>
        <v>1</v>
      </c>
      <c r="M60" s="13">
        <f t="shared" si="0"/>
        <v>2503</v>
      </c>
    </row>
    <row r="61" spans="1:13" x14ac:dyDescent="0.35">
      <c r="A61" s="6" t="str">
        <f>_xlfn.XLOOKUP(updatetool_PriceUpdate[[#This Row],[Item ID]], [1]!costsheet_UnconvertedPricing[Item ID], [1]!costsheet_UnconvertedPricing[Pricing Zone], "")</f>
        <v>PORTOR</v>
      </c>
      <c r="B61" s="7" t="str">
        <f>_xlfn.XLOOKUP(updatetool_PriceUpdate[[#This Row],[Item ID]], [1]!costsheet_UnconvertedPricing[Item ID], [1]!costsheet_UnconvertedPricing[Product Category Description], "")</f>
        <v>25 - LUMBER</v>
      </c>
      <c r="C61" s="7" t="str">
        <f>_xlfn.XLOOKUP(updatetool_PriceUpdate[[#This Row],[Item ID]], [1]!costsheet_UnconvertedPricing[Item ID], [1]!costsheet_UnconvertedPricing[Minor Category Description], "")</f>
        <v>2503 - DOUG FIR-LUMBER</v>
      </c>
      <c r="D61" s="7" t="str" cm="1">
        <f t="array" ref="D61">_xlfn._xlws.FILTER([1]!costsheet_Conversion[[#This Row],[SKU]], [1]!costsheet_Conversion[[#This Row],[SKU]]&lt;&gt;"")</f>
        <v>210DF2</v>
      </c>
      <c r="E61" s="7" t="str">
        <f>_xlfn.XLOOKUP(updatetool_PriceUpdate[[#This Row],[Item ID]], [1]!costsheet_UnconvertedPricing[Item ID], [1]!costsheet_UnconvertedPricing[Item Description], "")</f>
        <v>2X10-RL #2&amp;BTR DF</v>
      </c>
      <c r="F61" s="7">
        <f>_xlfn.XLOOKUP(updatetool_PriceUpdate[[#This Row],[Item ID]], [1]!costsheet_Conversion[SKU], [1]!costsheet_Conversion[Sell_UOM], "")</f>
        <v>664.77</v>
      </c>
      <c r="G61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61" s="9"/>
      <c r="I61" s="10" t="str">
        <f>IF(G61="","",INDEX('[1]PRICE SHEET MAP'!$3:$3,1,18+(G61*3)-1))</f>
        <v>AR</v>
      </c>
      <c r="J61" s="11" t="str">
        <f t="shared" si="1"/>
        <v>Will update PL09 → Column AR</v>
      </c>
      <c r="K61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61" s="13">
        <f>_xlfn.XLOOKUP(updatetool_PriceUpdate[[#This Row],[Minor_Category_No]],[1]!reference_Dart[Online Minor Code],[1]!reference_Dart[DART Major Code])</f>
        <v>1</v>
      </c>
      <c r="M61" s="13">
        <f t="shared" si="0"/>
        <v>2503</v>
      </c>
    </row>
    <row r="62" spans="1:13" x14ac:dyDescent="0.35">
      <c r="A62" s="6" t="str">
        <f>_xlfn.XLOOKUP(updatetool_PriceUpdate[[#This Row],[Item ID]], [1]!costsheet_UnconvertedPricing[Item ID], [1]!costsheet_UnconvertedPricing[Pricing Zone], "")</f>
        <v>PORTOR</v>
      </c>
      <c r="B62" s="7" t="str">
        <f>_xlfn.XLOOKUP(updatetool_PriceUpdate[[#This Row],[Item ID]], [1]!costsheet_UnconvertedPricing[Item ID], [1]!costsheet_UnconvertedPricing[Product Category Description], "")</f>
        <v>25 - LUMBER</v>
      </c>
      <c r="C62" s="7" t="str">
        <f>_xlfn.XLOOKUP(updatetool_PriceUpdate[[#This Row],[Item ID]], [1]!costsheet_UnconvertedPricing[Item ID], [1]!costsheet_UnconvertedPricing[Minor Category Description], "")</f>
        <v>2503 - DOUG FIR-LUMBER</v>
      </c>
      <c r="D62" s="7" t="str" cm="1">
        <f t="array" ref="D62">_xlfn._xlws.FILTER([1]!costsheet_Conversion[[#This Row],[SKU]], [1]!costsheet_Conversion[[#This Row],[SKU]]&lt;&gt;"")</f>
        <v>2108DF2</v>
      </c>
      <c r="E62" s="7" t="str">
        <f>_xlfn.XLOOKUP(updatetool_PriceUpdate[[#This Row],[Item ID]], [1]!costsheet_UnconvertedPricing[Item ID], [1]!costsheet_UnconvertedPricing[Item Description], "")</f>
        <v>2X10-8' #2&amp;BTR DF</v>
      </c>
      <c r="F62" s="7">
        <f>_xlfn.XLOOKUP(updatetool_PriceUpdate[[#This Row],[Item ID]], [1]!costsheet_Conversion[SKU], [1]!costsheet_Conversion[Sell_UOM], "")</f>
        <v>664.77</v>
      </c>
      <c r="G62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62" s="9"/>
      <c r="I62" s="10" t="str">
        <f>IF(G62="","",INDEX('[1]PRICE SHEET MAP'!$3:$3,1,18+(G62*3)-1))</f>
        <v>AR</v>
      </c>
      <c r="J62" s="11" t="str">
        <f t="shared" si="1"/>
        <v>Will update PL09 → Column AR</v>
      </c>
      <c r="K62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62" s="13">
        <f>_xlfn.XLOOKUP(updatetool_PriceUpdate[[#This Row],[Minor_Category_No]],[1]!reference_Dart[Online Minor Code],[1]!reference_Dart[DART Major Code])</f>
        <v>1</v>
      </c>
      <c r="M62" s="13">
        <f t="shared" si="0"/>
        <v>2503</v>
      </c>
    </row>
    <row r="63" spans="1:13" x14ac:dyDescent="0.35">
      <c r="A63" s="6" t="str">
        <f>_xlfn.XLOOKUP(updatetool_PriceUpdate[[#This Row],[Item ID]], [1]!costsheet_UnconvertedPricing[Item ID], [1]!costsheet_UnconvertedPricing[Pricing Zone], "")</f>
        <v>PORTOR</v>
      </c>
      <c r="B63" s="7" t="str">
        <f>_xlfn.XLOOKUP(updatetool_PriceUpdate[[#This Row],[Item ID]], [1]!costsheet_UnconvertedPricing[Item ID], [1]!costsheet_UnconvertedPricing[Product Category Description], "")</f>
        <v>25 - LUMBER</v>
      </c>
      <c r="C63" s="7" t="str">
        <f>_xlfn.XLOOKUP(updatetool_PriceUpdate[[#This Row],[Item ID]], [1]!costsheet_UnconvertedPricing[Item ID], [1]!costsheet_UnconvertedPricing[Minor Category Description], "")</f>
        <v>2503 - DOUG FIR-LUMBER</v>
      </c>
      <c r="D63" s="7" t="str" cm="1">
        <f t="array" ref="D63">_xlfn._xlws.FILTER([1]!costsheet_Conversion[[#This Row],[SKU]], [1]!costsheet_Conversion[[#This Row],[SKU]]&lt;&gt;"")</f>
        <v>21010DF2</v>
      </c>
      <c r="E63" s="7" t="str">
        <f>_xlfn.XLOOKUP(updatetool_PriceUpdate[[#This Row],[Item ID]], [1]!costsheet_UnconvertedPricing[Item ID], [1]!costsheet_UnconvertedPricing[Item Description], "")</f>
        <v>2X10-10' #2&amp;BTR DF</v>
      </c>
      <c r="F63" s="7">
        <f>_xlfn.XLOOKUP(updatetool_PriceUpdate[[#This Row],[Item ID]], [1]!costsheet_Conversion[SKU], [1]!costsheet_Conversion[Sell_UOM], "")</f>
        <v>664.77</v>
      </c>
      <c r="G63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63" s="9"/>
      <c r="I63" s="10" t="str">
        <f>IF(G63="","",INDEX('[1]PRICE SHEET MAP'!$3:$3,1,18+(G63*3)-1))</f>
        <v>AR</v>
      </c>
      <c r="J63" s="11" t="str">
        <f t="shared" si="1"/>
        <v>Will update PL09 → Column AR</v>
      </c>
      <c r="K63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63" s="13">
        <f>_xlfn.XLOOKUP(updatetool_PriceUpdate[[#This Row],[Minor_Category_No]],[1]!reference_Dart[Online Minor Code],[1]!reference_Dart[DART Major Code])</f>
        <v>1</v>
      </c>
      <c r="M63" s="13">
        <f t="shared" si="0"/>
        <v>2503</v>
      </c>
    </row>
    <row r="64" spans="1:13" x14ac:dyDescent="0.35">
      <c r="A64" s="6" t="str">
        <f>_xlfn.XLOOKUP(updatetool_PriceUpdate[[#This Row],[Item ID]], [1]!costsheet_UnconvertedPricing[Item ID], [1]!costsheet_UnconvertedPricing[Pricing Zone], "")</f>
        <v>PORTOR</v>
      </c>
      <c r="B64" s="7" t="str">
        <f>_xlfn.XLOOKUP(updatetool_PriceUpdate[[#This Row],[Item ID]], [1]!costsheet_UnconvertedPricing[Item ID], [1]!costsheet_UnconvertedPricing[Product Category Description], "")</f>
        <v>25 - LUMBER</v>
      </c>
      <c r="C64" s="7" t="str">
        <f>_xlfn.XLOOKUP(updatetool_PriceUpdate[[#This Row],[Item ID]], [1]!costsheet_UnconvertedPricing[Item ID], [1]!costsheet_UnconvertedPricing[Minor Category Description], "")</f>
        <v>2503 - DOUG FIR-LUMBER</v>
      </c>
      <c r="D64" s="7" t="str" cm="1">
        <f t="array" ref="D64">_xlfn._xlws.FILTER([1]!costsheet_Conversion[[#This Row],[SKU]], [1]!costsheet_Conversion[[#This Row],[SKU]]&lt;&gt;"")</f>
        <v>21012DF2</v>
      </c>
      <c r="E64" s="7" t="str">
        <f>_xlfn.XLOOKUP(updatetool_PriceUpdate[[#This Row],[Item ID]], [1]!costsheet_UnconvertedPricing[Item ID], [1]!costsheet_UnconvertedPricing[Item Description], "")</f>
        <v>2X10-12' #2&amp;BTR DF</v>
      </c>
      <c r="F64" s="7">
        <f>_xlfn.XLOOKUP(updatetool_PriceUpdate[[#This Row],[Item ID]], [1]!costsheet_Conversion[SKU], [1]!costsheet_Conversion[Sell_UOM], "")</f>
        <v>664.77</v>
      </c>
      <c r="G64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64" s="9"/>
      <c r="I64" s="10" t="str">
        <f>IF(G64="","",INDEX('[1]PRICE SHEET MAP'!$3:$3,1,18+(G64*3)-1))</f>
        <v>AR</v>
      </c>
      <c r="J64" s="11" t="str">
        <f t="shared" si="1"/>
        <v>Will update PL09 → Column AR</v>
      </c>
      <c r="K64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64" s="13">
        <f>_xlfn.XLOOKUP(updatetool_PriceUpdate[[#This Row],[Minor_Category_No]],[1]!reference_Dart[Online Minor Code],[1]!reference_Dart[DART Major Code])</f>
        <v>1</v>
      </c>
      <c r="M64" s="13">
        <f t="shared" si="0"/>
        <v>2503</v>
      </c>
    </row>
    <row r="65" spans="1:13" x14ac:dyDescent="0.35">
      <c r="A65" s="6" t="str">
        <f>_xlfn.XLOOKUP(updatetool_PriceUpdate[[#This Row],[Item ID]], [1]!costsheet_UnconvertedPricing[Item ID], [1]!costsheet_UnconvertedPricing[Pricing Zone], "")</f>
        <v>PORTOR</v>
      </c>
      <c r="B65" s="7" t="str">
        <f>_xlfn.XLOOKUP(updatetool_PriceUpdate[[#This Row],[Item ID]], [1]!costsheet_UnconvertedPricing[Item ID], [1]!costsheet_UnconvertedPricing[Product Category Description], "")</f>
        <v>25 - LUMBER</v>
      </c>
      <c r="C65" s="7" t="str">
        <f>_xlfn.XLOOKUP(updatetool_PriceUpdate[[#This Row],[Item ID]], [1]!costsheet_UnconvertedPricing[Item ID], [1]!costsheet_UnconvertedPricing[Minor Category Description], "")</f>
        <v>2503 - DOUG FIR-LUMBER</v>
      </c>
      <c r="D65" s="7" t="str" cm="1">
        <f t="array" ref="D65">_xlfn._xlws.FILTER([1]!costsheet_Conversion[[#This Row],[SKU]], [1]!costsheet_Conversion[[#This Row],[SKU]]&lt;&gt;"")</f>
        <v>21014DF2</v>
      </c>
      <c r="E65" s="7" t="str">
        <f>_xlfn.XLOOKUP(updatetool_PriceUpdate[[#This Row],[Item ID]], [1]!costsheet_UnconvertedPricing[Item ID], [1]!costsheet_UnconvertedPricing[Item Description], "")</f>
        <v>2X10-14' #2&amp;BTR DF</v>
      </c>
      <c r="F65" s="7">
        <f>_xlfn.XLOOKUP(updatetool_PriceUpdate[[#This Row],[Item ID]], [1]!costsheet_Conversion[SKU], [1]!costsheet_Conversion[Sell_UOM], "")</f>
        <v>664.77</v>
      </c>
      <c r="G65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65" s="9"/>
      <c r="I65" s="10" t="str">
        <f>IF(G65="","",INDEX('[1]PRICE SHEET MAP'!$3:$3,1,18+(G65*3)-1))</f>
        <v>AR</v>
      </c>
      <c r="J65" s="11" t="str">
        <f t="shared" si="1"/>
        <v>Will update PL09 → Column AR</v>
      </c>
      <c r="K65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65" s="13">
        <f>_xlfn.XLOOKUP(updatetool_PriceUpdate[[#This Row],[Minor_Category_No]],[1]!reference_Dart[Online Minor Code],[1]!reference_Dart[DART Major Code])</f>
        <v>1</v>
      </c>
      <c r="M65" s="13">
        <f t="shared" si="0"/>
        <v>2503</v>
      </c>
    </row>
    <row r="66" spans="1:13" x14ac:dyDescent="0.35">
      <c r="A66" s="6" t="str">
        <f>_xlfn.XLOOKUP(updatetool_PriceUpdate[[#This Row],[Item ID]], [1]!costsheet_UnconvertedPricing[Item ID], [1]!costsheet_UnconvertedPricing[Pricing Zone], "")</f>
        <v>PORTOR</v>
      </c>
      <c r="B66" s="7" t="str">
        <f>_xlfn.XLOOKUP(updatetool_PriceUpdate[[#This Row],[Item ID]], [1]!costsheet_UnconvertedPricing[Item ID], [1]!costsheet_UnconvertedPricing[Product Category Description], "")</f>
        <v>25 - LUMBER</v>
      </c>
      <c r="C66" s="7" t="str">
        <f>_xlfn.XLOOKUP(updatetool_PriceUpdate[[#This Row],[Item ID]], [1]!costsheet_UnconvertedPricing[Item ID], [1]!costsheet_UnconvertedPricing[Minor Category Description], "")</f>
        <v>2503 - DOUG FIR-LUMBER</v>
      </c>
      <c r="D66" s="7" t="str" cm="1">
        <f t="array" ref="D66">_xlfn._xlws.FILTER([1]!costsheet_Conversion[[#This Row],[SKU]], [1]!costsheet_Conversion[[#This Row],[SKU]]&lt;&gt;"")</f>
        <v>21016DF2</v>
      </c>
      <c r="E66" s="7" t="str">
        <f>_xlfn.XLOOKUP(updatetool_PriceUpdate[[#This Row],[Item ID]], [1]!costsheet_UnconvertedPricing[Item ID], [1]!costsheet_UnconvertedPricing[Item Description], "")</f>
        <v>2X10-16' #2&amp;BTR DF</v>
      </c>
      <c r="F66" s="7">
        <f>_xlfn.XLOOKUP(updatetool_PriceUpdate[[#This Row],[Item ID]], [1]!costsheet_Conversion[SKU], [1]!costsheet_Conversion[Sell_UOM], "")</f>
        <v>664.77</v>
      </c>
      <c r="G66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66" s="9"/>
      <c r="I66" s="10" t="str">
        <f>IF(G66="","",INDEX('[1]PRICE SHEET MAP'!$3:$3,1,18+(G66*3)-1))</f>
        <v>AR</v>
      </c>
      <c r="J66" s="11" t="str">
        <f t="shared" si="1"/>
        <v>Will update PL09 → Column AR</v>
      </c>
      <c r="K66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66" s="13">
        <f>_xlfn.XLOOKUP(updatetool_PriceUpdate[[#This Row],[Minor_Category_No]],[1]!reference_Dart[Online Minor Code],[1]!reference_Dart[DART Major Code])</f>
        <v>1</v>
      </c>
      <c r="M66" s="13">
        <f t="shared" si="0"/>
        <v>2503</v>
      </c>
    </row>
    <row r="67" spans="1:13" x14ac:dyDescent="0.35">
      <c r="A67" s="6" t="str">
        <f>_xlfn.XLOOKUP(updatetool_PriceUpdate[[#This Row],[Item ID]], [1]!costsheet_UnconvertedPricing[Item ID], [1]!costsheet_UnconvertedPricing[Pricing Zone], "")</f>
        <v>PORTOR</v>
      </c>
      <c r="B67" s="7" t="str">
        <f>_xlfn.XLOOKUP(updatetool_PriceUpdate[[#This Row],[Item ID]], [1]!costsheet_UnconvertedPricing[Item ID], [1]!costsheet_UnconvertedPricing[Product Category Description], "")</f>
        <v>25 - LUMBER</v>
      </c>
      <c r="C67" s="7" t="str">
        <f>_xlfn.XLOOKUP(updatetool_PriceUpdate[[#This Row],[Item ID]], [1]!costsheet_UnconvertedPricing[Item ID], [1]!costsheet_UnconvertedPricing[Minor Category Description], "")</f>
        <v>2503 - DOUG FIR-LUMBER</v>
      </c>
      <c r="D67" s="7" t="str" cm="1">
        <f t="array" ref="D67">_xlfn._xlws.FILTER([1]!costsheet_Conversion[[#This Row],[SKU]], [1]!costsheet_Conversion[[#This Row],[SKU]]&lt;&gt;"")</f>
        <v>21018DF2</v>
      </c>
      <c r="E67" s="7" t="str">
        <f>_xlfn.XLOOKUP(updatetool_PriceUpdate[[#This Row],[Item ID]], [1]!costsheet_UnconvertedPricing[Item ID], [1]!costsheet_UnconvertedPricing[Item Description], "")</f>
        <v>2X10-18' #2&amp;BTR DF</v>
      </c>
      <c r="F67" s="7">
        <f>_xlfn.XLOOKUP(updatetool_PriceUpdate[[#This Row],[Item ID]], [1]!costsheet_Conversion[SKU], [1]!costsheet_Conversion[Sell_UOM], "")</f>
        <v>664.77</v>
      </c>
      <c r="G67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67" s="9"/>
      <c r="I67" s="10" t="str">
        <f>IF(G67="","",INDEX('[1]PRICE SHEET MAP'!$3:$3,1,18+(G67*3)-1))</f>
        <v>AR</v>
      </c>
      <c r="J67" s="11" t="str">
        <f t="shared" si="1"/>
        <v>Will update PL09 → Column AR</v>
      </c>
      <c r="K67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67" s="13">
        <f>_xlfn.XLOOKUP(updatetool_PriceUpdate[[#This Row],[Minor_Category_No]],[1]!reference_Dart[Online Minor Code],[1]!reference_Dart[DART Major Code])</f>
        <v>1</v>
      </c>
      <c r="M67" s="13">
        <f t="shared" si="0"/>
        <v>2503</v>
      </c>
    </row>
    <row r="68" spans="1:13" x14ac:dyDescent="0.35">
      <c r="A68" s="6" t="str">
        <f>_xlfn.XLOOKUP(updatetool_PriceUpdate[[#This Row],[Item ID]], [1]!costsheet_UnconvertedPricing[Item ID], [1]!costsheet_UnconvertedPricing[Pricing Zone], "")</f>
        <v>PORTOR</v>
      </c>
      <c r="B68" s="7" t="str">
        <f>_xlfn.XLOOKUP(updatetool_PriceUpdate[[#This Row],[Item ID]], [1]!costsheet_UnconvertedPricing[Item ID], [1]!costsheet_UnconvertedPricing[Product Category Description], "")</f>
        <v>25 - LUMBER</v>
      </c>
      <c r="C68" s="7" t="str">
        <f>_xlfn.XLOOKUP(updatetool_PriceUpdate[[#This Row],[Item ID]], [1]!costsheet_UnconvertedPricing[Item ID], [1]!costsheet_UnconvertedPricing[Minor Category Description], "")</f>
        <v>2503 - DOUG FIR-LUMBER</v>
      </c>
      <c r="D68" s="7" t="str" cm="1">
        <f t="array" ref="D68">_xlfn._xlws.FILTER([1]!costsheet_Conversion[[#This Row],[SKU]], [1]!costsheet_Conversion[[#This Row],[SKU]]&lt;&gt;"")</f>
        <v>21020DF2</v>
      </c>
      <c r="E68" s="7" t="str">
        <f>_xlfn.XLOOKUP(updatetool_PriceUpdate[[#This Row],[Item ID]], [1]!costsheet_UnconvertedPricing[Item ID], [1]!costsheet_UnconvertedPricing[Item Description], "")</f>
        <v>2X10-20' #2&amp;BTR DF</v>
      </c>
      <c r="F68" s="7">
        <f>_xlfn.XLOOKUP(updatetool_PriceUpdate[[#This Row],[Item ID]], [1]!costsheet_Conversion[SKU], [1]!costsheet_Conversion[Sell_UOM], "")</f>
        <v>664.77</v>
      </c>
      <c r="G68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68" s="9"/>
      <c r="I68" s="10" t="str">
        <f>IF(G68="","",INDEX('[1]PRICE SHEET MAP'!$3:$3,1,18+(G68*3)-1))</f>
        <v>AR</v>
      </c>
      <c r="J68" s="11" t="str">
        <f t="shared" si="1"/>
        <v>Will update PL09 → Column AR</v>
      </c>
      <c r="K68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68" s="13">
        <f>_xlfn.XLOOKUP(updatetool_PriceUpdate[[#This Row],[Minor_Category_No]],[1]!reference_Dart[Online Minor Code],[1]!reference_Dart[DART Major Code])</f>
        <v>1</v>
      </c>
      <c r="M68" s="13">
        <f t="shared" si="0"/>
        <v>2503</v>
      </c>
    </row>
    <row r="69" spans="1:13" x14ac:dyDescent="0.35">
      <c r="A69" s="6" t="str">
        <f>_xlfn.XLOOKUP(updatetool_PriceUpdate[[#This Row],[Item ID]], [1]!costsheet_UnconvertedPricing[Item ID], [1]!costsheet_UnconvertedPricing[Pricing Zone], "")</f>
        <v>PORTOR</v>
      </c>
      <c r="B69" s="7" t="str">
        <f>_xlfn.XLOOKUP(updatetool_PriceUpdate[[#This Row],[Item ID]], [1]!costsheet_UnconvertedPricing[Item ID], [1]!costsheet_UnconvertedPricing[Product Category Description], "")</f>
        <v>25 - LUMBER</v>
      </c>
      <c r="C69" s="7" t="str">
        <f>_xlfn.XLOOKUP(updatetool_PriceUpdate[[#This Row],[Item ID]], [1]!costsheet_UnconvertedPricing[Item ID], [1]!costsheet_UnconvertedPricing[Minor Category Description], "")</f>
        <v>2503 - DOUG FIR-LUMBER</v>
      </c>
      <c r="D69" s="7" t="str" cm="1">
        <f t="array" ref="D69">_xlfn._xlws.FILTER([1]!costsheet_Conversion[[#This Row],[SKU]], [1]!costsheet_Conversion[[#This Row],[SKU]]&lt;&gt;"")</f>
        <v>212DF2</v>
      </c>
      <c r="E69" s="7" t="str">
        <f>_xlfn.XLOOKUP(updatetool_PriceUpdate[[#This Row],[Item ID]], [1]!costsheet_UnconvertedPricing[Item ID], [1]!costsheet_UnconvertedPricing[Item Description], "")</f>
        <v>2X12-RL #2&amp;BTR DF</v>
      </c>
      <c r="F69" s="7">
        <f>_xlfn.XLOOKUP(updatetool_PriceUpdate[[#This Row],[Item ID]], [1]!costsheet_Conversion[SKU], [1]!costsheet_Conversion[Sell_UOM], "")</f>
        <v>659.09</v>
      </c>
      <c r="G69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69" s="9"/>
      <c r="I69" s="10" t="str">
        <f>IF(G69="","",INDEX('[1]PRICE SHEET MAP'!$3:$3,1,18+(G69*3)-1))</f>
        <v>AR</v>
      </c>
      <c r="J69" s="11" t="str">
        <f t="shared" si="1"/>
        <v>Will update PL09 → Column AR</v>
      </c>
      <c r="K69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69" s="13">
        <f>_xlfn.XLOOKUP(updatetool_PriceUpdate[[#This Row],[Minor_Category_No]],[1]!reference_Dart[Online Minor Code],[1]!reference_Dart[DART Major Code])</f>
        <v>1</v>
      </c>
      <c r="M69" s="13">
        <f t="shared" ref="M69:M132" si="2">_xlfn.NUMBERVALUE(K69)</f>
        <v>2503</v>
      </c>
    </row>
    <row r="70" spans="1:13" x14ac:dyDescent="0.35">
      <c r="A70" s="6" t="str">
        <f>_xlfn.XLOOKUP(updatetool_PriceUpdate[[#This Row],[Item ID]], [1]!costsheet_UnconvertedPricing[Item ID], [1]!costsheet_UnconvertedPricing[Pricing Zone], "")</f>
        <v>PORTOR</v>
      </c>
      <c r="B70" s="7" t="str">
        <f>_xlfn.XLOOKUP(updatetool_PriceUpdate[[#This Row],[Item ID]], [1]!costsheet_UnconvertedPricing[Item ID], [1]!costsheet_UnconvertedPricing[Product Category Description], "")</f>
        <v>25 - LUMBER</v>
      </c>
      <c r="C70" s="7" t="str">
        <f>_xlfn.XLOOKUP(updatetool_PriceUpdate[[#This Row],[Item ID]], [1]!costsheet_UnconvertedPricing[Item ID], [1]!costsheet_UnconvertedPricing[Minor Category Description], "")</f>
        <v>2503 - DOUG FIR-LUMBER</v>
      </c>
      <c r="D70" s="7" t="str" cm="1">
        <f t="array" ref="D70">_xlfn._xlws.FILTER([1]!costsheet_Conversion[[#This Row],[SKU]], [1]!costsheet_Conversion[[#This Row],[SKU]]&lt;&gt;"")</f>
        <v>2128DF2</v>
      </c>
      <c r="E70" s="7" t="str">
        <f>_xlfn.XLOOKUP(updatetool_PriceUpdate[[#This Row],[Item ID]], [1]!costsheet_UnconvertedPricing[Item ID], [1]!costsheet_UnconvertedPricing[Item Description], "")</f>
        <v>2X12-8' #2&amp;BTR DF</v>
      </c>
      <c r="F70" s="7">
        <f>_xlfn.XLOOKUP(updatetool_PriceUpdate[[#This Row],[Item ID]], [1]!costsheet_Conversion[SKU], [1]!costsheet_Conversion[Sell_UOM], "")</f>
        <v>659.09</v>
      </c>
      <c r="G70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70" s="9"/>
      <c r="I70" s="10" t="str">
        <f>IF(G70="","",INDEX('[1]PRICE SHEET MAP'!$3:$3,1,18+(G70*3)-1))</f>
        <v>AR</v>
      </c>
      <c r="J70" s="11" t="str">
        <f t="shared" ref="J70:J133" si="3">IF(G70="","","Will update PL"&amp;TEXT(G70,"00")&amp;" → Column "&amp;I70)</f>
        <v>Will update PL09 → Column AR</v>
      </c>
      <c r="K70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70" s="13">
        <f>_xlfn.XLOOKUP(updatetool_PriceUpdate[[#This Row],[Minor_Category_No]],[1]!reference_Dart[Online Minor Code],[1]!reference_Dart[DART Major Code])</f>
        <v>1</v>
      </c>
      <c r="M70" s="13">
        <f t="shared" si="2"/>
        <v>2503</v>
      </c>
    </row>
    <row r="71" spans="1:13" x14ac:dyDescent="0.35">
      <c r="A71" s="6" t="str">
        <f>_xlfn.XLOOKUP(updatetool_PriceUpdate[[#This Row],[Item ID]], [1]!costsheet_UnconvertedPricing[Item ID], [1]!costsheet_UnconvertedPricing[Pricing Zone], "")</f>
        <v>PORTOR</v>
      </c>
      <c r="B71" s="7" t="str">
        <f>_xlfn.XLOOKUP(updatetool_PriceUpdate[[#This Row],[Item ID]], [1]!costsheet_UnconvertedPricing[Item ID], [1]!costsheet_UnconvertedPricing[Product Category Description], "")</f>
        <v>25 - LUMBER</v>
      </c>
      <c r="C71" s="7" t="str">
        <f>_xlfn.XLOOKUP(updatetool_PriceUpdate[[#This Row],[Item ID]], [1]!costsheet_UnconvertedPricing[Item ID], [1]!costsheet_UnconvertedPricing[Minor Category Description], "")</f>
        <v>2503 - DOUG FIR-LUMBER</v>
      </c>
      <c r="D71" s="7" t="str" cm="1">
        <f t="array" ref="D71">_xlfn._xlws.FILTER([1]!costsheet_Conversion[[#This Row],[SKU]], [1]!costsheet_Conversion[[#This Row],[SKU]]&lt;&gt;"")</f>
        <v>21210DF2</v>
      </c>
      <c r="E71" s="7" t="str">
        <f>_xlfn.XLOOKUP(updatetool_PriceUpdate[[#This Row],[Item ID]], [1]!costsheet_UnconvertedPricing[Item ID], [1]!costsheet_UnconvertedPricing[Item Description], "")</f>
        <v>2X12-10' #2&amp;BTR DF</v>
      </c>
      <c r="F71" s="7">
        <f>_xlfn.XLOOKUP(updatetool_PriceUpdate[[#This Row],[Item ID]], [1]!costsheet_Conversion[SKU], [1]!costsheet_Conversion[Sell_UOM], "")</f>
        <v>659.09</v>
      </c>
      <c r="G71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71" s="9"/>
      <c r="I71" s="10" t="str">
        <f>IF(G71="","",INDEX('[1]PRICE SHEET MAP'!$3:$3,1,18+(G71*3)-1))</f>
        <v>AR</v>
      </c>
      <c r="J71" s="11" t="str">
        <f t="shared" si="3"/>
        <v>Will update PL09 → Column AR</v>
      </c>
      <c r="K71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71" s="13">
        <f>_xlfn.XLOOKUP(updatetool_PriceUpdate[[#This Row],[Minor_Category_No]],[1]!reference_Dart[Online Minor Code],[1]!reference_Dart[DART Major Code])</f>
        <v>1</v>
      </c>
      <c r="M71" s="13">
        <f t="shared" si="2"/>
        <v>2503</v>
      </c>
    </row>
    <row r="72" spans="1:13" x14ac:dyDescent="0.35">
      <c r="A72" s="6" t="str">
        <f>_xlfn.XLOOKUP(updatetool_PriceUpdate[[#This Row],[Item ID]], [1]!costsheet_UnconvertedPricing[Item ID], [1]!costsheet_UnconvertedPricing[Pricing Zone], "")</f>
        <v>PORTOR</v>
      </c>
      <c r="B72" s="7" t="str">
        <f>_xlfn.XLOOKUP(updatetool_PriceUpdate[[#This Row],[Item ID]], [1]!costsheet_UnconvertedPricing[Item ID], [1]!costsheet_UnconvertedPricing[Product Category Description], "")</f>
        <v>25 - LUMBER</v>
      </c>
      <c r="C72" s="7" t="str">
        <f>_xlfn.XLOOKUP(updatetool_PriceUpdate[[#This Row],[Item ID]], [1]!costsheet_UnconvertedPricing[Item ID], [1]!costsheet_UnconvertedPricing[Minor Category Description], "")</f>
        <v>2503 - DOUG FIR-LUMBER</v>
      </c>
      <c r="D72" s="7" t="str" cm="1">
        <f t="array" ref="D72">_xlfn._xlws.FILTER([1]!costsheet_Conversion[[#This Row],[SKU]], [1]!costsheet_Conversion[[#This Row],[SKU]]&lt;&gt;"")</f>
        <v>21212DF2</v>
      </c>
      <c r="E72" s="7" t="str">
        <f>_xlfn.XLOOKUP(updatetool_PriceUpdate[[#This Row],[Item ID]], [1]!costsheet_UnconvertedPricing[Item ID], [1]!costsheet_UnconvertedPricing[Item Description], "")</f>
        <v>2X12-12' #2&amp;BTR DF</v>
      </c>
      <c r="F72" s="7">
        <f>_xlfn.XLOOKUP(updatetool_PriceUpdate[[#This Row],[Item ID]], [1]!costsheet_Conversion[SKU], [1]!costsheet_Conversion[Sell_UOM], "")</f>
        <v>659.09</v>
      </c>
      <c r="G72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72" s="9"/>
      <c r="I72" s="10" t="str">
        <f>IF(G72="","",INDEX('[1]PRICE SHEET MAP'!$3:$3,1,18+(G72*3)-1))</f>
        <v>AR</v>
      </c>
      <c r="J72" s="11" t="str">
        <f t="shared" si="3"/>
        <v>Will update PL09 → Column AR</v>
      </c>
      <c r="K72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72" s="13">
        <f>_xlfn.XLOOKUP(updatetool_PriceUpdate[[#This Row],[Minor_Category_No]],[1]!reference_Dart[Online Minor Code],[1]!reference_Dart[DART Major Code])</f>
        <v>1</v>
      </c>
      <c r="M72" s="13">
        <f t="shared" si="2"/>
        <v>2503</v>
      </c>
    </row>
    <row r="73" spans="1:13" x14ac:dyDescent="0.35">
      <c r="A73" s="6" t="str">
        <f>_xlfn.XLOOKUP(updatetool_PriceUpdate[[#This Row],[Item ID]], [1]!costsheet_UnconvertedPricing[Item ID], [1]!costsheet_UnconvertedPricing[Pricing Zone], "")</f>
        <v>PORTOR</v>
      </c>
      <c r="B73" s="7" t="str">
        <f>_xlfn.XLOOKUP(updatetool_PriceUpdate[[#This Row],[Item ID]], [1]!costsheet_UnconvertedPricing[Item ID], [1]!costsheet_UnconvertedPricing[Product Category Description], "")</f>
        <v>25 - LUMBER</v>
      </c>
      <c r="C73" s="7" t="str">
        <f>_xlfn.XLOOKUP(updatetool_PriceUpdate[[#This Row],[Item ID]], [1]!costsheet_UnconvertedPricing[Item ID], [1]!costsheet_UnconvertedPricing[Minor Category Description], "")</f>
        <v>2503 - DOUG FIR-LUMBER</v>
      </c>
      <c r="D73" s="7" t="str" cm="1">
        <f t="array" ref="D73">_xlfn._xlws.FILTER([1]!costsheet_Conversion[[#This Row],[SKU]], [1]!costsheet_Conversion[[#This Row],[SKU]]&lt;&gt;"")</f>
        <v>21214DF2</v>
      </c>
      <c r="E73" s="7" t="str">
        <f>_xlfn.XLOOKUP(updatetool_PriceUpdate[[#This Row],[Item ID]], [1]!costsheet_UnconvertedPricing[Item ID], [1]!costsheet_UnconvertedPricing[Item Description], "")</f>
        <v>2X12-14' #2&amp;BTR DF</v>
      </c>
      <c r="F73" s="7">
        <f>_xlfn.XLOOKUP(updatetool_PriceUpdate[[#This Row],[Item ID]], [1]!costsheet_Conversion[SKU], [1]!costsheet_Conversion[Sell_UOM], "")</f>
        <v>659.09</v>
      </c>
      <c r="G73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73" s="9"/>
      <c r="I73" s="10" t="str">
        <f>IF(G73="","",INDEX('[1]PRICE SHEET MAP'!$3:$3,1,18+(G73*3)-1))</f>
        <v>AR</v>
      </c>
      <c r="J73" s="11" t="str">
        <f t="shared" si="3"/>
        <v>Will update PL09 → Column AR</v>
      </c>
      <c r="K73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73" s="13">
        <f>_xlfn.XLOOKUP(updatetool_PriceUpdate[[#This Row],[Minor_Category_No]],[1]!reference_Dart[Online Minor Code],[1]!reference_Dart[DART Major Code])</f>
        <v>1</v>
      </c>
      <c r="M73" s="13">
        <f t="shared" si="2"/>
        <v>2503</v>
      </c>
    </row>
    <row r="74" spans="1:13" x14ac:dyDescent="0.35">
      <c r="A74" s="6" t="str">
        <f>_xlfn.XLOOKUP(updatetool_PriceUpdate[[#This Row],[Item ID]], [1]!costsheet_UnconvertedPricing[Item ID], [1]!costsheet_UnconvertedPricing[Pricing Zone], "")</f>
        <v>PORTOR</v>
      </c>
      <c r="B74" s="7" t="str">
        <f>_xlfn.XLOOKUP(updatetool_PriceUpdate[[#This Row],[Item ID]], [1]!costsheet_UnconvertedPricing[Item ID], [1]!costsheet_UnconvertedPricing[Product Category Description], "")</f>
        <v>25 - LUMBER</v>
      </c>
      <c r="C74" s="7" t="str">
        <f>_xlfn.XLOOKUP(updatetool_PriceUpdate[[#This Row],[Item ID]], [1]!costsheet_UnconvertedPricing[Item ID], [1]!costsheet_UnconvertedPricing[Minor Category Description], "")</f>
        <v>2503 - DOUG FIR-LUMBER</v>
      </c>
      <c r="D74" s="7" t="str" cm="1">
        <f t="array" ref="D74">_xlfn._xlws.FILTER([1]!costsheet_Conversion[[#This Row],[SKU]], [1]!costsheet_Conversion[[#This Row],[SKU]]&lt;&gt;"")</f>
        <v>21216DF2</v>
      </c>
      <c r="E74" s="7" t="str">
        <f>_xlfn.XLOOKUP(updatetool_PriceUpdate[[#This Row],[Item ID]], [1]!costsheet_UnconvertedPricing[Item ID], [1]!costsheet_UnconvertedPricing[Item Description], "")</f>
        <v>2X12-16' #2&amp;BTR DF</v>
      </c>
      <c r="F74" s="7">
        <f>_xlfn.XLOOKUP(updatetool_PriceUpdate[[#This Row],[Item ID]], [1]!costsheet_Conversion[SKU], [1]!costsheet_Conversion[Sell_UOM], "")</f>
        <v>659.09</v>
      </c>
      <c r="G74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74" s="9"/>
      <c r="I74" s="10" t="str">
        <f>IF(G74="","",INDEX('[1]PRICE SHEET MAP'!$3:$3,1,18+(G74*3)-1))</f>
        <v>AR</v>
      </c>
      <c r="J74" s="11" t="str">
        <f t="shared" si="3"/>
        <v>Will update PL09 → Column AR</v>
      </c>
      <c r="K74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74" s="13">
        <f>_xlfn.XLOOKUP(updatetool_PriceUpdate[[#This Row],[Minor_Category_No]],[1]!reference_Dart[Online Minor Code],[1]!reference_Dart[DART Major Code])</f>
        <v>1</v>
      </c>
      <c r="M74" s="13">
        <f t="shared" si="2"/>
        <v>2503</v>
      </c>
    </row>
    <row r="75" spans="1:13" x14ac:dyDescent="0.35">
      <c r="A75" s="6" t="str">
        <f>_xlfn.XLOOKUP(updatetool_PriceUpdate[[#This Row],[Item ID]], [1]!costsheet_UnconvertedPricing[Item ID], [1]!costsheet_UnconvertedPricing[Pricing Zone], "")</f>
        <v>PORTOR</v>
      </c>
      <c r="B75" s="7" t="str">
        <f>_xlfn.XLOOKUP(updatetool_PriceUpdate[[#This Row],[Item ID]], [1]!costsheet_UnconvertedPricing[Item ID], [1]!costsheet_UnconvertedPricing[Product Category Description], "")</f>
        <v>25 - LUMBER</v>
      </c>
      <c r="C75" s="7" t="str">
        <f>_xlfn.XLOOKUP(updatetool_PriceUpdate[[#This Row],[Item ID]], [1]!costsheet_UnconvertedPricing[Item ID], [1]!costsheet_UnconvertedPricing[Minor Category Description], "")</f>
        <v>2503 - DOUG FIR-LUMBER</v>
      </c>
      <c r="D75" s="7" t="str" cm="1">
        <f t="array" ref="D75">_xlfn._xlws.FILTER([1]!costsheet_Conversion[[#This Row],[SKU]], [1]!costsheet_Conversion[[#This Row],[SKU]]&lt;&gt;"")</f>
        <v>21218DF2</v>
      </c>
      <c r="E75" s="7" t="str">
        <f>_xlfn.XLOOKUP(updatetool_PriceUpdate[[#This Row],[Item ID]], [1]!costsheet_UnconvertedPricing[Item ID], [1]!costsheet_UnconvertedPricing[Item Description], "")</f>
        <v>2X12-18' #2&amp;BTR DF</v>
      </c>
      <c r="F75" s="7">
        <f>_xlfn.XLOOKUP(updatetool_PriceUpdate[[#This Row],[Item ID]], [1]!costsheet_Conversion[SKU], [1]!costsheet_Conversion[Sell_UOM], "")</f>
        <v>659.09</v>
      </c>
      <c r="G75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75" s="9"/>
      <c r="I75" s="10" t="str">
        <f>IF(G75="","",INDEX('[1]PRICE SHEET MAP'!$3:$3,1,18+(G75*3)-1))</f>
        <v>AR</v>
      </c>
      <c r="J75" s="11" t="str">
        <f t="shared" si="3"/>
        <v>Will update PL09 → Column AR</v>
      </c>
      <c r="K75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75" s="13">
        <f>_xlfn.XLOOKUP(updatetool_PriceUpdate[[#This Row],[Minor_Category_No]],[1]!reference_Dart[Online Minor Code],[1]!reference_Dart[DART Major Code])</f>
        <v>1</v>
      </c>
      <c r="M75" s="13">
        <f t="shared" si="2"/>
        <v>2503</v>
      </c>
    </row>
    <row r="76" spans="1:13" x14ac:dyDescent="0.35">
      <c r="A76" s="6" t="str">
        <f>_xlfn.XLOOKUP(updatetool_PriceUpdate[[#This Row],[Item ID]], [1]!costsheet_UnconvertedPricing[Item ID], [1]!costsheet_UnconvertedPricing[Pricing Zone], "")</f>
        <v>PORTOR</v>
      </c>
      <c r="B76" s="7" t="str">
        <f>_xlfn.XLOOKUP(updatetool_PriceUpdate[[#This Row],[Item ID]], [1]!costsheet_UnconvertedPricing[Item ID], [1]!costsheet_UnconvertedPricing[Product Category Description], "")</f>
        <v>25 - LUMBER</v>
      </c>
      <c r="C76" s="7" t="str">
        <f>_xlfn.XLOOKUP(updatetool_PriceUpdate[[#This Row],[Item ID]], [1]!costsheet_UnconvertedPricing[Item ID], [1]!costsheet_UnconvertedPricing[Minor Category Description], "")</f>
        <v>2503 - DOUG FIR-LUMBER</v>
      </c>
      <c r="D76" s="7" t="str" cm="1">
        <f t="array" ref="D76">_xlfn._xlws.FILTER([1]!costsheet_Conversion[[#This Row],[SKU]], [1]!costsheet_Conversion[[#This Row],[SKU]]&lt;&gt;"")</f>
        <v>21220DF2</v>
      </c>
      <c r="E76" s="7" t="str">
        <f>_xlfn.XLOOKUP(updatetool_PriceUpdate[[#This Row],[Item ID]], [1]!costsheet_UnconvertedPricing[Item ID], [1]!costsheet_UnconvertedPricing[Item Description], "")</f>
        <v>2X12-20' #2&amp;BTR DF</v>
      </c>
      <c r="F76" s="7">
        <f>_xlfn.XLOOKUP(updatetool_PriceUpdate[[#This Row],[Item ID]], [1]!costsheet_Conversion[SKU], [1]!costsheet_Conversion[Sell_UOM], "")</f>
        <v>659.09</v>
      </c>
      <c r="G76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76" s="9"/>
      <c r="I76" s="10" t="str">
        <f>IF(G76="","",INDEX('[1]PRICE SHEET MAP'!$3:$3,1,18+(G76*3)-1))</f>
        <v>AR</v>
      </c>
      <c r="J76" s="11" t="str">
        <f t="shared" si="3"/>
        <v>Will update PL09 → Column AR</v>
      </c>
      <c r="K76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2503 </v>
      </c>
      <c r="L76" s="13">
        <f>_xlfn.XLOOKUP(updatetool_PriceUpdate[[#This Row],[Minor_Category_No]],[1]!reference_Dart[Online Minor Code],[1]!reference_Dart[DART Major Code])</f>
        <v>1</v>
      </c>
      <c r="M76" s="13">
        <f t="shared" si="2"/>
        <v>2503</v>
      </c>
    </row>
    <row r="77" spans="1:13" x14ac:dyDescent="0.35">
      <c r="A77" s="6" t="str">
        <f>_xlfn.XLOOKUP(updatetool_PriceUpdate[[#This Row],[Item ID]], [1]!costsheet_UnconvertedPricing[Item ID], [1]!costsheet_UnconvertedPricing[Pricing Zone], "")</f>
        <v>PORTOR</v>
      </c>
      <c r="B77" s="7" t="str">
        <f>_xlfn.XLOOKUP(updatetool_PriceUpdate[[#This Row],[Item ID]], [1]!costsheet_UnconvertedPricing[Item ID], [1]!costsheet_UnconvertedPricing[Product Category Description], "")</f>
        <v>35 - PANELS:PLYWOOD/OSB</v>
      </c>
      <c r="C77" s="7" t="str">
        <f>_xlfn.XLOOKUP(updatetool_PriceUpdate[[#This Row],[Item ID]], [1]!costsheet_UnconvertedPricing[Item ID], [1]!costsheet_UnconvertedPricing[Minor Category Description], "")</f>
        <v>3506 - SHEATHING OSB</v>
      </c>
      <c r="D77" s="7" t="str" cm="1">
        <f t="array" ref="D77">_xlfn._xlws.FILTER([1]!costsheet_Conversion[[#This Row],[SKU]], [1]!costsheet_Conversion[[#This Row],[SKU]]&lt;&gt;"")</f>
        <v>716OSB</v>
      </c>
      <c r="E77" s="7" t="str">
        <f>_xlfn.XLOOKUP(updatetool_PriceUpdate[[#This Row],[Item ID]], [1]!costsheet_UnconvertedPricing[Item ID], [1]!costsheet_UnconvertedPricing[Item Description], "")</f>
        <v>7/16"4X8 OSB RTD</v>
      </c>
      <c r="F77" s="7">
        <f>_xlfn.XLOOKUP(updatetool_PriceUpdate[[#This Row],[Item ID]], [1]!costsheet_Conversion[SKU], [1]!costsheet_Conversion[Sell_UOM], "")</f>
        <v>296.58999999999997</v>
      </c>
      <c r="G77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08</v>
      </c>
      <c r="H77" s="9"/>
      <c r="I77" s="10" t="str">
        <f>IF(G77="","",INDEX('[1]PRICE SHEET MAP'!$3:$3,1,18+(G77*3)-1))</f>
        <v>AO</v>
      </c>
      <c r="J77" s="11" t="str">
        <f t="shared" si="3"/>
        <v>Will update PL08 → Column AO</v>
      </c>
      <c r="K77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3506 </v>
      </c>
      <c r="L77" s="13">
        <f>_xlfn.XLOOKUP(updatetool_PriceUpdate[[#This Row],[Minor_Category_No]],[1]!reference_Dart[Online Minor Code],[1]!reference_Dart[DART Major Code])</f>
        <v>2</v>
      </c>
      <c r="M77" s="13">
        <f t="shared" si="2"/>
        <v>3506</v>
      </c>
    </row>
    <row r="78" spans="1:13" x14ac:dyDescent="0.35">
      <c r="A78" s="6" t="str">
        <f>_xlfn.XLOOKUP(updatetool_PriceUpdate[[#This Row],[Item ID]], [1]!costsheet_UnconvertedPricing[Item ID], [1]!costsheet_UnconvertedPricing[Pricing Zone], "")</f>
        <v>PORTOR</v>
      </c>
      <c r="B78" s="7" t="str">
        <f>_xlfn.XLOOKUP(updatetool_PriceUpdate[[#This Row],[Item ID]], [1]!costsheet_UnconvertedPricing[Item ID], [1]!costsheet_UnconvertedPricing[Product Category Description], "")</f>
        <v>35 - PANELS:PLYWOOD/OSB</v>
      </c>
      <c r="C78" s="7" t="str">
        <f>_xlfn.XLOOKUP(updatetool_PriceUpdate[[#This Row],[Item ID]], [1]!costsheet_UnconvertedPricing[Item ID], [1]!costsheet_UnconvertedPricing[Minor Category Description], "")</f>
        <v>3506 - SHEATHING OSB</v>
      </c>
      <c r="D78" s="7" t="str" cm="1">
        <f t="array" ref="D78">_xlfn._xlws.FILTER([1]!costsheet_Conversion[[#This Row],[SKU]], [1]!costsheet_Conversion[[#This Row],[SKU]]&lt;&gt;"")</f>
        <v>716OSB9</v>
      </c>
      <c r="E78" s="7" t="str">
        <f>_xlfn.XLOOKUP(updatetool_PriceUpdate[[#This Row],[Item ID]], [1]!costsheet_UnconvertedPricing[Item ID], [1]!costsheet_UnconvertedPricing[Item Description], "")</f>
        <v>7/16"4X9 OSB RTD</v>
      </c>
      <c r="F78" s="7">
        <f>_xlfn.XLOOKUP(updatetool_PriceUpdate[[#This Row],[Item ID]], [1]!costsheet_Conversion[SKU], [1]!costsheet_Conversion[Sell_UOM], "")</f>
        <v>307.95</v>
      </c>
      <c r="G78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08</v>
      </c>
      <c r="H78" s="9"/>
      <c r="I78" s="10" t="str">
        <f>IF(G78="","",INDEX('[1]PRICE SHEET MAP'!$3:$3,1,18+(G78*3)-1))</f>
        <v>AO</v>
      </c>
      <c r="J78" s="11" t="str">
        <f t="shared" si="3"/>
        <v>Will update PL08 → Column AO</v>
      </c>
      <c r="K78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3506 </v>
      </c>
      <c r="L78" s="13">
        <f>_xlfn.XLOOKUP(updatetool_PriceUpdate[[#This Row],[Minor_Category_No]],[1]!reference_Dart[Online Minor Code],[1]!reference_Dart[DART Major Code])</f>
        <v>2</v>
      </c>
      <c r="M78" s="13">
        <f t="shared" si="2"/>
        <v>3506</v>
      </c>
    </row>
    <row r="79" spans="1:13" x14ac:dyDescent="0.35">
      <c r="A79" s="6" t="str">
        <f>_xlfn.XLOOKUP(updatetool_PriceUpdate[[#This Row],[Item ID]], [1]!costsheet_UnconvertedPricing[Item ID], [1]!costsheet_UnconvertedPricing[Pricing Zone], "")</f>
        <v>PORTOR</v>
      </c>
      <c r="B79" s="7" t="str">
        <f>_xlfn.XLOOKUP(updatetool_PriceUpdate[[#This Row],[Item ID]], [1]!costsheet_UnconvertedPricing[Item ID], [1]!costsheet_UnconvertedPricing[Product Category Description], "")</f>
        <v>35 - PANELS:PLYWOOD/OSB</v>
      </c>
      <c r="C79" s="7" t="str">
        <f>_xlfn.XLOOKUP(updatetool_PriceUpdate[[#This Row],[Item ID]], [1]!costsheet_UnconvertedPricing[Item ID], [1]!costsheet_UnconvertedPricing[Minor Category Description], "")</f>
        <v>3506 - SHEATHING OSB</v>
      </c>
      <c r="D79" s="7" t="str" cm="1">
        <f t="array" ref="D79">_xlfn._xlws.FILTER([1]!costsheet_Conversion[[#This Row],[SKU]], [1]!costsheet_Conversion[[#This Row],[SKU]]&lt;&gt;"")</f>
        <v>716OSB10</v>
      </c>
      <c r="E79" s="7" t="str">
        <f>_xlfn.XLOOKUP(updatetool_PriceUpdate[[#This Row],[Item ID]], [1]!costsheet_UnconvertedPricing[Item ID], [1]!costsheet_UnconvertedPricing[Item Description], "")</f>
        <v>7/16"4X10 OSB RTD</v>
      </c>
      <c r="F79" s="7">
        <f>_xlfn.XLOOKUP(updatetool_PriceUpdate[[#This Row],[Item ID]], [1]!costsheet_Conversion[SKU], [1]!costsheet_Conversion[Sell_UOM], "")</f>
        <v>319.32</v>
      </c>
      <c r="G79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08</v>
      </c>
      <c r="H79" s="9"/>
      <c r="I79" s="10" t="str">
        <f>IF(G79="","",INDEX('[1]PRICE SHEET MAP'!$3:$3,1,18+(G79*3)-1))</f>
        <v>AO</v>
      </c>
      <c r="J79" s="11" t="str">
        <f t="shared" si="3"/>
        <v>Will update PL08 → Column AO</v>
      </c>
      <c r="K79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3506 </v>
      </c>
      <c r="L79" s="13">
        <f>_xlfn.XLOOKUP(updatetool_PriceUpdate[[#This Row],[Minor_Category_No]],[1]!reference_Dart[Online Minor Code],[1]!reference_Dart[DART Major Code])</f>
        <v>2</v>
      </c>
      <c r="M79" s="13">
        <f t="shared" si="2"/>
        <v>3506</v>
      </c>
    </row>
    <row r="80" spans="1:13" x14ac:dyDescent="0.35">
      <c r="A80" s="6" t="str">
        <f>_xlfn.XLOOKUP(updatetool_PriceUpdate[[#This Row],[Item ID]], [1]!costsheet_UnconvertedPricing[Item ID], [1]!costsheet_UnconvertedPricing[Pricing Zone], "")</f>
        <v>PORTOR</v>
      </c>
      <c r="B80" s="7" t="str">
        <f>_xlfn.XLOOKUP(updatetool_PriceUpdate[[#This Row],[Item ID]], [1]!costsheet_UnconvertedPricing[Item ID], [1]!costsheet_UnconvertedPricing[Product Category Description], "")</f>
        <v>35 - PANELS:PLYWOOD/OSB</v>
      </c>
      <c r="C80" s="7" t="str">
        <f>_xlfn.XLOOKUP(updatetool_PriceUpdate[[#This Row],[Item ID]], [1]!costsheet_UnconvertedPricing[Item ID], [1]!costsheet_UnconvertedPricing[Minor Category Description], "")</f>
        <v>3507 - UNDERLAYMENT OSB</v>
      </c>
      <c r="D80" s="7" t="str" cm="1">
        <f t="array" ref="D80">_xlfn._xlws.FILTER([1]!costsheet_Conversion[[#This Row],[SKU]], [1]!costsheet_Conversion[[#This Row],[SKU]]&lt;&gt;"")</f>
        <v>34TGOSBWGOFF</v>
      </c>
      <c r="E80" s="7" t="str">
        <f>_xlfn.XLOOKUP(updatetool_PriceUpdate[[#This Row],[Item ID]], [1]!costsheet_UnconvertedPricing[Item ID], [1]!costsheet_UnconvertedPricing[Item Description], "")</f>
        <v>23/32"4X8 T&amp;G OSB EDGGLD SIF</v>
      </c>
      <c r="F80" s="7">
        <f>_xlfn.XLOOKUP(updatetool_PriceUpdate[[#This Row],[Item ID]], [1]!costsheet_Conversion[SKU], [1]!costsheet_Conversion[Sell_UOM], "")</f>
        <v>615.12</v>
      </c>
      <c r="G80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08</v>
      </c>
      <c r="H80" s="9"/>
      <c r="I80" s="10" t="str">
        <f>IF(G80="","",INDEX('[1]PRICE SHEET MAP'!$3:$3,1,18+(G80*3)-1))</f>
        <v>AO</v>
      </c>
      <c r="J80" s="11" t="str">
        <f t="shared" si="3"/>
        <v>Will update PL08 → Column AO</v>
      </c>
      <c r="K80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3507 </v>
      </c>
      <c r="L80" s="13">
        <f>_xlfn.XLOOKUP(updatetool_PriceUpdate[[#This Row],[Minor_Category_No]],[1]!reference_Dart[Online Minor Code],[1]!reference_Dart[DART Major Code])</f>
        <v>2</v>
      </c>
      <c r="M80" s="13">
        <f t="shared" si="2"/>
        <v>3507</v>
      </c>
    </row>
    <row r="81" spans="1:13" x14ac:dyDescent="0.35">
      <c r="A81" s="6" t="str">
        <f>_xlfn.XLOOKUP(updatetool_PriceUpdate[[#This Row],[Item ID]], [1]!costsheet_UnconvertedPricing[Item ID], [1]!costsheet_UnconvertedPricing[Pricing Zone], "")</f>
        <v>PORTOR</v>
      </c>
      <c r="B81" s="7" t="str">
        <f>_xlfn.XLOOKUP(updatetool_PriceUpdate[[#This Row],[Item ID]], [1]!costsheet_UnconvertedPricing[Item ID], [1]!costsheet_UnconvertedPricing[Product Category Description], "")</f>
        <v>35 - PANELS:PLYWOOD/OSB</v>
      </c>
      <c r="C81" s="7" t="str">
        <f>_xlfn.XLOOKUP(updatetool_PriceUpdate[[#This Row],[Item ID]], [1]!costsheet_UnconvertedPricing[Item ID], [1]!costsheet_UnconvertedPricing[Minor Category Description], "")</f>
        <v>3507 - UNDERLAYMENT OSB</v>
      </c>
      <c r="D81" s="7" t="str" cm="1">
        <f t="array" ref="D81">_xlfn._xlws.FILTER([1]!costsheet_Conversion[[#This Row],[SKU]], [1]!costsheet_Conversion[[#This Row],[SKU]]&lt;&gt;"")</f>
        <v>78TGOSBWGOFF</v>
      </c>
      <c r="E81" s="7" t="str">
        <f>_xlfn.XLOOKUP(updatetool_PriceUpdate[[#This Row],[Item ID]], [1]!costsheet_UnconvertedPricing[Item ID], [1]!costsheet_UnconvertedPricing[Item Description], "")</f>
        <v>7/8"4X8 T&amp;G OSB EDGGLD SIF FF</v>
      </c>
      <c r="F81" s="7">
        <f>_xlfn.XLOOKUP(updatetool_PriceUpdate[[#This Row],[Item ID]], [1]!costsheet_Conversion[SKU], [1]!costsheet_Conversion[Sell_UOM], "")</f>
        <v>767.44</v>
      </c>
      <c r="G81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08</v>
      </c>
      <c r="H81" s="9"/>
      <c r="I81" s="10" t="str">
        <f>IF(G81="","",INDEX('[1]PRICE SHEET MAP'!$3:$3,1,18+(G81*3)-1))</f>
        <v>AO</v>
      </c>
      <c r="J81" s="11" t="str">
        <f t="shared" si="3"/>
        <v>Will update PL08 → Column AO</v>
      </c>
      <c r="K81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3507 </v>
      </c>
      <c r="L81" s="13">
        <f>_xlfn.XLOOKUP(updatetool_PriceUpdate[[#This Row],[Minor_Category_No]],[1]!reference_Dart[Online Minor Code],[1]!reference_Dart[DART Major Code])</f>
        <v>2</v>
      </c>
      <c r="M81" s="13">
        <f t="shared" si="2"/>
        <v>3507</v>
      </c>
    </row>
    <row r="82" spans="1:13" x14ac:dyDescent="0.35">
      <c r="A82" s="6" t="str">
        <f>_xlfn.XLOOKUP(updatetool_PriceUpdate[[#This Row],[Item ID]], [1]!costsheet_UnconvertedPricing[Item ID], [1]!costsheet_UnconvertedPricing[Pricing Zone], "")</f>
        <v>PORTOR</v>
      </c>
      <c r="B82" s="7" t="str">
        <f>_xlfn.XLOOKUP(updatetool_PriceUpdate[[#This Row],[Item ID]], [1]!costsheet_UnconvertedPricing[Item ID], [1]!costsheet_UnconvertedPricing[Product Category Description], "")</f>
        <v>35 - PANELS:PLYWOOD/OSB</v>
      </c>
      <c r="C82" s="7" t="str">
        <f>_xlfn.XLOOKUP(updatetool_PriceUpdate[[#This Row],[Item ID]], [1]!costsheet_UnconvertedPricing[Item ID], [1]!costsheet_UnconvertedPricing[Minor Category Description], "")</f>
        <v>3507 - UNDERLAYMENT OSB</v>
      </c>
      <c r="D82" s="7" t="str" cm="1">
        <f t="array" ref="D82">_xlfn._xlws.FILTER([1]!costsheet_Conversion[[#This Row],[SKU]], [1]!costsheet_Conversion[[#This Row],[SKU]]&lt;&gt;"")</f>
        <v>118TGOSBWGOFF</v>
      </c>
      <c r="E82" s="7" t="str">
        <f>_xlfn.XLOOKUP(updatetool_PriceUpdate[[#This Row],[Item ID]], [1]!costsheet_UnconvertedPricing[Item ID], [1]!costsheet_UnconvertedPricing[Item Description], "")</f>
        <v>1-1/8"4X8 T&amp;G OSB EDGGLD SIF</v>
      </c>
      <c r="F82" s="7">
        <f>_xlfn.XLOOKUP(updatetool_PriceUpdate[[#This Row],[Item ID]], [1]!costsheet_Conversion[SKU], [1]!costsheet_Conversion[Sell_UOM], "")</f>
        <v>1011.63</v>
      </c>
      <c r="G82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08</v>
      </c>
      <c r="H82" s="9"/>
      <c r="I82" s="10" t="str">
        <f>IF(G82="","",INDEX('[1]PRICE SHEET MAP'!$3:$3,1,18+(G82*3)-1))</f>
        <v>AO</v>
      </c>
      <c r="J82" s="11" t="str">
        <f t="shared" si="3"/>
        <v>Will update PL08 → Column AO</v>
      </c>
      <c r="K82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3507 </v>
      </c>
      <c r="L82" s="13">
        <f>_xlfn.XLOOKUP(updatetool_PriceUpdate[[#This Row],[Minor_Category_No]],[1]!reference_Dart[Online Minor Code],[1]!reference_Dart[DART Major Code])</f>
        <v>2</v>
      </c>
      <c r="M82" s="13">
        <f t="shared" si="2"/>
        <v>3507</v>
      </c>
    </row>
    <row r="83" spans="1:13" x14ac:dyDescent="0.35">
      <c r="A83" s="6" t="str">
        <f>_xlfn.XLOOKUP(updatetool_PriceUpdate[[#This Row],[Item ID]], [1]!costsheet_UnconvertedPricing[Item ID], [1]!costsheet_UnconvertedPricing[Pricing Zone], "")</f>
        <v>PORTOR</v>
      </c>
      <c r="B83" s="7" t="str">
        <f>_xlfn.XLOOKUP(updatetool_PriceUpdate[[#This Row],[Item ID]], [1]!costsheet_UnconvertedPricing[Item ID], [1]!costsheet_UnconvertedPricing[Product Category Description], "")</f>
        <v>22 - TIMBERS/BEAMS/CEDAR</v>
      </c>
      <c r="C83" s="7" t="str">
        <f>_xlfn.XLOOKUP(updatetool_PriceUpdate[[#This Row],[Item ID]], [1]!costsheet_UnconvertedPricing[Item ID], [1]!costsheet_UnconvertedPricing[Minor Category Description], "")</f>
        <v>2201 - HEM/DOUG FIR-TIMBERS/BEAMS</v>
      </c>
      <c r="D83" s="7" t="str" cm="1">
        <f t="array" ref="D83">_xlfn._xlws.FILTER([1]!costsheet_Conversion[[#This Row],[SKU]], [1]!costsheet_Conversion[[#This Row],[SKU]]&lt;&gt;"")</f>
        <v>44GDF</v>
      </c>
      <c r="E83" s="7" t="str">
        <f>_xlfn.XLOOKUP(updatetool_PriceUpdate[[#This Row],[Item ID]], [1]!costsheet_UnconvertedPricing[Item ID], [1]!costsheet_UnconvertedPricing[Item Description], "")</f>
        <v>4X4-RL STD&amp;BTR DF GRN</v>
      </c>
      <c r="F83" s="7">
        <f>_xlfn.XLOOKUP(updatetool_PriceUpdate[[#This Row],[Item ID]], [1]!costsheet_Conversion[SKU], [1]!costsheet_Conversion[Sell_UOM], "")</f>
        <v>702.38</v>
      </c>
      <c r="G83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83" s="9"/>
      <c r="I83" s="10" t="str">
        <f>IF(G83="","",INDEX('[1]PRICE SHEET MAP'!$3:$3,1,18+(G83*3)-1))</f>
        <v>AR</v>
      </c>
      <c r="J83" s="11" t="str">
        <f t="shared" si="3"/>
        <v>Will update PL09 → Column AR</v>
      </c>
      <c r="K83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83" s="13">
        <f>_xlfn.XLOOKUP(updatetool_PriceUpdate[[#This Row],[Minor_Category_No]],[1]!reference_Dart[Online Minor Code],[1]!reference_Dart[DART Major Code])</f>
        <v>1</v>
      </c>
      <c r="M83" s="13">
        <f t="shared" si="2"/>
        <v>2201</v>
      </c>
    </row>
    <row r="84" spans="1:13" x14ac:dyDescent="0.35">
      <c r="A84" s="6" t="str">
        <f>_xlfn.XLOOKUP(updatetool_PriceUpdate[[#This Row],[Item ID]], [1]!costsheet_UnconvertedPricing[Item ID], [1]!costsheet_UnconvertedPricing[Pricing Zone], "")</f>
        <v>PORTOR</v>
      </c>
      <c r="B84" s="7" t="str">
        <f>_xlfn.XLOOKUP(updatetool_PriceUpdate[[#This Row],[Item ID]], [1]!costsheet_UnconvertedPricing[Item ID], [1]!costsheet_UnconvertedPricing[Product Category Description], "")</f>
        <v>22 - TIMBERS/BEAMS/CEDAR</v>
      </c>
      <c r="C84" s="7" t="str">
        <f>_xlfn.XLOOKUP(updatetool_PriceUpdate[[#This Row],[Item ID]], [1]!costsheet_UnconvertedPricing[Item ID], [1]!costsheet_UnconvertedPricing[Minor Category Description], "")</f>
        <v>2201 - HEM/DOUG FIR-TIMBERS/BEAMS</v>
      </c>
      <c r="D84" s="7" t="str" cm="1">
        <f t="array" ref="D84">_xlfn._xlws.FILTER([1]!costsheet_Conversion[[#This Row],[SKU]], [1]!costsheet_Conversion[[#This Row],[SKU]]&lt;&gt;"")</f>
        <v>448GDF</v>
      </c>
      <c r="E84" s="7" t="str">
        <f>_xlfn.XLOOKUP(updatetool_PriceUpdate[[#This Row],[Item ID]], [1]!costsheet_UnconvertedPricing[Item ID], [1]!costsheet_UnconvertedPricing[Item Description], "")</f>
        <v>4X4-8' STD&amp;BTR DF GRN</v>
      </c>
      <c r="F84" s="7">
        <f>_xlfn.XLOOKUP(updatetool_PriceUpdate[[#This Row],[Item ID]], [1]!costsheet_Conversion[SKU], [1]!costsheet_Conversion[Sell_UOM], "")</f>
        <v>702.38</v>
      </c>
      <c r="G84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84" s="9"/>
      <c r="I84" s="10" t="str">
        <f>IF(G84="","",INDEX('[1]PRICE SHEET MAP'!$3:$3,1,18+(G84*3)-1))</f>
        <v>AR</v>
      </c>
      <c r="J84" s="11" t="str">
        <f t="shared" si="3"/>
        <v>Will update PL09 → Column AR</v>
      </c>
      <c r="K84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84" s="13">
        <f>_xlfn.XLOOKUP(updatetool_PriceUpdate[[#This Row],[Minor_Category_No]],[1]!reference_Dart[Online Minor Code],[1]!reference_Dart[DART Major Code])</f>
        <v>1</v>
      </c>
      <c r="M84" s="13">
        <f t="shared" si="2"/>
        <v>2201</v>
      </c>
    </row>
    <row r="85" spans="1:13" x14ac:dyDescent="0.35">
      <c r="A85" s="6" t="str">
        <f>_xlfn.XLOOKUP(updatetool_PriceUpdate[[#This Row],[Item ID]], [1]!costsheet_UnconvertedPricing[Item ID], [1]!costsheet_UnconvertedPricing[Pricing Zone], "")</f>
        <v>PORTOR</v>
      </c>
      <c r="B85" s="7" t="str">
        <f>_xlfn.XLOOKUP(updatetool_PriceUpdate[[#This Row],[Item ID]], [1]!costsheet_UnconvertedPricing[Item ID], [1]!costsheet_UnconvertedPricing[Product Category Description], "")</f>
        <v>22 - TIMBERS/BEAMS/CEDAR</v>
      </c>
      <c r="C85" s="7" t="str">
        <f>_xlfn.XLOOKUP(updatetool_PriceUpdate[[#This Row],[Item ID]], [1]!costsheet_UnconvertedPricing[Item ID], [1]!costsheet_UnconvertedPricing[Minor Category Description], "")</f>
        <v>2201 - HEM/DOUG FIR-TIMBERS/BEAMS</v>
      </c>
      <c r="D85" s="7" t="str" cm="1">
        <f t="array" ref="D85">_xlfn._xlws.FILTER([1]!costsheet_Conversion[[#This Row],[SKU]], [1]!costsheet_Conversion[[#This Row],[SKU]]&lt;&gt;"")</f>
        <v>4410GDF</v>
      </c>
      <c r="E85" s="7" t="str">
        <f>_xlfn.XLOOKUP(updatetool_PriceUpdate[[#This Row],[Item ID]], [1]!costsheet_UnconvertedPricing[Item ID], [1]!costsheet_UnconvertedPricing[Item Description], "")</f>
        <v>4X4-10' STD&amp;BTR DF GRN</v>
      </c>
      <c r="F85" s="7">
        <f>_xlfn.XLOOKUP(updatetool_PriceUpdate[[#This Row],[Item ID]], [1]!costsheet_Conversion[SKU], [1]!costsheet_Conversion[Sell_UOM], "")</f>
        <v>702.38</v>
      </c>
      <c r="G85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85" s="9"/>
      <c r="I85" s="10" t="str">
        <f>IF(G85="","",INDEX('[1]PRICE SHEET MAP'!$3:$3,1,18+(G85*3)-1))</f>
        <v>AR</v>
      </c>
      <c r="J85" s="11" t="str">
        <f t="shared" si="3"/>
        <v>Will update PL09 → Column AR</v>
      </c>
      <c r="K85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85" s="13">
        <f>_xlfn.XLOOKUP(updatetool_PriceUpdate[[#This Row],[Minor_Category_No]],[1]!reference_Dart[Online Minor Code],[1]!reference_Dart[DART Major Code])</f>
        <v>1</v>
      </c>
      <c r="M85" s="13">
        <f t="shared" si="2"/>
        <v>2201</v>
      </c>
    </row>
    <row r="86" spans="1:13" x14ac:dyDescent="0.35">
      <c r="A86" s="6" t="str">
        <f>_xlfn.XLOOKUP(updatetool_PriceUpdate[[#This Row],[Item ID]], [1]!costsheet_UnconvertedPricing[Item ID], [1]!costsheet_UnconvertedPricing[Pricing Zone], "")</f>
        <v>PORTOR</v>
      </c>
      <c r="B86" s="7" t="str">
        <f>_xlfn.XLOOKUP(updatetool_PriceUpdate[[#This Row],[Item ID]], [1]!costsheet_UnconvertedPricing[Item ID], [1]!costsheet_UnconvertedPricing[Product Category Description], "")</f>
        <v>22 - TIMBERS/BEAMS/CEDAR</v>
      </c>
      <c r="C86" s="7" t="str">
        <f>_xlfn.XLOOKUP(updatetool_PriceUpdate[[#This Row],[Item ID]], [1]!costsheet_UnconvertedPricing[Item ID], [1]!costsheet_UnconvertedPricing[Minor Category Description], "")</f>
        <v>2201 - HEM/DOUG FIR-TIMBERS/BEAMS</v>
      </c>
      <c r="D86" s="7" t="str" cm="1">
        <f t="array" ref="D86">_xlfn._xlws.FILTER([1]!costsheet_Conversion[[#This Row],[SKU]], [1]!costsheet_Conversion[[#This Row],[SKU]]&lt;&gt;"")</f>
        <v>4412GDF</v>
      </c>
      <c r="E86" s="7" t="str">
        <f>_xlfn.XLOOKUP(updatetool_PriceUpdate[[#This Row],[Item ID]], [1]!costsheet_UnconvertedPricing[Item ID], [1]!costsheet_UnconvertedPricing[Item Description], "")</f>
        <v>4X4-12' STD&amp;BTR DF GRN</v>
      </c>
      <c r="F86" s="7">
        <f>_xlfn.XLOOKUP(updatetool_PriceUpdate[[#This Row],[Item ID]], [1]!costsheet_Conversion[SKU], [1]!costsheet_Conversion[Sell_UOM], "")</f>
        <v>702.38</v>
      </c>
      <c r="G86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86" s="9"/>
      <c r="I86" s="10" t="str">
        <f>IF(G86="","",INDEX('[1]PRICE SHEET MAP'!$3:$3,1,18+(G86*3)-1))</f>
        <v>AR</v>
      </c>
      <c r="J86" s="11" t="str">
        <f t="shared" si="3"/>
        <v>Will update PL09 → Column AR</v>
      </c>
      <c r="K86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86" s="13">
        <f>_xlfn.XLOOKUP(updatetool_PriceUpdate[[#This Row],[Minor_Category_No]],[1]!reference_Dart[Online Minor Code],[1]!reference_Dart[DART Major Code])</f>
        <v>1</v>
      </c>
      <c r="M86" s="13">
        <f t="shared" si="2"/>
        <v>2201</v>
      </c>
    </row>
    <row r="87" spans="1:13" x14ac:dyDescent="0.35">
      <c r="A87" s="6" t="str">
        <f>_xlfn.XLOOKUP(updatetool_PriceUpdate[[#This Row],[Item ID]], [1]!costsheet_UnconvertedPricing[Item ID], [1]!costsheet_UnconvertedPricing[Pricing Zone], "")</f>
        <v>PORTOR</v>
      </c>
      <c r="B87" s="7" t="str">
        <f>_xlfn.XLOOKUP(updatetool_PriceUpdate[[#This Row],[Item ID]], [1]!costsheet_UnconvertedPricing[Item ID], [1]!costsheet_UnconvertedPricing[Product Category Description], "")</f>
        <v>22 - TIMBERS/BEAMS/CEDAR</v>
      </c>
      <c r="C87" s="7" t="str">
        <f>_xlfn.XLOOKUP(updatetool_PriceUpdate[[#This Row],[Item ID]], [1]!costsheet_UnconvertedPricing[Item ID], [1]!costsheet_UnconvertedPricing[Minor Category Description], "")</f>
        <v>2201 - HEM/DOUG FIR-TIMBERS/BEAMS</v>
      </c>
      <c r="D87" s="7" t="str" cm="1">
        <f t="array" ref="D87">_xlfn._xlws.FILTER([1]!costsheet_Conversion[[#This Row],[SKU]], [1]!costsheet_Conversion[[#This Row],[SKU]]&lt;&gt;"")</f>
        <v>4416GDF</v>
      </c>
      <c r="E87" s="7" t="str">
        <f>_xlfn.XLOOKUP(updatetool_PriceUpdate[[#This Row],[Item ID]], [1]!costsheet_UnconvertedPricing[Item ID], [1]!costsheet_UnconvertedPricing[Item Description], "")</f>
        <v>4X4-16' STD&amp;BTR DF GRN</v>
      </c>
      <c r="F87" s="7">
        <f>_xlfn.XLOOKUP(updatetool_PriceUpdate[[#This Row],[Item ID]], [1]!costsheet_Conversion[SKU], [1]!costsheet_Conversion[Sell_UOM], "")</f>
        <v>702.38</v>
      </c>
      <c r="G87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87" s="9"/>
      <c r="I87" s="10" t="str">
        <f>IF(G87="","",INDEX('[1]PRICE SHEET MAP'!$3:$3,1,18+(G87*3)-1))</f>
        <v>AR</v>
      </c>
      <c r="J87" s="11" t="str">
        <f t="shared" si="3"/>
        <v>Will update PL09 → Column AR</v>
      </c>
      <c r="K87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87" s="13">
        <f>_xlfn.XLOOKUP(updatetool_PriceUpdate[[#This Row],[Minor_Category_No]],[1]!reference_Dart[Online Minor Code],[1]!reference_Dart[DART Major Code])</f>
        <v>1</v>
      </c>
      <c r="M87" s="13">
        <f t="shared" si="2"/>
        <v>2201</v>
      </c>
    </row>
    <row r="88" spans="1:13" x14ac:dyDescent="0.35">
      <c r="A88" s="6" t="str">
        <f>_xlfn.XLOOKUP(updatetool_PriceUpdate[[#This Row],[Item ID]], [1]!costsheet_UnconvertedPricing[Item ID], [1]!costsheet_UnconvertedPricing[Pricing Zone], "")</f>
        <v>PORTOR</v>
      </c>
      <c r="B88" s="7" t="str">
        <f>_xlfn.XLOOKUP(updatetool_PriceUpdate[[#This Row],[Item ID]], [1]!costsheet_UnconvertedPricing[Item ID], [1]!costsheet_UnconvertedPricing[Product Category Description], "")</f>
        <v>22 - TIMBERS/BEAMS/CEDAR</v>
      </c>
      <c r="C88" s="7" t="str">
        <f>_xlfn.XLOOKUP(updatetool_PriceUpdate[[#This Row],[Item ID]], [1]!costsheet_UnconvertedPricing[Item ID], [1]!costsheet_UnconvertedPricing[Minor Category Description], "")</f>
        <v>2201 - HEM/DOUG FIR-TIMBERS/BEAMS</v>
      </c>
      <c r="D88" s="7" t="str" cm="1">
        <f t="array" ref="D88">_xlfn._xlws.FILTER([1]!costsheet_Conversion[[#This Row],[SKU]], [1]!costsheet_Conversion[[#This Row],[SKU]]&lt;&gt;"")</f>
        <v>46GDF2</v>
      </c>
      <c r="E88" s="7" t="str">
        <f>_xlfn.XLOOKUP(updatetool_PriceUpdate[[#This Row],[Item ID]], [1]!costsheet_UnconvertedPricing[Item ID], [1]!costsheet_UnconvertedPricing[Item Description], "")</f>
        <v>4X6-RL #2 DF GRN</v>
      </c>
      <c r="F88" s="7">
        <f>_xlfn.XLOOKUP(updatetool_PriceUpdate[[#This Row],[Item ID]], [1]!costsheet_Conversion[SKU], [1]!costsheet_Conversion[Sell_UOM], "")</f>
        <v>636.9</v>
      </c>
      <c r="G88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88" s="9"/>
      <c r="I88" s="10" t="str">
        <f>IF(G88="","",INDEX('[1]PRICE SHEET MAP'!$3:$3,1,18+(G88*3)-1))</f>
        <v>AR</v>
      </c>
      <c r="J88" s="11" t="str">
        <f t="shared" si="3"/>
        <v>Will update PL09 → Column AR</v>
      </c>
      <c r="K88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88" s="13">
        <f>_xlfn.XLOOKUP(updatetool_PriceUpdate[[#This Row],[Minor_Category_No]],[1]!reference_Dart[Online Minor Code],[1]!reference_Dart[DART Major Code])</f>
        <v>1</v>
      </c>
      <c r="M88" s="13">
        <f t="shared" si="2"/>
        <v>2201</v>
      </c>
    </row>
    <row r="89" spans="1:13" x14ac:dyDescent="0.35">
      <c r="A89" s="6" t="str">
        <f>_xlfn.XLOOKUP(updatetool_PriceUpdate[[#This Row],[Item ID]], [1]!costsheet_UnconvertedPricing[Item ID], [1]!costsheet_UnconvertedPricing[Pricing Zone], "")</f>
        <v>PORTOR</v>
      </c>
      <c r="B89" s="7" t="str">
        <f>_xlfn.XLOOKUP(updatetool_PriceUpdate[[#This Row],[Item ID]], [1]!costsheet_UnconvertedPricing[Item ID], [1]!costsheet_UnconvertedPricing[Product Category Description], "")</f>
        <v>22 - TIMBERS/BEAMS/CEDAR</v>
      </c>
      <c r="C89" s="7" t="str">
        <f>_xlfn.XLOOKUP(updatetool_PriceUpdate[[#This Row],[Item ID]], [1]!costsheet_UnconvertedPricing[Item ID], [1]!costsheet_UnconvertedPricing[Minor Category Description], "")</f>
        <v>2201 - HEM/DOUG FIR-TIMBERS/BEAMS</v>
      </c>
      <c r="D89" s="7" t="str" cm="1">
        <f t="array" ref="D89">_xlfn._xlws.FILTER([1]!costsheet_Conversion[[#This Row],[SKU]], [1]!costsheet_Conversion[[#This Row],[SKU]]&lt;&gt;"")</f>
        <v>468GDF2</v>
      </c>
      <c r="E89" s="7" t="str">
        <f>_xlfn.XLOOKUP(updatetool_PriceUpdate[[#This Row],[Item ID]], [1]!costsheet_UnconvertedPricing[Item ID], [1]!costsheet_UnconvertedPricing[Item Description], "")</f>
        <v>4X6-8' #2&amp;BTR DF GRN</v>
      </c>
      <c r="F89" s="7">
        <f>_xlfn.XLOOKUP(updatetool_PriceUpdate[[#This Row],[Item ID]], [1]!costsheet_Conversion[SKU], [1]!costsheet_Conversion[Sell_UOM], "")</f>
        <v>636.9</v>
      </c>
      <c r="G89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89" s="9"/>
      <c r="I89" s="10" t="str">
        <f>IF(G89="","",INDEX('[1]PRICE SHEET MAP'!$3:$3,1,18+(G89*3)-1))</f>
        <v>AR</v>
      </c>
      <c r="J89" s="11" t="str">
        <f t="shared" si="3"/>
        <v>Will update PL09 → Column AR</v>
      </c>
      <c r="K89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89" s="13">
        <f>_xlfn.XLOOKUP(updatetool_PriceUpdate[[#This Row],[Minor_Category_No]],[1]!reference_Dart[Online Minor Code],[1]!reference_Dart[DART Major Code])</f>
        <v>1</v>
      </c>
      <c r="M89" s="13">
        <f t="shared" si="2"/>
        <v>2201</v>
      </c>
    </row>
    <row r="90" spans="1:13" x14ac:dyDescent="0.35">
      <c r="A90" s="6" t="str">
        <f>_xlfn.XLOOKUP(updatetool_PriceUpdate[[#This Row],[Item ID]], [1]!costsheet_UnconvertedPricing[Item ID], [1]!costsheet_UnconvertedPricing[Pricing Zone], "")</f>
        <v>PORTOR</v>
      </c>
      <c r="B90" s="7" t="str">
        <f>_xlfn.XLOOKUP(updatetool_PriceUpdate[[#This Row],[Item ID]], [1]!costsheet_UnconvertedPricing[Item ID], [1]!costsheet_UnconvertedPricing[Product Category Description], "")</f>
        <v>22 - TIMBERS/BEAMS/CEDAR</v>
      </c>
      <c r="C90" s="7" t="str">
        <f>_xlfn.XLOOKUP(updatetool_PriceUpdate[[#This Row],[Item ID]], [1]!costsheet_UnconvertedPricing[Item ID], [1]!costsheet_UnconvertedPricing[Minor Category Description], "")</f>
        <v>2201 - HEM/DOUG FIR-TIMBERS/BEAMS</v>
      </c>
      <c r="D90" s="7" t="str" cm="1">
        <f t="array" ref="D90">_xlfn._xlws.FILTER([1]!costsheet_Conversion[[#This Row],[SKU]], [1]!costsheet_Conversion[[#This Row],[SKU]]&lt;&gt;"")</f>
        <v>4610GDF2</v>
      </c>
      <c r="E90" s="7" t="str">
        <f>_xlfn.XLOOKUP(updatetool_PriceUpdate[[#This Row],[Item ID]], [1]!costsheet_UnconvertedPricing[Item ID], [1]!costsheet_UnconvertedPricing[Item Description], "")</f>
        <v>4X6-10' #2&amp;BTR DF GRN</v>
      </c>
      <c r="F90" s="7">
        <f>_xlfn.XLOOKUP(updatetool_PriceUpdate[[#This Row],[Item ID]], [1]!costsheet_Conversion[SKU], [1]!costsheet_Conversion[Sell_UOM], "")</f>
        <v>636.9</v>
      </c>
      <c r="G90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90" s="9"/>
      <c r="I90" s="10" t="str">
        <f>IF(G90="","",INDEX('[1]PRICE SHEET MAP'!$3:$3,1,18+(G90*3)-1))</f>
        <v>AR</v>
      </c>
      <c r="J90" s="11" t="str">
        <f t="shared" si="3"/>
        <v>Will update PL09 → Column AR</v>
      </c>
      <c r="K90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90" s="13">
        <f>_xlfn.XLOOKUP(updatetool_PriceUpdate[[#This Row],[Minor_Category_No]],[1]!reference_Dart[Online Minor Code],[1]!reference_Dart[DART Major Code])</f>
        <v>1</v>
      </c>
      <c r="M90" s="13">
        <f t="shared" si="2"/>
        <v>2201</v>
      </c>
    </row>
    <row r="91" spans="1:13" x14ac:dyDescent="0.35">
      <c r="A91" s="6" t="str">
        <f>_xlfn.XLOOKUP(updatetool_PriceUpdate[[#This Row],[Item ID]], [1]!costsheet_UnconvertedPricing[Item ID], [1]!costsheet_UnconvertedPricing[Pricing Zone], "")</f>
        <v>PORTOR</v>
      </c>
      <c r="B91" s="7" t="str">
        <f>_xlfn.XLOOKUP(updatetool_PriceUpdate[[#This Row],[Item ID]], [1]!costsheet_UnconvertedPricing[Item ID], [1]!costsheet_UnconvertedPricing[Product Category Description], "")</f>
        <v>22 - TIMBERS/BEAMS/CEDAR</v>
      </c>
      <c r="C91" s="7" t="str">
        <f>_xlfn.XLOOKUP(updatetool_PriceUpdate[[#This Row],[Item ID]], [1]!costsheet_UnconvertedPricing[Item ID], [1]!costsheet_UnconvertedPricing[Minor Category Description], "")</f>
        <v>2201 - HEM/DOUG FIR-TIMBERS/BEAMS</v>
      </c>
      <c r="D91" s="7" t="str" cm="1">
        <f t="array" ref="D91">_xlfn._xlws.FILTER([1]!costsheet_Conversion[[#This Row],[SKU]], [1]!costsheet_Conversion[[#This Row],[SKU]]&lt;&gt;"")</f>
        <v>4612GDF2</v>
      </c>
      <c r="E91" s="7" t="str">
        <f>_xlfn.XLOOKUP(updatetool_PriceUpdate[[#This Row],[Item ID]], [1]!costsheet_UnconvertedPricing[Item ID], [1]!costsheet_UnconvertedPricing[Item Description], "")</f>
        <v>4X6-12' #2&amp;BTR DF GRN</v>
      </c>
      <c r="F91" s="7">
        <f>_xlfn.XLOOKUP(updatetool_PriceUpdate[[#This Row],[Item ID]], [1]!costsheet_Conversion[SKU], [1]!costsheet_Conversion[Sell_UOM], "")</f>
        <v>636.9</v>
      </c>
      <c r="G91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91" s="9"/>
      <c r="I91" s="10" t="str">
        <f>IF(G91="","",INDEX('[1]PRICE SHEET MAP'!$3:$3,1,18+(G91*3)-1))</f>
        <v>AR</v>
      </c>
      <c r="J91" s="11" t="str">
        <f t="shared" si="3"/>
        <v>Will update PL09 → Column AR</v>
      </c>
      <c r="K91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91" s="13">
        <f>_xlfn.XLOOKUP(updatetool_PriceUpdate[[#This Row],[Minor_Category_No]],[1]!reference_Dart[Online Minor Code],[1]!reference_Dart[DART Major Code])</f>
        <v>1</v>
      </c>
      <c r="M91" s="13">
        <f t="shared" si="2"/>
        <v>2201</v>
      </c>
    </row>
    <row r="92" spans="1:13" x14ac:dyDescent="0.35">
      <c r="A92" s="6" t="str">
        <f>_xlfn.XLOOKUP(updatetool_PriceUpdate[[#This Row],[Item ID]], [1]!costsheet_UnconvertedPricing[Item ID], [1]!costsheet_UnconvertedPricing[Pricing Zone], "")</f>
        <v>PORTOR</v>
      </c>
      <c r="B92" s="7" t="str">
        <f>_xlfn.XLOOKUP(updatetool_PriceUpdate[[#This Row],[Item ID]], [1]!costsheet_UnconvertedPricing[Item ID], [1]!costsheet_UnconvertedPricing[Product Category Description], "")</f>
        <v>22 - TIMBERS/BEAMS/CEDAR</v>
      </c>
      <c r="C92" s="7" t="str">
        <f>_xlfn.XLOOKUP(updatetool_PriceUpdate[[#This Row],[Item ID]], [1]!costsheet_UnconvertedPricing[Item ID], [1]!costsheet_UnconvertedPricing[Minor Category Description], "")</f>
        <v>2201 - HEM/DOUG FIR-TIMBERS/BEAMS</v>
      </c>
      <c r="D92" s="7" t="str" cm="1">
        <f t="array" ref="D92">_xlfn._xlws.FILTER([1]!costsheet_Conversion[[#This Row],[SKU]], [1]!costsheet_Conversion[[#This Row],[SKU]]&lt;&gt;"")</f>
        <v>4614GDF2</v>
      </c>
      <c r="E92" s="7" t="str">
        <f>_xlfn.XLOOKUP(updatetool_PriceUpdate[[#This Row],[Item ID]], [1]!costsheet_UnconvertedPricing[Item ID], [1]!costsheet_UnconvertedPricing[Item Description], "")</f>
        <v>4X6-14' #2&amp;BTR DF GRN</v>
      </c>
      <c r="F92" s="7">
        <f>_xlfn.XLOOKUP(updatetool_PriceUpdate[[#This Row],[Item ID]], [1]!costsheet_Conversion[SKU], [1]!costsheet_Conversion[Sell_UOM], "")</f>
        <v>636.9</v>
      </c>
      <c r="G92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92" s="9"/>
      <c r="I92" s="10" t="str">
        <f>IF(G92="","",INDEX('[1]PRICE SHEET MAP'!$3:$3,1,18+(G92*3)-1))</f>
        <v>AR</v>
      </c>
      <c r="J92" s="11" t="str">
        <f t="shared" si="3"/>
        <v>Will update PL09 → Column AR</v>
      </c>
      <c r="K92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92" s="13">
        <f>_xlfn.XLOOKUP(updatetool_PriceUpdate[[#This Row],[Minor_Category_No]],[1]!reference_Dart[Online Minor Code],[1]!reference_Dart[DART Major Code])</f>
        <v>1</v>
      </c>
      <c r="M92" s="13">
        <f t="shared" si="2"/>
        <v>2201</v>
      </c>
    </row>
    <row r="93" spans="1:13" x14ac:dyDescent="0.35">
      <c r="A93" s="6" t="str">
        <f>_xlfn.XLOOKUP(updatetool_PriceUpdate[[#This Row],[Item ID]], [1]!costsheet_UnconvertedPricing[Item ID], [1]!costsheet_UnconvertedPricing[Pricing Zone], "")</f>
        <v>PORTOR</v>
      </c>
      <c r="B93" s="7" t="str">
        <f>_xlfn.XLOOKUP(updatetool_PriceUpdate[[#This Row],[Item ID]], [1]!costsheet_UnconvertedPricing[Item ID], [1]!costsheet_UnconvertedPricing[Product Category Description], "")</f>
        <v>22 - TIMBERS/BEAMS/CEDAR</v>
      </c>
      <c r="C93" s="7" t="str">
        <f>_xlfn.XLOOKUP(updatetool_PriceUpdate[[#This Row],[Item ID]], [1]!costsheet_UnconvertedPricing[Item ID], [1]!costsheet_UnconvertedPricing[Minor Category Description], "")</f>
        <v>2201 - HEM/DOUG FIR-TIMBERS/BEAMS</v>
      </c>
      <c r="D93" s="7" t="str" cm="1">
        <f t="array" ref="D93">_xlfn._xlws.FILTER([1]!costsheet_Conversion[[#This Row],[SKU]], [1]!costsheet_Conversion[[#This Row],[SKU]]&lt;&gt;"")</f>
        <v>4616GDF2</v>
      </c>
      <c r="E93" s="7" t="str">
        <f>_xlfn.XLOOKUP(updatetool_PriceUpdate[[#This Row],[Item ID]], [1]!costsheet_UnconvertedPricing[Item ID], [1]!costsheet_UnconvertedPricing[Item Description], "")</f>
        <v>4X6-16' #2&amp;BTR DF GRN</v>
      </c>
      <c r="F93" s="7">
        <f>_xlfn.XLOOKUP(updatetool_PriceUpdate[[#This Row],[Item ID]], [1]!costsheet_Conversion[SKU], [1]!costsheet_Conversion[Sell_UOM], "")</f>
        <v>636.9</v>
      </c>
      <c r="G93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93" s="9"/>
      <c r="I93" s="10" t="str">
        <f>IF(G93="","",INDEX('[1]PRICE SHEET MAP'!$3:$3,1,18+(G93*3)-1))</f>
        <v>AR</v>
      </c>
      <c r="J93" s="11" t="str">
        <f t="shared" si="3"/>
        <v>Will update PL09 → Column AR</v>
      </c>
      <c r="K93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93" s="13">
        <f>_xlfn.XLOOKUP(updatetool_PriceUpdate[[#This Row],[Minor_Category_No]],[1]!reference_Dart[Online Minor Code],[1]!reference_Dart[DART Major Code])</f>
        <v>1</v>
      </c>
      <c r="M93" s="13">
        <f t="shared" si="2"/>
        <v>2201</v>
      </c>
    </row>
    <row r="94" spans="1:13" x14ac:dyDescent="0.35">
      <c r="A94" s="6" t="str">
        <f>_xlfn.XLOOKUP(updatetool_PriceUpdate[[#This Row],[Item ID]], [1]!costsheet_UnconvertedPricing[Item ID], [1]!costsheet_UnconvertedPricing[Pricing Zone], "")</f>
        <v>PORTOR</v>
      </c>
      <c r="B94" s="7" t="str">
        <f>_xlfn.XLOOKUP(updatetool_PriceUpdate[[#This Row],[Item ID]], [1]!costsheet_UnconvertedPricing[Item ID], [1]!costsheet_UnconvertedPricing[Product Category Description], "")</f>
        <v>22 - TIMBERS/BEAMS/CEDAR</v>
      </c>
      <c r="C94" s="7" t="str">
        <f>_xlfn.XLOOKUP(updatetool_PriceUpdate[[#This Row],[Item ID]], [1]!costsheet_UnconvertedPricing[Item ID], [1]!costsheet_UnconvertedPricing[Minor Category Description], "")</f>
        <v>2201 - HEM/DOUG FIR-TIMBERS/BEAMS</v>
      </c>
      <c r="D94" s="7" t="str" cm="1">
        <f t="array" ref="D94">_xlfn._xlws.FILTER([1]!costsheet_Conversion[[#This Row],[SKU]], [1]!costsheet_Conversion[[#This Row],[SKU]]&lt;&gt;"")</f>
        <v>4618GDF2</v>
      </c>
      <c r="E94" s="7" t="str">
        <f>_xlfn.XLOOKUP(updatetool_PriceUpdate[[#This Row],[Item ID]], [1]!costsheet_UnconvertedPricing[Item ID], [1]!costsheet_UnconvertedPricing[Item Description], "")</f>
        <v>4X6-18' #2&amp;BTR DF GRN</v>
      </c>
      <c r="F94" s="7">
        <f>_xlfn.XLOOKUP(updatetool_PriceUpdate[[#This Row],[Item ID]], [1]!costsheet_Conversion[SKU], [1]!costsheet_Conversion[Sell_UOM], "")</f>
        <v>636.9</v>
      </c>
      <c r="G94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94" s="9"/>
      <c r="I94" s="10" t="str">
        <f>IF(G94="","",INDEX('[1]PRICE SHEET MAP'!$3:$3,1,18+(G94*3)-1))</f>
        <v>AR</v>
      </c>
      <c r="J94" s="11" t="str">
        <f t="shared" si="3"/>
        <v>Will update PL09 → Column AR</v>
      </c>
      <c r="K94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94" s="13">
        <f>_xlfn.XLOOKUP(updatetool_PriceUpdate[[#This Row],[Minor_Category_No]],[1]!reference_Dart[Online Minor Code],[1]!reference_Dart[DART Major Code])</f>
        <v>1</v>
      </c>
      <c r="M94" s="13">
        <f t="shared" si="2"/>
        <v>2201</v>
      </c>
    </row>
    <row r="95" spans="1:13" x14ac:dyDescent="0.35">
      <c r="A95" s="6" t="str">
        <f>_xlfn.XLOOKUP(updatetool_PriceUpdate[[#This Row],[Item ID]], [1]!costsheet_UnconvertedPricing[Item ID], [1]!costsheet_UnconvertedPricing[Pricing Zone], "")</f>
        <v>PORTOR</v>
      </c>
      <c r="B95" s="7" t="str">
        <f>_xlfn.XLOOKUP(updatetool_PriceUpdate[[#This Row],[Item ID]], [1]!costsheet_UnconvertedPricing[Item ID], [1]!costsheet_UnconvertedPricing[Product Category Description], "")</f>
        <v>22 - TIMBERS/BEAMS/CEDAR</v>
      </c>
      <c r="C95" s="7" t="str">
        <f>_xlfn.XLOOKUP(updatetool_PriceUpdate[[#This Row],[Item ID]], [1]!costsheet_UnconvertedPricing[Item ID], [1]!costsheet_UnconvertedPricing[Minor Category Description], "")</f>
        <v>2201 - HEM/DOUG FIR-TIMBERS/BEAMS</v>
      </c>
      <c r="D95" s="7" t="str" cm="1">
        <f t="array" ref="D95">_xlfn._xlws.FILTER([1]!costsheet_Conversion[[#This Row],[SKU]], [1]!costsheet_Conversion[[#This Row],[SKU]]&lt;&gt;"")</f>
        <v>4620GDF2</v>
      </c>
      <c r="E95" s="7" t="str">
        <f>_xlfn.XLOOKUP(updatetool_PriceUpdate[[#This Row],[Item ID]], [1]!costsheet_UnconvertedPricing[Item ID], [1]!costsheet_UnconvertedPricing[Item Description], "")</f>
        <v>4X6-20' #2&amp;BTR DF GRN</v>
      </c>
      <c r="F95" s="7">
        <f>_xlfn.XLOOKUP(updatetool_PriceUpdate[[#This Row],[Item ID]], [1]!costsheet_Conversion[SKU], [1]!costsheet_Conversion[Sell_UOM], "")</f>
        <v>636.9</v>
      </c>
      <c r="G95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95" s="9"/>
      <c r="I95" s="10" t="str">
        <f>IF(G95="","",INDEX('[1]PRICE SHEET MAP'!$3:$3,1,18+(G95*3)-1))</f>
        <v>AR</v>
      </c>
      <c r="J95" s="11" t="str">
        <f t="shared" si="3"/>
        <v>Will update PL09 → Column AR</v>
      </c>
      <c r="K95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95" s="13">
        <f>_xlfn.XLOOKUP(updatetool_PriceUpdate[[#This Row],[Minor_Category_No]],[1]!reference_Dart[Online Minor Code],[1]!reference_Dart[DART Major Code])</f>
        <v>1</v>
      </c>
      <c r="M95" s="13">
        <f t="shared" si="2"/>
        <v>2201</v>
      </c>
    </row>
    <row r="96" spans="1:13" x14ac:dyDescent="0.35">
      <c r="A96" s="6" t="str">
        <f>_xlfn.XLOOKUP(updatetool_PriceUpdate[[#This Row],[Item ID]], [1]!costsheet_UnconvertedPricing[Item ID], [1]!costsheet_UnconvertedPricing[Pricing Zone], "")</f>
        <v>PORTOR</v>
      </c>
      <c r="B96" s="7" t="str">
        <f>_xlfn.XLOOKUP(updatetool_PriceUpdate[[#This Row],[Item ID]], [1]!costsheet_UnconvertedPricing[Item ID], [1]!costsheet_UnconvertedPricing[Product Category Description], "")</f>
        <v>22 - TIMBERS/BEAMS/CEDAR</v>
      </c>
      <c r="C96" s="7" t="str">
        <f>_xlfn.XLOOKUP(updatetool_PriceUpdate[[#This Row],[Item ID]], [1]!costsheet_UnconvertedPricing[Item ID], [1]!costsheet_UnconvertedPricing[Minor Category Description], "")</f>
        <v>2201 - HEM/DOUG FIR-TIMBERS/BEAMS</v>
      </c>
      <c r="D96" s="7" t="str" cm="1">
        <f t="array" ref="D96">_xlfn._xlws.FILTER([1]!costsheet_Conversion[[#This Row],[SKU]], [1]!costsheet_Conversion[[#This Row],[SKU]]&lt;&gt;"")</f>
        <v>48GDF2</v>
      </c>
      <c r="E96" s="7" t="str">
        <f>_xlfn.XLOOKUP(updatetool_PriceUpdate[[#This Row],[Item ID]], [1]!costsheet_UnconvertedPricing[Item ID], [1]!costsheet_UnconvertedPricing[Item Description], "")</f>
        <v>4X8-RL #2 DF GRN</v>
      </c>
      <c r="F96" s="7">
        <f>_xlfn.XLOOKUP(updatetool_PriceUpdate[[#This Row],[Item ID]], [1]!costsheet_Conversion[SKU], [1]!costsheet_Conversion[Sell_UOM], "")</f>
        <v>809.52</v>
      </c>
      <c r="G96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96" s="9"/>
      <c r="I96" s="10" t="str">
        <f>IF(G96="","",INDEX('[1]PRICE SHEET MAP'!$3:$3,1,18+(G96*3)-1))</f>
        <v>AR</v>
      </c>
      <c r="J96" s="11" t="str">
        <f t="shared" si="3"/>
        <v>Will update PL09 → Column AR</v>
      </c>
      <c r="K96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96" s="13">
        <f>_xlfn.XLOOKUP(updatetool_PriceUpdate[[#This Row],[Minor_Category_No]],[1]!reference_Dart[Online Minor Code],[1]!reference_Dart[DART Major Code])</f>
        <v>1</v>
      </c>
      <c r="M96" s="13">
        <f t="shared" si="2"/>
        <v>2201</v>
      </c>
    </row>
    <row r="97" spans="1:13" x14ac:dyDescent="0.35">
      <c r="A97" s="6" t="str">
        <f>_xlfn.XLOOKUP(updatetool_PriceUpdate[[#This Row],[Item ID]], [1]!costsheet_UnconvertedPricing[Item ID], [1]!costsheet_UnconvertedPricing[Pricing Zone], "")</f>
        <v>PORTOR</v>
      </c>
      <c r="B97" s="7" t="str">
        <f>_xlfn.XLOOKUP(updatetool_PriceUpdate[[#This Row],[Item ID]], [1]!costsheet_UnconvertedPricing[Item ID], [1]!costsheet_UnconvertedPricing[Product Category Description], "")</f>
        <v>22 - TIMBERS/BEAMS/CEDAR</v>
      </c>
      <c r="C97" s="7" t="str">
        <f>_xlfn.XLOOKUP(updatetool_PriceUpdate[[#This Row],[Item ID]], [1]!costsheet_UnconvertedPricing[Item ID], [1]!costsheet_UnconvertedPricing[Minor Category Description], "")</f>
        <v>2201 - HEM/DOUG FIR-TIMBERS/BEAMS</v>
      </c>
      <c r="D97" s="7" t="str" cm="1">
        <f t="array" ref="D97">_xlfn._xlws.FILTER([1]!costsheet_Conversion[[#This Row],[SKU]], [1]!costsheet_Conversion[[#This Row],[SKU]]&lt;&gt;"")</f>
        <v>488GDF2</v>
      </c>
      <c r="E97" s="7" t="str">
        <f>_xlfn.XLOOKUP(updatetool_PriceUpdate[[#This Row],[Item ID]], [1]!costsheet_UnconvertedPricing[Item ID], [1]!costsheet_UnconvertedPricing[Item Description], "")</f>
        <v>4X8-8' #2 DF GRN</v>
      </c>
      <c r="F97" s="7">
        <f>_xlfn.XLOOKUP(updatetool_PriceUpdate[[#This Row],[Item ID]], [1]!costsheet_Conversion[SKU], [1]!costsheet_Conversion[Sell_UOM], "")</f>
        <v>809.52</v>
      </c>
      <c r="G97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97" s="9"/>
      <c r="I97" s="10" t="str">
        <f>IF(G97="","",INDEX('[1]PRICE SHEET MAP'!$3:$3,1,18+(G97*3)-1))</f>
        <v>AR</v>
      </c>
      <c r="J97" s="11" t="str">
        <f t="shared" si="3"/>
        <v>Will update PL09 → Column AR</v>
      </c>
      <c r="K97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97" s="13">
        <f>_xlfn.XLOOKUP(updatetool_PriceUpdate[[#This Row],[Minor_Category_No]],[1]!reference_Dart[Online Minor Code],[1]!reference_Dart[DART Major Code])</f>
        <v>1</v>
      </c>
      <c r="M97" s="13">
        <f t="shared" si="2"/>
        <v>2201</v>
      </c>
    </row>
    <row r="98" spans="1:13" x14ac:dyDescent="0.35">
      <c r="A98" s="6" t="str">
        <f>_xlfn.XLOOKUP(updatetool_PriceUpdate[[#This Row],[Item ID]], [1]!costsheet_UnconvertedPricing[Item ID], [1]!costsheet_UnconvertedPricing[Pricing Zone], "")</f>
        <v>PORTOR</v>
      </c>
      <c r="B98" s="7" t="str">
        <f>_xlfn.XLOOKUP(updatetool_PriceUpdate[[#This Row],[Item ID]], [1]!costsheet_UnconvertedPricing[Item ID], [1]!costsheet_UnconvertedPricing[Product Category Description], "")</f>
        <v>22 - TIMBERS/BEAMS/CEDAR</v>
      </c>
      <c r="C98" s="7" t="str">
        <f>_xlfn.XLOOKUP(updatetool_PriceUpdate[[#This Row],[Item ID]], [1]!costsheet_UnconvertedPricing[Item ID], [1]!costsheet_UnconvertedPricing[Minor Category Description], "")</f>
        <v>2201 - HEM/DOUG FIR-TIMBERS/BEAMS</v>
      </c>
      <c r="D98" s="7" t="str" cm="1">
        <f t="array" ref="D98">_xlfn._xlws.FILTER([1]!costsheet_Conversion[[#This Row],[SKU]], [1]!costsheet_Conversion[[#This Row],[SKU]]&lt;&gt;"")</f>
        <v>4810GDF2</v>
      </c>
      <c r="E98" s="7" t="str">
        <f>_xlfn.XLOOKUP(updatetool_PriceUpdate[[#This Row],[Item ID]], [1]!costsheet_UnconvertedPricing[Item ID], [1]!costsheet_UnconvertedPricing[Item Description], "")</f>
        <v>4X8-10' #2 DF GRN</v>
      </c>
      <c r="F98" s="7">
        <f>_xlfn.XLOOKUP(updatetool_PriceUpdate[[#This Row],[Item ID]], [1]!costsheet_Conversion[SKU], [1]!costsheet_Conversion[Sell_UOM], "")</f>
        <v>809.52</v>
      </c>
      <c r="G98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98" s="9"/>
      <c r="I98" s="10" t="str">
        <f>IF(G98="","",INDEX('[1]PRICE SHEET MAP'!$3:$3,1,18+(G98*3)-1))</f>
        <v>AR</v>
      </c>
      <c r="J98" s="11" t="str">
        <f t="shared" si="3"/>
        <v>Will update PL09 → Column AR</v>
      </c>
      <c r="K98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98" s="13">
        <f>_xlfn.XLOOKUP(updatetool_PriceUpdate[[#This Row],[Minor_Category_No]],[1]!reference_Dart[Online Minor Code],[1]!reference_Dart[DART Major Code])</f>
        <v>1</v>
      </c>
      <c r="M98" s="13">
        <f t="shared" si="2"/>
        <v>2201</v>
      </c>
    </row>
    <row r="99" spans="1:13" x14ac:dyDescent="0.35">
      <c r="A99" s="6" t="str">
        <f>_xlfn.XLOOKUP(updatetool_PriceUpdate[[#This Row],[Item ID]], [1]!costsheet_UnconvertedPricing[Item ID], [1]!costsheet_UnconvertedPricing[Pricing Zone], "")</f>
        <v>PORTOR</v>
      </c>
      <c r="B99" s="7" t="str">
        <f>_xlfn.XLOOKUP(updatetool_PriceUpdate[[#This Row],[Item ID]], [1]!costsheet_UnconvertedPricing[Item ID], [1]!costsheet_UnconvertedPricing[Product Category Description], "")</f>
        <v>22 - TIMBERS/BEAMS/CEDAR</v>
      </c>
      <c r="C99" s="7" t="str">
        <f>_xlfn.XLOOKUP(updatetool_PriceUpdate[[#This Row],[Item ID]], [1]!costsheet_UnconvertedPricing[Item ID], [1]!costsheet_UnconvertedPricing[Minor Category Description], "")</f>
        <v>2201 - HEM/DOUG FIR-TIMBERS/BEAMS</v>
      </c>
      <c r="D99" s="7" t="str" cm="1">
        <f t="array" ref="D99">_xlfn._xlws.FILTER([1]!costsheet_Conversion[[#This Row],[SKU]], [1]!costsheet_Conversion[[#This Row],[SKU]]&lt;&gt;"")</f>
        <v>4812GDF2</v>
      </c>
      <c r="E99" s="7" t="str">
        <f>_xlfn.XLOOKUP(updatetool_PriceUpdate[[#This Row],[Item ID]], [1]!costsheet_UnconvertedPricing[Item ID], [1]!costsheet_UnconvertedPricing[Item Description], "")</f>
        <v>4X8-12' #2 DF GRN</v>
      </c>
      <c r="F99" s="7">
        <f>_xlfn.XLOOKUP(updatetool_PriceUpdate[[#This Row],[Item ID]], [1]!costsheet_Conversion[SKU], [1]!costsheet_Conversion[Sell_UOM], "")</f>
        <v>809.52</v>
      </c>
      <c r="G99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99" s="9"/>
      <c r="I99" s="10" t="str">
        <f>IF(G99="","",INDEX('[1]PRICE SHEET MAP'!$3:$3,1,18+(G99*3)-1))</f>
        <v>AR</v>
      </c>
      <c r="J99" s="11" t="str">
        <f t="shared" si="3"/>
        <v>Will update PL09 → Column AR</v>
      </c>
      <c r="K99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99" s="13">
        <f>_xlfn.XLOOKUP(updatetool_PriceUpdate[[#This Row],[Minor_Category_No]],[1]!reference_Dart[Online Minor Code],[1]!reference_Dart[DART Major Code])</f>
        <v>1</v>
      </c>
      <c r="M99" s="13">
        <f t="shared" si="2"/>
        <v>2201</v>
      </c>
    </row>
    <row r="100" spans="1:13" x14ac:dyDescent="0.35">
      <c r="A100" s="6" t="str">
        <f>_xlfn.XLOOKUP(updatetool_PriceUpdate[[#This Row],[Item ID]], [1]!costsheet_UnconvertedPricing[Item ID], [1]!costsheet_UnconvertedPricing[Pricing Zone], "")</f>
        <v>PORTOR</v>
      </c>
      <c r="B100" s="7" t="str">
        <f>_xlfn.XLOOKUP(updatetool_PriceUpdate[[#This Row],[Item ID]], [1]!costsheet_UnconvertedPricing[Item ID], [1]!costsheet_UnconvertedPricing[Product Category Description], "")</f>
        <v>22 - TIMBERS/BEAMS/CEDAR</v>
      </c>
      <c r="C100" s="7" t="str">
        <f>_xlfn.XLOOKUP(updatetool_PriceUpdate[[#This Row],[Item ID]], [1]!costsheet_UnconvertedPricing[Item ID], [1]!costsheet_UnconvertedPricing[Minor Category Description], "")</f>
        <v>2201 - HEM/DOUG FIR-TIMBERS/BEAMS</v>
      </c>
      <c r="D100" s="7" t="str" cm="1">
        <f t="array" ref="D100">_xlfn._xlws.FILTER([1]!costsheet_Conversion[[#This Row],[SKU]], [1]!costsheet_Conversion[[#This Row],[SKU]]&lt;&gt;"")</f>
        <v>4814GDF2</v>
      </c>
      <c r="E100" s="7" t="str">
        <f>_xlfn.XLOOKUP(updatetool_PriceUpdate[[#This Row],[Item ID]], [1]!costsheet_UnconvertedPricing[Item ID], [1]!costsheet_UnconvertedPricing[Item Description], "")</f>
        <v>4X8-14' #2 DF GRN</v>
      </c>
      <c r="F100" s="7">
        <f>_xlfn.XLOOKUP(updatetool_PriceUpdate[[#This Row],[Item ID]], [1]!costsheet_Conversion[SKU], [1]!costsheet_Conversion[Sell_UOM], "")</f>
        <v>809.52</v>
      </c>
      <c r="G100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00" s="9"/>
      <c r="I100" s="10" t="str">
        <f>IF(G100="","",INDEX('[1]PRICE SHEET MAP'!$3:$3,1,18+(G100*3)-1))</f>
        <v>AR</v>
      </c>
      <c r="J100" s="11" t="str">
        <f t="shared" si="3"/>
        <v>Will update PL09 → Column AR</v>
      </c>
      <c r="K100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00" s="13">
        <f>_xlfn.XLOOKUP(updatetool_PriceUpdate[[#This Row],[Minor_Category_No]],[1]!reference_Dart[Online Minor Code],[1]!reference_Dart[DART Major Code])</f>
        <v>1</v>
      </c>
      <c r="M100" s="13">
        <f t="shared" si="2"/>
        <v>2201</v>
      </c>
    </row>
    <row r="101" spans="1:13" x14ac:dyDescent="0.35">
      <c r="A101" s="6" t="str">
        <f>_xlfn.XLOOKUP(updatetool_PriceUpdate[[#This Row],[Item ID]], [1]!costsheet_UnconvertedPricing[Item ID], [1]!costsheet_UnconvertedPricing[Pricing Zone], "")</f>
        <v>PORTOR</v>
      </c>
      <c r="B101" s="7" t="str">
        <f>_xlfn.XLOOKUP(updatetool_PriceUpdate[[#This Row],[Item ID]], [1]!costsheet_UnconvertedPricing[Item ID], [1]!costsheet_UnconvertedPricing[Product Category Description], "")</f>
        <v>22 - TIMBERS/BEAMS/CEDAR</v>
      </c>
      <c r="C101" s="7" t="str">
        <f>_xlfn.XLOOKUP(updatetool_PriceUpdate[[#This Row],[Item ID]], [1]!costsheet_UnconvertedPricing[Item ID], [1]!costsheet_UnconvertedPricing[Minor Category Description], "")</f>
        <v>2201 - HEM/DOUG FIR-TIMBERS/BEAMS</v>
      </c>
      <c r="D101" s="7" t="str" cm="1">
        <f t="array" ref="D101">_xlfn._xlws.FILTER([1]!costsheet_Conversion[[#This Row],[SKU]], [1]!costsheet_Conversion[[#This Row],[SKU]]&lt;&gt;"")</f>
        <v>4816GDF2</v>
      </c>
      <c r="E101" s="7" t="str">
        <f>_xlfn.XLOOKUP(updatetool_PriceUpdate[[#This Row],[Item ID]], [1]!costsheet_UnconvertedPricing[Item ID], [1]!costsheet_UnconvertedPricing[Item Description], "")</f>
        <v>4X8-16' #2 DF GRN</v>
      </c>
      <c r="F101" s="7">
        <f>_xlfn.XLOOKUP(updatetool_PriceUpdate[[#This Row],[Item ID]], [1]!costsheet_Conversion[SKU], [1]!costsheet_Conversion[Sell_UOM], "")</f>
        <v>809.52</v>
      </c>
      <c r="G101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01" s="9"/>
      <c r="I101" s="10" t="str">
        <f>IF(G101="","",INDEX('[1]PRICE SHEET MAP'!$3:$3,1,18+(G101*3)-1))</f>
        <v>AR</v>
      </c>
      <c r="J101" s="11" t="str">
        <f t="shared" si="3"/>
        <v>Will update PL09 → Column AR</v>
      </c>
      <c r="K101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01" s="13">
        <f>_xlfn.XLOOKUP(updatetool_PriceUpdate[[#This Row],[Minor_Category_No]],[1]!reference_Dart[Online Minor Code],[1]!reference_Dart[DART Major Code])</f>
        <v>1</v>
      </c>
      <c r="M101" s="13">
        <f t="shared" si="2"/>
        <v>2201</v>
      </c>
    </row>
    <row r="102" spans="1:13" x14ac:dyDescent="0.35">
      <c r="A102" s="6" t="str">
        <f>_xlfn.XLOOKUP(updatetool_PriceUpdate[[#This Row],[Item ID]], [1]!costsheet_UnconvertedPricing[Item ID], [1]!costsheet_UnconvertedPricing[Pricing Zone], "")</f>
        <v>PORTOR</v>
      </c>
      <c r="B102" s="7" t="str">
        <f>_xlfn.XLOOKUP(updatetool_PriceUpdate[[#This Row],[Item ID]], [1]!costsheet_UnconvertedPricing[Item ID], [1]!costsheet_UnconvertedPricing[Product Category Description], "")</f>
        <v>22 - TIMBERS/BEAMS/CEDAR</v>
      </c>
      <c r="C102" s="7" t="str">
        <f>_xlfn.XLOOKUP(updatetool_PriceUpdate[[#This Row],[Item ID]], [1]!costsheet_UnconvertedPricing[Item ID], [1]!costsheet_UnconvertedPricing[Minor Category Description], "")</f>
        <v>2201 - HEM/DOUG FIR-TIMBERS/BEAMS</v>
      </c>
      <c r="D102" s="7" t="str" cm="1">
        <f t="array" ref="D102">_xlfn._xlws.FILTER([1]!costsheet_Conversion[[#This Row],[SKU]], [1]!costsheet_Conversion[[#This Row],[SKU]]&lt;&gt;"")</f>
        <v>4820GDF2</v>
      </c>
      <c r="E102" s="7" t="str">
        <f>_xlfn.XLOOKUP(updatetool_PriceUpdate[[#This Row],[Item ID]], [1]!costsheet_UnconvertedPricing[Item ID], [1]!costsheet_UnconvertedPricing[Item Description], "")</f>
        <v>4X8-20' #2 DF GRN</v>
      </c>
      <c r="F102" s="7">
        <f>_xlfn.XLOOKUP(updatetool_PriceUpdate[[#This Row],[Item ID]], [1]!costsheet_Conversion[SKU], [1]!costsheet_Conversion[Sell_UOM], "")</f>
        <v>809.52</v>
      </c>
      <c r="G102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02" s="9"/>
      <c r="I102" s="10" t="str">
        <f>IF(G102="","",INDEX('[1]PRICE SHEET MAP'!$3:$3,1,18+(G102*3)-1))</f>
        <v>AR</v>
      </c>
      <c r="J102" s="11" t="str">
        <f t="shared" si="3"/>
        <v>Will update PL09 → Column AR</v>
      </c>
      <c r="K102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02" s="13">
        <f>_xlfn.XLOOKUP(updatetool_PriceUpdate[[#This Row],[Minor_Category_No]],[1]!reference_Dart[Online Minor Code],[1]!reference_Dart[DART Major Code])</f>
        <v>1</v>
      </c>
      <c r="M102" s="13">
        <f t="shared" si="2"/>
        <v>2201</v>
      </c>
    </row>
    <row r="103" spans="1:13" x14ac:dyDescent="0.35">
      <c r="A103" s="6" t="str">
        <f>_xlfn.XLOOKUP(updatetool_PriceUpdate[[#This Row],[Item ID]], [1]!costsheet_UnconvertedPricing[Item ID], [1]!costsheet_UnconvertedPricing[Pricing Zone], "")</f>
        <v>PORTOR</v>
      </c>
      <c r="B103" s="7" t="str">
        <f>_xlfn.XLOOKUP(updatetool_PriceUpdate[[#This Row],[Item ID]], [1]!costsheet_UnconvertedPricing[Item ID], [1]!costsheet_UnconvertedPricing[Product Category Description], "")</f>
        <v>22 - TIMBERS/BEAMS/CEDAR</v>
      </c>
      <c r="C103" s="7" t="str">
        <f>_xlfn.XLOOKUP(updatetool_PriceUpdate[[#This Row],[Item ID]], [1]!costsheet_UnconvertedPricing[Item ID], [1]!costsheet_UnconvertedPricing[Minor Category Description], "")</f>
        <v>2201 - HEM/DOUG FIR-TIMBERS/BEAMS</v>
      </c>
      <c r="D103" s="7" t="str" cm="1">
        <f t="array" ref="D103">_xlfn._xlws.FILTER([1]!costsheet_Conversion[[#This Row],[SKU]], [1]!costsheet_Conversion[[#This Row],[SKU]]&lt;&gt;"")</f>
        <v>410GDF2</v>
      </c>
      <c r="E103" s="7" t="str">
        <f>_xlfn.XLOOKUP(updatetool_PriceUpdate[[#This Row],[Item ID]], [1]!costsheet_UnconvertedPricing[Item ID], [1]!costsheet_UnconvertedPricing[Item Description], "")</f>
        <v>4X10-RL #2 DF GRN</v>
      </c>
      <c r="F103" s="7">
        <f>_xlfn.XLOOKUP(updatetool_PriceUpdate[[#This Row],[Item ID]], [1]!costsheet_Conversion[SKU], [1]!costsheet_Conversion[Sell_UOM], "")</f>
        <v>809.52</v>
      </c>
      <c r="G103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03" s="9"/>
      <c r="I103" s="10" t="str">
        <f>IF(G103="","",INDEX('[1]PRICE SHEET MAP'!$3:$3,1,18+(G103*3)-1))</f>
        <v>AR</v>
      </c>
      <c r="J103" s="11" t="str">
        <f t="shared" si="3"/>
        <v>Will update PL09 → Column AR</v>
      </c>
      <c r="K103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03" s="13">
        <f>_xlfn.XLOOKUP(updatetool_PriceUpdate[[#This Row],[Minor_Category_No]],[1]!reference_Dart[Online Minor Code],[1]!reference_Dart[DART Major Code])</f>
        <v>1</v>
      </c>
      <c r="M103" s="13">
        <f t="shared" si="2"/>
        <v>2201</v>
      </c>
    </row>
    <row r="104" spans="1:13" x14ac:dyDescent="0.35">
      <c r="A104" s="6" t="str">
        <f>_xlfn.XLOOKUP(updatetool_PriceUpdate[[#This Row],[Item ID]], [1]!costsheet_UnconvertedPricing[Item ID], [1]!costsheet_UnconvertedPricing[Pricing Zone], "")</f>
        <v>PORTOR</v>
      </c>
      <c r="B104" s="7" t="str">
        <f>_xlfn.XLOOKUP(updatetool_PriceUpdate[[#This Row],[Item ID]], [1]!costsheet_UnconvertedPricing[Item ID], [1]!costsheet_UnconvertedPricing[Product Category Description], "")</f>
        <v>22 - TIMBERS/BEAMS/CEDAR</v>
      </c>
      <c r="C104" s="7" t="str">
        <f>_xlfn.XLOOKUP(updatetool_PriceUpdate[[#This Row],[Item ID]], [1]!costsheet_UnconvertedPricing[Item ID], [1]!costsheet_UnconvertedPricing[Minor Category Description], "")</f>
        <v>2201 - HEM/DOUG FIR-TIMBERS/BEAMS</v>
      </c>
      <c r="D104" s="7" t="str" cm="1">
        <f t="array" ref="D104">_xlfn._xlws.FILTER([1]!costsheet_Conversion[[#This Row],[SKU]], [1]!costsheet_Conversion[[#This Row],[SKU]]&lt;&gt;"")</f>
        <v>4108GDF2</v>
      </c>
      <c r="E104" s="7" t="str">
        <f>_xlfn.XLOOKUP(updatetool_PriceUpdate[[#This Row],[Item ID]], [1]!costsheet_UnconvertedPricing[Item ID], [1]!costsheet_UnconvertedPricing[Item Description], "")</f>
        <v>4X10-8' #2 DF GRN</v>
      </c>
      <c r="F104" s="7">
        <f>_xlfn.XLOOKUP(updatetool_PriceUpdate[[#This Row],[Item ID]], [1]!costsheet_Conversion[SKU], [1]!costsheet_Conversion[Sell_UOM], "")</f>
        <v>809.52</v>
      </c>
      <c r="G104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04" s="9"/>
      <c r="I104" s="10" t="str">
        <f>IF(G104="","",INDEX('[1]PRICE SHEET MAP'!$3:$3,1,18+(G104*3)-1))</f>
        <v>AR</v>
      </c>
      <c r="J104" s="11" t="str">
        <f t="shared" si="3"/>
        <v>Will update PL09 → Column AR</v>
      </c>
      <c r="K104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04" s="13">
        <f>_xlfn.XLOOKUP(updatetool_PriceUpdate[[#This Row],[Minor_Category_No]],[1]!reference_Dart[Online Minor Code],[1]!reference_Dart[DART Major Code])</f>
        <v>1</v>
      </c>
      <c r="M104" s="13">
        <f t="shared" si="2"/>
        <v>2201</v>
      </c>
    </row>
    <row r="105" spans="1:13" x14ac:dyDescent="0.35">
      <c r="A105" s="6" t="str">
        <f>_xlfn.XLOOKUP(updatetool_PriceUpdate[[#This Row],[Item ID]], [1]!costsheet_UnconvertedPricing[Item ID], [1]!costsheet_UnconvertedPricing[Pricing Zone], "")</f>
        <v>PORTOR</v>
      </c>
      <c r="B105" s="7" t="str">
        <f>_xlfn.XLOOKUP(updatetool_PriceUpdate[[#This Row],[Item ID]], [1]!costsheet_UnconvertedPricing[Item ID], [1]!costsheet_UnconvertedPricing[Product Category Description], "")</f>
        <v>22 - TIMBERS/BEAMS/CEDAR</v>
      </c>
      <c r="C105" s="7" t="str">
        <f>_xlfn.XLOOKUP(updatetool_PriceUpdate[[#This Row],[Item ID]], [1]!costsheet_UnconvertedPricing[Item ID], [1]!costsheet_UnconvertedPricing[Minor Category Description], "")</f>
        <v>2201 - HEM/DOUG FIR-TIMBERS/BEAMS</v>
      </c>
      <c r="D105" s="7" t="str" cm="1">
        <f t="array" ref="D105">_xlfn._xlws.FILTER([1]!costsheet_Conversion[[#This Row],[SKU]], [1]!costsheet_Conversion[[#This Row],[SKU]]&lt;&gt;"")</f>
        <v>41010GDF2</v>
      </c>
      <c r="E105" s="7" t="str">
        <f>_xlfn.XLOOKUP(updatetool_PriceUpdate[[#This Row],[Item ID]], [1]!costsheet_UnconvertedPricing[Item ID], [1]!costsheet_UnconvertedPricing[Item Description], "")</f>
        <v>4X10-10' #2 DF GRN</v>
      </c>
      <c r="F105" s="7">
        <f>_xlfn.XLOOKUP(updatetool_PriceUpdate[[#This Row],[Item ID]], [1]!costsheet_Conversion[SKU], [1]!costsheet_Conversion[Sell_UOM], "")</f>
        <v>809.52</v>
      </c>
      <c r="G105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05" s="9"/>
      <c r="I105" s="10" t="str">
        <f>IF(G105="","",INDEX('[1]PRICE SHEET MAP'!$3:$3,1,18+(G105*3)-1))</f>
        <v>AR</v>
      </c>
      <c r="J105" s="11" t="str">
        <f t="shared" si="3"/>
        <v>Will update PL09 → Column AR</v>
      </c>
      <c r="K105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05" s="13">
        <f>_xlfn.XLOOKUP(updatetool_PriceUpdate[[#This Row],[Minor_Category_No]],[1]!reference_Dart[Online Minor Code],[1]!reference_Dart[DART Major Code])</f>
        <v>1</v>
      </c>
      <c r="M105" s="13">
        <f t="shared" si="2"/>
        <v>2201</v>
      </c>
    </row>
    <row r="106" spans="1:13" x14ac:dyDescent="0.35">
      <c r="A106" s="6" t="str">
        <f>_xlfn.XLOOKUP(updatetool_PriceUpdate[[#This Row],[Item ID]], [1]!costsheet_UnconvertedPricing[Item ID], [1]!costsheet_UnconvertedPricing[Pricing Zone], "")</f>
        <v>PORTOR</v>
      </c>
      <c r="B106" s="7" t="str">
        <f>_xlfn.XLOOKUP(updatetool_PriceUpdate[[#This Row],[Item ID]], [1]!costsheet_UnconvertedPricing[Item ID], [1]!costsheet_UnconvertedPricing[Product Category Description], "")</f>
        <v>22 - TIMBERS/BEAMS/CEDAR</v>
      </c>
      <c r="C106" s="7" t="str">
        <f>_xlfn.XLOOKUP(updatetool_PriceUpdate[[#This Row],[Item ID]], [1]!costsheet_UnconvertedPricing[Item ID], [1]!costsheet_UnconvertedPricing[Minor Category Description], "")</f>
        <v>2201 - HEM/DOUG FIR-TIMBERS/BEAMS</v>
      </c>
      <c r="D106" s="7" t="str" cm="1">
        <f t="array" ref="D106">_xlfn._xlws.FILTER([1]!costsheet_Conversion[[#This Row],[SKU]], [1]!costsheet_Conversion[[#This Row],[SKU]]&lt;&gt;"")</f>
        <v>41012GDF2</v>
      </c>
      <c r="E106" s="7" t="str">
        <f>_xlfn.XLOOKUP(updatetool_PriceUpdate[[#This Row],[Item ID]], [1]!costsheet_UnconvertedPricing[Item ID], [1]!costsheet_UnconvertedPricing[Item Description], "")</f>
        <v>4X10-12' #2 DF GRN</v>
      </c>
      <c r="F106" s="7">
        <f>_xlfn.XLOOKUP(updatetool_PriceUpdate[[#This Row],[Item ID]], [1]!costsheet_Conversion[SKU], [1]!costsheet_Conversion[Sell_UOM], "")</f>
        <v>809.52</v>
      </c>
      <c r="G106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06" s="9"/>
      <c r="I106" s="10" t="str">
        <f>IF(G106="","",INDEX('[1]PRICE SHEET MAP'!$3:$3,1,18+(G106*3)-1))</f>
        <v>AR</v>
      </c>
      <c r="J106" s="11" t="str">
        <f t="shared" si="3"/>
        <v>Will update PL09 → Column AR</v>
      </c>
      <c r="K106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06" s="13">
        <f>_xlfn.XLOOKUP(updatetool_PriceUpdate[[#This Row],[Minor_Category_No]],[1]!reference_Dart[Online Minor Code],[1]!reference_Dart[DART Major Code])</f>
        <v>1</v>
      </c>
      <c r="M106" s="13">
        <f t="shared" si="2"/>
        <v>2201</v>
      </c>
    </row>
    <row r="107" spans="1:13" x14ac:dyDescent="0.35">
      <c r="A107" s="6" t="str">
        <f>_xlfn.XLOOKUP(updatetool_PriceUpdate[[#This Row],[Item ID]], [1]!costsheet_UnconvertedPricing[Item ID], [1]!costsheet_UnconvertedPricing[Pricing Zone], "")</f>
        <v>PORTOR</v>
      </c>
      <c r="B107" s="7" t="str">
        <f>_xlfn.XLOOKUP(updatetool_PriceUpdate[[#This Row],[Item ID]], [1]!costsheet_UnconvertedPricing[Item ID], [1]!costsheet_UnconvertedPricing[Product Category Description], "")</f>
        <v>22 - TIMBERS/BEAMS/CEDAR</v>
      </c>
      <c r="C107" s="7" t="str">
        <f>_xlfn.XLOOKUP(updatetool_PriceUpdate[[#This Row],[Item ID]], [1]!costsheet_UnconvertedPricing[Item ID], [1]!costsheet_UnconvertedPricing[Minor Category Description], "")</f>
        <v>2201 - HEM/DOUG FIR-TIMBERS/BEAMS</v>
      </c>
      <c r="D107" s="7" t="str" cm="1">
        <f t="array" ref="D107">_xlfn._xlws.FILTER([1]!costsheet_Conversion[[#This Row],[SKU]], [1]!costsheet_Conversion[[#This Row],[SKU]]&lt;&gt;"")</f>
        <v>41014GDF2</v>
      </c>
      <c r="E107" s="7" t="str">
        <f>_xlfn.XLOOKUP(updatetool_PriceUpdate[[#This Row],[Item ID]], [1]!costsheet_UnconvertedPricing[Item ID], [1]!costsheet_UnconvertedPricing[Item Description], "")</f>
        <v>4X10-14' #2 DF GRN</v>
      </c>
      <c r="F107" s="7">
        <f>_xlfn.XLOOKUP(updatetool_PriceUpdate[[#This Row],[Item ID]], [1]!costsheet_Conversion[SKU], [1]!costsheet_Conversion[Sell_UOM], "")</f>
        <v>809.52</v>
      </c>
      <c r="G107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07" s="9"/>
      <c r="I107" s="10" t="str">
        <f>IF(G107="","",INDEX('[1]PRICE SHEET MAP'!$3:$3,1,18+(G107*3)-1))</f>
        <v>AR</v>
      </c>
      <c r="J107" s="11" t="str">
        <f t="shared" si="3"/>
        <v>Will update PL09 → Column AR</v>
      </c>
      <c r="K107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07" s="13">
        <f>_xlfn.XLOOKUP(updatetool_PriceUpdate[[#This Row],[Minor_Category_No]],[1]!reference_Dart[Online Minor Code],[1]!reference_Dart[DART Major Code])</f>
        <v>1</v>
      </c>
      <c r="M107" s="13">
        <f t="shared" si="2"/>
        <v>2201</v>
      </c>
    </row>
    <row r="108" spans="1:13" x14ac:dyDescent="0.35">
      <c r="A108" s="6" t="str">
        <f>_xlfn.XLOOKUP(updatetool_PriceUpdate[[#This Row],[Item ID]], [1]!costsheet_UnconvertedPricing[Item ID], [1]!costsheet_UnconvertedPricing[Pricing Zone], "")</f>
        <v>PORTOR</v>
      </c>
      <c r="B108" s="7" t="str">
        <f>_xlfn.XLOOKUP(updatetool_PriceUpdate[[#This Row],[Item ID]], [1]!costsheet_UnconvertedPricing[Item ID], [1]!costsheet_UnconvertedPricing[Product Category Description], "")</f>
        <v>22 - TIMBERS/BEAMS/CEDAR</v>
      </c>
      <c r="C108" s="7" t="str">
        <f>_xlfn.XLOOKUP(updatetool_PriceUpdate[[#This Row],[Item ID]], [1]!costsheet_UnconvertedPricing[Item ID], [1]!costsheet_UnconvertedPricing[Minor Category Description], "")</f>
        <v>2201 - HEM/DOUG FIR-TIMBERS/BEAMS</v>
      </c>
      <c r="D108" s="7" t="str" cm="1">
        <f t="array" ref="D108">_xlfn._xlws.FILTER([1]!costsheet_Conversion[[#This Row],[SKU]], [1]!costsheet_Conversion[[#This Row],[SKU]]&lt;&gt;"")</f>
        <v>41016GDF2</v>
      </c>
      <c r="E108" s="7" t="str">
        <f>_xlfn.XLOOKUP(updatetool_PriceUpdate[[#This Row],[Item ID]], [1]!costsheet_UnconvertedPricing[Item ID], [1]!costsheet_UnconvertedPricing[Item Description], "")</f>
        <v>4X10-16' #2 DF GRN</v>
      </c>
      <c r="F108" s="7">
        <f>_xlfn.XLOOKUP(updatetool_PriceUpdate[[#This Row],[Item ID]], [1]!costsheet_Conversion[SKU], [1]!costsheet_Conversion[Sell_UOM], "")</f>
        <v>809.52</v>
      </c>
      <c r="G108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08" s="9"/>
      <c r="I108" s="10" t="str">
        <f>IF(G108="","",INDEX('[1]PRICE SHEET MAP'!$3:$3,1,18+(G108*3)-1))</f>
        <v>AR</v>
      </c>
      <c r="J108" s="11" t="str">
        <f t="shared" si="3"/>
        <v>Will update PL09 → Column AR</v>
      </c>
      <c r="K108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08" s="13">
        <f>_xlfn.XLOOKUP(updatetool_PriceUpdate[[#This Row],[Minor_Category_No]],[1]!reference_Dart[Online Minor Code],[1]!reference_Dart[DART Major Code])</f>
        <v>1</v>
      </c>
      <c r="M108" s="13">
        <f t="shared" si="2"/>
        <v>2201</v>
      </c>
    </row>
    <row r="109" spans="1:13" x14ac:dyDescent="0.35">
      <c r="A109" s="6" t="str">
        <f>_xlfn.XLOOKUP(updatetool_PriceUpdate[[#This Row],[Item ID]], [1]!costsheet_UnconvertedPricing[Item ID], [1]!costsheet_UnconvertedPricing[Pricing Zone], "")</f>
        <v>PORTOR</v>
      </c>
      <c r="B109" s="7" t="str">
        <f>_xlfn.XLOOKUP(updatetool_PriceUpdate[[#This Row],[Item ID]], [1]!costsheet_UnconvertedPricing[Item ID], [1]!costsheet_UnconvertedPricing[Product Category Description], "")</f>
        <v>22 - TIMBERS/BEAMS/CEDAR</v>
      </c>
      <c r="C109" s="7" t="str">
        <f>_xlfn.XLOOKUP(updatetool_PriceUpdate[[#This Row],[Item ID]], [1]!costsheet_UnconvertedPricing[Item ID], [1]!costsheet_UnconvertedPricing[Minor Category Description], "")</f>
        <v>2201 - HEM/DOUG FIR-TIMBERS/BEAMS</v>
      </c>
      <c r="D109" s="7" t="str" cm="1">
        <f t="array" ref="D109">_xlfn._xlws.FILTER([1]!costsheet_Conversion[[#This Row],[SKU]], [1]!costsheet_Conversion[[#This Row],[SKU]]&lt;&gt;"")</f>
        <v>41020GDF2</v>
      </c>
      <c r="E109" s="7" t="str">
        <f>_xlfn.XLOOKUP(updatetool_PriceUpdate[[#This Row],[Item ID]], [1]!costsheet_UnconvertedPricing[Item ID], [1]!costsheet_UnconvertedPricing[Item Description], "")</f>
        <v>4X10-20' #2 DF GRN</v>
      </c>
      <c r="F109" s="7">
        <f>_xlfn.XLOOKUP(updatetool_PriceUpdate[[#This Row],[Item ID]], [1]!costsheet_Conversion[SKU], [1]!costsheet_Conversion[Sell_UOM], "")</f>
        <v>809.52</v>
      </c>
      <c r="G109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09" s="9"/>
      <c r="I109" s="10" t="str">
        <f>IF(G109="","",INDEX('[1]PRICE SHEET MAP'!$3:$3,1,18+(G109*3)-1))</f>
        <v>AR</v>
      </c>
      <c r="J109" s="11" t="str">
        <f t="shared" si="3"/>
        <v>Will update PL09 → Column AR</v>
      </c>
      <c r="K109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09" s="13">
        <f>_xlfn.XLOOKUP(updatetool_PriceUpdate[[#This Row],[Minor_Category_No]],[1]!reference_Dart[Online Minor Code],[1]!reference_Dart[DART Major Code])</f>
        <v>1</v>
      </c>
      <c r="M109" s="13">
        <f t="shared" si="2"/>
        <v>2201</v>
      </c>
    </row>
    <row r="110" spans="1:13" x14ac:dyDescent="0.35">
      <c r="A110" s="6" t="str">
        <f>_xlfn.XLOOKUP(updatetool_PriceUpdate[[#This Row],[Item ID]], [1]!costsheet_UnconvertedPricing[Item ID], [1]!costsheet_UnconvertedPricing[Pricing Zone], "")</f>
        <v>PORTOR</v>
      </c>
      <c r="B110" s="7" t="str">
        <f>_xlfn.XLOOKUP(updatetool_PriceUpdate[[#This Row],[Item ID]], [1]!costsheet_UnconvertedPricing[Item ID], [1]!costsheet_UnconvertedPricing[Product Category Description], "")</f>
        <v>22 - TIMBERS/BEAMS/CEDAR</v>
      </c>
      <c r="C110" s="7" t="str">
        <f>_xlfn.XLOOKUP(updatetool_PriceUpdate[[#This Row],[Item ID]], [1]!costsheet_UnconvertedPricing[Item ID], [1]!costsheet_UnconvertedPricing[Minor Category Description], "")</f>
        <v>2201 - HEM/DOUG FIR-TIMBERS/BEAMS</v>
      </c>
      <c r="D110" s="7" t="str" cm="1">
        <f t="array" ref="D110">_xlfn._xlws.FILTER([1]!costsheet_Conversion[[#This Row],[SKU]], [1]!costsheet_Conversion[[#This Row],[SKU]]&lt;&gt;"")</f>
        <v>412GDF2</v>
      </c>
      <c r="E110" s="7" t="str">
        <f>_xlfn.XLOOKUP(updatetool_PriceUpdate[[#This Row],[Item ID]], [1]!costsheet_UnconvertedPricing[Item ID], [1]!costsheet_UnconvertedPricing[Item Description], "")</f>
        <v>4X12-RL #2 DF GRN</v>
      </c>
      <c r="F110" s="7">
        <f>_xlfn.XLOOKUP(updatetool_PriceUpdate[[#This Row],[Item ID]], [1]!costsheet_Conversion[SKU], [1]!costsheet_Conversion[Sell_UOM], "")</f>
        <v>732.14</v>
      </c>
      <c r="G110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10" s="9"/>
      <c r="I110" s="10" t="str">
        <f>IF(G110="","",INDEX('[1]PRICE SHEET MAP'!$3:$3,1,18+(G110*3)-1))</f>
        <v>AR</v>
      </c>
      <c r="J110" s="11" t="str">
        <f t="shared" si="3"/>
        <v>Will update PL09 → Column AR</v>
      </c>
      <c r="K110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10" s="13">
        <f>_xlfn.XLOOKUP(updatetool_PriceUpdate[[#This Row],[Minor_Category_No]],[1]!reference_Dart[Online Minor Code],[1]!reference_Dart[DART Major Code])</f>
        <v>1</v>
      </c>
      <c r="M110" s="13">
        <f t="shared" si="2"/>
        <v>2201</v>
      </c>
    </row>
    <row r="111" spans="1:13" x14ac:dyDescent="0.35">
      <c r="A111" s="6" t="str">
        <f>_xlfn.XLOOKUP(updatetool_PriceUpdate[[#This Row],[Item ID]], [1]!costsheet_UnconvertedPricing[Item ID], [1]!costsheet_UnconvertedPricing[Pricing Zone], "")</f>
        <v>PORTOR</v>
      </c>
      <c r="B111" s="7" t="str">
        <f>_xlfn.XLOOKUP(updatetool_PriceUpdate[[#This Row],[Item ID]], [1]!costsheet_UnconvertedPricing[Item ID], [1]!costsheet_UnconvertedPricing[Product Category Description], "")</f>
        <v>22 - TIMBERS/BEAMS/CEDAR</v>
      </c>
      <c r="C111" s="7" t="str">
        <f>_xlfn.XLOOKUP(updatetool_PriceUpdate[[#This Row],[Item ID]], [1]!costsheet_UnconvertedPricing[Item ID], [1]!costsheet_UnconvertedPricing[Minor Category Description], "")</f>
        <v>2201 - HEM/DOUG FIR-TIMBERS/BEAMS</v>
      </c>
      <c r="D111" s="7" t="str" cm="1">
        <f t="array" ref="D111">_xlfn._xlws.FILTER([1]!costsheet_Conversion[[#This Row],[SKU]], [1]!costsheet_Conversion[[#This Row],[SKU]]&lt;&gt;"")</f>
        <v>4128GDF2</v>
      </c>
      <c r="E111" s="7" t="str">
        <f>_xlfn.XLOOKUP(updatetool_PriceUpdate[[#This Row],[Item ID]], [1]!costsheet_UnconvertedPricing[Item ID], [1]!costsheet_UnconvertedPricing[Item Description], "")</f>
        <v>4X12-8' #2&amp;BTR DF GRN</v>
      </c>
      <c r="F111" s="7">
        <f>_xlfn.XLOOKUP(updatetool_PriceUpdate[[#This Row],[Item ID]], [1]!costsheet_Conversion[SKU], [1]!costsheet_Conversion[Sell_UOM], "")</f>
        <v>732.14</v>
      </c>
      <c r="G111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11" s="9"/>
      <c r="I111" s="10" t="str">
        <f>IF(G111="","",INDEX('[1]PRICE SHEET MAP'!$3:$3,1,18+(G111*3)-1))</f>
        <v>AR</v>
      </c>
      <c r="J111" s="11" t="str">
        <f t="shared" si="3"/>
        <v>Will update PL09 → Column AR</v>
      </c>
      <c r="K111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11" s="13">
        <f>_xlfn.XLOOKUP(updatetool_PriceUpdate[[#This Row],[Minor_Category_No]],[1]!reference_Dart[Online Minor Code],[1]!reference_Dart[DART Major Code])</f>
        <v>1</v>
      </c>
      <c r="M111" s="13">
        <f t="shared" si="2"/>
        <v>2201</v>
      </c>
    </row>
    <row r="112" spans="1:13" x14ac:dyDescent="0.35">
      <c r="A112" s="6" t="str">
        <f>_xlfn.XLOOKUP(updatetool_PriceUpdate[[#This Row],[Item ID]], [1]!costsheet_UnconvertedPricing[Item ID], [1]!costsheet_UnconvertedPricing[Pricing Zone], "")</f>
        <v>PORTOR</v>
      </c>
      <c r="B112" s="7" t="str">
        <f>_xlfn.XLOOKUP(updatetool_PriceUpdate[[#This Row],[Item ID]], [1]!costsheet_UnconvertedPricing[Item ID], [1]!costsheet_UnconvertedPricing[Product Category Description], "")</f>
        <v>22 - TIMBERS/BEAMS/CEDAR</v>
      </c>
      <c r="C112" s="7" t="str">
        <f>_xlfn.XLOOKUP(updatetool_PriceUpdate[[#This Row],[Item ID]], [1]!costsheet_UnconvertedPricing[Item ID], [1]!costsheet_UnconvertedPricing[Minor Category Description], "")</f>
        <v>2201 - HEM/DOUG FIR-TIMBERS/BEAMS</v>
      </c>
      <c r="D112" s="7" t="str" cm="1">
        <f t="array" ref="D112">_xlfn._xlws.FILTER([1]!costsheet_Conversion[[#This Row],[SKU]], [1]!costsheet_Conversion[[#This Row],[SKU]]&lt;&gt;"")</f>
        <v>41210GDF2</v>
      </c>
      <c r="E112" s="7" t="str">
        <f>_xlfn.XLOOKUP(updatetool_PriceUpdate[[#This Row],[Item ID]], [1]!costsheet_UnconvertedPricing[Item ID], [1]!costsheet_UnconvertedPricing[Item Description], "")</f>
        <v>4X12-10' #2&amp;BTR DF GRN</v>
      </c>
      <c r="F112" s="7">
        <f>_xlfn.XLOOKUP(updatetool_PriceUpdate[[#This Row],[Item ID]], [1]!costsheet_Conversion[SKU], [1]!costsheet_Conversion[Sell_UOM], "")</f>
        <v>732.14</v>
      </c>
      <c r="G112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12" s="9"/>
      <c r="I112" s="10" t="str">
        <f>IF(G112="","",INDEX('[1]PRICE SHEET MAP'!$3:$3,1,18+(G112*3)-1))</f>
        <v>AR</v>
      </c>
      <c r="J112" s="11" t="str">
        <f t="shared" si="3"/>
        <v>Will update PL09 → Column AR</v>
      </c>
      <c r="K112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12" s="13">
        <f>_xlfn.XLOOKUP(updatetool_PriceUpdate[[#This Row],[Minor_Category_No]],[1]!reference_Dart[Online Minor Code],[1]!reference_Dart[DART Major Code])</f>
        <v>1</v>
      </c>
      <c r="M112" s="13">
        <f t="shared" si="2"/>
        <v>2201</v>
      </c>
    </row>
    <row r="113" spans="1:13" x14ac:dyDescent="0.35">
      <c r="A113" s="6" t="str">
        <f>_xlfn.XLOOKUP(updatetool_PriceUpdate[[#This Row],[Item ID]], [1]!costsheet_UnconvertedPricing[Item ID], [1]!costsheet_UnconvertedPricing[Pricing Zone], "")</f>
        <v>PORTOR</v>
      </c>
      <c r="B113" s="7" t="str">
        <f>_xlfn.XLOOKUP(updatetool_PriceUpdate[[#This Row],[Item ID]], [1]!costsheet_UnconvertedPricing[Item ID], [1]!costsheet_UnconvertedPricing[Product Category Description], "")</f>
        <v>22 - TIMBERS/BEAMS/CEDAR</v>
      </c>
      <c r="C113" s="7" t="str">
        <f>_xlfn.XLOOKUP(updatetool_PriceUpdate[[#This Row],[Item ID]], [1]!costsheet_UnconvertedPricing[Item ID], [1]!costsheet_UnconvertedPricing[Minor Category Description], "")</f>
        <v>2201 - HEM/DOUG FIR-TIMBERS/BEAMS</v>
      </c>
      <c r="D113" s="7" t="str" cm="1">
        <f t="array" ref="D113">_xlfn._xlws.FILTER([1]!costsheet_Conversion[[#This Row],[SKU]], [1]!costsheet_Conversion[[#This Row],[SKU]]&lt;&gt;"")</f>
        <v>41212GDF2</v>
      </c>
      <c r="E113" s="7" t="str">
        <f>_xlfn.XLOOKUP(updatetool_PriceUpdate[[#This Row],[Item ID]], [1]!costsheet_UnconvertedPricing[Item ID], [1]!costsheet_UnconvertedPricing[Item Description], "")</f>
        <v>4X12-12' #2&amp;BTR DF GRN</v>
      </c>
      <c r="F113" s="7">
        <f>_xlfn.XLOOKUP(updatetool_PriceUpdate[[#This Row],[Item ID]], [1]!costsheet_Conversion[SKU], [1]!costsheet_Conversion[Sell_UOM], "")</f>
        <v>732.14</v>
      </c>
      <c r="G113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13" s="9"/>
      <c r="I113" s="10" t="str">
        <f>IF(G113="","",INDEX('[1]PRICE SHEET MAP'!$3:$3,1,18+(G113*3)-1))</f>
        <v>AR</v>
      </c>
      <c r="J113" s="11" t="str">
        <f t="shared" si="3"/>
        <v>Will update PL09 → Column AR</v>
      </c>
      <c r="K113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13" s="13">
        <f>_xlfn.XLOOKUP(updatetool_PriceUpdate[[#This Row],[Minor_Category_No]],[1]!reference_Dart[Online Minor Code],[1]!reference_Dart[DART Major Code])</f>
        <v>1</v>
      </c>
      <c r="M113" s="13">
        <f t="shared" si="2"/>
        <v>2201</v>
      </c>
    </row>
    <row r="114" spans="1:13" x14ac:dyDescent="0.35">
      <c r="A114" s="6" t="str">
        <f>_xlfn.XLOOKUP(updatetool_PriceUpdate[[#This Row],[Item ID]], [1]!costsheet_UnconvertedPricing[Item ID], [1]!costsheet_UnconvertedPricing[Pricing Zone], "")</f>
        <v>PORTOR</v>
      </c>
      <c r="B114" s="7" t="str">
        <f>_xlfn.XLOOKUP(updatetool_PriceUpdate[[#This Row],[Item ID]], [1]!costsheet_UnconvertedPricing[Item ID], [1]!costsheet_UnconvertedPricing[Product Category Description], "")</f>
        <v>22 - TIMBERS/BEAMS/CEDAR</v>
      </c>
      <c r="C114" s="7" t="str">
        <f>_xlfn.XLOOKUP(updatetool_PriceUpdate[[#This Row],[Item ID]], [1]!costsheet_UnconvertedPricing[Item ID], [1]!costsheet_UnconvertedPricing[Minor Category Description], "")</f>
        <v>2201 - HEM/DOUG FIR-TIMBERS/BEAMS</v>
      </c>
      <c r="D114" s="7" t="str" cm="1">
        <f t="array" ref="D114">_xlfn._xlws.FILTER([1]!costsheet_Conversion[[#This Row],[SKU]], [1]!costsheet_Conversion[[#This Row],[SKU]]&lt;&gt;"")</f>
        <v>41214GDF2</v>
      </c>
      <c r="E114" s="7" t="str">
        <f>_xlfn.XLOOKUP(updatetool_PriceUpdate[[#This Row],[Item ID]], [1]!costsheet_UnconvertedPricing[Item ID], [1]!costsheet_UnconvertedPricing[Item Description], "")</f>
        <v>4X12-14' #2&amp;BTR DF GRN</v>
      </c>
      <c r="F114" s="7">
        <f>_xlfn.XLOOKUP(updatetool_PriceUpdate[[#This Row],[Item ID]], [1]!costsheet_Conversion[SKU], [1]!costsheet_Conversion[Sell_UOM], "")</f>
        <v>732.14</v>
      </c>
      <c r="G114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14" s="9"/>
      <c r="I114" s="10" t="str">
        <f>IF(G114="","",INDEX('[1]PRICE SHEET MAP'!$3:$3,1,18+(G114*3)-1))</f>
        <v>AR</v>
      </c>
      <c r="J114" s="11" t="str">
        <f t="shared" si="3"/>
        <v>Will update PL09 → Column AR</v>
      </c>
      <c r="K114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14" s="13">
        <f>_xlfn.XLOOKUP(updatetool_PriceUpdate[[#This Row],[Minor_Category_No]],[1]!reference_Dart[Online Minor Code],[1]!reference_Dart[DART Major Code])</f>
        <v>1</v>
      </c>
      <c r="M114" s="13">
        <f t="shared" si="2"/>
        <v>2201</v>
      </c>
    </row>
    <row r="115" spans="1:13" x14ac:dyDescent="0.35">
      <c r="A115" s="6" t="str">
        <f>_xlfn.XLOOKUP(updatetool_PriceUpdate[[#This Row],[Item ID]], [1]!costsheet_UnconvertedPricing[Item ID], [1]!costsheet_UnconvertedPricing[Pricing Zone], "")</f>
        <v>PORTOR</v>
      </c>
      <c r="B115" s="7" t="str">
        <f>_xlfn.XLOOKUP(updatetool_PriceUpdate[[#This Row],[Item ID]], [1]!costsheet_UnconvertedPricing[Item ID], [1]!costsheet_UnconvertedPricing[Product Category Description], "")</f>
        <v>22 - TIMBERS/BEAMS/CEDAR</v>
      </c>
      <c r="C115" s="7" t="str">
        <f>_xlfn.XLOOKUP(updatetool_PriceUpdate[[#This Row],[Item ID]], [1]!costsheet_UnconvertedPricing[Item ID], [1]!costsheet_UnconvertedPricing[Minor Category Description], "")</f>
        <v>2201 - HEM/DOUG FIR-TIMBERS/BEAMS</v>
      </c>
      <c r="D115" s="7" t="str" cm="1">
        <f t="array" ref="D115">_xlfn._xlws.FILTER([1]!costsheet_Conversion[[#This Row],[SKU]], [1]!costsheet_Conversion[[#This Row],[SKU]]&lt;&gt;"")</f>
        <v>41216GDF2</v>
      </c>
      <c r="E115" s="7" t="str">
        <f>_xlfn.XLOOKUP(updatetool_PriceUpdate[[#This Row],[Item ID]], [1]!costsheet_UnconvertedPricing[Item ID], [1]!costsheet_UnconvertedPricing[Item Description], "")</f>
        <v>4X12-16' #2&amp;BTR DF GRN</v>
      </c>
      <c r="F115" s="7">
        <f>_xlfn.XLOOKUP(updatetool_PriceUpdate[[#This Row],[Item ID]], [1]!costsheet_Conversion[SKU], [1]!costsheet_Conversion[Sell_UOM], "")</f>
        <v>732.14</v>
      </c>
      <c r="G115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15" s="9"/>
      <c r="I115" s="10" t="str">
        <f>IF(G115="","",INDEX('[1]PRICE SHEET MAP'!$3:$3,1,18+(G115*3)-1))</f>
        <v>AR</v>
      </c>
      <c r="J115" s="11" t="str">
        <f t="shared" si="3"/>
        <v>Will update PL09 → Column AR</v>
      </c>
      <c r="K115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15" s="13">
        <f>_xlfn.XLOOKUP(updatetool_PriceUpdate[[#This Row],[Minor_Category_No]],[1]!reference_Dart[Online Minor Code],[1]!reference_Dart[DART Major Code])</f>
        <v>1</v>
      </c>
      <c r="M115" s="13">
        <f t="shared" si="2"/>
        <v>2201</v>
      </c>
    </row>
    <row r="116" spans="1:13" x14ac:dyDescent="0.35">
      <c r="A116" s="6" t="str">
        <f>_xlfn.XLOOKUP(updatetool_PriceUpdate[[#This Row],[Item ID]], [1]!costsheet_UnconvertedPricing[Item ID], [1]!costsheet_UnconvertedPricing[Pricing Zone], "")</f>
        <v>PORTOR</v>
      </c>
      <c r="B116" s="7" t="str">
        <f>_xlfn.XLOOKUP(updatetool_PriceUpdate[[#This Row],[Item ID]], [1]!costsheet_UnconvertedPricing[Item ID], [1]!costsheet_UnconvertedPricing[Product Category Description], "")</f>
        <v>22 - TIMBERS/BEAMS/CEDAR</v>
      </c>
      <c r="C116" s="7" t="str">
        <f>_xlfn.XLOOKUP(updatetool_PriceUpdate[[#This Row],[Item ID]], [1]!costsheet_UnconvertedPricing[Item ID], [1]!costsheet_UnconvertedPricing[Minor Category Description], "")</f>
        <v>2201 - HEM/DOUG FIR-TIMBERS/BEAMS</v>
      </c>
      <c r="D116" s="7" t="str" cm="1">
        <f t="array" ref="D116">_xlfn._xlws.FILTER([1]!costsheet_Conversion[[#This Row],[SKU]], [1]!costsheet_Conversion[[#This Row],[SKU]]&lt;&gt;"")</f>
        <v>41220GDF2</v>
      </c>
      <c r="E116" s="7" t="str">
        <f>_xlfn.XLOOKUP(updatetool_PriceUpdate[[#This Row],[Item ID]], [1]!costsheet_UnconvertedPricing[Item ID], [1]!costsheet_UnconvertedPricing[Item Description], "")</f>
        <v>4X12-20' #2&amp;BTR DF GRN</v>
      </c>
      <c r="F116" s="7">
        <f>_xlfn.XLOOKUP(updatetool_PriceUpdate[[#This Row],[Item ID]], [1]!costsheet_Conversion[SKU], [1]!costsheet_Conversion[Sell_UOM], "")</f>
        <v>732.14</v>
      </c>
      <c r="G116" s="8" t="str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09</v>
      </c>
      <c r="H116" s="9"/>
      <c r="I116" s="10" t="str">
        <f>IF(G116="","",INDEX('[1]PRICE SHEET MAP'!$3:$3,1,18+(G116*3)-1))</f>
        <v>AR</v>
      </c>
      <c r="J116" s="11" t="str">
        <f t="shared" si="3"/>
        <v>Will update PL09 → Column AR</v>
      </c>
      <c r="K116" s="12" t="str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 xml:space="preserve">2201 </v>
      </c>
      <c r="L116" s="13">
        <f>_xlfn.XLOOKUP(updatetool_PriceUpdate[[#This Row],[Minor_Category_No]],[1]!reference_Dart[Online Minor Code],[1]!reference_Dart[DART Major Code])</f>
        <v>1</v>
      </c>
      <c r="M116" s="13">
        <f t="shared" si="2"/>
        <v>2201</v>
      </c>
    </row>
    <row r="117" spans="1:13" x14ac:dyDescent="0.35">
      <c r="A117" s="14" t="e">
        <f>_xlfn.XLOOKUP(updatetool_PriceUpdate[[#This Row],[Item ID]], [1]!costsheet_UnconvertedPricing[Item ID], [1]!costsheet_UnconvertedPricing[Pricing Zone], "")</f>
        <v>#VALUE!</v>
      </c>
      <c r="B117" s="15" t="e">
        <f>_xlfn.XLOOKUP(updatetool_PriceUpdate[[#This Row],[Item ID]], [1]!costsheet_UnconvertedPricing[Item ID], [1]!costsheet_UnconvertedPricing[Product Category Description], "")</f>
        <v>#VALUE!</v>
      </c>
      <c r="C117" s="15" t="e">
        <f>_xlfn.XLOOKUP(updatetool_PriceUpdate[[#This Row],[Item ID]], [1]!costsheet_UnconvertedPricing[Item ID], [1]!costsheet_UnconvertedPricing[Minor Category Description], "")</f>
        <v>#VALUE!</v>
      </c>
      <c r="D117" s="16" t="e" cm="1">
        <f t="array" ref="D117">_xlfn._xlws.FILTER([1]!costsheet_Conversion[[#This Row],[SKU]], [1]!costsheet_Conversion[[#This Row],[SKU]]&lt;&gt;"")</f>
        <v>#VALUE!</v>
      </c>
      <c r="E117" s="15" t="e">
        <f>_xlfn.XLOOKUP(updatetool_PriceUpdate[[#This Row],[Item ID]], [1]!costsheet_UnconvertedPricing[Item ID], [1]!costsheet_UnconvertedPricing[Item Description], "")</f>
        <v>#VALUE!</v>
      </c>
      <c r="F117" s="15" t="e">
        <f>_xlfn.XLOOKUP(updatetool_PriceUpdate[[#This Row],[Item ID]], [1]!costsheet_Conversion[SKU], [1]!costsheet_Conversion[Sell_UOM], "")</f>
        <v>#VALUE!</v>
      </c>
      <c r="G117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17" s="18"/>
      <c r="I117" s="19" t="e">
        <f>IF(G117="","",INDEX('[1]PRICE SHEET MAP'!$3:$3,1,18+(G117*3)-1))</f>
        <v>#VALUE!</v>
      </c>
      <c r="J117" s="20" t="e">
        <f t="shared" si="3"/>
        <v>#VALUE!</v>
      </c>
      <c r="K117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17" s="22" t="e">
        <f>_xlfn.XLOOKUP(updatetool_PriceUpdate[[#This Row],[Minor_Category_No]],[1]!reference_Dart[Online Minor Code],[1]!reference_Dart[DART Major Code])</f>
        <v>#VALUE!</v>
      </c>
      <c r="M117" s="22" t="e">
        <f t="shared" si="2"/>
        <v>#VALUE!</v>
      </c>
    </row>
    <row r="118" spans="1:13" x14ac:dyDescent="0.35">
      <c r="A118" s="14" t="e">
        <f>_xlfn.XLOOKUP(updatetool_PriceUpdate[[#This Row],[Item ID]], [1]!costsheet_UnconvertedPricing[Item ID], [1]!costsheet_UnconvertedPricing[Pricing Zone], "")</f>
        <v>#VALUE!</v>
      </c>
      <c r="B118" s="15" t="e">
        <f>_xlfn.XLOOKUP(updatetool_PriceUpdate[[#This Row],[Item ID]], [1]!costsheet_UnconvertedPricing[Item ID], [1]!costsheet_UnconvertedPricing[Product Category Description], "")</f>
        <v>#VALUE!</v>
      </c>
      <c r="C118" s="15" t="e">
        <f>_xlfn.XLOOKUP(updatetool_PriceUpdate[[#This Row],[Item ID]], [1]!costsheet_UnconvertedPricing[Item ID], [1]!costsheet_UnconvertedPricing[Minor Category Description], "")</f>
        <v>#VALUE!</v>
      </c>
      <c r="D118" s="16" t="e" cm="1">
        <f t="array" ref="D118">_xlfn._xlws.FILTER([1]!costsheet_Conversion[[#This Row],[SKU]], [1]!costsheet_Conversion[[#This Row],[SKU]]&lt;&gt;"")</f>
        <v>#VALUE!</v>
      </c>
      <c r="E118" s="15" t="e">
        <f>_xlfn.XLOOKUP(updatetool_PriceUpdate[[#This Row],[Item ID]], [1]!costsheet_UnconvertedPricing[Item ID], [1]!costsheet_UnconvertedPricing[Item Description], "")</f>
        <v>#VALUE!</v>
      </c>
      <c r="F118" s="15" t="e">
        <f>_xlfn.XLOOKUP(updatetool_PriceUpdate[[#This Row],[Item ID]], [1]!costsheet_Conversion[SKU], [1]!costsheet_Conversion[Sell_UOM], "")</f>
        <v>#VALUE!</v>
      </c>
      <c r="G118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18" s="18"/>
      <c r="I118" s="19" t="e">
        <f>IF(G118="","",INDEX('[1]PRICE SHEET MAP'!$3:$3,1,18+(G118*3)-1))</f>
        <v>#VALUE!</v>
      </c>
      <c r="J118" s="20" t="e">
        <f t="shared" si="3"/>
        <v>#VALUE!</v>
      </c>
      <c r="K118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18" s="22" t="e">
        <f>_xlfn.XLOOKUP(updatetool_PriceUpdate[[#This Row],[Minor_Category_No]],[1]!reference_Dart[Online Minor Code],[1]!reference_Dart[DART Major Code])</f>
        <v>#VALUE!</v>
      </c>
      <c r="M118" s="22" t="e">
        <f t="shared" si="2"/>
        <v>#VALUE!</v>
      </c>
    </row>
    <row r="119" spans="1:13" x14ac:dyDescent="0.35">
      <c r="A119" s="14" t="e">
        <f>_xlfn.XLOOKUP(updatetool_PriceUpdate[[#This Row],[Item ID]], [1]!costsheet_UnconvertedPricing[Item ID], [1]!costsheet_UnconvertedPricing[Pricing Zone], "")</f>
        <v>#VALUE!</v>
      </c>
      <c r="B119" s="15" t="e">
        <f>_xlfn.XLOOKUP(updatetool_PriceUpdate[[#This Row],[Item ID]], [1]!costsheet_UnconvertedPricing[Item ID], [1]!costsheet_UnconvertedPricing[Product Category Description], "")</f>
        <v>#VALUE!</v>
      </c>
      <c r="C119" s="15" t="e">
        <f>_xlfn.XLOOKUP(updatetool_PriceUpdate[[#This Row],[Item ID]], [1]!costsheet_UnconvertedPricing[Item ID], [1]!costsheet_UnconvertedPricing[Minor Category Description], "")</f>
        <v>#VALUE!</v>
      </c>
      <c r="D119" s="16" t="e" cm="1">
        <f t="array" ref="D119">_xlfn._xlws.FILTER([1]!costsheet_Conversion[[#This Row],[SKU]], [1]!costsheet_Conversion[[#This Row],[SKU]]&lt;&gt;"")</f>
        <v>#VALUE!</v>
      </c>
      <c r="E119" s="15" t="e">
        <f>_xlfn.XLOOKUP(updatetool_PriceUpdate[[#This Row],[Item ID]], [1]!costsheet_UnconvertedPricing[Item ID], [1]!costsheet_UnconvertedPricing[Item Description], "")</f>
        <v>#VALUE!</v>
      </c>
      <c r="F119" s="15" t="e">
        <f>_xlfn.XLOOKUP(updatetool_PriceUpdate[[#This Row],[Item ID]], [1]!costsheet_Conversion[SKU], [1]!costsheet_Conversion[Sell_UOM], "")</f>
        <v>#VALUE!</v>
      </c>
      <c r="G119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19" s="18"/>
      <c r="I119" s="19" t="e">
        <f>IF(G119="","",INDEX('[1]PRICE SHEET MAP'!$3:$3,1,18+(G119*3)-1))</f>
        <v>#VALUE!</v>
      </c>
      <c r="J119" s="20" t="e">
        <f t="shared" si="3"/>
        <v>#VALUE!</v>
      </c>
      <c r="K119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19" s="22" t="e">
        <f>_xlfn.XLOOKUP(updatetool_PriceUpdate[[#This Row],[Minor_Category_No]],[1]!reference_Dart[Online Minor Code],[1]!reference_Dart[DART Major Code])</f>
        <v>#VALUE!</v>
      </c>
      <c r="M119" s="22" t="e">
        <f t="shared" si="2"/>
        <v>#VALUE!</v>
      </c>
    </row>
    <row r="120" spans="1:13" x14ac:dyDescent="0.35">
      <c r="A120" s="14" t="e">
        <f>_xlfn.XLOOKUP(updatetool_PriceUpdate[[#This Row],[Item ID]], [1]!costsheet_UnconvertedPricing[Item ID], [1]!costsheet_UnconvertedPricing[Pricing Zone], "")</f>
        <v>#VALUE!</v>
      </c>
      <c r="B120" s="15" t="e">
        <f>_xlfn.XLOOKUP(updatetool_PriceUpdate[[#This Row],[Item ID]], [1]!costsheet_UnconvertedPricing[Item ID], [1]!costsheet_UnconvertedPricing[Product Category Description], "")</f>
        <v>#VALUE!</v>
      </c>
      <c r="C120" s="15" t="e">
        <f>_xlfn.XLOOKUP(updatetool_PriceUpdate[[#This Row],[Item ID]], [1]!costsheet_UnconvertedPricing[Item ID], [1]!costsheet_UnconvertedPricing[Minor Category Description], "")</f>
        <v>#VALUE!</v>
      </c>
      <c r="D120" s="16" t="e" cm="1">
        <f t="array" ref="D120">_xlfn._xlws.FILTER([1]!costsheet_Conversion[[#This Row],[SKU]], [1]!costsheet_Conversion[[#This Row],[SKU]]&lt;&gt;"")</f>
        <v>#VALUE!</v>
      </c>
      <c r="E120" s="15" t="e">
        <f>_xlfn.XLOOKUP(updatetool_PriceUpdate[[#This Row],[Item ID]], [1]!costsheet_UnconvertedPricing[Item ID], [1]!costsheet_UnconvertedPricing[Item Description], "")</f>
        <v>#VALUE!</v>
      </c>
      <c r="F120" s="15" t="e">
        <f>_xlfn.XLOOKUP(updatetool_PriceUpdate[[#This Row],[Item ID]], [1]!costsheet_Conversion[SKU], [1]!costsheet_Conversion[Sell_UOM], "")</f>
        <v>#VALUE!</v>
      </c>
      <c r="G120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20" s="18"/>
      <c r="I120" s="19" t="e">
        <f>IF(G120="","",INDEX('[1]PRICE SHEET MAP'!$3:$3,1,18+(G120*3)-1))</f>
        <v>#VALUE!</v>
      </c>
      <c r="J120" s="20" t="e">
        <f t="shared" si="3"/>
        <v>#VALUE!</v>
      </c>
      <c r="K120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20" s="22" t="e">
        <f>_xlfn.XLOOKUP(updatetool_PriceUpdate[[#This Row],[Minor_Category_No]],[1]!reference_Dart[Online Minor Code],[1]!reference_Dart[DART Major Code])</f>
        <v>#VALUE!</v>
      </c>
      <c r="M120" s="22" t="e">
        <f t="shared" si="2"/>
        <v>#VALUE!</v>
      </c>
    </row>
    <row r="121" spans="1:13" x14ac:dyDescent="0.35">
      <c r="A121" s="14" t="e">
        <f>_xlfn.XLOOKUP(updatetool_PriceUpdate[[#This Row],[Item ID]], [1]!costsheet_UnconvertedPricing[Item ID], [1]!costsheet_UnconvertedPricing[Pricing Zone], "")</f>
        <v>#VALUE!</v>
      </c>
      <c r="B121" s="15" t="e">
        <f>_xlfn.XLOOKUP(updatetool_PriceUpdate[[#This Row],[Item ID]], [1]!costsheet_UnconvertedPricing[Item ID], [1]!costsheet_UnconvertedPricing[Product Category Description], "")</f>
        <v>#VALUE!</v>
      </c>
      <c r="C121" s="15" t="e">
        <f>_xlfn.XLOOKUP(updatetool_PriceUpdate[[#This Row],[Item ID]], [1]!costsheet_UnconvertedPricing[Item ID], [1]!costsheet_UnconvertedPricing[Minor Category Description], "")</f>
        <v>#VALUE!</v>
      </c>
      <c r="D121" s="16" t="e" cm="1">
        <f t="array" ref="D121">_xlfn._xlws.FILTER([1]!costsheet_Conversion[[#This Row],[SKU]], [1]!costsheet_Conversion[[#This Row],[SKU]]&lt;&gt;"")</f>
        <v>#VALUE!</v>
      </c>
      <c r="E121" s="15" t="e">
        <f>_xlfn.XLOOKUP(updatetool_PriceUpdate[[#This Row],[Item ID]], [1]!costsheet_UnconvertedPricing[Item ID], [1]!costsheet_UnconvertedPricing[Item Description], "")</f>
        <v>#VALUE!</v>
      </c>
      <c r="F121" s="15" t="e">
        <f>_xlfn.XLOOKUP(updatetool_PriceUpdate[[#This Row],[Item ID]], [1]!costsheet_Conversion[SKU], [1]!costsheet_Conversion[Sell_UOM], "")</f>
        <v>#VALUE!</v>
      </c>
      <c r="G121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21" s="18"/>
      <c r="I121" s="19" t="e">
        <f>IF(G121="","",INDEX('[1]PRICE SHEET MAP'!$3:$3,1,18+(G121*3)-1))</f>
        <v>#VALUE!</v>
      </c>
      <c r="J121" s="20" t="e">
        <f t="shared" si="3"/>
        <v>#VALUE!</v>
      </c>
      <c r="K121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21" s="22" t="e">
        <f>_xlfn.XLOOKUP(updatetool_PriceUpdate[[#This Row],[Minor_Category_No]],[1]!reference_Dart[Online Minor Code],[1]!reference_Dart[DART Major Code])</f>
        <v>#VALUE!</v>
      </c>
      <c r="M121" s="22" t="e">
        <f t="shared" si="2"/>
        <v>#VALUE!</v>
      </c>
    </row>
    <row r="122" spans="1:13" x14ac:dyDescent="0.35">
      <c r="A122" s="14" t="e">
        <f>_xlfn.XLOOKUP(updatetool_PriceUpdate[[#This Row],[Item ID]], [1]!costsheet_UnconvertedPricing[Item ID], [1]!costsheet_UnconvertedPricing[Pricing Zone], "")</f>
        <v>#VALUE!</v>
      </c>
      <c r="B122" s="15" t="e">
        <f>_xlfn.XLOOKUP(updatetool_PriceUpdate[[#This Row],[Item ID]], [1]!costsheet_UnconvertedPricing[Item ID], [1]!costsheet_UnconvertedPricing[Product Category Description], "")</f>
        <v>#VALUE!</v>
      </c>
      <c r="C122" s="15" t="e">
        <f>_xlfn.XLOOKUP(updatetool_PriceUpdate[[#This Row],[Item ID]], [1]!costsheet_UnconvertedPricing[Item ID], [1]!costsheet_UnconvertedPricing[Minor Category Description], "")</f>
        <v>#VALUE!</v>
      </c>
      <c r="D122" s="16" t="e" cm="1">
        <f t="array" ref="D122">_xlfn._xlws.FILTER([1]!costsheet_Conversion[[#This Row],[SKU]], [1]!costsheet_Conversion[[#This Row],[SKU]]&lt;&gt;"")</f>
        <v>#VALUE!</v>
      </c>
      <c r="E122" s="15" t="e">
        <f>_xlfn.XLOOKUP(updatetool_PriceUpdate[[#This Row],[Item ID]], [1]!costsheet_UnconvertedPricing[Item ID], [1]!costsheet_UnconvertedPricing[Item Description], "")</f>
        <v>#VALUE!</v>
      </c>
      <c r="F122" s="15" t="e">
        <f>_xlfn.XLOOKUP(updatetool_PriceUpdate[[#This Row],[Item ID]], [1]!costsheet_Conversion[SKU], [1]!costsheet_Conversion[Sell_UOM], "")</f>
        <v>#VALUE!</v>
      </c>
      <c r="G122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22" s="18"/>
      <c r="I122" s="19" t="e">
        <f>IF(G122="","",INDEX('[1]PRICE SHEET MAP'!$3:$3,1,18+(G122*3)-1))</f>
        <v>#VALUE!</v>
      </c>
      <c r="J122" s="20" t="e">
        <f t="shared" si="3"/>
        <v>#VALUE!</v>
      </c>
      <c r="K122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22" s="22" t="e">
        <f>_xlfn.XLOOKUP(updatetool_PriceUpdate[[#This Row],[Minor_Category_No]],[1]!reference_Dart[Online Minor Code],[1]!reference_Dart[DART Major Code])</f>
        <v>#VALUE!</v>
      </c>
      <c r="M122" s="22" t="e">
        <f t="shared" si="2"/>
        <v>#VALUE!</v>
      </c>
    </row>
    <row r="123" spans="1:13" x14ac:dyDescent="0.35">
      <c r="A123" s="14" t="e">
        <f>_xlfn.XLOOKUP(updatetool_PriceUpdate[[#This Row],[Item ID]], [1]!costsheet_UnconvertedPricing[Item ID], [1]!costsheet_UnconvertedPricing[Pricing Zone], "")</f>
        <v>#VALUE!</v>
      </c>
      <c r="B123" s="15" t="e">
        <f>_xlfn.XLOOKUP(updatetool_PriceUpdate[[#This Row],[Item ID]], [1]!costsheet_UnconvertedPricing[Item ID], [1]!costsheet_UnconvertedPricing[Product Category Description], "")</f>
        <v>#VALUE!</v>
      </c>
      <c r="C123" s="15" t="e">
        <f>_xlfn.XLOOKUP(updatetool_PriceUpdate[[#This Row],[Item ID]], [1]!costsheet_UnconvertedPricing[Item ID], [1]!costsheet_UnconvertedPricing[Minor Category Description], "")</f>
        <v>#VALUE!</v>
      </c>
      <c r="D123" s="16" t="e" cm="1">
        <f t="array" ref="D123">_xlfn._xlws.FILTER([1]!costsheet_Conversion[[#This Row],[SKU]], [1]!costsheet_Conversion[[#This Row],[SKU]]&lt;&gt;"")</f>
        <v>#VALUE!</v>
      </c>
      <c r="E123" s="15" t="e">
        <f>_xlfn.XLOOKUP(updatetool_PriceUpdate[[#This Row],[Item ID]], [1]!costsheet_UnconvertedPricing[Item ID], [1]!costsheet_UnconvertedPricing[Item Description], "")</f>
        <v>#VALUE!</v>
      </c>
      <c r="F123" s="15" t="e">
        <f>_xlfn.XLOOKUP(updatetool_PriceUpdate[[#This Row],[Item ID]], [1]!costsheet_Conversion[SKU], [1]!costsheet_Conversion[Sell_UOM], "")</f>
        <v>#VALUE!</v>
      </c>
      <c r="G123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23" s="18"/>
      <c r="I123" s="19" t="e">
        <f>IF(G123="","",INDEX('[1]PRICE SHEET MAP'!$3:$3,1,18+(G123*3)-1))</f>
        <v>#VALUE!</v>
      </c>
      <c r="J123" s="20" t="e">
        <f t="shared" si="3"/>
        <v>#VALUE!</v>
      </c>
      <c r="K123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23" s="22" t="e">
        <f>_xlfn.XLOOKUP(updatetool_PriceUpdate[[#This Row],[Minor_Category_No]],[1]!reference_Dart[Online Minor Code],[1]!reference_Dart[DART Major Code])</f>
        <v>#VALUE!</v>
      </c>
      <c r="M123" s="22" t="e">
        <f t="shared" si="2"/>
        <v>#VALUE!</v>
      </c>
    </row>
    <row r="124" spans="1:13" x14ac:dyDescent="0.35">
      <c r="A124" s="14" t="e">
        <f>_xlfn.XLOOKUP(updatetool_PriceUpdate[[#This Row],[Item ID]], [1]!costsheet_UnconvertedPricing[Item ID], [1]!costsheet_UnconvertedPricing[Pricing Zone], "")</f>
        <v>#VALUE!</v>
      </c>
      <c r="B124" s="15" t="e">
        <f>_xlfn.XLOOKUP(updatetool_PriceUpdate[[#This Row],[Item ID]], [1]!costsheet_UnconvertedPricing[Item ID], [1]!costsheet_UnconvertedPricing[Product Category Description], "")</f>
        <v>#VALUE!</v>
      </c>
      <c r="C124" s="15" t="e">
        <f>_xlfn.XLOOKUP(updatetool_PriceUpdate[[#This Row],[Item ID]], [1]!costsheet_UnconvertedPricing[Item ID], [1]!costsheet_UnconvertedPricing[Minor Category Description], "")</f>
        <v>#VALUE!</v>
      </c>
      <c r="D124" s="16" t="e" cm="1">
        <f t="array" ref="D124">_xlfn._xlws.FILTER([1]!costsheet_Conversion[[#This Row],[SKU]], [1]!costsheet_Conversion[[#This Row],[SKU]]&lt;&gt;"")</f>
        <v>#VALUE!</v>
      </c>
      <c r="E124" s="15" t="e">
        <f>_xlfn.XLOOKUP(updatetool_PriceUpdate[[#This Row],[Item ID]], [1]!costsheet_UnconvertedPricing[Item ID], [1]!costsheet_UnconvertedPricing[Item Description], "")</f>
        <v>#VALUE!</v>
      </c>
      <c r="F124" s="15" t="e">
        <f>_xlfn.XLOOKUP(updatetool_PriceUpdate[[#This Row],[Item ID]], [1]!costsheet_Conversion[SKU], [1]!costsheet_Conversion[Sell_UOM], "")</f>
        <v>#VALUE!</v>
      </c>
      <c r="G124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24" s="18"/>
      <c r="I124" s="19" t="e">
        <f>IF(G124="","",INDEX('[1]PRICE SHEET MAP'!$3:$3,1,18+(G124*3)-1))</f>
        <v>#VALUE!</v>
      </c>
      <c r="J124" s="20" t="e">
        <f t="shared" si="3"/>
        <v>#VALUE!</v>
      </c>
      <c r="K124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24" s="22" t="e">
        <f>_xlfn.XLOOKUP(updatetool_PriceUpdate[[#This Row],[Minor_Category_No]],[1]!reference_Dart[Online Minor Code],[1]!reference_Dart[DART Major Code])</f>
        <v>#VALUE!</v>
      </c>
      <c r="M124" s="22" t="e">
        <f t="shared" si="2"/>
        <v>#VALUE!</v>
      </c>
    </row>
    <row r="125" spans="1:13" x14ac:dyDescent="0.35">
      <c r="A125" s="14" t="e">
        <f>_xlfn.XLOOKUP(updatetool_PriceUpdate[[#This Row],[Item ID]], [1]!costsheet_UnconvertedPricing[Item ID], [1]!costsheet_UnconvertedPricing[Pricing Zone], "")</f>
        <v>#VALUE!</v>
      </c>
      <c r="B125" s="15" t="e">
        <f>_xlfn.XLOOKUP(updatetool_PriceUpdate[[#This Row],[Item ID]], [1]!costsheet_UnconvertedPricing[Item ID], [1]!costsheet_UnconvertedPricing[Product Category Description], "")</f>
        <v>#VALUE!</v>
      </c>
      <c r="C125" s="15" t="e">
        <f>_xlfn.XLOOKUP(updatetool_PriceUpdate[[#This Row],[Item ID]], [1]!costsheet_UnconvertedPricing[Item ID], [1]!costsheet_UnconvertedPricing[Minor Category Description], "")</f>
        <v>#VALUE!</v>
      </c>
      <c r="D125" s="16" t="e" cm="1">
        <f t="array" ref="D125">_xlfn._xlws.FILTER([1]!costsheet_Conversion[[#This Row],[SKU]], [1]!costsheet_Conversion[[#This Row],[SKU]]&lt;&gt;"")</f>
        <v>#VALUE!</v>
      </c>
      <c r="E125" s="15" t="e">
        <f>_xlfn.XLOOKUP(updatetool_PriceUpdate[[#This Row],[Item ID]], [1]!costsheet_UnconvertedPricing[Item ID], [1]!costsheet_UnconvertedPricing[Item Description], "")</f>
        <v>#VALUE!</v>
      </c>
      <c r="F125" s="15" t="e">
        <f>_xlfn.XLOOKUP(updatetool_PriceUpdate[[#This Row],[Item ID]], [1]!costsheet_Conversion[SKU], [1]!costsheet_Conversion[Sell_UOM], "")</f>
        <v>#VALUE!</v>
      </c>
      <c r="G125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25" s="18"/>
      <c r="I125" s="19" t="e">
        <f>IF(G125="","",INDEX('[1]PRICE SHEET MAP'!$3:$3,1,18+(G125*3)-1))</f>
        <v>#VALUE!</v>
      </c>
      <c r="J125" s="20" t="e">
        <f t="shared" si="3"/>
        <v>#VALUE!</v>
      </c>
      <c r="K125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25" s="22" t="e">
        <f>_xlfn.XLOOKUP(updatetool_PriceUpdate[[#This Row],[Minor_Category_No]],[1]!reference_Dart[Online Minor Code],[1]!reference_Dart[DART Major Code])</f>
        <v>#VALUE!</v>
      </c>
      <c r="M125" s="22" t="e">
        <f t="shared" si="2"/>
        <v>#VALUE!</v>
      </c>
    </row>
    <row r="126" spans="1:13" x14ac:dyDescent="0.35">
      <c r="A126" s="14" t="e">
        <f>_xlfn.XLOOKUP(updatetool_PriceUpdate[[#This Row],[Item ID]], [1]!costsheet_UnconvertedPricing[Item ID], [1]!costsheet_UnconvertedPricing[Pricing Zone], "")</f>
        <v>#VALUE!</v>
      </c>
      <c r="B126" s="15" t="e">
        <f>_xlfn.XLOOKUP(updatetool_PriceUpdate[[#This Row],[Item ID]], [1]!costsheet_UnconvertedPricing[Item ID], [1]!costsheet_UnconvertedPricing[Product Category Description], "")</f>
        <v>#VALUE!</v>
      </c>
      <c r="C126" s="15" t="e">
        <f>_xlfn.XLOOKUP(updatetool_PriceUpdate[[#This Row],[Item ID]], [1]!costsheet_UnconvertedPricing[Item ID], [1]!costsheet_UnconvertedPricing[Minor Category Description], "")</f>
        <v>#VALUE!</v>
      </c>
      <c r="D126" s="16" t="e" cm="1">
        <f t="array" ref="D126">_xlfn._xlws.FILTER([1]!costsheet_Conversion[[#This Row],[SKU]], [1]!costsheet_Conversion[[#This Row],[SKU]]&lt;&gt;"")</f>
        <v>#VALUE!</v>
      </c>
      <c r="E126" s="15" t="e">
        <f>_xlfn.XLOOKUP(updatetool_PriceUpdate[[#This Row],[Item ID]], [1]!costsheet_UnconvertedPricing[Item ID], [1]!costsheet_UnconvertedPricing[Item Description], "")</f>
        <v>#VALUE!</v>
      </c>
      <c r="F126" s="15" t="e">
        <f>_xlfn.XLOOKUP(updatetool_PriceUpdate[[#This Row],[Item ID]], [1]!costsheet_Conversion[SKU], [1]!costsheet_Conversion[Sell_UOM], "")</f>
        <v>#VALUE!</v>
      </c>
      <c r="G126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26" s="18"/>
      <c r="I126" s="19" t="e">
        <f>IF(G126="","",INDEX('[1]PRICE SHEET MAP'!$3:$3,1,18+(G126*3)-1))</f>
        <v>#VALUE!</v>
      </c>
      <c r="J126" s="20" t="e">
        <f t="shared" si="3"/>
        <v>#VALUE!</v>
      </c>
      <c r="K126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26" s="22" t="e">
        <f>_xlfn.XLOOKUP(updatetool_PriceUpdate[[#This Row],[Minor_Category_No]],[1]!reference_Dart[Online Minor Code],[1]!reference_Dart[DART Major Code])</f>
        <v>#VALUE!</v>
      </c>
      <c r="M126" s="22" t="e">
        <f t="shared" si="2"/>
        <v>#VALUE!</v>
      </c>
    </row>
    <row r="127" spans="1:13" x14ac:dyDescent="0.35">
      <c r="A127" s="14" t="e">
        <f>_xlfn.XLOOKUP(updatetool_PriceUpdate[[#This Row],[Item ID]], [1]!costsheet_UnconvertedPricing[Item ID], [1]!costsheet_UnconvertedPricing[Pricing Zone], "")</f>
        <v>#VALUE!</v>
      </c>
      <c r="B127" s="15" t="e">
        <f>_xlfn.XLOOKUP(updatetool_PriceUpdate[[#This Row],[Item ID]], [1]!costsheet_UnconvertedPricing[Item ID], [1]!costsheet_UnconvertedPricing[Product Category Description], "")</f>
        <v>#VALUE!</v>
      </c>
      <c r="C127" s="15" t="e">
        <f>_xlfn.XLOOKUP(updatetool_PriceUpdate[[#This Row],[Item ID]], [1]!costsheet_UnconvertedPricing[Item ID], [1]!costsheet_UnconvertedPricing[Minor Category Description], "")</f>
        <v>#VALUE!</v>
      </c>
      <c r="D127" s="16" t="e" cm="1">
        <f t="array" ref="D127">_xlfn._xlws.FILTER([1]!costsheet_Conversion[[#This Row],[SKU]], [1]!costsheet_Conversion[[#This Row],[SKU]]&lt;&gt;"")</f>
        <v>#VALUE!</v>
      </c>
      <c r="E127" s="15" t="e">
        <f>_xlfn.XLOOKUP(updatetool_PriceUpdate[[#This Row],[Item ID]], [1]!costsheet_UnconvertedPricing[Item ID], [1]!costsheet_UnconvertedPricing[Item Description], "")</f>
        <v>#VALUE!</v>
      </c>
      <c r="F127" s="15" t="e">
        <f>_xlfn.XLOOKUP(updatetool_PriceUpdate[[#This Row],[Item ID]], [1]!costsheet_Conversion[SKU], [1]!costsheet_Conversion[Sell_UOM], "")</f>
        <v>#VALUE!</v>
      </c>
      <c r="G127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27" s="18"/>
      <c r="I127" s="19" t="e">
        <f>IF(G127="","",INDEX('[1]PRICE SHEET MAP'!$3:$3,1,18+(G127*3)-1))</f>
        <v>#VALUE!</v>
      </c>
      <c r="J127" s="20" t="e">
        <f t="shared" si="3"/>
        <v>#VALUE!</v>
      </c>
      <c r="K127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27" s="22" t="e">
        <f>_xlfn.XLOOKUP(updatetool_PriceUpdate[[#This Row],[Minor_Category_No]],[1]!reference_Dart[Online Minor Code],[1]!reference_Dart[DART Major Code])</f>
        <v>#VALUE!</v>
      </c>
      <c r="M127" s="22" t="e">
        <f t="shared" si="2"/>
        <v>#VALUE!</v>
      </c>
    </row>
    <row r="128" spans="1:13" x14ac:dyDescent="0.35">
      <c r="A128" s="14" t="e">
        <f>_xlfn.XLOOKUP(updatetool_PriceUpdate[[#This Row],[Item ID]], [1]!costsheet_UnconvertedPricing[Item ID], [1]!costsheet_UnconvertedPricing[Pricing Zone], "")</f>
        <v>#VALUE!</v>
      </c>
      <c r="B128" s="15" t="e">
        <f>_xlfn.XLOOKUP(updatetool_PriceUpdate[[#This Row],[Item ID]], [1]!costsheet_UnconvertedPricing[Item ID], [1]!costsheet_UnconvertedPricing[Product Category Description], "")</f>
        <v>#VALUE!</v>
      </c>
      <c r="C128" s="15" t="e">
        <f>_xlfn.XLOOKUP(updatetool_PriceUpdate[[#This Row],[Item ID]], [1]!costsheet_UnconvertedPricing[Item ID], [1]!costsheet_UnconvertedPricing[Minor Category Description], "")</f>
        <v>#VALUE!</v>
      </c>
      <c r="D128" s="16" t="e" cm="1">
        <f t="array" ref="D128">_xlfn._xlws.FILTER([1]!costsheet_Conversion[[#This Row],[SKU]], [1]!costsheet_Conversion[[#This Row],[SKU]]&lt;&gt;"")</f>
        <v>#VALUE!</v>
      </c>
      <c r="E128" s="15" t="e">
        <f>_xlfn.XLOOKUP(updatetool_PriceUpdate[[#This Row],[Item ID]], [1]!costsheet_UnconvertedPricing[Item ID], [1]!costsheet_UnconvertedPricing[Item Description], "")</f>
        <v>#VALUE!</v>
      </c>
      <c r="F128" s="15" t="e">
        <f>_xlfn.XLOOKUP(updatetool_PriceUpdate[[#This Row],[Item ID]], [1]!costsheet_Conversion[SKU], [1]!costsheet_Conversion[Sell_UOM], "")</f>
        <v>#VALUE!</v>
      </c>
      <c r="G128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28" s="18"/>
      <c r="I128" s="19" t="e">
        <f>IF(G128="","",INDEX('[1]PRICE SHEET MAP'!$3:$3,1,18+(G128*3)-1))</f>
        <v>#VALUE!</v>
      </c>
      <c r="J128" s="20" t="e">
        <f t="shared" si="3"/>
        <v>#VALUE!</v>
      </c>
      <c r="K128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28" s="22" t="e">
        <f>_xlfn.XLOOKUP(updatetool_PriceUpdate[[#This Row],[Minor_Category_No]],[1]!reference_Dart[Online Minor Code],[1]!reference_Dart[DART Major Code])</f>
        <v>#VALUE!</v>
      </c>
      <c r="M128" s="22" t="e">
        <f t="shared" si="2"/>
        <v>#VALUE!</v>
      </c>
    </row>
    <row r="129" spans="1:13" x14ac:dyDescent="0.35">
      <c r="A129" s="14" t="e">
        <f>_xlfn.XLOOKUP(updatetool_PriceUpdate[[#This Row],[Item ID]], [1]!costsheet_UnconvertedPricing[Item ID], [1]!costsheet_UnconvertedPricing[Pricing Zone], "")</f>
        <v>#VALUE!</v>
      </c>
      <c r="B129" s="15" t="e">
        <f>_xlfn.XLOOKUP(updatetool_PriceUpdate[[#This Row],[Item ID]], [1]!costsheet_UnconvertedPricing[Item ID], [1]!costsheet_UnconvertedPricing[Product Category Description], "")</f>
        <v>#VALUE!</v>
      </c>
      <c r="C129" s="15" t="e">
        <f>_xlfn.XLOOKUP(updatetool_PriceUpdate[[#This Row],[Item ID]], [1]!costsheet_UnconvertedPricing[Item ID], [1]!costsheet_UnconvertedPricing[Minor Category Description], "")</f>
        <v>#VALUE!</v>
      </c>
      <c r="D129" s="16" t="e" cm="1">
        <f t="array" ref="D129">_xlfn._xlws.FILTER([1]!costsheet_Conversion[[#This Row],[SKU]], [1]!costsheet_Conversion[[#This Row],[SKU]]&lt;&gt;"")</f>
        <v>#VALUE!</v>
      </c>
      <c r="E129" s="15" t="e">
        <f>_xlfn.XLOOKUP(updatetool_PriceUpdate[[#This Row],[Item ID]], [1]!costsheet_UnconvertedPricing[Item ID], [1]!costsheet_UnconvertedPricing[Item Description], "")</f>
        <v>#VALUE!</v>
      </c>
      <c r="F129" s="15" t="e">
        <f>_xlfn.XLOOKUP(updatetool_PriceUpdate[[#This Row],[Item ID]], [1]!costsheet_Conversion[SKU], [1]!costsheet_Conversion[Sell_UOM], "")</f>
        <v>#VALUE!</v>
      </c>
      <c r="G129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29" s="18"/>
      <c r="I129" s="19" t="e">
        <f>IF(G129="","",INDEX('[1]PRICE SHEET MAP'!$3:$3,1,18+(G129*3)-1))</f>
        <v>#VALUE!</v>
      </c>
      <c r="J129" s="20" t="e">
        <f t="shared" si="3"/>
        <v>#VALUE!</v>
      </c>
      <c r="K129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29" s="22" t="e">
        <f>_xlfn.XLOOKUP(updatetool_PriceUpdate[[#This Row],[Minor_Category_No]],[1]!reference_Dart[Online Minor Code],[1]!reference_Dart[DART Major Code])</f>
        <v>#VALUE!</v>
      </c>
      <c r="M129" s="22" t="e">
        <f t="shared" si="2"/>
        <v>#VALUE!</v>
      </c>
    </row>
    <row r="130" spans="1:13" x14ac:dyDescent="0.35">
      <c r="A130" s="14" t="e">
        <f>_xlfn.XLOOKUP(updatetool_PriceUpdate[[#This Row],[Item ID]], [1]!costsheet_UnconvertedPricing[Item ID], [1]!costsheet_UnconvertedPricing[Pricing Zone], "")</f>
        <v>#VALUE!</v>
      </c>
      <c r="B130" s="15" t="e">
        <f>_xlfn.XLOOKUP(updatetool_PriceUpdate[[#This Row],[Item ID]], [1]!costsheet_UnconvertedPricing[Item ID], [1]!costsheet_UnconvertedPricing[Product Category Description], "")</f>
        <v>#VALUE!</v>
      </c>
      <c r="C130" s="15" t="e">
        <f>_xlfn.XLOOKUP(updatetool_PriceUpdate[[#This Row],[Item ID]], [1]!costsheet_UnconvertedPricing[Item ID], [1]!costsheet_UnconvertedPricing[Minor Category Description], "")</f>
        <v>#VALUE!</v>
      </c>
      <c r="D130" s="16" t="e" cm="1">
        <f t="array" ref="D130">_xlfn._xlws.FILTER([1]!costsheet_Conversion[[#This Row],[SKU]], [1]!costsheet_Conversion[[#This Row],[SKU]]&lt;&gt;"")</f>
        <v>#VALUE!</v>
      </c>
      <c r="E130" s="15" t="e">
        <f>_xlfn.XLOOKUP(updatetool_PriceUpdate[[#This Row],[Item ID]], [1]!costsheet_UnconvertedPricing[Item ID], [1]!costsheet_UnconvertedPricing[Item Description], "")</f>
        <v>#VALUE!</v>
      </c>
      <c r="F130" s="15" t="e">
        <f>_xlfn.XLOOKUP(updatetool_PriceUpdate[[#This Row],[Item ID]], [1]!costsheet_Conversion[SKU], [1]!costsheet_Conversion[Sell_UOM], "")</f>
        <v>#VALUE!</v>
      </c>
      <c r="G130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30" s="18"/>
      <c r="I130" s="19" t="e">
        <f>IF(G130="","",INDEX('[1]PRICE SHEET MAP'!$3:$3,1,18+(G130*3)-1))</f>
        <v>#VALUE!</v>
      </c>
      <c r="J130" s="20" t="e">
        <f t="shared" si="3"/>
        <v>#VALUE!</v>
      </c>
      <c r="K130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30" s="22" t="e">
        <f>_xlfn.XLOOKUP(updatetool_PriceUpdate[[#This Row],[Minor_Category_No]],[1]!reference_Dart[Online Minor Code],[1]!reference_Dart[DART Major Code])</f>
        <v>#VALUE!</v>
      </c>
      <c r="M130" s="22" t="e">
        <f t="shared" si="2"/>
        <v>#VALUE!</v>
      </c>
    </row>
    <row r="131" spans="1:13" x14ac:dyDescent="0.35">
      <c r="A131" s="14" t="e">
        <f>_xlfn.XLOOKUP(updatetool_PriceUpdate[[#This Row],[Item ID]], [1]!costsheet_UnconvertedPricing[Item ID], [1]!costsheet_UnconvertedPricing[Pricing Zone], "")</f>
        <v>#VALUE!</v>
      </c>
      <c r="B131" s="15" t="e">
        <f>_xlfn.XLOOKUP(updatetool_PriceUpdate[[#This Row],[Item ID]], [1]!costsheet_UnconvertedPricing[Item ID], [1]!costsheet_UnconvertedPricing[Product Category Description], "")</f>
        <v>#VALUE!</v>
      </c>
      <c r="C131" s="15" t="e">
        <f>_xlfn.XLOOKUP(updatetool_PriceUpdate[[#This Row],[Item ID]], [1]!costsheet_UnconvertedPricing[Item ID], [1]!costsheet_UnconvertedPricing[Minor Category Description], "")</f>
        <v>#VALUE!</v>
      </c>
      <c r="D131" s="16" t="e" cm="1">
        <f t="array" ref="D131">_xlfn._xlws.FILTER([1]!costsheet_Conversion[[#This Row],[SKU]], [1]!costsheet_Conversion[[#This Row],[SKU]]&lt;&gt;"")</f>
        <v>#VALUE!</v>
      </c>
      <c r="E131" s="15" t="e">
        <f>_xlfn.XLOOKUP(updatetool_PriceUpdate[[#This Row],[Item ID]], [1]!costsheet_UnconvertedPricing[Item ID], [1]!costsheet_UnconvertedPricing[Item Description], "")</f>
        <v>#VALUE!</v>
      </c>
      <c r="F131" s="15" t="e">
        <f>_xlfn.XLOOKUP(updatetool_PriceUpdate[[#This Row],[Item ID]], [1]!costsheet_Conversion[SKU], [1]!costsheet_Conversion[Sell_UOM], "")</f>
        <v>#VALUE!</v>
      </c>
      <c r="G131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31" s="18"/>
      <c r="I131" s="19" t="e">
        <f>IF(G131="","",INDEX('[1]PRICE SHEET MAP'!$3:$3,1,18+(G131*3)-1))</f>
        <v>#VALUE!</v>
      </c>
      <c r="J131" s="20" t="e">
        <f t="shared" si="3"/>
        <v>#VALUE!</v>
      </c>
      <c r="K131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31" s="22" t="e">
        <f>_xlfn.XLOOKUP(updatetool_PriceUpdate[[#This Row],[Minor_Category_No]],[1]!reference_Dart[Online Minor Code],[1]!reference_Dart[DART Major Code])</f>
        <v>#VALUE!</v>
      </c>
      <c r="M131" s="22" t="e">
        <f t="shared" si="2"/>
        <v>#VALUE!</v>
      </c>
    </row>
    <row r="132" spans="1:13" x14ac:dyDescent="0.35">
      <c r="A132" s="14" t="e">
        <f>_xlfn.XLOOKUP(updatetool_PriceUpdate[[#This Row],[Item ID]], [1]!costsheet_UnconvertedPricing[Item ID], [1]!costsheet_UnconvertedPricing[Pricing Zone], "")</f>
        <v>#VALUE!</v>
      </c>
      <c r="B132" s="15" t="e">
        <f>_xlfn.XLOOKUP(updatetool_PriceUpdate[[#This Row],[Item ID]], [1]!costsheet_UnconvertedPricing[Item ID], [1]!costsheet_UnconvertedPricing[Product Category Description], "")</f>
        <v>#VALUE!</v>
      </c>
      <c r="C132" s="15" t="e">
        <f>_xlfn.XLOOKUP(updatetool_PriceUpdate[[#This Row],[Item ID]], [1]!costsheet_UnconvertedPricing[Item ID], [1]!costsheet_UnconvertedPricing[Minor Category Description], "")</f>
        <v>#VALUE!</v>
      </c>
      <c r="D132" s="16" t="e" cm="1">
        <f t="array" ref="D132">_xlfn._xlws.FILTER([1]!costsheet_Conversion[[#This Row],[SKU]], [1]!costsheet_Conversion[[#This Row],[SKU]]&lt;&gt;"")</f>
        <v>#VALUE!</v>
      </c>
      <c r="E132" s="15" t="e">
        <f>_xlfn.XLOOKUP(updatetool_PriceUpdate[[#This Row],[Item ID]], [1]!costsheet_UnconvertedPricing[Item ID], [1]!costsheet_UnconvertedPricing[Item Description], "")</f>
        <v>#VALUE!</v>
      </c>
      <c r="F132" s="15" t="e">
        <f>_xlfn.XLOOKUP(updatetool_PriceUpdate[[#This Row],[Item ID]], [1]!costsheet_Conversion[SKU], [1]!costsheet_Conversion[Sell_UOM], "")</f>
        <v>#VALUE!</v>
      </c>
      <c r="G132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32" s="18"/>
      <c r="I132" s="19" t="e">
        <f>IF(G132="","",INDEX('[1]PRICE SHEET MAP'!$3:$3,1,18+(G132*3)-1))</f>
        <v>#VALUE!</v>
      </c>
      <c r="J132" s="20" t="e">
        <f t="shared" si="3"/>
        <v>#VALUE!</v>
      </c>
      <c r="K132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32" s="22" t="e">
        <f>_xlfn.XLOOKUP(updatetool_PriceUpdate[[#This Row],[Minor_Category_No]],[1]!reference_Dart[Online Minor Code],[1]!reference_Dart[DART Major Code])</f>
        <v>#VALUE!</v>
      </c>
      <c r="M132" s="22" t="e">
        <f t="shared" si="2"/>
        <v>#VALUE!</v>
      </c>
    </row>
    <row r="133" spans="1:13" x14ac:dyDescent="0.35">
      <c r="A133" s="14" t="e">
        <f>_xlfn.XLOOKUP(updatetool_PriceUpdate[[#This Row],[Item ID]], [1]!costsheet_UnconvertedPricing[Item ID], [1]!costsheet_UnconvertedPricing[Pricing Zone], "")</f>
        <v>#VALUE!</v>
      </c>
      <c r="B133" s="15" t="e">
        <f>_xlfn.XLOOKUP(updatetool_PriceUpdate[[#This Row],[Item ID]], [1]!costsheet_UnconvertedPricing[Item ID], [1]!costsheet_UnconvertedPricing[Product Category Description], "")</f>
        <v>#VALUE!</v>
      </c>
      <c r="C133" s="15" t="e">
        <f>_xlfn.XLOOKUP(updatetool_PriceUpdate[[#This Row],[Item ID]], [1]!costsheet_UnconvertedPricing[Item ID], [1]!costsheet_UnconvertedPricing[Minor Category Description], "")</f>
        <v>#VALUE!</v>
      </c>
      <c r="D133" s="16" t="e" cm="1">
        <f t="array" ref="D133">_xlfn._xlws.FILTER([1]!costsheet_Conversion[[#This Row],[SKU]], [1]!costsheet_Conversion[[#This Row],[SKU]]&lt;&gt;"")</f>
        <v>#VALUE!</v>
      </c>
      <c r="E133" s="15" t="e">
        <f>_xlfn.XLOOKUP(updatetool_PriceUpdate[[#This Row],[Item ID]], [1]!costsheet_UnconvertedPricing[Item ID], [1]!costsheet_UnconvertedPricing[Item Description], "")</f>
        <v>#VALUE!</v>
      </c>
      <c r="F133" s="15" t="e">
        <f>_xlfn.XLOOKUP(updatetool_PriceUpdate[[#This Row],[Item ID]], [1]!costsheet_Conversion[SKU], [1]!costsheet_Conversion[Sell_UOM], "")</f>
        <v>#VALUE!</v>
      </c>
      <c r="G133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33" s="18"/>
      <c r="I133" s="19" t="e">
        <f>IF(G133="","",INDEX('[1]PRICE SHEET MAP'!$3:$3,1,18+(G133*3)-1))</f>
        <v>#VALUE!</v>
      </c>
      <c r="J133" s="20" t="e">
        <f t="shared" si="3"/>
        <v>#VALUE!</v>
      </c>
      <c r="K133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33" s="22" t="e">
        <f>_xlfn.XLOOKUP(updatetool_PriceUpdate[[#This Row],[Minor_Category_No]],[1]!reference_Dart[Online Minor Code],[1]!reference_Dart[DART Major Code])</f>
        <v>#VALUE!</v>
      </c>
      <c r="M133" s="22" t="e">
        <f t="shared" ref="M133:M167" si="4">_xlfn.NUMBERVALUE(K133)</f>
        <v>#VALUE!</v>
      </c>
    </row>
    <row r="134" spans="1:13" x14ac:dyDescent="0.35">
      <c r="A134" s="14" t="e">
        <f>_xlfn.XLOOKUP(updatetool_PriceUpdate[[#This Row],[Item ID]], [1]!costsheet_UnconvertedPricing[Item ID], [1]!costsheet_UnconvertedPricing[Pricing Zone], "")</f>
        <v>#VALUE!</v>
      </c>
      <c r="B134" s="15" t="e">
        <f>_xlfn.XLOOKUP(updatetool_PriceUpdate[[#This Row],[Item ID]], [1]!costsheet_UnconvertedPricing[Item ID], [1]!costsheet_UnconvertedPricing[Product Category Description], "")</f>
        <v>#VALUE!</v>
      </c>
      <c r="C134" s="15" t="e">
        <f>_xlfn.XLOOKUP(updatetool_PriceUpdate[[#This Row],[Item ID]], [1]!costsheet_UnconvertedPricing[Item ID], [1]!costsheet_UnconvertedPricing[Minor Category Description], "")</f>
        <v>#VALUE!</v>
      </c>
      <c r="D134" s="16" t="e" cm="1">
        <f t="array" ref="D134">_xlfn._xlws.FILTER([1]!costsheet_Conversion[[#This Row],[SKU]], [1]!costsheet_Conversion[[#This Row],[SKU]]&lt;&gt;"")</f>
        <v>#VALUE!</v>
      </c>
      <c r="E134" s="15" t="e">
        <f>_xlfn.XLOOKUP(updatetool_PriceUpdate[[#This Row],[Item ID]], [1]!costsheet_UnconvertedPricing[Item ID], [1]!costsheet_UnconvertedPricing[Item Description], "")</f>
        <v>#VALUE!</v>
      </c>
      <c r="F134" s="15" t="e">
        <f>_xlfn.XLOOKUP(updatetool_PriceUpdate[[#This Row],[Item ID]], [1]!costsheet_Conversion[SKU], [1]!costsheet_Conversion[Sell_UOM], "")</f>
        <v>#VALUE!</v>
      </c>
      <c r="G134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34" s="18"/>
      <c r="I134" s="19" t="e">
        <f>IF(G134="","",INDEX('[1]PRICE SHEET MAP'!$3:$3,1,18+(G134*3)-1))</f>
        <v>#VALUE!</v>
      </c>
      <c r="J134" s="20" t="e">
        <f t="shared" ref="J134:J135" si="5">IF(G134="","","Will update PL"&amp;TEXT(G134,"00")&amp;" → Column "&amp;I134)</f>
        <v>#VALUE!</v>
      </c>
      <c r="K134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34" s="22" t="e">
        <f>_xlfn.XLOOKUP(updatetool_PriceUpdate[[#This Row],[Minor_Category_No]],[1]!reference_Dart[Online Minor Code],[1]!reference_Dart[DART Major Code])</f>
        <v>#VALUE!</v>
      </c>
      <c r="M134" s="22" t="e">
        <f t="shared" si="4"/>
        <v>#VALUE!</v>
      </c>
    </row>
    <row r="135" spans="1:13" x14ac:dyDescent="0.35">
      <c r="A135" s="14" t="e">
        <f>_xlfn.XLOOKUP(updatetool_PriceUpdate[[#This Row],[Item ID]], [1]!costsheet_UnconvertedPricing[Item ID], [1]!costsheet_UnconvertedPricing[Pricing Zone], "")</f>
        <v>#VALUE!</v>
      </c>
      <c r="B135" s="15" t="e">
        <f>_xlfn.XLOOKUP(updatetool_PriceUpdate[[#This Row],[Item ID]], [1]!costsheet_UnconvertedPricing[Item ID], [1]!costsheet_UnconvertedPricing[Product Category Description], "")</f>
        <v>#VALUE!</v>
      </c>
      <c r="C135" s="15" t="e">
        <f>_xlfn.XLOOKUP(updatetool_PriceUpdate[[#This Row],[Item ID]], [1]!costsheet_UnconvertedPricing[Item ID], [1]!costsheet_UnconvertedPricing[Minor Category Description], "")</f>
        <v>#VALUE!</v>
      </c>
      <c r="D135" s="16" t="e" cm="1">
        <f t="array" ref="D135">_xlfn._xlws.FILTER([1]!costsheet_Conversion[[#This Row],[SKU]], [1]!costsheet_Conversion[[#This Row],[SKU]]&lt;&gt;"")</f>
        <v>#VALUE!</v>
      </c>
      <c r="E135" s="15" t="e">
        <f>_xlfn.XLOOKUP(updatetool_PriceUpdate[[#This Row],[Item ID]], [1]!costsheet_UnconvertedPricing[Item ID], [1]!costsheet_UnconvertedPricing[Item Description], "")</f>
        <v>#VALUE!</v>
      </c>
      <c r="F135" s="15" t="e">
        <f>_xlfn.XLOOKUP(updatetool_PriceUpdate[[#This Row],[Item ID]], [1]!costsheet_Conversion[SKU], [1]!costsheet_Conversion[Sell_UOM], "")</f>
        <v>#VALUE!</v>
      </c>
      <c r="G135" s="17" t="e">
        <f>INDEX([1]!reference_CustomerPriceLevels[#Data], MATCH($B$1, [1]!reference_CustomerPriceLevels[Customer Name], 0), MATCH(_xlfn.XLOOKUP(updatetool_PriceUpdate[[#This Row],[Dart_Category_No]], [1]!reference_CategoryMapping[Dart_Category_No], [1]!reference_CategoryMapping[Category_Header]), [1]!reference_CustomerPriceLevels[#Headers], 0))</f>
        <v>#VALUE!</v>
      </c>
      <c r="H135" s="18"/>
      <c r="I135" s="19" t="e">
        <f>IF(G135="","",INDEX('[1]PRICE SHEET MAP'!$3:$3,1,18+(G135*3)-1))</f>
        <v>#VALUE!</v>
      </c>
      <c r="J135" s="20" t="e">
        <f t="shared" si="5"/>
        <v>#VALUE!</v>
      </c>
      <c r="K135" s="21" t="e">
        <f>IF(COUNTIF([1]SPCL!$A$2:$A$187,updatetool_PriceUpdate[[#This Row],[Item ID]])&gt;0,"1",LEFT(INDEX([1]Unconverted!C:C,MATCH(updatetool_PriceUpdate[[#This Row],[Item ID]],[1]Unconverted!D:D,0)),FIND("-",INDEX([1]Unconverted!C:C,MATCH(updatetool_PriceUpdate[[#This Row],[Item ID]],[1]Unconverted!D:D,0)))-1))</f>
        <v>#VALUE!</v>
      </c>
      <c r="L135" s="22" t="e">
        <f>_xlfn.XLOOKUP(updatetool_PriceUpdate[[#This Row],[Minor_Category_No]],[1]!reference_Dart[Online Minor Code],[1]!reference_Dart[DART Major Code])</f>
        <v>#VALUE!</v>
      </c>
      <c r="M135" s="22" t="e">
        <f t="shared" si="4"/>
        <v>#VALUE!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tnUpdatePricing">
              <controlPr defaultSize="0" print="0" autoFill="0" autoPict="0">
                <anchor moveWithCells="1" sizeWithCells="1">
                  <from>
                    <xdr:col>4</xdr:col>
                    <xdr:colOff>25400</xdr:colOff>
                    <xdr:row>0</xdr:row>
                    <xdr:rowOff>44450</xdr:rowOff>
                  </from>
                  <to>
                    <xdr:col>5</xdr:col>
                    <xdr:colOff>107950</xdr:colOff>
                    <xdr:row>2</xdr:row>
                    <xdr:rowOff>19050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7ED62A-2461-4565-ACB5-C4852553ADD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 TO CHANGE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2025-11-25T15:47:57Z</dcterms:created>
  <dcterms:modified xsi:type="dcterms:W3CDTF">2025-11-25T15:50:22Z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{DA7ED62A-2461-4565-ACB5-C4852553ADD7}</vt:lpwstr>
  </property>
</Properties>
</file>