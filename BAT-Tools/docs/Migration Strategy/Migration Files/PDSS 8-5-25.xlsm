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ildersfirstsource-my.sharepoint.com/personal/corey_boser_bldr_com/Documents/Organizational Tools/PDSS/"/>
    </mc:Choice>
  </mc:AlternateContent>
  <xr:revisionPtr revIDLastSave="117906" documentId="8_{75B883A7-DB31-427C-9424-775847DEA54E}" xr6:coauthVersionLast="47" xr6:coauthVersionMax="47" xr10:uidLastSave="{8E989CAE-6F43-4A23-A9E5-4FD96253D233}"/>
  <bookViews>
    <workbookView xWindow="-51720" yWindow="-10650" windowWidth="51840" windowHeight="21120" tabRatio="636" firstSheet="1" activeTab="1" xr2:uid="{00000000-000D-0000-FFFF-FFFF00000000}"/>
  </bookViews>
  <sheets>
    <sheet name="LockStatus" sheetId="174" state="veryHidden" r:id="rId1"/>
    <sheet name="WHITE BOARD" sheetId="12" r:id="rId2"/>
    <sheet name="Required Documents" sheetId="178" r:id="rId3"/>
    <sheet name="Completed Documents" sheetId="181" r:id="rId4"/>
    <sheet name="Templates" sheetId="182" r:id="rId5"/>
    <sheet name="WorkingModeStatus" sheetId="175" state="veryHidden" r:id="rId6"/>
    <sheet name="Sheet2" sheetId="172" state="hidden" r:id="rId7"/>
    <sheet name="To Do" sheetId="173" state="hidden" r:id="rId8"/>
    <sheet name="OLD JOBS" sheetId="176" r:id="rId9"/>
  </sheets>
  <definedNames>
    <definedName name="_xlnm._FilterDatabase" localSheetId="3" hidden="1">'Completed Documents'!$A$1:$J$1</definedName>
    <definedName name="_xlnm._FilterDatabase" localSheetId="2" hidden="1">'Required Documents'!$A$2:$J$33</definedName>
    <definedName name="_xlnm._FilterDatabase" localSheetId="1" hidden="1">'WHITE BOARD'!#REF!</definedName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8" i="176" l="1"/>
  <c r="A148" i="176"/>
  <c r="C147" i="176"/>
  <c r="A147" i="176"/>
  <c r="B146" i="176"/>
  <c r="A146" i="176"/>
  <c r="C145" i="176"/>
  <c r="A145" i="176"/>
  <c r="B144" i="176"/>
  <c r="A144" i="176"/>
  <c r="C143" i="176"/>
  <c r="A143" i="176"/>
  <c r="B142" i="176"/>
  <c r="A142" i="176"/>
  <c r="C141" i="176"/>
  <c r="A141" i="176"/>
  <c r="C140" i="176"/>
  <c r="A139" i="176"/>
  <c r="B138" i="176"/>
  <c r="A138" i="176"/>
  <c r="A137" i="176" s="1"/>
  <c r="C137" i="176"/>
  <c r="B136" i="176"/>
  <c r="A136" i="176"/>
  <c r="C135" i="176"/>
  <c r="A135" i="176"/>
  <c r="B134" i="176"/>
  <c r="A134" i="176"/>
  <c r="C133" i="176"/>
  <c r="A133" i="176" s="1"/>
  <c r="B132" i="176"/>
  <c r="A132" i="176"/>
  <c r="C131" i="176"/>
  <c r="A131" i="176"/>
  <c r="C130" i="176"/>
  <c r="A129" i="176"/>
  <c r="B128" i="176"/>
  <c r="A128" i="176"/>
  <c r="C127" i="176"/>
  <c r="A127" i="176"/>
  <c r="B126" i="176"/>
  <c r="A126" i="176"/>
  <c r="A125" i="176" s="1"/>
  <c r="C125" i="176"/>
  <c r="B124" i="176"/>
  <c r="A124" i="176"/>
  <c r="C123" i="176"/>
  <c r="A123" i="176"/>
  <c r="B122" i="176"/>
  <c r="A122" i="176"/>
  <c r="C121" i="176"/>
  <c r="A121" i="176"/>
  <c r="C120" i="176"/>
  <c r="A119" i="176"/>
  <c r="B118" i="176"/>
  <c r="A118" i="176"/>
  <c r="C117" i="176"/>
  <c r="A117" i="176"/>
  <c r="B116" i="176"/>
  <c r="A116" i="176"/>
  <c r="A115" i="176" s="1"/>
  <c r="C115" i="176"/>
  <c r="B114" i="176"/>
  <c r="A114" i="176"/>
  <c r="C113" i="176"/>
  <c r="A113" i="176"/>
  <c r="B112" i="176"/>
  <c r="A112" i="176"/>
  <c r="C111" i="176"/>
  <c r="A111" i="176" s="1"/>
  <c r="C110" i="176"/>
  <c r="A109" i="176"/>
  <c r="B108" i="176"/>
  <c r="A108" i="176"/>
  <c r="C107" i="176"/>
  <c r="A107" i="176"/>
  <c r="B106" i="176"/>
  <c r="A106" i="176"/>
  <c r="C105" i="176"/>
  <c r="A105" i="176"/>
  <c r="B104" i="176"/>
  <c r="A104" i="176"/>
  <c r="A103" i="176" s="1"/>
  <c r="C103" i="176"/>
  <c r="B102" i="176"/>
  <c r="A102" i="176"/>
  <c r="C101" i="176"/>
  <c r="A101" i="176"/>
  <c r="C100" i="176"/>
  <c r="A99" i="176"/>
  <c r="I98" i="176"/>
  <c r="G98" i="176"/>
  <c r="E98" i="176"/>
  <c r="D98" i="176"/>
  <c r="B98" i="176"/>
  <c r="A98" i="176"/>
  <c r="A97" i="176" s="1"/>
  <c r="I97" i="176"/>
  <c r="G97" i="176"/>
  <c r="E97" i="176"/>
  <c r="D97" i="176"/>
  <c r="C97" i="176"/>
  <c r="I96" i="176"/>
  <c r="G96" i="176"/>
  <c r="E96" i="176"/>
  <c r="D96" i="176"/>
  <c r="B96" i="176"/>
  <c r="A96" i="176"/>
  <c r="A95" i="176" s="1"/>
  <c r="I95" i="176"/>
  <c r="G95" i="176"/>
  <c r="E95" i="176"/>
  <c r="D95" i="176"/>
  <c r="C95" i="176"/>
  <c r="I94" i="176"/>
  <c r="G94" i="176"/>
  <c r="E94" i="176"/>
  <c r="D94" i="176"/>
  <c r="B94" i="176"/>
  <c r="A94" i="176"/>
  <c r="A93" i="176" s="1"/>
  <c r="I93" i="176"/>
  <c r="G93" i="176"/>
  <c r="E93" i="176"/>
  <c r="D93" i="176"/>
  <c r="C93" i="176"/>
  <c r="I92" i="176"/>
  <c r="G92" i="176"/>
  <c r="E92" i="176"/>
  <c r="D92" i="176"/>
  <c r="B92" i="176"/>
  <c r="A92" i="176"/>
  <c r="I91" i="176"/>
  <c r="G91" i="176"/>
  <c r="E91" i="176"/>
  <c r="D91" i="176"/>
  <c r="C91" i="176"/>
  <c r="A91" i="176"/>
  <c r="C90" i="176"/>
  <c r="A89" i="176"/>
  <c r="B88" i="176"/>
  <c r="A88" i="176"/>
  <c r="A87" i="176" s="1"/>
  <c r="C87" i="176"/>
  <c r="B86" i="176"/>
  <c r="A86" i="176"/>
  <c r="C85" i="176"/>
  <c r="A85" i="176"/>
  <c r="B84" i="176"/>
  <c r="A84" i="176"/>
  <c r="C83" i="176"/>
  <c r="A83" i="176"/>
  <c r="B82" i="176"/>
  <c r="A82" i="176"/>
  <c r="C81" i="176"/>
  <c r="A81" i="176"/>
  <c r="C80" i="176"/>
  <c r="A79" i="176"/>
  <c r="B78" i="176"/>
  <c r="A78" i="176"/>
  <c r="A77" i="176" s="1"/>
  <c r="C77" i="176"/>
  <c r="B76" i="176"/>
  <c r="A76" i="176"/>
  <c r="C75" i="176"/>
  <c r="A75" i="176"/>
  <c r="B74" i="176"/>
  <c r="A74" i="176"/>
  <c r="C73" i="176"/>
  <c r="A73" i="176" s="1"/>
  <c r="B72" i="176"/>
  <c r="A72" i="176"/>
  <c r="C71" i="176"/>
  <c r="A71" i="176"/>
  <c r="C70" i="176"/>
  <c r="A69" i="176"/>
  <c r="B68" i="176"/>
  <c r="A68" i="176"/>
  <c r="C67" i="176"/>
  <c r="A67" i="176"/>
  <c r="B66" i="176"/>
  <c r="A66" i="176"/>
  <c r="A65" i="176" s="1"/>
  <c r="C65" i="176"/>
  <c r="B64" i="176"/>
  <c r="A64" i="176"/>
  <c r="C63" i="176"/>
  <c r="A63" i="176"/>
  <c r="B62" i="176"/>
  <c r="A62" i="176"/>
  <c r="C61" i="176"/>
  <c r="A61" i="176"/>
  <c r="C60" i="176"/>
  <c r="A59" i="176"/>
  <c r="B58" i="176"/>
  <c r="A58" i="176"/>
  <c r="C57" i="176"/>
  <c r="A57" i="176"/>
  <c r="B56" i="176"/>
  <c r="A56" i="176"/>
  <c r="A55" i="176" s="1"/>
  <c r="C55" i="176"/>
  <c r="B54" i="176"/>
  <c r="A54" i="176"/>
  <c r="C53" i="176"/>
  <c r="A53" i="176"/>
  <c r="B52" i="176"/>
  <c r="A52" i="176"/>
  <c r="C51" i="176"/>
  <c r="A51" i="176" s="1"/>
  <c r="C50" i="176"/>
  <c r="A49" i="176"/>
  <c r="B46" i="176"/>
  <c r="A46" i="176"/>
  <c r="C45" i="176"/>
  <c r="A45" i="176"/>
  <c r="B44" i="176"/>
  <c r="A44" i="176"/>
  <c r="C43" i="176"/>
  <c r="A43" i="176"/>
  <c r="B42" i="176"/>
  <c r="A42" i="176"/>
  <c r="C41" i="176"/>
  <c r="A41" i="176"/>
  <c r="C40" i="176"/>
  <c r="A39" i="176"/>
  <c r="B38" i="176"/>
  <c r="A38" i="176"/>
  <c r="C37" i="176"/>
  <c r="A37" i="176" s="1"/>
  <c r="B36" i="176"/>
  <c r="A36" i="176"/>
  <c r="C35" i="176"/>
  <c r="A35" i="176"/>
  <c r="B34" i="176"/>
  <c r="A34" i="176"/>
  <c r="C33" i="176"/>
  <c r="A33" i="176"/>
  <c r="C32" i="176"/>
  <c r="A31" i="176"/>
  <c r="B30" i="176"/>
  <c r="A30" i="176"/>
  <c r="A29" i="176" s="1"/>
  <c r="C29" i="176"/>
  <c r="B28" i="176"/>
  <c r="A28" i="176"/>
  <c r="C27" i="176"/>
  <c r="A27" i="176"/>
  <c r="B26" i="176"/>
  <c r="A26" i="176"/>
  <c r="C25" i="176"/>
  <c r="A25" i="176"/>
  <c r="C24" i="176"/>
  <c r="A23" i="176"/>
  <c r="B20" i="176"/>
  <c r="A20" i="176"/>
  <c r="C19" i="176"/>
  <c r="A19" i="176"/>
  <c r="B18" i="176"/>
  <c r="A18" i="176"/>
  <c r="C17" i="176"/>
  <c r="A17" i="176"/>
  <c r="C16" i="176"/>
  <c r="A15" i="176"/>
  <c r="B14" i="176"/>
  <c r="A14" i="176"/>
  <c r="C13" i="176"/>
  <c r="A13" i="176"/>
  <c r="B12" i="176"/>
  <c r="A12" i="176"/>
  <c r="C11" i="176"/>
  <c r="A11" i="176"/>
  <c r="C10" i="176"/>
  <c r="A9" i="176"/>
  <c r="B8" i="176"/>
  <c r="A8" i="176"/>
  <c r="C7" i="176"/>
  <c r="A7" i="176"/>
  <c r="B6" i="176"/>
  <c r="A6" i="176"/>
  <c r="A5" i="176" s="1"/>
  <c r="C5" i="176"/>
  <c r="C4" i="176"/>
  <c r="A3" i="176"/>
  <c r="B9" i="182"/>
  <c r="A9" i="182"/>
  <c r="C8" i="182"/>
  <c r="A8" i="182"/>
  <c r="B7" i="182"/>
  <c r="A7" i="182"/>
  <c r="C6" i="182"/>
  <c r="A6" i="182"/>
  <c r="C5" i="182"/>
  <c r="A4" i="182"/>
  <c r="B20" i="182"/>
  <c r="A20" i="182"/>
  <c r="C19" i="182"/>
  <c r="A19" i="182"/>
  <c r="B18" i="182"/>
  <c r="A18" i="182"/>
  <c r="C17" i="182"/>
  <c r="A17" i="182"/>
  <c r="B16" i="182"/>
  <c r="A16" i="182"/>
  <c r="C15" i="182"/>
  <c r="A15" i="182"/>
  <c r="C14" i="182"/>
  <c r="A13" i="182"/>
  <c r="B33" i="182"/>
  <c r="A33" i="182"/>
  <c r="C32" i="182"/>
  <c r="A32" i="182" s="1"/>
  <c r="B31" i="182"/>
  <c r="A31" i="182"/>
  <c r="C30" i="182"/>
  <c r="A30" i="182" s="1"/>
  <c r="B29" i="182"/>
  <c r="A29" i="182"/>
  <c r="C28" i="182"/>
  <c r="A28" i="182"/>
  <c r="B27" i="182"/>
  <c r="A27" i="182"/>
  <c r="C26" i="182"/>
  <c r="A26" i="182"/>
  <c r="C25" i="182"/>
  <c r="A24" i="1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tc={BB1D49C2-3C33-485F-8991-F272C61F69F2}</author>
  </authors>
  <commentList>
    <comment ref="A5" authorId="0" shapeId="0" xr:uid="{BB1D49C2-3C33-485F-8991-F272C61F6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https://chatgpt.com/c/67feb4e7-7ac8-800d-8305-e4e1b1fdc427
</t>
      </text>
    </comment>
  </commentList>
</comments>
</file>

<file path=xl/sharedStrings.xml><?xml version="1.0" encoding="utf-8"?>
<sst xmlns="http://schemas.openxmlformats.org/spreadsheetml/2006/main" count="5595" uniqueCount="479">
  <si>
    <t>Whiteboard</t>
  </si>
  <si>
    <t>UpcomingPacks</t>
  </si>
  <si>
    <t>Run Extractor</t>
  </si>
  <si>
    <t>HOLT HOMES</t>
  </si>
  <si>
    <t>Bill to: 662662</t>
  </si>
  <si>
    <t>Customer ID: 655352</t>
  </si>
  <si>
    <t>Willow Ridge</t>
  </si>
  <si>
    <t xml:space="preserve"> </t>
  </si>
  <si>
    <t>LOT#</t>
  </si>
  <si>
    <t>Arch Drawings</t>
  </si>
  <si>
    <t>Plot Plan</t>
  </si>
  <si>
    <t>spec home report</t>
  </si>
  <si>
    <t>Floor Truss Calcs</t>
  </si>
  <si>
    <t>Floor Truss Layout</t>
  </si>
  <si>
    <t>Roof Truss Calcs</t>
  </si>
  <si>
    <t>Roof Truss Layout</t>
  </si>
  <si>
    <t>Sent out for Ijoist?</t>
  </si>
  <si>
    <t>Ijoist Received</t>
  </si>
  <si>
    <t>Planswift File</t>
  </si>
  <si>
    <t>Plans sent to Opti?</t>
  </si>
  <si>
    <t>Job setup?</t>
  </si>
  <si>
    <t>P&amp;B DATE</t>
  </si>
  <si>
    <t>DOCS TO MYBLDR</t>
  </si>
  <si>
    <t>MAIN OPTI RECEIVED?</t>
  </si>
  <si>
    <t>UPPER OPTI RECEIVED?</t>
  </si>
  <si>
    <t>PO'S FILED?</t>
  </si>
  <si>
    <t>BAT Created</t>
  </si>
  <si>
    <t>Contract#</t>
  </si>
  <si>
    <t>WR1</t>
  </si>
  <si>
    <t>1890A GL</t>
  </si>
  <si>
    <t>L3WILLOWRIDGE1OR</t>
  </si>
  <si>
    <t>2184D</t>
  </si>
  <si>
    <t>BC</t>
  </si>
  <si>
    <t>13101003-FRM-SID</t>
  </si>
  <si>
    <t>L4WILLOWRIDGE1OR</t>
  </si>
  <si>
    <t>2336D</t>
  </si>
  <si>
    <t>13101004-FRM-SID</t>
  </si>
  <si>
    <t>L5WILLOWRIDGE1OR</t>
  </si>
  <si>
    <t>2299A</t>
  </si>
  <si>
    <t>13101005-FRM-SID</t>
  </si>
  <si>
    <t>L6WILLOWRIDGE1OR</t>
  </si>
  <si>
    <t>1987C</t>
  </si>
  <si>
    <t>13101006-FRM-SID</t>
  </si>
  <si>
    <t>L8WILLOWRIDGE1OR</t>
  </si>
  <si>
    <t>1633B</t>
  </si>
  <si>
    <t>13101008-FRM-SDI</t>
  </si>
  <si>
    <t>L9WILLOWRIDGE1OR</t>
  </si>
  <si>
    <t>2336C</t>
  </si>
  <si>
    <t>13101009-FRM-SID</t>
  </si>
  <si>
    <t>L10WILLOWRIDGEOR</t>
  </si>
  <si>
    <t>1987D</t>
  </si>
  <si>
    <t>13101010-FRM-SID</t>
  </si>
  <si>
    <t>L11WILLOWRIDGEOR</t>
  </si>
  <si>
    <t>2299D</t>
  </si>
  <si>
    <t>13101011-FRM-SID</t>
  </si>
  <si>
    <t>RICHMOND</t>
  </si>
  <si>
    <t>Bill to: 633637</t>
  </si>
  <si>
    <t>Customer ID: 825812</t>
  </si>
  <si>
    <t>Battle Creek</t>
  </si>
  <si>
    <t>TANGORYD</t>
  </si>
  <si>
    <t>HCO (JIO)</t>
  </si>
  <si>
    <t>Calc Pkg</t>
  </si>
  <si>
    <t>uploaded to myBLDR</t>
  </si>
  <si>
    <t>L33BATTLECREEKOR</t>
  </si>
  <si>
    <t>G914B</t>
  </si>
  <si>
    <t>L53BATTLECREEKOR</t>
  </si>
  <si>
    <t>G260C</t>
  </si>
  <si>
    <t>1509734-FRM-SID</t>
  </si>
  <si>
    <t xml:space="preserve"> Cascadia Ridge</t>
  </si>
  <si>
    <t>CLACORYD</t>
  </si>
  <si>
    <t>Basement OPTI RECEIVED?</t>
  </si>
  <si>
    <t>BAT Done?</t>
  </si>
  <si>
    <t>Lumber Contract#</t>
  </si>
  <si>
    <t>L261CASCADIA20OR</t>
  </si>
  <si>
    <t>G250A</t>
  </si>
  <si>
    <t>1556224-FRM-SID</t>
  </si>
  <si>
    <t>L270CASCADIARIOR</t>
  </si>
  <si>
    <t>G250B</t>
  </si>
  <si>
    <t>1556241-FRM-SID</t>
  </si>
  <si>
    <t>Luden Estates</t>
  </si>
  <si>
    <t>VANCWAYD</t>
  </si>
  <si>
    <t>Options Verified on SDSS</t>
  </si>
  <si>
    <t>PO'S FILED/PAID?</t>
  </si>
  <si>
    <t>L91LUDENESTATEWA</t>
  </si>
  <si>
    <t>G063B</t>
  </si>
  <si>
    <t>1873524-FRM-SID</t>
  </si>
  <si>
    <t>L92LUDENESTATEWA</t>
  </si>
  <si>
    <t>G603C</t>
  </si>
  <si>
    <t>1873542-FRM-SID</t>
  </si>
  <si>
    <t>L93LUDENESTATEWA</t>
  </si>
  <si>
    <t>G603B</t>
  </si>
  <si>
    <t>3200308-FRM-SID</t>
  </si>
  <si>
    <t>L94LUDENESTATEWA</t>
  </si>
  <si>
    <t>G603A</t>
  </si>
  <si>
    <t>3209883-FRM-SID</t>
  </si>
  <si>
    <t>L95LUDENESTATEWA</t>
  </si>
  <si>
    <t>G914A</t>
  </si>
  <si>
    <t>L96LUDENESTATEWA</t>
  </si>
  <si>
    <t>Maple Grove</t>
  </si>
  <si>
    <t>L5MAPLEGROVE20WA</t>
  </si>
  <si>
    <t>GA41 A</t>
  </si>
  <si>
    <t>L6MAPLEGROVE20WA</t>
  </si>
  <si>
    <t>GA42 C</t>
  </si>
  <si>
    <t>L7MAPLEGROVE21WA</t>
  </si>
  <si>
    <t>GA41 D</t>
  </si>
  <si>
    <t>North Haven Triplexes</t>
  </si>
  <si>
    <t>NH127</t>
  </si>
  <si>
    <t>NH128</t>
  </si>
  <si>
    <t>NH129</t>
  </si>
  <si>
    <t>NH130</t>
  </si>
  <si>
    <t>NH131</t>
  </si>
  <si>
    <t>NH132</t>
  </si>
  <si>
    <t>North Haven Duplexes</t>
  </si>
  <si>
    <t>OPTIONS VERIFIED ON SDSS</t>
  </si>
  <si>
    <t>L113NORTHHAVENWA</t>
  </si>
  <si>
    <t>G892B</t>
  </si>
  <si>
    <t>3200275-FRM-SID</t>
  </si>
  <si>
    <t>L114NORTHHAVENWA</t>
  </si>
  <si>
    <t>G893B</t>
  </si>
  <si>
    <t>3200292-FRM-SID</t>
  </si>
  <si>
    <t>NH115</t>
  </si>
  <si>
    <t>G892A</t>
  </si>
  <si>
    <t>NH116</t>
  </si>
  <si>
    <t>G893A</t>
  </si>
  <si>
    <t>North Haven SFR</t>
  </si>
  <si>
    <t>L139NORTH1027NWA</t>
  </si>
  <si>
    <t>G896D</t>
  </si>
  <si>
    <t>L141NORTHHAVENWA</t>
  </si>
  <si>
    <t>L142NORTHHAVENWA</t>
  </si>
  <si>
    <t>G896A</t>
  </si>
  <si>
    <t>1873647-FRM-SID</t>
  </si>
  <si>
    <t>L143NORTHHAVENWA</t>
  </si>
  <si>
    <t>G941D</t>
  </si>
  <si>
    <t>1916905-FRM-SID</t>
  </si>
  <si>
    <t>L144NORTH1007NWA</t>
  </si>
  <si>
    <t>inactive</t>
  </si>
  <si>
    <t>1719770-FRM-SID</t>
  </si>
  <si>
    <t>Reeds Crossing Phase 2D</t>
  </si>
  <si>
    <t>FOGRORYD</t>
  </si>
  <si>
    <t>L1460REEDSCROSOR</t>
  </si>
  <si>
    <t>G769K</t>
  </si>
  <si>
    <t>1874354-FRM-SID</t>
  </si>
  <si>
    <t>L1461REEDSCROSOR</t>
  </si>
  <si>
    <t>G770K</t>
  </si>
  <si>
    <t>1874369-FRM-SID</t>
  </si>
  <si>
    <t>L1462REEDSCROSOR</t>
  </si>
  <si>
    <t>G769H</t>
  </si>
  <si>
    <t>1874384-FRM-SID</t>
  </si>
  <si>
    <t>L1463REEDSCROSOR</t>
  </si>
  <si>
    <t>G770H</t>
  </si>
  <si>
    <t>1874399-FRM-SID</t>
  </si>
  <si>
    <t>Riverwalk</t>
  </si>
  <si>
    <t>LONGWAYD</t>
  </si>
  <si>
    <t>Truss Calcs</t>
  </si>
  <si>
    <t xml:space="preserve"> Truss Layout</t>
  </si>
  <si>
    <t>L1RIVERWALK303WA</t>
  </si>
  <si>
    <t>G23H - A</t>
  </si>
  <si>
    <t>L2RIVERWALK304WA</t>
  </si>
  <si>
    <t>G22M - C</t>
  </si>
  <si>
    <t>1704198-FRM-SID</t>
  </si>
  <si>
    <t>L22RIVERWALK30WA</t>
  </si>
  <si>
    <t>G21D - A</t>
  </si>
  <si>
    <t>1931418-FRM-SID</t>
  </si>
  <si>
    <t>L23RIVERWALK30WA</t>
  </si>
  <si>
    <t>1719831-FRM-SID</t>
  </si>
  <si>
    <t>L28RIVERWALK30WA</t>
  </si>
  <si>
    <t>1600149-FRM-SID</t>
  </si>
  <si>
    <t>L29RIVERWALK30WA</t>
  </si>
  <si>
    <t>G22M-D</t>
  </si>
  <si>
    <t>1931433-FRM-SID</t>
  </si>
  <si>
    <t>L30RIVERWALK31WA</t>
  </si>
  <si>
    <t>G23H - C</t>
  </si>
  <si>
    <t>1926745-FRM-SID</t>
  </si>
  <si>
    <t>L31RIVERWALK31WA</t>
  </si>
  <si>
    <t>G23H - B</t>
  </si>
  <si>
    <t>1926802-FRM-SID</t>
  </si>
  <si>
    <t>Verona Heights</t>
  </si>
  <si>
    <t>TANGORYD SHIPS LUMBER &amp; SIDING - VANCE TOKITA IS JOB SUPER</t>
  </si>
  <si>
    <t>L63VERONAHEIGHOR</t>
  </si>
  <si>
    <t>G601D</t>
  </si>
  <si>
    <t>MISSING OPTION PO</t>
  </si>
  <si>
    <t>1564886-FRM-SID</t>
  </si>
  <si>
    <t>L65VERONAHEIGHOR</t>
  </si>
  <si>
    <t>G601F</t>
  </si>
  <si>
    <t>L67VERONAHEIGHOR</t>
  </si>
  <si>
    <t>G601E</t>
  </si>
  <si>
    <t>1669127-FRM-SID</t>
  </si>
  <si>
    <t>L68VERONAHEIGHOR</t>
  </si>
  <si>
    <t>L69VERONAHEIGHOR</t>
  </si>
  <si>
    <t>G786F</t>
  </si>
  <si>
    <t>1919090-FRM-SID</t>
  </si>
  <si>
    <t>L70VERONAHEIGHOR</t>
  </si>
  <si>
    <t>1956393-FRM-SID</t>
  </si>
  <si>
    <t>MANOR HOMES NW</t>
  </si>
  <si>
    <t>Bill to: 740180</t>
  </si>
  <si>
    <t>Customer ID: 987403</t>
  </si>
  <si>
    <t>Johnson Residence</t>
  </si>
  <si>
    <t>Structural Drawing</t>
  </si>
  <si>
    <t>Selection Sheet</t>
  </si>
  <si>
    <t>Permit</t>
  </si>
  <si>
    <t>Start Pack</t>
  </si>
  <si>
    <t>IJoist Layouts</t>
  </si>
  <si>
    <t>Takeoff</t>
  </si>
  <si>
    <t>Estimate Submitted</t>
  </si>
  <si>
    <t>Shipping BAT Created</t>
  </si>
  <si>
    <t>Joel &amp; Sarah Johnson Residence</t>
  </si>
  <si>
    <t>Submitted to IWP 7/31/25</t>
  </si>
  <si>
    <t>Submitted to Paradigm 298485 - 7/31/25</t>
  </si>
  <si>
    <t>PLEASANT WOODS</t>
  </si>
  <si>
    <t>ANGEL/JOSE</t>
  </si>
  <si>
    <t>L7PLEASANTWOODWA</t>
  </si>
  <si>
    <t>A20 GL</t>
  </si>
  <si>
    <t>2AM   81395052</t>
  </si>
  <si>
    <t>PW07 BAT</t>
  </si>
  <si>
    <t>L8PLEASANTWOODWA</t>
  </si>
  <si>
    <t>B20 GR</t>
  </si>
  <si>
    <t>2AM   81395203</t>
  </si>
  <si>
    <t>PW08 BAT</t>
  </si>
  <si>
    <t>L9PLEASANTWOODWA</t>
  </si>
  <si>
    <t>B20 GL</t>
  </si>
  <si>
    <t>2AM   81395350</t>
  </si>
  <si>
    <t>PW09 BAT</t>
  </si>
  <si>
    <t>L10PLEASANTWOOWA</t>
  </si>
  <si>
    <t>A20 GR</t>
  </si>
  <si>
    <t>2AM</t>
  </si>
  <si>
    <t>PW10 BAT</t>
  </si>
  <si>
    <t>PARADISE POINT</t>
  </si>
  <si>
    <t xml:space="preserve">Dimitri/GABE </t>
  </si>
  <si>
    <t>RANDALL K ESTATES</t>
  </si>
  <si>
    <t>RKE-12</t>
  </si>
  <si>
    <t>1897 GR</t>
  </si>
  <si>
    <t>Rocky 10/7/2024</t>
  </si>
  <si>
    <t>IronOak Project 24170.00</t>
  </si>
  <si>
    <t>SEL#2 9/15/25</t>
  </si>
  <si>
    <t>IWP40049</t>
  </si>
  <si>
    <t>BFS</t>
  </si>
  <si>
    <t>Kevin Steffl</t>
  </si>
  <si>
    <t>RKE-23</t>
  </si>
  <si>
    <t>1505 GL</t>
  </si>
  <si>
    <t>IronOak Project 24168.00</t>
  </si>
  <si>
    <t>SEL#1 9/15/25</t>
  </si>
  <si>
    <t>IWP40052</t>
  </si>
  <si>
    <t>RKE-29</t>
  </si>
  <si>
    <t>2092 Hip GR</t>
  </si>
  <si>
    <t>Rocky 10/10/25</t>
  </si>
  <si>
    <t>IronOak 24172.00</t>
  </si>
  <si>
    <t>IWP40050</t>
  </si>
  <si>
    <t>UNION ESTATES</t>
  </si>
  <si>
    <t>ANGEL/GABE</t>
  </si>
  <si>
    <t>UE6</t>
  </si>
  <si>
    <t>2172GR</t>
  </si>
  <si>
    <t xml:space="preserve"> 6/30/25</t>
  </si>
  <si>
    <t>IWP40281-GR</t>
  </si>
  <si>
    <t>CB</t>
  </si>
  <si>
    <t>MANOR HOMES 2, LLC</t>
  </si>
  <si>
    <t>Bill to: 1014700</t>
  </si>
  <si>
    <t>Customer ID: 1014701</t>
  </si>
  <si>
    <t>MT. SOLO</t>
  </si>
  <si>
    <t>Sent to Opti</t>
  </si>
  <si>
    <t>L155MTSOLO2002WA</t>
  </si>
  <si>
    <t>2092B GL</t>
  </si>
  <si>
    <t>Production Copy</t>
  </si>
  <si>
    <t>L156MTSOLO2008WA</t>
  </si>
  <si>
    <t>1497B GL</t>
  </si>
  <si>
    <t>L157MTSOLO2010WA</t>
  </si>
  <si>
    <t>1801B GL</t>
  </si>
  <si>
    <t>in plan</t>
  </si>
  <si>
    <t>L158MTSOLO2016WA</t>
  </si>
  <si>
    <t>2025B GL</t>
  </si>
  <si>
    <t>MS159</t>
  </si>
  <si>
    <t>1648B GL</t>
  </si>
  <si>
    <t>MS160</t>
  </si>
  <si>
    <t>2265 GR</t>
  </si>
  <si>
    <t>L31PARADISEPOIWA</t>
  </si>
  <si>
    <t>L32PARADISEPT2WA</t>
  </si>
  <si>
    <t>2938 GR</t>
  </si>
  <si>
    <t>L33PARADISEPOIWA</t>
  </si>
  <si>
    <t>2943GL</t>
  </si>
  <si>
    <t>L3UNIONESTATESWA</t>
  </si>
  <si>
    <t>2615GR</t>
  </si>
  <si>
    <t>UE4</t>
  </si>
  <si>
    <t>SK Hoff Construction</t>
  </si>
  <si>
    <t>Bill to: 662730</t>
  </si>
  <si>
    <t>Customer ID: 663817</t>
  </si>
  <si>
    <t>UPDATED PLANS</t>
  </si>
  <si>
    <t>SENT TO RF</t>
  </si>
  <si>
    <t>BOISE JOIST LAYOUT</t>
  </si>
  <si>
    <t>FLOOR TRUSS</t>
  </si>
  <si>
    <t>ROOF TRUSS</t>
  </si>
  <si>
    <t xml:space="preserve">BAT </t>
  </si>
  <si>
    <t>job set up</t>
  </si>
  <si>
    <t>L5ORCHARDSATABOR</t>
  </si>
  <si>
    <t xml:space="preserve">received </t>
  </si>
  <si>
    <t>L6ORCHARDSATABOR</t>
  </si>
  <si>
    <t>Everett Custom Homes</t>
  </si>
  <si>
    <t>Bill to: 887726</t>
  </si>
  <si>
    <t>Customer ID: 896402</t>
  </si>
  <si>
    <t>Heritage Pacific LLC</t>
  </si>
  <si>
    <t>Boyd Lane Triplex - Type A</t>
  </si>
  <si>
    <t>Sent to Jody for layouts &amp; eng</t>
  </si>
  <si>
    <t>Submitted to Paradigm</t>
  </si>
  <si>
    <t>Boyd Lane Triplex - Type B</t>
  </si>
  <si>
    <t>Monarch Ranch LLC</t>
  </si>
  <si>
    <t>Bill to: N/A</t>
  </si>
  <si>
    <t>Customer ID: N/A</t>
  </si>
  <si>
    <t>Oaks at Ott Creek</t>
  </si>
  <si>
    <t>Oaks at Ott Creek Lot 8</t>
  </si>
  <si>
    <t>1508 Craftsman</t>
  </si>
  <si>
    <t>EDrafting</t>
  </si>
  <si>
    <t>Evolve Engineering</t>
  </si>
  <si>
    <t>Send to Jody</t>
  </si>
  <si>
    <t>Send to Paradigm</t>
  </si>
  <si>
    <t>Oaks at Ott Creek Lot 9</t>
  </si>
  <si>
    <t>1508 Modern</t>
  </si>
  <si>
    <t>Job ID</t>
  </si>
  <si>
    <t>Document Name</t>
  </si>
  <si>
    <t>Action Date</t>
  </si>
  <si>
    <t>Status</t>
  </si>
  <si>
    <t>Order #/Details</t>
  </si>
  <si>
    <t>Customer</t>
  </si>
  <si>
    <t>Customer ID</t>
  </si>
  <si>
    <t>Subdivision</t>
  </si>
  <si>
    <t>Lot #</t>
  </si>
  <si>
    <t>Shipping Yard</t>
  </si>
  <si>
    <t>Sortable Date</t>
  </si>
  <si>
    <t>Submitted/Awaiting</t>
  </si>
  <si>
    <t>NO SIDING</t>
  </si>
  <si>
    <t>Details</t>
  </si>
  <si>
    <t>Received/Completed</t>
  </si>
  <si>
    <t>Willow Ridge Phase 1B 3-Plexes</t>
  </si>
  <si>
    <t>WR1B</t>
  </si>
  <si>
    <t>Willow Ridge Phase 1B 4-Plexes</t>
  </si>
  <si>
    <t>Willow Ridge Phase 1B 5-Plexes</t>
  </si>
  <si>
    <t>requiredDocuments</t>
  </si>
  <si>
    <t>Pack Name</t>
  </si>
  <si>
    <t>Delivery Date</t>
  </si>
  <si>
    <t>L5PLEASANTWOODWA</t>
  </si>
  <si>
    <t>H-WRAP</t>
  </si>
  <si>
    <t>Not Done</t>
  </si>
  <si>
    <t>ESTIMATED DATE</t>
  </si>
  <si>
    <t>L18PARKERSLANDWA</t>
  </si>
  <si>
    <t>POST WRAPS</t>
  </si>
  <si>
    <t>SIDING</t>
  </si>
  <si>
    <t>L225CASCADIA21OR</t>
  </si>
  <si>
    <t>2ND FLR RF</t>
  </si>
  <si>
    <t>2nd WALLS</t>
  </si>
  <si>
    <t>L214CASCADIA20OR</t>
  </si>
  <si>
    <t>L24MAPLEGROVE2WA</t>
  </si>
  <si>
    <t>H-Wrap</t>
  </si>
  <si>
    <t>L22MAPLEGROVE5WA</t>
  </si>
  <si>
    <t>P&amp;B</t>
  </si>
  <si>
    <t>L153NORTH835NWWA</t>
  </si>
  <si>
    <t xml:space="preserve">ROOF TRUSS </t>
  </si>
  <si>
    <t>L154NORTH831NWWA</t>
  </si>
  <si>
    <t>L26MAPLEGROVE2WA</t>
  </si>
  <si>
    <t>L5GRANITEHIGHLWA</t>
  </si>
  <si>
    <t>1st Walls</t>
  </si>
  <si>
    <t>L18TO21THRIVEAWA</t>
  </si>
  <si>
    <t>3rd Floor Truss Date</t>
  </si>
  <si>
    <t>L152NORTH913NWWA</t>
  </si>
  <si>
    <t>DECK SURFACE/HANDRAIL</t>
  </si>
  <si>
    <t>L22TO23THRIVEAWA</t>
  </si>
  <si>
    <t>HWrap</t>
  </si>
  <si>
    <t>L2GRANITEHIGHLWA</t>
  </si>
  <si>
    <t>L3GRANITEHIGHLWA</t>
  </si>
  <si>
    <t>L17PARKERSLANDWA</t>
  </si>
  <si>
    <t>L3PLEASANTWOODWA</t>
  </si>
  <si>
    <t>L4PLEASANTWOODWA</t>
  </si>
  <si>
    <t>L23MAPLEGROVE2WA</t>
  </si>
  <si>
    <t>L93NORTHHAVEN7WA</t>
  </si>
  <si>
    <t>L94NORTHHAVEN7WA</t>
  </si>
  <si>
    <t>1st Walls RF</t>
  </si>
  <si>
    <t>L4GRANITEHIGHLWA</t>
  </si>
  <si>
    <t>2nd FLOOR SYSTEM</t>
  </si>
  <si>
    <t>L229CASCADIA20OR</t>
  </si>
  <si>
    <t>BASEMENT SURFACE/HANDRAIL</t>
  </si>
  <si>
    <t>Requested Pages</t>
  </si>
  <si>
    <t>L18SALMONCREEKWA</t>
  </si>
  <si>
    <t>L213CASCADIA20OR</t>
  </si>
  <si>
    <t>Upcoming Orders</t>
  </si>
  <si>
    <t>L107NORTH842NWWA</t>
  </si>
  <si>
    <t>L108NORTH850NWWA</t>
  </si>
  <si>
    <t>L44TO47THRIVEAWA</t>
  </si>
  <si>
    <t>L25PLEASANTWOOWA</t>
  </si>
  <si>
    <t>1st</t>
  </si>
  <si>
    <t>L224CASCADIA21OR</t>
  </si>
  <si>
    <t>L215CASCADIA20OR</t>
  </si>
  <si>
    <t>L21MAPLEGROVE5WA</t>
  </si>
  <si>
    <t>L19SALMONCREEKWA</t>
  </si>
  <si>
    <t>L216CASCADIA21OR</t>
  </si>
  <si>
    <t>ROOF</t>
  </si>
  <si>
    <t>1st Floor Shaftliner</t>
  </si>
  <si>
    <t xml:space="preserve">3rd Floor Walls </t>
  </si>
  <si>
    <t>L226CASCADIA20OR</t>
  </si>
  <si>
    <t>L36MAPLEGROVE2WA</t>
  </si>
  <si>
    <t>Roof Truss Date</t>
  </si>
  <si>
    <t>2nd Walls</t>
  </si>
  <si>
    <t>2ND WALLS</t>
  </si>
  <si>
    <t>2nd Walls RF</t>
  </si>
  <si>
    <t>2ND WALLS RF</t>
  </si>
  <si>
    <t>L217CASCADIA21OR</t>
  </si>
  <si>
    <t>Basement</t>
  </si>
  <si>
    <t>Basement RF</t>
  </si>
  <si>
    <t>L227CASCADIA20OR</t>
  </si>
  <si>
    <t>Floor Truss Date</t>
  </si>
  <si>
    <t>NEED TO ORDER SCREWS</t>
  </si>
  <si>
    <t>L109NORTH904NWWA</t>
  </si>
  <si>
    <t>L110NORTH908NWWA</t>
  </si>
  <si>
    <t>Roof</t>
  </si>
  <si>
    <t>L16SALMONCREEKWA</t>
  </si>
  <si>
    <t>1st FLR RF</t>
  </si>
  <si>
    <t xml:space="preserve">2nd Floor Shaftliner </t>
  </si>
  <si>
    <t>L3ORCHARDSATABOR</t>
  </si>
  <si>
    <t>2ND FLOOR SYSTEM</t>
  </si>
  <si>
    <t>2ND FLOOR WALLS</t>
  </si>
  <si>
    <t>L218CASCADIA21OR</t>
  </si>
  <si>
    <t>L20MAPLEGROVE5WA</t>
  </si>
  <si>
    <t>L1473REEDSCROSOR</t>
  </si>
  <si>
    <t>L1474REEDSCROSOR</t>
  </si>
  <si>
    <t>L16MAPLEGROVE2WA</t>
  </si>
  <si>
    <t>PM</t>
  </si>
  <si>
    <t>L219CASCADIA21OR</t>
  </si>
  <si>
    <t>L15MAPLEGROVE2WA</t>
  </si>
  <si>
    <t>SHAFTLINER 1ST FLOOR</t>
  </si>
  <si>
    <t>L14MAPLEGROVE2WA</t>
  </si>
  <si>
    <t>L222CASCADIA21OR</t>
  </si>
  <si>
    <t>ROOF TRUSSES</t>
  </si>
  <si>
    <t>SHAFTLINER 2ND FLOOR</t>
  </si>
  <si>
    <t>32114NWREDHAVEOR</t>
  </si>
  <si>
    <t>Confirm</t>
  </si>
  <si>
    <t>L13MAPLEGROVE2WA</t>
  </si>
  <si>
    <t>L1520REEDSCROSOR</t>
  </si>
  <si>
    <t>L1521REEDSCROSOR</t>
  </si>
  <si>
    <t>L4ORCHARDSATABOR</t>
  </si>
  <si>
    <t>L220CASCADIA21OR</t>
  </si>
  <si>
    <t>Pony Wall?</t>
  </si>
  <si>
    <t>L12MAPLEGROVE2WA</t>
  </si>
  <si>
    <t>L221CASCADIA21OR</t>
  </si>
  <si>
    <t>L11MAPLEGROVE2WA</t>
  </si>
  <si>
    <t>L244CASCADIA21OR</t>
  </si>
  <si>
    <t>Notes:</t>
  </si>
  <si>
    <t>Add functionality to change color of cells accordingly</t>
  </si>
  <si>
    <t>Add safeguard to not allow you to run the Date Extractor without first running the Update Whiteboard Tool</t>
  </si>
  <si>
    <t>Review and save old macros - clean up VBA Modules</t>
  </si>
  <si>
    <t>Create custom ribbon buttons for cell color configuration along with quick keys</t>
  </si>
  <si>
    <t>Create a dictionary for Status options</t>
  </si>
  <si>
    <t>Lock two rows together so they don't get mixed up</t>
  </si>
  <si>
    <t>Create archive sheet and easy to use functionality for moving and sorting archived projects intuitively</t>
  </si>
  <si>
    <t xml:space="preserve">Add functionality to create new customers </t>
  </si>
  <si>
    <t xml:space="preserve">Add functionality to create new communities </t>
  </si>
  <si>
    <t>Add functionality to create new jobs</t>
  </si>
  <si>
    <t>Create a clean, easy to use dashboard for easy utilization</t>
  </si>
  <si>
    <t>Struct Drawings</t>
  </si>
  <si>
    <t>Building 12</t>
  </si>
  <si>
    <t>Modern</t>
  </si>
  <si>
    <t>Building 8</t>
  </si>
  <si>
    <t>Building 5</t>
  </si>
  <si>
    <t>Prairie</t>
  </si>
  <si>
    <t>Building 11</t>
  </si>
  <si>
    <t>NW</t>
  </si>
  <si>
    <t>Building 14</t>
  </si>
  <si>
    <t>Farmhouse</t>
  </si>
  <si>
    <t>1547K (153e)</t>
  </si>
  <si>
    <t>Building 13</t>
  </si>
  <si>
    <t>1626L (162i)</t>
  </si>
  <si>
    <t>1626D (162i)</t>
  </si>
  <si>
    <t>Building 4</t>
  </si>
  <si>
    <t>Building 3</t>
  </si>
  <si>
    <t>1547J (153e)</t>
  </si>
  <si>
    <t>Building 2</t>
  </si>
  <si>
    <t>Iselin Architecs</t>
  </si>
  <si>
    <t>Pliris</t>
  </si>
  <si>
    <t>BFS - Doug Enger</t>
  </si>
  <si>
    <t>1626A (162i)</t>
  </si>
  <si>
    <t>1626H (162i)</t>
  </si>
  <si>
    <t>Building 1 - Same a 3</t>
  </si>
  <si>
    <t>Building 6</t>
  </si>
  <si>
    <t>Building 7</t>
  </si>
  <si>
    <t>Buiding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</si>
</sst>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u/>
      <sz val="13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i/>
      <sz val="18"/>
      <color rgb="FF000000"/>
      <name val="Aharoni"/>
      <charset val="177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FFFF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FFFF"/>
      <name val="Calibri"/>
      <family val="2"/>
    </font>
    <font>
      <sz val="11"/>
      <name val="Calibri"/>
      <family val="2"/>
    </font>
    <font>
      <sz val="11"/>
      <color rgb="FFFFFFFF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66CC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33C0C"/>
        <bgColor rgb="FF000000"/>
      </patternFill>
    </fill>
    <fill>
      <patternFill patternType="solid">
        <fgColor rgb="FF833C0C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FFFFFF"/>
      </right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208">
    <xf numFmtId="0" fontId="0" fillId="0" borderId="0" xfId="0"/>
    <xf numFmtId="14" fontId="0" fillId="0" borderId="0" xfId="0" applyNumberFormat="1"/>
    <xf numFmtId="0" fontId="0" fillId="10" borderId="0" xfId="0" applyFill="1"/>
    <xf numFmtId="0" fontId="9" fillId="9" borderId="34" xfId="0" applyFont="1" applyFill="1" applyBorder="1" applyAlignment="1" applyProtection="1">
      <alignment horizontal="center" vertical="center"/>
      <protection locked="0"/>
    </xf>
    <xf numFmtId="0" fontId="13" fillId="4" borderId="3" xfId="0" applyFont="1" applyFill="1" applyBorder="1" applyAlignment="1" applyProtection="1">
      <alignment horizontal="left" vertical="center"/>
      <protection locked="0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6" fillId="3" borderId="0" xfId="2" applyFill="1" applyAlignment="1" applyProtection="1">
      <alignment horizontal="right" vertical="center"/>
      <protection locked="0"/>
    </xf>
    <xf numFmtId="0" fontId="5" fillId="3" borderId="0" xfId="0" applyFont="1" applyFill="1" applyAlignment="1" applyProtection="1">
      <alignment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Protection="1"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7" fillId="7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0" fillId="8" borderId="4" xfId="0" applyFont="1" applyFill="1" applyBorder="1" applyAlignment="1" applyProtection="1">
      <alignment vertical="center"/>
      <protection locked="0"/>
    </xf>
    <xf numFmtId="0" fontId="10" fillId="8" borderId="5" xfId="0" applyFont="1" applyFill="1" applyBorder="1" applyAlignment="1" applyProtection="1">
      <alignment vertical="center"/>
      <protection locked="0"/>
    </xf>
    <xf numFmtId="0" fontId="11" fillId="3" borderId="2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11" fillId="3" borderId="0" xfId="0" applyFont="1" applyFill="1" applyProtection="1">
      <protection locked="0"/>
    </xf>
    <xf numFmtId="0" fontId="10" fillId="8" borderId="2" xfId="0" applyFont="1" applyFill="1" applyBorder="1" applyAlignment="1" applyProtection="1">
      <alignment horizontal="center" vertical="center"/>
      <protection locked="0"/>
    </xf>
    <xf numFmtId="0" fontId="11" fillId="3" borderId="28" xfId="0" applyFont="1" applyFill="1" applyBorder="1" applyAlignment="1" applyProtection="1">
      <alignment horizontal="center" vertical="center"/>
      <protection locked="0"/>
    </xf>
    <xf numFmtId="0" fontId="9" fillId="9" borderId="2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vertical="center"/>
      <protection locked="0"/>
    </xf>
    <xf numFmtId="0" fontId="9" fillId="9" borderId="26" xfId="0" applyFont="1" applyFill="1" applyBorder="1" applyAlignment="1" applyProtection="1">
      <alignment horizontal="center" vertical="center"/>
      <protection locked="0"/>
    </xf>
    <xf numFmtId="0" fontId="9" fillId="6" borderId="18" xfId="0" applyFont="1" applyFill="1" applyBorder="1" applyProtection="1">
      <protection locked="0"/>
    </xf>
    <xf numFmtId="0" fontId="9" fillId="4" borderId="18" xfId="0" applyFont="1" applyFill="1" applyBorder="1" applyProtection="1">
      <protection locked="0"/>
    </xf>
    <xf numFmtId="0" fontId="9" fillId="4" borderId="6" xfId="0" applyFont="1" applyFill="1" applyBorder="1" applyProtection="1">
      <protection locked="0"/>
    </xf>
    <xf numFmtId="0" fontId="9" fillId="4" borderId="11" xfId="0" applyFont="1" applyFill="1" applyBorder="1" applyProtection="1">
      <protection locked="0"/>
    </xf>
    <xf numFmtId="0" fontId="13" fillId="4" borderId="3" xfId="0" applyFont="1" applyFill="1" applyBorder="1" applyAlignment="1" applyProtection="1">
      <alignment horizontal="right" vertical="center"/>
      <protection locked="0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6" borderId="17" xfId="0" applyFont="1" applyFill="1" applyBorder="1" applyProtection="1">
      <protection locked="0"/>
    </xf>
    <xf numFmtId="0" fontId="9" fillId="4" borderId="17" xfId="0" applyFont="1" applyFill="1" applyBorder="1" applyProtection="1">
      <protection locked="0"/>
    </xf>
    <xf numFmtId="0" fontId="9" fillId="4" borderId="20" xfId="0" applyFont="1" applyFill="1" applyBorder="1" applyProtection="1">
      <protection locked="0"/>
    </xf>
    <xf numFmtId="0" fontId="9" fillId="4" borderId="9" xfId="0" applyFont="1" applyFill="1" applyBorder="1" applyProtection="1">
      <protection locked="0"/>
    </xf>
    <xf numFmtId="14" fontId="9" fillId="5" borderId="16" xfId="0" applyNumberFormat="1" applyFont="1" applyFill="1" applyBorder="1" applyAlignment="1" applyProtection="1">
      <alignment horizontal="center" vertical="center"/>
      <protection locked="0"/>
    </xf>
    <xf numFmtId="14" fontId="9" fillId="11" borderId="16" xfId="0" applyNumberFormat="1" applyFont="1" applyFill="1" applyBorder="1" applyAlignment="1" applyProtection="1">
      <alignment horizontal="center" vertical="center"/>
      <protection locked="0"/>
    </xf>
    <xf numFmtId="0" fontId="9" fillId="5" borderId="14" xfId="0" applyFont="1" applyFill="1" applyBorder="1" applyAlignment="1" applyProtection="1">
      <alignment horizontal="center" vertical="center"/>
      <protection locked="0"/>
    </xf>
    <xf numFmtId="0" fontId="9" fillId="11" borderId="14" xfId="0" applyFont="1" applyFill="1" applyBorder="1" applyAlignment="1" applyProtection="1">
      <alignment horizontal="center" vertical="center"/>
      <protection locked="0"/>
    </xf>
    <xf numFmtId="0" fontId="9" fillId="11" borderId="16" xfId="0" applyFont="1" applyFill="1" applyBorder="1" applyAlignment="1" applyProtection="1">
      <alignment horizontal="center" vertical="center"/>
      <protection locked="0"/>
    </xf>
    <xf numFmtId="0" fontId="9" fillId="9" borderId="2" xfId="0" applyFont="1" applyFill="1" applyBorder="1" applyAlignment="1" applyProtection="1">
      <alignment vertical="center"/>
      <protection locked="0"/>
    </xf>
    <xf numFmtId="0" fontId="9" fillId="9" borderId="3" xfId="0" applyFont="1" applyFill="1" applyBorder="1" applyAlignment="1" applyProtection="1">
      <alignment horizontal="center" vertical="center"/>
      <protection locked="0"/>
    </xf>
    <xf numFmtId="0" fontId="9" fillId="4" borderId="16" xfId="0" applyFont="1" applyFill="1" applyBorder="1" applyAlignment="1" applyProtection="1">
      <alignment horizontal="center" vertical="center"/>
      <protection locked="0"/>
    </xf>
    <xf numFmtId="14" fontId="9" fillId="4" borderId="16" xfId="0" applyNumberFormat="1" applyFont="1" applyFill="1" applyBorder="1" applyAlignment="1" applyProtection="1">
      <alignment horizontal="center" vertical="center"/>
      <protection locked="0"/>
    </xf>
    <xf numFmtId="0" fontId="9" fillId="4" borderId="29" xfId="0" applyFont="1" applyFill="1" applyBorder="1" applyAlignment="1" applyProtection="1">
      <alignment horizontal="center" vertical="center"/>
      <protection locked="0"/>
    </xf>
    <xf numFmtId="0" fontId="9" fillId="4" borderId="14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horizontal="left" vertical="center"/>
      <protection locked="0"/>
    </xf>
    <xf numFmtId="0" fontId="13" fillId="4" borderId="18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horizontal="left" vertical="top"/>
      <protection locked="0"/>
    </xf>
    <xf numFmtId="14" fontId="9" fillId="17" borderId="16" xfId="0" applyNumberFormat="1" applyFont="1" applyFill="1" applyBorder="1" applyAlignment="1" applyProtection="1">
      <alignment horizontal="center" vertical="center"/>
      <protection locked="0"/>
    </xf>
    <xf numFmtId="0" fontId="9" fillId="17" borderId="14" xfId="0" applyFont="1" applyFill="1" applyBorder="1" applyAlignment="1" applyProtection="1">
      <alignment horizontal="center" vertical="center"/>
      <protection locked="0"/>
    </xf>
    <xf numFmtId="0" fontId="18" fillId="9" borderId="0" xfId="0" applyFont="1" applyFill="1" applyAlignment="1" applyProtection="1">
      <alignment vertical="center"/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8" borderId="0" xfId="0" applyFont="1" applyFill="1" applyAlignment="1" applyProtection="1">
      <alignment horizontal="left"/>
      <protection locked="0"/>
    </xf>
    <xf numFmtId="0" fontId="10" fillId="8" borderId="0" xfId="0" applyFont="1" applyFill="1" applyAlignment="1" applyProtection="1">
      <alignment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0" fillId="8" borderId="2" xfId="0" applyFont="1" applyFill="1" applyBorder="1" applyAlignment="1" applyProtection="1">
      <alignment vertical="center"/>
      <protection locked="0"/>
    </xf>
    <xf numFmtId="0" fontId="9" fillId="9" borderId="7" xfId="0" applyFont="1" applyFill="1" applyBorder="1" applyAlignment="1" applyProtection="1">
      <alignment horizontal="center" vertical="center"/>
      <protection locked="0"/>
    </xf>
    <xf numFmtId="0" fontId="9" fillId="9" borderId="7" xfId="0" applyFont="1" applyFill="1" applyBorder="1" applyAlignment="1" applyProtection="1">
      <alignment vertical="center"/>
      <protection locked="0"/>
    </xf>
    <xf numFmtId="14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9" fillId="11" borderId="22" xfId="0" applyFont="1" applyFill="1" applyBorder="1" applyProtection="1">
      <protection locked="0"/>
    </xf>
    <xf numFmtId="14" fontId="9" fillId="5" borderId="10" xfId="0" applyNumberFormat="1" applyFont="1" applyFill="1" applyBorder="1" applyAlignment="1" applyProtection="1">
      <alignment horizontal="center"/>
      <protection locked="0"/>
    </xf>
    <xf numFmtId="0" fontId="9" fillId="4" borderId="10" xfId="0" applyFont="1" applyFill="1" applyBorder="1" applyProtection="1">
      <protection locked="0"/>
    </xf>
    <xf numFmtId="0" fontId="9" fillId="4" borderId="22" xfId="0" applyFont="1" applyFill="1" applyBorder="1" applyProtection="1">
      <protection locked="0"/>
    </xf>
    <xf numFmtId="0" fontId="13" fillId="4" borderId="8" xfId="0" applyFont="1" applyFill="1" applyBorder="1" applyAlignment="1" applyProtection="1">
      <alignment horizontal="right" vertical="center"/>
      <protection locked="0"/>
    </xf>
    <xf numFmtId="0" fontId="13" fillId="4" borderId="8" xfId="0" applyFont="1" applyFill="1" applyBorder="1" applyAlignment="1" applyProtection="1">
      <alignment vertical="center"/>
      <protection locked="0"/>
    </xf>
    <xf numFmtId="0" fontId="9" fillId="5" borderId="9" xfId="0" applyFont="1" applyFill="1" applyBorder="1" applyAlignment="1" applyProtection="1">
      <alignment horizontal="center" vertical="center"/>
      <protection locked="0"/>
    </xf>
    <xf numFmtId="14" fontId="9" fillId="5" borderId="9" xfId="0" applyNumberFormat="1" applyFont="1" applyFill="1" applyBorder="1" applyAlignment="1" applyProtection="1">
      <alignment horizontal="center" vertical="center"/>
      <protection locked="0"/>
    </xf>
    <xf numFmtId="0" fontId="9" fillId="11" borderId="21" xfId="0" applyFont="1" applyFill="1" applyBorder="1" applyProtection="1">
      <protection locked="0"/>
    </xf>
    <xf numFmtId="0" fontId="9" fillId="5" borderId="9" xfId="0" applyFont="1" applyFill="1" applyBorder="1" applyAlignment="1" applyProtection="1">
      <alignment horizontal="center"/>
      <protection locked="0"/>
    </xf>
    <xf numFmtId="0" fontId="9" fillId="4" borderId="23" xfId="0" applyFont="1" applyFill="1" applyBorder="1" applyProtection="1">
      <protection locked="0"/>
    </xf>
    <xf numFmtId="0" fontId="9" fillId="3" borderId="0" xfId="0" applyFont="1" applyFill="1" applyProtection="1">
      <protection locked="0"/>
    </xf>
    <xf numFmtId="0" fontId="9" fillId="4" borderId="21" xfId="0" applyFont="1" applyFill="1" applyBorder="1" applyProtection="1">
      <protection locked="0"/>
    </xf>
    <xf numFmtId="0" fontId="9" fillId="3" borderId="0" xfId="0" applyFont="1" applyFill="1" applyAlignment="1" applyProtection="1">
      <alignment horizontal="left" vertical="center"/>
      <protection locked="0"/>
    </xf>
    <xf numFmtId="0" fontId="11" fillId="8" borderId="2" xfId="0" applyFont="1" applyFill="1" applyBorder="1" applyAlignment="1" applyProtection="1">
      <alignment vertical="center" wrapText="1"/>
      <protection locked="0"/>
    </xf>
    <xf numFmtId="0" fontId="11" fillId="3" borderId="19" xfId="0" applyFont="1" applyFill="1" applyBorder="1" applyAlignment="1" applyProtection="1">
      <alignment horizontal="center" vertical="center"/>
      <protection locked="0"/>
    </xf>
    <xf numFmtId="0" fontId="11" fillId="3" borderId="25" xfId="0" applyFont="1" applyFill="1" applyBorder="1" applyAlignment="1" applyProtection="1">
      <alignment horizontal="center" vertical="center"/>
      <protection locked="0"/>
    </xf>
    <xf numFmtId="0" fontId="14" fillId="3" borderId="28" xfId="0" applyFont="1" applyFill="1" applyBorder="1" applyProtection="1">
      <protection locked="0"/>
    </xf>
    <xf numFmtId="49" fontId="9" fillId="9" borderId="2" xfId="0" applyNumberFormat="1" applyFont="1" applyFill="1" applyBorder="1" applyAlignment="1" applyProtection="1">
      <alignment vertical="center"/>
      <protection locked="0"/>
    </xf>
    <xf numFmtId="49" fontId="13" fillId="4" borderId="3" xfId="0" applyNumberFormat="1" applyFont="1" applyFill="1" applyBorder="1" applyAlignment="1" applyProtection="1">
      <alignment vertical="center"/>
      <protection locked="0"/>
    </xf>
    <xf numFmtId="14" fontId="9" fillId="11" borderId="14" xfId="0" applyNumberFormat="1" applyFont="1" applyFill="1" applyBorder="1" applyAlignment="1" applyProtection="1">
      <alignment horizontal="center" vertical="center"/>
      <protection locked="0"/>
    </xf>
    <xf numFmtId="14" fontId="9" fillId="11" borderId="11" xfId="0" applyNumberFormat="1" applyFont="1" applyFill="1" applyBorder="1" applyAlignment="1" applyProtection="1">
      <alignment horizontal="center" vertical="center"/>
      <protection locked="0"/>
    </xf>
    <xf numFmtId="0" fontId="9" fillId="11" borderId="11" xfId="0" applyFont="1" applyFill="1" applyBorder="1" applyAlignment="1" applyProtection="1">
      <alignment horizontal="center" vertical="center"/>
      <protection locked="0"/>
    </xf>
    <xf numFmtId="0" fontId="9" fillId="11" borderId="9" xfId="0" applyFont="1" applyFill="1" applyBorder="1" applyAlignment="1" applyProtection="1">
      <alignment horizontal="center" vertical="center"/>
      <protection locked="0"/>
    </xf>
    <xf numFmtId="0" fontId="9" fillId="4" borderId="14" xfId="0" applyFont="1" applyFill="1" applyBorder="1" applyProtection="1">
      <protection locked="0"/>
    </xf>
    <xf numFmtId="14" fontId="9" fillId="5" borderId="11" xfId="0" applyNumberFormat="1" applyFont="1" applyFill="1" applyBorder="1" applyAlignment="1" applyProtection="1">
      <alignment horizontal="center" vertical="center"/>
      <protection locked="0"/>
    </xf>
    <xf numFmtId="14" fontId="9" fillId="11" borderId="18" xfId="0" applyNumberFormat="1" applyFont="1" applyFill="1" applyBorder="1" applyAlignment="1" applyProtection="1">
      <alignment horizontal="center"/>
      <protection locked="0"/>
    </xf>
    <xf numFmtId="14" fontId="9" fillId="5" borderId="18" xfId="0" applyNumberFormat="1" applyFont="1" applyFill="1" applyBorder="1" applyAlignment="1" applyProtection="1">
      <alignment horizontal="center"/>
      <protection locked="0"/>
    </xf>
    <xf numFmtId="0" fontId="9" fillId="11" borderId="18" xfId="0" applyFont="1" applyFill="1" applyBorder="1" applyProtection="1">
      <protection locked="0"/>
    </xf>
    <xf numFmtId="0" fontId="9" fillId="11" borderId="14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Protection="1">
      <protection locked="0"/>
    </xf>
    <xf numFmtId="0" fontId="9" fillId="11" borderId="14" xfId="0" applyFont="1" applyFill="1" applyBorder="1" applyProtection="1">
      <protection locked="0"/>
    </xf>
    <xf numFmtId="14" fontId="9" fillId="11" borderId="9" xfId="0" applyNumberFormat="1" applyFont="1" applyFill="1" applyBorder="1" applyAlignment="1" applyProtection="1">
      <alignment horizontal="center" vertical="center"/>
      <protection locked="0"/>
    </xf>
    <xf numFmtId="14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0" fontId="9" fillId="15" borderId="11" xfId="0" applyFont="1" applyFill="1" applyBorder="1" applyAlignment="1" applyProtection="1">
      <alignment horizontal="center" vertical="center"/>
      <protection locked="0"/>
    </xf>
    <xf numFmtId="0" fontId="9" fillId="15" borderId="9" xfId="0" applyFont="1" applyFill="1" applyBorder="1" applyAlignment="1" applyProtection="1">
      <alignment horizontal="center" vertical="center"/>
      <protection locked="0"/>
    </xf>
    <xf numFmtId="14" fontId="9" fillId="11" borderId="29" xfId="0" applyNumberFormat="1" applyFont="1" applyFill="1" applyBorder="1" applyAlignment="1" applyProtection="1">
      <alignment horizontal="center" vertical="center"/>
      <protection locked="0"/>
    </xf>
    <xf numFmtId="0" fontId="9" fillId="11" borderId="29" xfId="0" applyFont="1" applyFill="1" applyBorder="1" applyAlignment="1" applyProtection="1">
      <alignment horizontal="center" vertical="center"/>
      <protection locked="0"/>
    </xf>
    <xf numFmtId="14" fontId="9" fillId="11" borderId="22" xfId="0" applyNumberFormat="1" applyFont="1" applyFill="1" applyBorder="1" applyAlignment="1" applyProtection="1">
      <alignment horizontal="center"/>
      <protection locked="0"/>
    </xf>
    <xf numFmtId="0" fontId="13" fillId="4" borderId="7" xfId="0" applyFont="1" applyFill="1" applyBorder="1" applyAlignment="1" applyProtection="1">
      <alignment horizontal="right" vertical="center"/>
      <protection locked="0"/>
    </xf>
    <xf numFmtId="0" fontId="13" fillId="4" borderId="7" xfId="0" applyFont="1" applyFill="1" applyBorder="1" applyAlignment="1" applyProtection="1">
      <alignment vertical="center"/>
      <protection locked="0"/>
    </xf>
    <xf numFmtId="0" fontId="9" fillId="11" borderId="21" xfId="0" applyFont="1" applyFill="1" applyBorder="1" applyAlignment="1" applyProtection="1">
      <alignment horizontal="center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11" fillId="3" borderId="28" xfId="0" applyFont="1" applyFill="1" applyBorder="1" applyProtection="1">
      <protection locked="0"/>
    </xf>
    <xf numFmtId="0" fontId="9" fillId="3" borderId="28" xfId="0" applyFont="1" applyFill="1" applyBorder="1" applyProtection="1">
      <protection locked="0"/>
    </xf>
    <xf numFmtId="0" fontId="9" fillId="9" borderId="8" xfId="0" applyFont="1" applyFill="1" applyBorder="1" applyAlignment="1" applyProtection="1">
      <alignment horizontal="center" vertical="center"/>
      <protection locked="0"/>
    </xf>
    <xf numFmtId="0" fontId="9" fillId="9" borderId="8" xfId="0" applyFont="1" applyFill="1" applyBorder="1" applyAlignment="1" applyProtection="1">
      <alignment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14" fontId="9" fillId="4" borderId="29" xfId="0" applyNumberFormat="1" applyFont="1" applyFill="1" applyBorder="1" applyAlignment="1" applyProtection="1">
      <alignment horizontal="center" vertical="center"/>
      <protection locked="0"/>
    </xf>
    <xf numFmtId="0" fontId="9" fillId="4" borderId="31" xfId="0" applyFont="1" applyFill="1" applyBorder="1" applyProtection="1">
      <protection locked="0"/>
    </xf>
    <xf numFmtId="0" fontId="9" fillId="4" borderId="13" xfId="0" applyFont="1" applyFill="1" applyBorder="1" applyProtection="1">
      <protection locked="0"/>
    </xf>
    <xf numFmtId="0" fontId="9" fillId="3" borderId="28" xfId="0" applyFont="1" applyFill="1" applyBorder="1" applyAlignment="1" applyProtection="1">
      <alignment horizontal="center" vertical="center"/>
      <protection locked="0"/>
    </xf>
    <xf numFmtId="0" fontId="9" fillId="14" borderId="29" xfId="0" applyFont="1" applyFill="1" applyBorder="1" applyAlignment="1" applyProtection="1">
      <alignment horizontal="center" vertical="center"/>
      <protection locked="0"/>
    </xf>
    <xf numFmtId="0" fontId="9" fillId="11" borderId="12" xfId="0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14" borderId="12" xfId="0" applyFont="1" applyFill="1" applyBorder="1" applyAlignment="1" applyProtection="1">
      <alignment horizontal="center" vertic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9" fillId="4" borderId="12" xfId="0" applyFont="1" applyFill="1" applyBorder="1" applyProtection="1">
      <protection locked="0"/>
    </xf>
    <xf numFmtId="0" fontId="9" fillId="4" borderId="32" xfId="0" applyFont="1" applyFill="1" applyBorder="1" applyProtection="1">
      <protection locked="0"/>
    </xf>
    <xf numFmtId="0" fontId="9" fillId="16" borderId="29" xfId="0" applyFont="1" applyFill="1" applyBorder="1" applyAlignment="1" applyProtection="1">
      <alignment horizontal="center" vertical="center"/>
      <protection locked="0"/>
    </xf>
    <xf numFmtId="0" fontId="9" fillId="16" borderId="9" xfId="0" applyFont="1" applyFill="1" applyBorder="1" applyAlignment="1" applyProtection="1">
      <alignment horizontal="center" vertical="center"/>
      <protection locked="0"/>
    </xf>
    <xf numFmtId="14" fontId="9" fillId="17" borderId="29" xfId="0" applyNumberFormat="1" applyFont="1" applyFill="1" applyBorder="1" applyAlignment="1" applyProtection="1">
      <alignment horizontal="center" vertical="center"/>
      <protection locked="0"/>
    </xf>
    <xf numFmtId="0" fontId="9" fillId="17" borderId="29" xfId="0" applyFont="1" applyFill="1" applyBorder="1" applyAlignment="1" applyProtection="1">
      <alignment horizontal="center" vertical="center"/>
      <protection locked="0"/>
    </xf>
    <xf numFmtId="0" fontId="9" fillId="17" borderId="9" xfId="0" applyFont="1" applyFill="1" applyBorder="1" applyAlignment="1" applyProtection="1">
      <alignment horizontal="center" vertical="center"/>
      <protection locked="0"/>
    </xf>
    <xf numFmtId="0" fontId="9" fillId="4" borderId="24" xfId="0" applyFont="1" applyFill="1" applyBorder="1" applyProtection="1">
      <protection locked="0"/>
    </xf>
    <xf numFmtId="0" fontId="9" fillId="14" borderId="24" xfId="0" applyFont="1" applyFill="1" applyBorder="1" applyProtection="1">
      <protection locked="0"/>
    </xf>
    <xf numFmtId="0" fontId="9" fillId="14" borderId="23" xfId="0" applyFont="1" applyFill="1" applyBorder="1" applyProtection="1">
      <protection locked="0"/>
    </xf>
    <xf numFmtId="0" fontId="13" fillId="0" borderId="8" xfId="0" applyFont="1" applyBorder="1" applyAlignment="1" applyProtection="1">
      <alignment horizontal="right" vertical="center"/>
      <protection locked="0"/>
    </xf>
    <xf numFmtId="0" fontId="13" fillId="0" borderId="8" xfId="0" applyFont="1" applyBorder="1" applyAlignment="1" applyProtection="1">
      <alignment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left" vertical="center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2" fillId="3" borderId="30" xfId="0" applyFont="1" applyFill="1" applyBorder="1" applyAlignment="1" applyProtection="1">
      <alignment horizontal="center" vertical="center"/>
      <protection locked="0"/>
    </xf>
    <xf numFmtId="0" fontId="11" fillId="3" borderId="15" xfId="0" applyFont="1" applyFill="1" applyBorder="1" applyProtection="1">
      <protection locked="0"/>
    </xf>
    <xf numFmtId="0" fontId="11" fillId="3" borderId="24" xfId="0" applyFont="1" applyFill="1" applyBorder="1" applyProtection="1">
      <protection locked="0"/>
    </xf>
    <xf numFmtId="0" fontId="11" fillId="3" borderId="11" xfId="0" applyFont="1" applyFill="1" applyBorder="1" applyProtection="1">
      <protection locked="0"/>
    </xf>
    <xf numFmtId="0" fontId="10" fillId="8" borderId="0" xfId="0" applyFont="1" applyFill="1" applyAlignment="1" applyProtection="1">
      <alignment horizontal="center" vertical="center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14" fontId="9" fillId="12" borderId="22" xfId="0" applyNumberFormat="1" applyFont="1" applyFill="1" applyBorder="1" applyAlignment="1" applyProtection="1">
      <alignment horizontal="center"/>
      <protection locked="0"/>
    </xf>
    <xf numFmtId="14" fontId="9" fillId="16" borderId="22" xfId="0" applyNumberFormat="1" applyFont="1" applyFill="1" applyBorder="1" applyAlignment="1" applyProtection="1">
      <alignment horizontal="center"/>
      <protection locked="0"/>
    </xf>
    <xf numFmtId="14" fontId="9" fillId="13" borderId="22" xfId="0" applyNumberFormat="1" applyFont="1" applyFill="1" applyBorder="1" applyAlignment="1" applyProtection="1">
      <alignment horizontal="center"/>
      <protection locked="0"/>
    </xf>
    <xf numFmtId="0" fontId="9" fillId="11" borderId="23" xfId="0" applyFont="1" applyFill="1" applyBorder="1" applyAlignment="1" applyProtection="1">
      <alignment horizontal="center"/>
      <protection locked="0"/>
    </xf>
    <xf numFmtId="0" fontId="9" fillId="12" borderId="23" xfId="0" applyFont="1" applyFill="1" applyBorder="1" applyAlignment="1" applyProtection="1">
      <alignment horizontal="center"/>
      <protection locked="0"/>
    </xf>
    <xf numFmtId="0" fontId="9" fillId="16" borderId="23" xfId="0" applyFont="1" applyFill="1" applyBorder="1" applyAlignment="1" applyProtection="1">
      <alignment horizontal="center"/>
      <protection locked="0"/>
    </xf>
    <xf numFmtId="0" fontId="9" fillId="13" borderId="23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Protection="1"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17" fillId="4" borderId="15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left" vertical="center"/>
    </xf>
    <xf numFmtId="0" fontId="13" fillId="4" borderId="33" xfId="0" applyFont="1" applyFill="1" applyBorder="1" applyAlignment="1">
      <alignment horizontal="center" vertical="center"/>
    </xf>
    <xf numFmtId="0" fontId="17" fillId="3" borderId="27" xfId="0" applyFont="1" applyFill="1" applyBorder="1" applyAlignment="1">
      <alignment horizontal="center" vertical="center"/>
    </xf>
    <xf numFmtId="0" fontId="9" fillId="9" borderId="26" xfId="0" applyFont="1" applyFill="1" applyBorder="1" applyAlignment="1">
      <alignment horizontal="center" vertical="center"/>
    </xf>
    <xf numFmtId="0" fontId="9" fillId="4" borderId="36" xfId="0" applyFont="1" applyFill="1" applyBorder="1" applyProtection="1">
      <protection locked="0"/>
    </xf>
    <xf numFmtId="0" fontId="13" fillId="4" borderId="37" xfId="0" applyFont="1" applyFill="1" applyBorder="1" applyAlignment="1">
      <alignment horizontal="left" vertical="center"/>
    </xf>
    <xf numFmtId="0" fontId="13" fillId="4" borderId="38" xfId="0" applyFont="1" applyFill="1" applyBorder="1" applyAlignment="1">
      <alignment horizontal="left" vertical="center"/>
    </xf>
    <xf numFmtId="0" fontId="17" fillId="3" borderId="0" xfId="0" applyFont="1" applyFill="1" applyAlignment="1">
      <alignment horizontal="center" vertical="center"/>
    </xf>
    <xf numFmtId="0" fontId="10" fillId="8" borderId="39" xfId="0" applyFont="1" applyFill="1" applyBorder="1" applyAlignment="1" applyProtection="1">
      <alignment vertical="center"/>
      <protection locked="0"/>
    </xf>
    <xf numFmtId="0" fontId="10" fillId="8" borderId="40" xfId="0" applyFont="1" applyFill="1" applyBorder="1" applyAlignment="1" applyProtection="1">
      <alignment vertical="center"/>
      <protection locked="0"/>
    </xf>
    <xf numFmtId="0" fontId="9" fillId="4" borderId="41" xfId="0" applyFont="1" applyFill="1" applyBorder="1" applyProtection="1">
      <protection locked="0"/>
    </xf>
    <xf numFmtId="0" fontId="9" fillId="17" borderId="42" xfId="0" applyFont="1" applyFill="1" applyBorder="1" applyAlignment="1" applyProtection="1">
      <alignment horizontal="center" vertical="center"/>
      <protection locked="0"/>
    </xf>
    <xf numFmtId="0" fontId="9" fillId="4" borderId="42" xfId="0" applyFont="1" applyFill="1" applyBorder="1" applyAlignment="1" applyProtection="1">
      <alignment horizontal="center" vertical="center"/>
      <protection locked="0"/>
    </xf>
    <xf numFmtId="14" fontId="9" fillId="6" borderId="18" xfId="0" applyNumberFormat="1" applyFont="1" applyFill="1" applyBorder="1" applyAlignment="1" applyProtection="1">
      <alignment horizontal="center"/>
      <protection locked="0"/>
    </xf>
    <xf numFmtId="0" fontId="9" fillId="6" borderId="17" xfId="0" applyFont="1" applyFill="1" applyBorder="1" applyAlignment="1" applyProtection="1">
      <alignment horizontal="center"/>
      <protection locked="0"/>
    </xf>
    <xf numFmtId="14" fontId="14" fillId="18" borderId="18" xfId="0" applyNumberFormat="1" applyFont="1" applyFill="1" applyBorder="1" applyAlignment="1" applyProtection="1">
      <alignment horizontal="center"/>
      <protection locked="0"/>
    </xf>
    <xf numFmtId="0" fontId="14" fillId="18" borderId="17" xfId="0" applyFont="1" applyFill="1" applyBorder="1" applyAlignment="1" applyProtection="1">
      <alignment horizontal="center"/>
      <protection locked="0"/>
    </xf>
    <xf numFmtId="14" fontId="9" fillId="17" borderId="22" xfId="0" applyNumberFormat="1" applyFont="1" applyFill="1" applyBorder="1" applyAlignment="1" applyProtection="1">
      <alignment horizontal="center"/>
      <protection locked="0"/>
    </xf>
    <xf numFmtId="0" fontId="9" fillId="17" borderId="23" xfId="0" applyFont="1" applyFill="1" applyBorder="1" applyAlignment="1" applyProtection="1">
      <alignment horizontal="center"/>
      <protection locked="0"/>
    </xf>
    <xf numFmtId="14" fontId="14" fillId="19" borderId="29" xfId="0" applyNumberFormat="1" applyFont="1" applyFill="1" applyBorder="1" applyAlignment="1" applyProtection="1">
      <alignment horizontal="center" vertical="center"/>
      <protection locked="0"/>
    </xf>
    <xf numFmtId="0" fontId="14" fillId="19" borderId="9" xfId="0" applyFont="1" applyFill="1" applyBorder="1" applyAlignment="1" applyProtection="1">
      <alignment horizontal="center" vertical="center"/>
      <protection locked="0"/>
    </xf>
    <xf numFmtId="14" fontId="9" fillId="20" borderId="29" xfId="0" applyNumberFormat="1" applyFont="1" applyFill="1" applyBorder="1" applyAlignment="1" applyProtection="1">
      <alignment horizontal="center" vertical="center"/>
      <protection locked="0"/>
    </xf>
    <xf numFmtId="0" fontId="9" fillId="20" borderId="9" xfId="0" applyFont="1" applyFill="1" applyBorder="1" applyAlignment="1" applyProtection="1">
      <alignment horizontal="center" vertical="center"/>
      <protection locked="0"/>
    </xf>
    <xf numFmtId="0" fontId="9" fillId="14" borderId="9" xfId="0" applyFont="1" applyFill="1" applyBorder="1" applyAlignment="1" applyProtection="1">
      <alignment horizontal="center" vertical="center"/>
      <protection locked="0"/>
    </xf>
    <xf numFmtId="0" fontId="13" fillId="4" borderId="8" xfId="0" applyFont="1" applyFill="1" applyBorder="1" applyAlignment="1" applyProtection="1">
      <alignment horizontal="left" vertical="center"/>
      <protection locked="0"/>
    </xf>
    <xf numFmtId="0" fontId="9" fillId="9" borderId="8" xfId="0" applyFont="1" applyFill="1" applyBorder="1" applyAlignment="1" applyProtection="1">
      <alignment horizontal="left" vertical="center"/>
      <protection locked="0"/>
    </xf>
    <xf numFmtId="14" fontId="9" fillId="15" borderId="16" xfId="0" applyNumberFormat="1" applyFont="1" applyFill="1" applyBorder="1" applyAlignment="1" applyProtection="1">
      <alignment horizontal="center" vertical="center"/>
      <protection locked="0"/>
    </xf>
    <xf numFmtId="0" fontId="9" fillId="15" borderId="16" xfId="0" applyFont="1" applyFill="1" applyBorder="1" applyAlignment="1" applyProtection="1">
      <alignment horizontal="center" vertical="center"/>
      <protection locked="0"/>
    </xf>
    <xf numFmtId="0" fontId="9" fillId="15" borderId="14" xfId="0" applyFont="1" applyFill="1" applyBorder="1" applyAlignment="1" applyProtection="1">
      <alignment horizontal="center" vertical="center"/>
      <protection locked="0"/>
    </xf>
    <xf numFmtId="14" fontId="9" fillId="12" borderId="16" xfId="0" applyNumberFormat="1" applyFont="1" applyFill="1" applyBorder="1" applyAlignment="1" applyProtection="1">
      <alignment horizontal="center" vertical="center"/>
      <protection locked="0"/>
    </xf>
    <xf numFmtId="0" fontId="9" fillId="12" borderId="14" xfId="0" applyFont="1" applyFill="1" applyBorder="1" applyAlignment="1" applyProtection="1">
      <alignment horizontal="center" vertical="center"/>
      <protection locked="0"/>
    </xf>
    <xf numFmtId="14" fontId="9" fillId="21" borderId="22" xfId="0" applyNumberFormat="1" applyFont="1" applyFill="1" applyBorder="1" applyAlignment="1" applyProtection="1">
      <alignment horizontal="center"/>
      <protection locked="0"/>
    </xf>
    <xf numFmtId="0" fontId="9" fillId="21" borderId="23" xfId="0" applyFont="1" applyFill="1" applyBorder="1" applyAlignment="1" applyProtection="1">
      <alignment horizontal="center"/>
      <protection locked="0"/>
    </xf>
    <xf numFmtId="0" fontId="9" fillId="17" borderId="12" xfId="0" applyFont="1" applyFill="1" applyBorder="1" applyAlignment="1" applyProtection="1">
      <alignment horizontal="center" vertical="center"/>
      <protection locked="0"/>
    </xf>
    <xf numFmtId="0" fontId="9" fillId="5" borderId="12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/>
    </xf>
  </cellXfs>
  <cellStyles count="3">
    <cellStyle name="Hyperlink" xfId="2" builtinId="8"/>
    <cellStyle name="Normal" xfId="0" builtinId="0"/>
    <cellStyle name="Normal 2" xfId="1" xr:uid="{9AFE18BA-5F1E-4A09-A015-ED6A5990D6C7}"/>
  </cellStyles>
  <dxfs count="1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6FF"/>
      <color rgb="FFFF66CC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1912484</xdr:colOff>
      <xdr:row>0</xdr:row>
      <xdr:rowOff>74705</xdr:rowOff>
    </xdr:from>
    <xdr:to>
      <xdr:col>2</xdr:col>
      <xdr:colOff>598856</xdr:colOff>
      <xdr:row>0</xdr:row>
      <xdr:rowOff>303305</xdr:rowOff>
    </xdr:to>
    <xdr:sp macro="ToggleWorkingMode" textlink="">
      <xdr:nvSpPr>
        <xdr:cNvPr id="8" name="whiteboardIndicator">
          <a:extLst>
            <a:ext uri="{FF2B5EF4-FFF2-40B4-BE49-F238E27FC236}">
              <a16:creationId xmlns:a16="http://schemas.microsoft.com/office/drawing/2014/main" id="{7E8C06F3-8F5B-0877-8549-F4E958E59C41}"/>
            </a:ext>
          </a:extLst>
        </xdr:cNvPr>
        <xdr:cNvSpPr/>
      </xdr:nvSpPr>
      <xdr:spPr>
        <a:xfrm>
          <a:off x="1912484" y="74705"/>
          <a:ext cx="3108960" cy="228600"/>
        </a:xfrm>
        <a:prstGeom prst="roundRect">
          <a:avLst>
            <a:gd name="adj" fmla="val 0"/>
          </a:avLst>
        </a:prstGeom>
        <a:solidFill>
          <a:srgbClr val="00C000"/>
        </a:solidFill>
        <a:ln w="19050">
          <a:solidFill>
            <a:srgbClr val="008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Available - Click for working mode</a:t>
          </a:r>
        </a:p>
      </xdr:txBody>
    </xdr:sp>
    <xdr:clientData/>
  </xdr:twoCellAnchor>
  <xdr:twoCellAnchor>
    <xdr:from>
      <xdr:col>3</xdr:col>
      <xdr:colOff>0</xdr:colOff>
      <xdr:row>0</xdr:row>
      <xdr:rowOff>28575</xdr:rowOff>
    </xdr:from>
    <xdr:to>
      <xdr:col>4</xdr:col>
      <xdr:colOff>177800</xdr:colOff>
      <xdr:row>0</xdr:row>
      <xdr:rowOff>346075</xdr:rowOff>
    </xdr:to>
    <xdr:sp macro="ApplyStatusToSelectedCells" textlink="">
      <xdr:nvSpPr>
        <xdr:cNvPr id="3" name="btn_Missing_Pages">
          <a:extLst>
            <a:ext uri="{FF2B5EF4-FFF2-40B4-BE49-F238E27FC236}">
              <a16:creationId xmlns:a16="http://schemas.microsoft.com/office/drawing/2014/main" id="{ADE9A6E9-7314-F656-52F1-5EC07E0E3175}"/>
            </a:ext>
          </a:extLst>
        </xdr:cNvPr>
        <xdr:cNvSpPr/>
      </xdr:nvSpPr>
      <xdr:spPr>
        <a:xfrm>
          <a:off x="5067300" y="28575"/>
          <a:ext cx="1270000" cy="317500"/>
        </a:xfrm>
        <a:prstGeom prst="rect">
          <a:avLst/>
        </a:prstGeom>
        <a:solidFill>
          <a:srgbClr val="FF0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Missing Pages</a:t>
          </a:r>
        </a:p>
      </xdr:txBody>
    </xdr:sp>
    <xdr:clientData/>
  </xdr:twoCellAnchor>
  <xdr:twoCellAnchor>
    <xdr:from>
      <xdr:col>4</xdr:col>
      <xdr:colOff>215900</xdr:colOff>
      <xdr:row>0</xdr:row>
      <xdr:rowOff>28575</xdr:rowOff>
    </xdr:from>
    <xdr:to>
      <xdr:col>5</xdr:col>
      <xdr:colOff>901700</xdr:colOff>
      <xdr:row>0</xdr:row>
      <xdr:rowOff>346075</xdr:rowOff>
    </xdr:to>
    <xdr:sp macro="ApplyStatusToSelectedCells" textlink="">
      <xdr:nvSpPr>
        <xdr:cNvPr id="4" name="btn_Upcoming_Project">
          <a:extLst>
            <a:ext uri="{FF2B5EF4-FFF2-40B4-BE49-F238E27FC236}">
              <a16:creationId xmlns:a16="http://schemas.microsoft.com/office/drawing/2014/main" id="{C75068FE-96ED-B426-F14A-DF8D11CD9F26}"/>
            </a:ext>
          </a:extLst>
        </xdr:cNvPr>
        <xdr:cNvSpPr/>
      </xdr:nvSpPr>
      <xdr:spPr>
        <a:xfrm>
          <a:off x="6375400" y="28575"/>
          <a:ext cx="1778000" cy="317500"/>
        </a:xfrm>
        <a:prstGeom prst="rect">
          <a:avLst/>
        </a:prstGeom>
        <a:solidFill>
          <a:srgbClr val="FF66C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Upcoming Project</a:t>
          </a:r>
        </a:p>
      </xdr:txBody>
    </xdr:sp>
    <xdr:clientData/>
  </xdr:twoCellAnchor>
  <xdr:twoCellAnchor>
    <xdr:from>
      <xdr:col>5</xdr:col>
      <xdr:colOff>939800</xdr:colOff>
      <xdr:row>0</xdr:row>
      <xdr:rowOff>28575</xdr:rowOff>
    </xdr:from>
    <xdr:to>
      <xdr:col>7</xdr:col>
      <xdr:colOff>25400</xdr:colOff>
      <xdr:row>0</xdr:row>
      <xdr:rowOff>346075</xdr:rowOff>
    </xdr:to>
    <xdr:sp macro="ApplyStatusToSelectedCells" textlink="">
      <xdr:nvSpPr>
        <xdr:cNvPr id="5" name="btn_Requested_Pages">
          <a:extLst>
            <a:ext uri="{FF2B5EF4-FFF2-40B4-BE49-F238E27FC236}">
              <a16:creationId xmlns:a16="http://schemas.microsoft.com/office/drawing/2014/main" id="{AD47876B-AC61-556C-716A-9CFB84D58D95}"/>
            </a:ext>
          </a:extLst>
        </xdr:cNvPr>
        <xdr:cNvSpPr/>
      </xdr:nvSpPr>
      <xdr:spPr>
        <a:xfrm>
          <a:off x="8191500" y="28575"/>
          <a:ext cx="1270000" cy="317500"/>
        </a:xfrm>
        <a:prstGeom prst="rect">
          <a:avLst/>
        </a:prstGeom>
        <a:solidFill>
          <a:srgbClr val="FFC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Requested Pages</a:t>
          </a:r>
        </a:p>
      </xdr:txBody>
    </xdr:sp>
    <xdr:clientData/>
  </xdr:twoCellAnchor>
  <xdr:twoCellAnchor>
    <xdr:from>
      <xdr:col>7</xdr:col>
      <xdr:colOff>63500</xdr:colOff>
      <xdr:row>0</xdr:row>
      <xdr:rowOff>28575</xdr:rowOff>
    </xdr:from>
    <xdr:to>
      <xdr:col>8</xdr:col>
      <xdr:colOff>241300</xdr:colOff>
      <xdr:row>0</xdr:row>
      <xdr:rowOff>346075</xdr:rowOff>
    </xdr:to>
    <xdr:sp macro="ApplyStatusToSelectedCells" textlink="">
      <xdr:nvSpPr>
        <xdr:cNvPr id="6" name="btn_Needs_Review">
          <a:extLst>
            <a:ext uri="{FF2B5EF4-FFF2-40B4-BE49-F238E27FC236}">
              <a16:creationId xmlns:a16="http://schemas.microsoft.com/office/drawing/2014/main" id="{6E9B1A32-E231-D07B-70EF-A666A4E19B73}"/>
            </a:ext>
          </a:extLst>
        </xdr:cNvPr>
        <xdr:cNvSpPr/>
      </xdr:nvSpPr>
      <xdr:spPr>
        <a:xfrm>
          <a:off x="9499600" y="28575"/>
          <a:ext cx="1270000" cy="317500"/>
        </a:xfrm>
        <a:prstGeom prst="rect">
          <a:avLst/>
        </a:prstGeom>
        <a:solidFill>
          <a:srgbClr val="833C0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Needs Review</a:t>
          </a:r>
        </a:p>
      </xdr:txBody>
    </xdr:sp>
    <xdr:clientData/>
  </xdr:twoCellAnchor>
  <xdr:twoCellAnchor>
    <xdr:from>
      <xdr:col>8</xdr:col>
      <xdr:colOff>279400</xdr:colOff>
      <xdr:row>0</xdr:row>
      <xdr:rowOff>28575</xdr:rowOff>
    </xdr:from>
    <xdr:to>
      <xdr:col>9</xdr:col>
      <xdr:colOff>457200</xdr:colOff>
      <xdr:row>0</xdr:row>
      <xdr:rowOff>346075</xdr:rowOff>
    </xdr:to>
    <xdr:sp macro="ApplyStatusToSelectedCells" textlink="">
      <xdr:nvSpPr>
        <xdr:cNvPr id="7" name="btn_Needs_Revision">
          <a:extLst>
            <a:ext uri="{FF2B5EF4-FFF2-40B4-BE49-F238E27FC236}">
              <a16:creationId xmlns:a16="http://schemas.microsoft.com/office/drawing/2014/main" id="{E2A035FF-13CB-33F7-3BE8-FC0D1AC108ED}"/>
            </a:ext>
          </a:extLst>
        </xdr:cNvPr>
        <xdr:cNvSpPr/>
      </xdr:nvSpPr>
      <xdr:spPr>
        <a:xfrm>
          <a:off x="10807700" y="28575"/>
          <a:ext cx="1270000" cy="317500"/>
        </a:xfrm>
        <a:prstGeom prst="rect">
          <a:avLst/>
        </a:prstGeom>
        <a:solidFill>
          <a:srgbClr val="0066F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Needs Revision</a:t>
          </a:r>
        </a:p>
      </xdr:txBody>
    </xdr:sp>
    <xdr:clientData/>
  </xdr:twoCellAnchor>
  <xdr:twoCellAnchor>
    <xdr:from>
      <xdr:col>9</xdr:col>
      <xdr:colOff>495300</xdr:colOff>
      <xdr:row>0</xdr:row>
      <xdr:rowOff>28575</xdr:rowOff>
    </xdr:from>
    <xdr:to>
      <xdr:col>11</xdr:col>
      <xdr:colOff>88900</xdr:colOff>
      <xdr:row>0</xdr:row>
      <xdr:rowOff>346075</xdr:rowOff>
    </xdr:to>
    <xdr:sp macro="ApplyStatusToSelectedCells" textlink="">
      <xdr:nvSpPr>
        <xdr:cNvPr id="9" name="btn_Submitted___Awaiting_Revision">
          <a:extLst>
            <a:ext uri="{FF2B5EF4-FFF2-40B4-BE49-F238E27FC236}">
              <a16:creationId xmlns:a16="http://schemas.microsoft.com/office/drawing/2014/main" id="{3315BAD5-6508-8ED8-2CE4-B1A1811A8C3B}"/>
            </a:ext>
          </a:extLst>
        </xdr:cNvPr>
        <xdr:cNvSpPr/>
      </xdr:nvSpPr>
      <xdr:spPr>
        <a:xfrm>
          <a:off x="12115800" y="28575"/>
          <a:ext cx="1778000" cy="317500"/>
        </a:xfrm>
        <a:prstGeom prst="rect">
          <a:avLst/>
        </a:prstGeom>
        <a:solidFill>
          <a:srgbClr val="7030A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Submitted - Awaiting Revision</a:t>
          </a:r>
        </a:p>
      </xdr:txBody>
    </xdr:sp>
    <xdr:clientData/>
  </xdr:twoCellAnchor>
  <xdr:twoCellAnchor>
    <xdr:from>
      <xdr:col>11</xdr:col>
      <xdr:colOff>127000</xdr:colOff>
      <xdr:row>0</xdr:row>
      <xdr:rowOff>28575</xdr:rowOff>
    </xdr:from>
    <xdr:to>
      <xdr:col>12</xdr:col>
      <xdr:colOff>812800</xdr:colOff>
      <xdr:row>0</xdr:row>
      <xdr:rowOff>346075</xdr:rowOff>
    </xdr:to>
    <xdr:sp macro="ApplyStatusToSelectedCells" textlink="">
      <xdr:nvSpPr>
        <xdr:cNvPr id="10" name="btn_Submitted/Awaiting">
          <a:extLst>
            <a:ext uri="{FF2B5EF4-FFF2-40B4-BE49-F238E27FC236}">
              <a16:creationId xmlns:a16="http://schemas.microsoft.com/office/drawing/2014/main" id="{43388553-7A62-A188-83F1-453B03A0AED0}"/>
            </a:ext>
          </a:extLst>
        </xdr:cNvPr>
        <xdr:cNvSpPr/>
      </xdr:nvSpPr>
      <xdr:spPr>
        <a:xfrm>
          <a:off x="13931900" y="28575"/>
          <a:ext cx="1778000" cy="317500"/>
        </a:xfrm>
        <a:prstGeom prst="rect">
          <a:avLst/>
        </a:prstGeom>
        <a:solidFill>
          <a:srgbClr val="FFFF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Submitted/Awaiting</a:t>
          </a:r>
        </a:p>
      </xdr:txBody>
    </xdr:sp>
    <xdr:clientData/>
  </xdr:twoCellAnchor>
  <xdr:twoCellAnchor>
    <xdr:from>
      <xdr:col>12</xdr:col>
      <xdr:colOff>850900</xdr:colOff>
      <xdr:row>0</xdr:row>
      <xdr:rowOff>28575</xdr:rowOff>
    </xdr:from>
    <xdr:to>
      <xdr:col>13</xdr:col>
      <xdr:colOff>914400</xdr:colOff>
      <xdr:row>0</xdr:row>
      <xdr:rowOff>346075</xdr:rowOff>
    </xdr:to>
    <xdr:sp macro="ApplyStatusToSelectedCells" textlink="">
      <xdr:nvSpPr>
        <xdr:cNvPr id="11" name="btn_Received/Completed">
          <a:extLst>
            <a:ext uri="{FF2B5EF4-FFF2-40B4-BE49-F238E27FC236}">
              <a16:creationId xmlns:a16="http://schemas.microsoft.com/office/drawing/2014/main" id="{DA577A2E-B97C-7C5B-1B36-72CE0F42A7D0}"/>
            </a:ext>
          </a:extLst>
        </xdr:cNvPr>
        <xdr:cNvSpPr/>
      </xdr:nvSpPr>
      <xdr:spPr>
        <a:xfrm>
          <a:off x="15748000" y="28575"/>
          <a:ext cx="1778000" cy="317500"/>
        </a:xfrm>
        <a:prstGeom prst="rect">
          <a:avLst/>
        </a:prstGeom>
        <a:solidFill>
          <a:srgbClr val="92D05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Received/Completed</a:t>
          </a:r>
        </a:p>
      </xdr:txBody>
    </xdr:sp>
    <xdr:clientData/>
  </xdr:twoCellAnchor>
  <xdr:twoCellAnchor>
    <xdr:from>
      <xdr:col>13</xdr:col>
      <xdr:colOff>952500</xdr:colOff>
      <xdr:row>0</xdr:row>
      <xdr:rowOff>28575</xdr:rowOff>
    </xdr:from>
    <xdr:to>
      <xdr:col>14</xdr:col>
      <xdr:colOff>508000</xdr:colOff>
      <xdr:row>0</xdr:row>
      <xdr:rowOff>346075</xdr:rowOff>
    </xdr:to>
    <xdr:sp macro="ApplyStatusToSelectedCells" textlink="">
      <xdr:nvSpPr>
        <xdr:cNvPr id="12" name="btn_Hold">
          <a:extLst>
            <a:ext uri="{FF2B5EF4-FFF2-40B4-BE49-F238E27FC236}">
              <a16:creationId xmlns:a16="http://schemas.microsoft.com/office/drawing/2014/main" id="{AB564359-5270-5C66-FFE2-DE3BBAF08877}"/>
            </a:ext>
          </a:extLst>
        </xdr:cNvPr>
        <xdr:cNvSpPr/>
      </xdr:nvSpPr>
      <xdr:spPr>
        <a:xfrm>
          <a:off x="17564100" y="28575"/>
          <a:ext cx="1270000" cy="317500"/>
        </a:xfrm>
        <a:prstGeom prst="rect">
          <a:avLst/>
        </a:prstGeom>
        <a:solidFill>
          <a:srgbClr val="00B0F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Hold</a:t>
          </a:r>
        </a:p>
      </xdr:txBody>
    </xdr:sp>
    <xdr:clientData/>
  </xdr:twoCellAnchor>
  <xdr:twoCellAnchor>
    <xdr:from>
      <xdr:col>14</xdr:col>
      <xdr:colOff>546100</xdr:colOff>
      <xdr:row>0</xdr:row>
      <xdr:rowOff>28575</xdr:rowOff>
    </xdr:from>
    <xdr:to>
      <xdr:col>15</xdr:col>
      <xdr:colOff>101600</xdr:colOff>
      <xdr:row>0</xdr:row>
      <xdr:rowOff>346075</xdr:rowOff>
    </xdr:to>
    <xdr:sp macro="ResetCellColors" textlink="">
      <xdr:nvSpPr>
        <xdr:cNvPr id="13" name="btn_Reset">
          <a:extLst>
            <a:ext uri="{FF2B5EF4-FFF2-40B4-BE49-F238E27FC236}">
              <a16:creationId xmlns:a16="http://schemas.microsoft.com/office/drawing/2014/main" id="{8AF0924A-049A-E5C6-4972-33614A9AA599}"/>
            </a:ext>
          </a:extLst>
        </xdr:cNvPr>
        <xdr:cNvSpPr/>
      </xdr:nvSpPr>
      <xdr:spPr>
        <a:xfrm>
          <a:off x="18872200" y="28575"/>
          <a:ext cx="1270000" cy="317500"/>
        </a:xfrm>
        <a:prstGeom prst="rect">
          <a:avLst/>
        </a:prstGeom>
        <a:solidFill>
          <a:srgbClr val="BFBFB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Reset</a:t>
          </a:r>
        </a:p>
      </xdr:txBody>
    </xdr:sp>
    <xdr:clientData/>
  </xdr:twoCellAnchor>
  <xdr:twoCellAnchor>
    <xdr:from>
      <xdr:col>0</xdr:col>
      <xdr:colOff>145142</xdr:colOff>
      <xdr:row>0</xdr:row>
      <xdr:rowOff>27215</xdr:rowOff>
    </xdr:from>
    <xdr:to>
      <xdr:col>0</xdr:col>
      <xdr:colOff>1669142</xdr:colOff>
      <xdr:row>0</xdr:row>
      <xdr:rowOff>344715</xdr:rowOff>
    </xdr:to>
    <xdr:sp macro="ExtractAndProcessData" textlink="">
      <xdr:nvSpPr>
        <xdr:cNvPr id="14" name="btn_RunExtractor">
          <a:extLst>
            <a:ext uri="{FF2B5EF4-FFF2-40B4-BE49-F238E27FC236}">
              <a16:creationId xmlns:a16="http://schemas.microsoft.com/office/drawing/2014/main" id="{F9947F82-B6C4-FF69-93BE-BD43EBBDE669}"/>
            </a:ext>
          </a:extLst>
        </xdr:cNvPr>
        <xdr:cNvSpPr/>
      </xdr:nvSpPr>
      <xdr:spPr>
        <a:xfrm>
          <a:off x="145142" y="27215"/>
          <a:ext cx="1524000" cy="317500"/>
        </a:xfrm>
        <a:prstGeom prst="rect">
          <a:avLst/>
        </a:prstGeom>
        <a:solidFill>
          <a:srgbClr val="FFA5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</a:rPr>
            <a:t>Run Extractor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orey Boser" id="{6DEE4D14-A86B-4D08-B39B-4ABDB010E4FB}" userId="S::corey.boser@bldr.com::0dc32000-198d-4a75-b595-ad7064c2bed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5-04-15T19:42:56.16" personId="{6DEE4D14-A86B-4D08-B39B-4ABDB010E4FB}" id="{BB1D49C2-3C33-485F-8991-F272C61F69F2}">
    <text xml:space="preserve">https://chatgpt.com/c/67feb4e7-7ac8-800d-8305-e4e1b1fdc427
</text>
    <extLst>
      <x:ext xmlns:xltc2="http://schemas.microsoft.com/office/spreadsheetml/2020/threadedcomments2" uri="{F7C98A9C-CBB3-438F-8F68-D28B6AF4A901}">
        <xltc2:checksum>722653433</xltc2:checksum>
        <xltc2:hyperlink startIndex="0" length="58" url="https://chatgpt.com/c/67feb4e7-7ac8-800d-8305-e4e1b1fdc427"/>
      </x:ext>
    </extLs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E775-F54B-45FB-BDE9-0CE346A9DE46}">
  <sheetPr codeName="Sheet3"/>
  <dimension ref="A1:B2"/>
  <sheetViews>
    <sheetView workbookViewId="0"/>
  </sheetViews>
  <sheetFormatPr defaultRowHeight="15"/>
  <sheetData>
    <row r="1" spans="1:2">
      <c r="A1" t="s">
        <v>0</v>
      </c>
      <c r="B1" t="b">
        <v>0</v>
      </c>
    </row>
    <row r="2" spans="1:2">
      <c r="A2" t="s">
        <v>1</v>
      </c>
      <c r="B2" t="b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6AC2-62CB-4F96-9C49-2A0C1EF566C3}">
  <sheetPr codeName="Sheet4">
    <pageSetUpPr fitToPage="1"/>
  </sheetPr>
  <dimension ref="A1:DW562"/>
  <sheetViews>
    <sheetView showZeros="0" tabSelected="1" zoomScale="90" zoomScaleNormal="90" workbookViewId="0">
      <pane ySplit="1" topLeftCell="A73" activePane="bottomLeft" state="frozen"/>
      <selection pane="bottomLeft" activeCell="D84" sqref="D84:Z84"/>
    </sheetView>
  </sheetViews>
  <sheetFormatPr defaultColWidth="9.42578125" defaultRowHeight="15" customHeight="1"/>
  <cols>
    <col min="1" max="1" width="41.5703125" style="165" customWidth="1"/>
    <col min="2" max="2" width="21.5703125" style="166" customWidth="1"/>
    <col min="3" max="3" width="9.42578125" style="167" customWidth="1"/>
    <col min="4" max="12" width="15.5703125" style="164" customWidth="1"/>
    <col min="13" max="13" width="24.5703125" style="164" customWidth="1"/>
    <col min="14" max="14" width="24.5703125" style="167" customWidth="1"/>
    <col min="15" max="18" width="24.5703125" style="164" customWidth="1"/>
    <col min="19" max="19" width="24.5703125" style="167" customWidth="1"/>
    <col min="20" max="20" width="24.5703125" style="168" customWidth="1"/>
    <col min="21" max="26" width="24.5703125" style="164" customWidth="1"/>
    <col min="27" max="27" width="9.85546875" style="164" customWidth="1"/>
    <col min="28" max="16384" width="9.42578125" style="164"/>
  </cols>
  <sheetData>
    <row r="1" spans="1:127" s="12" customFormat="1" ht="30.95" customHeight="1">
      <c r="A1" s="6" t="s">
        <v>2</v>
      </c>
      <c r="B1" s="7"/>
      <c r="C1" s="8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10"/>
      <c r="V1" s="10"/>
      <c r="W1" s="10"/>
      <c r="X1" s="10"/>
      <c r="Y1" s="10"/>
      <c r="Z1" s="10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</row>
    <row r="2" spans="1:127" s="17" customFormat="1" ht="23.25">
      <c r="A2" s="13" t="s">
        <v>3</v>
      </c>
      <c r="B2" s="13"/>
      <c r="C2" s="13"/>
      <c r="D2" s="13" t="s">
        <v>4</v>
      </c>
      <c r="E2" s="13" t="s">
        <v>5</v>
      </c>
      <c r="F2" s="13"/>
      <c r="G2" s="13"/>
      <c r="H2" s="13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5"/>
      <c r="V2" s="15"/>
      <c r="W2" s="15"/>
      <c r="X2" s="15"/>
      <c r="Y2" s="15"/>
      <c r="Z2" s="15"/>
      <c r="AA2" s="16"/>
      <c r="AB2" s="16"/>
    </row>
    <row r="3" spans="1:127" s="17" customFormat="1" ht="21">
      <c r="A3" s="18" t="s">
        <v>6</v>
      </c>
      <c r="B3" s="19"/>
      <c r="C3" s="20" t="s">
        <v>7</v>
      </c>
      <c r="D3" s="21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3"/>
      <c r="T3" s="23"/>
      <c r="U3" s="24"/>
      <c r="V3" s="24"/>
      <c r="W3" s="24"/>
      <c r="X3" s="24"/>
      <c r="Y3" s="24"/>
      <c r="Z3" s="24"/>
      <c r="AA3" s="16"/>
      <c r="AB3" s="16"/>
    </row>
    <row r="4" spans="1:127" s="17" customFormat="1" ht="21">
      <c r="A4" s="25"/>
      <c r="B4" s="25"/>
      <c r="C4" s="23" t="s">
        <v>8</v>
      </c>
      <c r="D4" s="26" t="s">
        <v>9</v>
      </c>
      <c r="E4" s="26" t="s">
        <v>10</v>
      </c>
      <c r="F4" s="26" t="s">
        <v>11</v>
      </c>
      <c r="G4" s="26" t="s">
        <v>12</v>
      </c>
      <c r="H4" s="26" t="s">
        <v>13</v>
      </c>
      <c r="I4" s="26" t="s">
        <v>14</v>
      </c>
      <c r="J4" s="26" t="s">
        <v>15</v>
      </c>
      <c r="K4" s="26" t="s">
        <v>16</v>
      </c>
      <c r="L4" s="26" t="s">
        <v>17</v>
      </c>
      <c r="M4" s="26" t="s">
        <v>18</v>
      </c>
      <c r="N4" s="26" t="s">
        <v>19</v>
      </c>
      <c r="O4" s="26" t="s">
        <v>20</v>
      </c>
      <c r="P4" s="26" t="s">
        <v>21</v>
      </c>
      <c r="Q4" s="26" t="s">
        <v>22</v>
      </c>
      <c r="R4" s="26" t="s">
        <v>23</v>
      </c>
      <c r="S4" s="26" t="s">
        <v>24</v>
      </c>
      <c r="T4" s="26" t="s">
        <v>25</v>
      </c>
      <c r="U4" s="26" t="s">
        <v>26</v>
      </c>
      <c r="V4" s="26" t="s">
        <v>27</v>
      </c>
      <c r="W4" s="26"/>
      <c r="X4" s="26"/>
      <c r="Y4" s="26"/>
      <c r="Z4" s="26"/>
      <c r="AA4" s="16"/>
    </row>
    <row r="5" spans="1:127" s="17" customFormat="1">
      <c r="A5" s="27" t="s">
        <v>28</v>
      </c>
      <c r="B5" s="28" t="s">
        <v>29</v>
      </c>
      <c r="C5" s="29">
        <v>1</v>
      </c>
      <c r="D5" s="30"/>
      <c r="E5" s="30"/>
      <c r="F5" s="30"/>
      <c r="G5" s="30"/>
      <c r="H5" s="30"/>
      <c r="I5" s="30"/>
      <c r="J5" s="30"/>
      <c r="K5" s="31"/>
      <c r="L5" s="31"/>
      <c r="M5" s="30"/>
      <c r="N5" s="30"/>
      <c r="O5" s="30"/>
      <c r="P5" s="30"/>
      <c r="Q5" s="30"/>
      <c r="R5" s="30"/>
      <c r="S5" s="30"/>
      <c r="T5" s="30"/>
      <c r="U5" s="30"/>
      <c r="V5" s="30"/>
      <c r="W5" s="31"/>
      <c r="X5" s="32"/>
      <c r="Y5" s="33"/>
      <c r="Z5" s="33"/>
      <c r="AA5" s="16"/>
      <c r="AB5" s="16"/>
    </row>
    <row r="6" spans="1:127" s="17" customFormat="1" ht="15.75" thickBot="1">
      <c r="A6" s="34"/>
      <c r="B6" s="35"/>
      <c r="C6" s="5"/>
      <c r="D6" s="36"/>
      <c r="E6" s="36"/>
      <c r="F6" s="36"/>
      <c r="G6" s="36"/>
      <c r="H6" s="36"/>
      <c r="I6" s="36"/>
      <c r="J6" s="36"/>
      <c r="K6" s="37"/>
      <c r="L6" s="37"/>
      <c r="M6" s="36"/>
      <c r="N6" s="36"/>
      <c r="O6" s="36"/>
      <c r="P6" s="36"/>
      <c r="Q6" s="36"/>
      <c r="R6" s="36"/>
      <c r="S6" s="36"/>
      <c r="T6" s="36"/>
      <c r="U6" s="36"/>
      <c r="V6" s="36"/>
      <c r="W6" s="37"/>
      <c r="X6" s="38"/>
      <c r="Y6" s="39"/>
      <c r="Z6" s="39"/>
      <c r="AA6" s="16"/>
      <c r="AB6" s="16"/>
    </row>
    <row r="7" spans="1:127" s="17" customFormat="1" ht="15.75" thickBot="1">
      <c r="A7" s="27" t="s">
        <v>30</v>
      </c>
      <c r="B7" s="28" t="s">
        <v>31</v>
      </c>
      <c r="C7" s="29">
        <v>3</v>
      </c>
      <c r="D7" s="40">
        <v>45845</v>
      </c>
      <c r="E7" s="40">
        <v>45845</v>
      </c>
      <c r="F7" s="40">
        <v>45845</v>
      </c>
      <c r="G7" s="40">
        <v>45845</v>
      </c>
      <c r="H7" s="40">
        <v>45845</v>
      </c>
      <c r="I7" s="40">
        <v>45845</v>
      </c>
      <c r="J7" s="40">
        <v>45845</v>
      </c>
      <c r="K7" s="40">
        <v>45840</v>
      </c>
      <c r="L7" s="41">
        <v>45856</v>
      </c>
      <c r="M7" s="40">
        <v>45846</v>
      </c>
      <c r="N7" s="40">
        <v>45846</v>
      </c>
      <c r="O7" s="40">
        <v>45846</v>
      </c>
      <c r="P7" s="40">
        <v>45863</v>
      </c>
      <c r="Q7" s="40">
        <v>45881</v>
      </c>
      <c r="R7" s="40">
        <v>45862</v>
      </c>
      <c r="S7" s="40">
        <v>45862</v>
      </c>
      <c r="T7" s="41">
        <v>45792</v>
      </c>
      <c r="U7" s="41">
        <v>45862</v>
      </c>
      <c r="V7" s="41">
        <v>45862</v>
      </c>
      <c r="W7" s="31"/>
      <c r="X7" s="32"/>
      <c r="Y7" s="33"/>
      <c r="Z7" s="33"/>
      <c r="AA7" s="16"/>
      <c r="AB7" s="16"/>
    </row>
    <row r="8" spans="1:127" s="17" customFormat="1" ht="15.75" thickBot="1">
      <c r="A8" s="34"/>
      <c r="B8" s="35"/>
      <c r="C8" s="5"/>
      <c r="D8" s="42"/>
      <c r="E8" s="42"/>
      <c r="F8" s="42"/>
      <c r="G8" s="42"/>
      <c r="H8" s="42"/>
      <c r="I8" s="42"/>
      <c r="J8" s="42"/>
      <c r="K8" s="42" t="s">
        <v>32</v>
      </c>
      <c r="L8" s="43"/>
      <c r="M8" s="42"/>
      <c r="N8" s="42"/>
      <c r="O8" s="42"/>
      <c r="P8" s="42"/>
      <c r="Q8" s="42"/>
      <c r="R8" s="42"/>
      <c r="S8" s="42"/>
      <c r="T8" s="44"/>
      <c r="U8" s="44"/>
      <c r="V8" s="44" t="s">
        <v>33</v>
      </c>
      <c r="W8" s="37"/>
      <c r="X8" s="38"/>
      <c r="Y8" s="39"/>
      <c r="Z8" s="39"/>
      <c r="AA8" s="16"/>
      <c r="AB8" s="16"/>
    </row>
    <row r="9" spans="1:127" s="17" customFormat="1" ht="15.75" thickBot="1">
      <c r="A9" s="27" t="s">
        <v>34</v>
      </c>
      <c r="B9" s="45" t="s">
        <v>35</v>
      </c>
      <c r="C9" s="46">
        <v>4</v>
      </c>
      <c r="D9" s="40">
        <v>45845</v>
      </c>
      <c r="E9" s="40">
        <v>45845</v>
      </c>
      <c r="F9" s="40">
        <v>45845</v>
      </c>
      <c r="G9" s="40">
        <v>45845</v>
      </c>
      <c r="H9" s="40">
        <v>45845</v>
      </c>
      <c r="I9" s="40">
        <v>45845</v>
      </c>
      <c r="J9" s="40">
        <v>45845</v>
      </c>
      <c r="K9" s="40">
        <v>45842</v>
      </c>
      <c r="L9" s="47"/>
      <c r="M9" s="40">
        <v>45846</v>
      </c>
      <c r="N9" s="40">
        <v>45846</v>
      </c>
      <c r="O9" s="40">
        <v>45846</v>
      </c>
      <c r="P9" s="40">
        <v>45868</v>
      </c>
      <c r="Q9" s="40">
        <v>45881</v>
      </c>
      <c r="R9" s="40">
        <v>45895</v>
      </c>
      <c r="S9" s="40">
        <v>45895</v>
      </c>
      <c r="T9" s="41">
        <v>45792</v>
      </c>
      <c r="U9" s="47"/>
      <c r="V9" s="41">
        <v>45891</v>
      </c>
      <c r="W9" s="47"/>
      <c r="X9" s="47"/>
      <c r="Y9" s="47"/>
      <c r="Z9" s="49"/>
      <c r="AA9" s="16"/>
      <c r="AB9" s="16"/>
    </row>
    <row r="10" spans="1:127" s="17" customFormat="1" ht="15.75" thickBot="1">
      <c r="A10" s="34"/>
      <c r="B10" s="35"/>
      <c r="C10" s="34"/>
      <c r="D10" s="42"/>
      <c r="E10" s="42"/>
      <c r="F10" s="42"/>
      <c r="G10" s="42"/>
      <c r="H10" s="42"/>
      <c r="I10" s="42"/>
      <c r="J10" s="42"/>
      <c r="K10" s="42" t="s">
        <v>32</v>
      </c>
      <c r="L10" s="50"/>
      <c r="M10" s="42"/>
      <c r="N10" s="42"/>
      <c r="O10" s="42"/>
      <c r="P10" s="42"/>
      <c r="Q10" s="42"/>
      <c r="R10" s="42"/>
      <c r="S10" s="42"/>
      <c r="T10" s="44"/>
      <c r="U10" s="47"/>
      <c r="V10" s="44" t="s">
        <v>36</v>
      </c>
      <c r="W10" s="50"/>
      <c r="X10" s="50"/>
      <c r="Y10" s="50"/>
      <c r="Z10" s="51"/>
      <c r="AA10" s="16"/>
      <c r="AB10" s="16"/>
    </row>
    <row r="11" spans="1:127" s="17" customFormat="1">
      <c r="A11" s="27" t="s">
        <v>37</v>
      </c>
      <c r="B11" s="52" t="s">
        <v>38</v>
      </c>
      <c r="C11" s="29">
        <v>5</v>
      </c>
      <c r="D11" s="41">
        <v>45784</v>
      </c>
      <c r="E11" s="41">
        <v>45784</v>
      </c>
      <c r="F11" s="41">
        <v>45784</v>
      </c>
      <c r="G11" s="41">
        <v>45784</v>
      </c>
      <c r="H11" s="41">
        <v>45784</v>
      </c>
      <c r="I11" s="41">
        <v>45784</v>
      </c>
      <c r="J11" s="41">
        <v>45784</v>
      </c>
      <c r="K11" s="47"/>
      <c r="L11" s="31"/>
      <c r="M11" s="41">
        <v>45785</v>
      </c>
      <c r="N11" s="41">
        <v>45784</v>
      </c>
      <c r="O11" s="41">
        <v>45796</v>
      </c>
      <c r="P11" s="41">
        <v>45805</v>
      </c>
      <c r="Q11" s="41">
        <v>45796</v>
      </c>
      <c r="R11" s="41">
        <v>45804</v>
      </c>
      <c r="S11" s="40">
        <v>45838</v>
      </c>
      <c r="T11" s="41">
        <v>45797</v>
      </c>
      <c r="U11" s="47"/>
      <c r="V11" s="41">
        <v>45797</v>
      </c>
      <c r="W11" s="32"/>
      <c r="X11" s="33"/>
      <c r="Y11" s="33"/>
      <c r="Z11" s="33"/>
      <c r="AA11" s="16"/>
    </row>
    <row r="12" spans="1:127" s="17" customFormat="1" ht="15.75" thickBot="1">
      <c r="A12" s="34"/>
      <c r="B12" s="35"/>
      <c r="C12" s="5"/>
      <c r="D12" s="43"/>
      <c r="E12" s="43"/>
      <c r="F12" s="43"/>
      <c r="G12" s="43"/>
      <c r="H12" s="43"/>
      <c r="I12" s="43"/>
      <c r="J12" s="43"/>
      <c r="K12" s="50"/>
      <c r="L12" s="37"/>
      <c r="M12" s="43"/>
      <c r="N12" s="43"/>
      <c r="O12" s="43"/>
      <c r="P12" s="43"/>
      <c r="Q12" s="43"/>
      <c r="R12" s="43"/>
      <c r="S12" s="42"/>
      <c r="T12" s="43"/>
      <c r="U12" s="50"/>
      <c r="V12" s="43" t="s">
        <v>39</v>
      </c>
      <c r="W12" s="38"/>
      <c r="X12" s="39"/>
      <c r="Y12" s="39"/>
      <c r="Z12" s="39"/>
      <c r="AA12" s="16"/>
    </row>
    <row r="13" spans="1:127" s="17" customFormat="1">
      <c r="A13" s="27" t="s">
        <v>40</v>
      </c>
      <c r="B13" s="52" t="s">
        <v>41</v>
      </c>
      <c r="C13" s="29">
        <v>6</v>
      </c>
      <c r="D13" s="41">
        <v>45789</v>
      </c>
      <c r="E13" s="41">
        <v>45789</v>
      </c>
      <c r="F13" s="41">
        <v>45789</v>
      </c>
      <c r="G13" s="41">
        <v>45789</v>
      </c>
      <c r="H13" s="41">
        <v>45789</v>
      </c>
      <c r="I13" s="41">
        <v>45789</v>
      </c>
      <c r="J13" s="41">
        <v>45789</v>
      </c>
      <c r="K13" s="47"/>
      <c r="L13" s="31"/>
      <c r="M13" s="41">
        <v>45789</v>
      </c>
      <c r="N13" s="41">
        <v>45789</v>
      </c>
      <c r="O13" s="41">
        <v>45796</v>
      </c>
      <c r="P13" s="41">
        <v>45804</v>
      </c>
      <c r="Q13" s="41">
        <v>45796</v>
      </c>
      <c r="R13" s="41">
        <v>45804</v>
      </c>
      <c r="S13" s="41">
        <v>45812</v>
      </c>
      <c r="T13" s="41">
        <v>45797</v>
      </c>
      <c r="U13" s="47"/>
      <c r="V13" s="41">
        <v>45797</v>
      </c>
      <c r="W13" s="32"/>
      <c r="X13" s="33"/>
      <c r="Y13" s="33"/>
      <c r="Z13" s="33"/>
      <c r="AA13" s="16"/>
    </row>
    <row r="14" spans="1:127" s="17" customFormat="1" ht="15.75" thickBot="1">
      <c r="A14" s="34"/>
      <c r="B14" s="35"/>
      <c r="C14" s="53"/>
      <c r="D14" s="43"/>
      <c r="E14" s="43"/>
      <c r="F14" s="43"/>
      <c r="G14" s="43"/>
      <c r="H14" s="43"/>
      <c r="I14" s="43"/>
      <c r="J14" s="43"/>
      <c r="K14" s="50"/>
      <c r="L14" s="37"/>
      <c r="M14" s="43"/>
      <c r="N14" s="43"/>
      <c r="O14" s="43"/>
      <c r="P14" s="43"/>
      <c r="Q14" s="43"/>
      <c r="R14" s="43"/>
      <c r="S14" s="43"/>
      <c r="T14" s="43"/>
      <c r="U14" s="50"/>
      <c r="V14" s="43" t="s">
        <v>42</v>
      </c>
      <c r="W14" s="38"/>
      <c r="X14" s="39"/>
      <c r="Y14" s="39"/>
      <c r="Z14" s="39"/>
      <c r="AA14" s="16"/>
    </row>
    <row r="15" spans="1:127" s="17" customFormat="1">
      <c r="A15" s="27" t="s">
        <v>43</v>
      </c>
      <c r="B15" s="54" t="s">
        <v>44</v>
      </c>
      <c r="C15" s="29">
        <v>8</v>
      </c>
      <c r="D15" s="41">
        <v>45812</v>
      </c>
      <c r="E15" s="41">
        <v>45812</v>
      </c>
      <c r="F15" s="41">
        <v>45812</v>
      </c>
      <c r="G15" s="41">
        <v>45812</v>
      </c>
      <c r="H15" s="41">
        <v>45812</v>
      </c>
      <c r="I15" s="41">
        <v>45812</v>
      </c>
      <c r="J15" s="41">
        <v>45812</v>
      </c>
      <c r="K15" s="47"/>
      <c r="L15" s="47"/>
      <c r="M15" s="41">
        <v>45814</v>
      </c>
      <c r="N15" s="41">
        <v>45812</v>
      </c>
      <c r="O15" s="41">
        <v>45814</v>
      </c>
      <c r="P15" s="41">
        <v>45825</v>
      </c>
      <c r="Q15" s="41">
        <v>45817</v>
      </c>
      <c r="R15" s="41">
        <v>45824</v>
      </c>
      <c r="S15" s="40">
        <v>45827</v>
      </c>
      <c r="T15" s="41">
        <v>45812</v>
      </c>
      <c r="U15" s="47"/>
      <c r="V15" s="41">
        <v>45805</v>
      </c>
      <c r="W15" s="31"/>
      <c r="X15" s="32"/>
      <c r="Y15" s="33"/>
      <c r="Z15" s="33"/>
      <c r="AA15" s="16"/>
      <c r="AB15" s="16"/>
    </row>
    <row r="16" spans="1:127" s="17" customFormat="1">
      <c r="A16" s="34"/>
      <c r="B16" s="35"/>
      <c r="C16" s="5"/>
      <c r="D16" s="43"/>
      <c r="E16" s="43"/>
      <c r="F16" s="43"/>
      <c r="G16" s="43"/>
      <c r="H16" s="43"/>
      <c r="I16" s="43"/>
      <c r="J16" s="43"/>
      <c r="K16" s="50"/>
      <c r="L16" s="50"/>
      <c r="M16" s="43"/>
      <c r="N16" s="43"/>
      <c r="O16" s="43"/>
      <c r="P16" s="43"/>
      <c r="Q16" s="43"/>
      <c r="R16" s="43"/>
      <c r="S16" s="42"/>
      <c r="T16" s="43"/>
      <c r="U16" s="50"/>
      <c r="V16" s="43" t="s">
        <v>45</v>
      </c>
      <c r="W16" s="37"/>
      <c r="X16" s="38"/>
      <c r="Y16" s="39"/>
      <c r="Z16" s="39"/>
      <c r="AA16" s="16"/>
      <c r="AB16" s="16"/>
    </row>
    <row r="17" spans="1:28" s="17" customFormat="1">
      <c r="A17" s="27" t="s">
        <v>46</v>
      </c>
      <c r="B17" s="52" t="s">
        <v>47</v>
      </c>
      <c r="C17" s="29">
        <v>9</v>
      </c>
      <c r="D17" s="41">
        <v>45812</v>
      </c>
      <c r="E17" s="41">
        <v>45812</v>
      </c>
      <c r="F17" s="41">
        <v>45812</v>
      </c>
      <c r="G17" s="41">
        <v>45812</v>
      </c>
      <c r="H17" s="41">
        <v>45812</v>
      </c>
      <c r="I17" s="41">
        <v>45812</v>
      </c>
      <c r="J17" s="41">
        <v>45812</v>
      </c>
      <c r="K17" s="47"/>
      <c r="L17" s="47"/>
      <c r="M17" s="41">
        <v>45814</v>
      </c>
      <c r="N17" s="41">
        <v>45812</v>
      </c>
      <c r="O17" s="41">
        <v>45814</v>
      </c>
      <c r="P17" s="41">
        <v>45828</v>
      </c>
      <c r="Q17" s="41">
        <v>45817</v>
      </c>
      <c r="R17" s="40">
        <v>45827</v>
      </c>
      <c r="S17" s="40">
        <v>45831</v>
      </c>
      <c r="T17" s="41">
        <v>45819</v>
      </c>
      <c r="U17" s="47"/>
      <c r="V17" s="41">
        <v>45828</v>
      </c>
      <c r="W17" s="31"/>
      <c r="X17" s="32"/>
      <c r="Y17" s="33"/>
      <c r="Z17" s="33"/>
      <c r="AA17" s="16"/>
      <c r="AB17" s="16"/>
    </row>
    <row r="18" spans="1:28" s="17" customFormat="1" ht="15.75" thickBot="1">
      <c r="A18" s="34"/>
      <c r="B18" s="35"/>
      <c r="C18" s="5"/>
      <c r="D18" s="43"/>
      <c r="E18" s="43"/>
      <c r="F18" s="43"/>
      <c r="G18" s="43"/>
      <c r="H18" s="43"/>
      <c r="I18" s="43"/>
      <c r="J18" s="43"/>
      <c r="K18" s="50"/>
      <c r="L18" s="50"/>
      <c r="M18" s="43"/>
      <c r="N18" s="43"/>
      <c r="O18" s="43"/>
      <c r="P18" s="43"/>
      <c r="Q18" s="43"/>
      <c r="R18" s="42"/>
      <c r="S18" s="42"/>
      <c r="T18" s="43"/>
      <c r="U18" s="50"/>
      <c r="V18" s="43" t="s">
        <v>48</v>
      </c>
      <c r="W18" s="37"/>
      <c r="X18" s="38"/>
      <c r="Y18" s="39"/>
      <c r="Z18" s="39"/>
      <c r="AA18" s="16"/>
      <c r="AB18" s="16"/>
    </row>
    <row r="19" spans="1:28" s="17" customFormat="1">
      <c r="A19" s="27" t="s">
        <v>49</v>
      </c>
      <c r="B19" s="54" t="s">
        <v>50</v>
      </c>
      <c r="C19" s="29">
        <v>10</v>
      </c>
      <c r="D19" s="41">
        <v>45860</v>
      </c>
      <c r="E19" s="41">
        <v>45860</v>
      </c>
      <c r="F19" s="41">
        <v>45860</v>
      </c>
      <c r="G19" s="41">
        <v>45860</v>
      </c>
      <c r="H19" s="41">
        <v>45860</v>
      </c>
      <c r="I19" s="41">
        <v>45860</v>
      </c>
      <c r="J19" s="41">
        <v>45860</v>
      </c>
      <c r="K19" s="47"/>
      <c r="L19" s="47"/>
      <c r="M19" s="41">
        <v>45861</v>
      </c>
      <c r="N19" s="41">
        <v>45861</v>
      </c>
      <c r="O19" s="41">
        <v>45861</v>
      </c>
      <c r="P19" s="41">
        <v>45881</v>
      </c>
      <c r="Q19" s="41">
        <v>45881</v>
      </c>
      <c r="R19" s="41">
        <v>45874</v>
      </c>
      <c r="S19" s="41">
        <v>45877</v>
      </c>
      <c r="T19" s="41">
        <v>45835</v>
      </c>
      <c r="U19" s="41">
        <v>45880</v>
      </c>
      <c r="V19" s="41">
        <v>45880</v>
      </c>
      <c r="W19" s="31"/>
      <c r="X19" s="32"/>
      <c r="Y19" s="33"/>
      <c r="Z19" s="33"/>
      <c r="AA19" s="16"/>
      <c r="AB19" s="16"/>
    </row>
    <row r="20" spans="1:28" s="17" customFormat="1" ht="15.75" thickBot="1">
      <c r="A20" s="34"/>
      <c r="B20" s="35"/>
      <c r="C20" s="5"/>
      <c r="D20" s="43"/>
      <c r="E20" s="43"/>
      <c r="F20" s="43"/>
      <c r="G20" s="43"/>
      <c r="H20" s="43"/>
      <c r="I20" s="43"/>
      <c r="J20" s="43"/>
      <c r="K20" s="50"/>
      <c r="L20" s="50"/>
      <c r="M20" s="43"/>
      <c r="N20" s="43"/>
      <c r="O20" s="43"/>
      <c r="P20" s="43"/>
      <c r="Q20" s="43"/>
      <c r="R20" s="43"/>
      <c r="S20" s="43"/>
      <c r="T20" s="43"/>
      <c r="U20" s="43"/>
      <c r="V20" s="43" t="s">
        <v>51</v>
      </c>
      <c r="W20" s="37"/>
      <c r="X20" s="38"/>
      <c r="Y20" s="39"/>
      <c r="Z20" s="39"/>
      <c r="AA20" s="16"/>
      <c r="AB20" s="16"/>
    </row>
    <row r="21" spans="1:28" s="17" customFormat="1">
      <c r="A21" s="27" t="s">
        <v>52</v>
      </c>
      <c r="B21" s="52" t="s">
        <v>53</v>
      </c>
      <c r="C21" s="29">
        <v>11</v>
      </c>
      <c r="D21" s="41">
        <v>45880</v>
      </c>
      <c r="E21" s="41">
        <v>45880</v>
      </c>
      <c r="F21" s="41">
        <v>45880</v>
      </c>
      <c r="G21" s="41">
        <v>45880</v>
      </c>
      <c r="H21" s="41">
        <v>45880</v>
      </c>
      <c r="I21" s="41">
        <v>45880</v>
      </c>
      <c r="J21" s="41">
        <v>45880</v>
      </c>
      <c r="K21" s="47"/>
      <c r="L21" s="47"/>
      <c r="M21" s="41">
        <v>45880</v>
      </c>
      <c r="N21" s="41">
        <v>45880</v>
      </c>
      <c r="O21" s="41">
        <v>45861</v>
      </c>
      <c r="P21" s="41">
        <v>45881</v>
      </c>
      <c r="Q21" s="41">
        <v>45881</v>
      </c>
      <c r="R21" s="41">
        <v>45882</v>
      </c>
      <c r="S21" s="41">
        <v>45883</v>
      </c>
      <c r="T21" s="41">
        <v>45835</v>
      </c>
      <c r="U21" s="41">
        <v>45880</v>
      </c>
      <c r="V21" s="41">
        <v>45880</v>
      </c>
      <c r="W21" s="31"/>
      <c r="X21" s="32"/>
      <c r="Y21" s="33"/>
      <c r="Z21" s="33"/>
      <c r="AA21" s="16"/>
      <c r="AB21" s="16"/>
    </row>
    <row r="22" spans="1:28" s="17" customFormat="1" ht="15.75" thickBot="1">
      <c r="A22" s="34"/>
      <c r="B22" s="35"/>
      <c r="C22" s="35"/>
      <c r="D22" s="43"/>
      <c r="E22" s="43"/>
      <c r="F22" s="43"/>
      <c r="G22" s="43"/>
      <c r="H22" s="43"/>
      <c r="I22" s="43"/>
      <c r="J22" s="43"/>
      <c r="K22" s="50"/>
      <c r="L22" s="50"/>
      <c r="M22" s="43"/>
      <c r="N22" s="43"/>
      <c r="O22" s="43"/>
      <c r="P22" s="43"/>
      <c r="Q22" s="43"/>
      <c r="R22" s="43"/>
      <c r="S22" s="43"/>
      <c r="T22" s="43"/>
      <c r="U22" s="43"/>
      <c r="V22" s="43" t="s">
        <v>54</v>
      </c>
      <c r="W22" s="37"/>
      <c r="X22" s="38"/>
      <c r="Y22" s="39"/>
      <c r="Z22" s="39"/>
      <c r="AA22" s="16"/>
      <c r="AB22" s="16"/>
    </row>
    <row r="23" spans="1:28" s="17" customFormat="1">
      <c r="A23" s="58"/>
      <c r="B23" s="59"/>
      <c r="C23" s="60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60"/>
      <c r="O23" s="14"/>
      <c r="P23" s="14"/>
      <c r="Q23" s="14"/>
      <c r="R23" s="14"/>
      <c r="S23" s="60"/>
      <c r="T23" s="60"/>
      <c r="U23" s="15"/>
      <c r="V23" s="15"/>
      <c r="W23" s="15"/>
      <c r="X23" s="15"/>
      <c r="Y23" s="15"/>
      <c r="Z23" s="15"/>
      <c r="AA23" s="16"/>
      <c r="AB23" s="16"/>
    </row>
    <row r="24" spans="1:28" s="17" customFormat="1" ht="23.25">
      <c r="A24" s="13" t="s">
        <v>55</v>
      </c>
      <c r="B24" s="13"/>
      <c r="C24" s="13"/>
      <c r="D24" s="13" t="s">
        <v>56</v>
      </c>
      <c r="E24" s="13" t="s">
        <v>57</v>
      </c>
      <c r="F24" s="13"/>
      <c r="G24" s="13"/>
      <c r="H24" s="13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5"/>
      <c r="V24" s="15"/>
      <c r="W24" s="15"/>
      <c r="X24" s="15"/>
      <c r="Y24" s="15"/>
      <c r="Z24" s="15"/>
      <c r="AA24" s="16"/>
      <c r="AB24" s="16"/>
    </row>
    <row r="25" spans="1:28" s="17" customFormat="1" ht="21">
      <c r="A25" s="61" t="s">
        <v>58</v>
      </c>
      <c r="B25" s="62" t="s">
        <v>59</v>
      </c>
      <c r="C25" s="23"/>
      <c r="D25" s="63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3"/>
      <c r="T25" s="23"/>
      <c r="U25" s="24"/>
      <c r="V25" s="24"/>
      <c r="W25" s="24"/>
      <c r="X25" s="24"/>
      <c r="Y25" s="24"/>
      <c r="Z25" s="24"/>
      <c r="AA25" s="16"/>
      <c r="AB25" s="16"/>
    </row>
    <row r="26" spans="1:28" s="17" customFormat="1" ht="21">
      <c r="A26" s="25"/>
      <c r="B26" s="64"/>
      <c r="C26" s="23" t="s">
        <v>8</v>
      </c>
      <c r="D26" s="26" t="s">
        <v>9</v>
      </c>
      <c r="E26" s="26" t="s">
        <v>10</v>
      </c>
      <c r="F26" s="26" t="s">
        <v>60</v>
      </c>
      <c r="G26" s="26" t="s">
        <v>61</v>
      </c>
      <c r="H26" s="26" t="s">
        <v>12</v>
      </c>
      <c r="I26" s="26" t="s">
        <v>13</v>
      </c>
      <c r="J26" s="26" t="s">
        <v>14</v>
      </c>
      <c r="K26" s="26" t="s">
        <v>15</v>
      </c>
      <c r="L26" s="26" t="s">
        <v>21</v>
      </c>
      <c r="M26" s="26" t="s">
        <v>20</v>
      </c>
      <c r="N26" s="26" t="s">
        <v>18</v>
      </c>
      <c r="O26" s="26" t="s">
        <v>19</v>
      </c>
      <c r="P26" s="26" t="s">
        <v>62</v>
      </c>
      <c r="Q26" s="26" t="s">
        <v>23</v>
      </c>
      <c r="R26" s="26" t="s">
        <v>24</v>
      </c>
      <c r="S26" s="26" t="s">
        <v>25</v>
      </c>
      <c r="T26" s="26" t="s">
        <v>26</v>
      </c>
      <c r="U26" s="26" t="s">
        <v>27</v>
      </c>
      <c r="V26" s="26"/>
      <c r="W26" s="26"/>
      <c r="X26" s="26"/>
      <c r="Y26" s="26"/>
      <c r="Z26" s="26"/>
      <c r="AA26" s="16"/>
    </row>
    <row r="27" spans="1:28" s="17" customFormat="1">
      <c r="A27" s="27" t="s">
        <v>63</v>
      </c>
      <c r="B27" s="28" t="s">
        <v>64</v>
      </c>
      <c r="C27" s="29">
        <v>33</v>
      </c>
      <c r="D27" s="41">
        <v>45799</v>
      </c>
      <c r="E27" s="41">
        <v>45799</v>
      </c>
      <c r="F27" s="41">
        <v>45799</v>
      </c>
      <c r="G27" s="41">
        <v>45799</v>
      </c>
      <c r="H27" s="41">
        <v>45799</v>
      </c>
      <c r="I27" s="41">
        <v>45799</v>
      </c>
      <c r="J27" s="41">
        <v>45799</v>
      </c>
      <c r="K27" s="41">
        <v>45799</v>
      </c>
      <c r="L27" s="41">
        <v>45820</v>
      </c>
      <c r="M27" s="41">
        <v>45799</v>
      </c>
      <c r="N27" s="41">
        <v>45799</v>
      </c>
      <c r="O27" s="41">
        <v>45799</v>
      </c>
      <c r="P27" s="41">
        <v>45807</v>
      </c>
      <c r="Q27" s="41">
        <v>45820</v>
      </c>
      <c r="R27" s="41">
        <v>45825</v>
      </c>
      <c r="S27" s="41">
        <v>45800</v>
      </c>
      <c r="T27" s="47"/>
      <c r="U27" s="47"/>
      <c r="V27" s="47"/>
      <c r="W27" s="31"/>
      <c r="X27" s="32"/>
      <c r="Y27" s="33"/>
      <c r="Z27" s="33"/>
      <c r="AA27" s="16"/>
      <c r="AB27" s="16"/>
    </row>
    <row r="28" spans="1:28" s="17" customFormat="1" ht="15.75" thickBot="1">
      <c r="A28" s="34"/>
      <c r="B28" s="35"/>
      <c r="C28" s="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50"/>
      <c r="U28" s="50"/>
      <c r="V28" s="50"/>
      <c r="W28" s="37"/>
      <c r="X28" s="38"/>
      <c r="Y28" s="39"/>
      <c r="Z28" s="39"/>
      <c r="AA28" s="16"/>
      <c r="AB28" s="16"/>
    </row>
    <row r="29" spans="1:28" s="17" customFormat="1">
      <c r="A29" s="65" t="s">
        <v>65</v>
      </c>
      <c r="B29" s="66" t="s">
        <v>66</v>
      </c>
      <c r="C29" s="65">
        <v>53</v>
      </c>
      <c r="D29" s="67">
        <v>45721</v>
      </c>
      <c r="E29" s="67">
        <v>45721</v>
      </c>
      <c r="F29" s="67">
        <v>45722</v>
      </c>
      <c r="G29" s="67">
        <v>45721</v>
      </c>
      <c r="H29" s="67">
        <v>45721</v>
      </c>
      <c r="I29" s="67">
        <v>45721</v>
      </c>
      <c r="J29" s="67">
        <v>45721</v>
      </c>
      <c r="K29" s="67">
        <v>45721</v>
      </c>
      <c r="L29" s="67">
        <v>45735</v>
      </c>
      <c r="M29" s="67">
        <v>45722</v>
      </c>
      <c r="N29" s="67">
        <v>45722</v>
      </c>
      <c r="O29" s="67">
        <v>45722</v>
      </c>
      <c r="P29" s="67">
        <v>45726</v>
      </c>
      <c r="Q29" s="67">
        <v>45730</v>
      </c>
      <c r="R29" s="67">
        <v>45734</v>
      </c>
      <c r="S29" s="67">
        <v>45726</v>
      </c>
      <c r="T29" s="68"/>
      <c r="U29" s="69">
        <v>45727</v>
      </c>
      <c r="V29" s="70"/>
      <c r="W29" s="70"/>
      <c r="X29" s="70"/>
      <c r="Y29" s="70"/>
      <c r="Z29" s="71"/>
      <c r="AA29" s="16"/>
    </row>
    <row r="30" spans="1:28" s="17" customFormat="1" ht="15.75" thickBot="1">
      <c r="A30" s="72"/>
      <c r="B30" s="73"/>
      <c r="C30" s="72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5"/>
      <c r="R30" s="74"/>
      <c r="S30" s="74"/>
      <c r="T30" s="76"/>
      <c r="U30" s="77" t="s">
        <v>67</v>
      </c>
      <c r="V30" s="39"/>
      <c r="W30" s="39"/>
      <c r="X30" s="39"/>
      <c r="Y30" s="39"/>
      <c r="Z30" s="78"/>
      <c r="AA30" s="16"/>
    </row>
    <row r="31" spans="1:28" s="17" customFormat="1" ht="21">
      <c r="A31" s="18" t="s">
        <v>68</v>
      </c>
      <c r="B31" s="19" t="s">
        <v>69</v>
      </c>
      <c r="C31" s="20" t="s">
        <v>7</v>
      </c>
      <c r="D31" s="21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3"/>
      <c r="T31" s="23"/>
      <c r="U31" s="24"/>
      <c r="V31" s="24"/>
      <c r="W31" s="24"/>
      <c r="X31" s="24"/>
      <c r="Y31" s="24"/>
      <c r="Z31" s="24"/>
      <c r="AA31" s="16"/>
      <c r="AB31" s="16"/>
    </row>
    <row r="32" spans="1:28" s="17" customFormat="1" ht="21">
      <c r="A32" s="25"/>
      <c r="B32" s="62"/>
      <c r="C32" s="23" t="s">
        <v>8</v>
      </c>
      <c r="D32" s="26" t="s">
        <v>9</v>
      </c>
      <c r="E32" s="26" t="s">
        <v>10</v>
      </c>
      <c r="F32" s="26" t="s">
        <v>60</v>
      </c>
      <c r="G32" s="26" t="s">
        <v>61</v>
      </c>
      <c r="H32" s="26" t="s">
        <v>12</v>
      </c>
      <c r="I32" s="26" t="s">
        <v>13</v>
      </c>
      <c r="J32" s="26" t="s">
        <v>14</v>
      </c>
      <c r="K32" s="26" t="s">
        <v>15</v>
      </c>
      <c r="L32" s="26" t="s">
        <v>21</v>
      </c>
      <c r="M32" s="26" t="s">
        <v>20</v>
      </c>
      <c r="N32" s="26" t="s">
        <v>18</v>
      </c>
      <c r="O32" s="26" t="s">
        <v>19</v>
      </c>
      <c r="P32" s="26" t="s">
        <v>62</v>
      </c>
      <c r="Q32" s="26" t="s">
        <v>70</v>
      </c>
      <c r="R32" s="26" t="s">
        <v>23</v>
      </c>
      <c r="S32" s="26" t="s">
        <v>24</v>
      </c>
      <c r="T32" s="26" t="s">
        <v>25</v>
      </c>
      <c r="U32" s="26" t="s">
        <v>71</v>
      </c>
      <c r="V32" s="26" t="s">
        <v>72</v>
      </c>
      <c r="W32" s="26"/>
      <c r="X32" s="26"/>
      <c r="Y32" s="26"/>
      <c r="Z32" s="26"/>
      <c r="AA32" s="16"/>
      <c r="AB32" s="16"/>
    </row>
    <row r="33" spans="1:28" s="17" customFormat="1">
      <c r="A33" s="27" t="s">
        <v>73</v>
      </c>
      <c r="B33" s="28" t="s">
        <v>74</v>
      </c>
      <c r="C33" s="29">
        <v>261</v>
      </c>
      <c r="D33" s="40">
        <v>45728</v>
      </c>
      <c r="E33" s="40">
        <v>45728</v>
      </c>
      <c r="F33" s="40">
        <v>45728</v>
      </c>
      <c r="G33" s="40">
        <v>45728</v>
      </c>
      <c r="H33" s="40">
        <v>45728</v>
      </c>
      <c r="I33" s="40">
        <v>45728</v>
      </c>
      <c r="J33" s="40">
        <v>45728</v>
      </c>
      <c r="K33" s="40">
        <v>45728</v>
      </c>
      <c r="L33" s="40">
        <v>45779</v>
      </c>
      <c r="M33" s="40">
        <v>45728</v>
      </c>
      <c r="N33" s="40">
        <v>45728</v>
      </c>
      <c r="O33" s="40">
        <v>45728</v>
      </c>
      <c r="P33" s="40">
        <v>45728</v>
      </c>
      <c r="Q33" s="44"/>
      <c r="R33" s="41">
        <v>45736</v>
      </c>
      <c r="S33" s="41">
        <v>45785</v>
      </c>
      <c r="T33" s="40">
        <v>45730</v>
      </c>
      <c r="U33" s="47"/>
      <c r="V33" s="41">
        <v>45777</v>
      </c>
      <c r="W33" s="31"/>
      <c r="X33" s="32"/>
      <c r="Y33" s="33"/>
      <c r="Z33" s="33"/>
      <c r="AA33" s="16"/>
      <c r="AB33" s="16"/>
    </row>
    <row r="34" spans="1:28" s="17" customFormat="1" ht="15.75" thickBot="1">
      <c r="A34" s="34"/>
      <c r="B34" s="35"/>
      <c r="C34" s="5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3"/>
      <c r="R34" s="43"/>
      <c r="S34" s="43"/>
      <c r="T34" s="42"/>
      <c r="U34" s="50"/>
      <c r="V34" s="43" t="s">
        <v>75</v>
      </c>
      <c r="W34" s="37"/>
      <c r="X34" s="38"/>
      <c r="Y34" s="39"/>
      <c r="Z34" s="39"/>
      <c r="AA34" s="16"/>
      <c r="AB34" s="16"/>
    </row>
    <row r="35" spans="1:28" s="17" customFormat="1">
      <c r="A35" s="27" t="s">
        <v>76</v>
      </c>
      <c r="B35" s="28" t="s">
        <v>77</v>
      </c>
      <c r="C35" s="29">
        <v>270</v>
      </c>
      <c r="D35" s="40">
        <v>45728</v>
      </c>
      <c r="E35" s="40">
        <v>45728</v>
      </c>
      <c r="F35" s="40">
        <v>45728</v>
      </c>
      <c r="G35" s="47"/>
      <c r="H35" s="40">
        <v>45728</v>
      </c>
      <c r="I35" s="40">
        <v>45733</v>
      </c>
      <c r="J35" s="40">
        <v>45728</v>
      </c>
      <c r="K35" s="40">
        <v>45728</v>
      </c>
      <c r="L35" s="40">
        <v>45765</v>
      </c>
      <c r="M35" s="40">
        <v>45728</v>
      </c>
      <c r="N35" s="40">
        <v>45733</v>
      </c>
      <c r="O35" s="40">
        <v>45733</v>
      </c>
      <c r="P35" s="41">
        <v>45733</v>
      </c>
      <c r="Q35" s="44"/>
      <c r="R35" s="41">
        <v>45764</v>
      </c>
      <c r="S35" s="41">
        <v>45770</v>
      </c>
      <c r="T35" s="40">
        <v>45730</v>
      </c>
      <c r="U35" s="47"/>
      <c r="V35" s="40">
        <v>45730</v>
      </c>
      <c r="W35" s="31"/>
      <c r="X35" s="32"/>
      <c r="Y35" s="33"/>
      <c r="Z35" s="33"/>
      <c r="AA35" s="16"/>
      <c r="AB35" s="16"/>
    </row>
    <row r="36" spans="1:28" s="17" customFormat="1" ht="15.75" thickBot="1">
      <c r="A36" s="34"/>
      <c r="B36" s="35"/>
      <c r="C36" s="5"/>
      <c r="D36" s="42"/>
      <c r="E36" s="42"/>
      <c r="F36" s="42"/>
      <c r="G36" s="50"/>
      <c r="H36" s="42"/>
      <c r="I36" s="42"/>
      <c r="J36" s="42"/>
      <c r="K36" s="42"/>
      <c r="L36" s="42"/>
      <c r="M36" s="42"/>
      <c r="N36" s="42"/>
      <c r="O36" s="42"/>
      <c r="P36" s="43"/>
      <c r="Q36" s="43"/>
      <c r="R36" s="43"/>
      <c r="S36" s="43"/>
      <c r="T36" s="42"/>
      <c r="U36" s="50"/>
      <c r="V36" s="42" t="s">
        <v>78</v>
      </c>
      <c r="W36" s="37"/>
      <c r="X36" s="38"/>
      <c r="Y36" s="39"/>
      <c r="Z36" s="39"/>
      <c r="AA36" s="16"/>
      <c r="AB36" s="16"/>
    </row>
    <row r="37" spans="1:28" s="17" customFormat="1">
      <c r="A37" s="27"/>
      <c r="B37" s="28"/>
      <c r="C37" s="29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31"/>
      <c r="X37" s="32"/>
      <c r="Y37" s="33"/>
      <c r="Z37" s="33"/>
      <c r="AA37" s="16"/>
      <c r="AB37" s="16"/>
    </row>
    <row r="38" spans="1:28" s="17" customFormat="1" ht="15.75" thickBot="1">
      <c r="A38" s="34"/>
      <c r="B38" s="35"/>
      <c r="C38" s="5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37"/>
      <c r="X38" s="38"/>
      <c r="Y38" s="39"/>
      <c r="Z38" s="39"/>
      <c r="AA38" s="16"/>
      <c r="AB38" s="16"/>
    </row>
    <row r="39" spans="1:28" s="17" customFormat="1" ht="21">
      <c r="A39" s="18" t="s">
        <v>79</v>
      </c>
      <c r="B39" s="19" t="s">
        <v>80</v>
      </c>
      <c r="C39" s="20" t="s">
        <v>7</v>
      </c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3"/>
      <c r="S39" s="23"/>
      <c r="T39" s="24"/>
      <c r="U39" s="24"/>
      <c r="V39" s="24"/>
      <c r="W39" s="24"/>
      <c r="X39" s="24"/>
      <c r="Y39" s="24"/>
      <c r="Z39" s="79"/>
      <c r="AA39" s="16"/>
    </row>
    <row r="40" spans="1:28" s="17" customFormat="1" ht="21">
      <c r="A40" s="25"/>
      <c r="B40" s="62"/>
      <c r="C40" s="23" t="s">
        <v>8</v>
      </c>
      <c r="D40" s="26" t="s">
        <v>9</v>
      </c>
      <c r="E40" s="26" t="s">
        <v>10</v>
      </c>
      <c r="F40" s="26" t="s">
        <v>60</v>
      </c>
      <c r="G40" s="26" t="s">
        <v>61</v>
      </c>
      <c r="H40" s="26" t="s">
        <v>12</v>
      </c>
      <c r="I40" s="26" t="s">
        <v>13</v>
      </c>
      <c r="J40" s="26" t="s">
        <v>14</v>
      </c>
      <c r="K40" s="26" t="s">
        <v>15</v>
      </c>
      <c r="L40" s="26" t="s">
        <v>21</v>
      </c>
      <c r="M40" s="26" t="s">
        <v>20</v>
      </c>
      <c r="N40" s="26" t="s">
        <v>18</v>
      </c>
      <c r="O40" s="26" t="s">
        <v>19</v>
      </c>
      <c r="P40" s="26" t="s">
        <v>62</v>
      </c>
      <c r="Q40" s="26" t="s">
        <v>81</v>
      </c>
      <c r="R40" s="26" t="s">
        <v>23</v>
      </c>
      <c r="S40" s="26" t="s">
        <v>24</v>
      </c>
      <c r="T40" s="26" t="s">
        <v>82</v>
      </c>
      <c r="U40" s="26" t="s">
        <v>71</v>
      </c>
      <c r="V40" s="26" t="s">
        <v>72</v>
      </c>
      <c r="W40" s="26"/>
      <c r="X40" s="26"/>
      <c r="Y40" s="26"/>
      <c r="Z40" s="26"/>
      <c r="AA40" s="26"/>
      <c r="AB40" s="16"/>
    </row>
    <row r="41" spans="1:28" s="17" customFormat="1">
      <c r="A41" s="27" t="s">
        <v>83</v>
      </c>
      <c r="B41" s="28" t="s">
        <v>84</v>
      </c>
      <c r="C41" s="29">
        <v>91</v>
      </c>
      <c r="D41" s="41">
        <v>45783</v>
      </c>
      <c r="E41" s="41">
        <v>45783</v>
      </c>
      <c r="F41" s="41">
        <v>45783</v>
      </c>
      <c r="G41" s="41">
        <v>45783</v>
      </c>
      <c r="H41" s="41">
        <v>45783</v>
      </c>
      <c r="I41" s="41">
        <v>45783</v>
      </c>
      <c r="J41" s="41">
        <v>45783</v>
      </c>
      <c r="K41" s="41">
        <v>45783</v>
      </c>
      <c r="L41" s="41">
        <v>45810</v>
      </c>
      <c r="M41" s="41">
        <v>45792</v>
      </c>
      <c r="N41" s="41">
        <v>45783</v>
      </c>
      <c r="O41" s="41">
        <v>45800</v>
      </c>
      <c r="P41" s="41">
        <v>45796</v>
      </c>
      <c r="Q41" s="201"/>
      <c r="R41" s="41">
        <v>45804</v>
      </c>
      <c r="S41" s="41">
        <v>45810</v>
      </c>
      <c r="T41" s="41">
        <v>45797</v>
      </c>
      <c r="U41" s="41">
        <v>45805</v>
      </c>
      <c r="V41" s="41">
        <v>45805</v>
      </c>
      <c r="W41" s="31"/>
      <c r="X41" s="32"/>
      <c r="Y41" s="33"/>
      <c r="Z41" s="33"/>
      <c r="AA41" s="33"/>
      <c r="AB41" s="16"/>
    </row>
    <row r="42" spans="1:28" s="17" customFormat="1" ht="15.75" thickBot="1">
      <c r="A42" s="34"/>
      <c r="B42" s="35"/>
      <c r="C42" s="5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202"/>
      <c r="R42" s="43"/>
      <c r="S42" s="43"/>
      <c r="T42" s="43"/>
      <c r="U42" s="43"/>
      <c r="V42" s="43" t="s">
        <v>85</v>
      </c>
      <c r="W42" s="37"/>
      <c r="X42" s="38"/>
      <c r="Y42" s="39"/>
      <c r="Z42" s="39"/>
      <c r="AA42" s="39"/>
      <c r="AB42" s="16"/>
    </row>
    <row r="43" spans="1:28" s="17" customFormat="1">
      <c r="A43" s="27" t="s">
        <v>86</v>
      </c>
      <c r="B43" s="28" t="s">
        <v>87</v>
      </c>
      <c r="C43" s="29">
        <v>92</v>
      </c>
      <c r="D43" s="41">
        <v>45783</v>
      </c>
      <c r="E43" s="41">
        <v>45783</v>
      </c>
      <c r="F43" s="41">
        <v>45783</v>
      </c>
      <c r="G43" s="41">
        <v>45783</v>
      </c>
      <c r="H43" s="41">
        <v>45783</v>
      </c>
      <c r="I43" s="41">
        <v>45783</v>
      </c>
      <c r="J43" s="41">
        <v>45783</v>
      </c>
      <c r="K43" s="41">
        <v>45783</v>
      </c>
      <c r="L43" s="41">
        <v>45813</v>
      </c>
      <c r="M43" s="41">
        <v>45792</v>
      </c>
      <c r="N43" s="41">
        <v>45783</v>
      </c>
      <c r="O43" s="41">
        <v>45800</v>
      </c>
      <c r="P43" s="41">
        <v>45796</v>
      </c>
      <c r="Q43" s="201"/>
      <c r="R43" s="41">
        <v>45807</v>
      </c>
      <c r="S43" s="41">
        <v>45817</v>
      </c>
      <c r="T43" s="41">
        <v>45797</v>
      </c>
      <c r="U43" s="47"/>
      <c r="V43" s="41">
        <v>45806</v>
      </c>
      <c r="W43" s="31"/>
      <c r="X43" s="32"/>
      <c r="Y43" s="33"/>
      <c r="Z43" s="33"/>
      <c r="AA43" s="33"/>
      <c r="AB43" s="16"/>
    </row>
    <row r="44" spans="1:28" s="17" customFormat="1">
      <c r="A44" s="34"/>
      <c r="B44" s="35"/>
      <c r="C44" s="5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202"/>
      <c r="R44" s="43"/>
      <c r="S44" s="43"/>
      <c r="T44" s="43"/>
      <c r="U44" s="50"/>
      <c r="V44" s="43" t="s">
        <v>88</v>
      </c>
      <c r="W44" s="37"/>
      <c r="X44" s="38"/>
      <c r="Y44" s="39"/>
      <c r="Z44" s="39"/>
      <c r="AA44" s="39"/>
      <c r="AB44" s="16"/>
    </row>
    <row r="45" spans="1:28" s="17" customFormat="1">
      <c r="A45" s="27" t="s">
        <v>89</v>
      </c>
      <c r="B45" s="28" t="s">
        <v>90</v>
      </c>
      <c r="C45" s="29">
        <v>93</v>
      </c>
      <c r="D45" s="41">
        <v>45902</v>
      </c>
      <c r="E45" s="41">
        <v>45902</v>
      </c>
      <c r="F45" s="41">
        <v>45902</v>
      </c>
      <c r="G45" s="41">
        <v>45902</v>
      </c>
      <c r="H45" s="41">
        <v>45902</v>
      </c>
      <c r="I45" s="41">
        <v>45902</v>
      </c>
      <c r="J45" s="41">
        <v>45902</v>
      </c>
      <c r="K45" s="41">
        <v>45902</v>
      </c>
      <c r="L45" s="41">
        <v>45902</v>
      </c>
      <c r="M45" s="41">
        <v>45902</v>
      </c>
      <c r="N45" s="41">
        <v>45902</v>
      </c>
      <c r="O45" s="41">
        <v>45903</v>
      </c>
      <c r="P45" s="41">
        <v>45903</v>
      </c>
      <c r="Q45" s="41">
        <v>45904</v>
      </c>
      <c r="R45" s="41">
        <v>45911</v>
      </c>
      <c r="S45" s="198"/>
      <c r="T45" s="41">
        <v>45910</v>
      </c>
      <c r="U45" s="199"/>
      <c r="V45" s="41">
        <v>45930</v>
      </c>
      <c r="W45" s="31"/>
      <c r="X45" s="32"/>
      <c r="Y45" s="33"/>
      <c r="Z45" s="33"/>
      <c r="AA45" s="33"/>
      <c r="AB45" s="16"/>
    </row>
    <row r="46" spans="1:28" s="17" customFormat="1">
      <c r="A46" s="34"/>
      <c r="B46" s="35"/>
      <c r="C46" s="5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200"/>
      <c r="T46" s="43"/>
      <c r="U46" s="200"/>
      <c r="V46" s="43" t="s">
        <v>91</v>
      </c>
      <c r="W46" s="37"/>
      <c r="X46" s="38"/>
      <c r="Y46" s="39"/>
      <c r="Z46" s="39"/>
      <c r="AA46" s="39"/>
      <c r="AB46" s="16"/>
    </row>
    <row r="47" spans="1:28" s="17" customFormat="1">
      <c r="A47" s="27" t="s">
        <v>92</v>
      </c>
      <c r="B47" s="28" t="s">
        <v>93</v>
      </c>
      <c r="C47" s="29">
        <v>94</v>
      </c>
      <c r="D47" s="41">
        <v>45905</v>
      </c>
      <c r="E47" s="41">
        <v>45905</v>
      </c>
      <c r="F47" s="41">
        <v>45905</v>
      </c>
      <c r="G47" s="41">
        <v>45905</v>
      </c>
      <c r="H47" s="41">
        <v>45905</v>
      </c>
      <c r="I47" s="41">
        <v>45905</v>
      </c>
      <c r="J47" s="41">
        <v>45905</v>
      </c>
      <c r="K47" s="41">
        <v>45905</v>
      </c>
      <c r="L47" s="201"/>
      <c r="M47" s="41">
        <v>45905</v>
      </c>
      <c r="N47" s="41">
        <v>45905</v>
      </c>
      <c r="O47" s="41">
        <v>45905</v>
      </c>
      <c r="P47" s="41">
        <v>45910</v>
      </c>
      <c r="Q47" s="41">
        <v>45905</v>
      </c>
      <c r="R47" s="41">
        <v>45922</v>
      </c>
      <c r="S47" s="41">
        <v>45926</v>
      </c>
      <c r="T47" s="41">
        <v>45910</v>
      </c>
      <c r="U47" s="199"/>
      <c r="V47" s="41">
        <v>45930</v>
      </c>
      <c r="W47" s="31"/>
      <c r="X47" s="32"/>
      <c r="Y47" s="33"/>
      <c r="Z47" s="33"/>
      <c r="AA47" s="33"/>
      <c r="AB47" s="16"/>
    </row>
    <row r="48" spans="1:28" s="17" customFormat="1">
      <c r="A48" s="34"/>
      <c r="B48" s="35"/>
      <c r="C48" s="5"/>
      <c r="D48" s="43"/>
      <c r="E48" s="43"/>
      <c r="F48" s="43"/>
      <c r="G48" s="43"/>
      <c r="H48" s="43"/>
      <c r="I48" s="43"/>
      <c r="J48" s="43"/>
      <c r="K48" s="43"/>
      <c r="L48" s="202"/>
      <c r="M48" s="43"/>
      <c r="N48" s="43"/>
      <c r="O48" s="43"/>
      <c r="P48" s="43"/>
      <c r="Q48" s="43"/>
      <c r="R48" s="43"/>
      <c r="S48" s="43"/>
      <c r="T48" s="43"/>
      <c r="U48" s="200"/>
      <c r="V48" s="43" t="s">
        <v>94</v>
      </c>
      <c r="W48" s="37"/>
      <c r="X48" s="38"/>
      <c r="Y48" s="39"/>
      <c r="Z48" s="39"/>
      <c r="AA48" s="39"/>
      <c r="AB48" s="16"/>
    </row>
    <row r="49" spans="1:28" s="17" customFormat="1">
      <c r="A49" s="65" t="s">
        <v>95</v>
      </c>
      <c r="B49" s="66" t="s">
        <v>96</v>
      </c>
      <c r="C49" s="65">
        <v>95</v>
      </c>
      <c r="D49" s="105">
        <v>45933</v>
      </c>
      <c r="E49" s="105">
        <v>45933</v>
      </c>
      <c r="F49" s="105">
        <v>45933</v>
      </c>
      <c r="G49" s="105">
        <v>45933</v>
      </c>
      <c r="H49" s="105">
        <v>45933</v>
      </c>
      <c r="I49" s="105">
        <v>45933</v>
      </c>
      <c r="J49" s="105">
        <v>45933</v>
      </c>
      <c r="K49" s="105">
        <v>45933</v>
      </c>
      <c r="L49" s="49"/>
      <c r="M49" s="67">
        <v>45936</v>
      </c>
      <c r="N49" s="105">
        <v>45933</v>
      </c>
      <c r="O49" s="105">
        <v>45933</v>
      </c>
      <c r="P49" s="49"/>
      <c r="Q49" s="67">
        <v>45936</v>
      </c>
      <c r="R49" s="105">
        <v>45940</v>
      </c>
      <c r="S49" s="49"/>
      <c r="T49" s="67">
        <v>45936</v>
      </c>
      <c r="U49" s="71"/>
      <c r="V49" s="70"/>
      <c r="W49" s="70"/>
      <c r="X49" s="70"/>
      <c r="Y49" s="70"/>
      <c r="Z49" s="70"/>
      <c r="AA49" s="16"/>
      <c r="AB49" s="16"/>
    </row>
    <row r="50" spans="1:28" s="17" customFormat="1">
      <c r="A50" s="72"/>
      <c r="B50" s="73"/>
      <c r="C50" s="72"/>
      <c r="D50" s="91"/>
      <c r="E50" s="91"/>
      <c r="F50" s="91"/>
      <c r="G50" s="91"/>
      <c r="H50" s="91"/>
      <c r="I50" s="91"/>
      <c r="J50" s="91"/>
      <c r="K50" s="91"/>
      <c r="L50" s="51"/>
      <c r="M50" s="74"/>
      <c r="N50" s="91"/>
      <c r="O50" s="91"/>
      <c r="P50" s="51"/>
      <c r="Q50" s="74"/>
      <c r="R50" s="91"/>
      <c r="S50" s="51"/>
      <c r="T50" s="74"/>
      <c r="U50" s="80"/>
      <c r="V50" s="39"/>
      <c r="W50" s="39"/>
      <c r="X50" s="39"/>
      <c r="Y50" s="39"/>
      <c r="Z50" s="39"/>
      <c r="AA50" s="16"/>
      <c r="AB50" s="16"/>
    </row>
    <row r="51" spans="1:28" s="17" customFormat="1">
      <c r="A51" s="65" t="s">
        <v>97</v>
      </c>
      <c r="B51" s="66" t="s">
        <v>90</v>
      </c>
      <c r="C51" s="65">
        <v>96</v>
      </c>
      <c r="D51" s="105">
        <v>45933</v>
      </c>
      <c r="E51" s="105">
        <v>45933</v>
      </c>
      <c r="F51" s="105">
        <v>45933</v>
      </c>
      <c r="G51" s="105">
        <v>45933</v>
      </c>
      <c r="H51" s="105">
        <v>45933</v>
      </c>
      <c r="I51" s="105">
        <v>45933</v>
      </c>
      <c r="J51" s="105">
        <v>45933</v>
      </c>
      <c r="K51" s="105">
        <v>45933</v>
      </c>
      <c r="L51" s="49"/>
      <c r="M51" s="67">
        <v>45936</v>
      </c>
      <c r="N51" s="105">
        <v>45933</v>
      </c>
      <c r="O51" s="105">
        <v>45933</v>
      </c>
      <c r="P51" s="49"/>
      <c r="Q51" s="67">
        <v>45936</v>
      </c>
      <c r="R51" s="49"/>
      <c r="S51" s="49"/>
      <c r="T51" s="67">
        <v>45936</v>
      </c>
      <c r="U51" s="71"/>
      <c r="V51" s="70"/>
      <c r="W51" s="70"/>
      <c r="X51" s="70"/>
      <c r="Y51" s="70"/>
      <c r="Z51" s="70"/>
      <c r="AA51" s="16"/>
      <c r="AB51" s="16"/>
    </row>
    <row r="52" spans="1:28" s="17" customFormat="1">
      <c r="A52" s="72"/>
      <c r="B52" s="73"/>
      <c r="C52" s="72"/>
      <c r="D52" s="91"/>
      <c r="E52" s="91"/>
      <c r="F52" s="91"/>
      <c r="G52" s="91"/>
      <c r="H52" s="91"/>
      <c r="I52" s="91"/>
      <c r="J52" s="91"/>
      <c r="K52" s="91"/>
      <c r="L52" s="51"/>
      <c r="M52" s="74"/>
      <c r="N52" s="91"/>
      <c r="O52" s="91"/>
      <c r="P52" s="51"/>
      <c r="Q52" s="74"/>
      <c r="R52" s="51"/>
      <c r="S52" s="51"/>
      <c r="T52" s="74"/>
      <c r="U52" s="80"/>
      <c r="V52" s="39"/>
      <c r="W52" s="39"/>
      <c r="X52" s="39"/>
      <c r="Y52" s="39"/>
      <c r="Z52" s="39"/>
      <c r="AA52" s="16"/>
      <c r="AB52" s="16"/>
    </row>
    <row r="53" spans="1:28" s="17" customFormat="1" ht="21">
      <c r="A53" s="61" t="s">
        <v>98</v>
      </c>
      <c r="B53" s="62" t="s">
        <v>80</v>
      </c>
      <c r="C53" s="23"/>
      <c r="D53" s="63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3"/>
      <c r="T53" s="23"/>
      <c r="U53" s="24"/>
      <c r="V53" s="24"/>
      <c r="W53" s="24"/>
      <c r="X53" s="24"/>
      <c r="Y53" s="24"/>
      <c r="Z53" s="24"/>
      <c r="AA53" s="16"/>
      <c r="AB53" s="16"/>
    </row>
    <row r="54" spans="1:28" s="17" customFormat="1" ht="21">
      <c r="A54" s="25"/>
      <c r="B54" s="64"/>
      <c r="C54" s="23" t="s">
        <v>8</v>
      </c>
      <c r="D54" s="26" t="s">
        <v>9</v>
      </c>
      <c r="E54" s="26" t="s">
        <v>10</v>
      </c>
      <c r="F54" s="26" t="s">
        <v>60</v>
      </c>
      <c r="G54" s="26" t="s">
        <v>61</v>
      </c>
      <c r="H54" s="26" t="s">
        <v>12</v>
      </c>
      <c r="I54" s="26" t="s">
        <v>13</v>
      </c>
      <c r="J54" s="26" t="s">
        <v>14</v>
      </c>
      <c r="K54" s="26" t="s">
        <v>15</v>
      </c>
      <c r="L54" s="26" t="s">
        <v>21</v>
      </c>
      <c r="M54" s="26" t="s">
        <v>20</v>
      </c>
      <c r="N54" s="26" t="s">
        <v>18</v>
      </c>
      <c r="O54" s="26" t="s">
        <v>19</v>
      </c>
      <c r="P54" s="26" t="s">
        <v>62</v>
      </c>
      <c r="Q54" s="26" t="s">
        <v>23</v>
      </c>
      <c r="R54" s="26" t="s">
        <v>24</v>
      </c>
      <c r="S54" s="26" t="s">
        <v>25</v>
      </c>
      <c r="T54" s="26" t="s">
        <v>71</v>
      </c>
      <c r="U54" s="26" t="s">
        <v>72</v>
      </c>
      <c r="V54" s="26"/>
      <c r="W54" s="26"/>
      <c r="X54" s="26"/>
      <c r="Y54" s="26"/>
      <c r="Z54" s="26"/>
      <c r="AA54" s="16"/>
      <c r="AB54" s="16"/>
    </row>
    <row r="55" spans="1:28" s="17" customFormat="1">
      <c r="A55" s="65" t="s">
        <v>99</v>
      </c>
      <c r="B55" s="66" t="s">
        <v>100</v>
      </c>
      <c r="C55" s="65">
        <v>5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71"/>
      <c r="V55" s="70"/>
      <c r="W55" s="70"/>
      <c r="X55" s="70"/>
      <c r="Y55" s="70"/>
      <c r="Z55" s="70"/>
      <c r="AA55" s="16"/>
      <c r="AB55" s="16"/>
    </row>
    <row r="56" spans="1:28" s="17" customFormat="1" ht="15.75" thickBot="1">
      <c r="A56" s="72"/>
      <c r="B56" s="73"/>
      <c r="C56" s="72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80"/>
      <c r="V56" s="39"/>
      <c r="W56" s="39"/>
      <c r="X56" s="39"/>
      <c r="Y56" s="39"/>
      <c r="Z56" s="39"/>
      <c r="AA56" s="16"/>
      <c r="AB56" s="16"/>
    </row>
    <row r="57" spans="1:28" s="17" customFormat="1">
      <c r="A57" s="65" t="s">
        <v>101</v>
      </c>
      <c r="B57" s="66" t="s">
        <v>102</v>
      </c>
      <c r="C57" s="65">
        <v>6</v>
      </c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71"/>
      <c r="V57" s="70"/>
      <c r="W57" s="70"/>
      <c r="X57" s="70"/>
      <c r="Y57" s="70"/>
      <c r="Z57" s="70"/>
      <c r="AA57" s="16"/>
      <c r="AB57" s="16"/>
    </row>
    <row r="58" spans="1:28" s="17" customFormat="1" ht="15.75" thickBot="1">
      <c r="A58" s="72"/>
      <c r="B58" s="73"/>
      <c r="C58" s="72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80"/>
      <c r="V58" s="39"/>
      <c r="W58" s="39"/>
      <c r="X58" s="39"/>
      <c r="Y58" s="39"/>
      <c r="Z58" s="39"/>
      <c r="AA58" s="16"/>
      <c r="AB58" s="16"/>
    </row>
    <row r="59" spans="1:28" s="17" customFormat="1">
      <c r="A59" s="65" t="s">
        <v>103</v>
      </c>
      <c r="B59" s="66" t="s">
        <v>104</v>
      </c>
      <c r="C59" s="65">
        <v>7</v>
      </c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71"/>
      <c r="V59" s="70"/>
      <c r="W59" s="70"/>
      <c r="X59" s="70"/>
      <c r="Y59" s="70"/>
      <c r="Z59" s="70"/>
      <c r="AA59" s="16"/>
      <c r="AB59" s="16"/>
    </row>
    <row r="60" spans="1:28" s="17" customFormat="1" ht="15.75" thickBot="1">
      <c r="A60" s="72"/>
      <c r="B60" s="73"/>
      <c r="C60" s="72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80"/>
      <c r="V60" s="39"/>
      <c r="W60" s="39"/>
      <c r="X60" s="39"/>
      <c r="Y60" s="39"/>
      <c r="Z60" s="39"/>
      <c r="AA60" s="16"/>
      <c r="AB60" s="16"/>
    </row>
    <row r="61" spans="1:28" s="17" customFormat="1" ht="21">
      <c r="A61" s="62" t="s">
        <v>105</v>
      </c>
      <c r="B61" s="62" t="s">
        <v>80</v>
      </c>
      <c r="C61" s="23"/>
      <c r="D61" s="63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81"/>
      <c r="T61" s="81"/>
      <c r="U61" s="79"/>
      <c r="V61" s="79"/>
      <c r="W61" s="79"/>
      <c r="X61" s="79"/>
      <c r="Y61" s="79"/>
      <c r="Z61" s="79"/>
      <c r="AA61" s="16"/>
      <c r="AB61" s="16"/>
    </row>
    <row r="62" spans="1:28" s="17" customFormat="1" ht="21">
      <c r="A62" s="62"/>
      <c r="B62" s="82"/>
      <c r="C62" s="23" t="s">
        <v>8</v>
      </c>
      <c r="D62" s="26" t="s">
        <v>9</v>
      </c>
      <c r="E62" s="26" t="s">
        <v>10</v>
      </c>
      <c r="F62" s="26" t="s">
        <v>60</v>
      </c>
      <c r="G62" s="26" t="s">
        <v>61</v>
      </c>
      <c r="H62" s="26" t="s">
        <v>12</v>
      </c>
      <c r="I62" s="26" t="s">
        <v>13</v>
      </c>
      <c r="J62" s="26" t="s">
        <v>14</v>
      </c>
      <c r="K62" s="26" t="s">
        <v>15</v>
      </c>
      <c r="L62" s="26" t="s">
        <v>21</v>
      </c>
      <c r="M62" s="26" t="s">
        <v>20</v>
      </c>
      <c r="N62" s="26" t="s">
        <v>18</v>
      </c>
      <c r="O62" s="26" t="s">
        <v>19</v>
      </c>
      <c r="P62" s="26" t="s">
        <v>62</v>
      </c>
      <c r="Q62" s="26" t="s">
        <v>23</v>
      </c>
      <c r="R62" s="26" t="s">
        <v>24</v>
      </c>
      <c r="S62" s="26" t="s">
        <v>25</v>
      </c>
      <c r="T62" s="26" t="s">
        <v>71</v>
      </c>
      <c r="U62" s="26" t="s">
        <v>72</v>
      </c>
      <c r="V62" s="26"/>
      <c r="W62" s="26"/>
      <c r="X62" s="83"/>
      <c r="Y62" s="84"/>
      <c r="Z62" s="85"/>
      <c r="AA62" s="16"/>
      <c r="AB62" s="16"/>
    </row>
    <row r="63" spans="1:28" s="17" customFormat="1">
      <c r="A63" s="27" t="s">
        <v>106</v>
      </c>
      <c r="B63" s="86">
        <v>1520</v>
      </c>
      <c r="C63" s="46">
        <v>127</v>
      </c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16"/>
      <c r="AB63" s="16"/>
    </row>
    <row r="64" spans="1:28" s="17" customFormat="1" ht="15.75" thickBot="1">
      <c r="A64" s="34"/>
      <c r="B64" s="87"/>
      <c r="C64" s="34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16"/>
      <c r="AB64" s="16"/>
    </row>
    <row r="65" spans="1:29" s="17" customFormat="1">
      <c r="A65" s="27" t="s">
        <v>107</v>
      </c>
      <c r="B65" s="86">
        <v>1520</v>
      </c>
      <c r="C65" s="46">
        <v>128</v>
      </c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16"/>
      <c r="AB65" s="16"/>
    </row>
    <row r="66" spans="1:29" s="17" customFormat="1" ht="15.75" thickBot="1">
      <c r="A66" s="34"/>
      <c r="B66" s="87"/>
      <c r="C66" s="34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16"/>
      <c r="AB66" s="16"/>
    </row>
    <row r="67" spans="1:29" s="17" customFormat="1">
      <c r="A67" s="27" t="s">
        <v>108</v>
      </c>
      <c r="B67" s="86">
        <v>1520</v>
      </c>
      <c r="C67" s="46">
        <v>129</v>
      </c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16"/>
      <c r="AB67" s="16"/>
    </row>
    <row r="68" spans="1:29" s="17" customFormat="1" ht="15.75" thickBot="1">
      <c r="A68" s="34"/>
      <c r="B68" s="87"/>
      <c r="C68" s="34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16"/>
      <c r="AB68" s="16"/>
    </row>
    <row r="69" spans="1:29" s="17" customFormat="1">
      <c r="A69" s="27" t="s">
        <v>109</v>
      </c>
      <c r="B69" s="86">
        <v>1520</v>
      </c>
      <c r="C69" s="46">
        <v>130</v>
      </c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16"/>
      <c r="AB69" s="16"/>
    </row>
    <row r="70" spans="1:29" s="17" customFormat="1" ht="15.75" thickBot="1">
      <c r="A70" s="34"/>
      <c r="B70" s="87"/>
      <c r="C70" s="34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16"/>
      <c r="AB70" s="16"/>
    </row>
    <row r="71" spans="1:29" s="17" customFormat="1">
      <c r="A71" s="27" t="s">
        <v>110</v>
      </c>
      <c r="B71" s="86">
        <v>1520</v>
      </c>
      <c r="C71" s="46">
        <v>131</v>
      </c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16"/>
      <c r="AB71" s="16"/>
    </row>
    <row r="72" spans="1:29" s="17" customFormat="1" ht="15.75" thickBot="1">
      <c r="A72" s="34"/>
      <c r="B72" s="87"/>
      <c r="C72" s="34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16"/>
      <c r="AB72" s="16"/>
    </row>
    <row r="73" spans="1:29" s="17" customFormat="1">
      <c r="A73" s="27" t="s">
        <v>111</v>
      </c>
      <c r="B73" s="86">
        <v>1520</v>
      </c>
      <c r="C73" s="46">
        <v>132</v>
      </c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16"/>
      <c r="AB73" s="16"/>
    </row>
    <row r="74" spans="1:29" s="17" customFormat="1" ht="15.75" thickBot="1">
      <c r="A74" s="34"/>
      <c r="B74" s="35"/>
      <c r="C74" s="34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16"/>
      <c r="AB74" s="16"/>
    </row>
    <row r="75" spans="1:29" s="17" customFormat="1" ht="21">
      <c r="A75" s="62" t="s">
        <v>112</v>
      </c>
      <c r="B75" s="62" t="s">
        <v>80</v>
      </c>
      <c r="C75" s="23"/>
      <c r="D75" s="63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81"/>
      <c r="T75" s="81"/>
      <c r="U75" s="79"/>
      <c r="V75" s="79"/>
      <c r="W75" s="79"/>
      <c r="X75" s="79"/>
      <c r="Y75" s="79"/>
      <c r="Z75" s="79"/>
      <c r="AA75" s="16"/>
      <c r="AB75" s="16"/>
    </row>
    <row r="76" spans="1:29" s="17" customFormat="1" ht="21">
      <c r="A76" s="25"/>
      <c r="B76" s="82"/>
      <c r="C76" s="23" t="s">
        <v>8</v>
      </c>
      <c r="D76" s="26" t="s">
        <v>9</v>
      </c>
      <c r="E76" s="26" t="s">
        <v>10</v>
      </c>
      <c r="F76" s="26" t="s">
        <v>60</v>
      </c>
      <c r="G76" s="26" t="s">
        <v>61</v>
      </c>
      <c r="H76" s="26" t="s">
        <v>12</v>
      </c>
      <c r="I76" s="26" t="s">
        <v>13</v>
      </c>
      <c r="J76" s="26" t="s">
        <v>14</v>
      </c>
      <c r="K76" s="26" t="s">
        <v>15</v>
      </c>
      <c r="L76" s="26" t="s">
        <v>21</v>
      </c>
      <c r="M76" s="26" t="s">
        <v>20</v>
      </c>
      <c r="N76" s="26" t="s">
        <v>18</v>
      </c>
      <c r="O76" s="26" t="s">
        <v>19</v>
      </c>
      <c r="P76" s="26" t="s">
        <v>62</v>
      </c>
      <c r="Q76" s="26" t="s">
        <v>113</v>
      </c>
      <c r="R76" s="26" t="s">
        <v>23</v>
      </c>
      <c r="S76" s="26" t="s">
        <v>24</v>
      </c>
      <c r="T76" s="26" t="s">
        <v>25</v>
      </c>
      <c r="U76" s="26" t="s">
        <v>71</v>
      </c>
      <c r="V76" s="26" t="s">
        <v>72</v>
      </c>
      <c r="W76" s="26"/>
      <c r="X76" s="26"/>
      <c r="Y76" s="26"/>
      <c r="Z76" s="26"/>
      <c r="AA76" s="16"/>
      <c r="AB76" s="16"/>
      <c r="AC76" s="16"/>
    </row>
    <row r="77" spans="1:29" s="17" customFormat="1">
      <c r="A77" s="27" t="s">
        <v>114</v>
      </c>
      <c r="B77" s="45" t="s">
        <v>115</v>
      </c>
      <c r="C77" s="46">
        <v>113</v>
      </c>
      <c r="D77" s="105">
        <v>45903</v>
      </c>
      <c r="E77" s="105">
        <v>45903</v>
      </c>
      <c r="F77" s="105">
        <v>45903</v>
      </c>
      <c r="G77" s="105">
        <v>45903</v>
      </c>
      <c r="H77" s="105">
        <v>45903</v>
      </c>
      <c r="I77" s="105">
        <v>45903</v>
      </c>
      <c r="J77" s="105">
        <v>45903</v>
      </c>
      <c r="K77" s="105">
        <v>45903</v>
      </c>
      <c r="L77" s="49"/>
      <c r="M77" s="105">
        <v>45903</v>
      </c>
      <c r="N77" s="105">
        <v>45903</v>
      </c>
      <c r="O77" s="105">
        <v>45903</v>
      </c>
      <c r="P77" s="105">
        <v>45904</v>
      </c>
      <c r="Q77" s="105">
        <v>45904</v>
      </c>
      <c r="R77" s="105">
        <v>45911</v>
      </c>
      <c r="S77" s="105">
        <v>45924</v>
      </c>
      <c r="T77" s="105">
        <v>45909</v>
      </c>
      <c r="U77" s="49"/>
      <c r="V77" s="105">
        <v>45909</v>
      </c>
      <c r="W77" s="49"/>
      <c r="X77" s="49"/>
      <c r="Y77" s="49"/>
      <c r="Z77" s="49"/>
      <c r="AA77" s="16"/>
      <c r="AB77" s="16"/>
      <c r="AC77" s="16"/>
    </row>
    <row r="78" spans="1:29" s="17" customFormat="1">
      <c r="A78" s="34"/>
      <c r="B78" s="35"/>
      <c r="C78" s="34"/>
      <c r="D78" s="91"/>
      <c r="E78" s="91"/>
      <c r="F78" s="91"/>
      <c r="G78" s="91"/>
      <c r="H78" s="91"/>
      <c r="I78" s="91"/>
      <c r="J78" s="91"/>
      <c r="K78" s="91"/>
      <c r="L78" s="51"/>
      <c r="M78" s="91"/>
      <c r="N78" s="91"/>
      <c r="O78" s="91"/>
      <c r="P78" s="91"/>
      <c r="Q78" s="91"/>
      <c r="R78" s="91"/>
      <c r="S78" s="91"/>
      <c r="T78" s="91"/>
      <c r="U78" s="51"/>
      <c r="V78" s="91" t="s">
        <v>116</v>
      </c>
      <c r="W78" s="51"/>
      <c r="X78" s="51"/>
      <c r="Y78" s="51"/>
      <c r="Z78" s="51"/>
      <c r="AA78" s="16"/>
      <c r="AB78" s="16"/>
      <c r="AC78" s="16"/>
    </row>
    <row r="79" spans="1:29" s="17" customFormat="1">
      <c r="A79" s="27" t="s">
        <v>117</v>
      </c>
      <c r="B79" s="45" t="s">
        <v>118</v>
      </c>
      <c r="C79" s="46">
        <v>114</v>
      </c>
      <c r="D79" s="105">
        <v>45903</v>
      </c>
      <c r="E79" s="105">
        <v>45903</v>
      </c>
      <c r="F79" s="105">
        <v>45903</v>
      </c>
      <c r="G79" s="105">
        <v>45903</v>
      </c>
      <c r="H79" s="105">
        <v>45903</v>
      </c>
      <c r="I79" s="105">
        <v>45903</v>
      </c>
      <c r="J79" s="105">
        <v>45903</v>
      </c>
      <c r="K79" s="105">
        <v>45903</v>
      </c>
      <c r="L79" s="49"/>
      <c r="M79" s="105">
        <v>45903</v>
      </c>
      <c r="N79" s="105">
        <v>45903</v>
      </c>
      <c r="O79" s="105">
        <v>45903</v>
      </c>
      <c r="P79" s="105">
        <v>45904</v>
      </c>
      <c r="Q79" s="105">
        <v>45904</v>
      </c>
      <c r="R79" s="105">
        <v>45911</v>
      </c>
      <c r="S79" s="105">
        <v>45924</v>
      </c>
      <c r="T79" s="105">
        <v>45909</v>
      </c>
      <c r="U79" s="49"/>
      <c r="V79" s="105">
        <v>45909</v>
      </c>
      <c r="W79" s="49"/>
      <c r="X79" s="49"/>
      <c r="Y79" s="49"/>
      <c r="Z79" s="49"/>
      <c r="AA79" s="16"/>
      <c r="AB79" s="16"/>
      <c r="AC79" s="16"/>
    </row>
    <row r="80" spans="1:29" s="17" customFormat="1">
      <c r="A80" s="34"/>
      <c r="B80" s="35"/>
      <c r="C80" s="34"/>
      <c r="D80" s="91"/>
      <c r="E80" s="91"/>
      <c r="F80" s="91"/>
      <c r="G80" s="91"/>
      <c r="H80" s="91"/>
      <c r="I80" s="91"/>
      <c r="J80" s="91"/>
      <c r="K80" s="91"/>
      <c r="L80" s="51"/>
      <c r="M80" s="91"/>
      <c r="N80" s="91"/>
      <c r="O80" s="91"/>
      <c r="P80" s="91"/>
      <c r="Q80" s="91"/>
      <c r="R80" s="91"/>
      <c r="S80" s="91"/>
      <c r="T80" s="91"/>
      <c r="U80" s="51"/>
      <c r="V80" s="91" t="s">
        <v>119</v>
      </c>
      <c r="W80" s="51"/>
      <c r="X80" s="51"/>
      <c r="Y80" s="51"/>
      <c r="Z80" s="51"/>
      <c r="AA80" s="16"/>
      <c r="AB80" s="16"/>
      <c r="AC80" s="16"/>
    </row>
    <row r="81" spans="1:29" s="17" customFormat="1">
      <c r="A81" s="27" t="s">
        <v>120</v>
      </c>
      <c r="B81" s="45" t="s">
        <v>121</v>
      </c>
      <c r="C81" s="46">
        <v>115</v>
      </c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117">
        <v>45972</v>
      </c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16"/>
      <c r="AB81" s="16"/>
      <c r="AC81" s="16"/>
    </row>
    <row r="82" spans="1:29" s="17" customFormat="1">
      <c r="A82" s="34"/>
      <c r="B82" s="35"/>
      <c r="C82" s="34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16"/>
      <c r="AB82" s="16"/>
      <c r="AC82" s="16"/>
    </row>
    <row r="83" spans="1:29" s="17" customFormat="1">
      <c r="A83" s="27" t="s">
        <v>122</v>
      </c>
      <c r="B83" s="45" t="s">
        <v>123</v>
      </c>
      <c r="C83" s="46">
        <v>116</v>
      </c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117">
        <v>45972</v>
      </c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16"/>
      <c r="AB83" s="16"/>
      <c r="AC83" s="16"/>
    </row>
    <row r="84" spans="1:29" s="17" customFormat="1">
      <c r="A84" s="34"/>
      <c r="B84" s="35"/>
      <c r="C84" s="34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16"/>
      <c r="AB84" s="16"/>
      <c r="AC84" s="16"/>
    </row>
    <row r="85" spans="1:29" s="17" customFormat="1" ht="21">
      <c r="A85" s="62" t="s">
        <v>124</v>
      </c>
      <c r="B85" s="62" t="s">
        <v>80</v>
      </c>
      <c r="C85" s="23"/>
      <c r="D85" s="63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  <c r="S85" s="23"/>
      <c r="T85" s="23"/>
      <c r="U85" s="24"/>
      <c r="V85" s="24"/>
      <c r="W85" s="24"/>
      <c r="X85" s="24"/>
      <c r="Y85" s="24"/>
      <c r="Z85" s="79"/>
      <c r="AA85" s="16"/>
      <c r="AB85" s="16"/>
    </row>
    <row r="86" spans="1:29" s="17" customFormat="1" ht="21">
      <c r="A86" s="25"/>
      <c r="B86" s="64"/>
      <c r="C86" s="23" t="s">
        <v>8</v>
      </c>
      <c r="D86" s="26" t="s">
        <v>9</v>
      </c>
      <c r="E86" s="26" t="s">
        <v>10</v>
      </c>
      <c r="F86" s="26" t="s">
        <v>60</v>
      </c>
      <c r="G86" s="26" t="s">
        <v>61</v>
      </c>
      <c r="H86" s="26" t="s">
        <v>12</v>
      </c>
      <c r="I86" s="26" t="s">
        <v>13</v>
      </c>
      <c r="J86" s="26" t="s">
        <v>14</v>
      </c>
      <c r="K86" s="26" t="s">
        <v>15</v>
      </c>
      <c r="L86" s="26" t="s">
        <v>21</v>
      </c>
      <c r="M86" s="26" t="s">
        <v>20</v>
      </c>
      <c r="N86" s="26" t="s">
        <v>18</v>
      </c>
      <c r="O86" s="26" t="s">
        <v>19</v>
      </c>
      <c r="P86" s="26" t="s">
        <v>62</v>
      </c>
      <c r="Q86" s="26" t="s">
        <v>23</v>
      </c>
      <c r="R86" s="26" t="s">
        <v>24</v>
      </c>
      <c r="S86" s="26" t="s">
        <v>25</v>
      </c>
      <c r="T86" s="26" t="s">
        <v>26</v>
      </c>
      <c r="U86" s="26" t="s">
        <v>27</v>
      </c>
      <c r="V86" s="26"/>
      <c r="W86" s="26"/>
      <c r="X86" s="26"/>
      <c r="Y86" s="26"/>
      <c r="Z86" s="26"/>
      <c r="AA86" s="16"/>
      <c r="AB86" s="16"/>
    </row>
    <row r="87" spans="1:29" s="17" customFormat="1">
      <c r="A87" s="27" t="s">
        <v>125</v>
      </c>
      <c r="B87" s="45" t="s">
        <v>126</v>
      </c>
      <c r="C87" s="46">
        <v>139</v>
      </c>
      <c r="D87" s="41">
        <v>45813</v>
      </c>
      <c r="E87" s="41">
        <v>45813</v>
      </c>
      <c r="F87" s="41">
        <v>45813</v>
      </c>
      <c r="G87" s="41">
        <v>45813</v>
      </c>
      <c r="H87" s="41">
        <v>45813</v>
      </c>
      <c r="I87" s="41">
        <v>45813</v>
      </c>
      <c r="J87" s="41">
        <v>45813</v>
      </c>
      <c r="K87" s="41">
        <v>45813</v>
      </c>
      <c r="L87" s="47"/>
      <c r="M87" s="41">
        <v>45813</v>
      </c>
      <c r="N87" s="41">
        <v>45813</v>
      </c>
      <c r="O87" s="41">
        <v>45817</v>
      </c>
      <c r="P87" s="41">
        <v>45817</v>
      </c>
      <c r="Q87" s="41">
        <v>45838</v>
      </c>
      <c r="R87" s="41">
        <v>45840</v>
      </c>
      <c r="S87" s="41">
        <v>45817</v>
      </c>
      <c r="T87" s="47"/>
      <c r="U87" s="47"/>
      <c r="V87" s="47"/>
      <c r="W87" s="47"/>
      <c r="X87" s="47"/>
      <c r="Y87" s="47"/>
      <c r="Z87" s="49"/>
      <c r="AA87" s="16"/>
      <c r="AB87" s="16"/>
    </row>
    <row r="88" spans="1:29" s="17" customFormat="1" ht="15.75" thickBot="1">
      <c r="A88" s="34"/>
      <c r="B88" s="35"/>
      <c r="C88" s="34"/>
      <c r="D88" s="43"/>
      <c r="E88" s="43"/>
      <c r="F88" s="43"/>
      <c r="G88" s="43"/>
      <c r="H88" s="43"/>
      <c r="I88" s="43"/>
      <c r="J88" s="43"/>
      <c r="K88" s="43"/>
      <c r="L88" s="50"/>
      <c r="M88" s="43"/>
      <c r="N88" s="43"/>
      <c r="O88" s="43"/>
      <c r="P88" s="43"/>
      <c r="Q88" s="43"/>
      <c r="R88" s="43"/>
      <c r="S88" s="43"/>
      <c r="T88" s="50"/>
      <c r="U88" s="50"/>
      <c r="V88" s="50"/>
      <c r="W88" s="50"/>
      <c r="X88" s="50"/>
      <c r="Y88" s="50"/>
      <c r="Z88" s="51"/>
      <c r="AA88" s="16"/>
      <c r="AB88" s="16"/>
    </row>
    <row r="89" spans="1:29" s="17" customFormat="1">
      <c r="A89" s="27" t="s">
        <v>127</v>
      </c>
      <c r="B89" s="28" t="s">
        <v>96</v>
      </c>
      <c r="C89" s="29">
        <v>141</v>
      </c>
      <c r="D89" s="41">
        <v>45813</v>
      </c>
      <c r="E89" s="41">
        <v>45813</v>
      </c>
      <c r="F89" s="41">
        <v>45813</v>
      </c>
      <c r="G89" s="41">
        <v>45813</v>
      </c>
      <c r="H89" s="41">
        <v>45813</v>
      </c>
      <c r="I89" s="41">
        <v>45813</v>
      </c>
      <c r="J89" s="41">
        <v>45813</v>
      </c>
      <c r="K89" s="41">
        <v>45813</v>
      </c>
      <c r="L89" s="47"/>
      <c r="M89" s="41">
        <v>45813</v>
      </c>
      <c r="N89" s="41">
        <v>45813</v>
      </c>
      <c r="O89" s="41">
        <v>45817</v>
      </c>
      <c r="P89" s="41">
        <v>45817</v>
      </c>
      <c r="Q89" s="40">
        <v>45826</v>
      </c>
      <c r="R89" s="40">
        <v>45831</v>
      </c>
      <c r="S89" s="41">
        <v>45813</v>
      </c>
      <c r="T89" s="47"/>
      <c r="U89" s="47"/>
      <c r="V89" s="47"/>
      <c r="W89" s="31"/>
      <c r="X89" s="32"/>
      <c r="Y89" s="33"/>
      <c r="Z89" s="33"/>
      <c r="AA89" s="16"/>
      <c r="AB89" s="16"/>
    </row>
    <row r="90" spans="1:29" s="17" customFormat="1" ht="15.75" thickBot="1">
      <c r="A90" s="34"/>
      <c r="B90" s="35"/>
      <c r="C90" s="5"/>
      <c r="D90" s="43"/>
      <c r="E90" s="43"/>
      <c r="F90" s="43"/>
      <c r="G90" s="43"/>
      <c r="H90" s="43"/>
      <c r="I90" s="43"/>
      <c r="J90" s="43"/>
      <c r="K90" s="43"/>
      <c r="L90" s="50"/>
      <c r="M90" s="43"/>
      <c r="N90" s="43"/>
      <c r="O90" s="43"/>
      <c r="P90" s="43"/>
      <c r="Q90" s="42"/>
      <c r="R90" s="42"/>
      <c r="S90" s="43"/>
      <c r="T90" s="50"/>
      <c r="U90" s="50"/>
      <c r="V90" s="50"/>
      <c r="W90" s="37"/>
      <c r="X90" s="38"/>
      <c r="Y90" s="39"/>
      <c r="Z90" s="39"/>
      <c r="AA90" s="16"/>
      <c r="AB90" s="16"/>
    </row>
    <row r="91" spans="1:29" s="17" customFormat="1">
      <c r="A91" s="27" t="s">
        <v>128</v>
      </c>
      <c r="B91" s="45" t="s">
        <v>129</v>
      </c>
      <c r="C91" s="46">
        <v>142</v>
      </c>
      <c r="D91" s="41">
        <v>45786</v>
      </c>
      <c r="E91" s="41">
        <v>45786</v>
      </c>
      <c r="F91" s="41">
        <v>45786</v>
      </c>
      <c r="G91" s="41">
        <v>45786</v>
      </c>
      <c r="H91" s="41">
        <v>45786</v>
      </c>
      <c r="I91" s="41">
        <v>45786</v>
      </c>
      <c r="J91" s="41">
        <v>45786</v>
      </c>
      <c r="K91" s="41">
        <v>45786</v>
      </c>
      <c r="L91" s="41">
        <v>45814</v>
      </c>
      <c r="M91" s="41">
        <v>45792</v>
      </c>
      <c r="N91" s="41">
        <v>45786</v>
      </c>
      <c r="O91" s="41">
        <v>45786</v>
      </c>
      <c r="P91" s="41">
        <v>45796</v>
      </c>
      <c r="Q91" s="40">
        <v>45810</v>
      </c>
      <c r="R91" s="40">
        <v>45810</v>
      </c>
      <c r="S91" s="41">
        <v>45791</v>
      </c>
      <c r="T91" s="47"/>
      <c r="U91" s="41">
        <v>45797</v>
      </c>
      <c r="V91" s="47"/>
      <c r="W91" s="47"/>
      <c r="X91" s="47"/>
      <c r="Y91" s="47"/>
      <c r="Z91" s="49"/>
      <c r="AA91" s="16"/>
      <c r="AB91" s="16"/>
    </row>
    <row r="92" spans="1:29" s="17" customFormat="1" ht="15.75" thickBot="1">
      <c r="A92" s="34"/>
      <c r="B92" s="35"/>
      <c r="C92" s="34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2"/>
      <c r="R92" s="42"/>
      <c r="S92" s="43"/>
      <c r="T92" s="50"/>
      <c r="U92" s="43" t="s">
        <v>130</v>
      </c>
      <c r="V92" s="50"/>
      <c r="W92" s="50"/>
      <c r="X92" s="50"/>
      <c r="Y92" s="50"/>
      <c r="Z92" s="51"/>
      <c r="AA92" s="16"/>
      <c r="AB92" s="16"/>
    </row>
    <row r="93" spans="1:29" s="17" customFormat="1">
      <c r="A93" s="27" t="s">
        <v>131</v>
      </c>
      <c r="B93" s="45" t="s">
        <v>132</v>
      </c>
      <c r="C93" s="46">
        <v>143</v>
      </c>
      <c r="D93" s="41">
        <v>45786</v>
      </c>
      <c r="E93" s="41">
        <v>45786</v>
      </c>
      <c r="F93" s="41">
        <v>45786</v>
      </c>
      <c r="G93" s="41">
        <v>45786</v>
      </c>
      <c r="H93" s="41">
        <v>45786</v>
      </c>
      <c r="I93" s="41">
        <v>45786</v>
      </c>
      <c r="J93" s="41">
        <v>45786</v>
      </c>
      <c r="K93" s="41">
        <v>45786</v>
      </c>
      <c r="L93" s="41">
        <v>45800</v>
      </c>
      <c r="M93" s="41">
        <v>45792</v>
      </c>
      <c r="N93" s="41">
        <v>45786</v>
      </c>
      <c r="O93" s="41">
        <v>45786</v>
      </c>
      <c r="P93" s="41">
        <v>45796</v>
      </c>
      <c r="Q93" s="41">
        <v>45796</v>
      </c>
      <c r="R93" s="41">
        <v>45796</v>
      </c>
      <c r="S93" s="41">
        <v>45797</v>
      </c>
      <c r="T93" s="41">
        <v>45798</v>
      </c>
      <c r="U93" s="41">
        <v>45797</v>
      </c>
      <c r="V93" s="47"/>
      <c r="W93" s="47"/>
      <c r="X93" s="47"/>
      <c r="Y93" s="47"/>
      <c r="Z93" s="49"/>
      <c r="AA93" s="16"/>
      <c r="AB93" s="16"/>
    </row>
    <row r="94" spans="1:29" s="17" customFormat="1" ht="15.75" thickBot="1">
      <c r="A94" s="34"/>
      <c r="B94" s="35"/>
      <c r="C94" s="34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 t="s">
        <v>133</v>
      </c>
      <c r="V94" s="50"/>
      <c r="W94" s="50"/>
      <c r="X94" s="50"/>
      <c r="Y94" s="50"/>
      <c r="Z94" s="51"/>
      <c r="AA94" s="16"/>
      <c r="AB94" s="16"/>
    </row>
    <row r="95" spans="1:29" s="17" customFormat="1">
      <c r="A95" s="27" t="s">
        <v>134</v>
      </c>
      <c r="B95" s="45" t="s">
        <v>126</v>
      </c>
      <c r="C95" s="46">
        <v>144</v>
      </c>
      <c r="D95" s="41">
        <v>45757</v>
      </c>
      <c r="E95" s="41">
        <v>45757</v>
      </c>
      <c r="F95" s="41">
        <v>45757</v>
      </c>
      <c r="G95" s="41">
        <v>45757</v>
      </c>
      <c r="H95" s="41">
        <v>45757</v>
      </c>
      <c r="I95" s="41">
        <v>45757</v>
      </c>
      <c r="J95" s="41">
        <v>45757</v>
      </c>
      <c r="K95" s="41">
        <v>45757</v>
      </c>
      <c r="L95" s="41">
        <v>45775</v>
      </c>
      <c r="M95" s="41">
        <v>45757</v>
      </c>
      <c r="N95" s="41">
        <v>45757</v>
      </c>
      <c r="O95" s="41">
        <v>45757</v>
      </c>
      <c r="P95" s="41">
        <v>45757</v>
      </c>
      <c r="Q95" s="41">
        <v>45768</v>
      </c>
      <c r="R95" s="41">
        <v>45776</v>
      </c>
      <c r="S95" s="41">
        <v>45757</v>
      </c>
      <c r="T95" s="41">
        <v>45799</v>
      </c>
      <c r="U95" s="41">
        <v>45797</v>
      </c>
      <c r="V95" s="47"/>
      <c r="W95" s="47"/>
      <c r="X95" s="47"/>
      <c r="Y95" s="47"/>
      <c r="Z95" s="49"/>
      <c r="AA95" s="16"/>
      <c r="AB95" s="16"/>
    </row>
    <row r="96" spans="1:29" s="17" customFormat="1" ht="15.75" thickBot="1">
      <c r="A96" s="34"/>
      <c r="B96" s="35"/>
      <c r="C96" s="34"/>
      <c r="D96" s="43"/>
      <c r="E96" s="43"/>
      <c r="F96" s="43"/>
      <c r="G96" s="43"/>
      <c r="H96" s="43"/>
      <c r="I96" s="43"/>
      <c r="J96" s="43"/>
      <c r="K96" s="43"/>
      <c r="L96" s="43"/>
      <c r="M96" s="43" t="s">
        <v>135</v>
      </c>
      <c r="N96" s="43"/>
      <c r="O96" s="43"/>
      <c r="P96" s="43"/>
      <c r="Q96" s="43"/>
      <c r="R96" s="43"/>
      <c r="S96" s="43"/>
      <c r="T96" s="43"/>
      <c r="U96" s="43" t="s">
        <v>136</v>
      </c>
      <c r="V96" s="50"/>
      <c r="W96" s="50"/>
      <c r="X96" s="50"/>
      <c r="Y96" s="50"/>
      <c r="Z96" s="51"/>
      <c r="AA96" s="16"/>
      <c r="AB96" s="16"/>
    </row>
    <row r="97" spans="1:28" s="17" customFormat="1">
      <c r="A97" s="27"/>
      <c r="B97" s="45"/>
      <c r="C97" s="46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9"/>
      <c r="AA97" s="16"/>
      <c r="AB97" s="16"/>
    </row>
    <row r="98" spans="1:28" s="17" customFormat="1" ht="15.75" thickBot="1">
      <c r="A98" s="34"/>
      <c r="B98" s="35"/>
      <c r="C98" s="34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1"/>
      <c r="AA98" s="16"/>
      <c r="AB98" s="16"/>
    </row>
    <row r="99" spans="1:28" s="17" customFormat="1" ht="21">
      <c r="A99" s="62" t="s">
        <v>137</v>
      </c>
      <c r="B99" s="62" t="s">
        <v>138</v>
      </c>
      <c r="C99" s="23"/>
      <c r="D99" s="63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3"/>
      <c r="S99" s="23"/>
      <c r="T99" s="23"/>
      <c r="U99" s="24"/>
      <c r="V99" s="24"/>
      <c r="W99" s="24"/>
      <c r="X99" s="24"/>
      <c r="Y99" s="24"/>
      <c r="Z99" s="79"/>
      <c r="AA99" s="16"/>
      <c r="AB99" s="16"/>
    </row>
    <row r="100" spans="1:28" s="17" customFormat="1" ht="21">
      <c r="A100" s="25"/>
      <c r="B100" s="64"/>
      <c r="C100" s="23" t="s">
        <v>8</v>
      </c>
      <c r="D100" s="26" t="s">
        <v>9</v>
      </c>
      <c r="E100" s="26" t="s">
        <v>10</v>
      </c>
      <c r="F100" s="26" t="s">
        <v>60</v>
      </c>
      <c r="G100" s="26" t="s">
        <v>61</v>
      </c>
      <c r="H100" s="26" t="s">
        <v>12</v>
      </c>
      <c r="I100" s="26" t="s">
        <v>13</v>
      </c>
      <c r="J100" s="26" t="s">
        <v>14</v>
      </c>
      <c r="K100" s="26" t="s">
        <v>15</v>
      </c>
      <c r="L100" s="26" t="s">
        <v>21</v>
      </c>
      <c r="M100" s="26" t="s">
        <v>20</v>
      </c>
      <c r="N100" s="26" t="s">
        <v>18</v>
      </c>
      <c r="O100" s="26" t="s">
        <v>19</v>
      </c>
      <c r="P100" s="26" t="s">
        <v>62</v>
      </c>
      <c r="Q100" s="26" t="s">
        <v>23</v>
      </c>
      <c r="R100" s="26" t="s">
        <v>24</v>
      </c>
      <c r="S100" s="26" t="s">
        <v>25</v>
      </c>
      <c r="T100" s="26" t="s">
        <v>26</v>
      </c>
      <c r="U100" s="26" t="s">
        <v>27</v>
      </c>
      <c r="V100" s="26"/>
      <c r="W100" s="26"/>
      <c r="X100" s="26"/>
      <c r="Y100" s="26"/>
      <c r="Z100" s="26"/>
      <c r="AA100" s="16"/>
      <c r="AB100" s="16"/>
    </row>
    <row r="101" spans="1:28" s="17" customFormat="1">
      <c r="A101" s="27" t="s">
        <v>139</v>
      </c>
      <c r="B101" s="45" t="s">
        <v>140</v>
      </c>
      <c r="C101" s="46">
        <v>1460</v>
      </c>
      <c r="D101" s="41">
        <v>45785</v>
      </c>
      <c r="E101" s="41">
        <v>45785</v>
      </c>
      <c r="F101" s="41">
        <v>45785</v>
      </c>
      <c r="G101" s="41">
        <v>45785</v>
      </c>
      <c r="H101" s="41">
        <v>45785</v>
      </c>
      <c r="I101" s="41">
        <v>45785</v>
      </c>
      <c r="J101" s="41">
        <v>45785</v>
      </c>
      <c r="K101" s="41">
        <v>45785</v>
      </c>
      <c r="L101" s="41">
        <v>45814</v>
      </c>
      <c r="M101" s="41">
        <v>45792</v>
      </c>
      <c r="N101" s="41">
        <v>45785</v>
      </c>
      <c r="O101" s="41">
        <v>45786</v>
      </c>
      <c r="P101" s="41">
        <v>45797</v>
      </c>
      <c r="Q101" s="41">
        <v>45817</v>
      </c>
      <c r="R101" s="40">
        <v>45820</v>
      </c>
      <c r="S101" s="41">
        <v>45797</v>
      </c>
      <c r="T101" s="47"/>
      <c r="U101" s="41">
        <v>45797</v>
      </c>
      <c r="V101" s="47"/>
      <c r="W101" s="47"/>
      <c r="X101" s="47"/>
      <c r="Y101" s="47"/>
      <c r="Z101" s="49"/>
      <c r="AA101" s="16"/>
      <c r="AB101" s="16"/>
    </row>
    <row r="102" spans="1:28" s="17" customFormat="1" ht="15.75" thickBot="1">
      <c r="A102" s="34"/>
      <c r="B102" s="35"/>
      <c r="C102" s="34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88"/>
      <c r="R102" s="42"/>
      <c r="S102" s="43"/>
      <c r="T102" s="50"/>
      <c r="U102" s="43" t="s">
        <v>141</v>
      </c>
      <c r="V102" s="50"/>
      <c r="W102" s="50"/>
      <c r="X102" s="50"/>
      <c r="Y102" s="50"/>
      <c r="Z102" s="51"/>
      <c r="AA102" s="16"/>
      <c r="AB102" s="16"/>
    </row>
    <row r="103" spans="1:28" s="17" customFormat="1">
      <c r="A103" s="27" t="s">
        <v>142</v>
      </c>
      <c r="B103" s="45" t="s">
        <v>143</v>
      </c>
      <c r="C103" s="46">
        <v>1461</v>
      </c>
      <c r="D103" s="41">
        <v>45785</v>
      </c>
      <c r="E103" s="41">
        <v>45785</v>
      </c>
      <c r="F103" s="41">
        <v>45785</v>
      </c>
      <c r="G103" s="41">
        <v>45785</v>
      </c>
      <c r="H103" s="41">
        <v>45785</v>
      </c>
      <c r="I103" s="41">
        <v>45785</v>
      </c>
      <c r="J103" s="41"/>
      <c r="K103" s="41"/>
      <c r="L103" s="41">
        <v>45814</v>
      </c>
      <c r="M103" s="41">
        <v>45792</v>
      </c>
      <c r="N103" s="41">
        <v>45785</v>
      </c>
      <c r="O103" s="41">
        <v>45786</v>
      </c>
      <c r="P103" s="41">
        <v>45797</v>
      </c>
      <c r="Q103" s="41">
        <v>45817</v>
      </c>
      <c r="R103" s="40">
        <v>45820</v>
      </c>
      <c r="S103" s="41">
        <v>45797</v>
      </c>
      <c r="T103" s="47"/>
      <c r="U103" s="41">
        <v>45797</v>
      </c>
      <c r="V103" s="47"/>
      <c r="W103" s="47"/>
      <c r="X103" s="47"/>
      <c r="Y103" s="47"/>
      <c r="Z103" s="49"/>
      <c r="AA103" s="16"/>
      <c r="AB103" s="16"/>
    </row>
    <row r="104" spans="1:28" s="17" customFormat="1" ht="15.75" thickBot="1">
      <c r="A104" s="34"/>
      <c r="B104" s="35"/>
      <c r="C104" s="34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2"/>
      <c r="S104" s="43"/>
      <c r="T104" s="50"/>
      <c r="U104" s="43" t="s">
        <v>144</v>
      </c>
      <c r="V104" s="50"/>
      <c r="W104" s="50"/>
      <c r="X104" s="50"/>
      <c r="Y104" s="50"/>
      <c r="Z104" s="51"/>
      <c r="AA104" s="16"/>
      <c r="AB104" s="16"/>
    </row>
    <row r="105" spans="1:28" s="17" customFormat="1">
      <c r="A105" s="27" t="s">
        <v>145</v>
      </c>
      <c r="B105" s="45" t="s">
        <v>146</v>
      </c>
      <c r="C105" s="46">
        <v>1462</v>
      </c>
      <c r="D105" s="41">
        <v>45785</v>
      </c>
      <c r="E105" s="41">
        <v>45785</v>
      </c>
      <c r="F105" s="41">
        <v>45785</v>
      </c>
      <c r="G105" s="41">
        <v>45785</v>
      </c>
      <c r="H105" s="41">
        <v>45785</v>
      </c>
      <c r="I105" s="41">
        <v>45785</v>
      </c>
      <c r="J105" s="41">
        <v>45785</v>
      </c>
      <c r="K105" s="41">
        <v>45785</v>
      </c>
      <c r="L105" s="41">
        <v>45814</v>
      </c>
      <c r="M105" s="41">
        <v>45793</v>
      </c>
      <c r="N105" s="41">
        <v>45785</v>
      </c>
      <c r="O105" s="41">
        <v>45786</v>
      </c>
      <c r="P105" s="41">
        <v>45797</v>
      </c>
      <c r="Q105" s="40">
        <v>45824</v>
      </c>
      <c r="R105" s="40">
        <v>45828</v>
      </c>
      <c r="S105" s="41">
        <v>45797</v>
      </c>
      <c r="T105" s="47"/>
      <c r="U105" s="41">
        <v>45797</v>
      </c>
      <c r="V105" s="47"/>
      <c r="W105" s="47"/>
      <c r="X105" s="47"/>
      <c r="Y105" s="47"/>
      <c r="Z105" s="49"/>
      <c r="AA105" s="16"/>
      <c r="AB105" s="16"/>
    </row>
    <row r="106" spans="1:28" s="17" customFormat="1" ht="15.75" thickBot="1">
      <c r="A106" s="34"/>
      <c r="B106" s="35"/>
      <c r="C106" s="34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2"/>
      <c r="R106" s="42"/>
      <c r="S106" s="43"/>
      <c r="T106" s="50"/>
      <c r="U106" s="43" t="s">
        <v>147</v>
      </c>
      <c r="V106" s="50"/>
      <c r="W106" s="50"/>
      <c r="X106" s="50"/>
      <c r="Y106" s="50"/>
      <c r="Z106" s="51"/>
      <c r="AA106" s="16"/>
      <c r="AB106" s="16"/>
    </row>
    <row r="107" spans="1:28" s="17" customFormat="1">
      <c r="A107" s="27" t="s">
        <v>148</v>
      </c>
      <c r="B107" s="45" t="s">
        <v>149</v>
      </c>
      <c r="C107" s="46">
        <v>1463</v>
      </c>
      <c r="D107" s="41">
        <v>45785</v>
      </c>
      <c r="E107" s="41">
        <v>45785</v>
      </c>
      <c r="F107" s="41">
        <v>45785</v>
      </c>
      <c r="G107" s="41">
        <v>45785</v>
      </c>
      <c r="H107" s="41">
        <v>45785</v>
      </c>
      <c r="I107" s="41">
        <v>45785</v>
      </c>
      <c r="J107" s="41"/>
      <c r="K107" s="41"/>
      <c r="L107" s="41">
        <v>45814</v>
      </c>
      <c r="M107" s="41">
        <v>45793</v>
      </c>
      <c r="N107" s="41">
        <v>45785</v>
      </c>
      <c r="O107" s="41">
        <v>45786</v>
      </c>
      <c r="P107" s="41">
        <v>45797</v>
      </c>
      <c r="Q107" s="40">
        <v>45824</v>
      </c>
      <c r="R107" s="40">
        <v>45828</v>
      </c>
      <c r="S107" s="41">
        <v>45797</v>
      </c>
      <c r="T107" s="47"/>
      <c r="U107" s="41">
        <v>45797</v>
      </c>
      <c r="V107" s="47"/>
      <c r="W107" s="47"/>
      <c r="X107" s="47"/>
      <c r="Y107" s="47"/>
      <c r="Z107" s="49"/>
      <c r="AA107" s="16"/>
      <c r="AB107" s="16"/>
    </row>
    <row r="108" spans="1:28" s="17" customFormat="1" ht="15.75" thickBot="1">
      <c r="A108" s="34"/>
      <c r="B108" s="35"/>
      <c r="C108" s="34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2"/>
      <c r="R108" s="42"/>
      <c r="S108" s="43"/>
      <c r="T108" s="50"/>
      <c r="U108" s="43" t="s">
        <v>150</v>
      </c>
      <c r="V108" s="50"/>
      <c r="W108" s="50"/>
      <c r="X108" s="50"/>
      <c r="Y108" s="50"/>
      <c r="Z108" s="51"/>
      <c r="AA108" s="16"/>
      <c r="AB108" s="16"/>
    </row>
    <row r="109" spans="1:28" s="17" customFormat="1" ht="21">
      <c r="A109" s="61" t="s">
        <v>151</v>
      </c>
      <c r="B109" s="62" t="s">
        <v>152</v>
      </c>
      <c r="C109" s="23"/>
      <c r="D109" s="63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3"/>
      <c r="T109" s="23"/>
      <c r="U109" s="24"/>
      <c r="V109" s="24"/>
      <c r="W109" s="24"/>
      <c r="X109" s="24"/>
      <c r="Y109" s="24"/>
      <c r="Z109" s="24"/>
      <c r="AA109" s="16"/>
      <c r="AB109" s="16"/>
    </row>
    <row r="110" spans="1:28" s="17" customFormat="1" ht="21">
      <c r="A110" s="25"/>
      <c r="B110" s="64"/>
      <c r="C110" s="23" t="s">
        <v>8</v>
      </c>
      <c r="D110" s="26" t="s">
        <v>9</v>
      </c>
      <c r="E110" s="26" t="s">
        <v>10</v>
      </c>
      <c r="F110" s="26" t="s">
        <v>60</v>
      </c>
      <c r="G110" s="26" t="s">
        <v>61</v>
      </c>
      <c r="H110" s="26" t="s">
        <v>153</v>
      </c>
      <c r="I110" s="26" t="s">
        <v>154</v>
      </c>
      <c r="J110" s="26" t="s">
        <v>21</v>
      </c>
      <c r="K110" s="26" t="s">
        <v>20</v>
      </c>
      <c r="L110" s="26" t="s">
        <v>18</v>
      </c>
      <c r="M110" s="26" t="s">
        <v>19</v>
      </c>
      <c r="N110" s="26" t="s">
        <v>62</v>
      </c>
      <c r="O110" s="26" t="s">
        <v>23</v>
      </c>
      <c r="P110" s="26" t="s">
        <v>24</v>
      </c>
      <c r="Q110" s="26" t="s">
        <v>25</v>
      </c>
      <c r="R110" s="26" t="s">
        <v>26</v>
      </c>
      <c r="S110" s="26" t="s">
        <v>27</v>
      </c>
      <c r="T110" s="26"/>
      <c r="U110" s="26"/>
      <c r="V110" s="26"/>
      <c r="W110" s="26"/>
      <c r="X110" s="26"/>
      <c r="Y110" s="26"/>
      <c r="Z110" s="16"/>
    </row>
    <row r="111" spans="1:28" s="17" customFormat="1">
      <c r="A111" s="27" t="s">
        <v>155</v>
      </c>
      <c r="B111" s="28" t="s">
        <v>156</v>
      </c>
      <c r="C111" s="46">
        <v>1</v>
      </c>
      <c r="D111" s="89">
        <v>45758</v>
      </c>
      <c r="E111" s="89">
        <v>45758</v>
      </c>
      <c r="F111" s="89">
        <v>45758</v>
      </c>
      <c r="G111" s="89">
        <v>45758</v>
      </c>
      <c r="H111" s="89">
        <v>45758</v>
      </c>
      <c r="I111" s="89">
        <v>45758</v>
      </c>
      <c r="J111" s="89">
        <v>45772</v>
      </c>
      <c r="K111" s="89">
        <v>45768</v>
      </c>
      <c r="L111" s="89">
        <v>45758</v>
      </c>
      <c r="M111" s="89">
        <v>45758</v>
      </c>
      <c r="N111" s="89">
        <v>45770</v>
      </c>
      <c r="O111" s="89">
        <v>45770</v>
      </c>
      <c r="P111" s="90"/>
      <c r="Q111" s="90"/>
      <c r="R111" s="89">
        <v>45768</v>
      </c>
      <c r="S111" s="89">
        <v>45769</v>
      </c>
      <c r="T111" s="31"/>
      <c r="U111" s="70"/>
      <c r="V111" s="70"/>
      <c r="W111" s="70"/>
      <c r="X111" s="70"/>
      <c r="Y111" s="71"/>
      <c r="Z111" s="16"/>
    </row>
    <row r="112" spans="1:28" s="17" customFormat="1" ht="15.75" thickBot="1">
      <c r="A112" s="34"/>
      <c r="B112" s="35"/>
      <c r="C112" s="34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>
        <v>1704182</v>
      </c>
      <c r="T112" s="92"/>
      <c r="U112" s="39"/>
      <c r="V112" s="39"/>
      <c r="W112" s="39"/>
      <c r="X112" s="39"/>
      <c r="Y112" s="78"/>
      <c r="Z112" s="16"/>
    </row>
    <row r="113" spans="1:28" s="17" customFormat="1">
      <c r="A113" s="27" t="s">
        <v>157</v>
      </c>
      <c r="B113" s="28" t="s">
        <v>158</v>
      </c>
      <c r="C113" s="46">
        <v>2</v>
      </c>
      <c r="D113" s="89">
        <v>45757</v>
      </c>
      <c r="E113" s="89">
        <v>45757</v>
      </c>
      <c r="F113" s="89">
        <v>45757</v>
      </c>
      <c r="G113" s="89">
        <v>45757</v>
      </c>
      <c r="H113" s="89">
        <v>45757</v>
      </c>
      <c r="I113" s="89">
        <v>45757</v>
      </c>
      <c r="J113" s="89">
        <v>45786</v>
      </c>
      <c r="K113" s="89">
        <v>45782</v>
      </c>
      <c r="L113" s="89">
        <v>45758</v>
      </c>
      <c r="M113" s="89">
        <v>45758</v>
      </c>
      <c r="N113" s="89">
        <v>45782</v>
      </c>
      <c r="O113" s="89">
        <v>45784</v>
      </c>
      <c r="P113" s="90"/>
      <c r="Q113" s="90"/>
      <c r="R113" s="89">
        <v>45783</v>
      </c>
      <c r="S113" s="89">
        <v>45782</v>
      </c>
      <c r="T113" s="31"/>
      <c r="U113" s="70"/>
      <c r="V113" s="70"/>
      <c r="W113" s="70"/>
      <c r="X113" s="70"/>
      <c r="Y113" s="71"/>
      <c r="Z113" s="16"/>
    </row>
    <row r="114" spans="1:28" s="17" customFormat="1" ht="15.75" thickBot="1">
      <c r="A114" s="34"/>
      <c r="B114" s="35"/>
      <c r="C114" s="34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 t="s">
        <v>159</v>
      </c>
      <c r="T114" s="92"/>
      <c r="U114" s="39"/>
      <c r="V114" s="39"/>
      <c r="W114" s="39"/>
      <c r="X114" s="39"/>
      <c r="Y114" s="78"/>
      <c r="Z114" s="16"/>
    </row>
    <row r="115" spans="1:28" s="17" customFormat="1">
      <c r="A115" s="27" t="s">
        <v>160</v>
      </c>
      <c r="B115" s="28" t="s">
        <v>161</v>
      </c>
      <c r="C115" s="46">
        <v>22</v>
      </c>
      <c r="D115" s="93">
        <v>45792</v>
      </c>
      <c r="E115" s="93">
        <v>45792</v>
      </c>
      <c r="F115" s="93">
        <v>45792</v>
      </c>
      <c r="G115" s="93">
        <v>45792</v>
      </c>
      <c r="H115" s="93">
        <v>45792</v>
      </c>
      <c r="I115" s="93">
        <v>45792</v>
      </c>
      <c r="J115" s="93">
        <v>45821</v>
      </c>
      <c r="K115" s="94">
        <v>45793</v>
      </c>
      <c r="L115" s="94">
        <v>45792</v>
      </c>
      <c r="M115" s="94">
        <v>45798</v>
      </c>
      <c r="N115" s="94">
        <v>45797</v>
      </c>
      <c r="O115" s="95">
        <v>45819</v>
      </c>
      <c r="P115" s="96"/>
      <c r="Q115" s="94">
        <v>45799</v>
      </c>
      <c r="R115" s="31"/>
      <c r="S115" s="94">
        <v>45799</v>
      </c>
      <c r="T115" s="31"/>
      <c r="U115" s="70"/>
      <c r="V115" s="70"/>
      <c r="W115" s="70"/>
      <c r="X115" s="70"/>
      <c r="Y115" s="71"/>
      <c r="Z115" s="16"/>
    </row>
    <row r="116" spans="1:28" s="17" customFormat="1" ht="15.75" thickBot="1">
      <c r="A116" s="34"/>
      <c r="B116" s="35"/>
      <c r="C116" s="34"/>
      <c r="D116" s="74"/>
      <c r="E116" s="74"/>
      <c r="F116" s="74"/>
      <c r="G116" s="74"/>
      <c r="H116" s="74"/>
      <c r="I116" s="74"/>
      <c r="J116" s="74"/>
      <c r="K116" s="97"/>
      <c r="L116" s="97"/>
      <c r="M116" s="97"/>
      <c r="N116" s="97"/>
      <c r="O116" s="98"/>
      <c r="P116" s="99"/>
      <c r="Q116" s="97"/>
      <c r="R116" s="92"/>
      <c r="S116" s="97" t="s">
        <v>162</v>
      </c>
      <c r="T116" s="92"/>
      <c r="U116" s="39"/>
      <c r="V116" s="39"/>
      <c r="W116" s="39"/>
      <c r="X116" s="39"/>
      <c r="Y116" s="78"/>
      <c r="Z116" s="16"/>
    </row>
    <row r="117" spans="1:28" s="17" customFormat="1">
      <c r="A117" s="27" t="s">
        <v>163</v>
      </c>
      <c r="B117" s="28" t="s">
        <v>156</v>
      </c>
      <c r="C117" s="46">
        <v>23</v>
      </c>
      <c r="D117" s="89">
        <v>45757</v>
      </c>
      <c r="E117" s="89">
        <v>45757</v>
      </c>
      <c r="F117" s="89">
        <v>45757</v>
      </c>
      <c r="G117" s="89">
        <v>45757</v>
      </c>
      <c r="H117" s="89">
        <v>45757</v>
      </c>
      <c r="I117" s="89">
        <v>45757</v>
      </c>
      <c r="J117" s="89">
        <v>45779</v>
      </c>
      <c r="K117" s="89">
        <v>45777</v>
      </c>
      <c r="L117" s="89">
        <v>45758</v>
      </c>
      <c r="M117" s="89">
        <v>45758</v>
      </c>
      <c r="N117" s="89">
        <v>45778</v>
      </c>
      <c r="O117" s="89">
        <v>45776</v>
      </c>
      <c r="P117" s="90"/>
      <c r="Q117" s="90"/>
      <c r="R117" s="89">
        <v>45783</v>
      </c>
      <c r="S117" s="89">
        <v>45778</v>
      </c>
      <c r="T117" s="31"/>
      <c r="U117" s="70"/>
      <c r="V117" s="70"/>
      <c r="W117" s="70"/>
      <c r="X117" s="70"/>
      <c r="Y117" s="71"/>
      <c r="Z117" s="16"/>
    </row>
    <row r="118" spans="1:28" s="17" customFormat="1" ht="15.75" thickBot="1">
      <c r="A118" s="34"/>
      <c r="B118" s="35"/>
      <c r="C118" s="34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 t="s">
        <v>164</v>
      </c>
      <c r="T118" s="92"/>
      <c r="U118" s="39"/>
      <c r="V118" s="39"/>
      <c r="W118" s="39"/>
      <c r="X118" s="39"/>
      <c r="Y118" s="78"/>
      <c r="Z118" s="16"/>
    </row>
    <row r="119" spans="1:28" s="17" customFormat="1">
      <c r="A119" s="27" t="s">
        <v>165</v>
      </c>
      <c r="B119" s="28" t="s">
        <v>161</v>
      </c>
      <c r="C119" s="46">
        <v>28</v>
      </c>
      <c r="D119" s="93">
        <v>45729</v>
      </c>
      <c r="E119" s="93">
        <v>45729</v>
      </c>
      <c r="F119" s="93">
        <v>45729</v>
      </c>
      <c r="G119" s="93">
        <v>45729</v>
      </c>
      <c r="H119" s="93">
        <v>45729</v>
      </c>
      <c r="I119" s="93">
        <v>45729</v>
      </c>
      <c r="J119" s="93">
        <v>45747</v>
      </c>
      <c r="K119" s="93">
        <v>45730</v>
      </c>
      <c r="L119" s="93">
        <v>45730</v>
      </c>
      <c r="M119" s="93">
        <v>45730</v>
      </c>
      <c r="N119" s="93">
        <v>45730</v>
      </c>
      <c r="O119" s="89">
        <v>45741</v>
      </c>
      <c r="P119" s="90"/>
      <c r="Q119" s="90"/>
      <c r="R119" s="89">
        <v>45747</v>
      </c>
      <c r="S119" s="90" t="s">
        <v>166</v>
      </c>
      <c r="T119" s="31"/>
      <c r="U119" s="70"/>
      <c r="V119" s="70"/>
      <c r="W119" s="70"/>
      <c r="X119" s="70"/>
      <c r="Y119" s="71"/>
      <c r="Z119" s="16"/>
    </row>
    <row r="120" spans="1:28" s="17" customFormat="1" ht="15.75" thickBot="1">
      <c r="A120" s="34"/>
      <c r="B120" s="35"/>
      <c r="C120" s="3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100">
        <v>45747</v>
      </c>
      <c r="P120" s="91"/>
      <c r="Q120" s="91"/>
      <c r="R120" s="91"/>
      <c r="S120" s="91"/>
      <c r="T120" s="92"/>
      <c r="U120" s="39"/>
      <c r="V120" s="39"/>
      <c r="W120" s="39"/>
      <c r="X120" s="39"/>
      <c r="Y120" s="78"/>
      <c r="Z120" s="16"/>
    </row>
    <row r="121" spans="1:28" s="17" customFormat="1">
      <c r="A121" s="27" t="s">
        <v>167</v>
      </c>
      <c r="B121" s="28" t="s">
        <v>168</v>
      </c>
      <c r="C121" s="46">
        <v>29</v>
      </c>
      <c r="D121" s="93">
        <v>45792</v>
      </c>
      <c r="E121" s="93">
        <v>45792</v>
      </c>
      <c r="F121" s="93">
        <v>45792</v>
      </c>
      <c r="G121" s="93">
        <v>45792</v>
      </c>
      <c r="H121" s="93">
        <v>45792</v>
      </c>
      <c r="I121" s="93">
        <v>45792</v>
      </c>
      <c r="J121" s="93">
        <v>45821</v>
      </c>
      <c r="K121" s="94">
        <v>45793</v>
      </c>
      <c r="L121" s="94">
        <v>45792</v>
      </c>
      <c r="M121" s="94">
        <v>45798</v>
      </c>
      <c r="N121" s="94">
        <v>45797</v>
      </c>
      <c r="O121" s="95">
        <v>45819</v>
      </c>
      <c r="P121" s="96"/>
      <c r="Q121" s="94">
        <v>45799</v>
      </c>
      <c r="R121" s="31"/>
      <c r="S121" s="94">
        <v>45799</v>
      </c>
      <c r="T121" s="31"/>
      <c r="U121" s="70"/>
      <c r="V121" s="70"/>
      <c r="W121" s="70"/>
      <c r="X121" s="70"/>
      <c r="Y121" s="71"/>
      <c r="Z121" s="16"/>
    </row>
    <row r="122" spans="1:28" s="17" customFormat="1" ht="15.75" thickBot="1">
      <c r="A122" s="34"/>
      <c r="B122" s="35"/>
      <c r="C122" s="34"/>
      <c r="D122" s="74"/>
      <c r="E122" s="74"/>
      <c r="F122" s="74"/>
      <c r="G122" s="74"/>
      <c r="H122" s="74"/>
      <c r="I122" s="74"/>
      <c r="J122" s="74"/>
      <c r="K122" s="97"/>
      <c r="L122" s="97"/>
      <c r="M122" s="97"/>
      <c r="N122" s="97"/>
      <c r="O122" s="98"/>
      <c r="P122" s="99"/>
      <c r="Q122" s="97"/>
      <c r="R122" s="92"/>
      <c r="S122" s="97" t="s">
        <v>169</v>
      </c>
      <c r="T122" s="92"/>
      <c r="U122" s="39"/>
      <c r="V122" s="39"/>
      <c r="W122" s="39"/>
      <c r="X122" s="39"/>
      <c r="Y122" s="78"/>
      <c r="Z122" s="16"/>
    </row>
    <row r="123" spans="1:28" s="17" customFormat="1">
      <c r="A123" s="27" t="s">
        <v>170</v>
      </c>
      <c r="B123" s="28" t="s">
        <v>171</v>
      </c>
      <c r="C123" s="46">
        <v>30</v>
      </c>
      <c r="D123" s="89">
        <v>45785</v>
      </c>
      <c r="E123" s="89">
        <v>45785</v>
      </c>
      <c r="F123" s="89">
        <v>45785</v>
      </c>
      <c r="G123" s="89">
        <v>45785</v>
      </c>
      <c r="H123" s="89">
        <v>45785</v>
      </c>
      <c r="I123" s="89">
        <v>45785</v>
      </c>
      <c r="J123" s="89">
        <v>45807</v>
      </c>
      <c r="K123" s="89">
        <v>45793</v>
      </c>
      <c r="L123" s="89">
        <v>45785</v>
      </c>
      <c r="M123" s="89">
        <v>45786</v>
      </c>
      <c r="N123" s="94">
        <v>45797</v>
      </c>
      <c r="O123" s="89">
        <v>45804</v>
      </c>
      <c r="P123" s="90"/>
      <c r="Q123" s="89">
        <v>45798</v>
      </c>
      <c r="R123" s="101"/>
      <c r="S123" s="89">
        <v>45798</v>
      </c>
      <c r="T123" s="31"/>
      <c r="U123" s="70"/>
      <c r="V123" s="70"/>
      <c r="W123" s="70"/>
      <c r="X123" s="70"/>
      <c r="Y123" s="71"/>
      <c r="Z123" s="16"/>
    </row>
    <row r="124" spans="1:28" s="17" customFormat="1" ht="15.75" thickBot="1">
      <c r="A124" s="34"/>
      <c r="B124" s="35"/>
      <c r="C124" s="34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7"/>
      <c r="O124" s="91"/>
      <c r="P124" s="91"/>
      <c r="Q124" s="91"/>
      <c r="R124" s="51"/>
      <c r="S124" s="91" t="s">
        <v>172</v>
      </c>
      <c r="T124" s="92"/>
      <c r="U124" s="39"/>
      <c r="V124" s="39"/>
      <c r="W124" s="39"/>
      <c r="X124" s="39"/>
      <c r="Y124" s="78"/>
      <c r="Z124" s="16"/>
    </row>
    <row r="125" spans="1:28" s="17" customFormat="1">
      <c r="A125" s="27" t="s">
        <v>173</v>
      </c>
      <c r="B125" s="28" t="s">
        <v>174</v>
      </c>
      <c r="C125" s="46">
        <v>31</v>
      </c>
      <c r="D125" s="89">
        <v>45786</v>
      </c>
      <c r="E125" s="89">
        <v>45786</v>
      </c>
      <c r="F125" s="89">
        <v>45786</v>
      </c>
      <c r="G125" s="89">
        <v>45786</v>
      </c>
      <c r="H125" s="89">
        <v>45786</v>
      </c>
      <c r="I125" s="89">
        <v>45786</v>
      </c>
      <c r="J125" s="89">
        <v>45800</v>
      </c>
      <c r="K125" s="89">
        <v>45793</v>
      </c>
      <c r="L125" s="89">
        <v>45786</v>
      </c>
      <c r="M125" s="89">
        <v>45786</v>
      </c>
      <c r="N125" s="94">
        <v>45797</v>
      </c>
      <c r="O125" s="89">
        <v>45796</v>
      </c>
      <c r="P125" s="90"/>
      <c r="Q125" s="89">
        <v>45798</v>
      </c>
      <c r="R125" s="89">
        <v>45798</v>
      </c>
      <c r="S125" s="89">
        <v>45798</v>
      </c>
      <c r="T125" s="31"/>
      <c r="U125" s="70"/>
      <c r="V125" s="70"/>
      <c r="W125" s="70"/>
      <c r="X125" s="70"/>
      <c r="Y125" s="71"/>
      <c r="Z125" s="16"/>
    </row>
    <row r="126" spans="1:28" s="17" customFormat="1" ht="15.75" thickBot="1">
      <c r="A126" s="34"/>
      <c r="B126" s="35"/>
      <c r="C126" s="34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7"/>
      <c r="O126" s="91"/>
      <c r="P126" s="91"/>
      <c r="Q126" s="91"/>
      <c r="R126" s="91"/>
      <c r="S126" s="91" t="s">
        <v>175</v>
      </c>
      <c r="T126" s="92"/>
      <c r="U126" s="39"/>
      <c r="V126" s="39"/>
      <c r="W126" s="39"/>
      <c r="X126" s="39"/>
      <c r="Y126" s="78"/>
      <c r="Z126" s="16"/>
    </row>
    <row r="127" spans="1:28" s="17" customFormat="1" ht="21">
      <c r="A127" s="61" t="s">
        <v>176</v>
      </c>
      <c r="B127" s="62" t="s">
        <v>59</v>
      </c>
      <c r="C127" s="23"/>
      <c r="D127" s="63" t="s">
        <v>177</v>
      </c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3"/>
      <c r="T127" s="23"/>
      <c r="U127" s="24"/>
      <c r="V127" s="24"/>
      <c r="W127" s="24"/>
      <c r="X127" s="24"/>
      <c r="Y127" s="24"/>
      <c r="Z127" s="24"/>
      <c r="AA127" s="16"/>
      <c r="AB127" s="16"/>
    </row>
    <row r="128" spans="1:28" s="17" customFormat="1" ht="21">
      <c r="A128" s="25"/>
      <c r="B128" s="64"/>
      <c r="C128" s="23" t="s">
        <v>8</v>
      </c>
      <c r="D128" s="26" t="s">
        <v>9</v>
      </c>
      <c r="E128" s="26" t="s">
        <v>10</v>
      </c>
      <c r="F128" s="26" t="s">
        <v>60</v>
      </c>
      <c r="G128" s="26" t="s">
        <v>61</v>
      </c>
      <c r="H128" s="26" t="s">
        <v>12</v>
      </c>
      <c r="I128" s="26" t="s">
        <v>13</v>
      </c>
      <c r="J128" s="26" t="s">
        <v>14</v>
      </c>
      <c r="K128" s="26" t="s">
        <v>15</v>
      </c>
      <c r="L128" s="26" t="s">
        <v>21</v>
      </c>
      <c r="M128" s="26" t="s">
        <v>20</v>
      </c>
      <c r="N128" s="26" t="s">
        <v>18</v>
      </c>
      <c r="O128" s="26" t="s">
        <v>19</v>
      </c>
      <c r="P128" s="26" t="s">
        <v>62</v>
      </c>
      <c r="Q128" s="26" t="s">
        <v>23</v>
      </c>
      <c r="R128" s="26" t="s">
        <v>24</v>
      </c>
      <c r="S128" s="26" t="s">
        <v>25</v>
      </c>
      <c r="T128" s="26" t="s">
        <v>26</v>
      </c>
      <c r="U128" s="26" t="s">
        <v>27</v>
      </c>
      <c r="V128" s="26"/>
      <c r="W128" s="26"/>
      <c r="X128" s="26"/>
      <c r="Y128" s="26"/>
      <c r="Z128" s="26"/>
      <c r="AA128" s="16"/>
      <c r="AB128" s="16"/>
    </row>
    <row r="129" spans="1:28" s="17" customFormat="1">
      <c r="A129" s="27" t="s">
        <v>178</v>
      </c>
      <c r="B129" s="28" t="s">
        <v>179</v>
      </c>
      <c r="C129" s="46">
        <v>63</v>
      </c>
      <c r="D129" s="93">
        <v>45729</v>
      </c>
      <c r="E129" s="93">
        <v>45729</v>
      </c>
      <c r="F129" s="93">
        <v>45729</v>
      </c>
      <c r="G129" s="93">
        <v>45729</v>
      </c>
      <c r="H129" s="93">
        <v>45729</v>
      </c>
      <c r="I129" s="93">
        <v>45729</v>
      </c>
      <c r="J129" s="93">
        <v>45729</v>
      </c>
      <c r="K129" s="93">
        <v>45729</v>
      </c>
      <c r="L129" s="93">
        <v>45747</v>
      </c>
      <c r="M129" s="93">
        <v>45729</v>
      </c>
      <c r="N129" s="93">
        <v>45729</v>
      </c>
      <c r="O129" s="93">
        <v>45729</v>
      </c>
      <c r="P129" s="93">
        <v>45730</v>
      </c>
      <c r="Q129" s="89">
        <v>45747</v>
      </c>
      <c r="R129" s="102"/>
      <c r="S129" s="103"/>
      <c r="T129" s="89">
        <v>45744</v>
      </c>
      <c r="U129" s="89">
        <v>45744</v>
      </c>
      <c r="V129" s="31"/>
      <c r="W129" s="70"/>
      <c r="X129" s="70"/>
      <c r="Y129" s="70"/>
      <c r="Z129" s="70"/>
      <c r="AA129" s="16"/>
      <c r="AB129" s="16"/>
    </row>
    <row r="130" spans="1:28" s="17" customFormat="1" ht="15.75" thickBot="1">
      <c r="A130" s="34"/>
      <c r="B130" s="35"/>
      <c r="C130" s="3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91"/>
      <c r="R130" s="51"/>
      <c r="S130" s="104" t="s">
        <v>180</v>
      </c>
      <c r="T130" s="91"/>
      <c r="U130" s="91" t="s">
        <v>181</v>
      </c>
      <c r="V130" s="92"/>
      <c r="W130" s="39"/>
      <c r="X130" s="39"/>
      <c r="Y130" s="39"/>
      <c r="Z130" s="39"/>
      <c r="AA130" s="16"/>
      <c r="AB130" s="16"/>
    </row>
    <row r="131" spans="1:28" s="17" customFormat="1">
      <c r="A131" s="27" t="s">
        <v>182</v>
      </c>
      <c r="B131" s="28" t="s">
        <v>183</v>
      </c>
      <c r="C131" s="46">
        <v>65</v>
      </c>
      <c r="D131" s="89">
        <v>45791</v>
      </c>
      <c r="E131" s="89">
        <v>45791</v>
      </c>
      <c r="F131" s="89">
        <v>45791</v>
      </c>
      <c r="G131" s="89">
        <v>45791</v>
      </c>
      <c r="H131" s="89">
        <v>45791</v>
      </c>
      <c r="I131" s="89">
        <v>45791</v>
      </c>
      <c r="J131" s="89">
        <v>45791</v>
      </c>
      <c r="K131" s="89">
        <v>45791</v>
      </c>
      <c r="L131" s="102"/>
      <c r="M131" s="89">
        <v>45793</v>
      </c>
      <c r="N131" s="89">
        <v>45793</v>
      </c>
      <c r="O131" s="89">
        <v>45810</v>
      </c>
      <c r="P131" s="89">
        <v>45797</v>
      </c>
      <c r="Q131" s="102"/>
      <c r="R131" s="102"/>
      <c r="S131" s="102"/>
      <c r="T131" s="102"/>
      <c r="U131" s="102"/>
      <c r="V131" s="31"/>
      <c r="W131" s="70"/>
      <c r="X131" s="70"/>
      <c r="Y131" s="70"/>
      <c r="Z131" s="70"/>
      <c r="AA131" s="16"/>
      <c r="AB131" s="16"/>
    </row>
    <row r="132" spans="1:28" s="17" customFormat="1" ht="15.75" thickBot="1">
      <c r="A132" s="34"/>
      <c r="B132" s="35"/>
      <c r="C132" s="34"/>
      <c r="D132" s="91"/>
      <c r="E132" s="91"/>
      <c r="F132" s="91"/>
      <c r="G132" s="91"/>
      <c r="H132" s="91"/>
      <c r="I132" s="91"/>
      <c r="J132" s="91"/>
      <c r="K132" s="91"/>
      <c r="L132" s="51"/>
      <c r="M132" s="91"/>
      <c r="N132" s="91"/>
      <c r="O132" s="91"/>
      <c r="P132" s="91"/>
      <c r="Q132" s="51"/>
      <c r="R132" s="51"/>
      <c r="S132" s="51"/>
      <c r="T132" s="51"/>
      <c r="U132" s="51"/>
      <c r="V132" s="92"/>
      <c r="W132" s="39"/>
      <c r="X132" s="39"/>
      <c r="Y132" s="39"/>
      <c r="Z132" s="39"/>
      <c r="AA132" s="16"/>
      <c r="AB132" s="16"/>
    </row>
    <row r="133" spans="1:28" s="17" customFormat="1">
      <c r="A133" s="27" t="s">
        <v>184</v>
      </c>
      <c r="B133" s="28" t="s">
        <v>185</v>
      </c>
      <c r="C133" s="46">
        <v>67</v>
      </c>
      <c r="D133" s="89">
        <v>45754</v>
      </c>
      <c r="E133" s="89">
        <v>45754</v>
      </c>
      <c r="F133" s="89">
        <v>45754</v>
      </c>
      <c r="G133" s="102"/>
      <c r="H133" s="89">
        <v>45757</v>
      </c>
      <c r="I133" s="89">
        <v>45757</v>
      </c>
      <c r="J133" s="89">
        <v>45757</v>
      </c>
      <c r="K133" s="89">
        <v>45757</v>
      </c>
      <c r="L133" s="89">
        <v>45772</v>
      </c>
      <c r="M133" s="89">
        <v>45764</v>
      </c>
      <c r="N133" s="89">
        <v>45757</v>
      </c>
      <c r="O133" s="89">
        <v>45757</v>
      </c>
      <c r="P133" s="89">
        <v>45768</v>
      </c>
      <c r="Q133" s="89">
        <v>45769</v>
      </c>
      <c r="R133" s="89">
        <v>45777</v>
      </c>
      <c r="S133" s="90"/>
      <c r="T133" s="89">
        <v>45772</v>
      </c>
      <c r="U133" s="90"/>
      <c r="V133" s="31"/>
      <c r="W133" s="70"/>
      <c r="X133" s="70"/>
      <c r="Y133" s="70"/>
      <c r="Z133" s="70"/>
      <c r="AA133" s="16"/>
      <c r="AB133" s="16"/>
    </row>
    <row r="134" spans="1:28" s="17" customFormat="1" ht="15.75" thickBot="1">
      <c r="A134" s="34"/>
      <c r="B134" s="35"/>
      <c r="C134" s="34"/>
      <c r="D134" s="91"/>
      <c r="E134" s="91"/>
      <c r="F134" s="91"/>
      <c r="G134" s="5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 t="s">
        <v>186</v>
      </c>
      <c r="V134" s="92"/>
      <c r="W134" s="39"/>
      <c r="X134" s="39"/>
      <c r="Y134" s="39"/>
      <c r="Z134" s="39"/>
      <c r="AA134" s="16"/>
      <c r="AB134" s="16"/>
    </row>
    <row r="135" spans="1:28" s="17" customFormat="1">
      <c r="A135" s="65" t="s">
        <v>187</v>
      </c>
      <c r="B135" s="66" t="s">
        <v>179</v>
      </c>
      <c r="C135" s="65">
        <v>68</v>
      </c>
      <c r="D135" s="105">
        <v>45754</v>
      </c>
      <c r="E135" s="105">
        <v>45754</v>
      </c>
      <c r="F135" s="105">
        <v>45754</v>
      </c>
      <c r="G135" s="105">
        <v>45754</v>
      </c>
      <c r="H135" s="105">
        <v>45754</v>
      </c>
      <c r="I135" s="105">
        <v>45754</v>
      </c>
      <c r="J135" s="105">
        <v>45754</v>
      </c>
      <c r="K135" s="105">
        <v>45754</v>
      </c>
      <c r="L135" s="105">
        <v>45777</v>
      </c>
      <c r="M135" s="105">
        <v>45775</v>
      </c>
      <c r="N135" s="105">
        <v>45755</v>
      </c>
      <c r="O135" s="105">
        <v>45757</v>
      </c>
      <c r="P135" s="105">
        <v>45777</v>
      </c>
      <c r="Q135" s="105">
        <v>45764</v>
      </c>
      <c r="R135" s="105">
        <v>45770</v>
      </c>
      <c r="S135" s="106"/>
      <c r="T135" s="105">
        <v>45776</v>
      </c>
      <c r="U135" s="107">
        <v>45768</v>
      </c>
      <c r="V135" s="70"/>
      <c r="W135" s="70"/>
      <c r="X135" s="70"/>
      <c r="Y135" s="70"/>
      <c r="Z135" s="70"/>
      <c r="AA135" s="16"/>
      <c r="AB135" s="16"/>
    </row>
    <row r="136" spans="1:28" s="17" customFormat="1" ht="15.75" thickBot="1">
      <c r="A136" s="108"/>
      <c r="B136" s="109"/>
      <c r="C136" s="72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110" t="s">
        <v>186</v>
      </c>
      <c r="V136" s="39"/>
      <c r="W136" s="39"/>
      <c r="X136" s="39"/>
      <c r="Y136" s="39"/>
      <c r="Z136" s="39"/>
      <c r="AA136" s="16"/>
      <c r="AB136" s="16"/>
    </row>
    <row r="137" spans="1:28" s="17" customFormat="1">
      <c r="A137" s="27" t="s">
        <v>188</v>
      </c>
      <c r="B137" s="28" t="s">
        <v>189</v>
      </c>
      <c r="C137" s="46">
        <v>69</v>
      </c>
      <c r="D137" s="89">
        <v>45791</v>
      </c>
      <c r="E137" s="89">
        <v>45791</v>
      </c>
      <c r="F137" s="89">
        <v>45791</v>
      </c>
      <c r="G137" s="89">
        <v>45791</v>
      </c>
      <c r="H137" s="102"/>
      <c r="I137" s="102"/>
      <c r="J137" s="89">
        <v>45791</v>
      </c>
      <c r="K137" s="89">
        <v>45791</v>
      </c>
      <c r="L137" s="89">
        <v>45806</v>
      </c>
      <c r="M137" s="89">
        <v>45793</v>
      </c>
      <c r="N137" s="89">
        <v>45791</v>
      </c>
      <c r="O137" s="89">
        <v>45791</v>
      </c>
      <c r="P137" s="89">
        <v>45797</v>
      </c>
      <c r="Q137" s="89">
        <v>45805</v>
      </c>
      <c r="R137" s="90"/>
      <c r="S137" s="89">
        <v>45791</v>
      </c>
      <c r="T137" s="102"/>
      <c r="U137" s="89">
        <v>45797</v>
      </c>
      <c r="V137" s="31"/>
      <c r="W137" s="70"/>
      <c r="X137" s="70"/>
      <c r="Y137" s="70"/>
      <c r="Z137" s="70"/>
      <c r="AA137" s="16"/>
      <c r="AB137" s="16"/>
    </row>
    <row r="138" spans="1:28" s="17" customFormat="1" ht="15.75" thickBot="1">
      <c r="A138" s="34"/>
      <c r="B138" s="35"/>
      <c r="C138" s="34"/>
      <c r="D138" s="91"/>
      <c r="E138" s="91"/>
      <c r="F138" s="91"/>
      <c r="G138" s="91"/>
      <c r="H138" s="51"/>
      <c r="I138" s="5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51"/>
      <c r="U138" s="91" t="s">
        <v>190</v>
      </c>
      <c r="V138" s="92"/>
      <c r="W138" s="39"/>
      <c r="X138" s="39"/>
      <c r="Y138" s="39"/>
      <c r="Z138" s="39"/>
      <c r="AA138" s="16"/>
      <c r="AB138" s="16"/>
    </row>
    <row r="139" spans="1:28" s="17" customFormat="1">
      <c r="A139" s="27" t="s">
        <v>191</v>
      </c>
      <c r="B139" s="45" t="s">
        <v>185</v>
      </c>
      <c r="C139" s="46">
        <v>70</v>
      </c>
      <c r="D139" s="41">
        <v>45797</v>
      </c>
      <c r="E139" s="41">
        <v>45797</v>
      </c>
      <c r="F139" s="41">
        <v>45797</v>
      </c>
      <c r="G139" s="41">
        <v>45797</v>
      </c>
      <c r="H139" s="41">
        <v>45797</v>
      </c>
      <c r="I139" s="41">
        <v>45797</v>
      </c>
      <c r="J139" s="41">
        <v>45797</v>
      </c>
      <c r="K139" s="41">
        <v>45797</v>
      </c>
      <c r="L139" s="41">
        <v>45819</v>
      </c>
      <c r="M139" s="41">
        <v>45797</v>
      </c>
      <c r="N139" s="41">
        <v>45797</v>
      </c>
      <c r="O139" s="41">
        <v>45798</v>
      </c>
      <c r="P139" s="41">
        <v>45798</v>
      </c>
      <c r="Q139" s="41">
        <v>45818</v>
      </c>
      <c r="R139" s="41">
        <v>45825</v>
      </c>
      <c r="S139" s="41">
        <v>45799</v>
      </c>
      <c r="T139" s="47"/>
      <c r="U139" s="41">
        <v>45799</v>
      </c>
      <c r="V139" s="47"/>
      <c r="W139" s="47"/>
      <c r="X139" s="47"/>
      <c r="Y139" s="47"/>
      <c r="Z139" s="49"/>
      <c r="AA139" s="16"/>
      <c r="AB139" s="16"/>
    </row>
    <row r="140" spans="1:28" s="17" customFormat="1" ht="15.75" thickBot="1">
      <c r="A140" s="34"/>
      <c r="B140" s="35"/>
      <c r="C140" s="34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50"/>
      <c r="U140" s="43" t="s">
        <v>192</v>
      </c>
      <c r="V140" s="50"/>
      <c r="W140" s="50"/>
      <c r="X140" s="50"/>
      <c r="Y140" s="50"/>
      <c r="Z140" s="51"/>
      <c r="AA140" s="16"/>
      <c r="AB140" s="16"/>
    </row>
    <row r="141" spans="1:28" s="17" customFormat="1" ht="23.25">
      <c r="A141" s="13" t="s">
        <v>193</v>
      </c>
      <c r="B141" s="13"/>
      <c r="C141" s="13"/>
      <c r="D141" s="13" t="s">
        <v>194</v>
      </c>
      <c r="E141" s="13" t="s">
        <v>195</v>
      </c>
      <c r="F141" s="13"/>
      <c r="G141" s="13"/>
      <c r="H141" s="13"/>
      <c r="I141" s="111"/>
      <c r="J141" s="111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5"/>
      <c r="V141" s="15"/>
      <c r="W141" s="15"/>
      <c r="X141" s="15"/>
      <c r="Y141" s="15"/>
      <c r="Z141" s="15"/>
      <c r="AA141" s="16"/>
      <c r="AB141" s="16"/>
    </row>
    <row r="142" spans="1:28" s="17" customFormat="1" ht="21">
      <c r="A142" s="18" t="s">
        <v>196</v>
      </c>
      <c r="B142" s="19" t="s">
        <v>80</v>
      </c>
      <c r="C142" s="20" t="s">
        <v>7</v>
      </c>
      <c r="D142" s="21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3"/>
      <c r="T142" s="23"/>
      <c r="U142" s="24"/>
      <c r="V142" s="24"/>
      <c r="W142" s="24"/>
      <c r="X142" s="24"/>
      <c r="Y142" s="24"/>
      <c r="Z142" s="24"/>
      <c r="AA142" s="16"/>
      <c r="AB142" s="16"/>
    </row>
    <row r="143" spans="1:28" s="17" customFormat="1" ht="21.75" thickBot="1">
      <c r="A143" s="25"/>
      <c r="B143" s="25"/>
      <c r="C143" s="23" t="s">
        <v>8</v>
      </c>
      <c r="D143" s="26" t="s">
        <v>9</v>
      </c>
      <c r="E143" s="26" t="s">
        <v>197</v>
      </c>
      <c r="F143" s="26" t="s">
        <v>10</v>
      </c>
      <c r="G143" s="26" t="s">
        <v>198</v>
      </c>
      <c r="H143" s="26" t="s">
        <v>199</v>
      </c>
      <c r="I143" s="26" t="s">
        <v>200</v>
      </c>
      <c r="J143" s="26" t="s">
        <v>201</v>
      </c>
      <c r="K143" s="26" t="s">
        <v>12</v>
      </c>
      <c r="L143" s="26" t="s">
        <v>13</v>
      </c>
      <c r="M143" s="26" t="s">
        <v>14</v>
      </c>
      <c r="N143" s="26" t="s">
        <v>15</v>
      </c>
      <c r="O143" s="26" t="s">
        <v>202</v>
      </c>
      <c r="P143" s="26" t="s">
        <v>203</v>
      </c>
      <c r="Q143" s="26" t="s">
        <v>21</v>
      </c>
      <c r="R143" s="26" t="s">
        <v>20</v>
      </c>
      <c r="S143" s="26" t="s">
        <v>18</v>
      </c>
      <c r="T143" s="26" t="s">
        <v>204</v>
      </c>
      <c r="U143" s="112"/>
      <c r="V143" s="113"/>
      <c r="W143" s="113"/>
      <c r="X143" s="113"/>
      <c r="Y143" s="113"/>
      <c r="Z143" s="113"/>
      <c r="AA143" s="16"/>
      <c r="AB143" s="16"/>
    </row>
    <row r="144" spans="1:28" s="17" customFormat="1" ht="15.75" thickBot="1">
      <c r="A144" s="114" t="s">
        <v>205</v>
      </c>
      <c r="B144" s="115"/>
      <c r="C144" s="116"/>
      <c r="D144" s="105">
        <v>45862</v>
      </c>
      <c r="E144" s="105">
        <v>45862</v>
      </c>
      <c r="F144" s="117"/>
      <c r="G144" s="117"/>
      <c r="H144" s="117"/>
      <c r="I144" s="117"/>
      <c r="J144" s="70"/>
      <c r="K144" s="105">
        <v>45873</v>
      </c>
      <c r="L144" s="105">
        <v>45862</v>
      </c>
      <c r="M144" s="105">
        <v>45862</v>
      </c>
      <c r="N144" s="105">
        <v>45862</v>
      </c>
      <c r="O144" s="105">
        <v>45862</v>
      </c>
      <c r="P144" s="105">
        <v>45881</v>
      </c>
      <c r="Q144" s="105">
        <v>45894</v>
      </c>
      <c r="R144" s="117"/>
      <c r="S144" s="49"/>
      <c r="T144" s="49"/>
      <c r="U144" s="70"/>
      <c r="V144" s="70"/>
      <c r="W144" s="70"/>
      <c r="X144" s="70"/>
      <c r="Y144" s="71"/>
      <c r="Z144" s="71"/>
      <c r="AA144" s="16"/>
      <c r="AB144" s="16"/>
    </row>
    <row r="145" spans="1:28" s="17" customFormat="1" ht="15.75" thickBot="1">
      <c r="A145" s="72"/>
      <c r="B145" s="73"/>
      <c r="C145" s="72"/>
      <c r="D145" s="91"/>
      <c r="E145" s="91"/>
      <c r="F145" s="51"/>
      <c r="G145" s="51"/>
      <c r="H145" s="51"/>
      <c r="I145" s="51"/>
      <c r="J145" s="39"/>
      <c r="K145" s="91" t="s">
        <v>206</v>
      </c>
      <c r="L145" s="91"/>
      <c r="M145" s="91"/>
      <c r="N145" s="91"/>
      <c r="O145" s="91"/>
      <c r="P145" s="105" t="s">
        <v>207</v>
      </c>
      <c r="Q145" s="91"/>
      <c r="R145" s="51"/>
      <c r="S145" s="51"/>
      <c r="T145" s="51"/>
      <c r="U145" s="39"/>
      <c r="V145" s="39"/>
      <c r="W145" s="39"/>
      <c r="X145" s="39"/>
      <c r="Y145" s="78"/>
      <c r="Z145" s="78"/>
      <c r="AA145" s="16"/>
      <c r="AB145" s="16"/>
    </row>
    <row r="146" spans="1:28" s="17" customFormat="1" ht="21">
      <c r="A146" s="18" t="s">
        <v>208</v>
      </c>
      <c r="B146" s="19" t="s">
        <v>80</v>
      </c>
      <c r="C146" s="20" t="s">
        <v>7</v>
      </c>
      <c r="D146" s="21"/>
      <c r="E146" s="22"/>
      <c r="F146" s="22"/>
      <c r="G146" s="22"/>
      <c r="H146" s="22"/>
      <c r="I146" s="23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3"/>
      <c r="U146" s="24"/>
      <c r="V146" s="24"/>
      <c r="W146" s="24"/>
      <c r="X146" s="24"/>
      <c r="Y146" s="24"/>
      <c r="Z146" s="24"/>
      <c r="AA146" s="16"/>
      <c r="AB146" s="16"/>
    </row>
    <row r="147" spans="1:28" s="17" customFormat="1" ht="21.75" thickBot="1">
      <c r="A147" s="25" t="s">
        <v>209</v>
      </c>
      <c r="B147" s="25"/>
      <c r="C147" s="23" t="s">
        <v>8</v>
      </c>
      <c r="D147" s="26" t="s">
        <v>9</v>
      </c>
      <c r="E147" s="26" t="s">
        <v>197</v>
      </c>
      <c r="F147" s="26" t="s">
        <v>10</v>
      </c>
      <c r="G147" s="26" t="s">
        <v>198</v>
      </c>
      <c r="H147" s="26" t="s">
        <v>199</v>
      </c>
      <c r="I147" s="26" t="s">
        <v>200</v>
      </c>
      <c r="J147" s="26" t="s">
        <v>201</v>
      </c>
      <c r="K147" s="26" t="s">
        <v>12</v>
      </c>
      <c r="L147" s="26" t="s">
        <v>13</v>
      </c>
      <c r="M147" s="26" t="s">
        <v>14</v>
      </c>
      <c r="N147" s="26" t="s">
        <v>15</v>
      </c>
      <c r="O147" s="26" t="s">
        <v>202</v>
      </c>
      <c r="P147" s="26" t="s">
        <v>203</v>
      </c>
      <c r="Q147" s="26" t="s">
        <v>21</v>
      </c>
      <c r="R147" s="26" t="s">
        <v>20</v>
      </c>
      <c r="S147" s="26" t="s">
        <v>18</v>
      </c>
      <c r="T147" s="26" t="s">
        <v>204</v>
      </c>
      <c r="U147" s="26"/>
      <c r="V147" s="120"/>
      <c r="W147" s="120"/>
      <c r="X147" s="120"/>
      <c r="Y147" s="120"/>
      <c r="Z147" s="120"/>
      <c r="AA147" s="16"/>
      <c r="AB147" s="16"/>
    </row>
    <row r="148" spans="1:28" s="17" customFormat="1">
      <c r="A148" s="65" t="s">
        <v>210</v>
      </c>
      <c r="B148" s="66" t="s">
        <v>211</v>
      </c>
      <c r="C148" s="65">
        <v>7</v>
      </c>
      <c r="D148" s="105">
        <v>45775</v>
      </c>
      <c r="E148" s="105">
        <v>45775</v>
      </c>
      <c r="F148" s="49"/>
      <c r="G148" s="105">
        <v>45779</v>
      </c>
      <c r="H148" s="105">
        <v>45779</v>
      </c>
      <c r="I148" s="49"/>
      <c r="J148" s="121"/>
      <c r="K148" s="49"/>
      <c r="L148" s="49"/>
      <c r="M148" s="49"/>
      <c r="N148" s="49"/>
      <c r="O148" s="49"/>
      <c r="P148" s="49"/>
      <c r="Q148" s="105">
        <v>45783</v>
      </c>
      <c r="R148" s="105">
        <v>45779</v>
      </c>
      <c r="S148" s="105">
        <v>45779</v>
      </c>
      <c r="T148" s="67">
        <v>45781</v>
      </c>
      <c r="U148" s="70"/>
      <c r="V148" s="70"/>
      <c r="W148" s="70"/>
      <c r="X148" s="70"/>
      <c r="Y148" s="71"/>
      <c r="Z148" s="71"/>
      <c r="AA148" s="16"/>
      <c r="AB148" s="16"/>
    </row>
    <row r="149" spans="1:28" s="17" customFormat="1" ht="15.75" thickBot="1">
      <c r="A149" s="72"/>
      <c r="B149" s="73"/>
      <c r="C149" s="72"/>
      <c r="D149" s="122"/>
      <c r="E149" s="122"/>
      <c r="F149" s="123"/>
      <c r="G149" s="122"/>
      <c r="H149" s="122"/>
      <c r="I149" s="123"/>
      <c r="J149" s="124"/>
      <c r="K149" s="123"/>
      <c r="L149" s="123"/>
      <c r="M149" s="123"/>
      <c r="N149" s="123"/>
      <c r="O149" s="123"/>
      <c r="P149" s="123"/>
      <c r="Q149" s="122" t="s">
        <v>212</v>
      </c>
      <c r="R149" s="122"/>
      <c r="S149" s="122"/>
      <c r="T149" s="125" t="s">
        <v>213</v>
      </c>
      <c r="U149" s="126"/>
      <c r="V149" s="126"/>
      <c r="W149" s="126"/>
      <c r="X149" s="126"/>
      <c r="Y149" s="127"/>
      <c r="Z149" s="127"/>
      <c r="AA149" s="16"/>
      <c r="AB149" s="16"/>
    </row>
    <row r="150" spans="1:28" s="17" customFormat="1">
      <c r="A150" s="65" t="s">
        <v>214</v>
      </c>
      <c r="B150" s="66" t="s">
        <v>215</v>
      </c>
      <c r="C150" s="65">
        <v>8</v>
      </c>
      <c r="D150" s="105">
        <v>45775</v>
      </c>
      <c r="E150" s="105">
        <v>45775</v>
      </c>
      <c r="F150" s="49"/>
      <c r="G150" s="105">
        <v>45779</v>
      </c>
      <c r="H150" s="105">
        <v>45779</v>
      </c>
      <c r="I150" s="49"/>
      <c r="J150" s="121"/>
      <c r="K150" s="49"/>
      <c r="L150" s="49"/>
      <c r="M150" s="49"/>
      <c r="N150" s="49"/>
      <c r="O150" s="49"/>
      <c r="P150" s="49"/>
      <c r="Q150" s="105">
        <v>45783</v>
      </c>
      <c r="R150" s="105">
        <v>45779</v>
      </c>
      <c r="S150" s="105">
        <v>45779</v>
      </c>
      <c r="T150" s="67">
        <v>45781</v>
      </c>
      <c r="U150" s="70"/>
      <c r="V150" s="70"/>
      <c r="W150" s="70"/>
      <c r="X150" s="70"/>
      <c r="Y150" s="71"/>
      <c r="Z150" s="71"/>
      <c r="AA150" s="16"/>
      <c r="AB150" s="16"/>
    </row>
    <row r="151" spans="1:28" s="17" customFormat="1" ht="15.75" thickBot="1">
      <c r="A151" s="72"/>
      <c r="B151" s="73"/>
      <c r="C151" s="72"/>
      <c r="D151" s="122"/>
      <c r="E151" s="122"/>
      <c r="F151" s="123"/>
      <c r="G151" s="122"/>
      <c r="H151" s="122"/>
      <c r="I151" s="123"/>
      <c r="J151" s="124"/>
      <c r="K151" s="123"/>
      <c r="L151" s="123"/>
      <c r="M151" s="123"/>
      <c r="N151" s="123"/>
      <c r="O151" s="123"/>
      <c r="P151" s="123"/>
      <c r="Q151" s="122" t="s">
        <v>216</v>
      </c>
      <c r="R151" s="122"/>
      <c r="S151" s="122"/>
      <c r="T151" s="125" t="s">
        <v>217</v>
      </c>
      <c r="U151" s="126"/>
      <c r="V151" s="126"/>
      <c r="W151" s="126"/>
      <c r="X151" s="126"/>
      <c r="Y151" s="127"/>
      <c r="Z151" s="127"/>
      <c r="AA151" s="16"/>
      <c r="AB151" s="16"/>
    </row>
    <row r="152" spans="1:28" s="17" customFormat="1">
      <c r="A152" s="65" t="s">
        <v>218</v>
      </c>
      <c r="B152" s="66" t="s">
        <v>219</v>
      </c>
      <c r="C152" s="65">
        <v>9</v>
      </c>
      <c r="D152" s="105">
        <v>45775</v>
      </c>
      <c r="E152" s="105">
        <v>45775</v>
      </c>
      <c r="F152" s="49"/>
      <c r="G152" s="105">
        <v>45779</v>
      </c>
      <c r="H152" s="105">
        <v>45779</v>
      </c>
      <c r="I152" s="49"/>
      <c r="J152" s="121"/>
      <c r="K152" s="49"/>
      <c r="L152" s="49"/>
      <c r="M152" s="49"/>
      <c r="N152" s="49"/>
      <c r="O152" s="49"/>
      <c r="P152" s="49"/>
      <c r="Q152" s="105">
        <v>45783</v>
      </c>
      <c r="R152" s="105">
        <v>45779</v>
      </c>
      <c r="S152" s="105">
        <v>45779</v>
      </c>
      <c r="T152" s="67">
        <v>45782</v>
      </c>
      <c r="U152" s="70"/>
      <c r="V152" s="70"/>
      <c r="W152" s="70"/>
      <c r="X152" s="70"/>
      <c r="Y152" s="71"/>
      <c r="Z152" s="71"/>
      <c r="AA152" s="16"/>
      <c r="AB152" s="16"/>
    </row>
    <row r="153" spans="1:28" s="17" customFormat="1" ht="15.75" thickBot="1">
      <c r="A153" s="72"/>
      <c r="B153" s="73"/>
      <c r="C153" s="72"/>
      <c r="D153" s="122"/>
      <c r="E153" s="122"/>
      <c r="F153" s="123"/>
      <c r="G153" s="122"/>
      <c r="H153" s="122"/>
      <c r="I153" s="123"/>
      <c r="J153" s="124"/>
      <c r="K153" s="123"/>
      <c r="L153" s="123"/>
      <c r="M153" s="123"/>
      <c r="N153" s="123"/>
      <c r="O153" s="123"/>
      <c r="P153" s="123"/>
      <c r="Q153" s="122" t="s">
        <v>220</v>
      </c>
      <c r="R153" s="122"/>
      <c r="S153" s="122"/>
      <c r="T153" s="125" t="s">
        <v>221</v>
      </c>
      <c r="U153" s="126"/>
      <c r="V153" s="126"/>
      <c r="W153" s="126"/>
      <c r="X153" s="126"/>
      <c r="Y153" s="127"/>
      <c r="Z153" s="127"/>
      <c r="AA153" s="16"/>
      <c r="AB153" s="16"/>
    </row>
    <row r="154" spans="1:28" s="17" customFormat="1">
      <c r="A154" s="65" t="s">
        <v>222</v>
      </c>
      <c r="B154" s="66" t="s">
        <v>223</v>
      </c>
      <c r="C154" s="65">
        <v>10</v>
      </c>
      <c r="D154" s="105">
        <v>45775</v>
      </c>
      <c r="E154" s="105">
        <v>45775</v>
      </c>
      <c r="F154" s="49"/>
      <c r="G154" s="105">
        <v>45779</v>
      </c>
      <c r="H154" s="105">
        <v>45779</v>
      </c>
      <c r="I154" s="49"/>
      <c r="J154" s="121"/>
      <c r="K154" s="49"/>
      <c r="L154" s="49"/>
      <c r="M154" s="49"/>
      <c r="N154" s="49"/>
      <c r="O154" s="49"/>
      <c r="P154" s="49"/>
      <c r="Q154" s="105">
        <v>45783</v>
      </c>
      <c r="R154" s="105">
        <v>45779</v>
      </c>
      <c r="S154" s="105">
        <v>45779</v>
      </c>
      <c r="T154" s="67">
        <v>45782</v>
      </c>
      <c r="U154" s="70"/>
      <c r="V154" s="70"/>
      <c r="W154" s="70"/>
      <c r="X154" s="70"/>
      <c r="Y154" s="71"/>
      <c r="Z154" s="71"/>
      <c r="AA154" s="16"/>
      <c r="AB154" s="16"/>
    </row>
    <row r="155" spans="1:28" s="17" customFormat="1">
      <c r="A155" s="72"/>
      <c r="B155" s="73"/>
      <c r="C155" s="72"/>
      <c r="D155" s="122"/>
      <c r="E155" s="122"/>
      <c r="F155" s="123"/>
      <c r="G155" s="122"/>
      <c r="H155" s="122"/>
      <c r="I155" s="123"/>
      <c r="J155" s="124"/>
      <c r="K155" s="123"/>
      <c r="L155" s="123"/>
      <c r="M155" s="123"/>
      <c r="N155" s="123"/>
      <c r="O155" s="123"/>
      <c r="P155" s="123"/>
      <c r="Q155" s="122" t="s">
        <v>224</v>
      </c>
      <c r="R155" s="122"/>
      <c r="S155" s="122"/>
      <c r="T155" s="125" t="s">
        <v>225</v>
      </c>
      <c r="U155" s="126"/>
      <c r="V155" s="126"/>
      <c r="W155" s="126"/>
      <c r="X155" s="126"/>
      <c r="Y155" s="127"/>
      <c r="Z155" s="127"/>
      <c r="AA155" s="16"/>
      <c r="AB155" s="16"/>
    </row>
    <row r="156" spans="1:28" s="17" customFormat="1" ht="21">
      <c r="A156" s="18" t="s">
        <v>226</v>
      </c>
      <c r="B156" s="19" t="s">
        <v>80</v>
      </c>
      <c r="C156" s="20" t="s">
        <v>7</v>
      </c>
      <c r="D156" s="21"/>
      <c r="E156" s="22"/>
      <c r="F156" s="22"/>
      <c r="G156" s="22"/>
      <c r="H156" s="22"/>
      <c r="I156" s="23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3"/>
      <c r="U156" s="24"/>
      <c r="V156" s="24"/>
      <c r="W156" s="24"/>
      <c r="X156" s="24"/>
      <c r="Y156" s="24"/>
      <c r="Z156" s="24"/>
      <c r="AA156" s="16"/>
      <c r="AB156" s="16"/>
    </row>
    <row r="157" spans="1:28" s="17" customFormat="1" ht="21.75" thickBot="1">
      <c r="A157" s="25" t="s">
        <v>227</v>
      </c>
      <c r="B157" s="25"/>
      <c r="C157" s="23" t="s">
        <v>8</v>
      </c>
      <c r="D157" s="26" t="s">
        <v>9</v>
      </c>
      <c r="E157" s="26" t="s">
        <v>197</v>
      </c>
      <c r="F157" s="26" t="s">
        <v>10</v>
      </c>
      <c r="G157" s="26" t="s">
        <v>198</v>
      </c>
      <c r="H157" s="26" t="s">
        <v>199</v>
      </c>
      <c r="I157" s="26" t="s">
        <v>200</v>
      </c>
      <c r="J157" s="26" t="s">
        <v>201</v>
      </c>
      <c r="K157" s="26" t="s">
        <v>12</v>
      </c>
      <c r="L157" s="26" t="s">
        <v>13</v>
      </c>
      <c r="M157" s="26" t="s">
        <v>14</v>
      </c>
      <c r="N157" s="26" t="s">
        <v>15</v>
      </c>
      <c r="O157" s="26" t="s">
        <v>202</v>
      </c>
      <c r="P157" s="26" t="s">
        <v>203</v>
      </c>
      <c r="Q157" s="26" t="s">
        <v>21</v>
      </c>
      <c r="R157" s="26" t="s">
        <v>20</v>
      </c>
      <c r="S157" s="26" t="s">
        <v>18</v>
      </c>
      <c r="T157" s="26" t="s">
        <v>204</v>
      </c>
      <c r="U157" s="26"/>
      <c r="V157" s="120"/>
      <c r="W157" s="120"/>
      <c r="X157" s="120"/>
      <c r="Y157" s="120"/>
      <c r="Z157" s="120"/>
      <c r="AA157" s="16"/>
      <c r="AB157" s="16"/>
    </row>
    <row r="158" spans="1:28" s="17" customFormat="1">
      <c r="A158" s="114"/>
      <c r="B158" s="115"/>
      <c r="C158" s="116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118"/>
      <c r="U158" s="70"/>
      <c r="V158" s="70"/>
      <c r="W158" s="70"/>
      <c r="X158" s="70"/>
      <c r="Y158" s="71"/>
      <c r="Z158" s="71"/>
      <c r="AA158" s="16"/>
      <c r="AB158" s="16"/>
    </row>
    <row r="159" spans="1:28" s="17" customFormat="1" ht="15.75" thickBot="1">
      <c r="A159" s="72"/>
      <c r="B159" s="73"/>
      <c r="C159" s="72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119"/>
      <c r="U159" s="39"/>
      <c r="V159" s="39"/>
      <c r="W159" s="39"/>
      <c r="X159" s="39"/>
      <c r="Y159" s="78"/>
      <c r="Z159" s="78"/>
      <c r="AA159" s="16"/>
      <c r="AB159" s="16"/>
    </row>
    <row r="160" spans="1:28" s="17" customFormat="1" ht="21">
      <c r="A160" s="18" t="s">
        <v>228</v>
      </c>
      <c r="B160" s="19" t="s">
        <v>80</v>
      </c>
      <c r="C160" s="20" t="s">
        <v>7</v>
      </c>
      <c r="D160" s="21"/>
      <c r="E160" s="22"/>
      <c r="F160" s="22"/>
      <c r="G160" s="22"/>
      <c r="H160" s="22"/>
      <c r="I160" s="23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3"/>
      <c r="U160" s="24"/>
      <c r="V160" s="24"/>
      <c r="W160" s="24"/>
      <c r="X160" s="24"/>
      <c r="Y160" s="24"/>
      <c r="Z160" s="24"/>
      <c r="AA160" s="16"/>
      <c r="AB160" s="16"/>
    </row>
    <row r="161" spans="1:28" s="17" customFormat="1" ht="21.75" thickBot="1">
      <c r="A161" s="25" t="s">
        <v>209</v>
      </c>
      <c r="B161" s="25"/>
      <c r="C161" s="23" t="s">
        <v>8</v>
      </c>
      <c r="D161" s="26" t="s">
        <v>9</v>
      </c>
      <c r="E161" s="26" t="s">
        <v>197</v>
      </c>
      <c r="F161" s="26" t="s">
        <v>10</v>
      </c>
      <c r="G161" s="26" t="s">
        <v>198</v>
      </c>
      <c r="H161" s="26" t="s">
        <v>199</v>
      </c>
      <c r="I161" s="26" t="s">
        <v>200</v>
      </c>
      <c r="J161" s="26" t="s">
        <v>201</v>
      </c>
      <c r="K161" s="26" t="s">
        <v>12</v>
      </c>
      <c r="L161" s="26" t="s">
        <v>13</v>
      </c>
      <c r="M161" s="26" t="s">
        <v>14</v>
      </c>
      <c r="N161" s="26" t="s">
        <v>15</v>
      </c>
      <c r="O161" s="26" t="s">
        <v>202</v>
      </c>
      <c r="P161" s="26" t="s">
        <v>203</v>
      </c>
      <c r="Q161" s="26" t="s">
        <v>21</v>
      </c>
      <c r="R161" s="26" t="s">
        <v>20</v>
      </c>
      <c r="S161" s="26" t="s">
        <v>18</v>
      </c>
      <c r="T161" s="26" t="s">
        <v>204</v>
      </c>
      <c r="U161" s="26"/>
      <c r="V161" s="120"/>
      <c r="W161" s="120"/>
      <c r="X161" s="120"/>
      <c r="Y161" s="120"/>
      <c r="Z161" s="120"/>
      <c r="AA161" s="16"/>
      <c r="AB161" s="16"/>
    </row>
    <row r="162" spans="1:28" s="17" customFormat="1">
      <c r="A162" s="65" t="s">
        <v>229</v>
      </c>
      <c r="B162" s="66" t="s">
        <v>230</v>
      </c>
      <c r="C162" s="65">
        <v>12</v>
      </c>
      <c r="D162" s="105">
        <v>45915</v>
      </c>
      <c r="E162" s="105">
        <v>45768</v>
      </c>
      <c r="F162" s="49"/>
      <c r="G162" s="105">
        <v>45915</v>
      </c>
      <c r="H162" s="130"/>
      <c r="I162" s="130"/>
      <c r="J162" s="67">
        <v>45580</v>
      </c>
      <c r="K162" s="67">
        <v>45720</v>
      </c>
      <c r="L162" s="67">
        <v>45720</v>
      </c>
      <c r="M162" s="67">
        <v>45720</v>
      </c>
      <c r="N162" s="67">
        <v>45720</v>
      </c>
      <c r="O162" s="67">
        <v>45601</v>
      </c>
      <c r="P162" s="49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6"/>
      <c r="AB162" s="16"/>
    </row>
    <row r="163" spans="1:28" s="17" customFormat="1" ht="15.75" thickBot="1">
      <c r="A163" s="72"/>
      <c r="B163" s="73"/>
      <c r="C163" s="72"/>
      <c r="D163" s="122" t="s">
        <v>231</v>
      </c>
      <c r="E163" s="122" t="s">
        <v>232</v>
      </c>
      <c r="F163" s="123"/>
      <c r="G163" s="122" t="s">
        <v>233</v>
      </c>
      <c r="H163" s="205"/>
      <c r="I163" s="205"/>
      <c r="J163" s="206" t="s">
        <v>234</v>
      </c>
      <c r="K163" s="206" t="s">
        <v>235</v>
      </c>
      <c r="L163" s="206" t="s">
        <v>235</v>
      </c>
      <c r="M163" s="206" t="s">
        <v>235</v>
      </c>
      <c r="N163" s="206" t="s">
        <v>235</v>
      </c>
      <c r="O163" s="206" t="s">
        <v>236</v>
      </c>
      <c r="P163" s="123"/>
      <c r="Q163" s="205"/>
      <c r="R163" s="205"/>
      <c r="S163" s="205"/>
      <c r="T163" s="205"/>
      <c r="U163" s="205"/>
      <c r="V163" s="205"/>
      <c r="W163" s="205"/>
      <c r="X163" s="205"/>
      <c r="Y163" s="205"/>
      <c r="Z163" s="205"/>
      <c r="AA163" s="16"/>
      <c r="AB163" s="16"/>
    </row>
    <row r="164" spans="1:28" s="17" customFormat="1">
      <c r="A164" s="65" t="s">
        <v>237</v>
      </c>
      <c r="B164" s="66" t="s">
        <v>238</v>
      </c>
      <c r="C164" s="65">
        <v>23</v>
      </c>
      <c r="D164" s="105">
        <v>45915</v>
      </c>
      <c r="E164" s="105">
        <v>45768</v>
      </c>
      <c r="F164" s="49"/>
      <c r="G164" s="105">
        <v>45915</v>
      </c>
      <c r="H164" s="130"/>
      <c r="I164" s="130"/>
      <c r="J164" s="67">
        <v>45945</v>
      </c>
      <c r="K164" s="121"/>
      <c r="L164" s="121"/>
      <c r="M164" s="67">
        <v>45699</v>
      </c>
      <c r="N164" s="67">
        <v>45699</v>
      </c>
      <c r="O164" s="67">
        <v>45601</v>
      </c>
      <c r="P164" s="49"/>
      <c r="Q164" s="130"/>
      <c r="R164" s="130"/>
      <c r="S164" s="130"/>
      <c r="T164" s="130"/>
      <c r="U164" s="130"/>
      <c r="V164" s="130"/>
      <c r="W164" s="130"/>
      <c r="X164" s="130"/>
      <c r="Y164" s="130"/>
      <c r="Z164" s="130"/>
      <c r="AA164" s="16"/>
      <c r="AB164" s="16"/>
    </row>
    <row r="165" spans="1:28" s="17" customFormat="1" ht="15.75" thickBot="1">
      <c r="A165" s="72"/>
      <c r="B165" s="73"/>
      <c r="C165" s="72"/>
      <c r="D165" s="122" t="s">
        <v>231</v>
      </c>
      <c r="E165" s="122" t="s">
        <v>239</v>
      </c>
      <c r="F165" s="123"/>
      <c r="G165" s="122" t="s">
        <v>240</v>
      </c>
      <c r="H165" s="205"/>
      <c r="I165" s="205"/>
      <c r="J165" s="206" t="s">
        <v>241</v>
      </c>
      <c r="K165" s="124"/>
      <c r="L165" s="124"/>
      <c r="M165" s="206" t="s">
        <v>235</v>
      </c>
      <c r="N165" s="206" t="s">
        <v>235</v>
      </c>
      <c r="O165" s="206" t="s">
        <v>236</v>
      </c>
      <c r="P165" s="123"/>
      <c r="Q165" s="205"/>
      <c r="R165" s="205"/>
      <c r="S165" s="205"/>
      <c r="T165" s="205"/>
      <c r="U165" s="205"/>
      <c r="V165" s="205"/>
      <c r="W165" s="205"/>
      <c r="X165" s="205"/>
      <c r="Y165" s="205"/>
      <c r="Z165" s="205"/>
      <c r="AA165" s="16"/>
      <c r="AB165" s="16"/>
    </row>
    <row r="166" spans="1:28" s="17" customFormat="1">
      <c r="A166" s="65" t="s">
        <v>242</v>
      </c>
      <c r="B166" s="66" t="s">
        <v>243</v>
      </c>
      <c r="C166" s="65">
        <v>29</v>
      </c>
      <c r="D166" s="105">
        <v>45915</v>
      </c>
      <c r="E166" s="105">
        <v>45700</v>
      </c>
      <c r="F166" s="49"/>
      <c r="G166" s="105">
        <v>45915</v>
      </c>
      <c r="H166" s="130"/>
      <c r="I166" s="130"/>
      <c r="J166" s="67">
        <v>45945</v>
      </c>
      <c r="K166" s="67">
        <v>45699</v>
      </c>
      <c r="L166" s="67">
        <v>45699</v>
      </c>
      <c r="M166" s="67">
        <v>45699</v>
      </c>
      <c r="N166" s="67">
        <v>45699</v>
      </c>
      <c r="O166" s="67">
        <v>45603</v>
      </c>
      <c r="P166" s="49"/>
      <c r="Q166" s="130"/>
      <c r="R166" s="130"/>
      <c r="S166" s="130"/>
      <c r="T166" s="130"/>
      <c r="U166" s="130"/>
      <c r="V166" s="130"/>
      <c r="W166" s="130"/>
      <c r="X166" s="130"/>
      <c r="Y166" s="130"/>
      <c r="Z166" s="130"/>
      <c r="AA166" s="16"/>
      <c r="AB166" s="16"/>
    </row>
    <row r="167" spans="1:28" s="17" customFormat="1" ht="15.75" thickBot="1">
      <c r="A167" s="72"/>
      <c r="B167" s="73"/>
      <c r="C167" s="72"/>
      <c r="D167" s="122" t="s">
        <v>244</v>
      </c>
      <c r="E167" s="122" t="s">
        <v>245</v>
      </c>
      <c r="F167" s="123"/>
      <c r="G167" s="122" t="s">
        <v>240</v>
      </c>
      <c r="H167" s="205"/>
      <c r="I167" s="205"/>
      <c r="J167" s="206" t="s">
        <v>246</v>
      </c>
      <c r="K167" s="206" t="s">
        <v>235</v>
      </c>
      <c r="L167" s="206" t="s">
        <v>235</v>
      </c>
      <c r="M167" s="206" t="s">
        <v>235</v>
      </c>
      <c r="N167" s="206" t="s">
        <v>235</v>
      </c>
      <c r="O167" s="206" t="s">
        <v>236</v>
      </c>
      <c r="P167" s="123"/>
      <c r="Q167" s="205"/>
      <c r="R167" s="205"/>
      <c r="S167" s="205"/>
      <c r="T167" s="205"/>
      <c r="U167" s="205"/>
      <c r="V167" s="205"/>
      <c r="W167" s="205"/>
      <c r="X167" s="205"/>
      <c r="Y167" s="205"/>
      <c r="Z167" s="205"/>
      <c r="AA167" s="16"/>
      <c r="AB167" s="16"/>
    </row>
    <row r="168" spans="1:28" s="17" customFormat="1">
      <c r="A168" s="65"/>
      <c r="B168" s="66"/>
      <c r="C168" s="65"/>
      <c r="D168" s="130"/>
      <c r="E168" s="130"/>
      <c r="F168" s="49"/>
      <c r="G168" s="130"/>
      <c r="H168" s="130"/>
      <c r="I168" s="130"/>
      <c r="J168" s="49"/>
      <c r="K168" s="49"/>
      <c r="L168" s="49"/>
      <c r="M168" s="49"/>
      <c r="N168" s="49"/>
      <c r="O168" s="49"/>
      <c r="P168" s="49"/>
      <c r="Q168" s="130"/>
      <c r="R168" s="130"/>
      <c r="S168" s="130"/>
      <c r="T168" s="130"/>
      <c r="U168" s="130"/>
      <c r="V168" s="130"/>
      <c r="W168" s="130"/>
      <c r="X168" s="130"/>
      <c r="Y168" s="130"/>
      <c r="Z168" s="130"/>
      <c r="AA168" s="16"/>
      <c r="AB168" s="16"/>
    </row>
    <row r="169" spans="1:28" s="17" customFormat="1">
      <c r="A169" s="72"/>
      <c r="B169" s="73"/>
      <c r="C169" s="72"/>
      <c r="D169" s="205"/>
      <c r="E169" s="205"/>
      <c r="F169" s="123"/>
      <c r="G169" s="205"/>
      <c r="H169" s="205"/>
      <c r="I169" s="205"/>
      <c r="J169" s="123"/>
      <c r="K169" s="123"/>
      <c r="L169" s="123"/>
      <c r="M169" s="123"/>
      <c r="N169" s="123"/>
      <c r="O169" s="123"/>
      <c r="P169" s="123"/>
      <c r="Q169" s="205"/>
      <c r="R169" s="205"/>
      <c r="S169" s="205"/>
      <c r="T169" s="205"/>
      <c r="U169" s="205"/>
      <c r="V169" s="205"/>
      <c r="W169" s="205"/>
      <c r="X169" s="205"/>
      <c r="Y169" s="205"/>
      <c r="Z169" s="205"/>
      <c r="AA169" s="16"/>
      <c r="AB169" s="16"/>
    </row>
    <row r="170" spans="1:28" s="17" customFormat="1" ht="21">
      <c r="A170" s="18" t="s">
        <v>247</v>
      </c>
      <c r="B170" s="19" t="s">
        <v>80</v>
      </c>
      <c r="C170" s="20" t="s">
        <v>7</v>
      </c>
      <c r="D170" s="21"/>
      <c r="E170" s="22"/>
      <c r="F170" s="22"/>
      <c r="G170" s="22"/>
      <c r="H170" s="22"/>
      <c r="I170" s="23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3"/>
      <c r="U170" s="24"/>
      <c r="V170" s="24"/>
      <c r="W170" s="24"/>
      <c r="X170" s="24"/>
      <c r="Y170" s="24"/>
      <c r="Z170" s="24"/>
      <c r="AA170" s="16"/>
      <c r="AB170" s="16"/>
    </row>
    <row r="171" spans="1:28" s="17" customFormat="1" ht="21.75" thickBot="1">
      <c r="A171" s="25" t="s">
        <v>248</v>
      </c>
      <c r="B171" s="25"/>
      <c r="C171" s="23" t="s">
        <v>8</v>
      </c>
      <c r="D171" s="26" t="s">
        <v>9</v>
      </c>
      <c r="E171" s="26" t="s">
        <v>197</v>
      </c>
      <c r="F171" s="26" t="s">
        <v>10</v>
      </c>
      <c r="G171" s="26" t="s">
        <v>198</v>
      </c>
      <c r="H171" s="26" t="s">
        <v>199</v>
      </c>
      <c r="I171" s="26" t="s">
        <v>200</v>
      </c>
      <c r="J171" s="26" t="s">
        <v>201</v>
      </c>
      <c r="K171" s="26" t="s">
        <v>12</v>
      </c>
      <c r="L171" s="26" t="s">
        <v>13</v>
      </c>
      <c r="M171" s="26" t="s">
        <v>14</v>
      </c>
      <c r="N171" s="26" t="s">
        <v>15</v>
      </c>
      <c r="O171" s="26" t="s">
        <v>202</v>
      </c>
      <c r="P171" s="26" t="s">
        <v>203</v>
      </c>
      <c r="Q171" s="26" t="s">
        <v>21</v>
      </c>
      <c r="R171" s="26" t="s">
        <v>20</v>
      </c>
      <c r="S171" s="26" t="s">
        <v>18</v>
      </c>
      <c r="T171" s="26" t="s">
        <v>204</v>
      </c>
      <c r="U171" s="26"/>
      <c r="V171" s="120"/>
      <c r="W171" s="120"/>
      <c r="X171" s="120"/>
      <c r="Y171" s="120"/>
      <c r="Z171" s="120"/>
      <c r="AA171" s="16"/>
      <c r="AB171" s="16"/>
    </row>
    <row r="172" spans="1:28" s="17" customFormat="1">
      <c r="A172" s="114" t="s">
        <v>249</v>
      </c>
      <c r="B172" s="115" t="s">
        <v>250</v>
      </c>
      <c r="C172" s="116">
        <v>6</v>
      </c>
      <c r="D172" s="105" t="s">
        <v>251</v>
      </c>
      <c r="E172" s="106" t="s">
        <v>251</v>
      </c>
      <c r="F172" s="105">
        <v>45838</v>
      </c>
      <c r="G172" s="105">
        <v>45761</v>
      </c>
      <c r="H172" s="105">
        <v>45838</v>
      </c>
      <c r="I172" s="130"/>
      <c r="J172" s="105">
        <v>45611</v>
      </c>
      <c r="K172" s="128"/>
      <c r="L172" s="128" t="s">
        <v>7</v>
      </c>
      <c r="M172" s="105">
        <v>45749</v>
      </c>
      <c r="N172" s="105">
        <v>45750</v>
      </c>
      <c r="O172" s="105">
        <v>45825</v>
      </c>
      <c r="P172" s="105">
        <v>45825</v>
      </c>
      <c r="Q172" s="105">
        <v>45854</v>
      </c>
      <c r="R172" s="105">
        <v>45852</v>
      </c>
      <c r="S172" s="105">
        <v>45854</v>
      </c>
      <c r="T172" s="105">
        <v>45854</v>
      </c>
      <c r="U172" s="70"/>
      <c r="V172" s="70"/>
      <c r="W172" s="70"/>
      <c r="X172" s="70"/>
      <c r="Y172" s="71"/>
      <c r="Z172" s="71"/>
      <c r="AA172" s="16"/>
      <c r="AB172" s="16"/>
    </row>
    <row r="173" spans="1:28" s="17" customFormat="1" ht="15.75" thickBot="1">
      <c r="A173" s="72"/>
      <c r="B173" s="73"/>
      <c r="C173" s="72"/>
      <c r="D173" s="91"/>
      <c r="E173" s="91"/>
      <c r="F173" s="91"/>
      <c r="G173" s="91"/>
      <c r="H173" s="91"/>
      <c r="I173" s="205"/>
      <c r="J173" s="91" t="s">
        <v>252</v>
      </c>
      <c r="K173" s="129"/>
      <c r="L173" s="129"/>
      <c r="M173" s="91"/>
      <c r="N173" s="91"/>
      <c r="O173" s="91" t="s">
        <v>253</v>
      </c>
      <c r="P173" s="91"/>
      <c r="Q173" s="91"/>
      <c r="R173" s="91"/>
      <c r="S173" s="91"/>
      <c r="T173" s="91"/>
      <c r="U173" s="39"/>
      <c r="V173" s="39"/>
      <c r="W173" s="39"/>
      <c r="X173" s="39"/>
      <c r="Y173" s="78"/>
      <c r="Z173" s="78"/>
      <c r="AA173" s="16"/>
      <c r="AB173" s="16"/>
    </row>
    <row r="174" spans="1:28" s="17" customFormat="1">
      <c r="A174" s="58"/>
      <c r="B174" s="59"/>
      <c r="C174" s="60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60"/>
      <c r="O174" s="14"/>
      <c r="P174" s="14"/>
      <c r="Q174" s="14"/>
      <c r="R174" s="14"/>
      <c r="S174" s="60"/>
      <c r="T174" s="60"/>
      <c r="U174" s="15"/>
      <c r="V174" s="15"/>
      <c r="W174" s="15"/>
      <c r="X174" s="15"/>
      <c r="Y174" s="15"/>
      <c r="Z174" s="15"/>
      <c r="AA174" s="16"/>
      <c r="AB174" s="16"/>
    </row>
    <row r="175" spans="1:28" s="17" customFormat="1" ht="23.25">
      <c r="A175" s="13" t="s">
        <v>254</v>
      </c>
      <c r="B175" s="13"/>
      <c r="C175" s="13"/>
      <c r="D175" s="13" t="s">
        <v>255</v>
      </c>
      <c r="E175" s="13" t="s">
        <v>256</v>
      </c>
      <c r="F175" s="13"/>
      <c r="G175" s="13"/>
      <c r="H175" s="13"/>
      <c r="I175" s="111"/>
      <c r="J175" s="111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5"/>
      <c r="V175" s="15"/>
      <c r="W175" s="15"/>
      <c r="X175" s="15"/>
      <c r="Y175" s="15"/>
      <c r="Z175" s="15"/>
      <c r="AA175" s="16"/>
      <c r="AB175" s="16"/>
    </row>
    <row r="176" spans="1:28" s="17" customFormat="1" ht="21">
      <c r="A176" s="18" t="s">
        <v>257</v>
      </c>
      <c r="B176" s="19" t="s">
        <v>152</v>
      </c>
      <c r="C176" s="20" t="s">
        <v>7</v>
      </c>
      <c r="D176" s="21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3"/>
      <c r="T176" s="23"/>
      <c r="U176" s="24"/>
      <c r="V176" s="24"/>
      <c r="W176" s="24"/>
      <c r="X176" s="24"/>
      <c r="Y176" s="24"/>
      <c r="Z176" s="24"/>
      <c r="AA176" s="16"/>
      <c r="AB176" s="16"/>
    </row>
    <row r="177" spans="1:29" s="17" customFormat="1" ht="21.75" thickBot="1">
      <c r="A177" s="25"/>
      <c r="B177" s="25"/>
      <c r="C177" s="23" t="s">
        <v>8</v>
      </c>
      <c r="D177" s="26" t="s">
        <v>9</v>
      </c>
      <c r="E177" s="26" t="s">
        <v>197</v>
      </c>
      <c r="F177" s="26" t="s">
        <v>10</v>
      </c>
      <c r="G177" s="26" t="s">
        <v>198</v>
      </c>
      <c r="H177" s="26" t="s">
        <v>199</v>
      </c>
      <c r="I177" s="26" t="s">
        <v>200</v>
      </c>
      <c r="J177" s="26" t="s">
        <v>258</v>
      </c>
      <c r="K177" s="26" t="s">
        <v>201</v>
      </c>
      <c r="L177" s="26" t="s">
        <v>12</v>
      </c>
      <c r="M177" s="26" t="s">
        <v>13</v>
      </c>
      <c r="N177" s="26" t="s">
        <v>14</v>
      </c>
      <c r="O177" s="26" t="s">
        <v>15</v>
      </c>
      <c r="P177" s="26" t="s">
        <v>202</v>
      </c>
      <c r="Q177" s="26" t="s">
        <v>203</v>
      </c>
      <c r="R177" s="26" t="s">
        <v>21</v>
      </c>
      <c r="S177" s="26" t="s">
        <v>20</v>
      </c>
      <c r="T177" s="26" t="s">
        <v>18</v>
      </c>
      <c r="U177" s="26" t="s">
        <v>204</v>
      </c>
      <c r="V177" s="26"/>
      <c r="W177" s="26"/>
      <c r="X177" s="120"/>
      <c r="Y177" s="120"/>
      <c r="Z177" s="120"/>
      <c r="AA177" s="16"/>
      <c r="AB177" s="16"/>
      <c r="AC177" s="16"/>
    </row>
    <row r="178" spans="1:29" s="17" customFormat="1">
      <c r="A178" s="114" t="s">
        <v>259</v>
      </c>
      <c r="B178" s="197" t="s">
        <v>260</v>
      </c>
      <c r="C178" s="116">
        <v>155</v>
      </c>
      <c r="D178" s="105">
        <v>45874</v>
      </c>
      <c r="E178" s="105">
        <v>45874</v>
      </c>
      <c r="F178" s="105">
        <v>45874</v>
      </c>
      <c r="G178" s="105">
        <v>45874</v>
      </c>
      <c r="H178" s="105">
        <v>45874</v>
      </c>
      <c r="I178" s="105">
        <v>45880</v>
      </c>
      <c r="J178" s="105">
        <v>45875</v>
      </c>
      <c r="K178" s="128"/>
      <c r="L178" s="105">
        <v>45903</v>
      </c>
      <c r="M178" s="105">
        <v>45903</v>
      </c>
      <c r="N178" s="105">
        <v>45909</v>
      </c>
      <c r="O178" s="105">
        <v>45909</v>
      </c>
      <c r="P178" s="130"/>
      <c r="Q178" s="49"/>
      <c r="R178" s="49"/>
      <c r="S178" s="105">
        <v>45882</v>
      </c>
      <c r="T178" s="49"/>
      <c r="U178" s="118"/>
      <c r="V178" s="70"/>
      <c r="W178" s="70"/>
      <c r="X178" s="70"/>
      <c r="Y178" s="70"/>
      <c r="Z178" s="71"/>
      <c r="AA178" s="16"/>
      <c r="AB178" s="16"/>
      <c r="AC178" s="16"/>
    </row>
    <row r="179" spans="1:29" s="17" customFormat="1" ht="15.75" thickBot="1">
      <c r="A179" s="72"/>
      <c r="B179" s="196"/>
      <c r="C179" s="72"/>
      <c r="D179" s="91"/>
      <c r="E179" s="91"/>
      <c r="F179" s="91"/>
      <c r="G179" s="91"/>
      <c r="H179" s="91"/>
      <c r="I179" s="91"/>
      <c r="J179" s="91"/>
      <c r="K179" s="129"/>
      <c r="L179" s="91" t="s">
        <v>261</v>
      </c>
      <c r="M179" s="91" t="s">
        <v>261</v>
      </c>
      <c r="N179" s="91" t="s">
        <v>261</v>
      </c>
      <c r="O179" s="91" t="s">
        <v>261</v>
      </c>
      <c r="P179" s="132"/>
      <c r="Q179" s="51"/>
      <c r="R179" s="51"/>
      <c r="S179" s="91"/>
      <c r="T179" s="51"/>
      <c r="U179" s="119"/>
      <c r="V179" s="39"/>
      <c r="W179" s="39"/>
      <c r="X179" s="39"/>
      <c r="Y179" s="39"/>
      <c r="Z179" s="78"/>
      <c r="AA179" s="16"/>
      <c r="AB179" s="16"/>
      <c r="AC179" s="16"/>
    </row>
    <row r="180" spans="1:29" s="17" customFormat="1">
      <c r="A180" s="114" t="s">
        <v>262</v>
      </c>
      <c r="B180" s="197" t="s">
        <v>263</v>
      </c>
      <c r="C180" s="114">
        <v>156</v>
      </c>
      <c r="D180" s="105">
        <v>45874</v>
      </c>
      <c r="E180" s="105">
        <v>45874</v>
      </c>
      <c r="F180" s="105">
        <v>45874</v>
      </c>
      <c r="G180" s="105">
        <v>45874</v>
      </c>
      <c r="H180" s="105">
        <v>45874</v>
      </c>
      <c r="I180" s="105">
        <v>45880</v>
      </c>
      <c r="J180" s="105">
        <v>45881</v>
      </c>
      <c r="K180" s="128"/>
      <c r="L180" s="49"/>
      <c r="M180" s="49"/>
      <c r="N180" s="105">
        <v>45909</v>
      </c>
      <c r="O180" s="105">
        <v>45909</v>
      </c>
      <c r="P180" s="130"/>
      <c r="Q180" s="49"/>
      <c r="R180" s="49"/>
      <c r="S180" s="105">
        <v>45882</v>
      </c>
      <c r="T180" s="49"/>
      <c r="U180" s="133"/>
      <c r="V180" s="70"/>
      <c r="W180" s="70"/>
      <c r="X180" s="70"/>
      <c r="Y180" s="70"/>
      <c r="Z180" s="71"/>
      <c r="AA180" s="16"/>
      <c r="AB180" s="16"/>
      <c r="AC180" s="16"/>
    </row>
    <row r="181" spans="1:29" s="17" customFormat="1" ht="15.75" thickBot="1">
      <c r="A181" s="72"/>
      <c r="B181" s="73"/>
      <c r="C181" s="72"/>
      <c r="D181" s="91"/>
      <c r="E181" s="91"/>
      <c r="F181" s="91"/>
      <c r="G181" s="91"/>
      <c r="H181" s="91"/>
      <c r="I181" s="91"/>
      <c r="J181" s="91"/>
      <c r="K181" s="129"/>
      <c r="L181" s="51"/>
      <c r="M181" s="51"/>
      <c r="N181" s="91" t="s">
        <v>261</v>
      </c>
      <c r="O181" s="91" t="s">
        <v>261</v>
      </c>
      <c r="P181" s="132"/>
      <c r="Q181" s="51"/>
      <c r="R181" s="51"/>
      <c r="S181" s="91"/>
      <c r="T181" s="51"/>
      <c r="U181" s="78"/>
      <c r="V181" s="39"/>
      <c r="W181" s="39"/>
      <c r="X181" s="39"/>
      <c r="Y181" s="39"/>
      <c r="Z181" s="78"/>
      <c r="AA181" s="16"/>
      <c r="AB181" s="16"/>
      <c r="AC181" s="16"/>
    </row>
    <row r="182" spans="1:29" s="17" customFormat="1">
      <c r="A182" s="114" t="s">
        <v>264</v>
      </c>
      <c r="B182" s="115" t="s">
        <v>265</v>
      </c>
      <c r="C182" s="116">
        <v>157</v>
      </c>
      <c r="D182" s="105">
        <v>45874</v>
      </c>
      <c r="E182" s="105">
        <v>45874</v>
      </c>
      <c r="F182" s="105">
        <v>45874</v>
      </c>
      <c r="G182" s="105">
        <v>45874</v>
      </c>
      <c r="H182" s="105">
        <v>45874</v>
      </c>
      <c r="I182" s="105">
        <v>45880</v>
      </c>
      <c r="J182" s="105">
        <v>45881</v>
      </c>
      <c r="K182" s="121"/>
      <c r="L182" s="49"/>
      <c r="M182" s="105">
        <v>45882</v>
      </c>
      <c r="N182" s="130"/>
      <c r="O182" s="105">
        <v>45874</v>
      </c>
      <c r="P182" s="130"/>
      <c r="Q182" s="130"/>
      <c r="R182" s="49"/>
      <c r="S182" s="105">
        <v>45882</v>
      </c>
      <c r="T182" s="49"/>
      <c r="U182" s="118"/>
      <c r="V182" s="70"/>
      <c r="W182" s="70"/>
      <c r="X182" s="70"/>
      <c r="Y182" s="70"/>
      <c r="Z182" s="71"/>
      <c r="AA182" s="16"/>
      <c r="AB182" s="16"/>
      <c r="AC182" s="16"/>
    </row>
    <row r="183" spans="1:29" s="17" customFormat="1" ht="15.75" thickBot="1">
      <c r="A183" s="72"/>
      <c r="B183" s="73"/>
      <c r="C183" s="72"/>
      <c r="D183" s="91"/>
      <c r="E183" s="91"/>
      <c r="F183" s="91"/>
      <c r="G183" s="91"/>
      <c r="H183" s="91"/>
      <c r="I183" s="91"/>
      <c r="J183" s="91"/>
      <c r="K183" s="195"/>
      <c r="L183" s="51"/>
      <c r="M183" s="91"/>
      <c r="N183" s="132"/>
      <c r="O183" s="91" t="s">
        <v>266</v>
      </c>
      <c r="P183" s="132"/>
      <c r="Q183" s="132"/>
      <c r="R183" s="51"/>
      <c r="S183" s="91"/>
      <c r="T183" s="51"/>
      <c r="U183" s="119"/>
      <c r="V183" s="39"/>
      <c r="W183" s="39"/>
      <c r="X183" s="39"/>
      <c r="Y183" s="39"/>
      <c r="Z183" s="78"/>
      <c r="AA183" s="16"/>
      <c r="AB183" s="16"/>
      <c r="AC183" s="16"/>
    </row>
    <row r="184" spans="1:29" s="17" customFormat="1">
      <c r="A184" s="114" t="s">
        <v>267</v>
      </c>
      <c r="B184" s="115" t="s">
        <v>268</v>
      </c>
      <c r="C184" s="114">
        <v>158</v>
      </c>
      <c r="D184" s="105">
        <v>45874</v>
      </c>
      <c r="E184" s="105">
        <v>45874</v>
      </c>
      <c r="F184" s="105">
        <v>45874</v>
      </c>
      <c r="G184" s="105">
        <v>45874</v>
      </c>
      <c r="H184" s="105">
        <v>45874</v>
      </c>
      <c r="I184" s="105">
        <v>45880</v>
      </c>
      <c r="J184" s="128"/>
      <c r="K184" s="128"/>
      <c r="L184" s="67">
        <v>45737</v>
      </c>
      <c r="M184" s="105">
        <v>45874</v>
      </c>
      <c r="N184" s="49"/>
      <c r="O184" s="105">
        <v>45874</v>
      </c>
      <c r="P184" s="49"/>
      <c r="Q184" s="49"/>
      <c r="R184" s="49"/>
      <c r="S184" s="105">
        <v>45882</v>
      </c>
      <c r="T184" s="49"/>
      <c r="U184" s="133"/>
      <c r="V184" s="70"/>
      <c r="W184" s="70"/>
      <c r="X184" s="70"/>
      <c r="Y184" s="70"/>
      <c r="Z184" s="71"/>
      <c r="AA184" s="16"/>
      <c r="AB184" s="16"/>
      <c r="AC184" s="16"/>
    </row>
    <row r="185" spans="1:29" s="17" customFormat="1" ht="15.75" thickBot="1">
      <c r="A185" s="72"/>
      <c r="B185" s="73"/>
      <c r="C185" s="72"/>
      <c r="D185" s="91"/>
      <c r="E185" s="91"/>
      <c r="F185" s="91"/>
      <c r="G185" s="91"/>
      <c r="H185" s="91"/>
      <c r="I185" s="91"/>
      <c r="J185" s="129"/>
      <c r="K185" s="129"/>
      <c r="L185" s="74"/>
      <c r="M185" s="91" t="s">
        <v>266</v>
      </c>
      <c r="N185" s="51"/>
      <c r="O185" s="91" t="s">
        <v>266</v>
      </c>
      <c r="P185" s="51"/>
      <c r="Q185" s="51"/>
      <c r="R185" s="51"/>
      <c r="S185" s="91"/>
      <c r="T185" s="51"/>
      <c r="U185" s="78"/>
      <c r="V185" s="39"/>
      <c r="W185" s="39"/>
      <c r="X185" s="39"/>
      <c r="Y185" s="39"/>
      <c r="Z185" s="78"/>
      <c r="AA185" s="16"/>
      <c r="AB185" s="16"/>
      <c r="AC185" s="16"/>
    </row>
    <row r="186" spans="1:29" s="17" customFormat="1">
      <c r="A186" s="114" t="s">
        <v>269</v>
      </c>
      <c r="B186" s="115" t="s">
        <v>270</v>
      </c>
      <c r="C186" s="116">
        <v>159</v>
      </c>
      <c r="D186" s="130"/>
      <c r="E186" s="130"/>
      <c r="F186" s="49"/>
      <c r="G186" s="130"/>
      <c r="H186" s="49"/>
      <c r="I186" s="49"/>
      <c r="J186" s="128"/>
      <c r="K186" s="128"/>
      <c r="L186" s="130"/>
      <c r="M186" s="130"/>
      <c r="N186" s="130"/>
      <c r="O186" s="130"/>
      <c r="P186" s="130"/>
      <c r="Q186" s="49"/>
      <c r="R186" s="49"/>
      <c r="S186" s="49"/>
      <c r="T186" s="49"/>
      <c r="U186" s="118"/>
      <c r="V186" s="70"/>
      <c r="W186" s="70"/>
      <c r="X186" s="70"/>
      <c r="Y186" s="70"/>
      <c r="Z186" s="71"/>
      <c r="AA186" s="16"/>
      <c r="AB186" s="16"/>
      <c r="AC186" s="16"/>
    </row>
    <row r="187" spans="1:29" s="17" customFormat="1" ht="15.75" thickBot="1">
      <c r="A187" s="72"/>
      <c r="B187" s="73"/>
      <c r="C187" s="72"/>
      <c r="D187" s="132"/>
      <c r="E187" s="132"/>
      <c r="F187" s="51"/>
      <c r="G187" s="132"/>
      <c r="H187" s="51"/>
      <c r="I187" s="51"/>
      <c r="J187" s="129"/>
      <c r="K187" s="129"/>
      <c r="L187" s="132"/>
      <c r="M187" s="132"/>
      <c r="N187" s="132"/>
      <c r="O187" s="132"/>
      <c r="P187" s="132"/>
      <c r="Q187" s="51"/>
      <c r="R187" s="51"/>
      <c r="S187" s="51"/>
      <c r="T187" s="51"/>
      <c r="U187" s="119"/>
      <c r="V187" s="39"/>
      <c r="W187" s="39"/>
      <c r="X187" s="39"/>
      <c r="Y187" s="39"/>
      <c r="Z187" s="78"/>
      <c r="AA187" s="16"/>
      <c r="AB187" s="16"/>
      <c r="AC187" s="16"/>
    </row>
    <row r="188" spans="1:29" s="17" customFormat="1">
      <c r="A188" s="114" t="s">
        <v>271</v>
      </c>
      <c r="B188" s="115" t="s">
        <v>272</v>
      </c>
      <c r="C188" s="114">
        <v>160</v>
      </c>
      <c r="D188" s="130"/>
      <c r="E188" s="130"/>
      <c r="F188" s="49"/>
      <c r="G188" s="130"/>
      <c r="H188" s="49"/>
      <c r="I188" s="49"/>
      <c r="J188" s="131"/>
      <c r="K188" s="131"/>
      <c r="L188" s="130"/>
      <c r="M188" s="130"/>
      <c r="N188" s="130"/>
      <c r="O188" s="130"/>
      <c r="P188" s="49"/>
      <c r="Q188" s="49"/>
      <c r="R188" s="49"/>
      <c r="S188" s="49"/>
      <c r="T188" s="49"/>
      <c r="U188" s="133"/>
      <c r="V188" s="70"/>
      <c r="W188" s="70"/>
      <c r="X188" s="70"/>
      <c r="Y188" s="70"/>
      <c r="Z188" s="71"/>
      <c r="AA188" s="16"/>
      <c r="AB188" s="16"/>
      <c r="AC188" s="16"/>
    </row>
    <row r="189" spans="1:29" s="17" customFormat="1" ht="15.75" thickBot="1">
      <c r="A189" s="72"/>
      <c r="B189" s="73"/>
      <c r="C189" s="72"/>
      <c r="D189" s="132"/>
      <c r="E189" s="132"/>
      <c r="F189" s="51"/>
      <c r="G189" s="132"/>
      <c r="H189" s="51"/>
      <c r="I189" s="51"/>
      <c r="J189" s="132"/>
      <c r="K189" s="132"/>
      <c r="L189" s="132"/>
      <c r="M189" s="132"/>
      <c r="N189" s="132"/>
      <c r="O189" s="132"/>
      <c r="P189" s="51"/>
      <c r="Q189" s="51"/>
      <c r="R189" s="51"/>
      <c r="S189" s="51"/>
      <c r="T189" s="51"/>
      <c r="U189" s="78"/>
      <c r="V189" s="39"/>
      <c r="W189" s="39"/>
      <c r="X189" s="39"/>
      <c r="Y189" s="39"/>
      <c r="Z189" s="78"/>
      <c r="AA189" s="16"/>
      <c r="AB189" s="16"/>
      <c r="AC189" s="16"/>
    </row>
    <row r="190" spans="1:29" s="17" customFormat="1" ht="21">
      <c r="A190" s="18" t="s">
        <v>226</v>
      </c>
      <c r="B190" s="19" t="s">
        <v>80</v>
      </c>
      <c r="C190" s="20" t="s">
        <v>7</v>
      </c>
      <c r="D190" s="21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3"/>
      <c r="T190" s="23"/>
      <c r="U190" s="24"/>
      <c r="V190" s="24"/>
      <c r="W190" s="24"/>
      <c r="X190" s="24"/>
      <c r="Y190" s="24"/>
      <c r="Z190" s="24"/>
      <c r="AA190" s="16"/>
      <c r="AB190" s="16"/>
    </row>
    <row r="191" spans="1:29" s="17" customFormat="1" ht="21.75" thickBot="1">
      <c r="A191" s="25"/>
      <c r="B191" s="25"/>
      <c r="C191" s="23" t="s">
        <v>8</v>
      </c>
      <c r="D191" s="26" t="s">
        <v>9</v>
      </c>
      <c r="E191" s="26" t="s">
        <v>197</v>
      </c>
      <c r="F191" s="26" t="s">
        <v>10</v>
      </c>
      <c r="G191" s="26" t="s">
        <v>198</v>
      </c>
      <c r="H191" s="26" t="s">
        <v>199</v>
      </c>
      <c r="I191" s="26" t="s">
        <v>200</v>
      </c>
      <c r="J191" s="26" t="s">
        <v>201</v>
      </c>
      <c r="K191" s="26" t="s">
        <v>12</v>
      </c>
      <c r="L191" s="26" t="s">
        <v>13</v>
      </c>
      <c r="M191" s="26" t="s">
        <v>14</v>
      </c>
      <c r="N191" s="26" t="s">
        <v>15</v>
      </c>
      <c r="O191" s="26" t="s">
        <v>202</v>
      </c>
      <c r="P191" s="26" t="s">
        <v>203</v>
      </c>
      <c r="Q191" s="26" t="s">
        <v>21</v>
      </c>
      <c r="R191" s="26" t="s">
        <v>20</v>
      </c>
      <c r="S191" s="26" t="s">
        <v>18</v>
      </c>
      <c r="T191" s="26" t="s">
        <v>204</v>
      </c>
      <c r="U191" s="26"/>
      <c r="V191" s="26"/>
      <c r="W191" s="26"/>
      <c r="X191" s="26"/>
      <c r="Y191" s="26"/>
      <c r="Z191" s="26"/>
      <c r="AA191" s="16"/>
      <c r="AB191" s="16"/>
    </row>
    <row r="192" spans="1:29" s="17" customFormat="1">
      <c r="A192" s="65"/>
      <c r="B192" s="115"/>
      <c r="C192" s="114">
        <v>10</v>
      </c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70"/>
      <c r="V192" s="70"/>
      <c r="W192" s="70"/>
      <c r="X192" s="70"/>
      <c r="Y192" s="71"/>
      <c r="Z192" s="71"/>
      <c r="AA192" s="16"/>
      <c r="AB192" s="16"/>
    </row>
    <row r="193" spans="1:28" s="17" customFormat="1" ht="15.75" thickBot="1">
      <c r="A193" s="108"/>
      <c r="B193" s="73"/>
      <c r="C193" s="72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6"/>
      <c r="V193" s="126"/>
      <c r="W193" s="126"/>
      <c r="X193" s="126"/>
      <c r="Y193" s="127"/>
      <c r="Z193" s="127"/>
      <c r="AA193" s="16"/>
      <c r="AB193" s="16"/>
    </row>
    <row r="194" spans="1:28" s="17" customFormat="1">
      <c r="A194" s="65"/>
      <c r="B194" s="115"/>
      <c r="C194" s="114">
        <v>11</v>
      </c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70"/>
      <c r="V194" s="70"/>
      <c r="W194" s="70"/>
      <c r="X194" s="70"/>
      <c r="Y194" s="71"/>
      <c r="Z194" s="71"/>
      <c r="AA194" s="16"/>
      <c r="AB194" s="16"/>
    </row>
    <row r="195" spans="1:28" s="17" customFormat="1" ht="15.75" thickBot="1">
      <c r="A195" s="108"/>
      <c r="B195" s="73"/>
      <c r="C195" s="72"/>
      <c r="D195" s="123"/>
      <c r="E195" s="123"/>
      <c r="F195" s="123"/>
      <c r="G195" s="123"/>
      <c r="H195" s="123"/>
      <c r="I195" s="123"/>
      <c r="J195" s="123"/>
      <c r="K195" s="123"/>
      <c r="L195" s="123"/>
      <c r="M195" s="123"/>
      <c r="N195" s="123"/>
      <c r="O195" s="123"/>
      <c r="P195" s="123"/>
      <c r="Q195" s="123"/>
      <c r="R195" s="123"/>
      <c r="S195" s="123"/>
      <c r="T195" s="123"/>
      <c r="U195" s="126"/>
      <c r="V195" s="126"/>
      <c r="W195" s="126"/>
      <c r="X195" s="126"/>
      <c r="Y195" s="127"/>
      <c r="Z195" s="127"/>
      <c r="AA195" s="16"/>
      <c r="AB195" s="16"/>
    </row>
    <row r="196" spans="1:28" s="17" customFormat="1">
      <c r="A196" s="65"/>
      <c r="B196" s="115"/>
      <c r="C196" s="114">
        <v>12</v>
      </c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70"/>
      <c r="V196" s="70"/>
      <c r="W196" s="70"/>
      <c r="X196" s="70"/>
      <c r="Y196" s="71"/>
      <c r="Z196" s="71"/>
      <c r="AA196" s="16"/>
      <c r="AB196" s="16"/>
    </row>
    <row r="197" spans="1:28" s="17" customFormat="1" ht="15.75" thickBot="1">
      <c r="A197" s="108"/>
      <c r="B197" s="73"/>
      <c r="C197" s="72"/>
      <c r="D197" s="123"/>
      <c r="E197" s="123"/>
      <c r="F197" s="123"/>
      <c r="G197" s="123"/>
      <c r="H197" s="123"/>
      <c r="I197" s="123"/>
      <c r="J197" s="123"/>
      <c r="K197" s="123"/>
      <c r="L197" s="123"/>
      <c r="M197" s="123"/>
      <c r="N197" s="123"/>
      <c r="O197" s="123"/>
      <c r="P197" s="123"/>
      <c r="Q197" s="123"/>
      <c r="R197" s="123"/>
      <c r="S197" s="123"/>
      <c r="T197" s="123"/>
      <c r="U197" s="126"/>
      <c r="V197" s="126"/>
      <c r="W197" s="126"/>
      <c r="X197" s="126"/>
      <c r="Y197" s="127"/>
      <c r="Z197" s="127"/>
      <c r="AA197" s="16"/>
      <c r="AB197" s="16"/>
    </row>
    <row r="198" spans="1:28" s="17" customFormat="1">
      <c r="A198" s="65"/>
      <c r="B198" s="115"/>
      <c r="C198" s="114">
        <v>13</v>
      </c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102"/>
      <c r="V198" s="31"/>
      <c r="W198" s="70"/>
      <c r="X198" s="70"/>
      <c r="Y198" s="70"/>
      <c r="Z198" s="70"/>
      <c r="AA198" s="16"/>
      <c r="AB198" s="16"/>
    </row>
    <row r="199" spans="1:28" s="17" customFormat="1" ht="15.75" thickBot="1">
      <c r="A199" s="108"/>
      <c r="B199" s="73"/>
      <c r="C199" s="72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51"/>
      <c r="V199" s="92"/>
      <c r="W199" s="39"/>
      <c r="X199" s="39"/>
      <c r="Y199" s="39"/>
      <c r="Z199" s="39"/>
      <c r="AA199" s="16"/>
      <c r="AB199" s="16"/>
    </row>
    <row r="200" spans="1:28" s="17" customFormat="1">
      <c r="A200" s="65" t="s">
        <v>273</v>
      </c>
      <c r="B200" s="115"/>
      <c r="C200" s="114">
        <v>31</v>
      </c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71"/>
      <c r="V200" s="70"/>
      <c r="W200" s="70"/>
      <c r="X200" s="70"/>
      <c r="Y200" s="70"/>
      <c r="Z200" s="70"/>
      <c r="AA200" s="16"/>
      <c r="AB200" s="16"/>
    </row>
    <row r="201" spans="1:28" s="17" customFormat="1" ht="15.75" thickBot="1">
      <c r="A201" s="108"/>
      <c r="B201" s="73"/>
      <c r="C201" s="72"/>
      <c r="D201" s="123"/>
      <c r="E201" s="123"/>
      <c r="F201" s="123"/>
      <c r="G201" s="123"/>
      <c r="H201" s="123"/>
      <c r="I201" s="123"/>
      <c r="J201" s="123"/>
      <c r="K201" s="123"/>
      <c r="L201" s="123"/>
      <c r="M201" s="123"/>
      <c r="N201" s="123"/>
      <c r="O201" s="123"/>
      <c r="P201" s="123"/>
      <c r="Q201" s="123"/>
      <c r="R201" s="123"/>
      <c r="S201" s="123"/>
      <c r="T201" s="123"/>
      <c r="U201" s="80"/>
      <c r="V201" s="39"/>
      <c r="W201" s="39"/>
      <c r="X201" s="39"/>
      <c r="Y201" s="39"/>
      <c r="Z201" s="39"/>
      <c r="AA201" s="16"/>
      <c r="AB201" s="16"/>
    </row>
    <row r="202" spans="1:28" s="17" customFormat="1">
      <c r="A202" s="27" t="s">
        <v>274</v>
      </c>
      <c r="B202" s="115" t="s">
        <v>275</v>
      </c>
      <c r="C202" s="114">
        <v>32</v>
      </c>
      <c r="D202" s="105">
        <v>45720</v>
      </c>
      <c r="E202" s="105">
        <v>45720</v>
      </c>
      <c r="F202" s="105">
        <v>45720</v>
      </c>
      <c r="G202" s="105">
        <v>45720</v>
      </c>
      <c r="H202" s="105">
        <v>45720</v>
      </c>
      <c r="I202" s="49"/>
      <c r="J202" s="105">
        <v>45572</v>
      </c>
      <c r="K202" s="105">
        <v>45573</v>
      </c>
      <c r="L202" s="105">
        <v>45573</v>
      </c>
      <c r="M202" s="105">
        <v>45573</v>
      </c>
      <c r="N202" s="105">
        <v>45573</v>
      </c>
      <c r="O202" s="105">
        <v>45601</v>
      </c>
      <c r="P202" s="106"/>
      <c r="Q202" s="105">
        <v>45747</v>
      </c>
      <c r="R202" s="105">
        <v>45741</v>
      </c>
      <c r="S202" s="49"/>
      <c r="T202" s="49"/>
      <c r="U202" s="102"/>
      <c r="V202" s="31"/>
      <c r="W202" s="70"/>
      <c r="X202" s="70"/>
      <c r="Y202" s="70"/>
      <c r="Z202" s="70"/>
      <c r="AA202" s="16"/>
      <c r="AB202" s="16"/>
    </row>
    <row r="203" spans="1:28" s="17" customFormat="1" ht="15.75" thickBot="1">
      <c r="A203" s="34"/>
      <c r="B203" s="73"/>
      <c r="C203" s="72"/>
      <c r="D203" s="122"/>
      <c r="E203" s="122"/>
      <c r="F203" s="122"/>
      <c r="G203" s="122"/>
      <c r="H203" s="122"/>
      <c r="I203" s="123"/>
      <c r="J203" s="122"/>
      <c r="K203" s="122"/>
      <c r="L203" s="122"/>
      <c r="M203" s="122"/>
      <c r="N203" s="122"/>
      <c r="O203" s="122"/>
      <c r="P203" s="122"/>
      <c r="Q203" s="122"/>
      <c r="R203" s="122"/>
      <c r="S203" s="123"/>
      <c r="T203" s="123"/>
      <c r="U203" s="51"/>
      <c r="V203" s="92"/>
      <c r="W203" s="39"/>
      <c r="X203" s="39"/>
      <c r="Y203" s="39"/>
      <c r="Z203" s="39"/>
      <c r="AA203" s="16"/>
      <c r="AB203" s="16"/>
    </row>
    <row r="204" spans="1:28" s="17" customFormat="1">
      <c r="A204" s="27" t="s">
        <v>276</v>
      </c>
      <c r="B204" s="115" t="s">
        <v>277</v>
      </c>
      <c r="C204" s="114">
        <v>33</v>
      </c>
      <c r="D204" s="105">
        <v>45737</v>
      </c>
      <c r="E204" s="105">
        <v>45737</v>
      </c>
      <c r="F204" s="105">
        <v>45737</v>
      </c>
      <c r="G204" s="105">
        <v>45737</v>
      </c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102"/>
      <c r="V204" s="31"/>
      <c r="W204" s="70"/>
      <c r="X204" s="70"/>
      <c r="Y204" s="70"/>
      <c r="Z204" s="70"/>
      <c r="AA204" s="16"/>
      <c r="AB204" s="16"/>
    </row>
    <row r="205" spans="1:28" s="17" customFormat="1" ht="15.75" thickBot="1">
      <c r="A205" s="34"/>
      <c r="B205" s="73"/>
      <c r="C205" s="72"/>
      <c r="D205" s="122"/>
      <c r="E205" s="122"/>
      <c r="F205" s="122"/>
      <c r="G205" s="122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51"/>
      <c r="V205" s="92"/>
      <c r="W205" s="39"/>
      <c r="X205" s="39"/>
      <c r="Y205" s="39"/>
      <c r="Z205" s="39"/>
      <c r="AA205" s="16"/>
      <c r="AB205" s="16"/>
    </row>
    <row r="206" spans="1:28" s="17" customFormat="1" ht="21">
      <c r="A206" s="18" t="s">
        <v>247</v>
      </c>
      <c r="B206" s="19" t="s">
        <v>80</v>
      </c>
      <c r="C206" s="20" t="s">
        <v>7</v>
      </c>
      <c r="D206" s="21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3"/>
      <c r="S206" s="23"/>
      <c r="T206" s="23"/>
      <c r="U206" s="24"/>
      <c r="V206" s="24"/>
      <c r="W206" s="24"/>
      <c r="X206" s="24"/>
      <c r="Y206" s="24"/>
      <c r="Z206" s="24"/>
      <c r="AA206" s="16"/>
      <c r="AB206" s="16"/>
    </row>
    <row r="207" spans="1:28" s="17" customFormat="1" ht="21">
      <c r="A207" s="25"/>
      <c r="B207" s="25"/>
      <c r="C207" s="23" t="s">
        <v>8</v>
      </c>
      <c r="D207" s="26" t="s">
        <v>9</v>
      </c>
      <c r="E207" s="26" t="s">
        <v>197</v>
      </c>
      <c r="F207" s="26" t="s">
        <v>10</v>
      </c>
      <c r="G207" s="26" t="s">
        <v>198</v>
      </c>
      <c r="H207" s="26" t="s">
        <v>199</v>
      </c>
      <c r="I207" s="26" t="s">
        <v>200</v>
      </c>
      <c r="J207" s="26" t="s">
        <v>201</v>
      </c>
      <c r="K207" s="26" t="s">
        <v>12</v>
      </c>
      <c r="L207" s="26" t="s">
        <v>13</v>
      </c>
      <c r="M207" s="26" t="s">
        <v>14</v>
      </c>
      <c r="N207" s="26" t="s">
        <v>15</v>
      </c>
      <c r="O207" s="26" t="s">
        <v>202</v>
      </c>
      <c r="P207" s="26" t="s">
        <v>203</v>
      </c>
      <c r="Q207" s="26" t="s">
        <v>21</v>
      </c>
      <c r="R207" s="26" t="s">
        <v>20</v>
      </c>
      <c r="S207" s="26" t="s">
        <v>18</v>
      </c>
      <c r="T207" s="26" t="s">
        <v>204</v>
      </c>
      <c r="U207" s="112"/>
      <c r="V207" s="113"/>
      <c r="W207" s="113"/>
      <c r="X207" s="113"/>
      <c r="Y207" s="113"/>
      <c r="Z207" s="113"/>
      <c r="AA207" s="16"/>
      <c r="AB207" s="16"/>
    </row>
    <row r="208" spans="1:28" s="17" customFormat="1">
      <c r="A208" s="114" t="s">
        <v>278</v>
      </c>
      <c r="B208" s="115" t="s">
        <v>279</v>
      </c>
      <c r="C208" s="114">
        <v>3</v>
      </c>
      <c r="D208" s="105">
        <v>45856</v>
      </c>
      <c r="E208" s="105">
        <v>45856</v>
      </c>
      <c r="F208" s="105">
        <v>45856</v>
      </c>
      <c r="G208" s="105">
        <v>45856</v>
      </c>
      <c r="H208" s="105">
        <v>45856</v>
      </c>
      <c r="I208" s="105">
        <v>45875</v>
      </c>
      <c r="J208" s="105">
        <v>45611</v>
      </c>
      <c r="K208" s="134"/>
      <c r="L208" s="134"/>
      <c r="M208" s="105">
        <v>45862</v>
      </c>
      <c r="N208" s="105">
        <v>45862</v>
      </c>
      <c r="O208" s="105">
        <v>45825</v>
      </c>
      <c r="P208" s="105">
        <v>45825</v>
      </c>
      <c r="Q208" s="105">
        <v>45869</v>
      </c>
      <c r="R208" s="105">
        <v>45868</v>
      </c>
      <c r="S208" s="105">
        <v>45699</v>
      </c>
      <c r="T208" s="105">
        <v>45867</v>
      </c>
      <c r="U208" s="70"/>
      <c r="V208" s="70"/>
      <c r="W208" s="70"/>
      <c r="X208" s="70"/>
      <c r="Y208" s="71"/>
      <c r="Z208" s="71"/>
      <c r="AA208" s="16"/>
      <c r="AB208" s="16"/>
    </row>
    <row r="209" spans="1:28" s="17" customFormat="1">
      <c r="A209" s="72"/>
      <c r="B209" s="73"/>
      <c r="C209" s="72"/>
      <c r="D209" s="91"/>
      <c r="E209" s="91"/>
      <c r="F209" s="91"/>
      <c r="G209" s="91"/>
      <c r="H209" s="91"/>
      <c r="I209" s="91"/>
      <c r="J209" s="91"/>
      <c r="K209" s="135"/>
      <c r="L209" s="135"/>
      <c r="M209" s="91"/>
      <c r="N209" s="91"/>
      <c r="O209" s="91"/>
      <c r="P209" s="91"/>
      <c r="Q209" s="91"/>
      <c r="R209" s="91"/>
      <c r="S209" s="91"/>
      <c r="T209" s="91"/>
      <c r="U209" s="39"/>
      <c r="V209" s="39"/>
      <c r="W209" s="39"/>
      <c r="X209" s="39"/>
      <c r="Y209" s="78"/>
      <c r="Z209" s="78"/>
      <c r="AA209" s="16"/>
      <c r="AB209" s="16"/>
    </row>
    <row r="210" spans="1:28" s="17" customFormat="1">
      <c r="A210" s="114" t="s">
        <v>280</v>
      </c>
      <c r="B210" s="115" t="s">
        <v>250</v>
      </c>
      <c r="C210" s="114">
        <v>4</v>
      </c>
      <c r="D210" s="105">
        <v>45891</v>
      </c>
      <c r="E210" s="105">
        <v>45891</v>
      </c>
      <c r="F210" s="105">
        <v>45891</v>
      </c>
      <c r="G210" s="105">
        <v>45891</v>
      </c>
      <c r="H210" s="105">
        <v>45891</v>
      </c>
      <c r="I210" s="133"/>
      <c r="J210" s="191">
        <v>45611</v>
      </c>
      <c r="K210" s="134"/>
      <c r="L210" s="134"/>
      <c r="M210" s="191">
        <v>45623</v>
      </c>
      <c r="N210" s="191">
        <v>45623</v>
      </c>
      <c r="O210" s="105">
        <v>45838</v>
      </c>
      <c r="P210" s="105">
        <v>45838</v>
      </c>
      <c r="Q210" s="193"/>
      <c r="R210" s="193"/>
      <c r="S210" s="193"/>
      <c r="T210" s="193"/>
      <c r="U210" s="70"/>
      <c r="V210" s="70"/>
      <c r="W210" s="70"/>
      <c r="X210" s="70"/>
      <c r="Y210" s="71"/>
      <c r="Z210" s="71"/>
      <c r="AA210" s="16"/>
      <c r="AB210" s="16"/>
    </row>
    <row r="211" spans="1:28" s="17" customFormat="1">
      <c r="A211" s="72"/>
      <c r="B211" s="73"/>
      <c r="C211" s="72"/>
      <c r="D211" s="91"/>
      <c r="E211" s="91"/>
      <c r="F211" s="91"/>
      <c r="G211" s="91"/>
      <c r="H211" s="91"/>
      <c r="I211" s="78"/>
      <c r="J211" s="192"/>
      <c r="K211" s="135"/>
      <c r="L211" s="135"/>
      <c r="M211" s="192"/>
      <c r="N211" s="192"/>
      <c r="O211" s="91"/>
      <c r="P211" s="91"/>
      <c r="Q211" s="194"/>
      <c r="R211" s="194"/>
      <c r="S211" s="194"/>
      <c r="T211" s="194"/>
      <c r="U211" s="39"/>
      <c r="V211" s="39"/>
      <c r="W211" s="39"/>
      <c r="X211" s="39"/>
      <c r="Y211" s="78"/>
      <c r="Z211" s="78"/>
      <c r="AA211" s="16"/>
      <c r="AB211" s="16"/>
    </row>
    <row r="212" spans="1:28" s="17" customFormat="1">
      <c r="A212" s="114"/>
      <c r="B212" s="115"/>
      <c r="C212" s="114">
        <v>5</v>
      </c>
      <c r="D212" s="133"/>
      <c r="E212" s="133"/>
      <c r="F212" s="133"/>
      <c r="G212" s="133"/>
      <c r="H212" s="133"/>
      <c r="I212" s="133"/>
      <c r="J212" s="133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70"/>
      <c r="V212" s="70"/>
      <c r="W212" s="70"/>
      <c r="X212" s="70"/>
      <c r="Y212" s="71"/>
      <c r="Z212" s="71"/>
      <c r="AA212" s="16"/>
      <c r="AB212" s="16"/>
    </row>
    <row r="213" spans="1:28" s="17" customFormat="1">
      <c r="A213" s="72"/>
      <c r="B213" s="73"/>
      <c r="C213" s="72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39"/>
      <c r="V213" s="39"/>
      <c r="W213" s="39"/>
      <c r="X213" s="39"/>
      <c r="Y213" s="78"/>
      <c r="Z213" s="78"/>
      <c r="AA213" s="16"/>
      <c r="AB213" s="16"/>
    </row>
    <row r="214" spans="1:28" s="17" customFormat="1">
      <c r="A214" s="136"/>
      <c r="B214" s="137"/>
      <c r="C214" s="136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9"/>
      <c r="U214" s="139"/>
      <c r="V214" s="139"/>
      <c r="W214" s="139"/>
      <c r="X214" s="139"/>
      <c r="Y214" s="139"/>
      <c r="Z214" s="139"/>
      <c r="AA214" s="140"/>
      <c r="AB214" s="140"/>
    </row>
    <row r="215" spans="1:28" s="17" customFormat="1" ht="23.25">
      <c r="A215" s="13" t="s">
        <v>281</v>
      </c>
      <c r="B215" s="13"/>
      <c r="C215" s="13"/>
      <c r="D215" s="13" t="s">
        <v>282</v>
      </c>
      <c r="E215" s="13" t="s">
        <v>283</v>
      </c>
      <c r="F215" s="13"/>
      <c r="G215" s="13"/>
      <c r="H215" s="13"/>
      <c r="I215" s="111"/>
      <c r="J215" s="111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5"/>
      <c r="V215" s="15"/>
      <c r="W215" s="15"/>
      <c r="X215" s="15"/>
      <c r="Y215" s="15"/>
      <c r="Z215" s="15"/>
      <c r="AA215" s="16"/>
      <c r="AB215" s="16"/>
    </row>
    <row r="216" spans="1:28" s="17" customFormat="1" ht="21">
      <c r="A216" s="18"/>
      <c r="B216" s="19"/>
      <c r="C216" s="20" t="s">
        <v>7</v>
      </c>
      <c r="D216" s="21"/>
      <c r="E216" s="141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141"/>
      <c r="Q216" s="142"/>
      <c r="R216" s="142"/>
      <c r="S216" s="142"/>
      <c r="T216" s="141"/>
      <c r="U216" s="143"/>
      <c r="V216" s="24"/>
      <c r="W216" s="144"/>
      <c r="X216" s="145"/>
      <c r="Y216" s="24"/>
      <c r="Z216" s="145"/>
      <c r="AA216" s="16"/>
      <c r="AB216" s="16"/>
    </row>
    <row r="217" spans="1:28" s="17" customFormat="1" ht="30">
      <c r="A217" s="146"/>
      <c r="B217" s="62" t="s">
        <v>138</v>
      </c>
      <c r="C217" s="23" t="s">
        <v>8</v>
      </c>
      <c r="D217" s="147" t="s">
        <v>284</v>
      </c>
      <c r="E217" s="147" t="s">
        <v>285</v>
      </c>
      <c r="F217" s="147" t="s">
        <v>286</v>
      </c>
      <c r="G217" s="147" t="s">
        <v>287</v>
      </c>
      <c r="H217" s="147" t="s">
        <v>288</v>
      </c>
      <c r="I217" s="147" t="s">
        <v>289</v>
      </c>
      <c r="J217" s="147"/>
      <c r="K217" s="147" t="s">
        <v>290</v>
      </c>
      <c r="L217" s="147"/>
      <c r="M217" s="147"/>
      <c r="N217" s="147"/>
      <c r="O217" s="147"/>
      <c r="P217" s="26"/>
      <c r="Q217" s="26"/>
      <c r="R217" s="147"/>
      <c r="S217" s="113"/>
      <c r="T217" s="147"/>
      <c r="U217" s="26"/>
      <c r="V217" s="147"/>
      <c r="W217" s="113"/>
      <c r="X217" s="113"/>
      <c r="Y217" s="113"/>
      <c r="Z217" s="113"/>
      <c r="AA217" s="113"/>
      <c r="AB217" s="113"/>
    </row>
    <row r="218" spans="1:28" s="17" customFormat="1">
      <c r="A218" s="65" t="s">
        <v>291</v>
      </c>
      <c r="B218" s="66"/>
      <c r="C218" s="65">
        <v>5</v>
      </c>
      <c r="D218" s="107">
        <v>45874</v>
      </c>
      <c r="E218" s="107">
        <v>45847</v>
      </c>
      <c r="F218" s="107">
        <v>45848</v>
      </c>
      <c r="G218" s="71"/>
      <c r="H218" s="71"/>
      <c r="I218" s="107">
        <v>45839</v>
      </c>
      <c r="J218" s="71"/>
      <c r="K218" s="107">
        <v>45880</v>
      </c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</row>
    <row r="219" spans="1:28" s="17" customFormat="1" ht="15.75" thickBot="1">
      <c r="A219" s="72"/>
      <c r="B219" s="73"/>
      <c r="C219" s="72"/>
      <c r="D219" s="151"/>
      <c r="E219" s="151"/>
      <c r="F219" s="151" t="s">
        <v>292</v>
      </c>
      <c r="G219" s="78"/>
      <c r="H219" s="78"/>
      <c r="I219" s="151"/>
      <c r="J219" s="78"/>
      <c r="K219" s="151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</row>
    <row r="220" spans="1:28" s="17" customFormat="1">
      <c r="A220" s="65" t="s">
        <v>293</v>
      </c>
      <c r="B220" s="66"/>
      <c r="C220" s="65">
        <v>6</v>
      </c>
      <c r="D220" s="107">
        <v>45874</v>
      </c>
      <c r="E220" s="71"/>
      <c r="F220" s="71"/>
      <c r="G220" s="71"/>
      <c r="H220" s="71"/>
      <c r="I220" s="71"/>
      <c r="J220" s="71"/>
      <c r="K220" s="107">
        <v>45880</v>
      </c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</row>
    <row r="221" spans="1:28" s="17" customFormat="1" ht="15.75" thickBot="1">
      <c r="A221" s="72"/>
      <c r="B221" s="73"/>
      <c r="C221" s="72"/>
      <c r="D221" s="151"/>
      <c r="E221" s="78"/>
      <c r="F221" s="78"/>
      <c r="G221" s="78"/>
      <c r="H221" s="78"/>
      <c r="I221" s="78"/>
      <c r="J221" s="78"/>
      <c r="K221" s="151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</row>
    <row r="222" spans="1:28" s="17" customFormat="1">
      <c r="A222" s="136"/>
      <c r="B222" s="137"/>
      <c r="C222" s="136"/>
      <c r="D222" s="138"/>
      <c r="E222" s="138"/>
      <c r="F222" s="138"/>
      <c r="G222" s="138"/>
      <c r="H222" s="138"/>
      <c r="I222" s="138"/>
      <c r="J222" s="138"/>
      <c r="K222" s="138"/>
      <c r="L222" s="138"/>
      <c r="M222" s="138"/>
      <c r="N222" s="138"/>
      <c r="O222" s="138"/>
      <c r="P222" s="138"/>
      <c r="Q222" s="138"/>
      <c r="R222" s="138"/>
      <c r="S222" s="138"/>
      <c r="T222" s="139"/>
      <c r="U222" s="139"/>
      <c r="V222" s="139"/>
      <c r="W222" s="139"/>
      <c r="X222" s="139"/>
      <c r="Y222" s="139"/>
      <c r="Z222" s="139"/>
      <c r="AA222" s="140"/>
      <c r="AB222" s="140"/>
    </row>
    <row r="223" spans="1:28" s="17" customFormat="1" ht="23.25">
      <c r="A223" s="13" t="s">
        <v>294</v>
      </c>
      <c r="B223" s="13"/>
      <c r="C223" s="13"/>
      <c r="D223" s="13" t="s">
        <v>295</v>
      </c>
      <c r="E223" s="13" t="s">
        <v>296</v>
      </c>
      <c r="F223" s="13"/>
      <c r="G223" s="13"/>
      <c r="H223" s="13"/>
      <c r="I223" s="111"/>
      <c r="J223" s="111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5"/>
      <c r="V223" s="15"/>
      <c r="W223" s="15"/>
      <c r="X223" s="15"/>
      <c r="Y223" s="15"/>
      <c r="Z223" s="15"/>
      <c r="AA223" s="16"/>
      <c r="AB223" s="16"/>
    </row>
    <row r="224" spans="1:28" s="17" customFormat="1" ht="21">
      <c r="A224" s="18"/>
      <c r="B224" s="19"/>
      <c r="C224" s="20" t="s">
        <v>7</v>
      </c>
      <c r="D224" s="21"/>
      <c r="E224" s="141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141"/>
      <c r="Q224" s="142"/>
      <c r="R224" s="142"/>
      <c r="S224" s="142"/>
      <c r="T224" s="141"/>
      <c r="U224" s="143"/>
      <c r="V224" s="24"/>
      <c r="W224" s="144"/>
      <c r="X224" s="145"/>
      <c r="Y224" s="24"/>
      <c r="Z224" s="145"/>
      <c r="AA224" s="16"/>
      <c r="AB224" s="16"/>
    </row>
    <row r="225" spans="1:28" s="17" customFormat="1" ht="21">
      <c r="A225" s="146"/>
      <c r="B225" s="62"/>
      <c r="C225" s="23" t="s">
        <v>8</v>
      </c>
      <c r="D225" s="26" t="s">
        <v>9</v>
      </c>
      <c r="E225" s="26" t="s">
        <v>197</v>
      </c>
      <c r="F225" s="26" t="s">
        <v>10</v>
      </c>
      <c r="G225" s="26" t="s">
        <v>198</v>
      </c>
      <c r="H225" s="26" t="s">
        <v>199</v>
      </c>
      <c r="I225" s="26" t="s">
        <v>201</v>
      </c>
      <c r="J225" s="26" t="s">
        <v>12</v>
      </c>
      <c r="K225" s="26" t="s">
        <v>13</v>
      </c>
      <c r="L225" s="26" t="s">
        <v>14</v>
      </c>
      <c r="M225" s="26" t="s">
        <v>15</v>
      </c>
      <c r="N225" s="26" t="s">
        <v>202</v>
      </c>
      <c r="O225" s="26" t="s">
        <v>203</v>
      </c>
      <c r="P225" s="26" t="s">
        <v>21</v>
      </c>
      <c r="Q225" s="26" t="s">
        <v>20</v>
      </c>
      <c r="R225" s="26" t="s">
        <v>18</v>
      </c>
      <c r="S225" s="26" t="s">
        <v>204</v>
      </c>
      <c r="T225" s="26"/>
      <c r="U225" s="26"/>
      <c r="V225" s="147"/>
      <c r="W225" s="113"/>
      <c r="X225" s="113"/>
      <c r="Y225" s="113"/>
      <c r="Z225" s="113"/>
      <c r="AA225" s="113"/>
      <c r="AB225" s="113"/>
    </row>
    <row r="226" spans="1:28" s="17" customFormat="1">
      <c r="A226" s="65"/>
      <c r="B226" s="66"/>
      <c r="C226" s="65"/>
      <c r="D226" s="189"/>
      <c r="E226" s="189"/>
      <c r="F226" s="189"/>
      <c r="G226" s="189"/>
      <c r="H226" s="189"/>
      <c r="I226" s="189"/>
      <c r="J226" s="189"/>
      <c r="K226" s="189"/>
      <c r="L226" s="189"/>
      <c r="M226" s="189"/>
      <c r="N226" s="189"/>
      <c r="O226" s="148"/>
      <c r="P226" s="148"/>
      <c r="Q226" s="148"/>
      <c r="R226" s="148"/>
      <c r="S226" s="148"/>
      <c r="T226" s="71"/>
      <c r="U226" s="71"/>
      <c r="V226" s="71"/>
      <c r="W226" s="71"/>
      <c r="X226" s="71"/>
      <c r="Y226" s="71"/>
      <c r="Z226" s="71"/>
      <c r="AA226" s="71"/>
      <c r="AB226" s="71"/>
    </row>
    <row r="227" spans="1:28" s="17" customFormat="1" ht="15.75" thickBot="1">
      <c r="A227" s="72"/>
      <c r="B227" s="73"/>
      <c r="C227" s="72"/>
      <c r="D227" s="190"/>
      <c r="E227" s="190"/>
      <c r="F227" s="190"/>
      <c r="G227" s="190"/>
      <c r="H227" s="190"/>
      <c r="I227" s="190"/>
      <c r="J227" s="190"/>
      <c r="K227" s="190"/>
      <c r="L227" s="190"/>
      <c r="M227" s="190"/>
      <c r="N227" s="190"/>
      <c r="O227" s="152"/>
      <c r="P227" s="152"/>
      <c r="Q227" s="152"/>
      <c r="R227" s="152"/>
      <c r="S227" s="152"/>
      <c r="T227" s="78"/>
      <c r="U227" s="78"/>
      <c r="V227" s="78"/>
      <c r="W227" s="78"/>
      <c r="X227" s="78"/>
      <c r="Y227" s="78"/>
      <c r="Z227" s="78"/>
      <c r="AA227" s="78"/>
      <c r="AB227" s="78"/>
    </row>
    <row r="228" spans="1:28" s="17" customFormat="1">
      <c r="A228" s="65"/>
      <c r="B228" s="66"/>
      <c r="C228" s="65"/>
      <c r="D228" s="189"/>
      <c r="E228" s="189"/>
      <c r="F228" s="189"/>
      <c r="G228" s="189"/>
      <c r="H228" s="189"/>
      <c r="I228" s="189"/>
      <c r="J228" s="189"/>
      <c r="K228" s="189"/>
      <c r="L228" s="189"/>
      <c r="M228" s="189"/>
      <c r="N228" s="189"/>
      <c r="O228" s="148"/>
      <c r="P228" s="148"/>
      <c r="Q228" s="148"/>
      <c r="R228" s="148"/>
      <c r="S228" s="148"/>
      <c r="T228" s="71"/>
      <c r="U228" s="71"/>
      <c r="V228" s="71"/>
      <c r="W228" s="71"/>
      <c r="X228" s="71"/>
      <c r="Y228" s="71"/>
      <c r="Z228" s="71"/>
      <c r="AA228" s="71"/>
      <c r="AB228" s="71"/>
    </row>
    <row r="229" spans="1:28" s="17" customFormat="1" ht="15.75" thickBot="1">
      <c r="A229" s="72"/>
      <c r="B229" s="73"/>
      <c r="C229" s="72"/>
      <c r="D229" s="190"/>
      <c r="E229" s="190"/>
      <c r="F229" s="190"/>
      <c r="G229" s="190"/>
      <c r="H229" s="190"/>
      <c r="I229" s="190"/>
      <c r="J229" s="190"/>
      <c r="K229" s="190"/>
      <c r="L229" s="190"/>
      <c r="M229" s="190"/>
      <c r="N229" s="190"/>
      <c r="O229" s="152"/>
      <c r="P229" s="152"/>
      <c r="Q229" s="152"/>
      <c r="R229" s="152"/>
      <c r="S229" s="152"/>
      <c r="T229" s="78"/>
      <c r="U229" s="78"/>
      <c r="V229" s="78"/>
      <c r="W229" s="78"/>
      <c r="X229" s="78"/>
      <c r="Y229" s="78"/>
      <c r="Z229" s="78"/>
      <c r="AA229" s="78"/>
      <c r="AB229" s="78"/>
    </row>
    <row r="230" spans="1:28" s="17" customFormat="1">
      <c r="A230" s="155"/>
      <c r="B230" s="156"/>
      <c r="C230" s="157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57"/>
      <c r="O230" s="16"/>
      <c r="P230" s="16"/>
      <c r="Q230" s="16"/>
      <c r="R230" s="16"/>
      <c r="S230" s="157"/>
      <c r="T230" s="157"/>
      <c r="U230" s="158"/>
      <c r="V230" s="158"/>
      <c r="W230" s="158"/>
      <c r="X230" s="158"/>
      <c r="Y230" s="158"/>
      <c r="Z230" s="158"/>
      <c r="AA230" s="16"/>
      <c r="AB230" s="16"/>
    </row>
    <row r="231" spans="1:28" s="17" customFormat="1" ht="23.25">
      <c r="A231" s="13" t="s">
        <v>297</v>
      </c>
      <c r="B231" s="13"/>
      <c r="C231" s="13"/>
      <c r="D231" s="13" t="s">
        <v>295</v>
      </c>
      <c r="E231" s="13" t="s">
        <v>296</v>
      </c>
      <c r="F231" s="13"/>
      <c r="G231" s="13"/>
      <c r="H231" s="13"/>
      <c r="I231" s="111"/>
      <c r="J231" s="111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5"/>
      <c r="V231" s="15"/>
      <c r="W231" s="15"/>
      <c r="X231" s="15"/>
      <c r="Y231" s="15"/>
      <c r="Z231" s="15"/>
      <c r="AA231" s="16"/>
      <c r="AB231" s="16"/>
    </row>
    <row r="232" spans="1:28" s="17" customFormat="1" ht="21">
      <c r="A232" s="18"/>
      <c r="B232" s="19"/>
      <c r="C232" s="20" t="s">
        <v>7</v>
      </c>
      <c r="D232" s="21"/>
      <c r="E232" s="141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141"/>
      <c r="Q232" s="142"/>
      <c r="R232" s="142"/>
      <c r="S232" s="142"/>
      <c r="T232" s="141"/>
      <c r="U232" s="143"/>
      <c r="V232" s="24"/>
      <c r="W232" s="144"/>
      <c r="X232" s="145"/>
      <c r="Y232" s="24"/>
      <c r="Z232" s="145"/>
      <c r="AA232" s="16"/>
      <c r="AB232" s="16"/>
    </row>
    <row r="233" spans="1:28" s="17" customFormat="1" ht="21">
      <c r="A233" s="146"/>
      <c r="B233" s="62" t="s">
        <v>138</v>
      </c>
      <c r="C233" s="23" t="s">
        <v>8</v>
      </c>
      <c r="D233" s="26" t="s">
        <v>9</v>
      </c>
      <c r="E233" s="26" t="s">
        <v>197</v>
      </c>
      <c r="F233" s="26" t="s">
        <v>10</v>
      </c>
      <c r="G233" s="26" t="s">
        <v>198</v>
      </c>
      <c r="H233" s="26" t="s">
        <v>199</v>
      </c>
      <c r="I233" s="26" t="s">
        <v>201</v>
      </c>
      <c r="J233" s="26" t="s">
        <v>12</v>
      </c>
      <c r="K233" s="26" t="s">
        <v>13</v>
      </c>
      <c r="L233" s="26" t="s">
        <v>14</v>
      </c>
      <c r="M233" s="26" t="s">
        <v>15</v>
      </c>
      <c r="N233" s="26" t="s">
        <v>202</v>
      </c>
      <c r="O233" s="26" t="s">
        <v>203</v>
      </c>
      <c r="P233" s="26" t="s">
        <v>21</v>
      </c>
      <c r="Q233" s="26" t="s">
        <v>20</v>
      </c>
      <c r="R233" s="26" t="s">
        <v>18</v>
      </c>
      <c r="S233" s="26" t="s">
        <v>204</v>
      </c>
      <c r="T233" s="26"/>
      <c r="U233" s="26"/>
      <c r="V233" s="147"/>
      <c r="W233" s="113"/>
      <c r="X233" s="113"/>
      <c r="Y233" s="113"/>
      <c r="Z233" s="113"/>
      <c r="AA233" s="113"/>
      <c r="AB233" s="113"/>
    </row>
    <row r="234" spans="1:28" s="17" customFormat="1">
      <c r="A234" s="65" t="s">
        <v>298</v>
      </c>
      <c r="B234" s="66"/>
      <c r="C234" s="65"/>
      <c r="D234" s="107">
        <v>45867</v>
      </c>
      <c r="E234" s="107">
        <v>45867</v>
      </c>
      <c r="F234" s="107">
        <v>45867</v>
      </c>
      <c r="G234" s="148"/>
      <c r="H234" s="148"/>
      <c r="I234" s="148"/>
      <c r="J234" s="149"/>
      <c r="K234" s="149"/>
      <c r="L234" s="150">
        <v>45867</v>
      </c>
      <c r="M234" s="150">
        <v>45867</v>
      </c>
      <c r="N234" s="150">
        <v>45870</v>
      </c>
      <c r="O234" s="148"/>
      <c r="P234" s="148"/>
      <c r="Q234" s="148"/>
      <c r="R234" s="148"/>
      <c r="S234" s="148"/>
      <c r="T234" s="71"/>
      <c r="U234" s="71"/>
      <c r="V234" s="71"/>
      <c r="W234" s="71"/>
      <c r="X234" s="71"/>
      <c r="Y234" s="71"/>
      <c r="Z234" s="71"/>
      <c r="AA234" s="71"/>
      <c r="AB234" s="71"/>
    </row>
    <row r="235" spans="1:28" s="17" customFormat="1" ht="15.75" thickBot="1">
      <c r="A235" s="72"/>
      <c r="B235" s="73"/>
      <c r="C235" s="72"/>
      <c r="D235" s="151"/>
      <c r="E235" s="151"/>
      <c r="F235" s="151"/>
      <c r="G235" s="152"/>
      <c r="H235" s="152"/>
      <c r="I235" s="152"/>
      <c r="J235" s="153"/>
      <c r="K235" s="153"/>
      <c r="L235" s="154" t="s">
        <v>299</v>
      </c>
      <c r="M235" s="154" t="s">
        <v>299</v>
      </c>
      <c r="N235" s="154" t="s">
        <v>300</v>
      </c>
      <c r="O235" s="152"/>
      <c r="P235" s="152"/>
      <c r="Q235" s="152"/>
      <c r="R235" s="152"/>
      <c r="S235" s="152"/>
      <c r="T235" s="78"/>
      <c r="U235" s="78"/>
      <c r="V235" s="78"/>
      <c r="W235" s="78"/>
      <c r="X235" s="78"/>
      <c r="Y235" s="78"/>
      <c r="Z235" s="78"/>
      <c r="AA235" s="78"/>
      <c r="AB235" s="78"/>
    </row>
    <row r="236" spans="1:28" s="17" customFormat="1">
      <c r="A236" s="65" t="s">
        <v>301</v>
      </c>
      <c r="B236" s="66"/>
      <c r="C236" s="65"/>
      <c r="D236" s="107">
        <v>45867</v>
      </c>
      <c r="E236" s="107">
        <v>45867</v>
      </c>
      <c r="F236" s="107">
        <v>45867</v>
      </c>
      <c r="G236" s="148"/>
      <c r="H236" s="148"/>
      <c r="I236" s="148"/>
      <c r="J236" s="149"/>
      <c r="K236" s="149"/>
      <c r="L236" s="150">
        <v>45867</v>
      </c>
      <c r="M236" s="150">
        <v>45867</v>
      </c>
      <c r="N236" s="150">
        <v>45870</v>
      </c>
      <c r="O236" s="148"/>
      <c r="P236" s="148"/>
      <c r="Q236" s="148"/>
      <c r="R236" s="148"/>
      <c r="S236" s="148"/>
      <c r="T236" s="71"/>
      <c r="U236" s="71"/>
      <c r="V236" s="71"/>
      <c r="W236" s="71"/>
      <c r="X236" s="71"/>
      <c r="Y236" s="71"/>
      <c r="Z236" s="71"/>
      <c r="AA236" s="71"/>
      <c r="AB236" s="71"/>
    </row>
    <row r="237" spans="1:28" s="17" customFormat="1" ht="15.75" thickBot="1">
      <c r="A237" s="72"/>
      <c r="B237" s="73"/>
      <c r="C237" s="72"/>
      <c r="D237" s="151"/>
      <c r="E237" s="151"/>
      <c r="F237" s="151"/>
      <c r="G237" s="152"/>
      <c r="H237" s="152"/>
      <c r="I237" s="152"/>
      <c r="J237" s="153"/>
      <c r="K237" s="153"/>
      <c r="L237" s="154" t="s">
        <v>299</v>
      </c>
      <c r="M237" s="154" t="s">
        <v>299</v>
      </c>
      <c r="N237" s="154" t="s">
        <v>300</v>
      </c>
      <c r="O237" s="152"/>
      <c r="P237" s="152"/>
      <c r="Q237" s="152"/>
      <c r="R237" s="152"/>
      <c r="S237" s="152"/>
      <c r="T237" s="78"/>
      <c r="U237" s="78"/>
      <c r="V237" s="78"/>
      <c r="W237" s="78"/>
      <c r="X237" s="78"/>
      <c r="Y237" s="78"/>
      <c r="Z237" s="78"/>
      <c r="AA237" s="78"/>
      <c r="AB237" s="78"/>
    </row>
    <row r="238" spans="1:28" s="17" customFormat="1">
      <c r="A238" s="155"/>
      <c r="B238" s="156"/>
      <c r="C238" s="157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57"/>
      <c r="O238" s="16"/>
      <c r="P238" s="16"/>
      <c r="Q238" s="16"/>
      <c r="R238" s="16"/>
      <c r="S238" s="157"/>
      <c r="T238" s="157"/>
      <c r="U238" s="158"/>
      <c r="V238" s="158"/>
      <c r="W238" s="158"/>
      <c r="X238" s="158"/>
      <c r="Y238" s="158"/>
      <c r="Z238" s="158"/>
      <c r="AA238" s="16"/>
      <c r="AB238" s="16"/>
    </row>
    <row r="239" spans="1:28" s="17" customFormat="1" ht="23.25">
      <c r="A239" s="13" t="s">
        <v>302</v>
      </c>
      <c r="B239" s="13"/>
      <c r="C239" s="13"/>
      <c r="D239" s="13" t="s">
        <v>303</v>
      </c>
      <c r="E239" s="13" t="s">
        <v>304</v>
      </c>
      <c r="F239" s="13"/>
      <c r="G239" s="13"/>
      <c r="H239" s="13"/>
      <c r="I239" s="111"/>
      <c r="J239" s="111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5"/>
      <c r="V239" s="15"/>
      <c r="W239" s="15"/>
      <c r="X239" s="15"/>
      <c r="Y239" s="15"/>
      <c r="Z239" s="15"/>
      <c r="AA239" s="16"/>
      <c r="AB239" s="16"/>
    </row>
    <row r="240" spans="1:28" s="17" customFormat="1" ht="21">
      <c r="A240" s="18"/>
      <c r="B240" s="19"/>
      <c r="C240" s="20" t="s">
        <v>7</v>
      </c>
      <c r="D240" s="21"/>
      <c r="E240" s="141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141"/>
      <c r="Q240" s="142"/>
      <c r="R240" s="142"/>
      <c r="S240" s="142"/>
      <c r="T240" s="141"/>
      <c r="U240" s="143"/>
      <c r="V240" s="24"/>
      <c r="W240" s="144"/>
      <c r="X240" s="145"/>
      <c r="Y240" s="24"/>
      <c r="Z240" s="145"/>
      <c r="AA240" s="16"/>
      <c r="AB240" s="16"/>
    </row>
    <row r="241" spans="1:127" s="17" customFormat="1" ht="21">
      <c r="A241" s="146" t="s">
        <v>305</v>
      </c>
      <c r="B241" s="62" t="s">
        <v>69</v>
      </c>
      <c r="C241" s="23" t="s">
        <v>8</v>
      </c>
      <c r="D241" s="26" t="s">
        <v>9</v>
      </c>
      <c r="E241" s="26" t="s">
        <v>197</v>
      </c>
      <c r="F241" s="26" t="s">
        <v>10</v>
      </c>
      <c r="G241" s="26" t="s">
        <v>198</v>
      </c>
      <c r="H241" s="26" t="s">
        <v>199</v>
      </c>
      <c r="I241" s="26" t="s">
        <v>201</v>
      </c>
      <c r="J241" s="26" t="s">
        <v>12</v>
      </c>
      <c r="K241" s="26" t="s">
        <v>13</v>
      </c>
      <c r="L241" s="26" t="s">
        <v>14</v>
      </c>
      <c r="M241" s="26" t="s">
        <v>15</v>
      </c>
      <c r="N241" s="26" t="s">
        <v>202</v>
      </c>
      <c r="O241" s="26" t="s">
        <v>203</v>
      </c>
      <c r="P241" s="26" t="s">
        <v>21</v>
      </c>
      <c r="Q241" s="26" t="s">
        <v>20</v>
      </c>
      <c r="R241" s="26" t="s">
        <v>18</v>
      </c>
      <c r="S241" s="26" t="s">
        <v>204</v>
      </c>
      <c r="T241" s="26"/>
      <c r="U241" s="26"/>
      <c r="V241" s="147"/>
      <c r="W241" s="113"/>
      <c r="X241" s="113"/>
      <c r="Y241" s="113"/>
      <c r="Z241" s="113"/>
      <c r="AA241" s="113"/>
      <c r="AB241" s="113"/>
    </row>
    <row r="242" spans="1:127" s="17" customFormat="1">
      <c r="A242" s="65" t="s">
        <v>306</v>
      </c>
      <c r="B242" s="66" t="s">
        <v>307</v>
      </c>
      <c r="C242" s="65">
        <v>8</v>
      </c>
      <c r="D242" s="107">
        <v>45916</v>
      </c>
      <c r="E242" s="203">
        <v>45917</v>
      </c>
      <c r="F242" s="189"/>
      <c r="G242" s="189"/>
      <c r="H242" s="189"/>
      <c r="I242" s="189"/>
      <c r="J242" s="150">
        <v>45917</v>
      </c>
      <c r="K242" s="150">
        <v>45917</v>
      </c>
      <c r="L242" s="150">
        <v>45917</v>
      </c>
      <c r="M242" s="150">
        <v>45917</v>
      </c>
      <c r="N242" s="107">
        <v>45918</v>
      </c>
      <c r="O242" s="148"/>
      <c r="P242" s="148"/>
      <c r="Q242" s="148"/>
      <c r="R242" s="148"/>
      <c r="S242" s="148"/>
      <c r="T242" s="71"/>
      <c r="U242" s="71"/>
      <c r="V242" s="71"/>
      <c r="W242" s="71"/>
      <c r="X242" s="71"/>
      <c r="Y242" s="71"/>
      <c r="Z242" s="71"/>
      <c r="AA242" s="71"/>
      <c r="AB242" s="71"/>
    </row>
    <row r="243" spans="1:127" s="17" customFormat="1" ht="15.75" thickBot="1">
      <c r="A243" s="72"/>
      <c r="B243" s="73"/>
      <c r="C243" s="72"/>
      <c r="D243" s="151" t="s">
        <v>308</v>
      </c>
      <c r="E243" s="204" t="s">
        <v>309</v>
      </c>
      <c r="F243" s="190"/>
      <c r="G243" s="190"/>
      <c r="H243" s="190"/>
      <c r="I243" s="190"/>
      <c r="J243" s="154" t="s">
        <v>310</v>
      </c>
      <c r="K243" s="154" t="s">
        <v>310</v>
      </c>
      <c r="L243" s="154" t="s">
        <v>310</v>
      </c>
      <c r="M243" s="154" t="s">
        <v>310</v>
      </c>
      <c r="N243" s="151" t="s">
        <v>311</v>
      </c>
      <c r="O243" s="152"/>
      <c r="P243" s="152"/>
      <c r="Q243" s="152"/>
      <c r="R243" s="152"/>
      <c r="S243" s="152"/>
      <c r="T243" s="78"/>
      <c r="U243" s="78"/>
      <c r="V243" s="78"/>
      <c r="W243" s="78"/>
      <c r="X243" s="78"/>
      <c r="Y243" s="78"/>
      <c r="Z243" s="78"/>
      <c r="AA243" s="78"/>
      <c r="AB243" s="78"/>
    </row>
    <row r="244" spans="1:127" s="17" customFormat="1">
      <c r="A244" s="65" t="s">
        <v>312</v>
      </c>
      <c r="B244" s="66" t="s">
        <v>313</v>
      </c>
      <c r="C244" s="65">
        <v>9</v>
      </c>
      <c r="D244" s="107">
        <v>45916</v>
      </c>
      <c r="E244" s="203">
        <v>45917</v>
      </c>
      <c r="F244" s="189"/>
      <c r="G244" s="189"/>
      <c r="H244" s="189"/>
      <c r="I244" s="189"/>
      <c r="J244" s="150">
        <v>45917</v>
      </c>
      <c r="K244" s="150">
        <v>45917</v>
      </c>
      <c r="L244" s="150">
        <v>45917</v>
      </c>
      <c r="M244" s="150">
        <v>45917</v>
      </c>
      <c r="N244" s="107">
        <v>45918</v>
      </c>
      <c r="O244" s="148"/>
      <c r="P244" s="148"/>
      <c r="Q244" s="148"/>
      <c r="R244" s="148"/>
      <c r="S244" s="148"/>
      <c r="T244" s="71"/>
      <c r="U244" s="71"/>
      <c r="V244" s="71"/>
      <c r="W244" s="71"/>
      <c r="X244" s="71"/>
      <c r="Y244" s="71"/>
      <c r="Z244" s="71"/>
      <c r="AA244" s="71"/>
      <c r="AB244" s="71"/>
    </row>
    <row r="245" spans="1:127" s="17" customFormat="1" ht="15.75" thickBot="1">
      <c r="A245" s="72"/>
      <c r="B245" s="73"/>
      <c r="C245" s="72"/>
      <c r="D245" s="151" t="s">
        <v>308</v>
      </c>
      <c r="E245" s="204" t="s">
        <v>309</v>
      </c>
      <c r="F245" s="190"/>
      <c r="G245" s="190"/>
      <c r="H245" s="190"/>
      <c r="I245" s="190"/>
      <c r="J245" s="154" t="s">
        <v>310</v>
      </c>
      <c r="K245" s="154" t="s">
        <v>310</v>
      </c>
      <c r="L245" s="154" t="s">
        <v>310</v>
      </c>
      <c r="M245" s="154" t="s">
        <v>310</v>
      </c>
      <c r="N245" s="151" t="s">
        <v>311</v>
      </c>
      <c r="O245" s="152"/>
      <c r="P245" s="152"/>
      <c r="Q245" s="152"/>
      <c r="R245" s="152"/>
      <c r="S245" s="152"/>
      <c r="T245" s="78"/>
      <c r="U245" s="78"/>
      <c r="V245" s="78"/>
      <c r="W245" s="78"/>
      <c r="X245" s="78"/>
      <c r="Y245" s="78"/>
      <c r="Z245" s="78"/>
      <c r="AA245" s="78"/>
      <c r="AB245" s="78"/>
    </row>
    <row r="246" spans="1:127" ht="15" customHeight="1">
      <c r="A246" s="159"/>
      <c r="B246" s="160"/>
      <c r="C246" s="161"/>
      <c r="D246" s="162"/>
      <c r="E246" s="162"/>
      <c r="F246" s="162"/>
      <c r="G246" s="162"/>
      <c r="H246" s="162"/>
      <c r="I246" s="162"/>
      <c r="J246" s="162"/>
      <c r="K246" s="162"/>
      <c r="L246" s="162"/>
      <c r="M246" s="162"/>
      <c r="N246" s="161"/>
      <c r="O246" s="162"/>
      <c r="P246" s="162"/>
      <c r="Q246" s="162"/>
      <c r="R246" s="162"/>
      <c r="S246" s="161"/>
      <c r="T246" s="161"/>
      <c r="U246" s="163"/>
      <c r="V246" s="163"/>
      <c r="W246" s="163"/>
      <c r="X246" s="163"/>
      <c r="Y246" s="163"/>
      <c r="Z246" s="163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2"/>
      <c r="DC246" s="162"/>
      <c r="DD246" s="162"/>
      <c r="DE246" s="162"/>
      <c r="DF246" s="162"/>
      <c r="DG246" s="162"/>
      <c r="DH246" s="162"/>
      <c r="DI246" s="162"/>
      <c r="DJ246" s="162"/>
      <c r="DK246" s="162"/>
      <c r="DL246" s="162"/>
      <c r="DM246" s="162"/>
      <c r="DN246" s="162"/>
      <c r="DO246" s="162"/>
      <c r="DP246" s="162"/>
      <c r="DQ246" s="162"/>
      <c r="DR246" s="162"/>
      <c r="DS246" s="162"/>
      <c r="DT246" s="162"/>
      <c r="DU246" s="162"/>
      <c r="DV246" s="162"/>
      <c r="DW246" s="162"/>
    </row>
    <row r="247" spans="1:127" ht="15" customHeight="1">
      <c r="A247" s="159"/>
      <c r="B247" s="160"/>
      <c r="C247" s="161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1"/>
      <c r="O247" s="162"/>
      <c r="P247" s="162"/>
      <c r="Q247" s="162"/>
      <c r="R247" s="162"/>
      <c r="S247" s="161"/>
      <c r="T247" s="161"/>
      <c r="U247" s="163"/>
      <c r="V247" s="163"/>
      <c r="W247" s="163"/>
      <c r="X247" s="163"/>
      <c r="Y247" s="163"/>
      <c r="Z247" s="163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2"/>
      <c r="DC247" s="162"/>
      <c r="DD247" s="162"/>
      <c r="DE247" s="162"/>
      <c r="DF247" s="162"/>
      <c r="DG247" s="162"/>
      <c r="DH247" s="162"/>
      <c r="DI247" s="162"/>
      <c r="DJ247" s="162"/>
      <c r="DK247" s="162"/>
      <c r="DL247" s="162"/>
      <c r="DM247" s="162"/>
      <c r="DN247" s="162"/>
      <c r="DO247" s="162"/>
      <c r="DP247" s="162"/>
      <c r="DQ247" s="162"/>
      <c r="DR247" s="162"/>
      <c r="DS247" s="162"/>
      <c r="DT247" s="162"/>
      <c r="DU247" s="162"/>
      <c r="DV247" s="162"/>
      <c r="DW247" s="162"/>
    </row>
    <row r="248" spans="1:127" ht="15" customHeight="1">
      <c r="A248" s="159"/>
      <c r="B248" s="160"/>
      <c r="C248" s="161"/>
      <c r="D248" s="162"/>
      <c r="E248" s="162"/>
      <c r="F248" s="162"/>
      <c r="G248" s="162"/>
      <c r="H248" s="162"/>
      <c r="I248" s="162"/>
      <c r="J248" s="162"/>
      <c r="K248" s="162"/>
      <c r="L248" s="162"/>
      <c r="M248" s="162"/>
      <c r="N248" s="161"/>
      <c r="O248" s="162"/>
      <c r="P248" s="162"/>
      <c r="Q248" s="162"/>
      <c r="R248" s="162"/>
      <c r="S248" s="161"/>
      <c r="T248" s="161"/>
      <c r="U248" s="163"/>
      <c r="V248" s="163"/>
      <c r="W248" s="163"/>
      <c r="X248" s="163"/>
      <c r="Y248" s="163"/>
      <c r="Z248" s="163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2"/>
      <c r="DC248" s="162"/>
      <c r="DD248" s="162"/>
      <c r="DE248" s="162"/>
      <c r="DF248" s="162"/>
      <c r="DG248" s="162"/>
      <c r="DH248" s="162"/>
      <c r="DI248" s="162"/>
      <c r="DJ248" s="162"/>
      <c r="DK248" s="162"/>
      <c r="DL248" s="162"/>
      <c r="DM248" s="162"/>
      <c r="DN248" s="162"/>
      <c r="DO248" s="162"/>
      <c r="DP248" s="162"/>
      <c r="DQ248" s="162"/>
      <c r="DR248" s="162"/>
      <c r="DS248" s="162"/>
      <c r="DT248" s="162"/>
      <c r="DU248" s="162"/>
      <c r="DV248" s="162"/>
      <c r="DW248" s="162"/>
    </row>
    <row r="249" spans="1:127" ht="15" customHeight="1">
      <c r="A249" s="159"/>
      <c r="B249" s="160"/>
      <c r="C249" s="161"/>
      <c r="D249" s="162"/>
      <c r="E249" s="162"/>
      <c r="F249" s="162"/>
      <c r="G249" s="162"/>
      <c r="H249" s="162"/>
      <c r="I249" s="162"/>
      <c r="J249" s="162"/>
      <c r="K249" s="162"/>
      <c r="L249" s="162"/>
      <c r="M249" s="162"/>
      <c r="N249" s="161"/>
      <c r="O249" s="162"/>
      <c r="P249" s="162"/>
      <c r="Q249" s="162"/>
      <c r="R249" s="162"/>
      <c r="S249" s="161"/>
      <c r="T249" s="161"/>
      <c r="U249" s="163"/>
      <c r="V249" s="163"/>
      <c r="W249" s="163"/>
      <c r="X249" s="163"/>
      <c r="Y249" s="163"/>
      <c r="Z249" s="163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2"/>
      <c r="DC249" s="162"/>
      <c r="DD249" s="162"/>
      <c r="DE249" s="162"/>
      <c r="DF249" s="162"/>
      <c r="DG249" s="162"/>
      <c r="DH249" s="162"/>
      <c r="DI249" s="162"/>
      <c r="DJ249" s="162"/>
      <c r="DK249" s="162"/>
      <c r="DL249" s="162"/>
      <c r="DM249" s="162"/>
      <c r="DN249" s="162"/>
      <c r="DO249" s="162"/>
      <c r="DP249" s="162"/>
      <c r="DQ249" s="162"/>
      <c r="DR249" s="162"/>
      <c r="DS249" s="162"/>
      <c r="DT249" s="162"/>
      <c r="DU249" s="162"/>
      <c r="DV249" s="162"/>
      <c r="DW249" s="162"/>
    </row>
    <row r="250" spans="1:127" ht="15" customHeight="1">
      <c r="A250" s="159"/>
      <c r="B250" s="160"/>
      <c r="C250" s="161"/>
      <c r="D250" s="162"/>
      <c r="E250" s="162"/>
      <c r="F250" s="162"/>
      <c r="G250" s="162"/>
      <c r="H250" s="162"/>
      <c r="I250" s="162"/>
      <c r="J250" s="162"/>
      <c r="K250" s="162"/>
      <c r="L250" s="162"/>
      <c r="M250" s="162"/>
      <c r="N250" s="161"/>
      <c r="O250" s="162"/>
      <c r="P250" s="162"/>
      <c r="Q250" s="162"/>
      <c r="R250" s="162"/>
      <c r="S250" s="161"/>
      <c r="T250" s="161"/>
      <c r="U250" s="163"/>
      <c r="V250" s="163"/>
      <c r="W250" s="163"/>
      <c r="X250" s="163"/>
      <c r="Y250" s="163"/>
      <c r="Z250" s="163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2"/>
      <c r="DC250" s="162"/>
      <c r="DD250" s="162"/>
      <c r="DE250" s="162"/>
      <c r="DF250" s="162"/>
      <c r="DG250" s="162"/>
      <c r="DH250" s="162"/>
      <c r="DI250" s="162"/>
      <c r="DJ250" s="162"/>
      <c r="DK250" s="162"/>
      <c r="DL250" s="162"/>
      <c r="DM250" s="162"/>
      <c r="DN250" s="162"/>
      <c r="DO250" s="162"/>
      <c r="DP250" s="162"/>
      <c r="DQ250" s="162"/>
      <c r="DR250" s="162"/>
      <c r="DS250" s="162"/>
      <c r="DT250" s="162"/>
      <c r="DU250" s="162"/>
      <c r="DV250" s="162"/>
      <c r="DW250" s="162"/>
    </row>
    <row r="251" spans="1:127" ht="15" customHeight="1">
      <c r="A251" s="159"/>
      <c r="B251" s="160"/>
      <c r="C251" s="161"/>
      <c r="D251" s="162"/>
      <c r="E251" s="162"/>
      <c r="F251" s="162"/>
      <c r="G251" s="162"/>
      <c r="H251" s="162"/>
      <c r="I251" s="162"/>
      <c r="J251" s="162"/>
      <c r="K251" s="162"/>
      <c r="L251" s="162"/>
      <c r="M251" s="162"/>
      <c r="N251" s="161"/>
      <c r="O251" s="162"/>
      <c r="P251" s="162"/>
      <c r="Q251" s="162"/>
      <c r="R251" s="162"/>
      <c r="S251" s="161"/>
      <c r="T251" s="161"/>
      <c r="U251" s="163"/>
      <c r="V251" s="163"/>
      <c r="W251" s="163"/>
      <c r="X251" s="163"/>
      <c r="Y251" s="163"/>
      <c r="Z251" s="163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2"/>
      <c r="DC251" s="162"/>
      <c r="DD251" s="162"/>
      <c r="DE251" s="162"/>
      <c r="DF251" s="162"/>
      <c r="DG251" s="162"/>
      <c r="DH251" s="162"/>
      <c r="DI251" s="162"/>
      <c r="DJ251" s="162"/>
      <c r="DK251" s="162"/>
      <c r="DL251" s="162"/>
      <c r="DM251" s="162"/>
      <c r="DN251" s="162"/>
      <c r="DO251" s="162"/>
      <c r="DP251" s="162"/>
      <c r="DQ251" s="162"/>
      <c r="DR251" s="162"/>
      <c r="DS251" s="162"/>
      <c r="DT251" s="162"/>
      <c r="DU251" s="162"/>
      <c r="DV251" s="162"/>
      <c r="DW251" s="162"/>
    </row>
    <row r="252" spans="1:127" ht="15" customHeight="1">
      <c r="A252" s="159"/>
      <c r="B252" s="160"/>
      <c r="C252" s="161"/>
      <c r="D252" s="162"/>
      <c r="E252" s="162"/>
      <c r="F252" s="162"/>
      <c r="G252" s="162"/>
      <c r="H252" s="162"/>
      <c r="I252" s="162"/>
      <c r="J252" s="162"/>
      <c r="K252" s="162"/>
      <c r="L252" s="162"/>
      <c r="M252" s="162"/>
      <c r="N252" s="161"/>
      <c r="O252" s="162"/>
      <c r="P252" s="162"/>
      <c r="Q252" s="162"/>
      <c r="R252" s="162"/>
      <c r="S252" s="161"/>
      <c r="T252" s="161"/>
      <c r="U252" s="163"/>
      <c r="V252" s="163"/>
      <c r="W252" s="163"/>
      <c r="X252" s="163"/>
      <c r="Y252" s="163"/>
      <c r="Z252" s="163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2"/>
      <c r="DC252" s="162"/>
      <c r="DD252" s="162"/>
      <c r="DE252" s="162"/>
      <c r="DF252" s="162"/>
      <c r="DG252" s="162"/>
      <c r="DH252" s="162"/>
      <c r="DI252" s="162"/>
      <c r="DJ252" s="162"/>
      <c r="DK252" s="162"/>
      <c r="DL252" s="162"/>
      <c r="DM252" s="162"/>
      <c r="DN252" s="162"/>
      <c r="DO252" s="162"/>
      <c r="DP252" s="162"/>
      <c r="DQ252" s="162"/>
      <c r="DR252" s="162"/>
      <c r="DS252" s="162"/>
      <c r="DT252" s="162"/>
      <c r="DU252" s="162"/>
      <c r="DV252" s="162"/>
      <c r="DW252" s="162"/>
    </row>
    <row r="253" spans="1:127" ht="15" customHeight="1">
      <c r="A253" s="159"/>
      <c r="B253" s="160"/>
      <c r="C253" s="161"/>
      <c r="D253" s="162"/>
      <c r="E253" s="162"/>
      <c r="F253" s="162"/>
      <c r="G253" s="162"/>
      <c r="H253" s="162"/>
      <c r="I253" s="162"/>
      <c r="J253" s="162"/>
      <c r="K253" s="162"/>
      <c r="L253" s="162"/>
      <c r="M253" s="162"/>
      <c r="N253" s="161"/>
      <c r="O253" s="162"/>
      <c r="P253" s="162"/>
      <c r="Q253" s="162"/>
      <c r="R253" s="162"/>
      <c r="S253" s="161"/>
      <c r="T253" s="161"/>
      <c r="U253" s="163"/>
      <c r="V253" s="163"/>
      <c r="W253" s="163"/>
      <c r="X253" s="163"/>
      <c r="Y253" s="163"/>
      <c r="Z253" s="163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2"/>
      <c r="DC253" s="162"/>
      <c r="DD253" s="162"/>
      <c r="DE253" s="162"/>
      <c r="DF253" s="162"/>
      <c r="DG253" s="162"/>
      <c r="DH253" s="162"/>
      <c r="DI253" s="162"/>
      <c r="DJ253" s="162"/>
      <c r="DK253" s="162"/>
      <c r="DL253" s="162"/>
      <c r="DM253" s="162"/>
      <c r="DN253" s="162"/>
      <c r="DO253" s="162"/>
      <c r="DP253" s="162"/>
      <c r="DQ253" s="162"/>
      <c r="DR253" s="162"/>
      <c r="DS253" s="162"/>
      <c r="DT253" s="162"/>
      <c r="DU253" s="162"/>
      <c r="DV253" s="162"/>
      <c r="DW253" s="162"/>
    </row>
    <row r="254" spans="1:127" ht="15" customHeight="1">
      <c r="A254" s="159"/>
      <c r="B254" s="160"/>
      <c r="C254" s="161"/>
      <c r="D254" s="162"/>
      <c r="E254" s="162"/>
      <c r="F254" s="162"/>
      <c r="G254" s="162"/>
      <c r="H254" s="162"/>
      <c r="I254" s="162"/>
      <c r="J254" s="162"/>
      <c r="K254" s="162"/>
      <c r="L254" s="162"/>
      <c r="M254" s="162"/>
      <c r="N254" s="161"/>
      <c r="O254" s="162"/>
      <c r="P254" s="162"/>
      <c r="Q254" s="162"/>
      <c r="R254" s="162"/>
      <c r="S254" s="161"/>
      <c r="T254" s="161"/>
      <c r="U254" s="163"/>
      <c r="V254" s="163"/>
      <c r="W254" s="163"/>
      <c r="X254" s="163"/>
      <c r="Y254" s="163"/>
      <c r="Z254" s="163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2"/>
      <c r="DC254" s="162"/>
      <c r="DD254" s="162"/>
      <c r="DE254" s="162"/>
      <c r="DF254" s="162"/>
      <c r="DG254" s="162"/>
      <c r="DH254" s="162"/>
      <c r="DI254" s="162"/>
      <c r="DJ254" s="162"/>
      <c r="DK254" s="162"/>
      <c r="DL254" s="162"/>
      <c r="DM254" s="162"/>
      <c r="DN254" s="162"/>
      <c r="DO254" s="162"/>
      <c r="DP254" s="162"/>
      <c r="DQ254" s="162"/>
      <c r="DR254" s="162"/>
      <c r="DS254" s="162"/>
      <c r="DT254" s="162"/>
      <c r="DU254" s="162"/>
      <c r="DV254" s="162"/>
      <c r="DW254" s="162"/>
    </row>
    <row r="255" spans="1:127" ht="15" customHeight="1">
      <c r="A255" s="159"/>
      <c r="B255" s="160"/>
      <c r="C255" s="161"/>
      <c r="D255" s="162"/>
      <c r="E255" s="162"/>
      <c r="F255" s="162"/>
      <c r="G255" s="162"/>
      <c r="H255" s="162"/>
      <c r="I255" s="162"/>
      <c r="J255" s="162"/>
      <c r="K255" s="162"/>
      <c r="L255" s="162"/>
      <c r="M255" s="162"/>
      <c r="N255" s="161"/>
      <c r="O255" s="162"/>
      <c r="P255" s="162"/>
      <c r="Q255" s="162"/>
      <c r="R255" s="162"/>
      <c r="S255" s="161"/>
      <c r="T255" s="161"/>
      <c r="U255" s="163"/>
      <c r="V255" s="163"/>
      <c r="W255" s="163"/>
      <c r="X255" s="163"/>
      <c r="Y255" s="163"/>
      <c r="Z255" s="163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2"/>
      <c r="DC255" s="162"/>
      <c r="DD255" s="162"/>
      <c r="DE255" s="162"/>
      <c r="DF255" s="162"/>
      <c r="DG255" s="162"/>
      <c r="DH255" s="162"/>
      <c r="DI255" s="162"/>
      <c r="DJ255" s="162"/>
      <c r="DK255" s="162"/>
      <c r="DL255" s="162"/>
      <c r="DM255" s="162"/>
      <c r="DN255" s="162"/>
      <c r="DO255" s="162"/>
      <c r="DP255" s="162"/>
      <c r="DQ255" s="162"/>
      <c r="DR255" s="162"/>
      <c r="DS255" s="162"/>
      <c r="DT255" s="162"/>
      <c r="DU255" s="162"/>
      <c r="DV255" s="162"/>
      <c r="DW255" s="162"/>
    </row>
    <row r="256" spans="1:127" ht="15" customHeight="1">
      <c r="A256" s="159"/>
      <c r="B256" s="160"/>
      <c r="C256" s="161"/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1"/>
      <c r="O256" s="162"/>
      <c r="P256" s="162"/>
      <c r="Q256" s="162"/>
      <c r="R256" s="162"/>
      <c r="S256" s="161"/>
      <c r="T256" s="161"/>
      <c r="U256" s="163"/>
      <c r="V256" s="163"/>
      <c r="W256" s="163"/>
      <c r="X256" s="163"/>
      <c r="Y256" s="163"/>
      <c r="Z256" s="163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2"/>
      <c r="DC256" s="162"/>
      <c r="DD256" s="162"/>
      <c r="DE256" s="162"/>
      <c r="DF256" s="162"/>
      <c r="DG256" s="162"/>
      <c r="DH256" s="162"/>
      <c r="DI256" s="162"/>
      <c r="DJ256" s="162"/>
      <c r="DK256" s="162"/>
      <c r="DL256" s="162"/>
      <c r="DM256" s="162"/>
      <c r="DN256" s="162"/>
      <c r="DO256" s="162"/>
      <c r="DP256" s="162"/>
      <c r="DQ256" s="162"/>
      <c r="DR256" s="162"/>
      <c r="DS256" s="162"/>
      <c r="DT256" s="162"/>
      <c r="DU256" s="162"/>
      <c r="DV256" s="162"/>
      <c r="DW256" s="162"/>
    </row>
    <row r="257" spans="1:127" ht="15" customHeight="1">
      <c r="A257" s="159"/>
      <c r="B257" s="160"/>
      <c r="C257" s="161"/>
      <c r="D257" s="162"/>
      <c r="E257" s="162"/>
      <c r="F257" s="162"/>
      <c r="G257" s="162"/>
      <c r="H257" s="162"/>
      <c r="I257" s="162"/>
      <c r="J257" s="162"/>
      <c r="K257" s="162"/>
      <c r="L257" s="162"/>
      <c r="M257" s="162"/>
      <c r="N257" s="161"/>
      <c r="O257" s="162"/>
      <c r="P257" s="162"/>
      <c r="Q257" s="162"/>
      <c r="R257" s="162"/>
      <c r="S257" s="161"/>
      <c r="T257" s="161"/>
      <c r="U257" s="163"/>
      <c r="V257" s="163"/>
      <c r="W257" s="163"/>
      <c r="X257" s="163"/>
      <c r="Y257" s="163"/>
      <c r="Z257" s="163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2"/>
      <c r="DC257" s="162"/>
      <c r="DD257" s="162"/>
      <c r="DE257" s="162"/>
      <c r="DF257" s="162"/>
      <c r="DG257" s="162"/>
      <c r="DH257" s="162"/>
      <c r="DI257" s="162"/>
      <c r="DJ257" s="162"/>
      <c r="DK257" s="162"/>
      <c r="DL257" s="162"/>
      <c r="DM257" s="162"/>
      <c r="DN257" s="162"/>
      <c r="DO257" s="162"/>
      <c r="DP257" s="162"/>
      <c r="DQ257" s="162"/>
      <c r="DR257" s="162"/>
      <c r="DS257" s="162"/>
      <c r="DT257" s="162"/>
      <c r="DU257" s="162"/>
      <c r="DV257" s="162"/>
      <c r="DW257" s="162"/>
    </row>
    <row r="258" spans="1:127" ht="15" customHeight="1">
      <c r="A258" s="159"/>
      <c r="B258" s="160"/>
      <c r="C258" s="161"/>
      <c r="D258" s="162"/>
      <c r="E258" s="162"/>
      <c r="F258" s="162"/>
      <c r="G258" s="162"/>
      <c r="H258" s="162"/>
      <c r="I258" s="162"/>
      <c r="J258" s="162"/>
      <c r="K258" s="162"/>
      <c r="L258" s="162"/>
      <c r="M258" s="162"/>
      <c r="N258" s="161"/>
      <c r="O258" s="162"/>
      <c r="P258" s="162"/>
      <c r="Q258" s="162"/>
      <c r="R258" s="162"/>
      <c r="S258" s="161"/>
      <c r="T258" s="161"/>
      <c r="U258" s="163"/>
      <c r="V258" s="163"/>
      <c r="W258" s="163"/>
      <c r="X258" s="163"/>
      <c r="Y258" s="163"/>
      <c r="Z258" s="163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2"/>
      <c r="DC258" s="162"/>
      <c r="DD258" s="162"/>
      <c r="DE258" s="162"/>
      <c r="DF258" s="162"/>
      <c r="DG258" s="162"/>
      <c r="DH258" s="162"/>
      <c r="DI258" s="162"/>
      <c r="DJ258" s="162"/>
      <c r="DK258" s="162"/>
      <c r="DL258" s="162"/>
      <c r="DM258" s="162"/>
      <c r="DN258" s="162"/>
      <c r="DO258" s="162"/>
      <c r="DP258" s="162"/>
      <c r="DQ258" s="162"/>
      <c r="DR258" s="162"/>
      <c r="DS258" s="162"/>
      <c r="DT258" s="162"/>
      <c r="DU258" s="162"/>
      <c r="DV258" s="162"/>
      <c r="DW258" s="162"/>
    </row>
    <row r="259" spans="1:127" ht="15" customHeight="1">
      <c r="A259" s="159"/>
      <c r="B259" s="160"/>
      <c r="C259" s="161"/>
      <c r="D259" s="162"/>
      <c r="E259" s="162"/>
      <c r="F259" s="162"/>
      <c r="G259" s="162"/>
      <c r="H259" s="162"/>
      <c r="I259" s="162"/>
      <c r="J259" s="162"/>
      <c r="K259" s="162"/>
      <c r="L259" s="162"/>
      <c r="M259" s="162"/>
      <c r="N259" s="161"/>
      <c r="O259" s="162"/>
      <c r="P259" s="162"/>
      <c r="Q259" s="162"/>
      <c r="R259" s="162"/>
      <c r="S259" s="161"/>
      <c r="T259" s="161"/>
      <c r="U259" s="163"/>
      <c r="V259" s="163"/>
      <c r="W259" s="163"/>
      <c r="X259" s="163"/>
      <c r="Y259" s="163"/>
      <c r="Z259" s="163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2"/>
      <c r="DC259" s="162"/>
      <c r="DD259" s="162"/>
      <c r="DE259" s="162"/>
      <c r="DF259" s="162"/>
      <c r="DG259" s="162"/>
      <c r="DH259" s="162"/>
      <c r="DI259" s="162"/>
      <c r="DJ259" s="162"/>
      <c r="DK259" s="162"/>
      <c r="DL259" s="162"/>
      <c r="DM259" s="162"/>
      <c r="DN259" s="162"/>
      <c r="DO259" s="162"/>
      <c r="DP259" s="162"/>
      <c r="DQ259" s="162"/>
      <c r="DR259" s="162"/>
      <c r="DS259" s="162"/>
      <c r="DT259" s="162"/>
      <c r="DU259" s="162"/>
      <c r="DV259" s="162"/>
      <c r="DW259" s="162"/>
    </row>
    <row r="260" spans="1:127" ht="15" customHeight="1">
      <c r="A260" s="159"/>
      <c r="B260" s="160"/>
      <c r="C260" s="161"/>
      <c r="D260" s="162"/>
      <c r="E260" s="162"/>
      <c r="F260" s="162"/>
      <c r="G260" s="162"/>
      <c r="H260" s="162"/>
      <c r="I260" s="162"/>
      <c r="J260" s="162"/>
      <c r="K260" s="162"/>
      <c r="L260" s="162"/>
      <c r="M260" s="162"/>
      <c r="N260" s="161"/>
      <c r="O260" s="162"/>
      <c r="P260" s="162"/>
      <c r="Q260" s="162"/>
      <c r="R260" s="162"/>
      <c r="S260" s="161"/>
      <c r="T260" s="161"/>
      <c r="U260" s="163"/>
      <c r="V260" s="163"/>
      <c r="W260" s="163"/>
      <c r="X260" s="163"/>
      <c r="Y260" s="163"/>
      <c r="Z260" s="163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2"/>
      <c r="DC260" s="162"/>
      <c r="DD260" s="162"/>
      <c r="DE260" s="162"/>
      <c r="DF260" s="162"/>
      <c r="DG260" s="162"/>
      <c r="DH260" s="162"/>
      <c r="DI260" s="162"/>
      <c r="DJ260" s="162"/>
      <c r="DK260" s="162"/>
      <c r="DL260" s="162"/>
      <c r="DM260" s="162"/>
      <c r="DN260" s="162"/>
      <c r="DO260" s="162"/>
      <c r="DP260" s="162"/>
      <c r="DQ260" s="162"/>
      <c r="DR260" s="162"/>
      <c r="DS260" s="162"/>
      <c r="DT260" s="162"/>
      <c r="DU260" s="162"/>
      <c r="DV260" s="162"/>
      <c r="DW260" s="162"/>
    </row>
    <row r="261" spans="1:127" ht="15" customHeight="1">
      <c r="A261" s="159"/>
      <c r="B261" s="160"/>
      <c r="C261" s="161"/>
      <c r="D261" s="162"/>
      <c r="E261" s="162"/>
      <c r="F261" s="162"/>
      <c r="G261" s="162"/>
      <c r="H261" s="162"/>
      <c r="I261" s="162"/>
      <c r="J261" s="162"/>
      <c r="K261" s="162"/>
      <c r="L261" s="162"/>
      <c r="M261" s="162"/>
      <c r="N261" s="161"/>
      <c r="O261" s="162"/>
      <c r="P261" s="162"/>
      <c r="Q261" s="162"/>
      <c r="R261" s="162"/>
      <c r="S261" s="161"/>
      <c r="T261" s="161"/>
      <c r="U261" s="163"/>
      <c r="V261" s="163"/>
      <c r="W261" s="163"/>
      <c r="X261" s="163"/>
      <c r="Y261" s="163"/>
      <c r="Z261" s="163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2"/>
      <c r="DC261" s="162"/>
      <c r="DD261" s="162"/>
      <c r="DE261" s="162"/>
      <c r="DF261" s="162"/>
      <c r="DG261" s="162"/>
      <c r="DH261" s="162"/>
      <c r="DI261" s="162"/>
      <c r="DJ261" s="162"/>
      <c r="DK261" s="162"/>
      <c r="DL261" s="162"/>
      <c r="DM261" s="162"/>
      <c r="DN261" s="162"/>
      <c r="DO261" s="162"/>
      <c r="DP261" s="162"/>
      <c r="DQ261" s="162"/>
      <c r="DR261" s="162"/>
      <c r="DS261" s="162"/>
      <c r="DT261" s="162"/>
      <c r="DU261" s="162"/>
      <c r="DV261" s="162"/>
      <c r="DW261" s="162"/>
    </row>
    <row r="262" spans="1:127" ht="15" customHeight="1">
      <c r="A262" s="159"/>
      <c r="B262" s="160"/>
      <c r="C262" s="161"/>
      <c r="D262" s="162"/>
      <c r="E262" s="162"/>
      <c r="F262" s="162"/>
      <c r="G262" s="162"/>
      <c r="H262" s="162"/>
      <c r="I262" s="162"/>
      <c r="J262" s="162"/>
      <c r="K262" s="162"/>
      <c r="L262" s="162"/>
      <c r="M262" s="162"/>
      <c r="N262" s="161"/>
      <c r="O262" s="162"/>
      <c r="P262" s="162"/>
      <c r="Q262" s="162"/>
      <c r="R262" s="162"/>
      <c r="S262" s="161"/>
      <c r="T262" s="161"/>
      <c r="U262" s="163"/>
      <c r="V262" s="163"/>
      <c r="W262" s="163"/>
      <c r="X262" s="163"/>
      <c r="Y262" s="163"/>
      <c r="Z262" s="163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2"/>
      <c r="DC262" s="162"/>
      <c r="DD262" s="162"/>
      <c r="DE262" s="162"/>
      <c r="DF262" s="162"/>
      <c r="DG262" s="162"/>
      <c r="DH262" s="162"/>
      <c r="DI262" s="162"/>
      <c r="DJ262" s="162"/>
      <c r="DK262" s="162"/>
      <c r="DL262" s="162"/>
      <c r="DM262" s="162"/>
      <c r="DN262" s="162"/>
      <c r="DO262" s="162"/>
      <c r="DP262" s="162"/>
      <c r="DQ262" s="162"/>
      <c r="DR262" s="162"/>
      <c r="DS262" s="162"/>
      <c r="DT262" s="162"/>
      <c r="DU262" s="162"/>
      <c r="DV262" s="162"/>
      <c r="DW262" s="162"/>
    </row>
    <row r="263" spans="1:127" ht="15" customHeight="1">
      <c r="A263" s="159"/>
      <c r="B263" s="160"/>
      <c r="C263" s="161"/>
      <c r="D263" s="162"/>
      <c r="E263" s="162"/>
      <c r="F263" s="162"/>
      <c r="G263" s="162"/>
      <c r="H263" s="162"/>
      <c r="I263" s="162"/>
      <c r="J263" s="162"/>
      <c r="K263" s="162"/>
      <c r="L263" s="162"/>
      <c r="M263" s="162"/>
      <c r="N263" s="161"/>
      <c r="O263" s="162"/>
      <c r="P263" s="162"/>
      <c r="Q263" s="162"/>
      <c r="R263" s="162"/>
      <c r="S263" s="161"/>
      <c r="T263" s="161"/>
      <c r="U263" s="163"/>
      <c r="V263" s="163"/>
      <c r="W263" s="163"/>
      <c r="X263" s="163"/>
      <c r="Y263" s="163"/>
      <c r="Z263" s="163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2"/>
      <c r="DC263" s="162"/>
      <c r="DD263" s="162"/>
      <c r="DE263" s="162"/>
      <c r="DF263" s="162"/>
      <c r="DG263" s="162"/>
      <c r="DH263" s="162"/>
      <c r="DI263" s="162"/>
      <c r="DJ263" s="162"/>
      <c r="DK263" s="162"/>
      <c r="DL263" s="162"/>
      <c r="DM263" s="162"/>
      <c r="DN263" s="162"/>
      <c r="DO263" s="162"/>
      <c r="DP263" s="162"/>
      <c r="DQ263" s="162"/>
      <c r="DR263" s="162"/>
      <c r="DS263" s="162"/>
      <c r="DT263" s="162"/>
      <c r="DU263" s="162"/>
      <c r="DV263" s="162"/>
      <c r="DW263" s="162"/>
    </row>
    <row r="264" spans="1:127" ht="15" customHeight="1">
      <c r="A264" s="159"/>
      <c r="B264" s="160"/>
      <c r="C264" s="161"/>
      <c r="D264" s="162"/>
      <c r="E264" s="162"/>
      <c r="F264" s="162"/>
      <c r="G264" s="162"/>
      <c r="H264" s="162"/>
      <c r="I264" s="162"/>
      <c r="J264" s="162"/>
      <c r="K264" s="162"/>
      <c r="L264" s="162"/>
      <c r="M264" s="162"/>
      <c r="N264" s="161"/>
      <c r="O264" s="162"/>
      <c r="P264" s="162"/>
      <c r="Q264" s="162"/>
      <c r="R264" s="162"/>
      <c r="S264" s="161"/>
      <c r="T264" s="161"/>
      <c r="U264" s="163"/>
      <c r="V264" s="163"/>
      <c r="W264" s="163"/>
      <c r="X264" s="163"/>
      <c r="Y264" s="163"/>
      <c r="Z264" s="163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2"/>
      <c r="DC264" s="162"/>
      <c r="DD264" s="162"/>
      <c r="DE264" s="162"/>
      <c r="DF264" s="162"/>
      <c r="DG264" s="162"/>
      <c r="DH264" s="162"/>
      <c r="DI264" s="162"/>
      <c r="DJ264" s="162"/>
      <c r="DK264" s="162"/>
      <c r="DL264" s="162"/>
      <c r="DM264" s="162"/>
      <c r="DN264" s="162"/>
      <c r="DO264" s="162"/>
      <c r="DP264" s="162"/>
      <c r="DQ264" s="162"/>
      <c r="DR264" s="162"/>
      <c r="DS264" s="162"/>
      <c r="DT264" s="162"/>
      <c r="DU264" s="162"/>
      <c r="DV264" s="162"/>
      <c r="DW264" s="162"/>
    </row>
    <row r="265" spans="1:127" ht="15" customHeight="1">
      <c r="A265" s="159"/>
      <c r="B265" s="160"/>
      <c r="C265" s="161"/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1"/>
      <c r="O265" s="162"/>
      <c r="P265" s="162"/>
      <c r="Q265" s="162"/>
      <c r="R265" s="162"/>
      <c r="S265" s="161"/>
      <c r="T265" s="161"/>
      <c r="U265" s="163"/>
      <c r="V265" s="163"/>
      <c r="W265" s="163"/>
      <c r="X265" s="163"/>
      <c r="Y265" s="163"/>
      <c r="Z265" s="163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2"/>
      <c r="DC265" s="162"/>
      <c r="DD265" s="162"/>
      <c r="DE265" s="162"/>
      <c r="DF265" s="162"/>
      <c r="DG265" s="162"/>
      <c r="DH265" s="162"/>
      <c r="DI265" s="162"/>
      <c r="DJ265" s="162"/>
      <c r="DK265" s="162"/>
      <c r="DL265" s="162"/>
      <c r="DM265" s="162"/>
      <c r="DN265" s="162"/>
      <c r="DO265" s="162"/>
      <c r="DP265" s="162"/>
      <c r="DQ265" s="162"/>
      <c r="DR265" s="162"/>
      <c r="DS265" s="162"/>
      <c r="DT265" s="162"/>
      <c r="DU265" s="162"/>
      <c r="DV265" s="162"/>
      <c r="DW265" s="162"/>
    </row>
    <row r="266" spans="1:127" ht="15" customHeight="1">
      <c r="A266" s="159"/>
      <c r="B266" s="160"/>
      <c r="C266" s="161"/>
      <c r="D266" s="162"/>
      <c r="E266" s="162"/>
      <c r="F266" s="162"/>
      <c r="G266" s="162"/>
      <c r="H266" s="162"/>
      <c r="I266" s="162"/>
      <c r="J266" s="162"/>
      <c r="K266" s="162"/>
      <c r="L266" s="162"/>
      <c r="M266" s="162"/>
      <c r="N266" s="161"/>
      <c r="O266" s="162"/>
      <c r="P266" s="162"/>
      <c r="Q266" s="162"/>
      <c r="R266" s="162"/>
      <c r="S266" s="161"/>
      <c r="T266" s="161"/>
      <c r="U266" s="163"/>
      <c r="V266" s="163"/>
      <c r="W266" s="163"/>
      <c r="X266" s="163"/>
      <c r="Y266" s="163"/>
      <c r="Z266" s="163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2"/>
      <c r="DC266" s="162"/>
      <c r="DD266" s="162"/>
      <c r="DE266" s="162"/>
      <c r="DF266" s="162"/>
      <c r="DG266" s="162"/>
      <c r="DH266" s="162"/>
      <c r="DI266" s="162"/>
      <c r="DJ266" s="162"/>
      <c r="DK266" s="162"/>
      <c r="DL266" s="162"/>
      <c r="DM266" s="162"/>
      <c r="DN266" s="162"/>
      <c r="DO266" s="162"/>
      <c r="DP266" s="162"/>
      <c r="DQ266" s="162"/>
      <c r="DR266" s="162"/>
      <c r="DS266" s="162"/>
      <c r="DT266" s="162"/>
      <c r="DU266" s="162"/>
      <c r="DV266" s="162"/>
      <c r="DW266" s="162"/>
    </row>
    <row r="267" spans="1:127" ht="15" customHeight="1">
      <c r="A267" s="159"/>
      <c r="B267" s="160"/>
      <c r="C267" s="161"/>
      <c r="D267" s="162"/>
      <c r="E267" s="162"/>
      <c r="F267" s="162"/>
      <c r="G267" s="162"/>
      <c r="H267" s="162"/>
      <c r="I267" s="162"/>
      <c r="J267" s="162"/>
      <c r="K267" s="162"/>
      <c r="L267" s="162"/>
      <c r="M267" s="162"/>
      <c r="N267" s="161"/>
      <c r="O267" s="162"/>
      <c r="P267" s="162"/>
      <c r="Q267" s="162"/>
      <c r="R267" s="162"/>
      <c r="S267" s="161"/>
      <c r="T267" s="161"/>
      <c r="U267" s="163"/>
      <c r="V267" s="163"/>
      <c r="W267" s="163"/>
      <c r="X267" s="163"/>
      <c r="Y267" s="163"/>
      <c r="Z267" s="163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2"/>
      <c r="DC267" s="162"/>
      <c r="DD267" s="162"/>
      <c r="DE267" s="162"/>
      <c r="DF267" s="162"/>
      <c r="DG267" s="162"/>
      <c r="DH267" s="162"/>
      <c r="DI267" s="162"/>
      <c r="DJ267" s="162"/>
      <c r="DK267" s="162"/>
      <c r="DL267" s="162"/>
      <c r="DM267" s="162"/>
      <c r="DN267" s="162"/>
      <c r="DO267" s="162"/>
      <c r="DP267" s="162"/>
      <c r="DQ267" s="162"/>
      <c r="DR267" s="162"/>
      <c r="DS267" s="162"/>
      <c r="DT267" s="162"/>
      <c r="DU267" s="162"/>
      <c r="DV267" s="162"/>
      <c r="DW267" s="162"/>
    </row>
    <row r="268" spans="1:127" ht="15" customHeight="1">
      <c r="A268" s="159"/>
      <c r="B268" s="160"/>
      <c r="C268" s="161"/>
      <c r="D268" s="162"/>
      <c r="E268" s="162"/>
      <c r="F268" s="162"/>
      <c r="G268" s="162"/>
      <c r="H268" s="162"/>
      <c r="I268" s="162"/>
      <c r="J268" s="162"/>
      <c r="K268" s="162"/>
      <c r="L268" s="162"/>
      <c r="M268" s="162"/>
      <c r="N268" s="161"/>
      <c r="O268" s="162"/>
      <c r="P268" s="162"/>
      <c r="Q268" s="162"/>
      <c r="R268" s="162"/>
      <c r="S268" s="161"/>
      <c r="T268" s="161"/>
      <c r="U268" s="163"/>
      <c r="V268" s="163"/>
      <c r="W268" s="163"/>
      <c r="X268" s="163"/>
      <c r="Y268" s="163"/>
      <c r="Z268" s="163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2"/>
      <c r="DC268" s="162"/>
      <c r="DD268" s="162"/>
      <c r="DE268" s="162"/>
      <c r="DF268" s="162"/>
      <c r="DG268" s="162"/>
      <c r="DH268" s="162"/>
      <c r="DI268" s="162"/>
      <c r="DJ268" s="162"/>
      <c r="DK268" s="162"/>
      <c r="DL268" s="162"/>
      <c r="DM268" s="162"/>
      <c r="DN268" s="162"/>
      <c r="DO268" s="162"/>
      <c r="DP268" s="162"/>
      <c r="DQ268" s="162"/>
      <c r="DR268" s="162"/>
      <c r="DS268" s="162"/>
      <c r="DT268" s="162"/>
      <c r="DU268" s="162"/>
      <c r="DV268" s="162"/>
      <c r="DW268" s="162"/>
    </row>
    <row r="269" spans="1:127" ht="15" customHeight="1">
      <c r="A269" s="159"/>
      <c r="B269" s="160"/>
      <c r="C269" s="161"/>
      <c r="D269" s="162"/>
      <c r="E269" s="162"/>
      <c r="F269" s="162"/>
      <c r="G269" s="162"/>
      <c r="H269" s="162"/>
      <c r="I269" s="162"/>
      <c r="J269" s="162"/>
      <c r="K269" s="162"/>
      <c r="L269" s="162"/>
      <c r="M269" s="162"/>
      <c r="N269" s="161"/>
      <c r="O269" s="162"/>
      <c r="P269" s="162"/>
      <c r="Q269" s="162"/>
      <c r="R269" s="162"/>
      <c r="S269" s="161"/>
      <c r="T269" s="161"/>
      <c r="U269" s="163"/>
      <c r="V269" s="163"/>
      <c r="W269" s="163"/>
      <c r="X269" s="163"/>
      <c r="Y269" s="163"/>
      <c r="Z269" s="163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2"/>
      <c r="DC269" s="162"/>
      <c r="DD269" s="162"/>
      <c r="DE269" s="162"/>
      <c r="DF269" s="162"/>
      <c r="DG269" s="162"/>
      <c r="DH269" s="162"/>
      <c r="DI269" s="162"/>
      <c r="DJ269" s="162"/>
      <c r="DK269" s="162"/>
      <c r="DL269" s="162"/>
      <c r="DM269" s="162"/>
      <c r="DN269" s="162"/>
      <c r="DO269" s="162"/>
      <c r="DP269" s="162"/>
      <c r="DQ269" s="162"/>
      <c r="DR269" s="162"/>
      <c r="DS269" s="162"/>
      <c r="DT269" s="162"/>
      <c r="DU269" s="162"/>
      <c r="DV269" s="162"/>
      <c r="DW269" s="162"/>
    </row>
    <row r="270" spans="1:127" ht="15" customHeight="1">
      <c r="A270" s="159"/>
      <c r="B270" s="160"/>
      <c r="C270" s="161"/>
      <c r="D270" s="162"/>
      <c r="E270" s="162"/>
      <c r="F270" s="162"/>
      <c r="G270" s="162"/>
      <c r="H270" s="162"/>
      <c r="I270" s="162"/>
      <c r="J270" s="162"/>
      <c r="K270" s="162"/>
      <c r="L270" s="162"/>
      <c r="M270" s="162"/>
      <c r="N270" s="161"/>
      <c r="O270" s="162"/>
      <c r="P270" s="162"/>
      <c r="Q270" s="162"/>
      <c r="R270" s="162"/>
      <c r="S270" s="161"/>
      <c r="T270" s="161"/>
      <c r="U270" s="163"/>
      <c r="V270" s="163"/>
      <c r="W270" s="163"/>
      <c r="X270" s="163"/>
      <c r="Y270" s="163"/>
      <c r="Z270" s="163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2"/>
      <c r="DC270" s="162"/>
      <c r="DD270" s="162"/>
      <c r="DE270" s="162"/>
      <c r="DF270" s="162"/>
      <c r="DG270" s="162"/>
      <c r="DH270" s="162"/>
      <c r="DI270" s="162"/>
      <c r="DJ270" s="162"/>
      <c r="DK270" s="162"/>
      <c r="DL270" s="162"/>
      <c r="DM270" s="162"/>
      <c r="DN270" s="162"/>
      <c r="DO270" s="162"/>
      <c r="DP270" s="162"/>
      <c r="DQ270" s="162"/>
      <c r="DR270" s="162"/>
      <c r="DS270" s="162"/>
      <c r="DT270" s="162"/>
      <c r="DU270" s="162"/>
      <c r="DV270" s="162"/>
      <c r="DW270" s="162"/>
    </row>
    <row r="271" spans="1:127" ht="15" customHeight="1">
      <c r="A271" s="159"/>
      <c r="B271" s="160"/>
      <c r="C271" s="161"/>
      <c r="D271" s="162"/>
      <c r="E271" s="162"/>
      <c r="F271" s="162"/>
      <c r="G271" s="162"/>
      <c r="H271" s="162"/>
      <c r="I271" s="162"/>
      <c r="J271" s="162"/>
      <c r="K271" s="162"/>
      <c r="L271" s="162"/>
      <c r="M271" s="162"/>
      <c r="N271" s="161"/>
      <c r="O271" s="162"/>
      <c r="P271" s="162"/>
      <c r="Q271" s="162"/>
      <c r="R271" s="162"/>
      <c r="S271" s="161"/>
      <c r="T271" s="161"/>
      <c r="U271" s="163"/>
      <c r="V271" s="163"/>
      <c r="W271" s="163"/>
      <c r="X271" s="163"/>
      <c r="Y271" s="163"/>
      <c r="Z271" s="163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2"/>
      <c r="DC271" s="162"/>
      <c r="DD271" s="162"/>
      <c r="DE271" s="162"/>
      <c r="DF271" s="162"/>
      <c r="DG271" s="162"/>
      <c r="DH271" s="162"/>
      <c r="DI271" s="162"/>
      <c r="DJ271" s="162"/>
      <c r="DK271" s="162"/>
      <c r="DL271" s="162"/>
      <c r="DM271" s="162"/>
      <c r="DN271" s="162"/>
      <c r="DO271" s="162"/>
      <c r="DP271" s="162"/>
      <c r="DQ271" s="162"/>
      <c r="DR271" s="162"/>
      <c r="DS271" s="162"/>
      <c r="DT271" s="162"/>
      <c r="DU271" s="162"/>
      <c r="DV271" s="162"/>
      <c r="DW271" s="162"/>
    </row>
    <row r="272" spans="1:127" ht="15" customHeight="1">
      <c r="A272" s="159"/>
      <c r="B272" s="160"/>
      <c r="C272" s="161"/>
      <c r="D272" s="162"/>
      <c r="E272" s="162"/>
      <c r="F272" s="162"/>
      <c r="G272" s="162"/>
      <c r="H272" s="162"/>
      <c r="I272" s="162"/>
      <c r="J272" s="162"/>
      <c r="K272" s="162"/>
      <c r="L272" s="162"/>
      <c r="M272" s="162"/>
      <c r="N272" s="161"/>
      <c r="O272" s="162"/>
      <c r="P272" s="162"/>
      <c r="Q272" s="162"/>
      <c r="R272" s="162"/>
      <c r="S272" s="161"/>
      <c r="T272" s="161"/>
      <c r="U272" s="163"/>
      <c r="V272" s="163"/>
      <c r="W272" s="163"/>
      <c r="X272" s="163"/>
      <c r="Y272" s="163"/>
      <c r="Z272" s="163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2"/>
      <c r="DC272" s="162"/>
      <c r="DD272" s="162"/>
      <c r="DE272" s="162"/>
      <c r="DF272" s="162"/>
      <c r="DG272" s="162"/>
      <c r="DH272" s="162"/>
      <c r="DI272" s="162"/>
      <c r="DJ272" s="162"/>
      <c r="DK272" s="162"/>
      <c r="DL272" s="162"/>
      <c r="DM272" s="162"/>
      <c r="DN272" s="162"/>
      <c r="DO272" s="162"/>
      <c r="DP272" s="162"/>
      <c r="DQ272" s="162"/>
      <c r="DR272" s="162"/>
      <c r="DS272" s="162"/>
      <c r="DT272" s="162"/>
      <c r="DU272" s="162"/>
      <c r="DV272" s="162"/>
      <c r="DW272" s="162"/>
    </row>
    <row r="273" spans="1:127" ht="15" customHeight="1">
      <c r="A273" s="159"/>
      <c r="B273" s="160"/>
      <c r="C273" s="161"/>
      <c r="D273" s="162"/>
      <c r="E273" s="162"/>
      <c r="F273" s="162"/>
      <c r="G273" s="162"/>
      <c r="H273" s="162"/>
      <c r="I273" s="162"/>
      <c r="J273" s="162"/>
      <c r="K273" s="162"/>
      <c r="L273" s="162"/>
      <c r="M273" s="162"/>
      <c r="N273" s="161"/>
      <c r="O273" s="162"/>
      <c r="P273" s="162"/>
      <c r="Q273" s="162"/>
      <c r="R273" s="162"/>
      <c r="S273" s="161"/>
      <c r="T273" s="161"/>
      <c r="U273" s="163"/>
      <c r="V273" s="163"/>
      <c r="W273" s="163"/>
      <c r="X273" s="163"/>
      <c r="Y273" s="163"/>
      <c r="Z273" s="163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2"/>
      <c r="DC273" s="162"/>
      <c r="DD273" s="162"/>
      <c r="DE273" s="162"/>
      <c r="DF273" s="162"/>
      <c r="DG273" s="162"/>
      <c r="DH273" s="162"/>
      <c r="DI273" s="162"/>
      <c r="DJ273" s="162"/>
      <c r="DK273" s="162"/>
      <c r="DL273" s="162"/>
      <c r="DM273" s="162"/>
      <c r="DN273" s="162"/>
      <c r="DO273" s="162"/>
      <c r="DP273" s="162"/>
      <c r="DQ273" s="162"/>
      <c r="DR273" s="162"/>
      <c r="DS273" s="162"/>
      <c r="DT273" s="162"/>
      <c r="DU273" s="162"/>
      <c r="DV273" s="162"/>
      <c r="DW273" s="162"/>
    </row>
    <row r="274" spans="1:127" ht="15" customHeight="1">
      <c r="A274" s="159"/>
      <c r="B274" s="160"/>
      <c r="C274" s="161"/>
      <c r="D274" s="162"/>
      <c r="E274" s="162"/>
      <c r="F274" s="162"/>
      <c r="G274" s="162"/>
      <c r="H274" s="162"/>
      <c r="I274" s="162"/>
      <c r="J274" s="162"/>
      <c r="K274" s="162"/>
      <c r="L274" s="162"/>
      <c r="M274" s="162"/>
      <c r="N274" s="161"/>
      <c r="O274" s="162"/>
      <c r="P274" s="162"/>
      <c r="Q274" s="162"/>
      <c r="R274" s="162"/>
      <c r="S274" s="161"/>
      <c r="T274" s="161"/>
      <c r="U274" s="163"/>
      <c r="V274" s="163"/>
      <c r="W274" s="163"/>
      <c r="X274" s="163"/>
      <c r="Y274" s="163"/>
      <c r="Z274" s="163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2"/>
      <c r="DC274" s="162"/>
      <c r="DD274" s="162"/>
      <c r="DE274" s="162"/>
      <c r="DF274" s="162"/>
      <c r="DG274" s="162"/>
      <c r="DH274" s="162"/>
      <c r="DI274" s="162"/>
      <c r="DJ274" s="162"/>
      <c r="DK274" s="162"/>
      <c r="DL274" s="162"/>
      <c r="DM274" s="162"/>
      <c r="DN274" s="162"/>
      <c r="DO274" s="162"/>
      <c r="DP274" s="162"/>
      <c r="DQ274" s="162"/>
      <c r="DR274" s="162"/>
      <c r="DS274" s="162"/>
      <c r="DT274" s="162"/>
      <c r="DU274" s="162"/>
      <c r="DV274" s="162"/>
      <c r="DW274" s="162"/>
    </row>
    <row r="275" spans="1:127" ht="15" customHeight="1">
      <c r="A275" s="159"/>
      <c r="B275" s="160"/>
      <c r="C275" s="161"/>
      <c r="D275" s="162"/>
      <c r="E275" s="162"/>
      <c r="F275" s="162"/>
      <c r="G275" s="162"/>
      <c r="H275" s="162"/>
      <c r="I275" s="162"/>
      <c r="J275" s="162"/>
      <c r="K275" s="162"/>
      <c r="L275" s="162"/>
      <c r="M275" s="162"/>
      <c r="N275" s="161"/>
      <c r="O275" s="162"/>
      <c r="P275" s="162"/>
      <c r="Q275" s="162"/>
      <c r="R275" s="162"/>
      <c r="S275" s="161"/>
      <c r="T275" s="161"/>
      <c r="U275" s="163"/>
      <c r="V275" s="163"/>
      <c r="W275" s="163"/>
      <c r="X275" s="163"/>
      <c r="Y275" s="163"/>
      <c r="Z275" s="163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2"/>
      <c r="DC275" s="162"/>
      <c r="DD275" s="162"/>
      <c r="DE275" s="162"/>
      <c r="DF275" s="162"/>
      <c r="DG275" s="162"/>
      <c r="DH275" s="162"/>
      <c r="DI275" s="162"/>
      <c r="DJ275" s="162"/>
      <c r="DK275" s="162"/>
      <c r="DL275" s="162"/>
      <c r="DM275" s="162"/>
      <c r="DN275" s="162"/>
      <c r="DO275" s="162"/>
      <c r="DP275" s="162"/>
      <c r="DQ275" s="162"/>
      <c r="DR275" s="162"/>
      <c r="DS275" s="162"/>
      <c r="DT275" s="162"/>
      <c r="DU275" s="162"/>
      <c r="DV275" s="162"/>
      <c r="DW275" s="162"/>
    </row>
    <row r="276" spans="1:127" ht="15" customHeight="1">
      <c r="A276" s="159"/>
      <c r="B276" s="160"/>
      <c r="C276" s="161"/>
      <c r="D276" s="162"/>
      <c r="E276" s="162"/>
      <c r="F276" s="162"/>
      <c r="G276" s="162"/>
      <c r="H276" s="162"/>
      <c r="I276" s="162"/>
      <c r="J276" s="162"/>
      <c r="K276" s="162"/>
      <c r="L276" s="162"/>
      <c r="M276" s="162"/>
      <c r="N276" s="161"/>
      <c r="O276" s="162"/>
      <c r="P276" s="162"/>
      <c r="Q276" s="162"/>
      <c r="R276" s="162"/>
      <c r="S276" s="161"/>
      <c r="T276" s="161"/>
      <c r="U276" s="163"/>
      <c r="V276" s="163"/>
      <c r="W276" s="163"/>
      <c r="X276" s="163"/>
      <c r="Y276" s="163"/>
      <c r="Z276" s="163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2"/>
      <c r="DC276" s="162"/>
      <c r="DD276" s="162"/>
      <c r="DE276" s="162"/>
      <c r="DF276" s="162"/>
      <c r="DG276" s="162"/>
      <c r="DH276" s="162"/>
      <c r="DI276" s="162"/>
      <c r="DJ276" s="162"/>
      <c r="DK276" s="162"/>
      <c r="DL276" s="162"/>
      <c r="DM276" s="162"/>
      <c r="DN276" s="162"/>
      <c r="DO276" s="162"/>
      <c r="DP276" s="162"/>
      <c r="DQ276" s="162"/>
      <c r="DR276" s="162"/>
      <c r="DS276" s="162"/>
      <c r="DT276" s="162"/>
      <c r="DU276" s="162"/>
      <c r="DV276" s="162"/>
      <c r="DW276" s="162"/>
    </row>
    <row r="277" spans="1:127" ht="15" customHeight="1">
      <c r="A277" s="159"/>
      <c r="B277" s="160"/>
      <c r="C277" s="161"/>
      <c r="D277" s="162"/>
      <c r="E277" s="162"/>
      <c r="F277" s="162"/>
      <c r="G277" s="162"/>
      <c r="H277" s="162"/>
      <c r="I277" s="162"/>
      <c r="J277" s="162"/>
      <c r="K277" s="162"/>
      <c r="L277" s="162"/>
      <c r="M277" s="162"/>
      <c r="N277" s="161"/>
      <c r="O277" s="162"/>
      <c r="P277" s="162"/>
      <c r="Q277" s="162"/>
      <c r="R277" s="162"/>
      <c r="S277" s="161"/>
      <c r="T277" s="161"/>
      <c r="U277" s="163"/>
      <c r="V277" s="163"/>
      <c r="W277" s="163"/>
      <c r="X277" s="163"/>
      <c r="Y277" s="163"/>
      <c r="Z277" s="163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2"/>
      <c r="DC277" s="162"/>
      <c r="DD277" s="162"/>
      <c r="DE277" s="162"/>
      <c r="DF277" s="162"/>
      <c r="DG277" s="162"/>
      <c r="DH277" s="162"/>
      <c r="DI277" s="162"/>
      <c r="DJ277" s="162"/>
      <c r="DK277" s="162"/>
      <c r="DL277" s="162"/>
      <c r="DM277" s="162"/>
      <c r="DN277" s="162"/>
      <c r="DO277" s="162"/>
      <c r="DP277" s="162"/>
      <c r="DQ277" s="162"/>
      <c r="DR277" s="162"/>
      <c r="DS277" s="162"/>
      <c r="DT277" s="162"/>
      <c r="DU277" s="162"/>
      <c r="DV277" s="162"/>
      <c r="DW277" s="162"/>
    </row>
    <row r="278" spans="1:127" ht="15" customHeight="1">
      <c r="A278" s="159"/>
      <c r="B278" s="160"/>
      <c r="C278" s="161"/>
      <c r="D278" s="162"/>
      <c r="E278" s="162"/>
      <c r="F278" s="162"/>
      <c r="G278" s="162"/>
      <c r="H278" s="162"/>
      <c r="I278" s="162"/>
      <c r="J278" s="162"/>
      <c r="K278" s="162"/>
      <c r="L278" s="162"/>
      <c r="M278" s="162"/>
      <c r="N278" s="161"/>
      <c r="O278" s="162"/>
      <c r="P278" s="162"/>
      <c r="Q278" s="162"/>
      <c r="R278" s="162"/>
      <c r="S278" s="161"/>
      <c r="T278" s="161"/>
      <c r="U278" s="163"/>
      <c r="V278" s="163"/>
      <c r="W278" s="163"/>
      <c r="X278" s="163"/>
      <c r="Y278" s="163"/>
      <c r="Z278" s="163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2"/>
      <c r="DC278" s="162"/>
      <c r="DD278" s="162"/>
      <c r="DE278" s="162"/>
      <c r="DF278" s="162"/>
      <c r="DG278" s="162"/>
      <c r="DH278" s="162"/>
      <c r="DI278" s="162"/>
      <c r="DJ278" s="162"/>
      <c r="DK278" s="162"/>
      <c r="DL278" s="162"/>
      <c r="DM278" s="162"/>
      <c r="DN278" s="162"/>
      <c r="DO278" s="162"/>
      <c r="DP278" s="162"/>
      <c r="DQ278" s="162"/>
      <c r="DR278" s="162"/>
      <c r="DS278" s="162"/>
      <c r="DT278" s="162"/>
      <c r="DU278" s="162"/>
      <c r="DV278" s="162"/>
      <c r="DW278" s="162"/>
    </row>
    <row r="279" spans="1:127" ht="15" customHeight="1">
      <c r="A279" s="159"/>
      <c r="B279" s="160"/>
      <c r="C279" s="161"/>
      <c r="D279" s="162"/>
      <c r="E279" s="162"/>
      <c r="F279" s="162"/>
      <c r="G279" s="162"/>
      <c r="H279" s="162"/>
      <c r="I279" s="162"/>
      <c r="J279" s="162"/>
      <c r="K279" s="162"/>
      <c r="L279" s="162"/>
      <c r="M279" s="162"/>
      <c r="N279" s="161"/>
      <c r="O279" s="162"/>
      <c r="P279" s="162"/>
      <c r="Q279" s="162"/>
      <c r="R279" s="162"/>
      <c r="S279" s="161"/>
      <c r="T279" s="161"/>
      <c r="U279" s="163"/>
      <c r="V279" s="163"/>
      <c r="W279" s="163"/>
      <c r="X279" s="163"/>
      <c r="Y279" s="163"/>
      <c r="Z279" s="163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2"/>
      <c r="DC279" s="162"/>
      <c r="DD279" s="162"/>
      <c r="DE279" s="162"/>
      <c r="DF279" s="162"/>
      <c r="DG279" s="162"/>
      <c r="DH279" s="162"/>
      <c r="DI279" s="162"/>
      <c r="DJ279" s="162"/>
      <c r="DK279" s="162"/>
      <c r="DL279" s="162"/>
      <c r="DM279" s="162"/>
      <c r="DN279" s="162"/>
      <c r="DO279" s="162"/>
      <c r="DP279" s="162"/>
      <c r="DQ279" s="162"/>
      <c r="DR279" s="162"/>
      <c r="DS279" s="162"/>
      <c r="DT279" s="162"/>
      <c r="DU279" s="162"/>
      <c r="DV279" s="162"/>
      <c r="DW279" s="162"/>
    </row>
    <row r="280" spans="1:127" ht="15" customHeight="1">
      <c r="A280" s="159"/>
      <c r="B280" s="160"/>
      <c r="C280" s="161"/>
      <c r="D280" s="162"/>
      <c r="E280" s="162"/>
      <c r="F280" s="162"/>
      <c r="G280" s="162"/>
      <c r="H280" s="162"/>
      <c r="I280" s="162"/>
      <c r="J280" s="162"/>
      <c r="K280" s="162"/>
      <c r="L280" s="162"/>
      <c r="M280" s="162"/>
      <c r="N280" s="161"/>
      <c r="O280" s="162"/>
      <c r="P280" s="162"/>
      <c r="Q280" s="162"/>
      <c r="R280" s="162"/>
      <c r="S280" s="161"/>
      <c r="T280" s="161"/>
      <c r="U280" s="163"/>
      <c r="V280" s="163"/>
      <c r="W280" s="163"/>
      <c r="X280" s="163"/>
      <c r="Y280" s="163"/>
      <c r="Z280" s="163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2"/>
      <c r="DC280" s="162"/>
      <c r="DD280" s="162"/>
      <c r="DE280" s="162"/>
      <c r="DF280" s="162"/>
      <c r="DG280" s="162"/>
      <c r="DH280" s="162"/>
      <c r="DI280" s="162"/>
      <c r="DJ280" s="162"/>
      <c r="DK280" s="162"/>
      <c r="DL280" s="162"/>
      <c r="DM280" s="162"/>
      <c r="DN280" s="162"/>
      <c r="DO280" s="162"/>
      <c r="DP280" s="162"/>
      <c r="DQ280" s="162"/>
      <c r="DR280" s="162"/>
      <c r="DS280" s="162"/>
      <c r="DT280" s="162"/>
      <c r="DU280" s="162"/>
      <c r="DV280" s="162"/>
      <c r="DW280" s="162"/>
    </row>
    <row r="281" spans="1:127" ht="15" customHeight="1">
      <c r="A281" s="159"/>
      <c r="B281" s="160"/>
      <c r="C281" s="161"/>
      <c r="D281" s="162"/>
      <c r="E281" s="162"/>
      <c r="F281" s="162"/>
      <c r="G281" s="162"/>
      <c r="H281" s="162"/>
      <c r="I281" s="162"/>
      <c r="J281" s="162"/>
      <c r="K281" s="162"/>
      <c r="L281" s="162"/>
      <c r="M281" s="162"/>
      <c r="N281" s="161"/>
      <c r="O281" s="162"/>
      <c r="P281" s="162"/>
      <c r="Q281" s="162"/>
      <c r="R281" s="162"/>
      <c r="S281" s="161"/>
      <c r="T281" s="161"/>
      <c r="U281" s="163"/>
      <c r="V281" s="163"/>
      <c r="W281" s="163"/>
      <c r="X281" s="163"/>
      <c r="Y281" s="163"/>
      <c r="Z281" s="163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2"/>
      <c r="DC281" s="162"/>
      <c r="DD281" s="162"/>
      <c r="DE281" s="162"/>
      <c r="DF281" s="162"/>
      <c r="DG281" s="162"/>
      <c r="DH281" s="162"/>
      <c r="DI281" s="162"/>
      <c r="DJ281" s="162"/>
      <c r="DK281" s="162"/>
      <c r="DL281" s="162"/>
      <c r="DM281" s="162"/>
      <c r="DN281" s="162"/>
      <c r="DO281" s="162"/>
      <c r="DP281" s="162"/>
      <c r="DQ281" s="162"/>
      <c r="DR281" s="162"/>
      <c r="DS281" s="162"/>
      <c r="DT281" s="162"/>
      <c r="DU281" s="162"/>
      <c r="DV281" s="162"/>
      <c r="DW281" s="162"/>
    </row>
    <row r="282" spans="1:127" ht="15" customHeight="1">
      <c r="A282" s="159"/>
      <c r="B282" s="160"/>
      <c r="C282" s="161"/>
      <c r="D282" s="162"/>
      <c r="E282" s="162"/>
      <c r="F282" s="162"/>
      <c r="G282" s="162"/>
      <c r="H282" s="162"/>
      <c r="I282" s="162"/>
      <c r="J282" s="162"/>
      <c r="K282" s="162"/>
      <c r="L282" s="162"/>
      <c r="M282" s="162"/>
      <c r="N282" s="161"/>
      <c r="O282" s="162"/>
      <c r="P282" s="162"/>
      <c r="Q282" s="162"/>
      <c r="R282" s="162"/>
      <c r="S282" s="161"/>
      <c r="T282" s="161"/>
      <c r="U282" s="163"/>
      <c r="V282" s="163"/>
      <c r="W282" s="163"/>
      <c r="X282" s="163"/>
      <c r="Y282" s="163"/>
      <c r="Z282" s="163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2"/>
      <c r="DC282" s="162"/>
      <c r="DD282" s="162"/>
      <c r="DE282" s="162"/>
      <c r="DF282" s="162"/>
      <c r="DG282" s="162"/>
      <c r="DH282" s="162"/>
      <c r="DI282" s="162"/>
      <c r="DJ282" s="162"/>
      <c r="DK282" s="162"/>
      <c r="DL282" s="162"/>
      <c r="DM282" s="162"/>
      <c r="DN282" s="162"/>
      <c r="DO282" s="162"/>
      <c r="DP282" s="162"/>
      <c r="DQ282" s="162"/>
      <c r="DR282" s="162"/>
      <c r="DS282" s="162"/>
      <c r="DT282" s="162"/>
      <c r="DU282" s="162"/>
      <c r="DV282" s="162"/>
      <c r="DW282" s="162"/>
    </row>
    <row r="283" spans="1:127" ht="15" customHeight="1">
      <c r="A283" s="159"/>
      <c r="B283" s="160"/>
      <c r="C283" s="161"/>
      <c r="D283" s="162"/>
      <c r="E283" s="162"/>
      <c r="F283" s="162"/>
      <c r="G283" s="162"/>
      <c r="H283" s="162"/>
      <c r="I283" s="162"/>
      <c r="J283" s="162"/>
      <c r="K283" s="162"/>
      <c r="L283" s="162"/>
      <c r="M283" s="162"/>
      <c r="N283" s="161"/>
      <c r="O283" s="162"/>
      <c r="P283" s="162"/>
      <c r="Q283" s="162"/>
      <c r="R283" s="162"/>
      <c r="S283" s="161"/>
      <c r="T283" s="161"/>
      <c r="U283" s="163"/>
      <c r="V283" s="163"/>
      <c r="W283" s="163"/>
      <c r="X283" s="163"/>
      <c r="Y283" s="163"/>
      <c r="Z283" s="163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2"/>
      <c r="DC283" s="162"/>
      <c r="DD283" s="162"/>
      <c r="DE283" s="162"/>
      <c r="DF283" s="162"/>
      <c r="DG283" s="162"/>
      <c r="DH283" s="162"/>
      <c r="DI283" s="162"/>
      <c r="DJ283" s="162"/>
      <c r="DK283" s="162"/>
      <c r="DL283" s="162"/>
      <c r="DM283" s="162"/>
      <c r="DN283" s="162"/>
      <c r="DO283" s="162"/>
      <c r="DP283" s="162"/>
      <c r="DQ283" s="162"/>
      <c r="DR283" s="162"/>
      <c r="DS283" s="162"/>
      <c r="DT283" s="162"/>
      <c r="DU283" s="162"/>
      <c r="DV283" s="162"/>
      <c r="DW283" s="162"/>
    </row>
    <row r="284" spans="1:127" ht="15" customHeight="1">
      <c r="A284" s="159"/>
      <c r="B284" s="160"/>
      <c r="C284" s="161"/>
      <c r="D284" s="162"/>
      <c r="E284" s="162"/>
      <c r="F284" s="162"/>
      <c r="G284" s="162"/>
      <c r="H284" s="162"/>
      <c r="I284" s="162"/>
      <c r="J284" s="162"/>
      <c r="K284" s="162"/>
      <c r="L284" s="162"/>
      <c r="M284" s="162"/>
      <c r="N284" s="161"/>
      <c r="O284" s="162"/>
      <c r="P284" s="162"/>
      <c r="Q284" s="162"/>
      <c r="R284" s="162"/>
      <c r="S284" s="161"/>
      <c r="T284" s="161"/>
      <c r="U284" s="163"/>
      <c r="V284" s="163"/>
      <c r="W284" s="163"/>
      <c r="X284" s="163"/>
      <c r="Y284" s="163"/>
      <c r="Z284" s="163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2"/>
      <c r="DC284" s="162"/>
      <c r="DD284" s="162"/>
      <c r="DE284" s="162"/>
      <c r="DF284" s="162"/>
      <c r="DG284" s="162"/>
      <c r="DH284" s="162"/>
      <c r="DI284" s="162"/>
      <c r="DJ284" s="162"/>
      <c r="DK284" s="162"/>
      <c r="DL284" s="162"/>
      <c r="DM284" s="162"/>
      <c r="DN284" s="162"/>
      <c r="DO284" s="162"/>
      <c r="DP284" s="162"/>
      <c r="DQ284" s="162"/>
      <c r="DR284" s="162"/>
      <c r="DS284" s="162"/>
      <c r="DT284" s="162"/>
      <c r="DU284" s="162"/>
      <c r="DV284" s="162"/>
      <c r="DW284" s="162"/>
    </row>
    <row r="285" spans="1:127" ht="15" customHeight="1">
      <c r="A285" s="159"/>
      <c r="B285" s="160"/>
      <c r="C285" s="161"/>
      <c r="D285" s="162"/>
      <c r="E285" s="162"/>
      <c r="F285" s="162"/>
      <c r="G285" s="162"/>
      <c r="H285" s="162"/>
      <c r="I285" s="162"/>
      <c r="J285" s="162"/>
      <c r="K285" s="162"/>
      <c r="L285" s="162"/>
      <c r="M285" s="162"/>
      <c r="N285" s="161"/>
      <c r="O285" s="162"/>
      <c r="P285" s="162"/>
      <c r="Q285" s="162"/>
      <c r="R285" s="162"/>
      <c r="S285" s="161"/>
      <c r="T285" s="161"/>
      <c r="U285" s="163"/>
      <c r="V285" s="163"/>
      <c r="W285" s="163"/>
      <c r="X285" s="163"/>
      <c r="Y285" s="163"/>
      <c r="Z285" s="163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2"/>
      <c r="DC285" s="162"/>
      <c r="DD285" s="162"/>
      <c r="DE285" s="162"/>
      <c r="DF285" s="162"/>
      <c r="DG285" s="162"/>
      <c r="DH285" s="162"/>
      <c r="DI285" s="162"/>
      <c r="DJ285" s="162"/>
      <c r="DK285" s="162"/>
      <c r="DL285" s="162"/>
      <c r="DM285" s="162"/>
      <c r="DN285" s="162"/>
      <c r="DO285" s="162"/>
      <c r="DP285" s="162"/>
      <c r="DQ285" s="162"/>
      <c r="DR285" s="162"/>
      <c r="DS285" s="162"/>
      <c r="DT285" s="162"/>
      <c r="DU285" s="162"/>
      <c r="DV285" s="162"/>
      <c r="DW285" s="162"/>
    </row>
    <row r="286" spans="1:127" ht="15" customHeight="1">
      <c r="A286" s="159"/>
      <c r="B286" s="160"/>
      <c r="C286" s="161"/>
      <c r="D286" s="162"/>
      <c r="E286" s="162"/>
      <c r="F286" s="162"/>
      <c r="G286" s="162"/>
      <c r="H286" s="162"/>
      <c r="I286" s="162"/>
      <c r="J286" s="162"/>
      <c r="K286" s="162"/>
      <c r="L286" s="162"/>
      <c r="M286" s="162"/>
      <c r="N286" s="161"/>
      <c r="O286" s="162"/>
      <c r="P286" s="162"/>
      <c r="Q286" s="162"/>
      <c r="R286" s="162"/>
      <c r="S286" s="161"/>
      <c r="T286" s="161"/>
      <c r="U286" s="163"/>
      <c r="V286" s="163"/>
      <c r="W286" s="163"/>
      <c r="X286" s="163"/>
      <c r="Y286" s="163"/>
      <c r="Z286" s="163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2"/>
      <c r="DC286" s="162"/>
      <c r="DD286" s="162"/>
      <c r="DE286" s="162"/>
      <c r="DF286" s="162"/>
      <c r="DG286" s="162"/>
      <c r="DH286" s="162"/>
      <c r="DI286" s="162"/>
      <c r="DJ286" s="162"/>
      <c r="DK286" s="162"/>
      <c r="DL286" s="162"/>
      <c r="DM286" s="162"/>
      <c r="DN286" s="162"/>
      <c r="DO286" s="162"/>
      <c r="DP286" s="162"/>
      <c r="DQ286" s="162"/>
      <c r="DR286" s="162"/>
      <c r="DS286" s="162"/>
      <c r="DT286" s="162"/>
      <c r="DU286" s="162"/>
      <c r="DV286" s="162"/>
      <c r="DW286" s="162"/>
    </row>
    <row r="287" spans="1:127" ht="15" customHeight="1">
      <c r="A287" s="159"/>
      <c r="B287" s="160"/>
      <c r="C287" s="161"/>
      <c r="D287" s="162"/>
      <c r="E287" s="162"/>
      <c r="F287" s="162"/>
      <c r="G287" s="162"/>
      <c r="H287" s="162"/>
      <c r="I287" s="162"/>
      <c r="J287" s="162"/>
      <c r="K287" s="162"/>
      <c r="L287" s="162"/>
      <c r="M287" s="162"/>
      <c r="N287" s="161"/>
      <c r="O287" s="162"/>
      <c r="P287" s="162"/>
      <c r="Q287" s="162"/>
      <c r="R287" s="162"/>
      <c r="S287" s="161"/>
      <c r="T287" s="161"/>
      <c r="U287" s="163"/>
      <c r="V287" s="163"/>
      <c r="W287" s="163"/>
      <c r="X287" s="163"/>
      <c r="Y287" s="163"/>
      <c r="Z287" s="163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2"/>
      <c r="DC287" s="162"/>
      <c r="DD287" s="162"/>
      <c r="DE287" s="162"/>
      <c r="DF287" s="162"/>
      <c r="DG287" s="162"/>
      <c r="DH287" s="162"/>
      <c r="DI287" s="162"/>
      <c r="DJ287" s="162"/>
      <c r="DK287" s="162"/>
      <c r="DL287" s="162"/>
      <c r="DM287" s="162"/>
      <c r="DN287" s="162"/>
      <c r="DO287" s="162"/>
      <c r="DP287" s="162"/>
      <c r="DQ287" s="162"/>
      <c r="DR287" s="162"/>
      <c r="DS287" s="162"/>
      <c r="DT287" s="162"/>
      <c r="DU287" s="162"/>
      <c r="DV287" s="162"/>
      <c r="DW287" s="162"/>
    </row>
    <row r="288" spans="1:127" ht="15" customHeight="1">
      <c r="A288" s="159"/>
      <c r="B288" s="160"/>
      <c r="C288" s="161"/>
      <c r="D288" s="162"/>
      <c r="E288" s="162"/>
      <c r="F288" s="162"/>
      <c r="G288" s="162"/>
      <c r="H288" s="162"/>
      <c r="I288" s="162"/>
      <c r="J288" s="162"/>
      <c r="K288" s="162"/>
      <c r="L288" s="162"/>
      <c r="M288" s="162"/>
      <c r="N288" s="161"/>
      <c r="O288" s="162"/>
      <c r="P288" s="162"/>
      <c r="Q288" s="162"/>
      <c r="R288" s="162"/>
      <c r="S288" s="161"/>
      <c r="T288" s="161"/>
      <c r="U288" s="163"/>
      <c r="V288" s="163"/>
      <c r="W288" s="163"/>
      <c r="X288" s="163"/>
      <c r="Y288" s="163"/>
      <c r="Z288" s="163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2"/>
      <c r="DC288" s="162"/>
      <c r="DD288" s="162"/>
      <c r="DE288" s="162"/>
      <c r="DF288" s="162"/>
      <c r="DG288" s="162"/>
      <c r="DH288" s="162"/>
      <c r="DI288" s="162"/>
      <c r="DJ288" s="162"/>
      <c r="DK288" s="162"/>
      <c r="DL288" s="162"/>
      <c r="DM288" s="162"/>
      <c r="DN288" s="162"/>
      <c r="DO288" s="162"/>
      <c r="DP288" s="162"/>
      <c r="DQ288" s="162"/>
      <c r="DR288" s="162"/>
      <c r="DS288" s="162"/>
      <c r="DT288" s="162"/>
      <c r="DU288" s="162"/>
      <c r="DV288" s="162"/>
      <c r="DW288" s="162"/>
    </row>
    <row r="289" spans="1:127" ht="15" customHeight="1">
      <c r="A289" s="159"/>
      <c r="B289" s="160"/>
      <c r="C289" s="161"/>
      <c r="D289" s="162"/>
      <c r="E289" s="162"/>
      <c r="F289" s="162"/>
      <c r="G289" s="162"/>
      <c r="H289" s="162"/>
      <c r="I289" s="162"/>
      <c r="J289" s="162"/>
      <c r="K289" s="162"/>
      <c r="L289" s="162"/>
      <c r="M289" s="162"/>
      <c r="N289" s="161"/>
      <c r="O289" s="162"/>
      <c r="P289" s="162"/>
      <c r="Q289" s="162"/>
      <c r="R289" s="162"/>
      <c r="S289" s="161"/>
      <c r="T289" s="161"/>
      <c r="U289" s="163"/>
      <c r="V289" s="163"/>
      <c r="W289" s="163"/>
      <c r="X289" s="163"/>
      <c r="Y289" s="163"/>
      <c r="Z289" s="163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2"/>
      <c r="DC289" s="162"/>
      <c r="DD289" s="162"/>
      <c r="DE289" s="162"/>
      <c r="DF289" s="162"/>
      <c r="DG289" s="162"/>
      <c r="DH289" s="162"/>
      <c r="DI289" s="162"/>
      <c r="DJ289" s="162"/>
      <c r="DK289" s="162"/>
      <c r="DL289" s="162"/>
      <c r="DM289" s="162"/>
      <c r="DN289" s="162"/>
      <c r="DO289" s="162"/>
      <c r="DP289" s="162"/>
      <c r="DQ289" s="162"/>
      <c r="DR289" s="162"/>
      <c r="DS289" s="162"/>
      <c r="DT289" s="162"/>
      <c r="DU289" s="162"/>
      <c r="DV289" s="162"/>
      <c r="DW289" s="162"/>
    </row>
    <row r="290" spans="1:127" ht="15" customHeight="1">
      <c r="A290" s="159"/>
      <c r="B290" s="160"/>
      <c r="C290" s="161"/>
      <c r="D290" s="162"/>
      <c r="E290" s="162"/>
      <c r="F290" s="162"/>
      <c r="G290" s="162"/>
      <c r="H290" s="162"/>
      <c r="I290" s="162"/>
      <c r="J290" s="162"/>
      <c r="K290" s="162"/>
      <c r="L290" s="162"/>
      <c r="M290" s="162"/>
      <c r="N290" s="161"/>
      <c r="O290" s="162"/>
      <c r="P290" s="162"/>
      <c r="Q290" s="162"/>
      <c r="R290" s="162"/>
      <c r="S290" s="161"/>
      <c r="T290" s="161"/>
      <c r="U290" s="163"/>
      <c r="V290" s="163"/>
      <c r="W290" s="163"/>
      <c r="X290" s="163"/>
      <c r="Y290" s="163"/>
      <c r="Z290" s="163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2"/>
      <c r="DC290" s="162"/>
      <c r="DD290" s="162"/>
      <c r="DE290" s="162"/>
      <c r="DF290" s="162"/>
      <c r="DG290" s="162"/>
      <c r="DH290" s="162"/>
      <c r="DI290" s="162"/>
      <c r="DJ290" s="162"/>
      <c r="DK290" s="162"/>
      <c r="DL290" s="162"/>
      <c r="DM290" s="162"/>
      <c r="DN290" s="162"/>
      <c r="DO290" s="162"/>
      <c r="DP290" s="162"/>
      <c r="DQ290" s="162"/>
      <c r="DR290" s="162"/>
      <c r="DS290" s="162"/>
      <c r="DT290" s="162"/>
      <c r="DU290" s="162"/>
      <c r="DV290" s="162"/>
      <c r="DW290" s="162"/>
    </row>
    <row r="291" spans="1:127" ht="15" customHeight="1">
      <c r="A291" s="159"/>
      <c r="B291" s="160"/>
      <c r="C291" s="161"/>
      <c r="D291" s="162"/>
      <c r="E291" s="162"/>
      <c r="F291" s="162"/>
      <c r="G291" s="162"/>
      <c r="H291" s="162"/>
      <c r="I291" s="162"/>
      <c r="J291" s="162"/>
      <c r="K291" s="162"/>
      <c r="L291" s="162"/>
      <c r="M291" s="162"/>
      <c r="N291" s="161"/>
      <c r="O291" s="162"/>
      <c r="P291" s="162"/>
      <c r="Q291" s="162"/>
      <c r="R291" s="162"/>
      <c r="S291" s="161"/>
      <c r="T291" s="161"/>
      <c r="U291" s="163"/>
      <c r="V291" s="163"/>
      <c r="W291" s="163"/>
      <c r="X291" s="163"/>
      <c r="Y291" s="163"/>
      <c r="Z291" s="163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2"/>
      <c r="DC291" s="162"/>
      <c r="DD291" s="162"/>
      <c r="DE291" s="162"/>
      <c r="DF291" s="162"/>
      <c r="DG291" s="162"/>
      <c r="DH291" s="162"/>
      <c r="DI291" s="162"/>
      <c r="DJ291" s="162"/>
      <c r="DK291" s="162"/>
      <c r="DL291" s="162"/>
      <c r="DM291" s="162"/>
      <c r="DN291" s="162"/>
      <c r="DO291" s="162"/>
      <c r="DP291" s="162"/>
      <c r="DQ291" s="162"/>
      <c r="DR291" s="162"/>
      <c r="DS291" s="162"/>
      <c r="DT291" s="162"/>
      <c r="DU291" s="162"/>
      <c r="DV291" s="162"/>
      <c r="DW291" s="162"/>
    </row>
    <row r="292" spans="1:127" ht="15" customHeight="1">
      <c r="A292" s="159"/>
      <c r="B292" s="160"/>
      <c r="C292" s="161"/>
      <c r="D292" s="162"/>
      <c r="E292" s="162"/>
      <c r="F292" s="162"/>
      <c r="G292" s="162"/>
      <c r="H292" s="162"/>
      <c r="I292" s="162"/>
      <c r="J292" s="162"/>
      <c r="K292" s="162"/>
      <c r="L292" s="162"/>
      <c r="M292" s="162"/>
      <c r="N292" s="161"/>
      <c r="O292" s="162"/>
      <c r="P292" s="162"/>
      <c r="Q292" s="162"/>
      <c r="R292" s="162"/>
      <c r="S292" s="161"/>
      <c r="T292" s="161"/>
      <c r="U292" s="163"/>
      <c r="V292" s="163"/>
      <c r="W292" s="163"/>
      <c r="X292" s="163"/>
      <c r="Y292" s="163"/>
      <c r="Z292" s="163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2"/>
      <c r="DC292" s="162"/>
      <c r="DD292" s="162"/>
      <c r="DE292" s="162"/>
      <c r="DF292" s="162"/>
      <c r="DG292" s="162"/>
      <c r="DH292" s="162"/>
      <c r="DI292" s="162"/>
      <c r="DJ292" s="162"/>
      <c r="DK292" s="162"/>
      <c r="DL292" s="162"/>
      <c r="DM292" s="162"/>
      <c r="DN292" s="162"/>
      <c r="DO292" s="162"/>
      <c r="DP292" s="162"/>
      <c r="DQ292" s="162"/>
      <c r="DR292" s="162"/>
      <c r="DS292" s="162"/>
      <c r="DT292" s="162"/>
      <c r="DU292" s="162"/>
      <c r="DV292" s="162"/>
      <c r="DW292" s="162"/>
    </row>
    <row r="293" spans="1:127" ht="15" customHeight="1">
      <c r="A293" s="159"/>
      <c r="B293" s="160"/>
      <c r="C293" s="161"/>
      <c r="D293" s="162"/>
      <c r="E293" s="162"/>
      <c r="F293" s="162"/>
      <c r="G293" s="162"/>
      <c r="H293" s="162"/>
      <c r="I293" s="162"/>
      <c r="J293" s="162"/>
      <c r="K293" s="162"/>
      <c r="L293" s="162"/>
      <c r="M293" s="162"/>
      <c r="N293" s="161"/>
      <c r="O293" s="162"/>
      <c r="P293" s="162"/>
      <c r="Q293" s="162"/>
      <c r="R293" s="162"/>
      <c r="S293" s="161"/>
      <c r="T293" s="161"/>
      <c r="U293" s="163"/>
      <c r="V293" s="163"/>
      <c r="W293" s="163"/>
      <c r="X293" s="163"/>
      <c r="Y293" s="163"/>
      <c r="Z293" s="163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2"/>
      <c r="DC293" s="162"/>
      <c r="DD293" s="162"/>
      <c r="DE293" s="162"/>
      <c r="DF293" s="162"/>
      <c r="DG293" s="162"/>
      <c r="DH293" s="162"/>
      <c r="DI293" s="162"/>
      <c r="DJ293" s="162"/>
      <c r="DK293" s="162"/>
      <c r="DL293" s="162"/>
      <c r="DM293" s="162"/>
      <c r="DN293" s="162"/>
      <c r="DO293" s="162"/>
      <c r="DP293" s="162"/>
      <c r="DQ293" s="162"/>
      <c r="DR293" s="162"/>
      <c r="DS293" s="162"/>
      <c r="DT293" s="162"/>
      <c r="DU293" s="162"/>
      <c r="DV293" s="162"/>
      <c r="DW293" s="162"/>
    </row>
    <row r="294" spans="1:127" ht="15" customHeight="1">
      <c r="A294" s="159"/>
      <c r="B294" s="160"/>
      <c r="C294" s="161"/>
      <c r="D294" s="162"/>
      <c r="E294" s="162"/>
      <c r="F294" s="162"/>
      <c r="G294" s="162"/>
      <c r="H294" s="162"/>
      <c r="I294" s="162"/>
      <c r="J294" s="162"/>
      <c r="K294" s="162"/>
      <c r="L294" s="162"/>
      <c r="M294" s="162"/>
      <c r="N294" s="161"/>
      <c r="O294" s="162"/>
      <c r="P294" s="162"/>
      <c r="Q294" s="162"/>
      <c r="R294" s="162"/>
      <c r="S294" s="161"/>
      <c r="T294" s="161"/>
      <c r="U294" s="163"/>
      <c r="V294" s="163"/>
      <c r="W294" s="163"/>
      <c r="X294" s="163"/>
      <c r="Y294" s="163"/>
      <c r="Z294" s="163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2"/>
      <c r="DC294" s="162"/>
      <c r="DD294" s="162"/>
      <c r="DE294" s="162"/>
      <c r="DF294" s="162"/>
      <c r="DG294" s="162"/>
      <c r="DH294" s="162"/>
      <c r="DI294" s="162"/>
      <c r="DJ294" s="162"/>
      <c r="DK294" s="162"/>
      <c r="DL294" s="162"/>
      <c r="DM294" s="162"/>
      <c r="DN294" s="162"/>
      <c r="DO294" s="162"/>
      <c r="DP294" s="162"/>
      <c r="DQ294" s="162"/>
      <c r="DR294" s="162"/>
      <c r="DS294" s="162"/>
      <c r="DT294" s="162"/>
      <c r="DU294" s="162"/>
      <c r="DV294" s="162"/>
      <c r="DW294" s="162"/>
    </row>
    <row r="295" spans="1:127" ht="15" customHeight="1">
      <c r="A295" s="159"/>
      <c r="B295" s="160"/>
      <c r="C295" s="161"/>
      <c r="D295" s="162"/>
      <c r="E295" s="162"/>
      <c r="F295" s="162"/>
      <c r="G295" s="162"/>
      <c r="H295" s="162"/>
      <c r="I295" s="162"/>
      <c r="J295" s="162"/>
      <c r="K295" s="162"/>
      <c r="L295" s="162"/>
      <c r="M295" s="162"/>
      <c r="N295" s="161"/>
      <c r="O295" s="162"/>
      <c r="P295" s="162"/>
      <c r="Q295" s="162"/>
      <c r="R295" s="162"/>
      <c r="S295" s="161"/>
      <c r="T295" s="161"/>
      <c r="U295" s="163"/>
      <c r="V295" s="163"/>
      <c r="W295" s="163"/>
      <c r="X295" s="163"/>
      <c r="Y295" s="163"/>
      <c r="Z295" s="163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2"/>
      <c r="DC295" s="162"/>
      <c r="DD295" s="162"/>
      <c r="DE295" s="162"/>
      <c r="DF295" s="162"/>
      <c r="DG295" s="162"/>
      <c r="DH295" s="162"/>
      <c r="DI295" s="162"/>
      <c r="DJ295" s="162"/>
      <c r="DK295" s="162"/>
      <c r="DL295" s="162"/>
      <c r="DM295" s="162"/>
      <c r="DN295" s="162"/>
      <c r="DO295" s="162"/>
      <c r="DP295" s="162"/>
      <c r="DQ295" s="162"/>
      <c r="DR295" s="162"/>
      <c r="DS295" s="162"/>
      <c r="DT295" s="162"/>
      <c r="DU295" s="162"/>
      <c r="DV295" s="162"/>
      <c r="DW295" s="162"/>
    </row>
    <row r="296" spans="1:127" ht="15" customHeight="1">
      <c r="A296" s="159"/>
      <c r="B296" s="160"/>
      <c r="C296" s="161"/>
      <c r="D296" s="162"/>
      <c r="E296" s="162"/>
      <c r="F296" s="162"/>
      <c r="G296" s="162"/>
      <c r="H296" s="162"/>
      <c r="I296" s="162"/>
      <c r="J296" s="162"/>
      <c r="K296" s="162"/>
      <c r="L296" s="162"/>
      <c r="M296" s="162"/>
      <c r="N296" s="161"/>
      <c r="O296" s="162"/>
      <c r="P296" s="162"/>
      <c r="Q296" s="162"/>
      <c r="R296" s="162"/>
      <c r="S296" s="161"/>
      <c r="T296" s="161"/>
      <c r="U296" s="163"/>
      <c r="V296" s="163"/>
      <c r="W296" s="163"/>
      <c r="X296" s="163"/>
      <c r="Y296" s="163"/>
      <c r="Z296" s="163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2"/>
      <c r="DC296" s="162"/>
      <c r="DD296" s="162"/>
      <c r="DE296" s="162"/>
      <c r="DF296" s="162"/>
      <c r="DG296" s="162"/>
      <c r="DH296" s="162"/>
      <c r="DI296" s="162"/>
      <c r="DJ296" s="162"/>
      <c r="DK296" s="162"/>
      <c r="DL296" s="162"/>
      <c r="DM296" s="162"/>
      <c r="DN296" s="162"/>
      <c r="DO296" s="162"/>
      <c r="DP296" s="162"/>
      <c r="DQ296" s="162"/>
      <c r="DR296" s="162"/>
      <c r="DS296" s="162"/>
      <c r="DT296" s="162"/>
      <c r="DU296" s="162"/>
      <c r="DV296" s="162"/>
      <c r="DW296" s="162"/>
    </row>
    <row r="297" spans="1:127" ht="15" customHeight="1">
      <c r="A297" s="159"/>
      <c r="B297" s="160"/>
      <c r="C297" s="161"/>
      <c r="D297" s="162"/>
      <c r="E297" s="162"/>
      <c r="F297" s="162"/>
      <c r="G297" s="162"/>
      <c r="H297" s="162"/>
      <c r="I297" s="162"/>
      <c r="J297" s="162"/>
      <c r="K297" s="162"/>
      <c r="L297" s="162"/>
      <c r="M297" s="162"/>
      <c r="N297" s="161"/>
      <c r="O297" s="162"/>
      <c r="P297" s="162"/>
      <c r="Q297" s="162"/>
      <c r="R297" s="162"/>
      <c r="S297" s="161"/>
      <c r="T297" s="161"/>
      <c r="U297" s="163"/>
      <c r="V297" s="163"/>
      <c r="W297" s="163"/>
      <c r="X297" s="163"/>
      <c r="Y297" s="163"/>
      <c r="Z297" s="163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2"/>
      <c r="DC297" s="162"/>
      <c r="DD297" s="162"/>
      <c r="DE297" s="162"/>
      <c r="DF297" s="162"/>
      <c r="DG297" s="162"/>
      <c r="DH297" s="162"/>
      <c r="DI297" s="162"/>
      <c r="DJ297" s="162"/>
      <c r="DK297" s="162"/>
      <c r="DL297" s="162"/>
      <c r="DM297" s="162"/>
      <c r="DN297" s="162"/>
      <c r="DO297" s="162"/>
      <c r="DP297" s="162"/>
      <c r="DQ297" s="162"/>
      <c r="DR297" s="162"/>
      <c r="DS297" s="162"/>
      <c r="DT297" s="162"/>
      <c r="DU297" s="162"/>
      <c r="DV297" s="162"/>
      <c r="DW297" s="162"/>
    </row>
    <row r="298" spans="1:127" ht="15" customHeight="1">
      <c r="A298" s="159"/>
      <c r="B298" s="160"/>
      <c r="C298" s="161"/>
      <c r="D298" s="162"/>
      <c r="E298" s="162"/>
      <c r="F298" s="162"/>
      <c r="G298" s="162"/>
      <c r="H298" s="162"/>
      <c r="I298" s="162"/>
      <c r="J298" s="162"/>
      <c r="K298" s="162"/>
      <c r="L298" s="162"/>
      <c r="M298" s="162"/>
      <c r="N298" s="161"/>
      <c r="O298" s="162"/>
      <c r="P298" s="162"/>
      <c r="Q298" s="162"/>
      <c r="R298" s="162"/>
      <c r="S298" s="161"/>
      <c r="T298" s="161"/>
      <c r="U298" s="163"/>
      <c r="V298" s="163"/>
      <c r="W298" s="163"/>
      <c r="X298" s="163"/>
      <c r="Y298" s="163"/>
      <c r="Z298" s="163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2"/>
      <c r="DC298" s="162"/>
      <c r="DD298" s="162"/>
      <c r="DE298" s="162"/>
      <c r="DF298" s="162"/>
      <c r="DG298" s="162"/>
      <c r="DH298" s="162"/>
      <c r="DI298" s="162"/>
      <c r="DJ298" s="162"/>
      <c r="DK298" s="162"/>
      <c r="DL298" s="162"/>
      <c r="DM298" s="162"/>
      <c r="DN298" s="162"/>
      <c r="DO298" s="162"/>
      <c r="DP298" s="162"/>
      <c r="DQ298" s="162"/>
      <c r="DR298" s="162"/>
      <c r="DS298" s="162"/>
      <c r="DT298" s="162"/>
      <c r="DU298" s="162"/>
      <c r="DV298" s="162"/>
      <c r="DW298" s="162"/>
    </row>
    <row r="299" spans="1:127" ht="15" customHeight="1">
      <c r="A299" s="159"/>
      <c r="B299" s="160"/>
      <c r="C299" s="161"/>
      <c r="D299" s="162"/>
      <c r="E299" s="162"/>
      <c r="F299" s="162"/>
      <c r="G299" s="162"/>
      <c r="H299" s="162"/>
      <c r="I299" s="162"/>
      <c r="J299" s="162"/>
      <c r="K299" s="162"/>
      <c r="L299" s="162"/>
      <c r="M299" s="162"/>
      <c r="N299" s="161"/>
      <c r="O299" s="162"/>
      <c r="P299" s="162"/>
      <c r="Q299" s="162"/>
      <c r="R299" s="162"/>
      <c r="S299" s="161"/>
      <c r="T299" s="161"/>
      <c r="U299" s="163"/>
      <c r="V299" s="163"/>
      <c r="W299" s="163"/>
      <c r="X299" s="163"/>
      <c r="Y299" s="163"/>
      <c r="Z299" s="163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2"/>
      <c r="DC299" s="162"/>
      <c r="DD299" s="162"/>
      <c r="DE299" s="162"/>
      <c r="DF299" s="162"/>
      <c r="DG299" s="162"/>
      <c r="DH299" s="162"/>
      <c r="DI299" s="162"/>
      <c r="DJ299" s="162"/>
      <c r="DK299" s="162"/>
      <c r="DL299" s="162"/>
      <c r="DM299" s="162"/>
      <c r="DN299" s="162"/>
      <c r="DO299" s="162"/>
      <c r="DP299" s="162"/>
      <c r="DQ299" s="162"/>
      <c r="DR299" s="162"/>
      <c r="DS299" s="162"/>
      <c r="DT299" s="162"/>
      <c r="DU299" s="162"/>
      <c r="DV299" s="162"/>
      <c r="DW299" s="162"/>
    </row>
    <row r="300" spans="1:127" ht="15" customHeight="1">
      <c r="A300" s="159"/>
      <c r="B300" s="160"/>
      <c r="C300" s="161"/>
      <c r="D300" s="162"/>
      <c r="E300" s="162"/>
      <c r="F300" s="162"/>
      <c r="G300" s="162"/>
      <c r="H300" s="162"/>
      <c r="I300" s="162"/>
      <c r="J300" s="162"/>
      <c r="K300" s="162"/>
      <c r="L300" s="162"/>
      <c r="M300" s="162"/>
      <c r="N300" s="161"/>
      <c r="O300" s="162"/>
      <c r="P300" s="162"/>
      <c r="Q300" s="162"/>
      <c r="R300" s="162"/>
      <c r="S300" s="161"/>
      <c r="T300" s="161"/>
      <c r="U300" s="163"/>
      <c r="V300" s="163"/>
      <c r="W300" s="163"/>
      <c r="X300" s="163"/>
      <c r="Y300" s="163"/>
      <c r="Z300" s="163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2"/>
      <c r="DC300" s="162"/>
      <c r="DD300" s="162"/>
      <c r="DE300" s="162"/>
      <c r="DF300" s="162"/>
      <c r="DG300" s="162"/>
      <c r="DH300" s="162"/>
      <c r="DI300" s="162"/>
      <c r="DJ300" s="162"/>
      <c r="DK300" s="162"/>
      <c r="DL300" s="162"/>
      <c r="DM300" s="162"/>
      <c r="DN300" s="162"/>
      <c r="DO300" s="162"/>
      <c r="DP300" s="162"/>
      <c r="DQ300" s="162"/>
      <c r="DR300" s="162"/>
      <c r="DS300" s="162"/>
      <c r="DT300" s="162"/>
      <c r="DU300" s="162"/>
      <c r="DV300" s="162"/>
      <c r="DW300" s="162"/>
    </row>
    <row r="301" spans="1:127" ht="15" customHeight="1">
      <c r="A301" s="159"/>
      <c r="B301" s="160"/>
      <c r="C301" s="161"/>
      <c r="D301" s="162"/>
      <c r="E301" s="162"/>
      <c r="F301" s="162"/>
      <c r="G301" s="162"/>
      <c r="H301" s="162"/>
      <c r="I301" s="162"/>
      <c r="J301" s="162"/>
      <c r="K301" s="162"/>
      <c r="L301" s="162"/>
      <c r="M301" s="162"/>
      <c r="N301" s="161"/>
      <c r="O301" s="162"/>
      <c r="P301" s="162"/>
      <c r="Q301" s="162"/>
      <c r="R301" s="162"/>
      <c r="S301" s="161"/>
      <c r="T301" s="161"/>
      <c r="U301" s="163"/>
      <c r="V301" s="163"/>
      <c r="W301" s="163"/>
      <c r="X301" s="163"/>
      <c r="Y301" s="163"/>
      <c r="Z301" s="163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2"/>
      <c r="DC301" s="162"/>
      <c r="DD301" s="162"/>
      <c r="DE301" s="162"/>
      <c r="DF301" s="162"/>
      <c r="DG301" s="162"/>
      <c r="DH301" s="162"/>
      <c r="DI301" s="162"/>
      <c r="DJ301" s="162"/>
      <c r="DK301" s="162"/>
      <c r="DL301" s="162"/>
      <c r="DM301" s="162"/>
      <c r="DN301" s="162"/>
      <c r="DO301" s="162"/>
      <c r="DP301" s="162"/>
      <c r="DQ301" s="162"/>
      <c r="DR301" s="162"/>
      <c r="DS301" s="162"/>
      <c r="DT301" s="162"/>
      <c r="DU301" s="162"/>
      <c r="DV301" s="162"/>
      <c r="DW301" s="162"/>
    </row>
    <row r="302" spans="1:127" ht="15" customHeight="1">
      <c r="A302" s="159"/>
      <c r="B302" s="160"/>
      <c r="C302" s="161"/>
      <c r="D302" s="162"/>
      <c r="E302" s="162"/>
      <c r="F302" s="162"/>
      <c r="G302" s="162"/>
      <c r="H302" s="162"/>
      <c r="I302" s="162"/>
      <c r="J302" s="162"/>
      <c r="K302" s="162"/>
      <c r="L302" s="162"/>
      <c r="M302" s="162"/>
      <c r="N302" s="161"/>
      <c r="O302" s="162"/>
      <c r="P302" s="162"/>
      <c r="Q302" s="162"/>
      <c r="R302" s="162"/>
      <c r="S302" s="161"/>
      <c r="T302" s="161"/>
      <c r="U302" s="163"/>
      <c r="V302" s="163"/>
      <c r="W302" s="163"/>
      <c r="X302" s="163"/>
      <c r="Y302" s="163"/>
      <c r="Z302" s="163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2"/>
      <c r="DC302" s="162"/>
      <c r="DD302" s="162"/>
      <c r="DE302" s="162"/>
      <c r="DF302" s="162"/>
      <c r="DG302" s="162"/>
      <c r="DH302" s="162"/>
      <c r="DI302" s="162"/>
      <c r="DJ302" s="162"/>
      <c r="DK302" s="162"/>
      <c r="DL302" s="162"/>
      <c r="DM302" s="162"/>
      <c r="DN302" s="162"/>
      <c r="DO302" s="162"/>
      <c r="DP302" s="162"/>
      <c r="DQ302" s="162"/>
      <c r="DR302" s="162"/>
      <c r="DS302" s="162"/>
      <c r="DT302" s="162"/>
      <c r="DU302" s="162"/>
      <c r="DV302" s="162"/>
      <c r="DW302" s="162"/>
    </row>
    <row r="303" spans="1:127" ht="15" customHeight="1">
      <c r="A303" s="159"/>
      <c r="B303" s="160"/>
      <c r="C303" s="161"/>
      <c r="D303" s="162"/>
      <c r="E303" s="162"/>
      <c r="F303" s="162"/>
      <c r="G303" s="162"/>
      <c r="H303" s="162"/>
      <c r="I303" s="162"/>
      <c r="J303" s="162"/>
      <c r="K303" s="162"/>
      <c r="L303" s="162"/>
      <c r="M303" s="162"/>
      <c r="N303" s="161"/>
      <c r="O303" s="162"/>
      <c r="P303" s="162"/>
      <c r="Q303" s="162"/>
      <c r="R303" s="162"/>
      <c r="S303" s="161"/>
      <c r="T303" s="161"/>
      <c r="U303" s="163"/>
      <c r="V303" s="163"/>
      <c r="W303" s="163"/>
      <c r="X303" s="163"/>
      <c r="Y303" s="163"/>
      <c r="Z303" s="163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2"/>
      <c r="DC303" s="162"/>
      <c r="DD303" s="162"/>
      <c r="DE303" s="162"/>
      <c r="DF303" s="162"/>
      <c r="DG303" s="162"/>
      <c r="DH303" s="162"/>
      <c r="DI303" s="162"/>
      <c r="DJ303" s="162"/>
      <c r="DK303" s="162"/>
      <c r="DL303" s="162"/>
      <c r="DM303" s="162"/>
      <c r="DN303" s="162"/>
      <c r="DO303" s="162"/>
      <c r="DP303" s="162"/>
      <c r="DQ303" s="162"/>
      <c r="DR303" s="162"/>
      <c r="DS303" s="162"/>
      <c r="DT303" s="162"/>
      <c r="DU303" s="162"/>
      <c r="DV303" s="162"/>
      <c r="DW303" s="162"/>
    </row>
    <row r="304" spans="1:127" ht="15" customHeight="1">
      <c r="A304" s="159"/>
      <c r="B304" s="160"/>
      <c r="C304" s="161"/>
      <c r="D304" s="162"/>
      <c r="E304" s="162"/>
      <c r="F304" s="162"/>
      <c r="G304" s="162"/>
      <c r="H304" s="162"/>
      <c r="I304" s="162"/>
      <c r="J304" s="162"/>
      <c r="K304" s="162"/>
      <c r="L304" s="162"/>
      <c r="M304" s="162"/>
      <c r="N304" s="161"/>
      <c r="O304" s="162"/>
      <c r="P304" s="162"/>
      <c r="Q304" s="162"/>
      <c r="R304" s="162"/>
      <c r="S304" s="161"/>
      <c r="T304" s="161"/>
      <c r="U304" s="163"/>
      <c r="V304" s="163"/>
      <c r="W304" s="163"/>
      <c r="X304" s="163"/>
      <c r="Y304" s="163"/>
      <c r="Z304" s="163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2"/>
      <c r="DC304" s="162"/>
      <c r="DD304" s="162"/>
      <c r="DE304" s="162"/>
      <c r="DF304" s="162"/>
      <c r="DG304" s="162"/>
      <c r="DH304" s="162"/>
      <c r="DI304" s="162"/>
      <c r="DJ304" s="162"/>
      <c r="DK304" s="162"/>
      <c r="DL304" s="162"/>
      <c r="DM304" s="162"/>
      <c r="DN304" s="162"/>
      <c r="DO304" s="162"/>
      <c r="DP304" s="162"/>
      <c r="DQ304" s="162"/>
      <c r="DR304" s="162"/>
      <c r="DS304" s="162"/>
      <c r="DT304" s="162"/>
      <c r="DU304" s="162"/>
      <c r="DV304" s="162"/>
      <c r="DW304" s="162"/>
    </row>
    <row r="305" spans="1:127" ht="15" customHeight="1">
      <c r="A305" s="159"/>
      <c r="B305" s="160"/>
      <c r="C305" s="161"/>
      <c r="D305" s="162"/>
      <c r="E305" s="162"/>
      <c r="F305" s="162"/>
      <c r="G305" s="162"/>
      <c r="H305" s="162"/>
      <c r="I305" s="162"/>
      <c r="J305" s="162"/>
      <c r="K305" s="162"/>
      <c r="L305" s="162"/>
      <c r="M305" s="162"/>
      <c r="N305" s="161"/>
      <c r="O305" s="162"/>
      <c r="P305" s="162"/>
      <c r="Q305" s="162"/>
      <c r="R305" s="162"/>
      <c r="S305" s="161"/>
      <c r="T305" s="161"/>
      <c r="U305" s="163"/>
      <c r="V305" s="163"/>
      <c r="W305" s="163"/>
      <c r="X305" s="163"/>
      <c r="Y305" s="163"/>
      <c r="Z305" s="163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2"/>
      <c r="DC305" s="162"/>
      <c r="DD305" s="162"/>
      <c r="DE305" s="162"/>
      <c r="DF305" s="162"/>
      <c r="DG305" s="162"/>
      <c r="DH305" s="162"/>
      <c r="DI305" s="162"/>
      <c r="DJ305" s="162"/>
      <c r="DK305" s="162"/>
      <c r="DL305" s="162"/>
      <c r="DM305" s="162"/>
      <c r="DN305" s="162"/>
      <c r="DO305" s="162"/>
      <c r="DP305" s="162"/>
      <c r="DQ305" s="162"/>
      <c r="DR305" s="162"/>
      <c r="DS305" s="162"/>
      <c r="DT305" s="162"/>
      <c r="DU305" s="162"/>
      <c r="DV305" s="162"/>
      <c r="DW305" s="162"/>
    </row>
    <row r="306" spans="1:127" ht="15" customHeight="1">
      <c r="A306" s="159"/>
      <c r="B306" s="160"/>
      <c r="C306" s="161"/>
      <c r="D306" s="162"/>
      <c r="E306" s="162"/>
      <c r="F306" s="162"/>
      <c r="G306" s="162"/>
      <c r="H306" s="162"/>
      <c r="I306" s="162"/>
      <c r="J306" s="162"/>
      <c r="K306" s="162"/>
      <c r="L306" s="162"/>
      <c r="M306" s="162"/>
      <c r="N306" s="161"/>
      <c r="O306" s="162"/>
      <c r="P306" s="162"/>
      <c r="Q306" s="162"/>
      <c r="R306" s="162"/>
      <c r="S306" s="161"/>
      <c r="T306" s="161"/>
      <c r="U306" s="163"/>
      <c r="V306" s="163"/>
      <c r="W306" s="163"/>
      <c r="X306" s="163"/>
      <c r="Y306" s="163"/>
      <c r="Z306" s="163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2"/>
      <c r="DC306" s="162"/>
      <c r="DD306" s="162"/>
      <c r="DE306" s="162"/>
      <c r="DF306" s="162"/>
      <c r="DG306" s="162"/>
      <c r="DH306" s="162"/>
      <c r="DI306" s="162"/>
      <c r="DJ306" s="162"/>
      <c r="DK306" s="162"/>
      <c r="DL306" s="162"/>
      <c r="DM306" s="162"/>
      <c r="DN306" s="162"/>
      <c r="DO306" s="162"/>
      <c r="DP306" s="162"/>
      <c r="DQ306" s="162"/>
      <c r="DR306" s="162"/>
      <c r="DS306" s="162"/>
      <c r="DT306" s="162"/>
      <c r="DU306" s="162"/>
      <c r="DV306" s="162"/>
      <c r="DW306" s="162"/>
    </row>
    <row r="307" spans="1:127" ht="15" customHeight="1">
      <c r="A307" s="159"/>
      <c r="B307" s="160"/>
      <c r="C307" s="161"/>
      <c r="D307" s="162"/>
      <c r="E307" s="162"/>
      <c r="F307" s="162"/>
      <c r="G307" s="162"/>
      <c r="H307" s="162"/>
      <c r="I307" s="162"/>
      <c r="J307" s="162"/>
      <c r="K307" s="162"/>
      <c r="L307" s="162"/>
      <c r="M307" s="162"/>
      <c r="N307" s="161"/>
      <c r="O307" s="162"/>
      <c r="P307" s="162"/>
      <c r="Q307" s="162"/>
      <c r="R307" s="162"/>
      <c r="S307" s="161"/>
      <c r="T307" s="161"/>
      <c r="U307" s="163"/>
      <c r="V307" s="163"/>
      <c r="W307" s="163"/>
      <c r="X307" s="163"/>
      <c r="Y307" s="163"/>
      <c r="Z307" s="163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2"/>
      <c r="DC307" s="162"/>
      <c r="DD307" s="162"/>
      <c r="DE307" s="162"/>
      <c r="DF307" s="162"/>
      <c r="DG307" s="162"/>
      <c r="DH307" s="162"/>
      <c r="DI307" s="162"/>
      <c r="DJ307" s="162"/>
      <c r="DK307" s="162"/>
      <c r="DL307" s="162"/>
      <c r="DM307" s="162"/>
      <c r="DN307" s="162"/>
      <c r="DO307" s="162"/>
      <c r="DP307" s="162"/>
      <c r="DQ307" s="162"/>
      <c r="DR307" s="162"/>
      <c r="DS307" s="162"/>
      <c r="DT307" s="162"/>
      <c r="DU307" s="162"/>
      <c r="DV307" s="162"/>
      <c r="DW307" s="162"/>
    </row>
    <row r="308" spans="1:127" ht="15" customHeight="1">
      <c r="A308" s="159"/>
      <c r="B308" s="160"/>
      <c r="C308" s="161"/>
      <c r="D308" s="162"/>
      <c r="E308" s="162"/>
      <c r="F308" s="162"/>
      <c r="G308" s="162"/>
      <c r="H308" s="162"/>
      <c r="I308" s="162"/>
      <c r="J308" s="162"/>
      <c r="K308" s="162"/>
      <c r="L308" s="162"/>
      <c r="M308" s="162"/>
      <c r="N308" s="161"/>
      <c r="O308" s="162"/>
      <c r="P308" s="162"/>
      <c r="Q308" s="162"/>
      <c r="R308" s="162"/>
      <c r="S308" s="161"/>
      <c r="T308" s="161"/>
      <c r="U308" s="163"/>
      <c r="V308" s="163"/>
      <c r="W308" s="163"/>
      <c r="X308" s="163"/>
      <c r="Y308" s="163"/>
      <c r="Z308" s="163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2"/>
      <c r="DC308" s="162"/>
      <c r="DD308" s="162"/>
      <c r="DE308" s="162"/>
      <c r="DF308" s="162"/>
      <c r="DG308" s="162"/>
      <c r="DH308" s="162"/>
      <c r="DI308" s="162"/>
      <c r="DJ308" s="162"/>
      <c r="DK308" s="162"/>
      <c r="DL308" s="162"/>
      <c r="DM308" s="162"/>
      <c r="DN308" s="162"/>
      <c r="DO308" s="162"/>
      <c r="DP308" s="162"/>
      <c r="DQ308" s="162"/>
      <c r="DR308" s="162"/>
      <c r="DS308" s="162"/>
      <c r="DT308" s="162"/>
      <c r="DU308" s="162"/>
      <c r="DV308" s="162"/>
      <c r="DW308" s="162"/>
    </row>
    <row r="309" spans="1:127" ht="15" customHeight="1">
      <c r="A309" s="159"/>
      <c r="B309" s="160"/>
      <c r="C309" s="161"/>
      <c r="D309" s="162"/>
      <c r="E309" s="162"/>
      <c r="F309" s="162"/>
      <c r="G309" s="162"/>
      <c r="H309" s="162"/>
      <c r="I309" s="162"/>
      <c r="J309" s="162"/>
      <c r="K309" s="162"/>
      <c r="L309" s="162"/>
      <c r="M309" s="162"/>
      <c r="N309" s="161"/>
      <c r="O309" s="162"/>
      <c r="P309" s="162"/>
      <c r="Q309" s="162"/>
      <c r="R309" s="162"/>
      <c r="S309" s="161"/>
      <c r="T309" s="161"/>
      <c r="U309" s="163"/>
      <c r="V309" s="163"/>
      <c r="W309" s="163"/>
      <c r="X309" s="163"/>
      <c r="Y309" s="163"/>
      <c r="Z309" s="163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2"/>
      <c r="DC309" s="162"/>
      <c r="DD309" s="162"/>
      <c r="DE309" s="162"/>
      <c r="DF309" s="162"/>
      <c r="DG309" s="162"/>
      <c r="DH309" s="162"/>
      <c r="DI309" s="162"/>
      <c r="DJ309" s="162"/>
      <c r="DK309" s="162"/>
      <c r="DL309" s="162"/>
      <c r="DM309" s="162"/>
      <c r="DN309" s="162"/>
      <c r="DO309" s="162"/>
      <c r="DP309" s="162"/>
      <c r="DQ309" s="162"/>
      <c r="DR309" s="162"/>
      <c r="DS309" s="162"/>
      <c r="DT309" s="162"/>
      <c r="DU309" s="162"/>
      <c r="DV309" s="162"/>
      <c r="DW309" s="162"/>
    </row>
    <row r="310" spans="1:127" ht="15" customHeight="1">
      <c r="A310" s="159"/>
      <c r="B310" s="160"/>
      <c r="C310" s="161"/>
      <c r="D310" s="162"/>
      <c r="E310" s="162"/>
      <c r="F310" s="162"/>
      <c r="G310" s="162"/>
      <c r="H310" s="162"/>
      <c r="I310" s="162"/>
      <c r="J310" s="162"/>
      <c r="K310" s="162"/>
      <c r="L310" s="162"/>
      <c r="M310" s="162"/>
      <c r="N310" s="161"/>
      <c r="O310" s="162"/>
      <c r="P310" s="162"/>
      <c r="Q310" s="162"/>
      <c r="R310" s="162"/>
      <c r="S310" s="161"/>
      <c r="T310" s="161"/>
      <c r="U310" s="163"/>
      <c r="V310" s="163"/>
      <c r="W310" s="163"/>
      <c r="X310" s="163"/>
      <c r="Y310" s="163"/>
      <c r="Z310" s="163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2"/>
      <c r="DC310" s="162"/>
      <c r="DD310" s="162"/>
      <c r="DE310" s="162"/>
      <c r="DF310" s="162"/>
      <c r="DG310" s="162"/>
      <c r="DH310" s="162"/>
      <c r="DI310" s="162"/>
      <c r="DJ310" s="162"/>
      <c r="DK310" s="162"/>
      <c r="DL310" s="162"/>
      <c r="DM310" s="162"/>
      <c r="DN310" s="162"/>
      <c r="DO310" s="162"/>
      <c r="DP310" s="162"/>
      <c r="DQ310" s="162"/>
      <c r="DR310" s="162"/>
      <c r="DS310" s="162"/>
      <c r="DT310" s="162"/>
      <c r="DU310" s="162"/>
      <c r="DV310" s="162"/>
      <c r="DW310" s="162"/>
    </row>
    <row r="311" spans="1:127" ht="15" customHeight="1">
      <c r="A311" s="159"/>
      <c r="B311" s="160"/>
      <c r="C311" s="161"/>
      <c r="D311" s="162"/>
      <c r="E311" s="162"/>
      <c r="F311" s="162"/>
      <c r="G311" s="162"/>
      <c r="H311" s="162"/>
      <c r="I311" s="162"/>
      <c r="J311" s="162"/>
      <c r="K311" s="162"/>
      <c r="L311" s="162"/>
      <c r="M311" s="162"/>
      <c r="N311" s="161"/>
      <c r="O311" s="162"/>
      <c r="P311" s="162"/>
      <c r="Q311" s="162"/>
      <c r="R311" s="162"/>
      <c r="S311" s="161"/>
      <c r="T311" s="161"/>
      <c r="U311" s="163"/>
      <c r="V311" s="163"/>
      <c r="W311" s="163"/>
      <c r="X311" s="163"/>
      <c r="Y311" s="163"/>
      <c r="Z311" s="163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2"/>
      <c r="DC311" s="162"/>
      <c r="DD311" s="162"/>
      <c r="DE311" s="162"/>
      <c r="DF311" s="162"/>
      <c r="DG311" s="162"/>
      <c r="DH311" s="162"/>
      <c r="DI311" s="162"/>
      <c r="DJ311" s="162"/>
      <c r="DK311" s="162"/>
      <c r="DL311" s="162"/>
      <c r="DM311" s="162"/>
      <c r="DN311" s="162"/>
      <c r="DO311" s="162"/>
      <c r="DP311" s="162"/>
      <c r="DQ311" s="162"/>
      <c r="DR311" s="162"/>
      <c r="DS311" s="162"/>
      <c r="DT311" s="162"/>
      <c r="DU311" s="162"/>
      <c r="DV311" s="162"/>
      <c r="DW311" s="162"/>
    </row>
    <row r="312" spans="1:127" ht="15" customHeight="1">
      <c r="A312" s="159"/>
      <c r="B312" s="160"/>
      <c r="C312" s="161"/>
      <c r="D312" s="162"/>
      <c r="E312" s="162"/>
      <c r="F312" s="162"/>
      <c r="G312" s="162"/>
      <c r="H312" s="162"/>
      <c r="I312" s="162"/>
      <c r="J312" s="162"/>
      <c r="K312" s="162"/>
      <c r="L312" s="162"/>
      <c r="M312" s="162"/>
      <c r="N312" s="161"/>
      <c r="O312" s="162"/>
      <c r="P312" s="162"/>
      <c r="Q312" s="162"/>
      <c r="R312" s="162"/>
      <c r="S312" s="161"/>
      <c r="T312" s="161"/>
      <c r="U312" s="163"/>
      <c r="V312" s="163"/>
      <c r="W312" s="163"/>
      <c r="X312" s="163"/>
      <c r="Y312" s="163"/>
      <c r="Z312" s="163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2"/>
      <c r="DC312" s="162"/>
      <c r="DD312" s="162"/>
      <c r="DE312" s="162"/>
      <c r="DF312" s="162"/>
      <c r="DG312" s="162"/>
      <c r="DH312" s="162"/>
      <c r="DI312" s="162"/>
      <c r="DJ312" s="162"/>
      <c r="DK312" s="162"/>
      <c r="DL312" s="162"/>
      <c r="DM312" s="162"/>
      <c r="DN312" s="162"/>
      <c r="DO312" s="162"/>
      <c r="DP312" s="162"/>
      <c r="DQ312" s="162"/>
      <c r="DR312" s="162"/>
      <c r="DS312" s="162"/>
      <c r="DT312" s="162"/>
      <c r="DU312" s="162"/>
      <c r="DV312" s="162"/>
      <c r="DW312" s="162"/>
    </row>
    <row r="313" spans="1:127" ht="15" customHeight="1">
      <c r="A313" s="159"/>
      <c r="B313" s="160"/>
      <c r="C313" s="161"/>
      <c r="D313" s="162"/>
      <c r="E313" s="162"/>
      <c r="F313" s="162"/>
      <c r="G313" s="162"/>
      <c r="H313" s="162"/>
      <c r="I313" s="162"/>
      <c r="J313" s="162"/>
      <c r="K313" s="162"/>
      <c r="L313" s="162"/>
      <c r="M313" s="162"/>
      <c r="N313" s="161"/>
      <c r="O313" s="162"/>
      <c r="P313" s="162"/>
      <c r="Q313" s="162"/>
      <c r="R313" s="162"/>
      <c r="S313" s="161"/>
      <c r="T313" s="161"/>
      <c r="U313" s="163"/>
      <c r="V313" s="163"/>
      <c r="W313" s="163"/>
      <c r="X313" s="163"/>
      <c r="Y313" s="163"/>
      <c r="Z313" s="163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2"/>
      <c r="DC313" s="162"/>
      <c r="DD313" s="162"/>
      <c r="DE313" s="162"/>
      <c r="DF313" s="162"/>
      <c r="DG313" s="162"/>
      <c r="DH313" s="162"/>
      <c r="DI313" s="162"/>
      <c r="DJ313" s="162"/>
      <c r="DK313" s="162"/>
      <c r="DL313" s="162"/>
      <c r="DM313" s="162"/>
      <c r="DN313" s="162"/>
      <c r="DO313" s="162"/>
      <c r="DP313" s="162"/>
      <c r="DQ313" s="162"/>
      <c r="DR313" s="162"/>
      <c r="DS313" s="162"/>
      <c r="DT313" s="162"/>
      <c r="DU313" s="162"/>
      <c r="DV313" s="162"/>
      <c r="DW313" s="162"/>
    </row>
    <row r="314" spans="1:127" ht="15" customHeight="1">
      <c r="A314" s="159"/>
      <c r="B314" s="160"/>
      <c r="C314" s="161"/>
      <c r="D314" s="162"/>
      <c r="E314" s="162"/>
      <c r="F314" s="162"/>
      <c r="G314" s="162"/>
      <c r="H314" s="162"/>
      <c r="I314" s="162"/>
      <c r="J314" s="162"/>
      <c r="K314" s="162"/>
      <c r="L314" s="162"/>
      <c r="M314" s="162"/>
      <c r="N314" s="161"/>
      <c r="O314" s="162"/>
      <c r="P314" s="162"/>
      <c r="Q314" s="162"/>
      <c r="R314" s="162"/>
      <c r="S314" s="161"/>
      <c r="T314" s="161"/>
      <c r="U314" s="163"/>
      <c r="V314" s="163"/>
      <c r="W314" s="163"/>
      <c r="X314" s="163"/>
      <c r="Y314" s="163"/>
      <c r="Z314" s="163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2"/>
      <c r="DC314" s="162"/>
      <c r="DD314" s="162"/>
      <c r="DE314" s="162"/>
      <c r="DF314" s="162"/>
      <c r="DG314" s="162"/>
      <c r="DH314" s="162"/>
      <c r="DI314" s="162"/>
      <c r="DJ314" s="162"/>
      <c r="DK314" s="162"/>
      <c r="DL314" s="162"/>
      <c r="DM314" s="162"/>
      <c r="DN314" s="162"/>
      <c r="DO314" s="162"/>
      <c r="DP314" s="162"/>
      <c r="DQ314" s="162"/>
      <c r="DR314" s="162"/>
      <c r="DS314" s="162"/>
      <c r="DT314" s="162"/>
      <c r="DU314" s="162"/>
      <c r="DV314" s="162"/>
      <c r="DW314" s="162"/>
    </row>
    <row r="315" spans="1:127" ht="15" customHeight="1">
      <c r="A315" s="159"/>
      <c r="B315" s="160"/>
      <c r="C315" s="161"/>
      <c r="D315" s="162"/>
      <c r="E315" s="162"/>
      <c r="F315" s="162"/>
      <c r="G315" s="162"/>
      <c r="H315" s="162"/>
      <c r="I315" s="162"/>
      <c r="J315" s="162"/>
      <c r="K315" s="162"/>
      <c r="L315" s="162"/>
      <c r="M315" s="162"/>
      <c r="N315" s="161"/>
      <c r="O315" s="162"/>
      <c r="P315" s="162"/>
      <c r="Q315" s="162"/>
      <c r="R315" s="162"/>
      <c r="S315" s="161"/>
      <c r="T315" s="161"/>
      <c r="U315" s="163"/>
      <c r="V315" s="163"/>
      <c r="W315" s="163"/>
      <c r="X315" s="163"/>
      <c r="Y315" s="163"/>
      <c r="Z315" s="163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2"/>
      <c r="DC315" s="162"/>
      <c r="DD315" s="162"/>
      <c r="DE315" s="162"/>
      <c r="DF315" s="162"/>
      <c r="DG315" s="162"/>
      <c r="DH315" s="162"/>
      <c r="DI315" s="162"/>
      <c r="DJ315" s="162"/>
      <c r="DK315" s="162"/>
      <c r="DL315" s="162"/>
      <c r="DM315" s="162"/>
      <c r="DN315" s="162"/>
      <c r="DO315" s="162"/>
      <c r="DP315" s="162"/>
      <c r="DQ315" s="162"/>
      <c r="DR315" s="162"/>
      <c r="DS315" s="162"/>
      <c r="DT315" s="162"/>
      <c r="DU315" s="162"/>
      <c r="DV315" s="162"/>
      <c r="DW315" s="162"/>
    </row>
    <row r="316" spans="1:127" ht="15" customHeight="1">
      <c r="A316" s="159"/>
      <c r="B316" s="160"/>
      <c r="C316" s="161"/>
      <c r="D316" s="162"/>
      <c r="E316" s="162"/>
      <c r="F316" s="162"/>
      <c r="G316" s="162"/>
      <c r="H316" s="162"/>
      <c r="I316" s="162"/>
      <c r="J316" s="162"/>
      <c r="K316" s="162"/>
      <c r="L316" s="162"/>
      <c r="M316" s="162"/>
      <c r="N316" s="161"/>
      <c r="O316" s="162"/>
      <c r="P316" s="162"/>
      <c r="Q316" s="162"/>
      <c r="R316" s="162"/>
      <c r="S316" s="161"/>
      <c r="T316" s="161"/>
      <c r="U316" s="163"/>
      <c r="V316" s="163"/>
      <c r="W316" s="163"/>
      <c r="X316" s="163"/>
      <c r="Y316" s="163"/>
      <c r="Z316" s="163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2"/>
      <c r="DC316" s="162"/>
      <c r="DD316" s="162"/>
      <c r="DE316" s="162"/>
      <c r="DF316" s="162"/>
      <c r="DG316" s="162"/>
      <c r="DH316" s="162"/>
      <c r="DI316" s="162"/>
      <c r="DJ316" s="162"/>
      <c r="DK316" s="162"/>
      <c r="DL316" s="162"/>
      <c r="DM316" s="162"/>
      <c r="DN316" s="162"/>
      <c r="DO316" s="162"/>
      <c r="DP316" s="162"/>
      <c r="DQ316" s="162"/>
      <c r="DR316" s="162"/>
      <c r="DS316" s="162"/>
      <c r="DT316" s="162"/>
      <c r="DU316" s="162"/>
      <c r="DV316" s="162"/>
      <c r="DW316" s="162"/>
    </row>
    <row r="317" spans="1:127" ht="15" customHeight="1">
      <c r="A317" s="159"/>
      <c r="B317" s="160"/>
      <c r="C317" s="161"/>
      <c r="D317" s="162"/>
      <c r="E317" s="162"/>
      <c r="F317" s="162"/>
      <c r="G317" s="162"/>
      <c r="H317" s="162"/>
      <c r="I317" s="162"/>
      <c r="J317" s="162"/>
      <c r="K317" s="162"/>
      <c r="L317" s="162"/>
      <c r="M317" s="162"/>
      <c r="N317" s="161"/>
      <c r="O317" s="162"/>
      <c r="P317" s="162"/>
      <c r="Q317" s="162"/>
      <c r="R317" s="162"/>
      <c r="S317" s="161"/>
      <c r="T317" s="161"/>
      <c r="U317" s="163"/>
      <c r="V317" s="163"/>
      <c r="W317" s="163"/>
      <c r="X317" s="163"/>
      <c r="Y317" s="163"/>
      <c r="Z317" s="163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2"/>
      <c r="DC317" s="162"/>
      <c r="DD317" s="162"/>
      <c r="DE317" s="162"/>
      <c r="DF317" s="162"/>
      <c r="DG317" s="162"/>
      <c r="DH317" s="162"/>
      <c r="DI317" s="162"/>
      <c r="DJ317" s="162"/>
      <c r="DK317" s="162"/>
      <c r="DL317" s="162"/>
      <c r="DM317" s="162"/>
      <c r="DN317" s="162"/>
      <c r="DO317" s="162"/>
      <c r="DP317" s="162"/>
      <c r="DQ317" s="162"/>
      <c r="DR317" s="162"/>
      <c r="DS317" s="162"/>
      <c r="DT317" s="162"/>
      <c r="DU317" s="162"/>
      <c r="DV317" s="162"/>
      <c r="DW317" s="162"/>
    </row>
    <row r="318" spans="1:127" ht="15" customHeight="1">
      <c r="A318" s="159"/>
      <c r="B318" s="160"/>
      <c r="C318" s="161"/>
      <c r="D318" s="162"/>
      <c r="E318" s="162"/>
      <c r="F318" s="162"/>
      <c r="G318" s="162"/>
      <c r="H318" s="162"/>
      <c r="I318" s="162"/>
      <c r="J318" s="162"/>
      <c r="K318" s="162"/>
      <c r="L318" s="162"/>
      <c r="M318" s="162"/>
      <c r="N318" s="161"/>
      <c r="O318" s="162"/>
      <c r="P318" s="162"/>
      <c r="Q318" s="162"/>
      <c r="R318" s="162"/>
      <c r="S318" s="161"/>
      <c r="T318" s="161"/>
      <c r="U318" s="163"/>
      <c r="V318" s="163"/>
      <c r="W318" s="163"/>
      <c r="X318" s="163"/>
      <c r="Y318" s="163"/>
      <c r="Z318" s="163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2"/>
      <c r="DC318" s="162"/>
      <c r="DD318" s="162"/>
      <c r="DE318" s="162"/>
      <c r="DF318" s="162"/>
      <c r="DG318" s="162"/>
      <c r="DH318" s="162"/>
      <c r="DI318" s="162"/>
      <c r="DJ318" s="162"/>
      <c r="DK318" s="162"/>
      <c r="DL318" s="162"/>
      <c r="DM318" s="162"/>
      <c r="DN318" s="162"/>
      <c r="DO318" s="162"/>
      <c r="DP318" s="162"/>
      <c r="DQ318" s="162"/>
      <c r="DR318" s="162"/>
      <c r="DS318" s="162"/>
      <c r="DT318" s="162"/>
      <c r="DU318" s="162"/>
      <c r="DV318" s="162"/>
      <c r="DW318" s="162"/>
    </row>
    <row r="319" spans="1:127" ht="15" customHeight="1">
      <c r="A319" s="159"/>
      <c r="B319" s="160"/>
      <c r="C319" s="161"/>
      <c r="D319" s="162"/>
      <c r="E319" s="162"/>
      <c r="F319" s="162"/>
      <c r="G319" s="162"/>
      <c r="H319" s="162"/>
      <c r="I319" s="162"/>
      <c r="J319" s="162"/>
      <c r="K319" s="162"/>
      <c r="L319" s="162"/>
      <c r="M319" s="162"/>
      <c r="N319" s="161"/>
      <c r="O319" s="162"/>
      <c r="P319" s="162"/>
      <c r="Q319" s="162"/>
      <c r="R319" s="162"/>
      <c r="S319" s="161"/>
      <c r="T319" s="161"/>
      <c r="U319" s="163"/>
      <c r="V319" s="163"/>
      <c r="W319" s="163"/>
      <c r="X319" s="163"/>
      <c r="Y319" s="163"/>
      <c r="Z319" s="163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2"/>
      <c r="DC319" s="162"/>
      <c r="DD319" s="162"/>
      <c r="DE319" s="162"/>
      <c r="DF319" s="162"/>
      <c r="DG319" s="162"/>
      <c r="DH319" s="162"/>
      <c r="DI319" s="162"/>
      <c r="DJ319" s="162"/>
      <c r="DK319" s="162"/>
      <c r="DL319" s="162"/>
      <c r="DM319" s="162"/>
      <c r="DN319" s="162"/>
      <c r="DO319" s="162"/>
      <c r="DP319" s="162"/>
      <c r="DQ319" s="162"/>
      <c r="DR319" s="162"/>
      <c r="DS319" s="162"/>
      <c r="DT319" s="162"/>
      <c r="DU319" s="162"/>
      <c r="DV319" s="162"/>
      <c r="DW319" s="162"/>
    </row>
    <row r="320" spans="1:127" ht="15" customHeight="1">
      <c r="A320" s="159"/>
      <c r="B320" s="160"/>
      <c r="C320" s="161"/>
      <c r="D320" s="162"/>
      <c r="E320" s="162"/>
      <c r="F320" s="162"/>
      <c r="G320" s="162"/>
      <c r="H320" s="162"/>
      <c r="I320" s="162"/>
      <c r="J320" s="162"/>
      <c r="K320" s="162"/>
      <c r="L320" s="162"/>
      <c r="M320" s="162"/>
      <c r="N320" s="161"/>
      <c r="O320" s="162"/>
      <c r="P320" s="162"/>
      <c r="Q320" s="162"/>
      <c r="R320" s="162"/>
      <c r="S320" s="161"/>
      <c r="T320" s="161"/>
      <c r="U320" s="163"/>
      <c r="V320" s="163"/>
      <c r="W320" s="163"/>
      <c r="X320" s="163"/>
      <c r="Y320" s="163"/>
      <c r="Z320" s="163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2"/>
      <c r="DC320" s="162"/>
      <c r="DD320" s="162"/>
      <c r="DE320" s="162"/>
      <c r="DF320" s="162"/>
      <c r="DG320" s="162"/>
      <c r="DH320" s="162"/>
      <c r="DI320" s="162"/>
      <c r="DJ320" s="162"/>
      <c r="DK320" s="162"/>
      <c r="DL320" s="162"/>
      <c r="DM320" s="162"/>
      <c r="DN320" s="162"/>
      <c r="DO320" s="162"/>
      <c r="DP320" s="162"/>
      <c r="DQ320" s="162"/>
      <c r="DR320" s="162"/>
      <c r="DS320" s="162"/>
      <c r="DT320" s="162"/>
      <c r="DU320" s="162"/>
      <c r="DV320" s="162"/>
      <c r="DW320" s="162"/>
    </row>
    <row r="321" spans="1:127" ht="15" customHeight="1">
      <c r="A321" s="159"/>
      <c r="B321" s="160"/>
      <c r="C321" s="161"/>
      <c r="D321" s="162"/>
      <c r="E321" s="162"/>
      <c r="F321" s="162"/>
      <c r="G321" s="162"/>
      <c r="H321" s="162"/>
      <c r="I321" s="162"/>
      <c r="J321" s="162"/>
      <c r="K321" s="162"/>
      <c r="L321" s="162"/>
      <c r="M321" s="162"/>
      <c r="N321" s="161"/>
      <c r="O321" s="162"/>
      <c r="P321" s="162"/>
      <c r="Q321" s="162"/>
      <c r="R321" s="162"/>
      <c r="S321" s="161"/>
      <c r="T321" s="161"/>
      <c r="U321" s="163"/>
      <c r="V321" s="163"/>
      <c r="W321" s="163"/>
      <c r="X321" s="163"/>
      <c r="Y321" s="163"/>
      <c r="Z321" s="163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2"/>
      <c r="DC321" s="162"/>
      <c r="DD321" s="162"/>
      <c r="DE321" s="162"/>
      <c r="DF321" s="162"/>
      <c r="DG321" s="162"/>
      <c r="DH321" s="162"/>
      <c r="DI321" s="162"/>
      <c r="DJ321" s="162"/>
      <c r="DK321" s="162"/>
      <c r="DL321" s="162"/>
      <c r="DM321" s="162"/>
      <c r="DN321" s="162"/>
      <c r="DO321" s="162"/>
      <c r="DP321" s="162"/>
      <c r="DQ321" s="162"/>
      <c r="DR321" s="162"/>
      <c r="DS321" s="162"/>
      <c r="DT321" s="162"/>
      <c r="DU321" s="162"/>
      <c r="DV321" s="162"/>
      <c r="DW321" s="162"/>
    </row>
    <row r="322" spans="1:127" ht="15" customHeight="1">
      <c r="A322" s="159"/>
      <c r="B322" s="160"/>
      <c r="C322" s="161"/>
      <c r="D322" s="162"/>
      <c r="E322" s="162"/>
      <c r="F322" s="162"/>
      <c r="G322" s="162"/>
      <c r="H322" s="162"/>
      <c r="I322" s="162"/>
      <c r="J322" s="162"/>
      <c r="K322" s="162"/>
      <c r="L322" s="162"/>
      <c r="M322" s="162"/>
      <c r="N322" s="161"/>
      <c r="O322" s="162"/>
      <c r="P322" s="162"/>
      <c r="Q322" s="162"/>
      <c r="R322" s="162"/>
      <c r="S322" s="161"/>
      <c r="T322" s="161"/>
      <c r="U322" s="163"/>
      <c r="V322" s="163"/>
      <c r="W322" s="163"/>
      <c r="X322" s="163"/>
      <c r="Y322" s="163"/>
      <c r="Z322" s="163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2"/>
      <c r="DC322" s="162"/>
      <c r="DD322" s="162"/>
      <c r="DE322" s="162"/>
      <c r="DF322" s="162"/>
      <c r="DG322" s="162"/>
      <c r="DH322" s="162"/>
      <c r="DI322" s="162"/>
      <c r="DJ322" s="162"/>
      <c r="DK322" s="162"/>
      <c r="DL322" s="162"/>
      <c r="DM322" s="162"/>
      <c r="DN322" s="162"/>
      <c r="DO322" s="162"/>
      <c r="DP322" s="162"/>
      <c r="DQ322" s="162"/>
      <c r="DR322" s="162"/>
      <c r="DS322" s="162"/>
      <c r="DT322" s="162"/>
      <c r="DU322" s="162"/>
      <c r="DV322" s="162"/>
      <c r="DW322" s="162"/>
    </row>
    <row r="323" spans="1:127" ht="15" customHeight="1">
      <c r="A323" s="159"/>
      <c r="B323" s="160"/>
      <c r="C323" s="161"/>
      <c r="D323" s="162"/>
      <c r="E323" s="162"/>
      <c r="F323" s="162"/>
      <c r="G323" s="162"/>
      <c r="H323" s="162"/>
      <c r="I323" s="162"/>
      <c r="J323" s="162"/>
      <c r="K323" s="162"/>
      <c r="L323" s="162"/>
      <c r="M323" s="162"/>
      <c r="N323" s="161"/>
      <c r="O323" s="162"/>
      <c r="P323" s="162"/>
      <c r="Q323" s="162"/>
      <c r="R323" s="162"/>
      <c r="S323" s="161"/>
      <c r="T323" s="161"/>
      <c r="U323" s="163"/>
      <c r="V323" s="163"/>
      <c r="W323" s="163"/>
      <c r="X323" s="163"/>
      <c r="Y323" s="163"/>
      <c r="Z323" s="163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2"/>
      <c r="DC323" s="162"/>
      <c r="DD323" s="162"/>
      <c r="DE323" s="162"/>
      <c r="DF323" s="162"/>
      <c r="DG323" s="162"/>
      <c r="DH323" s="162"/>
      <c r="DI323" s="162"/>
      <c r="DJ323" s="162"/>
      <c r="DK323" s="162"/>
      <c r="DL323" s="162"/>
      <c r="DM323" s="162"/>
      <c r="DN323" s="162"/>
      <c r="DO323" s="162"/>
      <c r="DP323" s="162"/>
      <c r="DQ323" s="162"/>
      <c r="DR323" s="162"/>
      <c r="DS323" s="162"/>
      <c r="DT323" s="162"/>
      <c r="DU323" s="162"/>
      <c r="DV323" s="162"/>
      <c r="DW323" s="162"/>
    </row>
    <row r="324" spans="1:127" ht="15" customHeight="1">
      <c r="A324" s="159"/>
      <c r="B324" s="160"/>
      <c r="C324" s="161"/>
      <c r="D324" s="162"/>
      <c r="E324" s="162"/>
      <c r="F324" s="162"/>
      <c r="G324" s="162"/>
      <c r="H324" s="162"/>
      <c r="I324" s="162"/>
      <c r="J324" s="162"/>
      <c r="K324" s="162"/>
      <c r="L324" s="162"/>
      <c r="M324" s="162"/>
      <c r="N324" s="161"/>
      <c r="O324" s="162"/>
      <c r="P324" s="162"/>
      <c r="Q324" s="162"/>
      <c r="R324" s="162"/>
      <c r="S324" s="161"/>
      <c r="T324" s="161"/>
      <c r="U324" s="163"/>
      <c r="V324" s="163"/>
      <c r="W324" s="163"/>
      <c r="X324" s="163"/>
      <c r="Y324" s="163"/>
      <c r="Z324" s="163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2"/>
      <c r="DC324" s="162"/>
      <c r="DD324" s="162"/>
      <c r="DE324" s="162"/>
      <c r="DF324" s="162"/>
      <c r="DG324" s="162"/>
      <c r="DH324" s="162"/>
      <c r="DI324" s="162"/>
      <c r="DJ324" s="162"/>
      <c r="DK324" s="162"/>
      <c r="DL324" s="162"/>
      <c r="DM324" s="162"/>
      <c r="DN324" s="162"/>
      <c r="DO324" s="162"/>
      <c r="DP324" s="162"/>
      <c r="DQ324" s="162"/>
      <c r="DR324" s="162"/>
      <c r="DS324" s="162"/>
      <c r="DT324" s="162"/>
      <c r="DU324" s="162"/>
      <c r="DV324" s="162"/>
      <c r="DW324" s="162"/>
    </row>
    <row r="325" spans="1:127" ht="15" customHeight="1">
      <c r="A325" s="159"/>
      <c r="B325" s="160"/>
      <c r="C325" s="161"/>
      <c r="D325" s="162"/>
      <c r="E325" s="162"/>
      <c r="F325" s="162"/>
      <c r="G325" s="162"/>
      <c r="H325" s="162"/>
      <c r="I325" s="162"/>
      <c r="J325" s="162"/>
      <c r="K325" s="162"/>
      <c r="L325" s="162"/>
      <c r="M325" s="162"/>
      <c r="N325" s="161"/>
      <c r="O325" s="162"/>
      <c r="P325" s="162"/>
      <c r="Q325" s="162"/>
      <c r="R325" s="162"/>
      <c r="S325" s="161"/>
      <c r="T325" s="161"/>
      <c r="U325" s="163"/>
      <c r="V325" s="163"/>
      <c r="W325" s="163"/>
      <c r="X325" s="163"/>
      <c r="Y325" s="163"/>
      <c r="Z325" s="163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2"/>
      <c r="DC325" s="162"/>
      <c r="DD325" s="162"/>
      <c r="DE325" s="162"/>
      <c r="DF325" s="162"/>
      <c r="DG325" s="162"/>
      <c r="DH325" s="162"/>
      <c r="DI325" s="162"/>
      <c r="DJ325" s="162"/>
      <c r="DK325" s="162"/>
      <c r="DL325" s="162"/>
      <c r="DM325" s="162"/>
      <c r="DN325" s="162"/>
      <c r="DO325" s="162"/>
      <c r="DP325" s="162"/>
      <c r="DQ325" s="162"/>
      <c r="DR325" s="162"/>
      <c r="DS325" s="162"/>
      <c r="DT325" s="162"/>
      <c r="DU325" s="162"/>
      <c r="DV325" s="162"/>
      <c r="DW325" s="162"/>
    </row>
    <row r="326" spans="1:127" ht="15" customHeight="1">
      <c r="A326" s="159"/>
      <c r="B326" s="160"/>
      <c r="C326" s="161"/>
      <c r="D326" s="162"/>
      <c r="E326" s="162"/>
      <c r="F326" s="162"/>
      <c r="G326" s="162"/>
      <c r="H326" s="162"/>
      <c r="I326" s="162"/>
      <c r="J326" s="162"/>
      <c r="K326" s="162"/>
      <c r="L326" s="162"/>
      <c r="M326" s="162"/>
      <c r="N326" s="161"/>
      <c r="O326" s="162"/>
      <c r="P326" s="162"/>
      <c r="Q326" s="162"/>
      <c r="R326" s="162"/>
      <c r="S326" s="161"/>
      <c r="T326" s="161"/>
      <c r="U326" s="163"/>
      <c r="V326" s="163"/>
      <c r="W326" s="163"/>
      <c r="X326" s="163"/>
      <c r="Y326" s="163"/>
      <c r="Z326" s="163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2"/>
      <c r="DC326" s="162"/>
      <c r="DD326" s="162"/>
      <c r="DE326" s="162"/>
      <c r="DF326" s="162"/>
      <c r="DG326" s="162"/>
      <c r="DH326" s="162"/>
      <c r="DI326" s="162"/>
      <c r="DJ326" s="162"/>
      <c r="DK326" s="162"/>
      <c r="DL326" s="162"/>
      <c r="DM326" s="162"/>
      <c r="DN326" s="162"/>
      <c r="DO326" s="162"/>
      <c r="DP326" s="162"/>
      <c r="DQ326" s="162"/>
      <c r="DR326" s="162"/>
      <c r="DS326" s="162"/>
      <c r="DT326" s="162"/>
      <c r="DU326" s="162"/>
      <c r="DV326" s="162"/>
      <c r="DW326" s="162"/>
    </row>
    <row r="327" spans="1:127" ht="15" customHeight="1">
      <c r="A327" s="159"/>
      <c r="B327" s="160"/>
      <c r="C327" s="161"/>
      <c r="D327" s="162"/>
      <c r="E327" s="162"/>
      <c r="F327" s="162"/>
      <c r="G327" s="162"/>
      <c r="H327" s="162"/>
      <c r="I327" s="162"/>
      <c r="J327" s="162"/>
      <c r="K327" s="162"/>
      <c r="L327" s="162"/>
      <c r="M327" s="162"/>
      <c r="N327" s="161"/>
      <c r="O327" s="162"/>
      <c r="P327" s="162"/>
      <c r="Q327" s="162"/>
      <c r="R327" s="162"/>
      <c r="S327" s="161"/>
      <c r="T327" s="161"/>
      <c r="U327" s="163"/>
      <c r="V327" s="163"/>
      <c r="W327" s="163"/>
      <c r="X327" s="163"/>
      <c r="Y327" s="163"/>
      <c r="Z327" s="163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2"/>
      <c r="DC327" s="162"/>
      <c r="DD327" s="162"/>
      <c r="DE327" s="162"/>
      <c r="DF327" s="162"/>
      <c r="DG327" s="162"/>
      <c r="DH327" s="162"/>
      <c r="DI327" s="162"/>
      <c r="DJ327" s="162"/>
      <c r="DK327" s="162"/>
      <c r="DL327" s="162"/>
      <c r="DM327" s="162"/>
      <c r="DN327" s="162"/>
      <c r="DO327" s="162"/>
      <c r="DP327" s="162"/>
      <c r="DQ327" s="162"/>
      <c r="DR327" s="162"/>
      <c r="DS327" s="162"/>
      <c r="DT327" s="162"/>
      <c r="DU327" s="162"/>
      <c r="DV327" s="162"/>
      <c r="DW327" s="162"/>
    </row>
    <row r="328" spans="1:127" ht="15" customHeight="1">
      <c r="A328" s="159"/>
      <c r="B328" s="160"/>
      <c r="C328" s="161"/>
      <c r="D328" s="162"/>
      <c r="E328" s="162"/>
      <c r="F328" s="162"/>
      <c r="G328" s="162"/>
      <c r="H328" s="162"/>
      <c r="I328" s="162"/>
      <c r="J328" s="162"/>
      <c r="K328" s="162"/>
      <c r="L328" s="162"/>
      <c r="M328" s="162"/>
      <c r="N328" s="161"/>
      <c r="O328" s="162"/>
      <c r="P328" s="162"/>
      <c r="Q328" s="162"/>
      <c r="R328" s="162"/>
      <c r="S328" s="161"/>
      <c r="T328" s="161"/>
      <c r="U328" s="163"/>
      <c r="V328" s="163"/>
      <c r="W328" s="163"/>
      <c r="X328" s="163"/>
      <c r="Y328" s="163"/>
      <c r="Z328" s="163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2"/>
      <c r="DC328" s="162"/>
      <c r="DD328" s="162"/>
      <c r="DE328" s="162"/>
      <c r="DF328" s="162"/>
      <c r="DG328" s="162"/>
      <c r="DH328" s="162"/>
      <c r="DI328" s="162"/>
      <c r="DJ328" s="162"/>
      <c r="DK328" s="162"/>
      <c r="DL328" s="162"/>
      <c r="DM328" s="162"/>
      <c r="DN328" s="162"/>
      <c r="DO328" s="162"/>
      <c r="DP328" s="162"/>
      <c r="DQ328" s="162"/>
      <c r="DR328" s="162"/>
      <c r="DS328" s="162"/>
      <c r="DT328" s="162"/>
      <c r="DU328" s="162"/>
      <c r="DV328" s="162"/>
      <c r="DW328" s="162"/>
    </row>
    <row r="329" spans="1:127" ht="15" customHeight="1">
      <c r="A329" s="159"/>
      <c r="B329" s="160"/>
      <c r="C329" s="161"/>
      <c r="D329" s="162"/>
      <c r="E329" s="162"/>
      <c r="F329" s="162"/>
      <c r="G329" s="162"/>
      <c r="H329" s="162"/>
      <c r="I329" s="162"/>
      <c r="J329" s="162"/>
      <c r="K329" s="162"/>
      <c r="L329" s="162"/>
      <c r="M329" s="162"/>
      <c r="N329" s="161"/>
      <c r="O329" s="162"/>
      <c r="P329" s="162"/>
      <c r="Q329" s="162"/>
      <c r="R329" s="162"/>
      <c r="S329" s="161"/>
      <c r="T329" s="161"/>
      <c r="U329" s="163"/>
      <c r="V329" s="163"/>
      <c r="W329" s="163"/>
      <c r="X329" s="163"/>
      <c r="Y329" s="163"/>
      <c r="Z329" s="163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2"/>
      <c r="DC329" s="162"/>
      <c r="DD329" s="162"/>
      <c r="DE329" s="162"/>
      <c r="DF329" s="162"/>
      <c r="DG329" s="162"/>
      <c r="DH329" s="162"/>
      <c r="DI329" s="162"/>
      <c r="DJ329" s="162"/>
      <c r="DK329" s="162"/>
      <c r="DL329" s="162"/>
      <c r="DM329" s="162"/>
      <c r="DN329" s="162"/>
      <c r="DO329" s="162"/>
      <c r="DP329" s="162"/>
      <c r="DQ329" s="162"/>
      <c r="DR329" s="162"/>
      <c r="DS329" s="162"/>
      <c r="DT329" s="162"/>
      <c r="DU329" s="162"/>
      <c r="DV329" s="162"/>
      <c r="DW329" s="162"/>
    </row>
    <row r="330" spans="1:127" ht="15" customHeight="1">
      <c r="A330" s="159"/>
      <c r="B330" s="160"/>
      <c r="C330" s="161"/>
      <c r="D330" s="162"/>
      <c r="E330" s="162"/>
      <c r="F330" s="162"/>
      <c r="G330" s="162"/>
      <c r="H330" s="162"/>
      <c r="I330" s="162"/>
      <c r="J330" s="162"/>
      <c r="K330" s="162"/>
      <c r="L330" s="162"/>
      <c r="M330" s="162"/>
      <c r="N330" s="161"/>
      <c r="O330" s="162"/>
      <c r="P330" s="162"/>
      <c r="Q330" s="162"/>
      <c r="R330" s="162"/>
      <c r="S330" s="161"/>
      <c r="T330" s="161"/>
      <c r="U330" s="163"/>
      <c r="V330" s="163"/>
      <c r="W330" s="163"/>
      <c r="X330" s="163"/>
      <c r="Y330" s="163"/>
      <c r="Z330" s="163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2"/>
      <c r="DC330" s="162"/>
      <c r="DD330" s="162"/>
      <c r="DE330" s="162"/>
      <c r="DF330" s="162"/>
      <c r="DG330" s="162"/>
      <c r="DH330" s="162"/>
      <c r="DI330" s="162"/>
      <c r="DJ330" s="162"/>
      <c r="DK330" s="162"/>
      <c r="DL330" s="162"/>
      <c r="DM330" s="162"/>
      <c r="DN330" s="162"/>
      <c r="DO330" s="162"/>
      <c r="DP330" s="162"/>
      <c r="DQ330" s="162"/>
      <c r="DR330" s="162"/>
      <c r="DS330" s="162"/>
      <c r="DT330" s="162"/>
      <c r="DU330" s="162"/>
      <c r="DV330" s="162"/>
      <c r="DW330" s="162"/>
    </row>
    <row r="331" spans="1:127" ht="15" customHeight="1">
      <c r="A331" s="159"/>
      <c r="B331" s="160"/>
      <c r="C331" s="161"/>
      <c r="D331" s="162"/>
      <c r="E331" s="162"/>
      <c r="F331" s="162"/>
      <c r="G331" s="162"/>
      <c r="H331" s="162"/>
      <c r="I331" s="162"/>
      <c r="J331" s="162"/>
      <c r="K331" s="162"/>
      <c r="L331" s="162"/>
      <c r="M331" s="162"/>
      <c r="N331" s="161"/>
      <c r="O331" s="162"/>
      <c r="P331" s="162"/>
      <c r="Q331" s="162"/>
      <c r="R331" s="162"/>
      <c r="S331" s="161"/>
      <c r="T331" s="161"/>
      <c r="U331" s="163"/>
      <c r="V331" s="163"/>
      <c r="W331" s="163"/>
      <c r="X331" s="163"/>
      <c r="Y331" s="163"/>
      <c r="Z331" s="163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2"/>
      <c r="DC331" s="162"/>
      <c r="DD331" s="162"/>
      <c r="DE331" s="162"/>
      <c r="DF331" s="162"/>
      <c r="DG331" s="162"/>
      <c r="DH331" s="162"/>
      <c r="DI331" s="162"/>
      <c r="DJ331" s="162"/>
      <c r="DK331" s="162"/>
      <c r="DL331" s="162"/>
      <c r="DM331" s="162"/>
      <c r="DN331" s="162"/>
      <c r="DO331" s="162"/>
      <c r="DP331" s="162"/>
      <c r="DQ331" s="162"/>
      <c r="DR331" s="162"/>
      <c r="DS331" s="162"/>
      <c r="DT331" s="162"/>
      <c r="DU331" s="162"/>
      <c r="DV331" s="162"/>
      <c r="DW331" s="162"/>
    </row>
    <row r="332" spans="1:127" ht="15" customHeight="1">
      <c r="A332" s="159"/>
      <c r="B332" s="160"/>
      <c r="C332" s="161"/>
      <c r="D332" s="162"/>
      <c r="E332" s="162"/>
      <c r="F332" s="162"/>
      <c r="G332" s="162"/>
      <c r="H332" s="162"/>
      <c r="I332" s="162"/>
      <c r="J332" s="162"/>
      <c r="K332" s="162"/>
      <c r="L332" s="162"/>
      <c r="M332" s="162"/>
      <c r="N332" s="161"/>
      <c r="O332" s="162"/>
      <c r="P332" s="162"/>
      <c r="Q332" s="162"/>
      <c r="R332" s="162"/>
      <c r="S332" s="161"/>
      <c r="T332" s="161"/>
      <c r="U332" s="163"/>
      <c r="V332" s="163"/>
      <c r="W332" s="163"/>
      <c r="X332" s="163"/>
      <c r="Y332" s="163"/>
      <c r="Z332" s="163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2"/>
      <c r="DC332" s="162"/>
      <c r="DD332" s="162"/>
      <c r="DE332" s="162"/>
      <c r="DF332" s="162"/>
      <c r="DG332" s="162"/>
      <c r="DH332" s="162"/>
      <c r="DI332" s="162"/>
      <c r="DJ332" s="162"/>
      <c r="DK332" s="162"/>
      <c r="DL332" s="162"/>
      <c r="DM332" s="162"/>
      <c r="DN332" s="162"/>
      <c r="DO332" s="162"/>
      <c r="DP332" s="162"/>
      <c r="DQ332" s="162"/>
      <c r="DR332" s="162"/>
      <c r="DS332" s="162"/>
      <c r="DT332" s="162"/>
      <c r="DU332" s="162"/>
      <c r="DV332" s="162"/>
      <c r="DW332" s="162"/>
    </row>
    <row r="333" spans="1:127" ht="15" customHeight="1">
      <c r="A333" s="159"/>
      <c r="B333" s="160"/>
      <c r="C333" s="161"/>
      <c r="D333" s="162"/>
      <c r="E333" s="162"/>
      <c r="F333" s="162"/>
      <c r="G333" s="162"/>
      <c r="H333" s="162"/>
      <c r="I333" s="162"/>
      <c r="J333" s="162"/>
      <c r="K333" s="162"/>
      <c r="L333" s="162"/>
      <c r="M333" s="162"/>
      <c r="N333" s="161"/>
      <c r="O333" s="162"/>
      <c r="P333" s="162"/>
      <c r="Q333" s="162"/>
      <c r="R333" s="162"/>
      <c r="S333" s="161"/>
      <c r="T333" s="161"/>
      <c r="U333" s="163"/>
      <c r="V333" s="163"/>
      <c r="W333" s="163"/>
      <c r="X333" s="163"/>
      <c r="Y333" s="163"/>
      <c r="Z333" s="163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2"/>
      <c r="DC333" s="162"/>
      <c r="DD333" s="162"/>
      <c r="DE333" s="162"/>
      <c r="DF333" s="162"/>
      <c r="DG333" s="162"/>
      <c r="DH333" s="162"/>
      <c r="DI333" s="162"/>
      <c r="DJ333" s="162"/>
      <c r="DK333" s="162"/>
      <c r="DL333" s="162"/>
      <c r="DM333" s="162"/>
      <c r="DN333" s="162"/>
      <c r="DO333" s="162"/>
      <c r="DP333" s="162"/>
      <c r="DQ333" s="162"/>
      <c r="DR333" s="162"/>
      <c r="DS333" s="162"/>
      <c r="DT333" s="162"/>
      <c r="DU333" s="162"/>
      <c r="DV333" s="162"/>
      <c r="DW333" s="162"/>
    </row>
    <row r="334" spans="1:127" ht="15" customHeight="1">
      <c r="A334" s="159"/>
      <c r="B334" s="160"/>
      <c r="C334" s="161"/>
      <c r="D334" s="162"/>
      <c r="E334" s="162"/>
      <c r="F334" s="162"/>
      <c r="G334" s="162"/>
      <c r="H334" s="162"/>
      <c r="I334" s="162"/>
      <c r="J334" s="162"/>
      <c r="K334" s="162"/>
      <c r="L334" s="162"/>
      <c r="M334" s="162"/>
      <c r="N334" s="161"/>
      <c r="O334" s="162"/>
      <c r="P334" s="162"/>
      <c r="Q334" s="162"/>
      <c r="R334" s="162"/>
      <c r="S334" s="161"/>
      <c r="T334" s="161"/>
      <c r="U334" s="163"/>
      <c r="V334" s="163"/>
      <c r="W334" s="163"/>
      <c r="X334" s="163"/>
      <c r="Y334" s="163"/>
      <c r="Z334" s="163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2"/>
      <c r="DC334" s="162"/>
      <c r="DD334" s="162"/>
      <c r="DE334" s="162"/>
      <c r="DF334" s="162"/>
      <c r="DG334" s="162"/>
      <c r="DH334" s="162"/>
      <c r="DI334" s="162"/>
      <c r="DJ334" s="162"/>
      <c r="DK334" s="162"/>
      <c r="DL334" s="162"/>
      <c r="DM334" s="162"/>
      <c r="DN334" s="162"/>
      <c r="DO334" s="162"/>
      <c r="DP334" s="162"/>
      <c r="DQ334" s="162"/>
      <c r="DR334" s="162"/>
      <c r="DS334" s="162"/>
      <c r="DT334" s="162"/>
      <c r="DU334" s="162"/>
      <c r="DV334" s="162"/>
      <c r="DW334" s="162"/>
    </row>
    <row r="335" spans="1:127" ht="15" customHeight="1">
      <c r="A335" s="159"/>
      <c r="B335" s="160"/>
      <c r="C335" s="161"/>
      <c r="D335" s="162"/>
      <c r="E335" s="162"/>
      <c r="F335" s="162"/>
      <c r="G335" s="162"/>
      <c r="H335" s="162"/>
      <c r="I335" s="162"/>
      <c r="J335" s="162"/>
      <c r="K335" s="162"/>
      <c r="L335" s="162"/>
      <c r="M335" s="162"/>
      <c r="N335" s="161"/>
      <c r="O335" s="162"/>
      <c r="P335" s="162"/>
      <c r="Q335" s="162"/>
      <c r="R335" s="162"/>
      <c r="S335" s="161"/>
      <c r="T335" s="161"/>
      <c r="U335" s="163"/>
      <c r="V335" s="163"/>
      <c r="W335" s="163"/>
      <c r="X335" s="163"/>
      <c r="Y335" s="163"/>
      <c r="Z335" s="163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2"/>
      <c r="DC335" s="162"/>
      <c r="DD335" s="162"/>
      <c r="DE335" s="162"/>
      <c r="DF335" s="162"/>
      <c r="DG335" s="162"/>
      <c r="DH335" s="162"/>
      <c r="DI335" s="162"/>
      <c r="DJ335" s="162"/>
      <c r="DK335" s="162"/>
      <c r="DL335" s="162"/>
      <c r="DM335" s="162"/>
      <c r="DN335" s="162"/>
      <c r="DO335" s="162"/>
      <c r="DP335" s="162"/>
      <c r="DQ335" s="162"/>
      <c r="DR335" s="162"/>
      <c r="DS335" s="162"/>
      <c r="DT335" s="162"/>
      <c r="DU335" s="162"/>
      <c r="DV335" s="162"/>
      <c r="DW335" s="162"/>
    </row>
    <row r="336" spans="1:127" ht="15" customHeight="1">
      <c r="A336" s="159"/>
      <c r="B336" s="160"/>
      <c r="C336" s="161"/>
      <c r="D336" s="162"/>
      <c r="E336" s="162"/>
      <c r="F336" s="162"/>
      <c r="G336" s="162"/>
      <c r="H336" s="162"/>
      <c r="I336" s="162"/>
      <c r="J336" s="162"/>
      <c r="K336" s="162"/>
      <c r="L336" s="162"/>
      <c r="M336" s="162"/>
      <c r="N336" s="161"/>
      <c r="O336" s="162"/>
      <c r="P336" s="162"/>
      <c r="Q336" s="162"/>
      <c r="R336" s="162"/>
      <c r="S336" s="161"/>
      <c r="T336" s="161"/>
      <c r="U336" s="163"/>
      <c r="V336" s="163"/>
      <c r="W336" s="163"/>
      <c r="X336" s="163"/>
      <c r="Y336" s="163"/>
      <c r="Z336" s="163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2"/>
      <c r="DC336" s="162"/>
      <c r="DD336" s="162"/>
      <c r="DE336" s="162"/>
      <c r="DF336" s="162"/>
      <c r="DG336" s="162"/>
      <c r="DH336" s="162"/>
      <c r="DI336" s="162"/>
      <c r="DJ336" s="162"/>
      <c r="DK336" s="162"/>
      <c r="DL336" s="162"/>
      <c r="DM336" s="162"/>
      <c r="DN336" s="162"/>
      <c r="DO336" s="162"/>
      <c r="DP336" s="162"/>
      <c r="DQ336" s="162"/>
      <c r="DR336" s="162"/>
      <c r="DS336" s="162"/>
      <c r="DT336" s="162"/>
      <c r="DU336" s="162"/>
      <c r="DV336" s="162"/>
      <c r="DW336" s="162"/>
    </row>
    <row r="337" spans="1:127" ht="15" customHeight="1">
      <c r="A337" s="159"/>
      <c r="B337" s="160"/>
      <c r="C337" s="161"/>
      <c r="D337" s="162"/>
      <c r="E337" s="162"/>
      <c r="F337" s="162"/>
      <c r="G337" s="162"/>
      <c r="H337" s="162"/>
      <c r="I337" s="162"/>
      <c r="J337" s="162"/>
      <c r="K337" s="162"/>
      <c r="L337" s="162"/>
      <c r="M337" s="162"/>
      <c r="N337" s="161"/>
      <c r="O337" s="162"/>
      <c r="P337" s="162"/>
      <c r="Q337" s="162"/>
      <c r="R337" s="162"/>
      <c r="S337" s="161"/>
      <c r="T337" s="161"/>
      <c r="U337" s="163"/>
      <c r="V337" s="163"/>
      <c r="W337" s="163"/>
      <c r="X337" s="163"/>
      <c r="Y337" s="163"/>
      <c r="Z337" s="163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2"/>
      <c r="DC337" s="162"/>
      <c r="DD337" s="162"/>
      <c r="DE337" s="162"/>
      <c r="DF337" s="162"/>
      <c r="DG337" s="162"/>
      <c r="DH337" s="162"/>
      <c r="DI337" s="162"/>
      <c r="DJ337" s="162"/>
      <c r="DK337" s="162"/>
      <c r="DL337" s="162"/>
      <c r="DM337" s="162"/>
      <c r="DN337" s="162"/>
      <c r="DO337" s="162"/>
      <c r="DP337" s="162"/>
      <c r="DQ337" s="162"/>
      <c r="DR337" s="162"/>
      <c r="DS337" s="162"/>
      <c r="DT337" s="162"/>
      <c r="DU337" s="162"/>
      <c r="DV337" s="162"/>
      <c r="DW337" s="162"/>
    </row>
    <row r="338" spans="1:127" ht="15" customHeight="1">
      <c r="A338" s="159"/>
      <c r="B338" s="160"/>
      <c r="C338" s="161"/>
      <c r="D338" s="162"/>
      <c r="E338" s="162"/>
      <c r="F338" s="162"/>
      <c r="G338" s="162"/>
      <c r="H338" s="162"/>
      <c r="I338" s="162"/>
      <c r="J338" s="162"/>
      <c r="K338" s="162"/>
      <c r="L338" s="162"/>
      <c r="M338" s="162"/>
      <c r="N338" s="161"/>
      <c r="O338" s="162"/>
      <c r="P338" s="162"/>
      <c r="Q338" s="162"/>
      <c r="R338" s="162"/>
      <c r="S338" s="161"/>
      <c r="T338" s="161"/>
      <c r="U338" s="163"/>
      <c r="V338" s="163"/>
      <c r="W338" s="163"/>
      <c r="X338" s="163"/>
      <c r="Y338" s="163"/>
      <c r="Z338" s="163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2"/>
      <c r="DC338" s="162"/>
      <c r="DD338" s="162"/>
      <c r="DE338" s="162"/>
      <c r="DF338" s="162"/>
      <c r="DG338" s="162"/>
      <c r="DH338" s="162"/>
      <c r="DI338" s="162"/>
      <c r="DJ338" s="162"/>
      <c r="DK338" s="162"/>
      <c r="DL338" s="162"/>
      <c r="DM338" s="162"/>
      <c r="DN338" s="162"/>
      <c r="DO338" s="162"/>
      <c r="DP338" s="162"/>
      <c r="DQ338" s="162"/>
      <c r="DR338" s="162"/>
      <c r="DS338" s="162"/>
      <c r="DT338" s="162"/>
      <c r="DU338" s="162"/>
      <c r="DV338" s="162"/>
      <c r="DW338" s="162"/>
    </row>
    <row r="339" spans="1:127" ht="15" customHeight="1">
      <c r="A339" s="159"/>
      <c r="B339" s="160"/>
      <c r="C339" s="161"/>
      <c r="D339" s="162"/>
      <c r="E339" s="162"/>
      <c r="F339" s="162"/>
      <c r="G339" s="162"/>
      <c r="H339" s="162"/>
      <c r="I339" s="162"/>
      <c r="J339" s="162"/>
      <c r="K339" s="162"/>
      <c r="L339" s="162"/>
      <c r="M339" s="162"/>
      <c r="N339" s="161"/>
      <c r="O339" s="162"/>
      <c r="P339" s="162"/>
      <c r="Q339" s="162"/>
      <c r="R339" s="162"/>
      <c r="S339" s="161"/>
      <c r="T339" s="161"/>
      <c r="U339" s="163"/>
      <c r="V339" s="163"/>
      <c r="W339" s="163"/>
      <c r="X339" s="163"/>
      <c r="Y339" s="163"/>
      <c r="Z339" s="163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2"/>
      <c r="DC339" s="162"/>
      <c r="DD339" s="162"/>
      <c r="DE339" s="162"/>
      <c r="DF339" s="162"/>
      <c r="DG339" s="162"/>
      <c r="DH339" s="162"/>
      <c r="DI339" s="162"/>
      <c r="DJ339" s="162"/>
      <c r="DK339" s="162"/>
      <c r="DL339" s="162"/>
      <c r="DM339" s="162"/>
      <c r="DN339" s="162"/>
      <c r="DO339" s="162"/>
      <c r="DP339" s="162"/>
      <c r="DQ339" s="162"/>
      <c r="DR339" s="162"/>
      <c r="DS339" s="162"/>
      <c r="DT339" s="162"/>
      <c r="DU339" s="162"/>
      <c r="DV339" s="162"/>
      <c r="DW339" s="162"/>
    </row>
    <row r="340" spans="1:127" ht="15" customHeight="1">
      <c r="A340" s="159"/>
      <c r="B340" s="160"/>
      <c r="C340" s="161"/>
      <c r="D340" s="162"/>
      <c r="E340" s="162"/>
      <c r="F340" s="162"/>
      <c r="G340" s="162"/>
      <c r="H340" s="162"/>
      <c r="I340" s="162"/>
      <c r="J340" s="162"/>
      <c r="K340" s="162"/>
      <c r="L340" s="162"/>
      <c r="M340" s="162"/>
      <c r="N340" s="161"/>
      <c r="O340" s="162"/>
      <c r="P340" s="162"/>
      <c r="Q340" s="162"/>
      <c r="R340" s="162"/>
      <c r="S340" s="161"/>
      <c r="T340" s="161"/>
      <c r="U340" s="163"/>
      <c r="V340" s="163"/>
      <c r="W340" s="163"/>
      <c r="X340" s="163"/>
      <c r="Y340" s="163"/>
      <c r="Z340" s="163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2"/>
      <c r="DC340" s="162"/>
      <c r="DD340" s="162"/>
      <c r="DE340" s="162"/>
      <c r="DF340" s="162"/>
      <c r="DG340" s="162"/>
      <c r="DH340" s="162"/>
      <c r="DI340" s="162"/>
      <c r="DJ340" s="162"/>
      <c r="DK340" s="162"/>
      <c r="DL340" s="162"/>
      <c r="DM340" s="162"/>
      <c r="DN340" s="162"/>
      <c r="DO340" s="162"/>
      <c r="DP340" s="162"/>
      <c r="DQ340" s="162"/>
      <c r="DR340" s="162"/>
      <c r="DS340" s="162"/>
      <c r="DT340" s="162"/>
      <c r="DU340" s="162"/>
      <c r="DV340" s="162"/>
      <c r="DW340" s="162"/>
    </row>
    <row r="341" spans="1:127" ht="15" customHeight="1">
      <c r="A341" s="159"/>
      <c r="B341" s="160"/>
      <c r="C341" s="161"/>
      <c r="D341" s="162"/>
      <c r="E341" s="162"/>
      <c r="F341" s="162"/>
      <c r="G341" s="162"/>
      <c r="H341" s="162"/>
      <c r="I341" s="162"/>
      <c r="J341" s="162"/>
      <c r="K341" s="162"/>
      <c r="L341" s="162"/>
      <c r="M341" s="162"/>
      <c r="N341" s="161"/>
      <c r="O341" s="162"/>
      <c r="P341" s="162"/>
      <c r="Q341" s="162"/>
      <c r="R341" s="162"/>
      <c r="S341" s="161"/>
      <c r="T341" s="161"/>
      <c r="U341" s="163"/>
      <c r="V341" s="163"/>
      <c r="W341" s="163"/>
      <c r="X341" s="163"/>
      <c r="Y341" s="163"/>
      <c r="Z341" s="163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2"/>
      <c r="DC341" s="162"/>
      <c r="DD341" s="162"/>
      <c r="DE341" s="162"/>
      <c r="DF341" s="162"/>
      <c r="DG341" s="162"/>
      <c r="DH341" s="162"/>
      <c r="DI341" s="162"/>
      <c r="DJ341" s="162"/>
      <c r="DK341" s="162"/>
      <c r="DL341" s="162"/>
      <c r="DM341" s="162"/>
      <c r="DN341" s="162"/>
      <c r="DO341" s="162"/>
      <c r="DP341" s="162"/>
      <c r="DQ341" s="162"/>
      <c r="DR341" s="162"/>
      <c r="DS341" s="162"/>
      <c r="DT341" s="162"/>
      <c r="DU341" s="162"/>
      <c r="DV341" s="162"/>
      <c r="DW341" s="162"/>
    </row>
    <row r="342" spans="1:127" ht="15" customHeight="1">
      <c r="A342" s="159"/>
      <c r="B342" s="160"/>
      <c r="C342" s="161"/>
      <c r="D342" s="162"/>
      <c r="E342" s="162"/>
      <c r="F342" s="162"/>
      <c r="G342" s="162"/>
      <c r="H342" s="162"/>
      <c r="I342" s="162"/>
      <c r="J342" s="162"/>
      <c r="K342" s="162"/>
      <c r="L342" s="162"/>
      <c r="M342" s="162"/>
      <c r="N342" s="161"/>
      <c r="O342" s="162"/>
      <c r="P342" s="162"/>
      <c r="Q342" s="162"/>
      <c r="R342" s="162"/>
      <c r="S342" s="161"/>
      <c r="T342" s="161"/>
      <c r="U342" s="163"/>
      <c r="V342" s="163"/>
      <c r="W342" s="163"/>
      <c r="X342" s="163"/>
      <c r="Y342" s="163"/>
      <c r="Z342" s="163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2"/>
      <c r="DC342" s="162"/>
      <c r="DD342" s="162"/>
      <c r="DE342" s="162"/>
      <c r="DF342" s="162"/>
      <c r="DG342" s="162"/>
      <c r="DH342" s="162"/>
      <c r="DI342" s="162"/>
      <c r="DJ342" s="162"/>
      <c r="DK342" s="162"/>
      <c r="DL342" s="162"/>
      <c r="DM342" s="162"/>
      <c r="DN342" s="162"/>
      <c r="DO342" s="162"/>
      <c r="DP342" s="162"/>
      <c r="DQ342" s="162"/>
      <c r="DR342" s="162"/>
      <c r="DS342" s="162"/>
      <c r="DT342" s="162"/>
      <c r="DU342" s="162"/>
      <c r="DV342" s="162"/>
      <c r="DW342" s="162"/>
    </row>
    <row r="343" spans="1:127" ht="15" customHeight="1">
      <c r="A343" s="159"/>
      <c r="B343" s="160"/>
      <c r="C343" s="161"/>
      <c r="D343" s="162"/>
      <c r="E343" s="162"/>
      <c r="F343" s="162"/>
      <c r="G343" s="162"/>
      <c r="H343" s="162"/>
      <c r="I343" s="162"/>
      <c r="J343" s="162"/>
      <c r="K343" s="162"/>
      <c r="L343" s="162"/>
      <c r="M343" s="162"/>
      <c r="N343" s="161"/>
      <c r="O343" s="162"/>
      <c r="P343" s="162"/>
      <c r="Q343" s="162"/>
      <c r="R343" s="162"/>
      <c r="S343" s="161"/>
      <c r="T343" s="161"/>
      <c r="U343" s="163"/>
      <c r="V343" s="163"/>
      <c r="W343" s="163"/>
      <c r="X343" s="163"/>
      <c r="Y343" s="163"/>
      <c r="Z343" s="163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2"/>
      <c r="DC343" s="162"/>
      <c r="DD343" s="162"/>
      <c r="DE343" s="162"/>
      <c r="DF343" s="162"/>
      <c r="DG343" s="162"/>
      <c r="DH343" s="162"/>
      <c r="DI343" s="162"/>
      <c r="DJ343" s="162"/>
      <c r="DK343" s="162"/>
      <c r="DL343" s="162"/>
      <c r="DM343" s="162"/>
      <c r="DN343" s="162"/>
      <c r="DO343" s="162"/>
      <c r="DP343" s="162"/>
      <c r="DQ343" s="162"/>
      <c r="DR343" s="162"/>
      <c r="DS343" s="162"/>
      <c r="DT343" s="162"/>
      <c r="DU343" s="162"/>
      <c r="DV343" s="162"/>
      <c r="DW343" s="162"/>
    </row>
    <row r="344" spans="1:127" ht="15" customHeight="1">
      <c r="A344" s="159"/>
      <c r="B344" s="160"/>
      <c r="C344" s="161"/>
      <c r="D344" s="162"/>
      <c r="E344" s="162"/>
      <c r="F344" s="162"/>
      <c r="G344" s="162"/>
      <c r="H344" s="162"/>
      <c r="I344" s="162"/>
      <c r="J344" s="162"/>
      <c r="K344" s="162"/>
      <c r="L344" s="162"/>
      <c r="M344" s="162"/>
      <c r="N344" s="161"/>
      <c r="O344" s="162"/>
      <c r="P344" s="162"/>
      <c r="Q344" s="162"/>
      <c r="R344" s="162"/>
      <c r="S344" s="161"/>
      <c r="T344" s="161"/>
      <c r="U344" s="163"/>
      <c r="V344" s="163"/>
      <c r="W344" s="163"/>
      <c r="X344" s="163"/>
      <c r="Y344" s="163"/>
      <c r="Z344" s="163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2"/>
      <c r="DC344" s="162"/>
      <c r="DD344" s="162"/>
      <c r="DE344" s="162"/>
      <c r="DF344" s="162"/>
      <c r="DG344" s="162"/>
      <c r="DH344" s="162"/>
      <c r="DI344" s="162"/>
      <c r="DJ344" s="162"/>
      <c r="DK344" s="162"/>
      <c r="DL344" s="162"/>
      <c r="DM344" s="162"/>
      <c r="DN344" s="162"/>
      <c r="DO344" s="162"/>
      <c r="DP344" s="162"/>
      <c r="DQ344" s="162"/>
      <c r="DR344" s="162"/>
      <c r="DS344" s="162"/>
      <c r="DT344" s="162"/>
      <c r="DU344" s="162"/>
      <c r="DV344" s="162"/>
      <c r="DW344" s="162"/>
    </row>
    <row r="345" spans="1:127" ht="15" customHeight="1">
      <c r="A345" s="159"/>
      <c r="B345" s="160"/>
      <c r="C345" s="161"/>
      <c r="D345" s="162"/>
      <c r="E345" s="162"/>
      <c r="F345" s="162"/>
      <c r="G345" s="162"/>
      <c r="H345" s="162"/>
      <c r="I345" s="162"/>
      <c r="J345" s="162"/>
      <c r="K345" s="162"/>
      <c r="L345" s="162"/>
      <c r="M345" s="162"/>
      <c r="N345" s="161"/>
      <c r="O345" s="162"/>
      <c r="P345" s="162"/>
      <c r="Q345" s="162"/>
      <c r="R345" s="162"/>
      <c r="S345" s="161"/>
      <c r="T345" s="161"/>
      <c r="U345" s="163"/>
      <c r="V345" s="163"/>
      <c r="W345" s="163"/>
      <c r="X345" s="163"/>
      <c r="Y345" s="163"/>
      <c r="Z345" s="163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2"/>
      <c r="DC345" s="162"/>
      <c r="DD345" s="162"/>
      <c r="DE345" s="162"/>
      <c r="DF345" s="162"/>
      <c r="DG345" s="162"/>
      <c r="DH345" s="162"/>
      <c r="DI345" s="162"/>
      <c r="DJ345" s="162"/>
      <c r="DK345" s="162"/>
      <c r="DL345" s="162"/>
      <c r="DM345" s="162"/>
      <c r="DN345" s="162"/>
      <c r="DO345" s="162"/>
      <c r="DP345" s="162"/>
      <c r="DQ345" s="162"/>
      <c r="DR345" s="162"/>
      <c r="DS345" s="162"/>
      <c r="DT345" s="162"/>
      <c r="DU345" s="162"/>
      <c r="DV345" s="162"/>
      <c r="DW345" s="162"/>
    </row>
    <row r="346" spans="1:127" ht="15" customHeight="1">
      <c r="A346" s="159"/>
      <c r="B346" s="160"/>
      <c r="C346" s="161"/>
      <c r="D346" s="162"/>
      <c r="E346" s="162"/>
      <c r="F346" s="162"/>
      <c r="G346" s="162"/>
      <c r="H346" s="162"/>
      <c r="I346" s="162"/>
      <c r="J346" s="162"/>
      <c r="K346" s="162"/>
      <c r="L346" s="162"/>
      <c r="M346" s="162"/>
      <c r="N346" s="161"/>
      <c r="O346" s="162"/>
      <c r="P346" s="162"/>
      <c r="Q346" s="162"/>
      <c r="R346" s="162"/>
      <c r="S346" s="161"/>
      <c r="T346" s="161"/>
      <c r="U346" s="163"/>
      <c r="V346" s="163"/>
      <c r="W346" s="163"/>
      <c r="X346" s="163"/>
      <c r="Y346" s="163"/>
      <c r="Z346" s="163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2"/>
      <c r="DC346" s="162"/>
      <c r="DD346" s="162"/>
      <c r="DE346" s="162"/>
      <c r="DF346" s="162"/>
      <c r="DG346" s="162"/>
      <c r="DH346" s="162"/>
      <c r="DI346" s="162"/>
      <c r="DJ346" s="162"/>
      <c r="DK346" s="162"/>
      <c r="DL346" s="162"/>
      <c r="DM346" s="162"/>
      <c r="DN346" s="162"/>
      <c r="DO346" s="162"/>
      <c r="DP346" s="162"/>
      <c r="DQ346" s="162"/>
      <c r="DR346" s="162"/>
      <c r="DS346" s="162"/>
      <c r="DT346" s="162"/>
      <c r="DU346" s="162"/>
      <c r="DV346" s="162"/>
      <c r="DW346" s="162"/>
    </row>
    <row r="347" spans="1:127" ht="15" customHeight="1">
      <c r="A347" s="159"/>
      <c r="B347" s="160"/>
      <c r="C347" s="161"/>
      <c r="D347" s="162"/>
      <c r="E347" s="162"/>
      <c r="F347" s="162"/>
      <c r="G347" s="162"/>
      <c r="H347" s="162"/>
      <c r="I347" s="162"/>
      <c r="J347" s="162"/>
      <c r="K347" s="162"/>
      <c r="L347" s="162"/>
      <c r="M347" s="162"/>
      <c r="N347" s="161"/>
      <c r="O347" s="162"/>
      <c r="P347" s="162"/>
      <c r="Q347" s="162"/>
      <c r="R347" s="162"/>
      <c r="S347" s="161"/>
      <c r="T347" s="161"/>
      <c r="U347" s="163"/>
      <c r="V347" s="163"/>
      <c r="W347" s="163"/>
      <c r="X347" s="163"/>
      <c r="Y347" s="163"/>
      <c r="Z347" s="163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2"/>
      <c r="DC347" s="162"/>
      <c r="DD347" s="162"/>
      <c r="DE347" s="162"/>
      <c r="DF347" s="162"/>
      <c r="DG347" s="162"/>
      <c r="DH347" s="162"/>
      <c r="DI347" s="162"/>
      <c r="DJ347" s="162"/>
      <c r="DK347" s="162"/>
      <c r="DL347" s="162"/>
      <c r="DM347" s="162"/>
      <c r="DN347" s="162"/>
      <c r="DO347" s="162"/>
      <c r="DP347" s="162"/>
      <c r="DQ347" s="162"/>
      <c r="DR347" s="162"/>
      <c r="DS347" s="162"/>
      <c r="DT347" s="162"/>
      <c r="DU347" s="162"/>
      <c r="DV347" s="162"/>
      <c r="DW347" s="162"/>
    </row>
    <row r="348" spans="1:127" ht="15" customHeight="1">
      <c r="A348" s="159"/>
      <c r="B348" s="160"/>
      <c r="C348" s="161"/>
      <c r="D348" s="162"/>
      <c r="E348" s="162"/>
      <c r="F348" s="162"/>
      <c r="G348" s="162"/>
      <c r="H348" s="162"/>
      <c r="I348" s="162"/>
      <c r="J348" s="162"/>
      <c r="K348" s="162"/>
      <c r="L348" s="162"/>
      <c r="M348" s="162"/>
      <c r="N348" s="161"/>
      <c r="O348" s="162"/>
      <c r="P348" s="162"/>
      <c r="Q348" s="162"/>
      <c r="R348" s="162"/>
      <c r="S348" s="161"/>
      <c r="T348" s="161"/>
      <c r="U348" s="163"/>
      <c r="V348" s="163"/>
      <c r="W348" s="163"/>
      <c r="X348" s="163"/>
      <c r="Y348" s="163"/>
      <c r="Z348" s="163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2"/>
      <c r="DC348" s="162"/>
      <c r="DD348" s="162"/>
      <c r="DE348" s="162"/>
      <c r="DF348" s="162"/>
      <c r="DG348" s="162"/>
      <c r="DH348" s="162"/>
      <c r="DI348" s="162"/>
      <c r="DJ348" s="162"/>
      <c r="DK348" s="162"/>
      <c r="DL348" s="162"/>
      <c r="DM348" s="162"/>
      <c r="DN348" s="162"/>
      <c r="DO348" s="162"/>
      <c r="DP348" s="162"/>
      <c r="DQ348" s="162"/>
      <c r="DR348" s="162"/>
      <c r="DS348" s="162"/>
      <c r="DT348" s="162"/>
      <c r="DU348" s="162"/>
      <c r="DV348" s="162"/>
      <c r="DW348" s="162"/>
    </row>
    <row r="349" spans="1:127" ht="15" customHeight="1">
      <c r="A349" s="159"/>
      <c r="B349" s="160"/>
      <c r="C349" s="161"/>
      <c r="D349" s="162"/>
      <c r="E349" s="162"/>
      <c r="F349" s="162"/>
      <c r="G349" s="162"/>
      <c r="H349" s="162"/>
      <c r="I349" s="162"/>
      <c r="J349" s="162"/>
      <c r="K349" s="162"/>
      <c r="L349" s="162"/>
      <c r="M349" s="162"/>
      <c r="N349" s="161"/>
      <c r="O349" s="162"/>
      <c r="P349" s="162"/>
      <c r="Q349" s="162"/>
      <c r="R349" s="162"/>
      <c r="S349" s="161"/>
      <c r="T349" s="161"/>
      <c r="U349" s="163"/>
      <c r="V349" s="163"/>
      <c r="W349" s="163"/>
      <c r="X349" s="163"/>
      <c r="Y349" s="163"/>
      <c r="Z349" s="163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2"/>
      <c r="DC349" s="162"/>
      <c r="DD349" s="162"/>
      <c r="DE349" s="162"/>
      <c r="DF349" s="162"/>
      <c r="DG349" s="162"/>
      <c r="DH349" s="162"/>
      <c r="DI349" s="162"/>
      <c r="DJ349" s="162"/>
      <c r="DK349" s="162"/>
      <c r="DL349" s="162"/>
      <c r="DM349" s="162"/>
      <c r="DN349" s="162"/>
      <c r="DO349" s="162"/>
      <c r="DP349" s="162"/>
      <c r="DQ349" s="162"/>
      <c r="DR349" s="162"/>
      <c r="DS349" s="162"/>
      <c r="DT349" s="162"/>
      <c r="DU349" s="162"/>
      <c r="DV349" s="162"/>
      <c r="DW349" s="162"/>
    </row>
    <row r="350" spans="1:127" ht="15" customHeight="1">
      <c r="A350" s="159"/>
      <c r="B350" s="160"/>
      <c r="C350" s="161"/>
      <c r="D350" s="162"/>
      <c r="E350" s="162"/>
      <c r="F350" s="162"/>
      <c r="G350" s="162"/>
      <c r="H350" s="162"/>
      <c r="I350" s="162"/>
      <c r="J350" s="162"/>
      <c r="K350" s="162"/>
      <c r="L350" s="162"/>
      <c r="M350" s="162"/>
      <c r="N350" s="161"/>
      <c r="O350" s="162"/>
      <c r="P350" s="162"/>
      <c r="Q350" s="162"/>
      <c r="R350" s="162"/>
      <c r="S350" s="161"/>
      <c r="T350" s="161"/>
      <c r="U350" s="163"/>
      <c r="V350" s="163"/>
      <c r="W350" s="163"/>
      <c r="X350" s="163"/>
      <c r="Y350" s="163"/>
      <c r="Z350" s="163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2"/>
      <c r="DC350" s="162"/>
      <c r="DD350" s="162"/>
      <c r="DE350" s="162"/>
      <c r="DF350" s="162"/>
      <c r="DG350" s="162"/>
      <c r="DH350" s="162"/>
      <c r="DI350" s="162"/>
      <c r="DJ350" s="162"/>
      <c r="DK350" s="162"/>
      <c r="DL350" s="162"/>
      <c r="DM350" s="162"/>
      <c r="DN350" s="162"/>
      <c r="DO350" s="162"/>
      <c r="DP350" s="162"/>
      <c r="DQ350" s="162"/>
      <c r="DR350" s="162"/>
      <c r="DS350" s="162"/>
      <c r="DT350" s="162"/>
      <c r="DU350" s="162"/>
      <c r="DV350" s="162"/>
      <c r="DW350" s="162"/>
    </row>
    <row r="351" spans="1:127" ht="15" customHeight="1">
      <c r="A351" s="159"/>
      <c r="B351" s="160"/>
      <c r="C351" s="161"/>
      <c r="D351" s="162"/>
      <c r="E351" s="162"/>
      <c r="F351" s="162"/>
      <c r="G351" s="162"/>
      <c r="H351" s="162"/>
      <c r="I351" s="162"/>
      <c r="J351" s="162"/>
      <c r="K351" s="162"/>
      <c r="L351" s="162"/>
      <c r="M351" s="162"/>
      <c r="N351" s="161"/>
      <c r="O351" s="162"/>
      <c r="P351" s="162"/>
      <c r="Q351" s="162"/>
      <c r="R351" s="162"/>
      <c r="S351" s="161"/>
      <c r="T351" s="161"/>
      <c r="U351" s="163"/>
      <c r="V351" s="163"/>
      <c r="W351" s="163"/>
      <c r="X351" s="163"/>
      <c r="Y351" s="163"/>
      <c r="Z351" s="163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2"/>
      <c r="DC351" s="162"/>
      <c r="DD351" s="162"/>
      <c r="DE351" s="162"/>
      <c r="DF351" s="162"/>
      <c r="DG351" s="162"/>
      <c r="DH351" s="162"/>
      <c r="DI351" s="162"/>
      <c r="DJ351" s="162"/>
      <c r="DK351" s="162"/>
      <c r="DL351" s="162"/>
      <c r="DM351" s="162"/>
      <c r="DN351" s="162"/>
      <c r="DO351" s="162"/>
      <c r="DP351" s="162"/>
      <c r="DQ351" s="162"/>
      <c r="DR351" s="162"/>
      <c r="DS351" s="162"/>
      <c r="DT351" s="162"/>
      <c r="DU351" s="162"/>
      <c r="DV351" s="162"/>
      <c r="DW351" s="162"/>
    </row>
    <row r="352" spans="1:127" ht="15" customHeight="1">
      <c r="A352" s="159"/>
      <c r="B352" s="160"/>
      <c r="C352" s="161"/>
      <c r="D352" s="162"/>
      <c r="E352" s="162"/>
      <c r="F352" s="162"/>
      <c r="G352" s="162"/>
      <c r="H352" s="162"/>
      <c r="I352" s="162"/>
      <c r="J352" s="162"/>
      <c r="K352" s="162"/>
      <c r="L352" s="162"/>
      <c r="M352" s="162"/>
      <c r="N352" s="161"/>
      <c r="O352" s="162"/>
      <c r="P352" s="162"/>
      <c r="Q352" s="162"/>
      <c r="R352" s="162"/>
      <c r="S352" s="161"/>
      <c r="T352" s="161"/>
      <c r="U352" s="163"/>
      <c r="V352" s="163"/>
      <c r="W352" s="163"/>
      <c r="X352" s="163"/>
      <c r="Y352" s="163"/>
      <c r="Z352" s="163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2"/>
      <c r="DC352" s="162"/>
      <c r="DD352" s="162"/>
      <c r="DE352" s="162"/>
      <c r="DF352" s="162"/>
      <c r="DG352" s="162"/>
      <c r="DH352" s="162"/>
      <c r="DI352" s="162"/>
      <c r="DJ352" s="162"/>
      <c r="DK352" s="162"/>
      <c r="DL352" s="162"/>
      <c r="DM352" s="162"/>
      <c r="DN352" s="162"/>
      <c r="DO352" s="162"/>
      <c r="DP352" s="162"/>
      <c r="DQ352" s="162"/>
      <c r="DR352" s="162"/>
      <c r="DS352" s="162"/>
      <c r="DT352" s="162"/>
      <c r="DU352" s="162"/>
      <c r="DV352" s="162"/>
      <c r="DW352" s="162"/>
    </row>
    <row r="353" spans="1:127" ht="15" customHeight="1">
      <c r="A353" s="159"/>
      <c r="B353" s="160"/>
      <c r="C353" s="161"/>
      <c r="D353" s="162"/>
      <c r="E353" s="162"/>
      <c r="F353" s="162"/>
      <c r="G353" s="162"/>
      <c r="H353" s="162"/>
      <c r="I353" s="162"/>
      <c r="J353" s="162"/>
      <c r="K353" s="162"/>
      <c r="L353" s="162"/>
      <c r="M353" s="162"/>
      <c r="N353" s="161"/>
      <c r="O353" s="162"/>
      <c r="P353" s="162"/>
      <c r="Q353" s="162"/>
      <c r="R353" s="162"/>
      <c r="S353" s="161"/>
      <c r="T353" s="161"/>
      <c r="U353" s="163"/>
      <c r="V353" s="163"/>
      <c r="W353" s="163"/>
      <c r="X353" s="163"/>
      <c r="Y353" s="163"/>
      <c r="Z353" s="163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2"/>
      <c r="DC353" s="162"/>
      <c r="DD353" s="162"/>
      <c r="DE353" s="162"/>
      <c r="DF353" s="162"/>
      <c r="DG353" s="162"/>
      <c r="DH353" s="162"/>
      <c r="DI353" s="162"/>
      <c r="DJ353" s="162"/>
      <c r="DK353" s="162"/>
      <c r="DL353" s="162"/>
      <c r="DM353" s="162"/>
      <c r="DN353" s="162"/>
      <c r="DO353" s="162"/>
      <c r="DP353" s="162"/>
      <c r="DQ353" s="162"/>
      <c r="DR353" s="162"/>
      <c r="DS353" s="162"/>
      <c r="DT353" s="162"/>
      <c r="DU353" s="162"/>
      <c r="DV353" s="162"/>
      <c r="DW353" s="162"/>
    </row>
    <row r="354" spans="1:127" ht="15" customHeight="1">
      <c r="A354" s="159"/>
      <c r="B354" s="160"/>
      <c r="C354" s="161"/>
      <c r="D354" s="162"/>
      <c r="E354" s="162"/>
      <c r="F354" s="162"/>
      <c r="G354" s="162"/>
      <c r="H354" s="162"/>
      <c r="I354" s="162"/>
      <c r="J354" s="162"/>
      <c r="K354" s="162"/>
      <c r="L354" s="162"/>
      <c r="M354" s="162"/>
      <c r="N354" s="161"/>
      <c r="O354" s="162"/>
      <c r="P354" s="162"/>
      <c r="Q354" s="162"/>
      <c r="R354" s="162"/>
      <c r="S354" s="161"/>
      <c r="T354" s="161"/>
      <c r="U354" s="163"/>
      <c r="V354" s="163"/>
      <c r="W354" s="163"/>
      <c r="X354" s="163"/>
      <c r="Y354" s="163"/>
      <c r="Z354" s="163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2"/>
      <c r="DC354" s="162"/>
      <c r="DD354" s="162"/>
      <c r="DE354" s="162"/>
      <c r="DF354" s="162"/>
      <c r="DG354" s="162"/>
      <c r="DH354" s="162"/>
      <c r="DI354" s="162"/>
      <c r="DJ354" s="162"/>
      <c r="DK354" s="162"/>
      <c r="DL354" s="162"/>
      <c r="DM354" s="162"/>
      <c r="DN354" s="162"/>
      <c r="DO354" s="162"/>
      <c r="DP354" s="162"/>
      <c r="DQ354" s="162"/>
      <c r="DR354" s="162"/>
      <c r="DS354" s="162"/>
      <c r="DT354" s="162"/>
      <c r="DU354" s="162"/>
      <c r="DV354" s="162"/>
      <c r="DW354" s="162"/>
    </row>
    <row r="355" spans="1:127" ht="15" customHeight="1">
      <c r="A355" s="159"/>
      <c r="B355" s="160"/>
      <c r="C355" s="161"/>
      <c r="D355" s="162"/>
      <c r="E355" s="162"/>
      <c r="F355" s="162"/>
      <c r="G355" s="162"/>
      <c r="H355" s="162"/>
      <c r="I355" s="162"/>
      <c r="J355" s="162"/>
      <c r="K355" s="162"/>
      <c r="L355" s="162"/>
      <c r="M355" s="162"/>
      <c r="N355" s="161"/>
      <c r="O355" s="162"/>
      <c r="P355" s="162"/>
      <c r="Q355" s="162"/>
      <c r="R355" s="162"/>
      <c r="S355" s="161"/>
      <c r="T355" s="161"/>
      <c r="U355" s="163"/>
      <c r="V355" s="163"/>
      <c r="W355" s="163"/>
      <c r="X355" s="163"/>
      <c r="Y355" s="163"/>
      <c r="Z355" s="163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2"/>
      <c r="DC355" s="162"/>
      <c r="DD355" s="162"/>
      <c r="DE355" s="162"/>
      <c r="DF355" s="162"/>
      <c r="DG355" s="162"/>
      <c r="DH355" s="162"/>
      <c r="DI355" s="162"/>
      <c r="DJ355" s="162"/>
      <c r="DK355" s="162"/>
      <c r="DL355" s="162"/>
      <c r="DM355" s="162"/>
      <c r="DN355" s="162"/>
      <c r="DO355" s="162"/>
      <c r="DP355" s="162"/>
      <c r="DQ355" s="162"/>
      <c r="DR355" s="162"/>
      <c r="DS355" s="162"/>
      <c r="DT355" s="162"/>
      <c r="DU355" s="162"/>
      <c r="DV355" s="162"/>
      <c r="DW355" s="162"/>
    </row>
    <row r="356" spans="1:127" ht="15" customHeight="1">
      <c r="A356" s="159"/>
      <c r="B356" s="160"/>
      <c r="C356" s="161"/>
      <c r="D356" s="162"/>
      <c r="E356" s="162"/>
      <c r="F356" s="162"/>
      <c r="G356" s="162"/>
      <c r="H356" s="162"/>
      <c r="I356" s="162"/>
      <c r="J356" s="162"/>
      <c r="K356" s="162"/>
      <c r="L356" s="162"/>
      <c r="M356" s="162"/>
      <c r="N356" s="161"/>
      <c r="O356" s="162"/>
      <c r="P356" s="162"/>
      <c r="Q356" s="162"/>
      <c r="R356" s="162"/>
      <c r="S356" s="161"/>
      <c r="T356" s="161"/>
      <c r="U356" s="163"/>
      <c r="V356" s="163"/>
      <c r="W356" s="163"/>
      <c r="X356" s="163"/>
      <c r="Y356" s="163"/>
      <c r="Z356" s="163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2"/>
      <c r="DC356" s="162"/>
      <c r="DD356" s="162"/>
      <c r="DE356" s="162"/>
      <c r="DF356" s="162"/>
      <c r="DG356" s="162"/>
      <c r="DH356" s="162"/>
      <c r="DI356" s="162"/>
      <c r="DJ356" s="162"/>
      <c r="DK356" s="162"/>
      <c r="DL356" s="162"/>
      <c r="DM356" s="162"/>
      <c r="DN356" s="162"/>
      <c r="DO356" s="162"/>
      <c r="DP356" s="162"/>
      <c r="DQ356" s="162"/>
      <c r="DR356" s="162"/>
      <c r="DS356" s="162"/>
      <c r="DT356" s="162"/>
      <c r="DU356" s="162"/>
      <c r="DV356" s="162"/>
      <c r="DW356" s="162"/>
    </row>
    <row r="357" spans="1:127" ht="15" customHeight="1">
      <c r="A357" s="159"/>
      <c r="B357" s="160"/>
      <c r="C357" s="161"/>
      <c r="D357" s="162"/>
      <c r="E357" s="162"/>
      <c r="F357" s="162"/>
      <c r="G357" s="162"/>
      <c r="H357" s="162"/>
      <c r="I357" s="162"/>
      <c r="J357" s="162"/>
      <c r="K357" s="162"/>
      <c r="L357" s="162"/>
      <c r="M357" s="162"/>
      <c r="N357" s="161"/>
      <c r="O357" s="162"/>
      <c r="P357" s="162"/>
      <c r="Q357" s="162"/>
      <c r="R357" s="162"/>
      <c r="S357" s="161"/>
      <c r="T357" s="161"/>
      <c r="U357" s="163"/>
      <c r="V357" s="163"/>
      <c r="W357" s="163"/>
      <c r="X357" s="163"/>
      <c r="Y357" s="163"/>
      <c r="Z357" s="163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2"/>
      <c r="DC357" s="162"/>
      <c r="DD357" s="162"/>
      <c r="DE357" s="162"/>
      <c r="DF357" s="162"/>
      <c r="DG357" s="162"/>
      <c r="DH357" s="162"/>
      <c r="DI357" s="162"/>
      <c r="DJ357" s="162"/>
      <c r="DK357" s="162"/>
      <c r="DL357" s="162"/>
      <c r="DM357" s="162"/>
      <c r="DN357" s="162"/>
      <c r="DO357" s="162"/>
      <c r="DP357" s="162"/>
      <c r="DQ357" s="162"/>
      <c r="DR357" s="162"/>
      <c r="DS357" s="162"/>
      <c r="DT357" s="162"/>
      <c r="DU357" s="162"/>
      <c r="DV357" s="162"/>
      <c r="DW357" s="162"/>
    </row>
    <row r="358" spans="1:127" ht="15" customHeight="1">
      <c r="A358" s="159"/>
      <c r="B358" s="160"/>
      <c r="C358" s="161"/>
      <c r="D358" s="162"/>
      <c r="E358" s="162"/>
      <c r="F358" s="162"/>
      <c r="G358" s="162"/>
      <c r="H358" s="162"/>
      <c r="I358" s="162"/>
      <c r="J358" s="162"/>
      <c r="K358" s="162"/>
      <c r="L358" s="162"/>
      <c r="M358" s="162"/>
      <c r="N358" s="161"/>
      <c r="O358" s="162"/>
      <c r="P358" s="162"/>
      <c r="Q358" s="162"/>
      <c r="R358" s="162"/>
      <c r="S358" s="161"/>
      <c r="T358" s="161"/>
      <c r="U358" s="163"/>
      <c r="V358" s="163"/>
      <c r="W358" s="163"/>
      <c r="X358" s="163"/>
      <c r="Y358" s="163"/>
      <c r="Z358" s="163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2"/>
      <c r="DC358" s="162"/>
      <c r="DD358" s="162"/>
      <c r="DE358" s="162"/>
      <c r="DF358" s="162"/>
      <c r="DG358" s="162"/>
      <c r="DH358" s="162"/>
      <c r="DI358" s="162"/>
      <c r="DJ358" s="162"/>
      <c r="DK358" s="162"/>
      <c r="DL358" s="162"/>
      <c r="DM358" s="162"/>
      <c r="DN358" s="162"/>
      <c r="DO358" s="162"/>
      <c r="DP358" s="162"/>
      <c r="DQ358" s="162"/>
      <c r="DR358" s="162"/>
      <c r="DS358" s="162"/>
      <c r="DT358" s="162"/>
      <c r="DU358" s="162"/>
      <c r="DV358" s="162"/>
      <c r="DW358" s="162"/>
    </row>
    <row r="359" spans="1:127" ht="15" customHeight="1">
      <c r="A359" s="159"/>
      <c r="B359" s="160"/>
      <c r="C359" s="161"/>
      <c r="D359" s="162"/>
      <c r="E359" s="162"/>
      <c r="F359" s="162"/>
      <c r="G359" s="162"/>
      <c r="H359" s="162"/>
      <c r="I359" s="162"/>
      <c r="J359" s="162"/>
      <c r="K359" s="162"/>
      <c r="L359" s="162"/>
      <c r="M359" s="162"/>
      <c r="N359" s="161"/>
      <c r="O359" s="162"/>
      <c r="P359" s="162"/>
      <c r="Q359" s="162"/>
      <c r="R359" s="162"/>
      <c r="S359" s="161"/>
      <c r="T359" s="161"/>
      <c r="U359" s="163"/>
      <c r="V359" s="163"/>
      <c r="W359" s="163"/>
      <c r="X359" s="163"/>
      <c r="Y359" s="163"/>
      <c r="Z359" s="163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2"/>
      <c r="DC359" s="162"/>
      <c r="DD359" s="162"/>
      <c r="DE359" s="162"/>
      <c r="DF359" s="162"/>
      <c r="DG359" s="162"/>
      <c r="DH359" s="162"/>
      <c r="DI359" s="162"/>
      <c r="DJ359" s="162"/>
      <c r="DK359" s="162"/>
      <c r="DL359" s="162"/>
      <c r="DM359" s="162"/>
      <c r="DN359" s="162"/>
      <c r="DO359" s="162"/>
      <c r="DP359" s="162"/>
      <c r="DQ359" s="162"/>
      <c r="DR359" s="162"/>
      <c r="DS359" s="162"/>
      <c r="DT359" s="162"/>
      <c r="DU359" s="162"/>
      <c r="DV359" s="162"/>
      <c r="DW359" s="162"/>
    </row>
    <row r="360" spans="1:127" ht="15" customHeight="1">
      <c r="A360" s="159"/>
      <c r="B360" s="160"/>
      <c r="C360" s="161"/>
      <c r="D360" s="162"/>
      <c r="E360" s="162"/>
      <c r="F360" s="162"/>
      <c r="G360" s="162"/>
      <c r="H360" s="162"/>
      <c r="I360" s="162"/>
      <c r="J360" s="162"/>
      <c r="K360" s="162"/>
      <c r="L360" s="162"/>
      <c r="M360" s="162"/>
      <c r="N360" s="161"/>
      <c r="O360" s="162"/>
      <c r="P360" s="162"/>
      <c r="Q360" s="162"/>
      <c r="R360" s="162"/>
      <c r="S360" s="161"/>
      <c r="T360" s="161"/>
      <c r="U360" s="163"/>
      <c r="V360" s="163"/>
      <c r="W360" s="163"/>
      <c r="X360" s="163"/>
      <c r="Y360" s="163"/>
      <c r="Z360" s="163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2"/>
      <c r="DC360" s="162"/>
      <c r="DD360" s="162"/>
      <c r="DE360" s="162"/>
      <c r="DF360" s="162"/>
      <c r="DG360" s="162"/>
      <c r="DH360" s="162"/>
      <c r="DI360" s="162"/>
      <c r="DJ360" s="162"/>
      <c r="DK360" s="162"/>
      <c r="DL360" s="162"/>
      <c r="DM360" s="162"/>
      <c r="DN360" s="162"/>
      <c r="DO360" s="162"/>
      <c r="DP360" s="162"/>
      <c r="DQ360" s="162"/>
      <c r="DR360" s="162"/>
      <c r="DS360" s="162"/>
      <c r="DT360" s="162"/>
      <c r="DU360" s="162"/>
      <c r="DV360" s="162"/>
      <c r="DW360" s="162"/>
    </row>
    <row r="361" spans="1:127" ht="15" customHeight="1">
      <c r="A361" s="159"/>
      <c r="B361" s="160"/>
      <c r="C361" s="161"/>
      <c r="D361" s="162"/>
      <c r="E361" s="162"/>
      <c r="F361" s="162"/>
      <c r="G361" s="162"/>
      <c r="H361" s="162"/>
      <c r="I361" s="162"/>
      <c r="J361" s="162"/>
      <c r="K361" s="162"/>
      <c r="L361" s="162"/>
      <c r="M361" s="162"/>
      <c r="N361" s="161"/>
      <c r="O361" s="162"/>
      <c r="P361" s="162"/>
      <c r="Q361" s="162"/>
      <c r="R361" s="162"/>
      <c r="S361" s="161"/>
      <c r="T361" s="161"/>
      <c r="U361" s="163"/>
      <c r="V361" s="163"/>
      <c r="W361" s="163"/>
      <c r="X361" s="163"/>
      <c r="Y361" s="163"/>
      <c r="Z361" s="163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2"/>
      <c r="DC361" s="162"/>
      <c r="DD361" s="162"/>
      <c r="DE361" s="162"/>
      <c r="DF361" s="162"/>
      <c r="DG361" s="162"/>
      <c r="DH361" s="162"/>
      <c r="DI361" s="162"/>
      <c r="DJ361" s="162"/>
      <c r="DK361" s="162"/>
      <c r="DL361" s="162"/>
      <c r="DM361" s="162"/>
      <c r="DN361" s="162"/>
      <c r="DO361" s="162"/>
      <c r="DP361" s="162"/>
      <c r="DQ361" s="162"/>
      <c r="DR361" s="162"/>
      <c r="DS361" s="162"/>
      <c r="DT361" s="162"/>
      <c r="DU361" s="162"/>
      <c r="DV361" s="162"/>
      <c r="DW361" s="162"/>
    </row>
    <row r="362" spans="1:127" ht="15" customHeight="1">
      <c r="A362" s="159"/>
      <c r="B362" s="160"/>
      <c r="C362" s="161"/>
      <c r="D362" s="162"/>
      <c r="E362" s="162"/>
      <c r="F362" s="162"/>
      <c r="G362" s="162"/>
      <c r="H362" s="162"/>
      <c r="I362" s="162"/>
      <c r="J362" s="162"/>
      <c r="K362" s="162"/>
      <c r="L362" s="162"/>
      <c r="M362" s="162"/>
      <c r="N362" s="161"/>
      <c r="O362" s="162"/>
      <c r="P362" s="162"/>
      <c r="Q362" s="162"/>
      <c r="R362" s="162"/>
      <c r="S362" s="161"/>
      <c r="T362" s="161"/>
      <c r="U362" s="163"/>
      <c r="V362" s="163"/>
      <c r="W362" s="163"/>
      <c r="X362" s="163"/>
      <c r="Y362" s="163"/>
      <c r="Z362" s="163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2"/>
      <c r="DC362" s="162"/>
      <c r="DD362" s="162"/>
      <c r="DE362" s="162"/>
      <c r="DF362" s="162"/>
      <c r="DG362" s="162"/>
      <c r="DH362" s="162"/>
      <c r="DI362" s="162"/>
      <c r="DJ362" s="162"/>
      <c r="DK362" s="162"/>
      <c r="DL362" s="162"/>
      <c r="DM362" s="162"/>
      <c r="DN362" s="162"/>
      <c r="DO362" s="162"/>
      <c r="DP362" s="162"/>
      <c r="DQ362" s="162"/>
      <c r="DR362" s="162"/>
      <c r="DS362" s="162"/>
      <c r="DT362" s="162"/>
      <c r="DU362" s="162"/>
      <c r="DV362" s="162"/>
      <c r="DW362" s="162"/>
    </row>
    <row r="363" spans="1:127" ht="15" customHeight="1">
      <c r="A363" s="159"/>
      <c r="B363" s="160"/>
      <c r="C363" s="161"/>
      <c r="D363" s="162"/>
      <c r="E363" s="162"/>
      <c r="F363" s="162"/>
      <c r="G363" s="162"/>
      <c r="H363" s="162"/>
      <c r="I363" s="162"/>
      <c r="J363" s="162"/>
      <c r="K363" s="162"/>
      <c r="L363" s="162"/>
      <c r="M363" s="162"/>
      <c r="N363" s="161"/>
      <c r="O363" s="162"/>
      <c r="P363" s="162"/>
      <c r="Q363" s="162"/>
      <c r="R363" s="162"/>
      <c r="S363" s="161"/>
      <c r="T363" s="161"/>
      <c r="U363" s="163"/>
      <c r="V363" s="163"/>
      <c r="W363" s="163"/>
      <c r="X363" s="163"/>
      <c r="Y363" s="163"/>
      <c r="Z363" s="163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2"/>
      <c r="DC363" s="162"/>
      <c r="DD363" s="162"/>
      <c r="DE363" s="162"/>
      <c r="DF363" s="162"/>
      <c r="DG363" s="162"/>
      <c r="DH363" s="162"/>
      <c r="DI363" s="162"/>
      <c r="DJ363" s="162"/>
      <c r="DK363" s="162"/>
      <c r="DL363" s="162"/>
      <c r="DM363" s="162"/>
      <c r="DN363" s="162"/>
      <c r="DO363" s="162"/>
      <c r="DP363" s="162"/>
      <c r="DQ363" s="162"/>
      <c r="DR363" s="162"/>
      <c r="DS363" s="162"/>
      <c r="DT363" s="162"/>
      <c r="DU363" s="162"/>
      <c r="DV363" s="162"/>
      <c r="DW363" s="162"/>
    </row>
    <row r="364" spans="1:127" ht="15" customHeight="1">
      <c r="A364" s="159"/>
      <c r="B364" s="160"/>
      <c r="C364" s="161"/>
      <c r="D364" s="162"/>
      <c r="E364" s="162"/>
      <c r="F364" s="162"/>
      <c r="G364" s="162"/>
      <c r="H364" s="162"/>
      <c r="I364" s="162"/>
      <c r="J364" s="162"/>
      <c r="K364" s="162"/>
      <c r="L364" s="162"/>
      <c r="M364" s="162"/>
      <c r="N364" s="161"/>
      <c r="O364" s="162"/>
      <c r="P364" s="162"/>
      <c r="Q364" s="162"/>
      <c r="R364" s="162"/>
      <c r="S364" s="161"/>
      <c r="T364" s="161"/>
      <c r="U364" s="163"/>
      <c r="V364" s="163"/>
      <c r="W364" s="163"/>
      <c r="X364" s="163"/>
      <c r="Y364" s="163"/>
      <c r="Z364" s="163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2"/>
      <c r="DC364" s="162"/>
      <c r="DD364" s="162"/>
      <c r="DE364" s="162"/>
      <c r="DF364" s="162"/>
      <c r="DG364" s="162"/>
      <c r="DH364" s="162"/>
      <c r="DI364" s="162"/>
      <c r="DJ364" s="162"/>
      <c r="DK364" s="162"/>
      <c r="DL364" s="162"/>
      <c r="DM364" s="162"/>
      <c r="DN364" s="162"/>
      <c r="DO364" s="162"/>
      <c r="DP364" s="162"/>
      <c r="DQ364" s="162"/>
      <c r="DR364" s="162"/>
      <c r="DS364" s="162"/>
      <c r="DT364" s="162"/>
      <c r="DU364" s="162"/>
      <c r="DV364" s="162"/>
      <c r="DW364" s="162"/>
    </row>
    <row r="365" spans="1:127" ht="15" customHeight="1">
      <c r="A365" s="159"/>
      <c r="B365" s="160"/>
      <c r="C365" s="161"/>
      <c r="D365" s="162"/>
      <c r="E365" s="162"/>
      <c r="F365" s="162"/>
      <c r="G365" s="162"/>
      <c r="H365" s="162"/>
      <c r="I365" s="162"/>
      <c r="J365" s="162"/>
      <c r="K365" s="162"/>
      <c r="L365" s="162"/>
      <c r="M365" s="162"/>
      <c r="N365" s="161"/>
      <c r="O365" s="162"/>
      <c r="P365" s="162"/>
      <c r="Q365" s="162"/>
      <c r="R365" s="162"/>
      <c r="S365" s="161"/>
      <c r="T365" s="161"/>
      <c r="U365" s="163"/>
      <c r="V365" s="163"/>
      <c r="W365" s="163"/>
      <c r="X365" s="163"/>
      <c r="Y365" s="163"/>
      <c r="Z365" s="163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2"/>
      <c r="DC365" s="162"/>
      <c r="DD365" s="162"/>
      <c r="DE365" s="162"/>
      <c r="DF365" s="162"/>
      <c r="DG365" s="162"/>
      <c r="DH365" s="162"/>
      <c r="DI365" s="162"/>
      <c r="DJ365" s="162"/>
      <c r="DK365" s="162"/>
      <c r="DL365" s="162"/>
      <c r="DM365" s="162"/>
      <c r="DN365" s="162"/>
      <c r="DO365" s="162"/>
      <c r="DP365" s="162"/>
      <c r="DQ365" s="162"/>
      <c r="DR365" s="162"/>
      <c r="DS365" s="162"/>
      <c r="DT365" s="162"/>
      <c r="DU365" s="162"/>
      <c r="DV365" s="162"/>
      <c r="DW365" s="162"/>
    </row>
    <row r="366" spans="1:127" ht="15" customHeight="1">
      <c r="A366" s="159"/>
      <c r="B366" s="160"/>
      <c r="C366" s="161"/>
      <c r="D366" s="162"/>
      <c r="E366" s="162"/>
      <c r="F366" s="162"/>
      <c r="G366" s="162"/>
      <c r="H366" s="162"/>
      <c r="I366" s="162"/>
      <c r="J366" s="162"/>
      <c r="K366" s="162"/>
      <c r="L366" s="162"/>
      <c r="M366" s="162"/>
      <c r="N366" s="161"/>
      <c r="O366" s="162"/>
      <c r="P366" s="162"/>
      <c r="Q366" s="162"/>
      <c r="R366" s="162"/>
      <c r="S366" s="161"/>
      <c r="T366" s="161"/>
      <c r="U366" s="163"/>
      <c r="V366" s="163"/>
      <c r="W366" s="163"/>
      <c r="X366" s="163"/>
      <c r="Y366" s="163"/>
      <c r="Z366" s="163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2"/>
      <c r="DC366" s="162"/>
      <c r="DD366" s="162"/>
      <c r="DE366" s="162"/>
      <c r="DF366" s="162"/>
      <c r="DG366" s="162"/>
      <c r="DH366" s="162"/>
      <c r="DI366" s="162"/>
      <c r="DJ366" s="162"/>
      <c r="DK366" s="162"/>
      <c r="DL366" s="162"/>
      <c r="DM366" s="162"/>
      <c r="DN366" s="162"/>
      <c r="DO366" s="162"/>
      <c r="DP366" s="162"/>
      <c r="DQ366" s="162"/>
      <c r="DR366" s="162"/>
      <c r="DS366" s="162"/>
      <c r="DT366" s="162"/>
      <c r="DU366" s="162"/>
      <c r="DV366" s="162"/>
      <c r="DW366" s="162"/>
    </row>
    <row r="367" spans="1:127" ht="15" customHeight="1">
      <c r="A367" s="159"/>
      <c r="B367" s="160"/>
      <c r="C367" s="161"/>
      <c r="D367" s="162"/>
      <c r="E367" s="162"/>
      <c r="F367" s="162"/>
      <c r="G367" s="162"/>
      <c r="H367" s="162"/>
      <c r="I367" s="162"/>
      <c r="J367" s="162"/>
      <c r="K367" s="162"/>
      <c r="L367" s="162"/>
      <c r="M367" s="162"/>
      <c r="N367" s="161"/>
      <c r="O367" s="162"/>
      <c r="P367" s="162"/>
      <c r="Q367" s="162"/>
      <c r="R367" s="162"/>
      <c r="S367" s="161"/>
      <c r="T367" s="161"/>
      <c r="U367" s="163"/>
      <c r="V367" s="163"/>
      <c r="W367" s="163"/>
      <c r="X367" s="163"/>
      <c r="Y367" s="163"/>
      <c r="Z367" s="163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2"/>
      <c r="DC367" s="162"/>
      <c r="DD367" s="162"/>
      <c r="DE367" s="162"/>
      <c r="DF367" s="162"/>
      <c r="DG367" s="162"/>
      <c r="DH367" s="162"/>
      <c r="DI367" s="162"/>
      <c r="DJ367" s="162"/>
      <c r="DK367" s="162"/>
      <c r="DL367" s="162"/>
      <c r="DM367" s="162"/>
      <c r="DN367" s="162"/>
      <c r="DO367" s="162"/>
      <c r="DP367" s="162"/>
      <c r="DQ367" s="162"/>
      <c r="DR367" s="162"/>
      <c r="DS367" s="162"/>
      <c r="DT367" s="162"/>
      <c r="DU367" s="162"/>
      <c r="DV367" s="162"/>
      <c r="DW367" s="162"/>
    </row>
    <row r="368" spans="1:127" ht="15" customHeight="1">
      <c r="A368" s="159"/>
      <c r="B368" s="160"/>
      <c r="C368" s="161"/>
      <c r="D368" s="162"/>
      <c r="E368" s="162"/>
      <c r="F368" s="162"/>
      <c r="G368" s="162"/>
      <c r="H368" s="162"/>
      <c r="I368" s="162"/>
      <c r="J368" s="162"/>
      <c r="K368" s="162"/>
      <c r="L368" s="162"/>
      <c r="M368" s="162"/>
      <c r="N368" s="161"/>
      <c r="O368" s="162"/>
      <c r="P368" s="162"/>
      <c r="Q368" s="162"/>
      <c r="R368" s="162"/>
      <c r="S368" s="161"/>
      <c r="T368" s="161"/>
      <c r="U368" s="163"/>
      <c r="V368" s="163"/>
      <c r="W368" s="163"/>
      <c r="X368" s="163"/>
      <c r="Y368" s="163"/>
      <c r="Z368" s="163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2"/>
      <c r="DC368" s="162"/>
      <c r="DD368" s="162"/>
      <c r="DE368" s="162"/>
      <c r="DF368" s="162"/>
      <c r="DG368" s="162"/>
      <c r="DH368" s="162"/>
      <c r="DI368" s="162"/>
      <c r="DJ368" s="162"/>
      <c r="DK368" s="162"/>
      <c r="DL368" s="162"/>
      <c r="DM368" s="162"/>
      <c r="DN368" s="162"/>
      <c r="DO368" s="162"/>
      <c r="DP368" s="162"/>
      <c r="DQ368" s="162"/>
      <c r="DR368" s="162"/>
      <c r="DS368" s="162"/>
      <c r="DT368" s="162"/>
      <c r="DU368" s="162"/>
      <c r="DV368" s="162"/>
      <c r="DW368" s="162"/>
    </row>
    <row r="369" spans="1:127" ht="15" customHeight="1">
      <c r="A369" s="159"/>
      <c r="B369" s="160"/>
      <c r="C369" s="161"/>
      <c r="D369" s="162"/>
      <c r="E369" s="162"/>
      <c r="F369" s="162"/>
      <c r="G369" s="162"/>
      <c r="H369" s="162"/>
      <c r="I369" s="162"/>
      <c r="J369" s="162"/>
      <c r="K369" s="162"/>
      <c r="L369" s="162"/>
      <c r="M369" s="162"/>
      <c r="N369" s="161"/>
      <c r="O369" s="162"/>
      <c r="P369" s="162"/>
      <c r="Q369" s="162"/>
      <c r="R369" s="162"/>
      <c r="S369" s="161"/>
      <c r="T369" s="161"/>
      <c r="U369" s="163"/>
      <c r="V369" s="163"/>
      <c r="W369" s="163"/>
      <c r="X369" s="163"/>
      <c r="Y369" s="163"/>
      <c r="Z369" s="163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2"/>
      <c r="DC369" s="162"/>
      <c r="DD369" s="162"/>
      <c r="DE369" s="162"/>
      <c r="DF369" s="162"/>
      <c r="DG369" s="162"/>
      <c r="DH369" s="162"/>
      <c r="DI369" s="162"/>
      <c r="DJ369" s="162"/>
      <c r="DK369" s="162"/>
      <c r="DL369" s="162"/>
      <c r="DM369" s="162"/>
      <c r="DN369" s="162"/>
      <c r="DO369" s="162"/>
      <c r="DP369" s="162"/>
      <c r="DQ369" s="162"/>
      <c r="DR369" s="162"/>
      <c r="DS369" s="162"/>
      <c r="DT369" s="162"/>
      <c r="DU369" s="162"/>
      <c r="DV369" s="162"/>
      <c r="DW369" s="162"/>
    </row>
    <row r="370" spans="1:127" ht="15" customHeight="1">
      <c r="A370" s="159"/>
      <c r="B370" s="160"/>
      <c r="C370" s="161"/>
      <c r="D370" s="162"/>
      <c r="E370" s="162"/>
      <c r="F370" s="162"/>
      <c r="G370" s="162"/>
      <c r="H370" s="162"/>
      <c r="I370" s="162"/>
      <c r="J370" s="162"/>
      <c r="K370" s="162"/>
      <c r="L370" s="162"/>
      <c r="M370" s="162"/>
      <c r="N370" s="161"/>
      <c r="O370" s="162"/>
      <c r="P370" s="162"/>
      <c r="Q370" s="162"/>
      <c r="R370" s="162"/>
      <c r="S370" s="161"/>
      <c r="T370" s="161"/>
      <c r="U370" s="163"/>
      <c r="V370" s="163"/>
      <c r="W370" s="163"/>
      <c r="X370" s="163"/>
      <c r="Y370" s="163"/>
      <c r="Z370" s="163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2"/>
      <c r="DC370" s="162"/>
      <c r="DD370" s="162"/>
      <c r="DE370" s="162"/>
      <c r="DF370" s="162"/>
      <c r="DG370" s="162"/>
      <c r="DH370" s="162"/>
      <c r="DI370" s="162"/>
      <c r="DJ370" s="162"/>
      <c r="DK370" s="162"/>
      <c r="DL370" s="162"/>
      <c r="DM370" s="162"/>
      <c r="DN370" s="162"/>
      <c r="DO370" s="162"/>
      <c r="DP370" s="162"/>
      <c r="DQ370" s="162"/>
      <c r="DR370" s="162"/>
      <c r="DS370" s="162"/>
      <c r="DT370" s="162"/>
      <c r="DU370" s="162"/>
      <c r="DV370" s="162"/>
      <c r="DW370" s="162"/>
    </row>
    <row r="371" spans="1:127" ht="15" customHeight="1">
      <c r="A371" s="159"/>
      <c r="B371" s="160"/>
      <c r="C371" s="161"/>
      <c r="D371" s="162"/>
      <c r="E371" s="162"/>
      <c r="F371" s="162"/>
      <c r="G371" s="162"/>
      <c r="H371" s="162"/>
      <c r="I371" s="162"/>
      <c r="J371" s="162"/>
      <c r="K371" s="162"/>
      <c r="L371" s="162"/>
      <c r="M371" s="162"/>
      <c r="N371" s="161"/>
      <c r="O371" s="162"/>
      <c r="P371" s="162"/>
      <c r="Q371" s="162"/>
      <c r="R371" s="162"/>
      <c r="S371" s="161"/>
      <c r="T371" s="161"/>
      <c r="U371" s="163"/>
      <c r="V371" s="163"/>
      <c r="W371" s="163"/>
      <c r="X371" s="163"/>
      <c r="Y371" s="163"/>
      <c r="Z371" s="163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2"/>
      <c r="DC371" s="162"/>
      <c r="DD371" s="162"/>
      <c r="DE371" s="162"/>
      <c r="DF371" s="162"/>
      <c r="DG371" s="162"/>
      <c r="DH371" s="162"/>
      <c r="DI371" s="162"/>
      <c r="DJ371" s="162"/>
      <c r="DK371" s="162"/>
      <c r="DL371" s="162"/>
      <c r="DM371" s="162"/>
      <c r="DN371" s="162"/>
      <c r="DO371" s="162"/>
      <c r="DP371" s="162"/>
      <c r="DQ371" s="162"/>
      <c r="DR371" s="162"/>
      <c r="DS371" s="162"/>
      <c r="DT371" s="162"/>
      <c r="DU371" s="162"/>
      <c r="DV371" s="162"/>
      <c r="DW371" s="162"/>
    </row>
    <row r="372" spans="1:127" ht="15" customHeight="1">
      <c r="A372" s="159"/>
      <c r="B372" s="160"/>
      <c r="C372" s="161"/>
      <c r="D372" s="162"/>
      <c r="E372" s="162"/>
      <c r="F372" s="162"/>
      <c r="G372" s="162"/>
      <c r="H372" s="162"/>
      <c r="I372" s="162"/>
      <c r="J372" s="162"/>
      <c r="K372" s="162"/>
      <c r="L372" s="162"/>
      <c r="M372" s="162"/>
      <c r="N372" s="161"/>
      <c r="O372" s="162"/>
      <c r="P372" s="162"/>
      <c r="Q372" s="162"/>
      <c r="R372" s="162"/>
      <c r="S372" s="161"/>
      <c r="T372" s="161"/>
      <c r="U372" s="163"/>
      <c r="V372" s="163"/>
      <c r="W372" s="163"/>
      <c r="X372" s="163"/>
      <c r="Y372" s="163"/>
      <c r="Z372" s="163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2"/>
      <c r="DC372" s="162"/>
      <c r="DD372" s="162"/>
      <c r="DE372" s="162"/>
      <c r="DF372" s="162"/>
      <c r="DG372" s="162"/>
      <c r="DH372" s="162"/>
      <c r="DI372" s="162"/>
      <c r="DJ372" s="162"/>
      <c r="DK372" s="162"/>
      <c r="DL372" s="162"/>
      <c r="DM372" s="162"/>
      <c r="DN372" s="162"/>
      <c r="DO372" s="162"/>
      <c r="DP372" s="162"/>
      <c r="DQ372" s="162"/>
      <c r="DR372" s="162"/>
      <c r="DS372" s="162"/>
      <c r="DT372" s="162"/>
      <c r="DU372" s="162"/>
      <c r="DV372" s="162"/>
      <c r="DW372" s="162"/>
    </row>
    <row r="373" spans="1:127" ht="15" customHeight="1">
      <c r="A373" s="159"/>
      <c r="B373" s="160"/>
      <c r="C373" s="161"/>
      <c r="D373" s="162"/>
      <c r="E373" s="162"/>
      <c r="F373" s="162"/>
      <c r="G373" s="162"/>
      <c r="H373" s="162"/>
      <c r="I373" s="162"/>
      <c r="J373" s="162"/>
      <c r="K373" s="162"/>
      <c r="L373" s="162"/>
      <c r="M373" s="162"/>
      <c r="N373" s="161"/>
      <c r="O373" s="162"/>
      <c r="P373" s="162"/>
      <c r="Q373" s="162"/>
      <c r="R373" s="162"/>
      <c r="S373" s="161"/>
      <c r="T373" s="161"/>
      <c r="U373" s="163"/>
      <c r="V373" s="163"/>
      <c r="W373" s="163"/>
      <c r="X373" s="163"/>
      <c r="Y373" s="163"/>
      <c r="Z373" s="163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2"/>
      <c r="DC373" s="162"/>
      <c r="DD373" s="162"/>
      <c r="DE373" s="162"/>
      <c r="DF373" s="162"/>
      <c r="DG373" s="162"/>
      <c r="DH373" s="162"/>
      <c r="DI373" s="162"/>
      <c r="DJ373" s="162"/>
      <c r="DK373" s="162"/>
      <c r="DL373" s="162"/>
      <c r="DM373" s="162"/>
      <c r="DN373" s="162"/>
      <c r="DO373" s="162"/>
      <c r="DP373" s="162"/>
      <c r="DQ373" s="162"/>
      <c r="DR373" s="162"/>
      <c r="DS373" s="162"/>
      <c r="DT373" s="162"/>
      <c r="DU373" s="162"/>
      <c r="DV373" s="162"/>
      <c r="DW373" s="162"/>
    </row>
    <row r="374" spans="1:127" ht="15" customHeight="1">
      <c r="A374" s="159"/>
      <c r="B374" s="160"/>
      <c r="C374" s="161"/>
      <c r="D374" s="162"/>
      <c r="E374" s="162"/>
      <c r="F374" s="162"/>
      <c r="G374" s="162"/>
      <c r="H374" s="162"/>
      <c r="I374" s="162"/>
      <c r="J374" s="162"/>
      <c r="K374" s="162"/>
      <c r="L374" s="162"/>
      <c r="M374" s="162"/>
      <c r="N374" s="161"/>
      <c r="O374" s="162"/>
      <c r="P374" s="162"/>
      <c r="Q374" s="162"/>
      <c r="R374" s="162"/>
      <c r="S374" s="161"/>
      <c r="T374" s="161"/>
      <c r="U374" s="163"/>
      <c r="V374" s="163"/>
      <c r="W374" s="163"/>
      <c r="X374" s="163"/>
      <c r="Y374" s="163"/>
      <c r="Z374" s="163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2"/>
      <c r="DC374" s="162"/>
      <c r="DD374" s="162"/>
      <c r="DE374" s="162"/>
      <c r="DF374" s="162"/>
      <c r="DG374" s="162"/>
      <c r="DH374" s="162"/>
      <c r="DI374" s="162"/>
      <c r="DJ374" s="162"/>
      <c r="DK374" s="162"/>
      <c r="DL374" s="162"/>
      <c r="DM374" s="162"/>
      <c r="DN374" s="162"/>
      <c r="DO374" s="162"/>
      <c r="DP374" s="162"/>
      <c r="DQ374" s="162"/>
      <c r="DR374" s="162"/>
      <c r="DS374" s="162"/>
      <c r="DT374" s="162"/>
      <c r="DU374" s="162"/>
      <c r="DV374" s="162"/>
      <c r="DW374" s="162"/>
    </row>
    <row r="375" spans="1:127" ht="15" customHeight="1">
      <c r="A375" s="159"/>
      <c r="B375" s="160"/>
      <c r="C375" s="161"/>
      <c r="D375" s="162"/>
      <c r="E375" s="162"/>
      <c r="F375" s="162"/>
      <c r="G375" s="162"/>
      <c r="H375" s="162"/>
      <c r="I375" s="162"/>
      <c r="J375" s="162"/>
      <c r="K375" s="162"/>
      <c r="L375" s="162"/>
      <c r="M375" s="162"/>
      <c r="N375" s="161"/>
      <c r="O375" s="162"/>
      <c r="P375" s="162"/>
      <c r="Q375" s="162"/>
      <c r="R375" s="162"/>
      <c r="S375" s="161"/>
      <c r="T375" s="161"/>
      <c r="U375" s="163"/>
      <c r="V375" s="163"/>
      <c r="W375" s="163"/>
      <c r="X375" s="163"/>
      <c r="Y375" s="163"/>
      <c r="Z375" s="163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2"/>
      <c r="DC375" s="162"/>
      <c r="DD375" s="162"/>
      <c r="DE375" s="162"/>
      <c r="DF375" s="162"/>
      <c r="DG375" s="162"/>
      <c r="DH375" s="162"/>
      <c r="DI375" s="162"/>
      <c r="DJ375" s="162"/>
      <c r="DK375" s="162"/>
      <c r="DL375" s="162"/>
      <c r="DM375" s="162"/>
      <c r="DN375" s="162"/>
      <c r="DO375" s="162"/>
      <c r="DP375" s="162"/>
      <c r="DQ375" s="162"/>
      <c r="DR375" s="162"/>
      <c r="DS375" s="162"/>
      <c r="DT375" s="162"/>
      <c r="DU375" s="162"/>
      <c r="DV375" s="162"/>
      <c r="DW375" s="162"/>
    </row>
    <row r="376" spans="1:127" ht="15" customHeight="1">
      <c r="A376" s="159"/>
      <c r="B376" s="160"/>
      <c r="C376" s="161"/>
      <c r="D376" s="162"/>
      <c r="E376" s="162"/>
      <c r="F376" s="162"/>
      <c r="G376" s="162"/>
      <c r="H376" s="162"/>
      <c r="I376" s="162"/>
      <c r="J376" s="162"/>
      <c r="K376" s="162"/>
      <c r="L376" s="162"/>
      <c r="M376" s="162"/>
      <c r="N376" s="161"/>
      <c r="O376" s="162"/>
      <c r="P376" s="162"/>
      <c r="Q376" s="162"/>
      <c r="R376" s="162"/>
      <c r="S376" s="161"/>
      <c r="T376" s="161"/>
      <c r="U376" s="163"/>
      <c r="V376" s="163"/>
      <c r="W376" s="163"/>
      <c r="X376" s="163"/>
      <c r="Y376" s="163"/>
      <c r="Z376" s="163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2"/>
      <c r="DC376" s="162"/>
      <c r="DD376" s="162"/>
      <c r="DE376" s="162"/>
      <c r="DF376" s="162"/>
      <c r="DG376" s="162"/>
      <c r="DH376" s="162"/>
      <c r="DI376" s="162"/>
      <c r="DJ376" s="162"/>
      <c r="DK376" s="162"/>
      <c r="DL376" s="162"/>
      <c r="DM376" s="162"/>
      <c r="DN376" s="162"/>
      <c r="DO376" s="162"/>
      <c r="DP376" s="162"/>
      <c r="DQ376" s="162"/>
      <c r="DR376" s="162"/>
      <c r="DS376" s="162"/>
      <c r="DT376" s="162"/>
      <c r="DU376" s="162"/>
      <c r="DV376" s="162"/>
      <c r="DW376" s="162"/>
    </row>
    <row r="377" spans="1:127" ht="15" customHeight="1">
      <c r="A377" s="159"/>
      <c r="B377" s="160"/>
      <c r="C377" s="161"/>
      <c r="D377" s="162"/>
      <c r="E377" s="162"/>
      <c r="F377" s="162"/>
      <c r="G377" s="162"/>
      <c r="H377" s="162"/>
      <c r="I377" s="162"/>
      <c r="J377" s="162"/>
      <c r="K377" s="162"/>
      <c r="L377" s="162"/>
      <c r="M377" s="162"/>
      <c r="N377" s="161"/>
      <c r="O377" s="162"/>
      <c r="P377" s="162"/>
      <c r="Q377" s="162"/>
      <c r="R377" s="162"/>
      <c r="S377" s="161"/>
      <c r="T377" s="161"/>
      <c r="U377" s="163"/>
      <c r="V377" s="163"/>
      <c r="W377" s="163"/>
      <c r="X377" s="163"/>
      <c r="Y377" s="163"/>
      <c r="Z377" s="163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2"/>
      <c r="DC377" s="162"/>
      <c r="DD377" s="162"/>
      <c r="DE377" s="162"/>
      <c r="DF377" s="162"/>
      <c r="DG377" s="162"/>
      <c r="DH377" s="162"/>
      <c r="DI377" s="162"/>
      <c r="DJ377" s="162"/>
      <c r="DK377" s="162"/>
      <c r="DL377" s="162"/>
      <c r="DM377" s="162"/>
      <c r="DN377" s="162"/>
      <c r="DO377" s="162"/>
      <c r="DP377" s="162"/>
      <c r="DQ377" s="162"/>
      <c r="DR377" s="162"/>
      <c r="DS377" s="162"/>
      <c r="DT377" s="162"/>
      <c r="DU377" s="162"/>
      <c r="DV377" s="162"/>
      <c r="DW377" s="162"/>
    </row>
    <row r="378" spans="1:127" ht="15" customHeight="1">
      <c r="A378" s="159"/>
      <c r="B378" s="160"/>
      <c r="C378" s="161"/>
      <c r="D378" s="162"/>
      <c r="E378" s="162"/>
      <c r="F378" s="162"/>
      <c r="G378" s="162"/>
      <c r="H378" s="162"/>
      <c r="I378" s="162"/>
      <c r="J378" s="162"/>
      <c r="K378" s="162"/>
      <c r="L378" s="162"/>
      <c r="M378" s="162"/>
      <c r="N378" s="161"/>
      <c r="O378" s="162"/>
      <c r="P378" s="162"/>
      <c r="Q378" s="162"/>
      <c r="R378" s="162"/>
      <c r="S378" s="161"/>
      <c r="T378" s="161"/>
      <c r="U378" s="163"/>
      <c r="V378" s="163"/>
      <c r="W378" s="163"/>
      <c r="X378" s="163"/>
      <c r="Y378" s="163"/>
      <c r="Z378" s="163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2"/>
      <c r="DC378" s="162"/>
      <c r="DD378" s="162"/>
      <c r="DE378" s="162"/>
      <c r="DF378" s="162"/>
      <c r="DG378" s="162"/>
      <c r="DH378" s="162"/>
      <c r="DI378" s="162"/>
      <c r="DJ378" s="162"/>
      <c r="DK378" s="162"/>
      <c r="DL378" s="162"/>
      <c r="DM378" s="162"/>
      <c r="DN378" s="162"/>
      <c r="DO378" s="162"/>
      <c r="DP378" s="162"/>
      <c r="DQ378" s="162"/>
      <c r="DR378" s="162"/>
      <c r="DS378" s="162"/>
      <c r="DT378" s="162"/>
      <c r="DU378" s="162"/>
      <c r="DV378" s="162"/>
      <c r="DW378" s="162"/>
    </row>
    <row r="379" spans="1:127" ht="15" customHeight="1">
      <c r="A379" s="159"/>
      <c r="B379" s="160"/>
      <c r="C379" s="161"/>
      <c r="D379" s="162"/>
      <c r="E379" s="162"/>
      <c r="F379" s="162"/>
      <c r="G379" s="162"/>
      <c r="H379" s="162"/>
      <c r="I379" s="162"/>
      <c r="J379" s="162"/>
      <c r="K379" s="162"/>
      <c r="L379" s="162"/>
      <c r="M379" s="162"/>
      <c r="N379" s="161"/>
      <c r="O379" s="162"/>
      <c r="P379" s="162"/>
      <c r="Q379" s="162"/>
      <c r="R379" s="162"/>
      <c r="S379" s="161"/>
      <c r="T379" s="161"/>
      <c r="U379" s="163"/>
      <c r="V379" s="163"/>
      <c r="W379" s="163"/>
      <c r="X379" s="163"/>
      <c r="Y379" s="163"/>
      <c r="Z379" s="163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2"/>
      <c r="DC379" s="162"/>
      <c r="DD379" s="162"/>
      <c r="DE379" s="162"/>
      <c r="DF379" s="162"/>
      <c r="DG379" s="162"/>
      <c r="DH379" s="162"/>
      <c r="DI379" s="162"/>
      <c r="DJ379" s="162"/>
      <c r="DK379" s="162"/>
      <c r="DL379" s="162"/>
      <c r="DM379" s="162"/>
      <c r="DN379" s="162"/>
      <c r="DO379" s="162"/>
      <c r="DP379" s="162"/>
      <c r="DQ379" s="162"/>
      <c r="DR379" s="162"/>
      <c r="DS379" s="162"/>
      <c r="DT379" s="162"/>
      <c r="DU379" s="162"/>
      <c r="DV379" s="162"/>
      <c r="DW379" s="162"/>
    </row>
    <row r="380" spans="1:127" ht="15" customHeight="1">
      <c r="A380" s="159"/>
      <c r="B380" s="160"/>
      <c r="C380" s="161"/>
      <c r="D380" s="162"/>
      <c r="E380" s="162"/>
      <c r="F380" s="162"/>
      <c r="G380" s="162"/>
      <c r="H380" s="162"/>
      <c r="I380" s="162"/>
      <c r="J380" s="162"/>
      <c r="K380" s="162"/>
      <c r="L380" s="162"/>
      <c r="M380" s="162"/>
      <c r="N380" s="161"/>
      <c r="O380" s="162"/>
      <c r="P380" s="162"/>
      <c r="Q380" s="162"/>
      <c r="R380" s="162"/>
      <c r="S380" s="161"/>
      <c r="T380" s="161"/>
      <c r="U380" s="163"/>
      <c r="V380" s="163"/>
      <c r="W380" s="163"/>
      <c r="X380" s="163"/>
      <c r="Y380" s="163"/>
      <c r="Z380" s="163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2"/>
      <c r="DC380" s="162"/>
      <c r="DD380" s="162"/>
      <c r="DE380" s="162"/>
      <c r="DF380" s="162"/>
      <c r="DG380" s="162"/>
      <c r="DH380" s="162"/>
      <c r="DI380" s="162"/>
      <c r="DJ380" s="162"/>
      <c r="DK380" s="162"/>
      <c r="DL380" s="162"/>
      <c r="DM380" s="162"/>
      <c r="DN380" s="162"/>
      <c r="DO380" s="162"/>
      <c r="DP380" s="162"/>
      <c r="DQ380" s="162"/>
      <c r="DR380" s="162"/>
      <c r="DS380" s="162"/>
      <c r="DT380" s="162"/>
      <c r="DU380" s="162"/>
      <c r="DV380" s="162"/>
      <c r="DW380" s="162"/>
    </row>
    <row r="381" spans="1:127" ht="15" customHeight="1">
      <c r="A381" s="159"/>
      <c r="B381" s="160"/>
      <c r="C381" s="161"/>
      <c r="D381" s="162"/>
      <c r="E381" s="162"/>
      <c r="F381" s="162"/>
      <c r="G381" s="162"/>
      <c r="H381" s="162"/>
      <c r="I381" s="162"/>
      <c r="J381" s="162"/>
      <c r="K381" s="162"/>
      <c r="L381" s="162"/>
      <c r="M381" s="162"/>
      <c r="N381" s="161"/>
      <c r="O381" s="162"/>
      <c r="P381" s="162"/>
      <c r="Q381" s="162"/>
      <c r="R381" s="162"/>
      <c r="S381" s="161"/>
      <c r="T381" s="161"/>
      <c r="U381" s="163"/>
      <c r="V381" s="163"/>
      <c r="W381" s="163"/>
      <c r="X381" s="163"/>
      <c r="Y381" s="163"/>
      <c r="Z381" s="163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2"/>
      <c r="DC381" s="162"/>
      <c r="DD381" s="162"/>
      <c r="DE381" s="162"/>
      <c r="DF381" s="162"/>
      <c r="DG381" s="162"/>
      <c r="DH381" s="162"/>
      <c r="DI381" s="162"/>
      <c r="DJ381" s="162"/>
      <c r="DK381" s="162"/>
      <c r="DL381" s="162"/>
      <c r="DM381" s="162"/>
      <c r="DN381" s="162"/>
      <c r="DO381" s="162"/>
      <c r="DP381" s="162"/>
      <c r="DQ381" s="162"/>
      <c r="DR381" s="162"/>
      <c r="DS381" s="162"/>
      <c r="DT381" s="162"/>
      <c r="DU381" s="162"/>
      <c r="DV381" s="162"/>
      <c r="DW381" s="162"/>
    </row>
    <row r="382" spans="1:127" ht="15" customHeight="1">
      <c r="A382" s="159"/>
      <c r="B382" s="160"/>
      <c r="C382" s="161"/>
      <c r="D382" s="162"/>
      <c r="E382" s="162"/>
      <c r="F382" s="162"/>
      <c r="G382" s="162"/>
      <c r="H382" s="162"/>
      <c r="I382" s="162"/>
      <c r="J382" s="162"/>
      <c r="K382" s="162"/>
      <c r="L382" s="162"/>
      <c r="M382" s="162"/>
      <c r="N382" s="161"/>
      <c r="O382" s="162"/>
      <c r="P382" s="162"/>
      <c r="Q382" s="162"/>
      <c r="R382" s="162"/>
      <c r="S382" s="161"/>
      <c r="T382" s="161"/>
      <c r="U382" s="163"/>
      <c r="V382" s="163"/>
      <c r="W382" s="163"/>
      <c r="X382" s="163"/>
      <c r="Y382" s="163"/>
      <c r="Z382" s="163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2"/>
      <c r="DC382" s="162"/>
      <c r="DD382" s="162"/>
      <c r="DE382" s="162"/>
      <c r="DF382" s="162"/>
      <c r="DG382" s="162"/>
      <c r="DH382" s="162"/>
      <c r="DI382" s="162"/>
      <c r="DJ382" s="162"/>
      <c r="DK382" s="162"/>
      <c r="DL382" s="162"/>
      <c r="DM382" s="162"/>
      <c r="DN382" s="162"/>
      <c r="DO382" s="162"/>
      <c r="DP382" s="162"/>
      <c r="DQ382" s="162"/>
      <c r="DR382" s="162"/>
      <c r="DS382" s="162"/>
      <c r="DT382" s="162"/>
      <c r="DU382" s="162"/>
      <c r="DV382" s="162"/>
      <c r="DW382" s="162"/>
    </row>
    <row r="383" spans="1:127" ht="15" customHeight="1">
      <c r="A383" s="159"/>
      <c r="B383" s="160"/>
      <c r="C383" s="161"/>
      <c r="D383" s="162"/>
      <c r="E383" s="162"/>
      <c r="F383" s="162"/>
      <c r="G383" s="162"/>
      <c r="H383" s="162"/>
      <c r="I383" s="162"/>
      <c r="J383" s="162"/>
      <c r="K383" s="162"/>
      <c r="L383" s="162"/>
      <c r="M383" s="162"/>
      <c r="N383" s="161"/>
      <c r="O383" s="162"/>
      <c r="P383" s="162"/>
      <c r="Q383" s="162"/>
      <c r="R383" s="162"/>
      <c r="S383" s="161"/>
      <c r="T383" s="161"/>
      <c r="U383" s="163"/>
      <c r="V383" s="163"/>
      <c r="W383" s="163"/>
      <c r="X383" s="163"/>
      <c r="Y383" s="163"/>
      <c r="Z383" s="163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2"/>
      <c r="DC383" s="162"/>
      <c r="DD383" s="162"/>
      <c r="DE383" s="162"/>
      <c r="DF383" s="162"/>
      <c r="DG383" s="162"/>
      <c r="DH383" s="162"/>
      <c r="DI383" s="162"/>
      <c r="DJ383" s="162"/>
      <c r="DK383" s="162"/>
      <c r="DL383" s="162"/>
      <c r="DM383" s="162"/>
      <c r="DN383" s="162"/>
      <c r="DO383" s="162"/>
      <c r="DP383" s="162"/>
      <c r="DQ383" s="162"/>
      <c r="DR383" s="162"/>
      <c r="DS383" s="162"/>
      <c r="DT383" s="162"/>
      <c r="DU383" s="162"/>
      <c r="DV383" s="162"/>
      <c r="DW383" s="162"/>
    </row>
    <row r="384" spans="1:127" ht="15" customHeight="1">
      <c r="A384" s="159"/>
      <c r="B384" s="160"/>
      <c r="C384" s="161"/>
      <c r="D384" s="162"/>
      <c r="E384" s="162"/>
      <c r="F384" s="162"/>
      <c r="G384" s="162"/>
      <c r="H384" s="162"/>
      <c r="I384" s="162"/>
      <c r="J384" s="162"/>
      <c r="K384" s="162"/>
      <c r="L384" s="162"/>
      <c r="M384" s="162"/>
      <c r="N384" s="161"/>
      <c r="O384" s="162"/>
      <c r="P384" s="162"/>
      <c r="Q384" s="162"/>
      <c r="R384" s="162"/>
      <c r="S384" s="161"/>
      <c r="T384" s="161"/>
      <c r="U384" s="163"/>
      <c r="V384" s="163"/>
      <c r="W384" s="163"/>
      <c r="X384" s="163"/>
      <c r="Y384" s="163"/>
      <c r="Z384" s="163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2"/>
      <c r="DC384" s="162"/>
      <c r="DD384" s="162"/>
      <c r="DE384" s="162"/>
      <c r="DF384" s="162"/>
      <c r="DG384" s="162"/>
      <c r="DH384" s="162"/>
      <c r="DI384" s="162"/>
      <c r="DJ384" s="162"/>
      <c r="DK384" s="162"/>
      <c r="DL384" s="162"/>
      <c r="DM384" s="162"/>
      <c r="DN384" s="162"/>
      <c r="DO384" s="162"/>
      <c r="DP384" s="162"/>
      <c r="DQ384" s="162"/>
      <c r="DR384" s="162"/>
      <c r="DS384" s="162"/>
      <c r="DT384" s="162"/>
      <c r="DU384" s="162"/>
      <c r="DV384" s="162"/>
      <c r="DW384" s="162"/>
    </row>
    <row r="385" spans="1:127" ht="15" customHeight="1">
      <c r="A385" s="159"/>
      <c r="B385" s="160"/>
      <c r="C385" s="161"/>
      <c r="D385" s="162"/>
      <c r="E385" s="162"/>
      <c r="F385" s="162"/>
      <c r="G385" s="162"/>
      <c r="H385" s="162"/>
      <c r="I385" s="162"/>
      <c r="J385" s="162"/>
      <c r="K385" s="162"/>
      <c r="L385" s="162"/>
      <c r="M385" s="162"/>
      <c r="N385" s="161"/>
      <c r="O385" s="162"/>
      <c r="P385" s="162"/>
      <c r="Q385" s="162"/>
      <c r="R385" s="162"/>
      <c r="S385" s="161"/>
      <c r="T385" s="161"/>
      <c r="U385" s="163"/>
      <c r="V385" s="163"/>
      <c r="W385" s="163"/>
      <c r="X385" s="163"/>
      <c r="Y385" s="163"/>
      <c r="Z385" s="163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2"/>
      <c r="DC385" s="162"/>
      <c r="DD385" s="162"/>
      <c r="DE385" s="162"/>
      <c r="DF385" s="162"/>
      <c r="DG385" s="162"/>
      <c r="DH385" s="162"/>
      <c r="DI385" s="162"/>
      <c r="DJ385" s="162"/>
      <c r="DK385" s="162"/>
      <c r="DL385" s="162"/>
      <c r="DM385" s="162"/>
      <c r="DN385" s="162"/>
      <c r="DO385" s="162"/>
      <c r="DP385" s="162"/>
      <c r="DQ385" s="162"/>
      <c r="DR385" s="162"/>
      <c r="DS385" s="162"/>
      <c r="DT385" s="162"/>
      <c r="DU385" s="162"/>
      <c r="DV385" s="162"/>
      <c r="DW385" s="162"/>
    </row>
    <row r="386" spans="1:127" ht="15" customHeight="1">
      <c r="A386" s="159"/>
      <c r="B386" s="160"/>
      <c r="C386" s="161"/>
      <c r="D386" s="162"/>
      <c r="E386" s="162"/>
      <c r="F386" s="162"/>
      <c r="G386" s="162"/>
      <c r="H386" s="162"/>
      <c r="I386" s="162"/>
      <c r="J386" s="162"/>
      <c r="K386" s="162"/>
      <c r="L386" s="162"/>
      <c r="M386" s="162"/>
      <c r="N386" s="161"/>
      <c r="O386" s="162"/>
      <c r="P386" s="162"/>
      <c r="Q386" s="162"/>
      <c r="R386" s="162"/>
      <c r="S386" s="161"/>
      <c r="T386" s="161"/>
      <c r="U386" s="163"/>
      <c r="V386" s="163"/>
      <c r="W386" s="163"/>
      <c r="X386" s="163"/>
      <c r="Y386" s="163"/>
      <c r="Z386" s="163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2"/>
      <c r="DC386" s="162"/>
      <c r="DD386" s="162"/>
      <c r="DE386" s="162"/>
      <c r="DF386" s="162"/>
      <c r="DG386" s="162"/>
      <c r="DH386" s="162"/>
      <c r="DI386" s="162"/>
      <c r="DJ386" s="162"/>
      <c r="DK386" s="162"/>
      <c r="DL386" s="162"/>
      <c r="DM386" s="162"/>
      <c r="DN386" s="162"/>
      <c r="DO386" s="162"/>
      <c r="DP386" s="162"/>
      <c r="DQ386" s="162"/>
      <c r="DR386" s="162"/>
      <c r="DS386" s="162"/>
      <c r="DT386" s="162"/>
      <c r="DU386" s="162"/>
      <c r="DV386" s="162"/>
      <c r="DW386" s="162"/>
    </row>
    <row r="387" spans="1:127" ht="15" customHeight="1">
      <c r="A387" s="159"/>
      <c r="B387" s="160"/>
      <c r="C387" s="161"/>
      <c r="D387" s="162"/>
      <c r="E387" s="162"/>
      <c r="F387" s="162"/>
      <c r="G387" s="162"/>
      <c r="H387" s="162"/>
      <c r="I387" s="162"/>
      <c r="J387" s="162"/>
      <c r="K387" s="162"/>
      <c r="L387" s="162"/>
      <c r="M387" s="162"/>
      <c r="N387" s="161"/>
      <c r="O387" s="162"/>
      <c r="P387" s="162"/>
      <c r="Q387" s="162"/>
      <c r="R387" s="162"/>
      <c r="S387" s="161"/>
      <c r="T387" s="161"/>
      <c r="U387" s="163"/>
      <c r="V387" s="163"/>
      <c r="W387" s="163"/>
      <c r="X387" s="163"/>
      <c r="Y387" s="163"/>
      <c r="Z387" s="163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2"/>
      <c r="DC387" s="162"/>
      <c r="DD387" s="162"/>
      <c r="DE387" s="162"/>
      <c r="DF387" s="162"/>
      <c r="DG387" s="162"/>
      <c r="DH387" s="162"/>
      <c r="DI387" s="162"/>
      <c r="DJ387" s="162"/>
      <c r="DK387" s="162"/>
      <c r="DL387" s="162"/>
      <c r="DM387" s="162"/>
      <c r="DN387" s="162"/>
      <c r="DO387" s="162"/>
      <c r="DP387" s="162"/>
      <c r="DQ387" s="162"/>
      <c r="DR387" s="162"/>
      <c r="DS387" s="162"/>
      <c r="DT387" s="162"/>
      <c r="DU387" s="162"/>
      <c r="DV387" s="162"/>
      <c r="DW387" s="162"/>
    </row>
    <row r="388" spans="1:127" ht="15" customHeight="1">
      <c r="A388" s="159"/>
      <c r="B388" s="160"/>
      <c r="C388" s="161"/>
      <c r="D388" s="162"/>
      <c r="E388" s="162"/>
      <c r="F388" s="162"/>
      <c r="G388" s="162"/>
      <c r="H388" s="162"/>
      <c r="I388" s="162"/>
      <c r="J388" s="162"/>
      <c r="K388" s="162"/>
      <c r="L388" s="162"/>
      <c r="M388" s="162"/>
      <c r="N388" s="161"/>
      <c r="O388" s="162"/>
      <c r="P388" s="162"/>
      <c r="Q388" s="162"/>
      <c r="R388" s="162"/>
      <c r="S388" s="161"/>
      <c r="T388" s="161"/>
      <c r="U388" s="163"/>
      <c r="V388" s="163"/>
      <c r="W388" s="163"/>
      <c r="X388" s="163"/>
      <c r="Y388" s="163"/>
      <c r="Z388" s="163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2"/>
      <c r="DC388" s="162"/>
      <c r="DD388" s="162"/>
      <c r="DE388" s="162"/>
      <c r="DF388" s="162"/>
      <c r="DG388" s="162"/>
      <c r="DH388" s="162"/>
      <c r="DI388" s="162"/>
      <c r="DJ388" s="162"/>
      <c r="DK388" s="162"/>
      <c r="DL388" s="162"/>
      <c r="DM388" s="162"/>
      <c r="DN388" s="162"/>
      <c r="DO388" s="162"/>
      <c r="DP388" s="162"/>
      <c r="DQ388" s="162"/>
      <c r="DR388" s="162"/>
      <c r="DS388" s="162"/>
      <c r="DT388" s="162"/>
      <c r="DU388" s="162"/>
      <c r="DV388" s="162"/>
      <c r="DW388" s="162"/>
    </row>
    <row r="389" spans="1:127" ht="15" customHeight="1">
      <c r="A389" s="159"/>
      <c r="B389" s="160"/>
      <c r="C389" s="161"/>
      <c r="D389" s="162"/>
      <c r="E389" s="162"/>
      <c r="F389" s="162"/>
      <c r="G389" s="162"/>
      <c r="H389" s="162"/>
      <c r="I389" s="162"/>
      <c r="J389" s="162"/>
      <c r="K389" s="162"/>
      <c r="L389" s="162"/>
      <c r="M389" s="162"/>
      <c r="N389" s="161"/>
      <c r="O389" s="162"/>
      <c r="P389" s="162"/>
      <c r="Q389" s="162"/>
      <c r="R389" s="162"/>
      <c r="S389" s="161"/>
      <c r="T389" s="161"/>
      <c r="U389" s="163"/>
      <c r="V389" s="163"/>
      <c r="W389" s="163"/>
      <c r="X389" s="163"/>
      <c r="Y389" s="163"/>
      <c r="Z389" s="163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2"/>
      <c r="DC389" s="162"/>
      <c r="DD389" s="162"/>
      <c r="DE389" s="162"/>
      <c r="DF389" s="162"/>
      <c r="DG389" s="162"/>
      <c r="DH389" s="162"/>
      <c r="DI389" s="162"/>
      <c r="DJ389" s="162"/>
      <c r="DK389" s="162"/>
      <c r="DL389" s="162"/>
      <c r="DM389" s="162"/>
      <c r="DN389" s="162"/>
      <c r="DO389" s="162"/>
      <c r="DP389" s="162"/>
      <c r="DQ389" s="162"/>
      <c r="DR389" s="162"/>
      <c r="DS389" s="162"/>
      <c r="DT389" s="162"/>
      <c r="DU389" s="162"/>
      <c r="DV389" s="162"/>
      <c r="DW389" s="162"/>
    </row>
    <row r="390" spans="1:127" ht="15" customHeight="1">
      <c r="A390" s="159"/>
      <c r="B390" s="160"/>
      <c r="C390" s="161"/>
      <c r="D390" s="162"/>
      <c r="E390" s="162"/>
      <c r="F390" s="162"/>
      <c r="G390" s="162"/>
      <c r="H390" s="162"/>
      <c r="I390" s="162"/>
      <c r="J390" s="162"/>
      <c r="K390" s="162"/>
      <c r="L390" s="162"/>
      <c r="M390" s="162"/>
      <c r="N390" s="161"/>
      <c r="O390" s="162"/>
      <c r="P390" s="162"/>
      <c r="Q390" s="162"/>
      <c r="R390" s="162"/>
      <c r="S390" s="161"/>
      <c r="T390" s="161"/>
      <c r="U390" s="163"/>
      <c r="V390" s="163"/>
      <c r="W390" s="163"/>
      <c r="X390" s="163"/>
      <c r="Y390" s="163"/>
      <c r="Z390" s="163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2"/>
      <c r="DC390" s="162"/>
      <c r="DD390" s="162"/>
      <c r="DE390" s="162"/>
      <c r="DF390" s="162"/>
      <c r="DG390" s="162"/>
      <c r="DH390" s="162"/>
      <c r="DI390" s="162"/>
      <c r="DJ390" s="162"/>
      <c r="DK390" s="162"/>
      <c r="DL390" s="162"/>
      <c r="DM390" s="162"/>
      <c r="DN390" s="162"/>
      <c r="DO390" s="162"/>
      <c r="DP390" s="162"/>
      <c r="DQ390" s="162"/>
      <c r="DR390" s="162"/>
      <c r="DS390" s="162"/>
      <c r="DT390" s="162"/>
      <c r="DU390" s="162"/>
      <c r="DV390" s="162"/>
      <c r="DW390" s="162"/>
    </row>
    <row r="391" spans="1:127" ht="15" customHeight="1">
      <c r="A391" s="159"/>
      <c r="B391" s="160"/>
      <c r="C391" s="161"/>
      <c r="D391" s="162"/>
      <c r="E391" s="162"/>
      <c r="F391" s="162"/>
      <c r="G391" s="162"/>
      <c r="H391" s="162"/>
      <c r="I391" s="162"/>
      <c r="J391" s="162"/>
      <c r="K391" s="162"/>
      <c r="L391" s="162"/>
      <c r="M391" s="162"/>
      <c r="N391" s="161"/>
      <c r="O391" s="162"/>
      <c r="P391" s="162"/>
      <c r="Q391" s="162"/>
      <c r="R391" s="162"/>
      <c r="S391" s="161"/>
      <c r="T391" s="161"/>
      <c r="U391" s="163"/>
      <c r="V391" s="163"/>
      <c r="W391" s="163"/>
      <c r="X391" s="163"/>
      <c r="Y391" s="163"/>
      <c r="Z391" s="163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2"/>
      <c r="DC391" s="162"/>
      <c r="DD391" s="162"/>
      <c r="DE391" s="162"/>
      <c r="DF391" s="162"/>
      <c r="DG391" s="162"/>
      <c r="DH391" s="162"/>
      <c r="DI391" s="162"/>
      <c r="DJ391" s="162"/>
      <c r="DK391" s="162"/>
      <c r="DL391" s="162"/>
      <c r="DM391" s="162"/>
      <c r="DN391" s="162"/>
      <c r="DO391" s="162"/>
      <c r="DP391" s="162"/>
      <c r="DQ391" s="162"/>
      <c r="DR391" s="162"/>
      <c r="DS391" s="162"/>
      <c r="DT391" s="162"/>
      <c r="DU391" s="162"/>
      <c r="DV391" s="162"/>
      <c r="DW391" s="162"/>
    </row>
    <row r="392" spans="1:127" ht="15" customHeight="1">
      <c r="A392" s="159"/>
      <c r="B392" s="160"/>
      <c r="C392" s="161"/>
      <c r="D392" s="162"/>
      <c r="E392" s="162"/>
      <c r="F392" s="162"/>
      <c r="G392" s="162"/>
      <c r="H392" s="162"/>
      <c r="I392" s="162"/>
      <c r="J392" s="162"/>
      <c r="K392" s="162"/>
      <c r="L392" s="162"/>
      <c r="M392" s="162"/>
      <c r="N392" s="161"/>
      <c r="O392" s="162"/>
      <c r="P392" s="162"/>
      <c r="Q392" s="162"/>
      <c r="R392" s="162"/>
      <c r="S392" s="161"/>
      <c r="T392" s="161"/>
      <c r="U392" s="163"/>
      <c r="V392" s="163"/>
      <c r="W392" s="163"/>
      <c r="X392" s="163"/>
      <c r="Y392" s="163"/>
      <c r="Z392" s="163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2"/>
      <c r="DC392" s="162"/>
      <c r="DD392" s="162"/>
      <c r="DE392" s="162"/>
      <c r="DF392" s="162"/>
      <c r="DG392" s="162"/>
      <c r="DH392" s="162"/>
      <c r="DI392" s="162"/>
      <c r="DJ392" s="162"/>
      <c r="DK392" s="162"/>
      <c r="DL392" s="162"/>
      <c r="DM392" s="162"/>
      <c r="DN392" s="162"/>
      <c r="DO392" s="162"/>
      <c r="DP392" s="162"/>
      <c r="DQ392" s="162"/>
      <c r="DR392" s="162"/>
      <c r="DS392" s="162"/>
      <c r="DT392" s="162"/>
      <c r="DU392" s="162"/>
      <c r="DV392" s="162"/>
      <c r="DW392" s="162"/>
    </row>
    <row r="393" spans="1:127" ht="15" customHeight="1">
      <c r="A393" s="159"/>
      <c r="B393" s="160"/>
      <c r="C393" s="161"/>
      <c r="D393" s="162"/>
      <c r="E393" s="162"/>
      <c r="F393" s="162"/>
      <c r="G393" s="162"/>
      <c r="H393" s="162"/>
      <c r="I393" s="162"/>
      <c r="J393" s="162"/>
      <c r="K393" s="162"/>
      <c r="L393" s="162"/>
      <c r="M393" s="162"/>
      <c r="N393" s="161"/>
      <c r="O393" s="162"/>
      <c r="P393" s="162"/>
      <c r="Q393" s="162"/>
      <c r="R393" s="162"/>
      <c r="S393" s="161"/>
      <c r="T393" s="161"/>
      <c r="U393" s="163"/>
      <c r="V393" s="163"/>
      <c r="W393" s="163"/>
      <c r="X393" s="163"/>
      <c r="Y393" s="163"/>
      <c r="Z393" s="163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2"/>
      <c r="DC393" s="162"/>
      <c r="DD393" s="162"/>
      <c r="DE393" s="162"/>
      <c r="DF393" s="162"/>
      <c r="DG393" s="162"/>
      <c r="DH393" s="162"/>
      <c r="DI393" s="162"/>
      <c r="DJ393" s="162"/>
      <c r="DK393" s="162"/>
      <c r="DL393" s="162"/>
      <c r="DM393" s="162"/>
      <c r="DN393" s="162"/>
      <c r="DO393" s="162"/>
      <c r="DP393" s="162"/>
      <c r="DQ393" s="162"/>
      <c r="DR393" s="162"/>
      <c r="DS393" s="162"/>
      <c r="DT393" s="162"/>
      <c r="DU393" s="162"/>
      <c r="DV393" s="162"/>
      <c r="DW393" s="162"/>
    </row>
    <row r="394" spans="1:127" ht="15" customHeight="1">
      <c r="A394" s="159"/>
      <c r="B394" s="160"/>
      <c r="C394" s="161"/>
      <c r="D394" s="162"/>
      <c r="E394" s="162"/>
      <c r="F394" s="162"/>
      <c r="G394" s="162"/>
      <c r="H394" s="162"/>
      <c r="I394" s="162"/>
      <c r="J394" s="162"/>
      <c r="K394" s="162"/>
      <c r="L394" s="162"/>
      <c r="M394" s="162"/>
      <c r="N394" s="161"/>
      <c r="O394" s="162"/>
      <c r="P394" s="162"/>
      <c r="Q394" s="162"/>
      <c r="R394" s="162"/>
      <c r="S394" s="161"/>
      <c r="T394" s="161"/>
      <c r="U394" s="163"/>
      <c r="V394" s="163"/>
      <c r="W394" s="163"/>
      <c r="X394" s="163"/>
      <c r="Y394" s="163"/>
      <c r="Z394" s="163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2"/>
      <c r="DC394" s="162"/>
      <c r="DD394" s="162"/>
      <c r="DE394" s="162"/>
      <c r="DF394" s="162"/>
      <c r="DG394" s="162"/>
      <c r="DH394" s="162"/>
      <c r="DI394" s="162"/>
      <c r="DJ394" s="162"/>
      <c r="DK394" s="162"/>
      <c r="DL394" s="162"/>
      <c r="DM394" s="162"/>
      <c r="DN394" s="162"/>
      <c r="DO394" s="162"/>
      <c r="DP394" s="162"/>
      <c r="DQ394" s="162"/>
      <c r="DR394" s="162"/>
      <c r="DS394" s="162"/>
      <c r="DT394" s="162"/>
      <c r="DU394" s="162"/>
      <c r="DV394" s="162"/>
      <c r="DW394" s="162"/>
    </row>
    <row r="395" spans="1:127" ht="15" customHeight="1">
      <c r="A395" s="159"/>
      <c r="B395" s="160"/>
      <c r="C395" s="161"/>
      <c r="D395" s="162"/>
      <c r="E395" s="162"/>
      <c r="F395" s="162"/>
      <c r="G395" s="162"/>
      <c r="H395" s="162"/>
      <c r="I395" s="162"/>
      <c r="J395" s="162"/>
      <c r="K395" s="162"/>
      <c r="L395" s="162"/>
      <c r="M395" s="162"/>
      <c r="N395" s="161"/>
      <c r="O395" s="162"/>
      <c r="P395" s="162"/>
      <c r="Q395" s="162"/>
      <c r="R395" s="162"/>
      <c r="S395" s="161"/>
      <c r="T395" s="161"/>
      <c r="U395" s="163"/>
      <c r="V395" s="163"/>
      <c r="W395" s="163"/>
      <c r="X395" s="163"/>
      <c r="Y395" s="163"/>
      <c r="Z395" s="163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2"/>
      <c r="DC395" s="162"/>
      <c r="DD395" s="162"/>
      <c r="DE395" s="162"/>
      <c r="DF395" s="162"/>
      <c r="DG395" s="162"/>
      <c r="DH395" s="162"/>
      <c r="DI395" s="162"/>
      <c r="DJ395" s="162"/>
      <c r="DK395" s="162"/>
      <c r="DL395" s="162"/>
      <c r="DM395" s="162"/>
      <c r="DN395" s="162"/>
      <c r="DO395" s="162"/>
      <c r="DP395" s="162"/>
      <c r="DQ395" s="162"/>
      <c r="DR395" s="162"/>
      <c r="DS395" s="162"/>
      <c r="DT395" s="162"/>
      <c r="DU395" s="162"/>
      <c r="DV395" s="162"/>
      <c r="DW395" s="162"/>
    </row>
    <row r="396" spans="1:127" ht="15" customHeight="1">
      <c r="A396" s="159"/>
      <c r="B396" s="160"/>
      <c r="C396" s="161"/>
      <c r="D396" s="162"/>
      <c r="E396" s="162"/>
      <c r="F396" s="162"/>
      <c r="G396" s="162"/>
      <c r="H396" s="162"/>
      <c r="I396" s="162"/>
      <c r="J396" s="162"/>
      <c r="K396" s="162"/>
      <c r="L396" s="162"/>
      <c r="M396" s="162"/>
      <c r="N396" s="161"/>
      <c r="O396" s="162"/>
      <c r="P396" s="162"/>
      <c r="Q396" s="162"/>
      <c r="R396" s="162"/>
      <c r="S396" s="161"/>
      <c r="T396" s="161"/>
      <c r="U396" s="163"/>
      <c r="V396" s="163"/>
      <c r="W396" s="163"/>
      <c r="X396" s="163"/>
      <c r="Y396" s="163"/>
      <c r="Z396" s="163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2"/>
      <c r="DC396" s="162"/>
      <c r="DD396" s="162"/>
      <c r="DE396" s="162"/>
      <c r="DF396" s="162"/>
      <c r="DG396" s="162"/>
      <c r="DH396" s="162"/>
      <c r="DI396" s="162"/>
      <c r="DJ396" s="162"/>
      <c r="DK396" s="162"/>
      <c r="DL396" s="162"/>
      <c r="DM396" s="162"/>
      <c r="DN396" s="162"/>
      <c r="DO396" s="162"/>
      <c r="DP396" s="162"/>
      <c r="DQ396" s="162"/>
      <c r="DR396" s="162"/>
      <c r="DS396" s="162"/>
      <c r="DT396" s="162"/>
      <c r="DU396" s="162"/>
      <c r="DV396" s="162"/>
      <c r="DW396" s="162"/>
    </row>
    <row r="397" spans="1:127" ht="15" customHeight="1">
      <c r="A397" s="159"/>
      <c r="B397" s="160"/>
      <c r="C397" s="161"/>
      <c r="D397" s="162"/>
      <c r="E397" s="162"/>
      <c r="F397" s="162"/>
      <c r="G397" s="162"/>
      <c r="H397" s="162"/>
      <c r="I397" s="162"/>
      <c r="J397" s="162"/>
      <c r="K397" s="162"/>
      <c r="L397" s="162"/>
      <c r="M397" s="162"/>
      <c r="N397" s="161"/>
      <c r="O397" s="162"/>
      <c r="P397" s="162"/>
      <c r="Q397" s="162"/>
      <c r="R397" s="162"/>
      <c r="S397" s="161"/>
      <c r="T397" s="161"/>
      <c r="U397" s="163"/>
      <c r="V397" s="163"/>
      <c r="W397" s="163"/>
      <c r="X397" s="163"/>
      <c r="Y397" s="163"/>
      <c r="Z397" s="163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2"/>
      <c r="DC397" s="162"/>
      <c r="DD397" s="162"/>
      <c r="DE397" s="162"/>
      <c r="DF397" s="162"/>
      <c r="DG397" s="162"/>
      <c r="DH397" s="162"/>
      <c r="DI397" s="162"/>
      <c r="DJ397" s="162"/>
      <c r="DK397" s="162"/>
      <c r="DL397" s="162"/>
      <c r="DM397" s="162"/>
      <c r="DN397" s="162"/>
      <c r="DO397" s="162"/>
      <c r="DP397" s="162"/>
      <c r="DQ397" s="162"/>
      <c r="DR397" s="162"/>
      <c r="DS397" s="162"/>
      <c r="DT397" s="162"/>
      <c r="DU397" s="162"/>
      <c r="DV397" s="162"/>
      <c r="DW397" s="162"/>
    </row>
    <row r="398" spans="1:127" ht="15" customHeight="1">
      <c r="A398" s="159"/>
      <c r="B398" s="160"/>
      <c r="C398" s="161"/>
      <c r="D398" s="162"/>
      <c r="E398" s="162"/>
      <c r="F398" s="162"/>
      <c r="G398" s="162"/>
      <c r="H398" s="162"/>
      <c r="I398" s="162"/>
      <c r="J398" s="162"/>
      <c r="K398" s="162"/>
      <c r="L398" s="162"/>
      <c r="M398" s="162"/>
      <c r="N398" s="161"/>
      <c r="O398" s="162"/>
      <c r="P398" s="162"/>
      <c r="Q398" s="162"/>
      <c r="R398" s="162"/>
      <c r="S398" s="161"/>
      <c r="T398" s="161"/>
      <c r="U398" s="163"/>
      <c r="V398" s="163"/>
      <c r="W398" s="163"/>
      <c r="X398" s="163"/>
      <c r="Y398" s="163"/>
      <c r="Z398" s="163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2"/>
      <c r="DC398" s="162"/>
      <c r="DD398" s="162"/>
      <c r="DE398" s="162"/>
      <c r="DF398" s="162"/>
      <c r="DG398" s="162"/>
      <c r="DH398" s="162"/>
      <c r="DI398" s="162"/>
      <c r="DJ398" s="162"/>
      <c r="DK398" s="162"/>
      <c r="DL398" s="162"/>
      <c r="DM398" s="162"/>
      <c r="DN398" s="162"/>
      <c r="DO398" s="162"/>
      <c r="DP398" s="162"/>
      <c r="DQ398" s="162"/>
      <c r="DR398" s="162"/>
      <c r="DS398" s="162"/>
      <c r="DT398" s="162"/>
      <c r="DU398" s="162"/>
      <c r="DV398" s="162"/>
      <c r="DW398" s="162"/>
    </row>
    <row r="399" spans="1:127" ht="15" customHeight="1">
      <c r="A399" s="159"/>
      <c r="B399" s="160"/>
      <c r="C399" s="161"/>
      <c r="D399" s="162"/>
      <c r="E399" s="162"/>
      <c r="F399" s="162"/>
      <c r="G399" s="162"/>
      <c r="H399" s="162"/>
      <c r="I399" s="162"/>
      <c r="J399" s="162"/>
      <c r="K399" s="162"/>
      <c r="L399" s="162"/>
      <c r="M399" s="162"/>
      <c r="N399" s="161"/>
      <c r="O399" s="162"/>
      <c r="P399" s="162"/>
      <c r="Q399" s="162"/>
      <c r="R399" s="162"/>
      <c r="S399" s="161"/>
      <c r="T399" s="161"/>
      <c r="U399" s="163"/>
      <c r="V399" s="163"/>
      <c r="W399" s="163"/>
      <c r="X399" s="163"/>
      <c r="Y399" s="163"/>
      <c r="Z399" s="163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2"/>
      <c r="DC399" s="162"/>
      <c r="DD399" s="162"/>
      <c r="DE399" s="162"/>
      <c r="DF399" s="162"/>
      <c r="DG399" s="162"/>
      <c r="DH399" s="162"/>
      <c r="DI399" s="162"/>
      <c r="DJ399" s="162"/>
      <c r="DK399" s="162"/>
      <c r="DL399" s="162"/>
      <c r="DM399" s="162"/>
      <c r="DN399" s="162"/>
      <c r="DO399" s="162"/>
      <c r="DP399" s="162"/>
      <c r="DQ399" s="162"/>
      <c r="DR399" s="162"/>
      <c r="DS399" s="162"/>
      <c r="DT399" s="162"/>
      <c r="DU399" s="162"/>
      <c r="DV399" s="162"/>
      <c r="DW399" s="162"/>
    </row>
    <row r="400" spans="1:127" ht="15" customHeight="1">
      <c r="A400" s="159"/>
      <c r="B400" s="160"/>
      <c r="C400" s="161"/>
      <c r="D400" s="162"/>
      <c r="E400" s="162"/>
      <c r="F400" s="162"/>
      <c r="G400" s="162"/>
      <c r="H400" s="162"/>
      <c r="I400" s="162"/>
      <c r="J400" s="162"/>
      <c r="K400" s="162"/>
      <c r="L400" s="162"/>
      <c r="M400" s="162"/>
      <c r="N400" s="161"/>
      <c r="O400" s="162"/>
      <c r="P400" s="162"/>
      <c r="Q400" s="162"/>
      <c r="R400" s="162"/>
      <c r="S400" s="161"/>
      <c r="T400" s="161"/>
      <c r="U400" s="163"/>
      <c r="V400" s="163"/>
      <c r="W400" s="163"/>
      <c r="X400" s="163"/>
      <c r="Y400" s="163"/>
      <c r="Z400" s="163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2"/>
      <c r="DC400" s="162"/>
      <c r="DD400" s="162"/>
      <c r="DE400" s="162"/>
      <c r="DF400" s="162"/>
      <c r="DG400" s="162"/>
      <c r="DH400" s="162"/>
      <c r="DI400" s="162"/>
      <c r="DJ400" s="162"/>
      <c r="DK400" s="162"/>
      <c r="DL400" s="162"/>
      <c r="DM400" s="162"/>
      <c r="DN400" s="162"/>
      <c r="DO400" s="162"/>
      <c r="DP400" s="162"/>
      <c r="DQ400" s="162"/>
      <c r="DR400" s="162"/>
      <c r="DS400" s="162"/>
      <c r="DT400" s="162"/>
      <c r="DU400" s="162"/>
      <c r="DV400" s="162"/>
      <c r="DW400" s="162"/>
    </row>
    <row r="401" spans="1:127" ht="15" customHeight="1">
      <c r="A401" s="159"/>
      <c r="B401" s="160"/>
      <c r="C401" s="161"/>
      <c r="D401" s="162"/>
      <c r="E401" s="162"/>
      <c r="F401" s="162"/>
      <c r="G401" s="162"/>
      <c r="H401" s="162"/>
      <c r="I401" s="162"/>
      <c r="J401" s="162"/>
      <c r="K401" s="162"/>
      <c r="L401" s="162"/>
      <c r="M401" s="162"/>
      <c r="N401" s="161"/>
      <c r="O401" s="162"/>
      <c r="P401" s="162"/>
      <c r="Q401" s="162"/>
      <c r="R401" s="162"/>
      <c r="S401" s="161"/>
      <c r="T401" s="161"/>
      <c r="U401" s="163"/>
      <c r="V401" s="163"/>
      <c r="W401" s="163"/>
      <c r="X401" s="163"/>
      <c r="Y401" s="163"/>
      <c r="Z401" s="163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2"/>
      <c r="DC401" s="162"/>
      <c r="DD401" s="162"/>
      <c r="DE401" s="162"/>
      <c r="DF401" s="162"/>
      <c r="DG401" s="162"/>
      <c r="DH401" s="162"/>
      <c r="DI401" s="162"/>
      <c r="DJ401" s="162"/>
      <c r="DK401" s="162"/>
      <c r="DL401" s="162"/>
      <c r="DM401" s="162"/>
      <c r="DN401" s="162"/>
      <c r="DO401" s="162"/>
      <c r="DP401" s="162"/>
      <c r="DQ401" s="162"/>
      <c r="DR401" s="162"/>
      <c r="DS401" s="162"/>
      <c r="DT401" s="162"/>
      <c r="DU401" s="162"/>
      <c r="DV401" s="162"/>
      <c r="DW401" s="162"/>
    </row>
    <row r="402" spans="1:127" ht="15" customHeight="1">
      <c r="A402" s="159"/>
      <c r="B402" s="160"/>
      <c r="C402" s="161"/>
      <c r="D402" s="162"/>
      <c r="E402" s="162"/>
      <c r="F402" s="162"/>
      <c r="G402" s="162"/>
      <c r="H402" s="162"/>
      <c r="I402" s="162"/>
      <c r="J402" s="162"/>
      <c r="K402" s="162"/>
      <c r="L402" s="162"/>
      <c r="M402" s="162"/>
      <c r="N402" s="161"/>
      <c r="O402" s="162"/>
      <c r="P402" s="162"/>
      <c r="Q402" s="162"/>
      <c r="R402" s="162"/>
      <c r="S402" s="161"/>
      <c r="T402" s="161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2"/>
      <c r="DC402" s="162"/>
      <c r="DD402" s="162"/>
      <c r="DE402" s="162"/>
      <c r="DF402" s="162"/>
      <c r="DG402" s="162"/>
      <c r="DH402" s="162"/>
      <c r="DI402" s="162"/>
      <c r="DJ402" s="162"/>
      <c r="DK402" s="162"/>
      <c r="DL402" s="162"/>
      <c r="DM402" s="162"/>
      <c r="DN402" s="162"/>
      <c r="DO402" s="162"/>
      <c r="DP402" s="162"/>
      <c r="DQ402" s="162"/>
      <c r="DR402" s="162"/>
      <c r="DS402" s="162"/>
      <c r="DT402" s="162"/>
      <c r="DU402" s="162"/>
      <c r="DV402" s="162"/>
      <c r="DW402" s="162"/>
    </row>
    <row r="403" spans="1:127" ht="15" customHeight="1">
      <c r="A403" s="159"/>
      <c r="B403" s="160"/>
      <c r="C403" s="161"/>
      <c r="D403" s="162"/>
      <c r="E403" s="162"/>
      <c r="F403" s="162"/>
      <c r="G403" s="162"/>
      <c r="H403" s="162"/>
      <c r="I403" s="162"/>
      <c r="J403" s="162"/>
      <c r="K403" s="162"/>
      <c r="L403" s="162"/>
      <c r="M403" s="162"/>
      <c r="N403" s="161"/>
      <c r="O403" s="162"/>
      <c r="P403" s="162"/>
      <c r="Q403" s="162"/>
      <c r="R403" s="162"/>
      <c r="S403" s="161"/>
      <c r="T403" s="161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2"/>
      <c r="DC403" s="162"/>
      <c r="DD403" s="162"/>
      <c r="DE403" s="162"/>
      <c r="DF403" s="162"/>
      <c r="DG403" s="162"/>
      <c r="DH403" s="162"/>
      <c r="DI403" s="162"/>
      <c r="DJ403" s="162"/>
      <c r="DK403" s="162"/>
      <c r="DL403" s="162"/>
      <c r="DM403" s="162"/>
      <c r="DN403" s="162"/>
      <c r="DO403" s="162"/>
      <c r="DP403" s="162"/>
      <c r="DQ403" s="162"/>
      <c r="DR403" s="162"/>
      <c r="DS403" s="162"/>
      <c r="DT403" s="162"/>
      <c r="DU403" s="162"/>
      <c r="DV403" s="162"/>
      <c r="DW403" s="162"/>
    </row>
    <row r="404" spans="1:127" ht="15" customHeight="1">
      <c r="A404" s="159"/>
      <c r="B404" s="160"/>
      <c r="C404" s="161"/>
      <c r="D404" s="162"/>
      <c r="E404" s="162"/>
      <c r="F404" s="162"/>
      <c r="G404" s="162"/>
      <c r="H404" s="162"/>
      <c r="I404" s="162"/>
      <c r="J404" s="162"/>
      <c r="K404" s="162"/>
      <c r="L404" s="162"/>
      <c r="M404" s="162"/>
      <c r="N404" s="161"/>
      <c r="O404" s="162"/>
      <c r="P404" s="162"/>
      <c r="Q404" s="162"/>
      <c r="R404" s="162"/>
      <c r="S404" s="161"/>
      <c r="T404" s="161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2"/>
      <c r="DC404" s="162"/>
      <c r="DD404" s="162"/>
      <c r="DE404" s="162"/>
      <c r="DF404" s="162"/>
      <c r="DG404" s="162"/>
      <c r="DH404" s="162"/>
      <c r="DI404" s="162"/>
      <c r="DJ404" s="162"/>
      <c r="DK404" s="162"/>
      <c r="DL404" s="162"/>
      <c r="DM404" s="162"/>
      <c r="DN404" s="162"/>
      <c r="DO404" s="162"/>
      <c r="DP404" s="162"/>
      <c r="DQ404" s="162"/>
      <c r="DR404" s="162"/>
      <c r="DS404" s="162"/>
      <c r="DT404" s="162"/>
      <c r="DU404" s="162"/>
      <c r="DV404" s="162"/>
      <c r="DW404" s="162"/>
    </row>
    <row r="405" spans="1:127" ht="15" customHeight="1">
      <c r="A405" s="159"/>
      <c r="B405" s="160"/>
      <c r="C405" s="161"/>
      <c r="D405" s="162"/>
      <c r="E405" s="162"/>
      <c r="F405" s="162"/>
      <c r="G405" s="162"/>
      <c r="H405" s="162"/>
      <c r="I405" s="162"/>
      <c r="J405" s="162"/>
      <c r="K405" s="162"/>
      <c r="L405" s="162"/>
      <c r="M405" s="162"/>
      <c r="N405" s="161"/>
      <c r="O405" s="162"/>
      <c r="P405" s="162"/>
      <c r="Q405" s="162"/>
      <c r="R405" s="162"/>
      <c r="S405" s="161"/>
      <c r="T405" s="161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2"/>
      <c r="DC405" s="162"/>
      <c r="DD405" s="162"/>
      <c r="DE405" s="162"/>
      <c r="DF405" s="162"/>
      <c r="DG405" s="162"/>
      <c r="DH405" s="162"/>
      <c r="DI405" s="162"/>
      <c r="DJ405" s="162"/>
      <c r="DK405" s="162"/>
      <c r="DL405" s="162"/>
      <c r="DM405" s="162"/>
      <c r="DN405" s="162"/>
      <c r="DO405" s="162"/>
      <c r="DP405" s="162"/>
      <c r="DQ405" s="162"/>
      <c r="DR405" s="162"/>
      <c r="DS405" s="162"/>
      <c r="DT405" s="162"/>
      <c r="DU405" s="162"/>
      <c r="DV405" s="162"/>
      <c r="DW405" s="162"/>
    </row>
    <row r="406" spans="1:127" ht="15" customHeight="1">
      <c r="A406" s="159"/>
      <c r="B406" s="160"/>
      <c r="C406" s="161"/>
      <c r="D406" s="162"/>
      <c r="E406" s="162"/>
      <c r="F406" s="162"/>
      <c r="G406" s="162"/>
      <c r="H406" s="162"/>
      <c r="I406" s="162"/>
      <c r="J406" s="162"/>
      <c r="K406" s="162"/>
      <c r="L406" s="162"/>
      <c r="M406" s="162"/>
      <c r="N406" s="161"/>
      <c r="O406" s="162"/>
      <c r="P406" s="162"/>
      <c r="Q406" s="162"/>
      <c r="R406" s="162"/>
      <c r="S406" s="161"/>
      <c r="T406" s="161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2"/>
      <c r="DC406" s="162"/>
      <c r="DD406" s="162"/>
      <c r="DE406" s="162"/>
      <c r="DF406" s="162"/>
      <c r="DG406" s="162"/>
      <c r="DH406" s="162"/>
      <c r="DI406" s="162"/>
      <c r="DJ406" s="162"/>
      <c r="DK406" s="162"/>
      <c r="DL406" s="162"/>
      <c r="DM406" s="162"/>
      <c r="DN406" s="162"/>
      <c r="DO406" s="162"/>
      <c r="DP406" s="162"/>
      <c r="DQ406" s="162"/>
      <c r="DR406" s="162"/>
      <c r="DS406" s="162"/>
      <c r="DT406" s="162"/>
      <c r="DU406" s="162"/>
      <c r="DV406" s="162"/>
      <c r="DW406" s="162"/>
    </row>
    <row r="407" spans="1:127" ht="15" customHeight="1">
      <c r="A407" s="159"/>
      <c r="B407" s="160"/>
      <c r="C407" s="161"/>
      <c r="D407" s="162"/>
      <c r="E407" s="162"/>
      <c r="F407" s="162"/>
      <c r="G407" s="162"/>
      <c r="H407" s="162"/>
      <c r="I407" s="162"/>
      <c r="J407" s="162"/>
      <c r="K407" s="162"/>
      <c r="L407" s="162"/>
      <c r="M407" s="162"/>
      <c r="N407" s="161"/>
      <c r="O407" s="162"/>
      <c r="P407" s="162"/>
      <c r="Q407" s="162"/>
      <c r="R407" s="162"/>
      <c r="S407" s="161"/>
      <c r="T407" s="161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2"/>
      <c r="DC407" s="162"/>
      <c r="DD407" s="162"/>
      <c r="DE407" s="162"/>
      <c r="DF407" s="162"/>
      <c r="DG407" s="162"/>
      <c r="DH407" s="162"/>
      <c r="DI407" s="162"/>
      <c r="DJ407" s="162"/>
      <c r="DK407" s="162"/>
      <c r="DL407" s="162"/>
      <c r="DM407" s="162"/>
      <c r="DN407" s="162"/>
      <c r="DO407" s="162"/>
      <c r="DP407" s="162"/>
      <c r="DQ407" s="162"/>
      <c r="DR407" s="162"/>
      <c r="DS407" s="162"/>
      <c r="DT407" s="162"/>
      <c r="DU407" s="162"/>
      <c r="DV407" s="162"/>
      <c r="DW407" s="162"/>
    </row>
    <row r="408" spans="1:127" ht="15" customHeight="1">
      <c r="A408" s="159"/>
      <c r="B408" s="160"/>
      <c r="C408" s="161"/>
      <c r="D408" s="162"/>
      <c r="E408" s="162"/>
      <c r="F408" s="162"/>
      <c r="G408" s="162"/>
      <c r="H408" s="162"/>
      <c r="I408" s="162"/>
      <c r="J408" s="162"/>
      <c r="K408" s="162"/>
      <c r="L408" s="162"/>
      <c r="M408" s="162"/>
      <c r="N408" s="161"/>
      <c r="O408" s="162"/>
      <c r="P408" s="162"/>
      <c r="Q408" s="162"/>
      <c r="R408" s="162"/>
      <c r="S408" s="161"/>
      <c r="T408" s="161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2"/>
      <c r="DC408" s="162"/>
      <c r="DD408" s="162"/>
      <c r="DE408" s="162"/>
      <c r="DF408" s="162"/>
      <c r="DG408" s="162"/>
      <c r="DH408" s="162"/>
      <c r="DI408" s="162"/>
      <c r="DJ408" s="162"/>
      <c r="DK408" s="162"/>
      <c r="DL408" s="162"/>
      <c r="DM408" s="162"/>
      <c r="DN408" s="162"/>
      <c r="DO408" s="162"/>
      <c r="DP408" s="162"/>
      <c r="DQ408" s="162"/>
      <c r="DR408" s="162"/>
      <c r="DS408" s="162"/>
      <c r="DT408" s="162"/>
      <c r="DU408" s="162"/>
      <c r="DV408" s="162"/>
      <c r="DW408" s="162"/>
    </row>
    <row r="409" spans="1:127" ht="15" customHeight="1">
      <c r="A409" s="159"/>
      <c r="B409" s="160"/>
      <c r="C409" s="161"/>
      <c r="D409" s="162"/>
      <c r="E409" s="162"/>
      <c r="F409" s="162"/>
      <c r="G409" s="162"/>
      <c r="H409" s="162"/>
      <c r="I409" s="162"/>
      <c r="J409" s="162"/>
      <c r="K409" s="162"/>
      <c r="L409" s="162"/>
      <c r="M409" s="162"/>
      <c r="N409" s="161"/>
      <c r="O409" s="162"/>
      <c r="P409" s="162"/>
      <c r="Q409" s="162"/>
      <c r="R409" s="162"/>
      <c r="S409" s="161"/>
      <c r="T409" s="161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2"/>
      <c r="DC409" s="162"/>
      <c r="DD409" s="162"/>
      <c r="DE409" s="162"/>
      <c r="DF409" s="162"/>
      <c r="DG409" s="162"/>
      <c r="DH409" s="162"/>
      <c r="DI409" s="162"/>
      <c r="DJ409" s="162"/>
      <c r="DK409" s="162"/>
      <c r="DL409" s="162"/>
      <c r="DM409" s="162"/>
      <c r="DN409" s="162"/>
      <c r="DO409" s="162"/>
      <c r="DP409" s="162"/>
      <c r="DQ409" s="162"/>
      <c r="DR409" s="162"/>
      <c r="DS409" s="162"/>
      <c r="DT409" s="162"/>
      <c r="DU409" s="162"/>
      <c r="DV409" s="162"/>
      <c r="DW409" s="162"/>
    </row>
    <row r="410" spans="1:127" ht="15" customHeight="1">
      <c r="A410" s="159"/>
      <c r="B410" s="160"/>
      <c r="C410" s="161"/>
      <c r="D410" s="162"/>
      <c r="E410" s="162"/>
      <c r="F410" s="162"/>
      <c r="G410" s="162"/>
      <c r="H410" s="162"/>
      <c r="I410" s="162"/>
      <c r="J410" s="162"/>
      <c r="K410" s="162"/>
      <c r="L410" s="162"/>
      <c r="M410" s="162"/>
      <c r="N410" s="161"/>
      <c r="O410" s="162"/>
      <c r="P410" s="162"/>
      <c r="Q410" s="162"/>
      <c r="R410" s="162"/>
      <c r="S410" s="161"/>
      <c r="T410" s="161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2"/>
      <c r="DC410" s="162"/>
      <c r="DD410" s="162"/>
      <c r="DE410" s="162"/>
      <c r="DF410" s="162"/>
      <c r="DG410" s="162"/>
      <c r="DH410" s="162"/>
      <c r="DI410" s="162"/>
      <c r="DJ410" s="162"/>
      <c r="DK410" s="162"/>
      <c r="DL410" s="162"/>
      <c r="DM410" s="162"/>
      <c r="DN410" s="162"/>
      <c r="DO410" s="162"/>
      <c r="DP410" s="162"/>
      <c r="DQ410" s="162"/>
      <c r="DR410" s="162"/>
      <c r="DS410" s="162"/>
      <c r="DT410" s="162"/>
      <c r="DU410" s="162"/>
      <c r="DV410" s="162"/>
      <c r="DW410" s="162"/>
    </row>
    <row r="411" spans="1:127" ht="15" customHeight="1">
      <c r="A411" s="159"/>
      <c r="B411" s="160"/>
      <c r="C411" s="161"/>
      <c r="D411" s="162"/>
      <c r="E411" s="162"/>
      <c r="F411" s="162"/>
      <c r="G411" s="162"/>
      <c r="H411" s="162"/>
      <c r="I411" s="162"/>
      <c r="J411" s="162"/>
      <c r="K411" s="162"/>
      <c r="L411" s="162"/>
      <c r="M411" s="162"/>
      <c r="N411" s="161"/>
      <c r="O411" s="162"/>
      <c r="P411" s="162"/>
      <c r="Q411" s="162"/>
      <c r="R411" s="162"/>
      <c r="S411" s="161"/>
      <c r="T411" s="161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2"/>
      <c r="DC411" s="162"/>
      <c r="DD411" s="162"/>
      <c r="DE411" s="162"/>
      <c r="DF411" s="162"/>
      <c r="DG411" s="162"/>
      <c r="DH411" s="162"/>
      <c r="DI411" s="162"/>
      <c r="DJ411" s="162"/>
      <c r="DK411" s="162"/>
      <c r="DL411" s="162"/>
      <c r="DM411" s="162"/>
      <c r="DN411" s="162"/>
      <c r="DO411" s="162"/>
      <c r="DP411" s="162"/>
      <c r="DQ411" s="162"/>
      <c r="DR411" s="162"/>
      <c r="DS411" s="162"/>
      <c r="DT411" s="162"/>
      <c r="DU411" s="162"/>
      <c r="DV411" s="162"/>
      <c r="DW411" s="162"/>
    </row>
    <row r="412" spans="1:127" ht="15" customHeight="1">
      <c r="A412" s="159"/>
      <c r="B412" s="160"/>
      <c r="C412" s="161"/>
      <c r="D412" s="162"/>
      <c r="E412" s="162"/>
      <c r="F412" s="162"/>
      <c r="G412" s="162"/>
      <c r="H412" s="162"/>
      <c r="I412" s="162"/>
      <c r="J412" s="162"/>
      <c r="K412" s="162"/>
      <c r="L412" s="162"/>
      <c r="M412" s="162"/>
      <c r="N412" s="161"/>
      <c r="O412" s="162"/>
      <c r="P412" s="162"/>
      <c r="Q412" s="162"/>
      <c r="R412" s="162"/>
      <c r="S412" s="161"/>
      <c r="T412" s="161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2"/>
      <c r="DC412" s="162"/>
      <c r="DD412" s="162"/>
      <c r="DE412" s="162"/>
      <c r="DF412" s="162"/>
      <c r="DG412" s="162"/>
      <c r="DH412" s="162"/>
      <c r="DI412" s="162"/>
      <c r="DJ412" s="162"/>
      <c r="DK412" s="162"/>
      <c r="DL412" s="162"/>
      <c r="DM412" s="162"/>
      <c r="DN412" s="162"/>
      <c r="DO412" s="162"/>
      <c r="DP412" s="162"/>
      <c r="DQ412" s="162"/>
      <c r="DR412" s="162"/>
      <c r="DS412" s="162"/>
      <c r="DT412" s="162"/>
      <c r="DU412" s="162"/>
      <c r="DV412" s="162"/>
      <c r="DW412" s="162"/>
    </row>
    <row r="413" spans="1:127" ht="15" customHeight="1">
      <c r="A413" s="159"/>
      <c r="B413" s="160"/>
      <c r="C413" s="161"/>
      <c r="D413" s="162"/>
      <c r="E413" s="162"/>
      <c r="F413" s="162"/>
      <c r="G413" s="162"/>
      <c r="H413" s="162"/>
      <c r="I413" s="162"/>
      <c r="J413" s="162"/>
      <c r="K413" s="162"/>
      <c r="L413" s="162"/>
      <c r="M413" s="162"/>
      <c r="N413" s="161"/>
      <c r="O413" s="162"/>
      <c r="P413" s="162"/>
      <c r="Q413" s="162"/>
      <c r="R413" s="162"/>
      <c r="S413" s="161"/>
      <c r="T413" s="161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2"/>
      <c r="DC413" s="162"/>
      <c r="DD413" s="162"/>
      <c r="DE413" s="162"/>
      <c r="DF413" s="162"/>
      <c r="DG413" s="162"/>
      <c r="DH413" s="162"/>
      <c r="DI413" s="162"/>
      <c r="DJ413" s="162"/>
      <c r="DK413" s="162"/>
      <c r="DL413" s="162"/>
      <c r="DM413" s="162"/>
      <c r="DN413" s="162"/>
      <c r="DO413" s="162"/>
      <c r="DP413" s="162"/>
      <c r="DQ413" s="162"/>
      <c r="DR413" s="162"/>
      <c r="DS413" s="162"/>
      <c r="DT413" s="162"/>
      <c r="DU413" s="162"/>
      <c r="DV413" s="162"/>
      <c r="DW413" s="162"/>
    </row>
    <row r="414" spans="1:127" ht="15" customHeight="1">
      <c r="A414" s="159"/>
      <c r="B414" s="160"/>
      <c r="C414" s="161"/>
      <c r="D414" s="162"/>
      <c r="E414" s="162"/>
      <c r="F414" s="162"/>
      <c r="G414" s="162"/>
      <c r="H414" s="162"/>
      <c r="I414" s="162"/>
      <c r="J414" s="162"/>
      <c r="K414" s="162"/>
      <c r="L414" s="162"/>
      <c r="M414" s="162"/>
      <c r="N414" s="161"/>
      <c r="O414" s="162"/>
      <c r="P414" s="162"/>
      <c r="Q414" s="162"/>
      <c r="R414" s="162"/>
      <c r="S414" s="161"/>
      <c r="T414" s="161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2"/>
      <c r="DC414" s="162"/>
      <c r="DD414" s="162"/>
      <c r="DE414" s="162"/>
      <c r="DF414" s="162"/>
      <c r="DG414" s="162"/>
      <c r="DH414" s="162"/>
      <c r="DI414" s="162"/>
      <c r="DJ414" s="162"/>
      <c r="DK414" s="162"/>
      <c r="DL414" s="162"/>
      <c r="DM414" s="162"/>
      <c r="DN414" s="162"/>
      <c r="DO414" s="162"/>
      <c r="DP414" s="162"/>
      <c r="DQ414" s="162"/>
      <c r="DR414" s="162"/>
      <c r="DS414" s="162"/>
      <c r="DT414" s="162"/>
      <c r="DU414" s="162"/>
      <c r="DV414" s="162"/>
      <c r="DW414" s="162"/>
    </row>
    <row r="415" spans="1:127" ht="15" customHeight="1">
      <c r="A415" s="159"/>
      <c r="B415" s="160"/>
      <c r="C415" s="161"/>
      <c r="D415" s="162"/>
      <c r="E415" s="162"/>
      <c r="F415" s="162"/>
      <c r="G415" s="162"/>
      <c r="H415" s="162"/>
      <c r="I415" s="162"/>
      <c r="J415" s="162"/>
      <c r="K415" s="162"/>
      <c r="L415" s="162"/>
      <c r="M415" s="162"/>
      <c r="N415" s="161"/>
      <c r="O415" s="162"/>
      <c r="P415" s="162"/>
      <c r="Q415" s="162"/>
      <c r="R415" s="162"/>
      <c r="S415" s="161"/>
      <c r="T415" s="161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2"/>
      <c r="DC415" s="162"/>
      <c r="DD415" s="162"/>
      <c r="DE415" s="162"/>
      <c r="DF415" s="162"/>
      <c r="DG415" s="162"/>
      <c r="DH415" s="162"/>
      <c r="DI415" s="162"/>
      <c r="DJ415" s="162"/>
      <c r="DK415" s="162"/>
      <c r="DL415" s="162"/>
      <c r="DM415" s="162"/>
      <c r="DN415" s="162"/>
      <c r="DO415" s="162"/>
      <c r="DP415" s="162"/>
      <c r="DQ415" s="162"/>
      <c r="DR415" s="162"/>
      <c r="DS415" s="162"/>
      <c r="DT415" s="162"/>
      <c r="DU415" s="162"/>
      <c r="DV415" s="162"/>
      <c r="DW415" s="162"/>
    </row>
    <row r="416" spans="1:127" ht="15" customHeight="1">
      <c r="A416" s="159"/>
      <c r="B416" s="160"/>
      <c r="C416" s="161"/>
      <c r="D416" s="162"/>
      <c r="E416" s="162"/>
      <c r="F416" s="162"/>
      <c r="G416" s="162"/>
      <c r="H416" s="162"/>
      <c r="I416" s="162"/>
      <c r="J416" s="162"/>
      <c r="K416" s="162"/>
      <c r="L416" s="162"/>
      <c r="M416" s="162"/>
      <c r="N416" s="161"/>
      <c r="O416" s="162"/>
      <c r="P416" s="162"/>
      <c r="Q416" s="162"/>
      <c r="R416" s="162"/>
      <c r="S416" s="161"/>
      <c r="T416" s="161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2"/>
      <c r="DC416" s="162"/>
      <c r="DD416" s="162"/>
      <c r="DE416" s="162"/>
      <c r="DF416" s="162"/>
      <c r="DG416" s="162"/>
      <c r="DH416" s="162"/>
      <c r="DI416" s="162"/>
      <c r="DJ416" s="162"/>
      <c r="DK416" s="162"/>
      <c r="DL416" s="162"/>
      <c r="DM416" s="162"/>
      <c r="DN416" s="162"/>
      <c r="DO416" s="162"/>
      <c r="DP416" s="162"/>
      <c r="DQ416" s="162"/>
      <c r="DR416" s="162"/>
      <c r="DS416" s="162"/>
      <c r="DT416" s="162"/>
      <c r="DU416" s="162"/>
      <c r="DV416" s="162"/>
      <c r="DW416" s="162"/>
    </row>
    <row r="417" spans="1:127" ht="15" customHeight="1">
      <c r="A417" s="159"/>
      <c r="B417" s="160"/>
      <c r="C417" s="161"/>
      <c r="D417" s="162"/>
      <c r="E417" s="162"/>
      <c r="F417" s="162"/>
      <c r="G417" s="162"/>
      <c r="H417" s="162"/>
      <c r="I417" s="162"/>
      <c r="J417" s="162"/>
      <c r="K417" s="162"/>
      <c r="L417" s="162"/>
      <c r="M417" s="162"/>
      <c r="N417" s="161"/>
      <c r="O417" s="162"/>
      <c r="P417" s="162"/>
      <c r="Q417" s="162"/>
      <c r="R417" s="162"/>
      <c r="S417" s="161"/>
      <c r="T417" s="161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2"/>
      <c r="DC417" s="162"/>
      <c r="DD417" s="162"/>
      <c r="DE417" s="162"/>
      <c r="DF417" s="162"/>
      <c r="DG417" s="162"/>
      <c r="DH417" s="162"/>
      <c r="DI417" s="162"/>
      <c r="DJ417" s="162"/>
      <c r="DK417" s="162"/>
      <c r="DL417" s="162"/>
      <c r="DM417" s="162"/>
      <c r="DN417" s="162"/>
      <c r="DO417" s="162"/>
      <c r="DP417" s="162"/>
      <c r="DQ417" s="162"/>
      <c r="DR417" s="162"/>
      <c r="DS417" s="162"/>
      <c r="DT417" s="162"/>
      <c r="DU417" s="162"/>
      <c r="DV417" s="162"/>
      <c r="DW417" s="162"/>
    </row>
    <row r="418" spans="1:127" ht="15" customHeight="1">
      <c r="A418" s="159"/>
      <c r="B418" s="160"/>
      <c r="C418" s="161"/>
      <c r="D418" s="162"/>
      <c r="E418" s="162"/>
      <c r="F418" s="162"/>
      <c r="G418" s="162"/>
      <c r="H418" s="162"/>
      <c r="I418" s="162"/>
      <c r="J418" s="162"/>
      <c r="K418" s="162"/>
      <c r="L418" s="162"/>
      <c r="M418" s="162"/>
      <c r="N418" s="161"/>
      <c r="O418" s="162"/>
      <c r="P418" s="162"/>
      <c r="Q418" s="162"/>
      <c r="R418" s="162"/>
      <c r="S418" s="161"/>
      <c r="T418" s="161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2"/>
      <c r="DC418" s="162"/>
      <c r="DD418" s="162"/>
      <c r="DE418" s="162"/>
      <c r="DF418" s="162"/>
      <c r="DG418" s="162"/>
      <c r="DH418" s="162"/>
      <c r="DI418" s="162"/>
      <c r="DJ418" s="162"/>
      <c r="DK418" s="162"/>
      <c r="DL418" s="162"/>
      <c r="DM418" s="162"/>
      <c r="DN418" s="162"/>
      <c r="DO418" s="162"/>
      <c r="DP418" s="162"/>
      <c r="DQ418" s="162"/>
      <c r="DR418" s="162"/>
      <c r="DS418" s="162"/>
      <c r="DT418" s="162"/>
      <c r="DU418" s="162"/>
      <c r="DV418" s="162"/>
      <c r="DW418" s="162"/>
    </row>
    <row r="419" spans="1:127" ht="15" customHeight="1">
      <c r="A419" s="159"/>
      <c r="B419" s="160"/>
      <c r="C419" s="161"/>
      <c r="D419" s="162"/>
      <c r="E419" s="162"/>
      <c r="F419" s="162"/>
      <c r="G419" s="162"/>
      <c r="H419" s="162"/>
      <c r="I419" s="162"/>
      <c r="J419" s="162"/>
      <c r="K419" s="162"/>
      <c r="L419" s="162"/>
      <c r="M419" s="162"/>
      <c r="N419" s="161"/>
      <c r="O419" s="162"/>
      <c r="P419" s="162"/>
      <c r="Q419" s="162"/>
      <c r="R419" s="162"/>
      <c r="S419" s="161"/>
      <c r="T419" s="161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2"/>
      <c r="DC419" s="162"/>
      <c r="DD419" s="162"/>
      <c r="DE419" s="162"/>
      <c r="DF419" s="162"/>
      <c r="DG419" s="162"/>
      <c r="DH419" s="162"/>
      <c r="DI419" s="162"/>
      <c r="DJ419" s="162"/>
      <c r="DK419" s="162"/>
      <c r="DL419" s="162"/>
      <c r="DM419" s="162"/>
      <c r="DN419" s="162"/>
      <c r="DO419" s="162"/>
      <c r="DP419" s="162"/>
      <c r="DQ419" s="162"/>
      <c r="DR419" s="162"/>
      <c r="DS419" s="162"/>
      <c r="DT419" s="162"/>
      <c r="DU419" s="162"/>
      <c r="DV419" s="162"/>
      <c r="DW419" s="162"/>
    </row>
    <row r="420" spans="1:127" ht="15" customHeight="1">
      <c r="A420" s="159"/>
      <c r="B420" s="160"/>
      <c r="C420" s="161"/>
      <c r="D420" s="162"/>
      <c r="E420" s="162"/>
      <c r="F420" s="162"/>
      <c r="G420" s="162"/>
      <c r="H420" s="162"/>
      <c r="I420" s="162"/>
      <c r="J420" s="162"/>
      <c r="K420" s="162"/>
      <c r="L420" s="162"/>
      <c r="M420" s="162"/>
      <c r="N420" s="161"/>
      <c r="O420" s="162"/>
      <c r="P420" s="162"/>
      <c r="Q420" s="162"/>
      <c r="R420" s="162"/>
      <c r="S420" s="161"/>
      <c r="T420" s="161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2"/>
      <c r="DC420" s="162"/>
      <c r="DD420" s="162"/>
      <c r="DE420" s="162"/>
      <c r="DF420" s="162"/>
      <c r="DG420" s="162"/>
      <c r="DH420" s="162"/>
      <c r="DI420" s="162"/>
      <c r="DJ420" s="162"/>
      <c r="DK420" s="162"/>
      <c r="DL420" s="162"/>
      <c r="DM420" s="162"/>
      <c r="DN420" s="162"/>
      <c r="DO420" s="162"/>
      <c r="DP420" s="162"/>
      <c r="DQ420" s="162"/>
      <c r="DR420" s="162"/>
      <c r="DS420" s="162"/>
      <c r="DT420" s="162"/>
      <c r="DU420" s="162"/>
      <c r="DV420" s="162"/>
      <c r="DW420" s="162"/>
    </row>
    <row r="421" spans="1:127" ht="15" customHeight="1">
      <c r="A421" s="159"/>
      <c r="B421" s="160"/>
      <c r="C421" s="161"/>
      <c r="D421" s="162"/>
      <c r="E421" s="162"/>
      <c r="F421" s="162"/>
      <c r="G421" s="162"/>
      <c r="H421" s="162"/>
      <c r="I421" s="162"/>
      <c r="J421" s="162"/>
      <c r="K421" s="162"/>
      <c r="L421" s="162"/>
      <c r="M421" s="162"/>
      <c r="N421" s="161"/>
      <c r="O421" s="162"/>
      <c r="P421" s="162"/>
      <c r="Q421" s="162"/>
      <c r="R421" s="162"/>
      <c r="S421" s="161"/>
      <c r="T421" s="161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2"/>
      <c r="DC421" s="162"/>
      <c r="DD421" s="162"/>
      <c r="DE421" s="162"/>
      <c r="DF421" s="162"/>
      <c r="DG421" s="162"/>
      <c r="DH421" s="162"/>
      <c r="DI421" s="162"/>
      <c r="DJ421" s="162"/>
      <c r="DK421" s="162"/>
      <c r="DL421" s="162"/>
      <c r="DM421" s="162"/>
      <c r="DN421" s="162"/>
      <c r="DO421" s="162"/>
      <c r="DP421" s="162"/>
      <c r="DQ421" s="162"/>
      <c r="DR421" s="162"/>
      <c r="DS421" s="162"/>
      <c r="DT421" s="162"/>
      <c r="DU421" s="162"/>
      <c r="DV421" s="162"/>
      <c r="DW421" s="162"/>
    </row>
    <row r="422" spans="1:127" ht="15" customHeight="1">
      <c r="A422" s="159"/>
      <c r="B422" s="160"/>
      <c r="C422" s="161"/>
      <c r="D422" s="162"/>
      <c r="E422" s="162"/>
      <c r="F422" s="162"/>
      <c r="G422" s="162"/>
      <c r="H422" s="162"/>
      <c r="I422" s="162"/>
      <c r="J422" s="162"/>
      <c r="K422" s="162"/>
      <c r="L422" s="162"/>
      <c r="M422" s="162"/>
      <c r="N422" s="161"/>
      <c r="O422" s="162"/>
      <c r="P422" s="162"/>
      <c r="Q422" s="162"/>
      <c r="R422" s="162"/>
      <c r="S422" s="161"/>
      <c r="T422" s="161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2"/>
      <c r="DC422" s="162"/>
      <c r="DD422" s="162"/>
      <c r="DE422" s="162"/>
      <c r="DF422" s="162"/>
      <c r="DG422" s="162"/>
      <c r="DH422" s="162"/>
      <c r="DI422" s="162"/>
      <c r="DJ422" s="162"/>
      <c r="DK422" s="162"/>
      <c r="DL422" s="162"/>
      <c r="DM422" s="162"/>
      <c r="DN422" s="162"/>
      <c r="DO422" s="162"/>
      <c r="DP422" s="162"/>
      <c r="DQ422" s="162"/>
      <c r="DR422" s="162"/>
      <c r="DS422" s="162"/>
      <c r="DT422" s="162"/>
      <c r="DU422" s="162"/>
      <c r="DV422" s="162"/>
      <c r="DW422" s="162"/>
    </row>
    <row r="423" spans="1:127" ht="15" customHeight="1">
      <c r="A423" s="159"/>
      <c r="B423" s="160"/>
      <c r="C423" s="161"/>
      <c r="D423" s="162"/>
      <c r="E423" s="162"/>
      <c r="F423" s="162"/>
      <c r="G423" s="162"/>
      <c r="H423" s="162"/>
      <c r="I423" s="162"/>
      <c r="J423" s="162"/>
      <c r="K423" s="162"/>
      <c r="L423" s="162"/>
      <c r="M423" s="162"/>
      <c r="N423" s="161"/>
      <c r="O423" s="162"/>
      <c r="P423" s="162"/>
      <c r="Q423" s="162"/>
      <c r="R423" s="162"/>
      <c r="S423" s="161"/>
      <c r="T423" s="161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2"/>
      <c r="DC423" s="162"/>
      <c r="DD423" s="162"/>
      <c r="DE423" s="162"/>
      <c r="DF423" s="162"/>
      <c r="DG423" s="162"/>
      <c r="DH423" s="162"/>
      <c r="DI423" s="162"/>
      <c r="DJ423" s="162"/>
      <c r="DK423" s="162"/>
      <c r="DL423" s="162"/>
      <c r="DM423" s="162"/>
      <c r="DN423" s="162"/>
      <c r="DO423" s="162"/>
      <c r="DP423" s="162"/>
      <c r="DQ423" s="162"/>
      <c r="DR423" s="162"/>
      <c r="DS423" s="162"/>
      <c r="DT423" s="162"/>
      <c r="DU423" s="162"/>
      <c r="DV423" s="162"/>
      <c r="DW423" s="162"/>
    </row>
    <row r="424" spans="1:127" ht="15" customHeight="1">
      <c r="A424" s="159"/>
      <c r="B424" s="160"/>
      <c r="C424" s="161"/>
      <c r="D424" s="162"/>
      <c r="E424" s="162"/>
      <c r="F424" s="162"/>
      <c r="G424" s="162"/>
      <c r="H424" s="162"/>
      <c r="I424" s="162"/>
      <c r="J424" s="162"/>
      <c r="K424" s="162"/>
      <c r="L424" s="162"/>
      <c r="M424" s="162"/>
      <c r="N424" s="161"/>
      <c r="O424" s="162"/>
      <c r="P424" s="162"/>
      <c r="Q424" s="162"/>
      <c r="R424" s="162"/>
      <c r="S424" s="161"/>
      <c r="T424" s="161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2"/>
      <c r="DC424" s="162"/>
      <c r="DD424" s="162"/>
      <c r="DE424" s="162"/>
      <c r="DF424" s="162"/>
      <c r="DG424" s="162"/>
      <c r="DH424" s="162"/>
      <c r="DI424" s="162"/>
      <c r="DJ424" s="162"/>
      <c r="DK424" s="162"/>
      <c r="DL424" s="162"/>
      <c r="DM424" s="162"/>
      <c r="DN424" s="162"/>
      <c r="DO424" s="162"/>
      <c r="DP424" s="162"/>
      <c r="DQ424" s="162"/>
      <c r="DR424" s="162"/>
      <c r="DS424" s="162"/>
      <c r="DT424" s="162"/>
      <c r="DU424" s="162"/>
      <c r="DV424" s="162"/>
      <c r="DW424" s="162"/>
    </row>
    <row r="425" spans="1:127" ht="15" customHeight="1">
      <c r="A425" s="159"/>
      <c r="B425" s="160"/>
      <c r="C425" s="161"/>
      <c r="D425" s="162"/>
      <c r="E425" s="162"/>
      <c r="F425" s="162"/>
      <c r="G425" s="162"/>
      <c r="H425" s="162"/>
      <c r="I425" s="162"/>
      <c r="J425" s="162"/>
      <c r="K425" s="162"/>
      <c r="L425" s="162"/>
      <c r="M425" s="162"/>
      <c r="N425" s="161"/>
      <c r="O425" s="162"/>
      <c r="P425" s="162"/>
      <c r="Q425" s="162"/>
      <c r="R425" s="162"/>
      <c r="S425" s="161"/>
      <c r="T425" s="161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2"/>
      <c r="DC425" s="162"/>
      <c r="DD425" s="162"/>
      <c r="DE425" s="162"/>
      <c r="DF425" s="162"/>
      <c r="DG425" s="162"/>
      <c r="DH425" s="162"/>
      <c r="DI425" s="162"/>
      <c r="DJ425" s="162"/>
      <c r="DK425" s="162"/>
      <c r="DL425" s="162"/>
      <c r="DM425" s="162"/>
      <c r="DN425" s="162"/>
      <c r="DO425" s="162"/>
      <c r="DP425" s="162"/>
      <c r="DQ425" s="162"/>
      <c r="DR425" s="162"/>
      <c r="DS425" s="162"/>
      <c r="DT425" s="162"/>
      <c r="DU425" s="162"/>
      <c r="DV425" s="162"/>
      <c r="DW425" s="162"/>
    </row>
    <row r="426" spans="1:127" ht="15" customHeight="1">
      <c r="A426" s="159"/>
      <c r="B426" s="160"/>
      <c r="C426" s="161"/>
      <c r="D426" s="162"/>
      <c r="E426" s="162"/>
      <c r="F426" s="162"/>
      <c r="G426" s="162"/>
      <c r="H426" s="162"/>
      <c r="I426" s="162"/>
      <c r="J426" s="162"/>
      <c r="K426" s="162"/>
      <c r="L426" s="162"/>
      <c r="M426" s="162"/>
      <c r="N426" s="161"/>
      <c r="O426" s="162"/>
      <c r="P426" s="162"/>
      <c r="Q426" s="162"/>
      <c r="R426" s="162"/>
      <c r="S426" s="161"/>
      <c r="T426" s="161"/>
      <c r="U426" s="163"/>
      <c r="V426" s="163"/>
      <c r="W426" s="163"/>
      <c r="X426" s="163"/>
      <c r="Y426" s="163"/>
      <c r="Z426" s="163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2"/>
      <c r="DC426" s="162"/>
      <c r="DD426" s="162"/>
      <c r="DE426" s="162"/>
      <c r="DF426" s="162"/>
      <c r="DG426" s="162"/>
      <c r="DH426" s="162"/>
      <c r="DI426" s="162"/>
      <c r="DJ426" s="162"/>
      <c r="DK426" s="162"/>
      <c r="DL426" s="162"/>
      <c r="DM426" s="162"/>
      <c r="DN426" s="162"/>
      <c r="DO426" s="162"/>
      <c r="DP426" s="162"/>
      <c r="DQ426" s="162"/>
      <c r="DR426" s="162"/>
      <c r="DS426" s="162"/>
      <c r="DT426" s="162"/>
      <c r="DU426" s="162"/>
      <c r="DV426" s="162"/>
      <c r="DW426" s="162"/>
    </row>
    <row r="427" spans="1:127" ht="15" customHeight="1">
      <c r="A427" s="159"/>
      <c r="B427" s="160"/>
      <c r="C427" s="161"/>
      <c r="D427" s="162"/>
      <c r="E427" s="162"/>
      <c r="F427" s="162"/>
      <c r="G427" s="162"/>
      <c r="H427" s="162"/>
      <c r="I427" s="162"/>
      <c r="J427" s="162"/>
      <c r="K427" s="162"/>
      <c r="L427" s="162"/>
      <c r="M427" s="162"/>
      <c r="N427" s="161"/>
      <c r="O427" s="162"/>
      <c r="P427" s="162"/>
      <c r="Q427" s="162"/>
      <c r="R427" s="162"/>
      <c r="S427" s="161"/>
      <c r="T427" s="161"/>
      <c r="U427" s="163"/>
      <c r="V427" s="163"/>
      <c r="W427" s="163"/>
      <c r="X427" s="163"/>
      <c r="Y427" s="163"/>
      <c r="Z427" s="163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2"/>
      <c r="DC427" s="162"/>
      <c r="DD427" s="162"/>
      <c r="DE427" s="162"/>
      <c r="DF427" s="162"/>
      <c r="DG427" s="162"/>
      <c r="DH427" s="162"/>
      <c r="DI427" s="162"/>
      <c r="DJ427" s="162"/>
      <c r="DK427" s="162"/>
      <c r="DL427" s="162"/>
      <c r="DM427" s="162"/>
      <c r="DN427" s="162"/>
      <c r="DO427" s="162"/>
      <c r="DP427" s="162"/>
      <c r="DQ427" s="162"/>
      <c r="DR427" s="162"/>
      <c r="DS427" s="162"/>
      <c r="DT427" s="162"/>
      <c r="DU427" s="162"/>
      <c r="DV427" s="162"/>
      <c r="DW427" s="162"/>
    </row>
    <row r="428" spans="1:127" ht="15" customHeight="1">
      <c r="A428" s="159"/>
      <c r="B428" s="160"/>
      <c r="C428" s="161"/>
      <c r="D428" s="162"/>
      <c r="E428" s="162"/>
      <c r="F428" s="162"/>
      <c r="G428" s="162"/>
      <c r="H428" s="162"/>
      <c r="I428" s="162"/>
      <c r="J428" s="162"/>
      <c r="K428" s="162"/>
      <c r="L428" s="162"/>
      <c r="M428" s="162"/>
      <c r="N428" s="161"/>
      <c r="O428" s="162"/>
      <c r="P428" s="162"/>
      <c r="Q428" s="162"/>
      <c r="R428" s="162"/>
      <c r="S428" s="161"/>
      <c r="T428" s="161"/>
      <c r="U428" s="163"/>
      <c r="V428" s="163"/>
      <c r="W428" s="163"/>
      <c r="X428" s="163"/>
      <c r="Y428" s="163"/>
      <c r="Z428" s="163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2"/>
      <c r="DC428" s="162"/>
      <c r="DD428" s="162"/>
      <c r="DE428" s="162"/>
      <c r="DF428" s="162"/>
      <c r="DG428" s="162"/>
      <c r="DH428" s="162"/>
      <c r="DI428" s="162"/>
      <c r="DJ428" s="162"/>
      <c r="DK428" s="162"/>
      <c r="DL428" s="162"/>
      <c r="DM428" s="162"/>
      <c r="DN428" s="162"/>
      <c r="DO428" s="162"/>
      <c r="DP428" s="162"/>
      <c r="DQ428" s="162"/>
      <c r="DR428" s="162"/>
      <c r="DS428" s="162"/>
      <c r="DT428" s="162"/>
      <c r="DU428" s="162"/>
      <c r="DV428" s="162"/>
      <c r="DW428" s="162"/>
    </row>
    <row r="429" spans="1:127" ht="15" customHeight="1">
      <c r="A429" s="159"/>
      <c r="B429" s="160"/>
      <c r="C429" s="161"/>
      <c r="D429" s="162"/>
      <c r="E429" s="162"/>
      <c r="F429" s="162"/>
      <c r="G429" s="162"/>
      <c r="H429" s="162"/>
      <c r="I429" s="162"/>
      <c r="J429" s="162"/>
      <c r="K429" s="162"/>
      <c r="L429" s="162"/>
      <c r="M429" s="162"/>
      <c r="N429" s="161"/>
      <c r="O429" s="162"/>
      <c r="P429" s="162"/>
      <c r="Q429" s="162"/>
      <c r="R429" s="162"/>
      <c r="S429" s="161"/>
      <c r="T429" s="161"/>
      <c r="U429" s="163"/>
      <c r="V429" s="163"/>
      <c r="W429" s="163"/>
      <c r="X429" s="163"/>
      <c r="Y429" s="163"/>
      <c r="Z429" s="163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2"/>
      <c r="DC429" s="162"/>
      <c r="DD429" s="162"/>
      <c r="DE429" s="162"/>
      <c r="DF429" s="162"/>
      <c r="DG429" s="162"/>
      <c r="DH429" s="162"/>
      <c r="DI429" s="162"/>
      <c r="DJ429" s="162"/>
      <c r="DK429" s="162"/>
      <c r="DL429" s="162"/>
      <c r="DM429" s="162"/>
      <c r="DN429" s="162"/>
      <c r="DO429" s="162"/>
      <c r="DP429" s="162"/>
      <c r="DQ429" s="162"/>
      <c r="DR429" s="162"/>
      <c r="DS429" s="162"/>
      <c r="DT429" s="162"/>
      <c r="DU429" s="162"/>
      <c r="DV429" s="162"/>
      <c r="DW429" s="162"/>
    </row>
    <row r="430" spans="1:127" ht="15" customHeight="1">
      <c r="A430" s="159"/>
      <c r="B430" s="160"/>
      <c r="C430" s="161"/>
      <c r="D430" s="162"/>
      <c r="E430" s="162"/>
      <c r="F430" s="162"/>
      <c r="G430" s="162"/>
      <c r="H430" s="162"/>
      <c r="I430" s="162"/>
      <c r="J430" s="162"/>
      <c r="K430" s="162"/>
      <c r="L430" s="162"/>
      <c r="M430" s="162"/>
      <c r="N430" s="161"/>
      <c r="O430" s="162"/>
      <c r="P430" s="162"/>
      <c r="Q430" s="162"/>
      <c r="R430" s="162"/>
      <c r="S430" s="161"/>
      <c r="T430" s="161"/>
      <c r="U430" s="163"/>
      <c r="V430" s="163"/>
      <c r="W430" s="163"/>
      <c r="X430" s="163"/>
      <c r="Y430" s="163"/>
      <c r="Z430" s="163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2"/>
      <c r="DC430" s="162"/>
      <c r="DD430" s="162"/>
      <c r="DE430" s="162"/>
      <c r="DF430" s="162"/>
      <c r="DG430" s="162"/>
      <c r="DH430" s="162"/>
      <c r="DI430" s="162"/>
      <c r="DJ430" s="162"/>
      <c r="DK430" s="162"/>
      <c r="DL430" s="162"/>
      <c r="DM430" s="162"/>
      <c r="DN430" s="162"/>
      <c r="DO430" s="162"/>
      <c r="DP430" s="162"/>
      <c r="DQ430" s="162"/>
      <c r="DR430" s="162"/>
      <c r="DS430" s="162"/>
      <c r="DT430" s="162"/>
      <c r="DU430" s="162"/>
      <c r="DV430" s="162"/>
      <c r="DW430" s="162"/>
    </row>
    <row r="431" spans="1:127" ht="15" customHeight="1">
      <c r="A431" s="159"/>
      <c r="B431" s="160"/>
      <c r="C431" s="161"/>
      <c r="D431" s="162"/>
      <c r="E431" s="162"/>
      <c r="F431" s="162"/>
      <c r="G431" s="162"/>
      <c r="H431" s="162"/>
      <c r="I431" s="162"/>
      <c r="J431" s="162"/>
      <c r="K431" s="162"/>
      <c r="L431" s="162"/>
      <c r="M431" s="162"/>
      <c r="N431" s="161"/>
      <c r="O431" s="162"/>
      <c r="P431" s="162"/>
      <c r="Q431" s="162"/>
      <c r="R431" s="162"/>
      <c r="S431" s="161"/>
      <c r="T431" s="161"/>
      <c r="U431" s="163"/>
      <c r="V431" s="163"/>
      <c r="W431" s="163"/>
      <c r="X431" s="163"/>
      <c r="Y431" s="163"/>
      <c r="Z431" s="163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2"/>
      <c r="DC431" s="162"/>
      <c r="DD431" s="162"/>
      <c r="DE431" s="162"/>
      <c r="DF431" s="162"/>
      <c r="DG431" s="162"/>
      <c r="DH431" s="162"/>
      <c r="DI431" s="162"/>
      <c r="DJ431" s="162"/>
      <c r="DK431" s="162"/>
      <c r="DL431" s="162"/>
      <c r="DM431" s="162"/>
      <c r="DN431" s="162"/>
      <c r="DO431" s="162"/>
      <c r="DP431" s="162"/>
      <c r="DQ431" s="162"/>
      <c r="DR431" s="162"/>
      <c r="DS431" s="162"/>
      <c r="DT431" s="162"/>
      <c r="DU431" s="162"/>
      <c r="DV431" s="162"/>
      <c r="DW431" s="162"/>
    </row>
    <row r="432" spans="1:127" ht="15" customHeight="1">
      <c r="A432" s="159"/>
      <c r="B432" s="160"/>
      <c r="C432" s="161"/>
      <c r="D432" s="162"/>
      <c r="E432" s="162"/>
      <c r="F432" s="162"/>
      <c r="G432" s="162"/>
      <c r="H432" s="162"/>
      <c r="I432" s="162"/>
      <c r="J432" s="162"/>
      <c r="K432" s="162"/>
      <c r="L432" s="162"/>
      <c r="M432" s="162"/>
      <c r="N432" s="161"/>
      <c r="O432" s="162"/>
      <c r="P432" s="162"/>
      <c r="Q432" s="162"/>
      <c r="R432" s="162"/>
      <c r="S432" s="161"/>
      <c r="T432" s="161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2"/>
      <c r="DC432" s="162"/>
      <c r="DD432" s="162"/>
      <c r="DE432" s="162"/>
      <c r="DF432" s="162"/>
      <c r="DG432" s="162"/>
      <c r="DH432" s="162"/>
      <c r="DI432" s="162"/>
      <c r="DJ432" s="162"/>
      <c r="DK432" s="162"/>
      <c r="DL432" s="162"/>
      <c r="DM432" s="162"/>
      <c r="DN432" s="162"/>
      <c r="DO432" s="162"/>
      <c r="DP432" s="162"/>
      <c r="DQ432" s="162"/>
      <c r="DR432" s="162"/>
      <c r="DS432" s="162"/>
      <c r="DT432" s="162"/>
      <c r="DU432" s="162"/>
      <c r="DV432" s="162"/>
      <c r="DW432" s="162"/>
    </row>
    <row r="433" spans="1:127" ht="15" customHeight="1">
      <c r="A433" s="159"/>
      <c r="B433" s="160"/>
      <c r="C433" s="161"/>
      <c r="D433" s="162"/>
      <c r="E433" s="162"/>
      <c r="F433" s="162"/>
      <c r="G433" s="162"/>
      <c r="H433" s="162"/>
      <c r="I433" s="162"/>
      <c r="J433" s="162"/>
      <c r="K433" s="162"/>
      <c r="L433" s="162"/>
      <c r="M433" s="162"/>
      <c r="N433" s="161"/>
      <c r="O433" s="162"/>
      <c r="P433" s="162"/>
      <c r="Q433" s="162"/>
      <c r="R433" s="162"/>
      <c r="S433" s="161"/>
      <c r="T433" s="161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2"/>
      <c r="DC433" s="162"/>
      <c r="DD433" s="162"/>
      <c r="DE433" s="162"/>
      <c r="DF433" s="162"/>
      <c r="DG433" s="162"/>
      <c r="DH433" s="162"/>
      <c r="DI433" s="162"/>
      <c r="DJ433" s="162"/>
      <c r="DK433" s="162"/>
      <c r="DL433" s="162"/>
      <c r="DM433" s="162"/>
      <c r="DN433" s="162"/>
      <c r="DO433" s="162"/>
      <c r="DP433" s="162"/>
      <c r="DQ433" s="162"/>
      <c r="DR433" s="162"/>
      <c r="DS433" s="162"/>
      <c r="DT433" s="162"/>
      <c r="DU433" s="162"/>
      <c r="DV433" s="162"/>
      <c r="DW433" s="162"/>
    </row>
    <row r="434" spans="1:127" ht="15" customHeight="1">
      <c r="A434" s="159"/>
      <c r="B434" s="160"/>
      <c r="C434" s="161"/>
      <c r="D434" s="162"/>
      <c r="E434" s="162"/>
      <c r="F434" s="162"/>
      <c r="G434" s="162"/>
      <c r="H434" s="162"/>
      <c r="I434" s="162"/>
      <c r="J434" s="162"/>
      <c r="K434" s="162"/>
      <c r="L434" s="162"/>
      <c r="M434" s="162"/>
      <c r="N434" s="161"/>
      <c r="O434" s="162"/>
      <c r="P434" s="162"/>
      <c r="Q434" s="162"/>
      <c r="R434" s="162"/>
      <c r="S434" s="161"/>
      <c r="T434" s="161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2"/>
      <c r="DC434" s="162"/>
      <c r="DD434" s="162"/>
      <c r="DE434" s="162"/>
      <c r="DF434" s="162"/>
      <c r="DG434" s="162"/>
      <c r="DH434" s="162"/>
      <c r="DI434" s="162"/>
      <c r="DJ434" s="162"/>
      <c r="DK434" s="162"/>
      <c r="DL434" s="162"/>
      <c r="DM434" s="162"/>
      <c r="DN434" s="162"/>
      <c r="DO434" s="162"/>
      <c r="DP434" s="162"/>
      <c r="DQ434" s="162"/>
      <c r="DR434" s="162"/>
      <c r="DS434" s="162"/>
      <c r="DT434" s="162"/>
      <c r="DU434" s="162"/>
      <c r="DV434" s="162"/>
      <c r="DW434" s="162"/>
    </row>
    <row r="435" spans="1:127" ht="15" customHeight="1">
      <c r="A435" s="159"/>
      <c r="B435" s="160"/>
      <c r="C435" s="161"/>
      <c r="D435" s="162"/>
      <c r="E435" s="162"/>
      <c r="F435" s="162"/>
      <c r="G435" s="162"/>
      <c r="H435" s="162"/>
      <c r="I435" s="162"/>
      <c r="J435" s="162"/>
      <c r="K435" s="162"/>
      <c r="L435" s="162"/>
      <c r="M435" s="162"/>
      <c r="N435" s="161"/>
      <c r="O435" s="162"/>
      <c r="P435" s="162"/>
      <c r="Q435" s="162"/>
      <c r="R435" s="162"/>
      <c r="S435" s="161"/>
      <c r="T435" s="161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2"/>
      <c r="DC435" s="162"/>
      <c r="DD435" s="162"/>
      <c r="DE435" s="162"/>
      <c r="DF435" s="162"/>
      <c r="DG435" s="162"/>
      <c r="DH435" s="162"/>
      <c r="DI435" s="162"/>
      <c r="DJ435" s="162"/>
      <c r="DK435" s="162"/>
      <c r="DL435" s="162"/>
      <c r="DM435" s="162"/>
      <c r="DN435" s="162"/>
      <c r="DO435" s="162"/>
      <c r="DP435" s="162"/>
      <c r="DQ435" s="162"/>
      <c r="DR435" s="162"/>
      <c r="DS435" s="162"/>
      <c r="DT435" s="162"/>
      <c r="DU435" s="162"/>
      <c r="DV435" s="162"/>
      <c r="DW435" s="162"/>
    </row>
    <row r="436" spans="1:127" ht="15" customHeight="1">
      <c r="A436" s="159"/>
      <c r="B436" s="160"/>
      <c r="C436" s="161"/>
      <c r="D436" s="162"/>
      <c r="E436" s="162"/>
      <c r="F436" s="162"/>
      <c r="G436" s="162"/>
      <c r="H436" s="162"/>
      <c r="I436" s="162"/>
      <c r="J436" s="162"/>
      <c r="K436" s="162"/>
      <c r="L436" s="162"/>
      <c r="M436" s="162"/>
      <c r="N436" s="161"/>
      <c r="O436" s="162"/>
      <c r="P436" s="162"/>
      <c r="Q436" s="162"/>
      <c r="R436" s="162"/>
      <c r="S436" s="161"/>
      <c r="T436" s="161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2"/>
      <c r="DC436" s="162"/>
      <c r="DD436" s="162"/>
      <c r="DE436" s="162"/>
      <c r="DF436" s="162"/>
      <c r="DG436" s="162"/>
      <c r="DH436" s="162"/>
      <c r="DI436" s="162"/>
      <c r="DJ436" s="162"/>
      <c r="DK436" s="162"/>
      <c r="DL436" s="162"/>
      <c r="DM436" s="162"/>
      <c r="DN436" s="162"/>
      <c r="DO436" s="162"/>
      <c r="DP436" s="162"/>
      <c r="DQ436" s="162"/>
      <c r="DR436" s="162"/>
      <c r="DS436" s="162"/>
      <c r="DT436" s="162"/>
      <c r="DU436" s="162"/>
      <c r="DV436" s="162"/>
      <c r="DW436" s="162"/>
    </row>
    <row r="437" spans="1:127" ht="15" customHeight="1">
      <c r="A437" s="159"/>
      <c r="B437" s="160"/>
      <c r="C437" s="161"/>
      <c r="D437" s="162"/>
      <c r="E437" s="162"/>
      <c r="F437" s="162"/>
      <c r="G437" s="162"/>
      <c r="H437" s="162"/>
      <c r="I437" s="162"/>
      <c r="J437" s="162"/>
      <c r="K437" s="162"/>
      <c r="L437" s="162"/>
      <c r="M437" s="162"/>
      <c r="N437" s="161"/>
      <c r="O437" s="162"/>
      <c r="P437" s="162"/>
      <c r="Q437" s="162"/>
      <c r="R437" s="162"/>
      <c r="S437" s="161"/>
      <c r="T437" s="161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2"/>
      <c r="DC437" s="162"/>
      <c r="DD437" s="162"/>
      <c r="DE437" s="162"/>
      <c r="DF437" s="162"/>
      <c r="DG437" s="162"/>
      <c r="DH437" s="162"/>
      <c r="DI437" s="162"/>
      <c r="DJ437" s="162"/>
      <c r="DK437" s="162"/>
      <c r="DL437" s="162"/>
      <c r="DM437" s="162"/>
      <c r="DN437" s="162"/>
      <c r="DO437" s="162"/>
      <c r="DP437" s="162"/>
      <c r="DQ437" s="162"/>
      <c r="DR437" s="162"/>
      <c r="DS437" s="162"/>
      <c r="DT437" s="162"/>
      <c r="DU437" s="162"/>
      <c r="DV437" s="162"/>
      <c r="DW437" s="162"/>
    </row>
    <row r="438" spans="1:127" ht="15" customHeight="1">
      <c r="A438" s="159"/>
      <c r="B438" s="160"/>
      <c r="C438" s="161"/>
      <c r="D438" s="162"/>
      <c r="E438" s="162"/>
      <c r="F438" s="162"/>
      <c r="G438" s="162"/>
      <c r="H438" s="162"/>
      <c r="I438" s="162"/>
      <c r="J438" s="162"/>
      <c r="K438" s="162"/>
      <c r="L438" s="162"/>
      <c r="M438" s="162"/>
      <c r="N438" s="161"/>
      <c r="O438" s="162"/>
      <c r="P438" s="162"/>
      <c r="Q438" s="162"/>
      <c r="R438" s="162"/>
      <c r="S438" s="161"/>
      <c r="T438" s="161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2"/>
      <c r="DC438" s="162"/>
      <c r="DD438" s="162"/>
      <c r="DE438" s="162"/>
      <c r="DF438" s="162"/>
      <c r="DG438" s="162"/>
      <c r="DH438" s="162"/>
      <c r="DI438" s="162"/>
      <c r="DJ438" s="162"/>
      <c r="DK438" s="162"/>
      <c r="DL438" s="162"/>
      <c r="DM438" s="162"/>
      <c r="DN438" s="162"/>
      <c r="DO438" s="162"/>
      <c r="DP438" s="162"/>
      <c r="DQ438" s="162"/>
      <c r="DR438" s="162"/>
      <c r="DS438" s="162"/>
      <c r="DT438" s="162"/>
      <c r="DU438" s="162"/>
      <c r="DV438" s="162"/>
      <c r="DW438" s="162"/>
    </row>
    <row r="439" spans="1:127" ht="15" customHeight="1">
      <c r="A439" s="159"/>
      <c r="B439" s="160"/>
      <c r="C439" s="161"/>
      <c r="D439" s="162"/>
      <c r="E439" s="162"/>
      <c r="F439" s="162"/>
      <c r="G439" s="162"/>
      <c r="H439" s="162"/>
      <c r="I439" s="162"/>
      <c r="J439" s="162"/>
      <c r="K439" s="162"/>
      <c r="L439" s="162"/>
      <c r="M439" s="162"/>
      <c r="N439" s="161"/>
      <c r="O439" s="162"/>
      <c r="P439" s="162"/>
      <c r="Q439" s="162"/>
      <c r="R439" s="162"/>
      <c r="S439" s="161"/>
      <c r="T439" s="161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2"/>
      <c r="DC439" s="162"/>
      <c r="DD439" s="162"/>
      <c r="DE439" s="162"/>
      <c r="DF439" s="162"/>
      <c r="DG439" s="162"/>
      <c r="DH439" s="162"/>
      <c r="DI439" s="162"/>
      <c r="DJ439" s="162"/>
      <c r="DK439" s="162"/>
      <c r="DL439" s="162"/>
      <c r="DM439" s="162"/>
      <c r="DN439" s="162"/>
      <c r="DO439" s="162"/>
      <c r="DP439" s="162"/>
      <c r="DQ439" s="162"/>
      <c r="DR439" s="162"/>
      <c r="DS439" s="162"/>
      <c r="DT439" s="162"/>
      <c r="DU439" s="162"/>
      <c r="DV439" s="162"/>
      <c r="DW439" s="162"/>
    </row>
    <row r="440" spans="1:127" ht="15" customHeight="1">
      <c r="A440" s="159"/>
      <c r="B440" s="160"/>
      <c r="C440" s="161"/>
      <c r="D440" s="162"/>
      <c r="E440" s="162"/>
      <c r="F440" s="162"/>
      <c r="G440" s="162"/>
      <c r="H440" s="162"/>
      <c r="I440" s="162"/>
      <c r="J440" s="162"/>
      <c r="K440" s="162"/>
      <c r="L440" s="162"/>
      <c r="M440" s="162"/>
      <c r="N440" s="161"/>
      <c r="O440" s="162"/>
      <c r="P440" s="162"/>
      <c r="Q440" s="162"/>
      <c r="R440" s="162"/>
      <c r="S440" s="161"/>
      <c r="T440" s="161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2"/>
      <c r="DC440" s="162"/>
      <c r="DD440" s="162"/>
      <c r="DE440" s="162"/>
      <c r="DF440" s="162"/>
      <c r="DG440" s="162"/>
      <c r="DH440" s="162"/>
      <c r="DI440" s="162"/>
      <c r="DJ440" s="162"/>
      <c r="DK440" s="162"/>
      <c r="DL440" s="162"/>
      <c r="DM440" s="162"/>
      <c r="DN440" s="162"/>
      <c r="DO440" s="162"/>
      <c r="DP440" s="162"/>
      <c r="DQ440" s="162"/>
      <c r="DR440" s="162"/>
      <c r="DS440" s="162"/>
      <c r="DT440" s="162"/>
      <c r="DU440" s="162"/>
      <c r="DV440" s="162"/>
      <c r="DW440" s="162"/>
    </row>
    <row r="441" spans="1:127" ht="15" customHeight="1">
      <c r="A441" s="159"/>
      <c r="B441" s="160"/>
      <c r="C441" s="161"/>
      <c r="D441" s="162"/>
      <c r="E441" s="162"/>
      <c r="F441" s="162"/>
      <c r="G441" s="162"/>
      <c r="H441" s="162"/>
      <c r="I441" s="162"/>
      <c r="J441" s="162"/>
      <c r="K441" s="162"/>
      <c r="L441" s="162"/>
      <c r="M441" s="162"/>
      <c r="N441" s="161"/>
      <c r="O441" s="162"/>
      <c r="P441" s="162"/>
      <c r="Q441" s="162"/>
      <c r="R441" s="162"/>
      <c r="S441" s="161"/>
      <c r="T441" s="161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2"/>
      <c r="DC441" s="162"/>
      <c r="DD441" s="162"/>
      <c r="DE441" s="162"/>
      <c r="DF441" s="162"/>
      <c r="DG441" s="162"/>
      <c r="DH441" s="162"/>
      <c r="DI441" s="162"/>
      <c r="DJ441" s="162"/>
      <c r="DK441" s="162"/>
      <c r="DL441" s="162"/>
      <c r="DM441" s="162"/>
      <c r="DN441" s="162"/>
      <c r="DO441" s="162"/>
      <c r="DP441" s="162"/>
      <c r="DQ441" s="162"/>
      <c r="DR441" s="162"/>
      <c r="DS441" s="162"/>
      <c r="DT441" s="162"/>
      <c r="DU441" s="162"/>
      <c r="DV441" s="162"/>
      <c r="DW441" s="162"/>
    </row>
    <row r="442" spans="1:127" ht="15" customHeight="1">
      <c r="A442" s="159"/>
      <c r="B442" s="160"/>
      <c r="C442" s="161"/>
      <c r="D442" s="162"/>
      <c r="E442" s="162"/>
      <c r="F442" s="162"/>
      <c r="G442" s="162"/>
      <c r="H442" s="162"/>
      <c r="I442" s="162"/>
      <c r="J442" s="162"/>
      <c r="K442" s="162"/>
      <c r="L442" s="162"/>
      <c r="M442" s="162"/>
      <c r="N442" s="161"/>
      <c r="O442" s="162"/>
      <c r="P442" s="162"/>
      <c r="Q442" s="162"/>
      <c r="R442" s="162"/>
      <c r="S442" s="161"/>
      <c r="T442" s="161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2"/>
      <c r="DC442" s="162"/>
      <c r="DD442" s="162"/>
      <c r="DE442" s="162"/>
      <c r="DF442" s="162"/>
      <c r="DG442" s="162"/>
      <c r="DH442" s="162"/>
      <c r="DI442" s="162"/>
      <c r="DJ442" s="162"/>
      <c r="DK442" s="162"/>
      <c r="DL442" s="162"/>
      <c r="DM442" s="162"/>
      <c r="DN442" s="162"/>
      <c r="DO442" s="162"/>
      <c r="DP442" s="162"/>
      <c r="DQ442" s="162"/>
      <c r="DR442" s="162"/>
      <c r="DS442" s="162"/>
      <c r="DT442" s="162"/>
      <c r="DU442" s="162"/>
      <c r="DV442" s="162"/>
      <c r="DW442" s="162"/>
    </row>
    <row r="443" spans="1:127" ht="15" customHeight="1">
      <c r="A443" s="159"/>
      <c r="B443" s="160"/>
      <c r="C443" s="161"/>
      <c r="D443" s="162"/>
      <c r="E443" s="162"/>
      <c r="F443" s="162"/>
      <c r="G443" s="162"/>
      <c r="H443" s="162"/>
      <c r="I443" s="162"/>
      <c r="J443" s="162"/>
      <c r="K443" s="162"/>
      <c r="L443" s="162"/>
      <c r="M443" s="162"/>
      <c r="N443" s="161"/>
      <c r="O443" s="162"/>
      <c r="P443" s="162"/>
      <c r="Q443" s="162"/>
      <c r="R443" s="162"/>
      <c r="S443" s="161"/>
      <c r="T443" s="161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2"/>
      <c r="DC443" s="162"/>
      <c r="DD443" s="162"/>
      <c r="DE443" s="162"/>
      <c r="DF443" s="162"/>
      <c r="DG443" s="162"/>
      <c r="DH443" s="162"/>
      <c r="DI443" s="162"/>
      <c r="DJ443" s="162"/>
      <c r="DK443" s="162"/>
      <c r="DL443" s="162"/>
      <c r="DM443" s="162"/>
      <c r="DN443" s="162"/>
      <c r="DO443" s="162"/>
      <c r="DP443" s="162"/>
      <c r="DQ443" s="162"/>
      <c r="DR443" s="162"/>
      <c r="DS443" s="162"/>
      <c r="DT443" s="162"/>
      <c r="DU443" s="162"/>
      <c r="DV443" s="162"/>
      <c r="DW443" s="162"/>
    </row>
    <row r="444" spans="1:127" ht="15" customHeight="1">
      <c r="A444" s="159"/>
      <c r="B444" s="160"/>
      <c r="C444" s="161"/>
      <c r="D444" s="162"/>
      <c r="E444" s="162"/>
      <c r="F444" s="162"/>
      <c r="G444" s="162"/>
      <c r="H444" s="162"/>
      <c r="I444" s="162"/>
      <c r="J444" s="162"/>
      <c r="K444" s="162"/>
      <c r="L444" s="162"/>
      <c r="M444" s="162"/>
      <c r="N444" s="161"/>
      <c r="O444" s="162"/>
      <c r="P444" s="162"/>
      <c r="Q444" s="162"/>
      <c r="R444" s="162"/>
      <c r="S444" s="161"/>
      <c r="T444" s="161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2"/>
      <c r="DC444" s="162"/>
      <c r="DD444" s="162"/>
      <c r="DE444" s="162"/>
      <c r="DF444" s="162"/>
      <c r="DG444" s="162"/>
      <c r="DH444" s="162"/>
      <c r="DI444" s="162"/>
      <c r="DJ444" s="162"/>
      <c r="DK444" s="162"/>
      <c r="DL444" s="162"/>
      <c r="DM444" s="162"/>
      <c r="DN444" s="162"/>
      <c r="DO444" s="162"/>
      <c r="DP444" s="162"/>
      <c r="DQ444" s="162"/>
      <c r="DR444" s="162"/>
      <c r="DS444" s="162"/>
      <c r="DT444" s="162"/>
      <c r="DU444" s="162"/>
      <c r="DV444" s="162"/>
      <c r="DW444" s="162"/>
    </row>
    <row r="445" spans="1:127" ht="15" customHeight="1">
      <c r="A445" s="159"/>
      <c r="B445" s="160"/>
      <c r="C445" s="161"/>
      <c r="D445" s="162"/>
      <c r="E445" s="162"/>
      <c r="F445" s="162"/>
      <c r="G445" s="162"/>
      <c r="H445" s="162"/>
      <c r="I445" s="162"/>
      <c r="J445" s="162"/>
      <c r="K445" s="162"/>
      <c r="L445" s="162"/>
      <c r="M445" s="162"/>
      <c r="N445" s="161"/>
      <c r="O445" s="162"/>
      <c r="P445" s="162"/>
      <c r="Q445" s="162"/>
      <c r="R445" s="162"/>
      <c r="S445" s="161"/>
      <c r="T445" s="161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2"/>
      <c r="DC445" s="162"/>
      <c r="DD445" s="162"/>
      <c r="DE445" s="162"/>
      <c r="DF445" s="162"/>
      <c r="DG445" s="162"/>
      <c r="DH445" s="162"/>
      <c r="DI445" s="162"/>
      <c r="DJ445" s="162"/>
      <c r="DK445" s="162"/>
      <c r="DL445" s="162"/>
      <c r="DM445" s="162"/>
      <c r="DN445" s="162"/>
      <c r="DO445" s="162"/>
      <c r="DP445" s="162"/>
      <c r="DQ445" s="162"/>
      <c r="DR445" s="162"/>
      <c r="DS445" s="162"/>
      <c r="DT445" s="162"/>
      <c r="DU445" s="162"/>
      <c r="DV445" s="162"/>
      <c r="DW445" s="162"/>
    </row>
    <row r="446" spans="1:127" ht="15" customHeight="1">
      <c r="A446" s="159"/>
      <c r="B446" s="160"/>
      <c r="C446" s="161"/>
      <c r="D446" s="162"/>
      <c r="E446" s="162"/>
      <c r="F446" s="162"/>
      <c r="G446" s="162"/>
      <c r="H446" s="162"/>
      <c r="I446" s="162"/>
      <c r="J446" s="162"/>
      <c r="K446" s="162"/>
      <c r="L446" s="162"/>
      <c r="M446" s="162"/>
      <c r="N446" s="161"/>
      <c r="O446" s="162"/>
      <c r="P446" s="162"/>
      <c r="Q446" s="162"/>
      <c r="R446" s="162"/>
      <c r="S446" s="161"/>
      <c r="T446" s="161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2"/>
      <c r="DC446" s="162"/>
      <c r="DD446" s="162"/>
      <c r="DE446" s="162"/>
      <c r="DF446" s="162"/>
      <c r="DG446" s="162"/>
      <c r="DH446" s="162"/>
      <c r="DI446" s="162"/>
      <c r="DJ446" s="162"/>
      <c r="DK446" s="162"/>
      <c r="DL446" s="162"/>
      <c r="DM446" s="162"/>
      <c r="DN446" s="162"/>
      <c r="DO446" s="162"/>
      <c r="DP446" s="162"/>
      <c r="DQ446" s="162"/>
      <c r="DR446" s="162"/>
      <c r="DS446" s="162"/>
      <c r="DT446" s="162"/>
      <c r="DU446" s="162"/>
      <c r="DV446" s="162"/>
      <c r="DW446" s="162"/>
    </row>
    <row r="447" spans="1:127" ht="15" customHeight="1">
      <c r="A447" s="159"/>
      <c r="B447" s="160"/>
      <c r="C447" s="161"/>
      <c r="D447" s="162"/>
      <c r="E447" s="162"/>
      <c r="F447" s="162"/>
      <c r="G447" s="162"/>
      <c r="H447" s="162"/>
      <c r="I447" s="162"/>
      <c r="J447" s="162"/>
      <c r="K447" s="162"/>
      <c r="L447" s="162"/>
      <c r="M447" s="162"/>
      <c r="N447" s="161"/>
      <c r="O447" s="162"/>
      <c r="P447" s="162"/>
      <c r="Q447" s="162"/>
      <c r="R447" s="162"/>
      <c r="S447" s="161"/>
      <c r="T447" s="161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2"/>
      <c r="DC447" s="162"/>
      <c r="DD447" s="162"/>
      <c r="DE447" s="162"/>
      <c r="DF447" s="162"/>
      <c r="DG447" s="162"/>
      <c r="DH447" s="162"/>
      <c r="DI447" s="162"/>
      <c r="DJ447" s="162"/>
      <c r="DK447" s="162"/>
      <c r="DL447" s="162"/>
      <c r="DM447" s="162"/>
      <c r="DN447" s="162"/>
      <c r="DO447" s="162"/>
      <c r="DP447" s="162"/>
      <c r="DQ447" s="162"/>
      <c r="DR447" s="162"/>
      <c r="DS447" s="162"/>
      <c r="DT447" s="162"/>
      <c r="DU447" s="162"/>
      <c r="DV447" s="162"/>
      <c r="DW447" s="162"/>
    </row>
    <row r="448" spans="1:127" ht="15" customHeight="1">
      <c r="A448" s="159"/>
      <c r="B448" s="160"/>
      <c r="C448" s="161"/>
      <c r="D448" s="162"/>
      <c r="E448" s="162"/>
      <c r="F448" s="162"/>
      <c r="G448" s="162"/>
      <c r="H448" s="162"/>
      <c r="I448" s="162"/>
      <c r="J448" s="162"/>
      <c r="K448" s="162"/>
      <c r="L448" s="162"/>
      <c r="M448" s="162"/>
      <c r="N448" s="161"/>
      <c r="O448" s="162"/>
      <c r="P448" s="162"/>
      <c r="Q448" s="162"/>
      <c r="R448" s="162"/>
      <c r="S448" s="161"/>
      <c r="T448" s="161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2"/>
      <c r="DC448" s="162"/>
      <c r="DD448" s="162"/>
      <c r="DE448" s="162"/>
      <c r="DF448" s="162"/>
      <c r="DG448" s="162"/>
      <c r="DH448" s="162"/>
      <c r="DI448" s="162"/>
      <c r="DJ448" s="162"/>
      <c r="DK448" s="162"/>
      <c r="DL448" s="162"/>
      <c r="DM448" s="162"/>
      <c r="DN448" s="162"/>
      <c r="DO448" s="162"/>
      <c r="DP448" s="162"/>
      <c r="DQ448" s="162"/>
      <c r="DR448" s="162"/>
      <c r="DS448" s="162"/>
      <c r="DT448" s="162"/>
      <c r="DU448" s="162"/>
      <c r="DV448" s="162"/>
      <c r="DW448" s="162"/>
    </row>
    <row r="449" spans="1:127" ht="15" customHeight="1">
      <c r="A449" s="159"/>
      <c r="B449" s="160"/>
      <c r="C449" s="161"/>
      <c r="D449" s="162"/>
      <c r="E449" s="162"/>
      <c r="F449" s="162"/>
      <c r="G449" s="162"/>
      <c r="H449" s="162"/>
      <c r="I449" s="162"/>
      <c r="J449" s="162"/>
      <c r="K449" s="162"/>
      <c r="L449" s="162"/>
      <c r="M449" s="162"/>
      <c r="N449" s="161"/>
      <c r="O449" s="162"/>
      <c r="P449" s="162"/>
      <c r="Q449" s="162"/>
      <c r="R449" s="162"/>
      <c r="S449" s="161"/>
      <c r="T449" s="161"/>
      <c r="U449" s="163"/>
      <c r="V449" s="163"/>
      <c r="W449" s="163"/>
      <c r="X449" s="163"/>
      <c r="Y449" s="163"/>
      <c r="Z449" s="163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2"/>
      <c r="DC449" s="162"/>
      <c r="DD449" s="162"/>
      <c r="DE449" s="162"/>
      <c r="DF449" s="162"/>
      <c r="DG449" s="162"/>
      <c r="DH449" s="162"/>
      <c r="DI449" s="162"/>
      <c r="DJ449" s="162"/>
      <c r="DK449" s="162"/>
      <c r="DL449" s="162"/>
      <c r="DM449" s="162"/>
      <c r="DN449" s="162"/>
      <c r="DO449" s="162"/>
      <c r="DP449" s="162"/>
      <c r="DQ449" s="162"/>
      <c r="DR449" s="162"/>
      <c r="DS449" s="162"/>
      <c r="DT449" s="162"/>
      <c r="DU449" s="162"/>
      <c r="DV449" s="162"/>
      <c r="DW449" s="162"/>
    </row>
    <row r="450" spans="1:127" ht="15" customHeight="1">
      <c r="A450" s="159"/>
      <c r="B450" s="160"/>
      <c r="C450" s="161"/>
      <c r="D450" s="162"/>
      <c r="E450" s="162"/>
      <c r="F450" s="162"/>
      <c r="G450" s="162"/>
      <c r="H450" s="162"/>
      <c r="I450" s="162"/>
      <c r="J450" s="162"/>
      <c r="K450" s="162"/>
      <c r="L450" s="162"/>
      <c r="M450" s="162"/>
      <c r="N450" s="161"/>
      <c r="O450" s="162"/>
      <c r="P450" s="162"/>
      <c r="Q450" s="162"/>
      <c r="R450" s="162"/>
      <c r="S450" s="161"/>
      <c r="T450" s="161"/>
      <c r="U450" s="163"/>
      <c r="V450" s="163"/>
      <c r="W450" s="163"/>
      <c r="X450" s="163"/>
      <c r="Y450" s="163"/>
      <c r="Z450" s="163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2"/>
      <c r="DC450" s="162"/>
      <c r="DD450" s="162"/>
      <c r="DE450" s="162"/>
      <c r="DF450" s="162"/>
      <c r="DG450" s="162"/>
      <c r="DH450" s="162"/>
      <c r="DI450" s="162"/>
      <c r="DJ450" s="162"/>
      <c r="DK450" s="162"/>
      <c r="DL450" s="162"/>
      <c r="DM450" s="162"/>
      <c r="DN450" s="162"/>
      <c r="DO450" s="162"/>
      <c r="DP450" s="162"/>
      <c r="DQ450" s="162"/>
      <c r="DR450" s="162"/>
      <c r="DS450" s="162"/>
      <c r="DT450" s="162"/>
      <c r="DU450" s="162"/>
      <c r="DV450" s="162"/>
      <c r="DW450" s="162"/>
    </row>
    <row r="451" spans="1:127" ht="15" customHeight="1">
      <c r="A451" s="159"/>
      <c r="B451" s="160"/>
      <c r="C451" s="161"/>
      <c r="D451" s="162"/>
      <c r="E451" s="162"/>
      <c r="F451" s="162"/>
      <c r="G451" s="162"/>
      <c r="H451" s="162"/>
      <c r="I451" s="162"/>
      <c r="J451" s="162"/>
      <c r="K451" s="162"/>
      <c r="L451" s="162"/>
      <c r="M451" s="162"/>
      <c r="N451" s="161"/>
      <c r="O451" s="162"/>
      <c r="P451" s="162"/>
      <c r="Q451" s="162"/>
      <c r="R451" s="162"/>
      <c r="S451" s="161"/>
      <c r="T451" s="161"/>
      <c r="U451" s="163"/>
      <c r="V451" s="163"/>
      <c r="W451" s="163"/>
      <c r="X451" s="163"/>
      <c r="Y451" s="163"/>
      <c r="Z451" s="163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2"/>
      <c r="DC451" s="162"/>
      <c r="DD451" s="162"/>
      <c r="DE451" s="162"/>
      <c r="DF451" s="162"/>
      <c r="DG451" s="162"/>
      <c r="DH451" s="162"/>
      <c r="DI451" s="162"/>
      <c r="DJ451" s="162"/>
      <c r="DK451" s="162"/>
      <c r="DL451" s="162"/>
      <c r="DM451" s="162"/>
      <c r="DN451" s="162"/>
      <c r="DO451" s="162"/>
      <c r="DP451" s="162"/>
      <c r="DQ451" s="162"/>
      <c r="DR451" s="162"/>
      <c r="DS451" s="162"/>
      <c r="DT451" s="162"/>
      <c r="DU451" s="162"/>
      <c r="DV451" s="162"/>
      <c r="DW451" s="162"/>
    </row>
    <row r="452" spans="1:127" ht="15" customHeight="1">
      <c r="A452" s="159"/>
      <c r="B452" s="160"/>
      <c r="C452" s="161"/>
      <c r="D452" s="162"/>
      <c r="E452" s="162"/>
      <c r="F452" s="162"/>
      <c r="G452" s="162"/>
      <c r="H452" s="162"/>
      <c r="I452" s="162"/>
      <c r="J452" s="162"/>
      <c r="K452" s="162"/>
      <c r="L452" s="162"/>
      <c r="M452" s="162"/>
      <c r="N452" s="161"/>
      <c r="O452" s="162"/>
      <c r="P452" s="162"/>
      <c r="Q452" s="162"/>
      <c r="R452" s="162"/>
      <c r="S452" s="161"/>
      <c r="T452" s="161"/>
      <c r="U452" s="163"/>
      <c r="V452" s="163"/>
      <c r="W452" s="163"/>
      <c r="X452" s="163"/>
      <c r="Y452" s="163"/>
      <c r="Z452" s="163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2"/>
      <c r="DC452" s="162"/>
      <c r="DD452" s="162"/>
      <c r="DE452" s="162"/>
      <c r="DF452" s="162"/>
      <c r="DG452" s="162"/>
      <c r="DH452" s="162"/>
      <c r="DI452" s="162"/>
      <c r="DJ452" s="162"/>
      <c r="DK452" s="162"/>
      <c r="DL452" s="162"/>
      <c r="DM452" s="162"/>
      <c r="DN452" s="162"/>
      <c r="DO452" s="162"/>
      <c r="DP452" s="162"/>
      <c r="DQ452" s="162"/>
      <c r="DR452" s="162"/>
      <c r="DS452" s="162"/>
      <c r="DT452" s="162"/>
      <c r="DU452" s="162"/>
      <c r="DV452" s="162"/>
      <c r="DW452" s="162"/>
    </row>
    <row r="453" spans="1:127" ht="15" customHeight="1">
      <c r="A453" s="159"/>
      <c r="B453" s="160"/>
      <c r="C453" s="161"/>
      <c r="D453" s="162"/>
      <c r="E453" s="162"/>
      <c r="F453" s="162"/>
      <c r="G453" s="162"/>
      <c r="H453" s="162"/>
      <c r="I453" s="162"/>
      <c r="J453" s="162"/>
      <c r="K453" s="162"/>
      <c r="L453" s="162"/>
      <c r="M453" s="162"/>
      <c r="N453" s="161"/>
      <c r="O453" s="162"/>
      <c r="P453" s="162"/>
      <c r="Q453" s="162"/>
      <c r="R453" s="162"/>
      <c r="S453" s="161"/>
      <c r="T453" s="161"/>
      <c r="U453" s="163"/>
      <c r="V453" s="163"/>
      <c r="W453" s="163"/>
      <c r="X453" s="163"/>
      <c r="Y453" s="163"/>
      <c r="Z453" s="163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2"/>
      <c r="DC453" s="162"/>
      <c r="DD453" s="162"/>
      <c r="DE453" s="162"/>
      <c r="DF453" s="162"/>
      <c r="DG453" s="162"/>
      <c r="DH453" s="162"/>
      <c r="DI453" s="162"/>
      <c r="DJ453" s="162"/>
      <c r="DK453" s="162"/>
      <c r="DL453" s="162"/>
      <c r="DM453" s="162"/>
      <c r="DN453" s="162"/>
      <c r="DO453" s="162"/>
      <c r="DP453" s="162"/>
      <c r="DQ453" s="162"/>
      <c r="DR453" s="162"/>
      <c r="DS453" s="162"/>
      <c r="DT453" s="162"/>
      <c r="DU453" s="162"/>
      <c r="DV453" s="162"/>
      <c r="DW453" s="162"/>
    </row>
    <row r="454" spans="1:127" ht="15" customHeight="1">
      <c r="A454" s="159"/>
      <c r="B454" s="160"/>
      <c r="C454" s="161"/>
      <c r="D454" s="162"/>
      <c r="E454" s="162"/>
      <c r="F454" s="162"/>
      <c r="G454" s="162"/>
      <c r="H454" s="162"/>
      <c r="I454" s="162"/>
      <c r="J454" s="162"/>
      <c r="K454" s="162"/>
      <c r="L454" s="162"/>
      <c r="M454" s="162"/>
      <c r="N454" s="161"/>
      <c r="O454" s="162"/>
      <c r="P454" s="162"/>
      <c r="Q454" s="162"/>
      <c r="R454" s="162"/>
      <c r="S454" s="161"/>
      <c r="T454" s="161"/>
      <c r="U454" s="163"/>
      <c r="V454" s="163"/>
      <c r="W454" s="163"/>
      <c r="X454" s="163"/>
      <c r="Y454" s="163"/>
      <c r="Z454" s="163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2"/>
      <c r="DC454" s="162"/>
      <c r="DD454" s="162"/>
      <c r="DE454" s="162"/>
      <c r="DF454" s="162"/>
      <c r="DG454" s="162"/>
      <c r="DH454" s="162"/>
      <c r="DI454" s="162"/>
      <c r="DJ454" s="162"/>
      <c r="DK454" s="162"/>
      <c r="DL454" s="162"/>
      <c r="DM454" s="162"/>
      <c r="DN454" s="162"/>
      <c r="DO454" s="162"/>
      <c r="DP454" s="162"/>
      <c r="DQ454" s="162"/>
      <c r="DR454" s="162"/>
      <c r="DS454" s="162"/>
      <c r="DT454" s="162"/>
      <c r="DU454" s="162"/>
      <c r="DV454" s="162"/>
      <c r="DW454" s="162"/>
    </row>
    <row r="455" spans="1:127" ht="15" customHeight="1">
      <c r="A455" s="159"/>
      <c r="B455" s="160"/>
      <c r="C455" s="161"/>
      <c r="D455" s="162"/>
      <c r="E455" s="162"/>
      <c r="F455" s="162"/>
      <c r="G455" s="162"/>
      <c r="H455" s="162"/>
      <c r="I455" s="162"/>
      <c r="J455" s="162"/>
      <c r="K455" s="162"/>
      <c r="L455" s="162"/>
      <c r="M455" s="162"/>
      <c r="N455" s="161"/>
      <c r="O455" s="162"/>
      <c r="P455" s="162"/>
      <c r="Q455" s="162"/>
      <c r="R455" s="162"/>
      <c r="S455" s="161"/>
      <c r="T455" s="161"/>
      <c r="U455" s="163"/>
      <c r="V455" s="163"/>
      <c r="W455" s="163"/>
      <c r="X455" s="163"/>
      <c r="Y455" s="163"/>
      <c r="Z455" s="163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2"/>
      <c r="DC455" s="162"/>
      <c r="DD455" s="162"/>
      <c r="DE455" s="162"/>
      <c r="DF455" s="162"/>
      <c r="DG455" s="162"/>
      <c r="DH455" s="162"/>
      <c r="DI455" s="162"/>
      <c r="DJ455" s="162"/>
      <c r="DK455" s="162"/>
      <c r="DL455" s="162"/>
      <c r="DM455" s="162"/>
      <c r="DN455" s="162"/>
      <c r="DO455" s="162"/>
      <c r="DP455" s="162"/>
      <c r="DQ455" s="162"/>
      <c r="DR455" s="162"/>
      <c r="DS455" s="162"/>
      <c r="DT455" s="162"/>
      <c r="DU455" s="162"/>
      <c r="DV455" s="162"/>
      <c r="DW455" s="162"/>
    </row>
    <row r="456" spans="1:127" ht="15" customHeight="1">
      <c r="A456" s="159"/>
      <c r="B456" s="160"/>
      <c r="C456" s="161"/>
      <c r="D456" s="162"/>
      <c r="E456" s="162"/>
      <c r="F456" s="162"/>
      <c r="G456" s="162"/>
      <c r="H456" s="162"/>
      <c r="I456" s="162"/>
      <c r="J456" s="162"/>
      <c r="K456" s="162"/>
      <c r="L456" s="162"/>
      <c r="M456" s="162"/>
      <c r="N456" s="161"/>
      <c r="O456" s="162"/>
      <c r="P456" s="162"/>
      <c r="Q456" s="162"/>
      <c r="R456" s="162"/>
      <c r="S456" s="161"/>
      <c r="T456" s="161"/>
      <c r="U456" s="163"/>
      <c r="V456" s="163"/>
      <c r="W456" s="163"/>
      <c r="X456" s="163"/>
      <c r="Y456" s="163"/>
      <c r="Z456" s="163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2"/>
      <c r="DC456" s="162"/>
      <c r="DD456" s="162"/>
      <c r="DE456" s="162"/>
      <c r="DF456" s="162"/>
      <c r="DG456" s="162"/>
      <c r="DH456" s="162"/>
      <c r="DI456" s="162"/>
      <c r="DJ456" s="162"/>
      <c r="DK456" s="162"/>
      <c r="DL456" s="162"/>
      <c r="DM456" s="162"/>
      <c r="DN456" s="162"/>
      <c r="DO456" s="162"/>
      <c r="DP456" s="162"/>
      <c r="DQ456" s="162"/>
      <c r="DR456" s="162"/>
      <c r="DS456" s="162"/>
      <c r="DT456" s="162"/>
      <c r="DU456" s="162"/>
      <c r="DV456" s="162"/>
      <c r="DW456" s="162"/>
    </row>
    <row r="457" spans="1:127" ht="15" customHeight="1">
      <c r="A457" s="159"/>
      <c r="B457" s="160"/>
      <c r="C457" s="161"/>
      <c r="D457" s="162"/>
      <c r="E457" s="162"/>
      <c r="F457" s="162"/>
      <c r="G457" s="162"/>
      <c r="H457" s="162"/>
      <c r="I457" s="162"/>
      <c r="J457" s="162"/>
      <c r="K457" s="162"/>
      <c r="L457" s="162"/>
      <c r="M457" s="162"/>
      <c r="N457" s="161"/>
      <c r="O457" s="162"/>
      <c r="P457" s="162"/>
      <c r="Q457" s="162"/>
      <c r="R457" s="162"/>
      <c r="S457" s="161"/>
      <c r="T457" s="161"/>
      <c r="U457" s="163"/>
      <c r="V457" s="163"/>
      <c r="W457" s="163"/>
      <c r="X457" s="163"/>
      <c r="Y457" s="163"/>
      <c r="Z457" s="163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2"/>
      <c r="DC457" s="162"/>
      <c r="DD457" s="162"/>
      <c r="DE457" s="162"/>
      <c r="DF457" s="162"/>
      <c r="DG457" s="162"/>
      <c r="DH457" s="162"/>
      <c r="DI457" s="162"/>
      <c r="DJ457" s="162"/>
      <c r="DK457" s="162"/>
      <c r="DL457" s="162"/>
      <c r="DM457" s="162"/>
      <c r="DN457" s="162"/>
      <c r="DO457" s="162"/>
      <c r="DP457" s="162"/>
      <c r="DQ457" s="162"/>
      <c r="DR457" s="162"/>
      <c r="DS457" s="162"/>
      <c r="DT457" s="162"/>
      <c r="DU457" s="162"/>
      <c r="DV457" s="162"/>
      <c r="DW457" s="162"/>
    </row>
    <row r="458" spans="1:127" ht="15" customHeight="1">
      <c r="A458" s="159"/>
      <c r="B458" s="160"/>
      <c r="C458" s="161"/>
      <c r="D458" s="162"/>
      <c r="E458" s="162"/>
      <c r="F458" s="162"/>
      <c r="G458" s="162"/>
      <c r="H458" s="162"/>
      <c r="I458" s="162"/>
      <c r="J458" s="162"/>
      <c r="K458" s="162"/>
      <c r="L458" s="162"/>
      <c r="M458" s="162"/>
      <c r="N458" s="161"/>
      <c r="O458" s="162"/>
      <c r="P458" s="162"/>
      <c r="Q458" s="162"/>
      <c r="R458" s="162"/>
      <c r="S458" s="161"/>
      <c r="T458" s="161"/>
      <c r="U458" s="163"/>
      <c r="V458" s="163"/>
      <c r="W458" s="163"/>
      <c r="X458" s="163"/>
      <c r="Y458" s="163"/>
      <c r="Z458" s="163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2"/>
      <c r="DC458" s="162"/>
      <c r="DD458" s="162"/>
      <c r="DE458" s="162"/>
      <c r="DF458" s="162"/>
      <c r="DG458" s="162"/>
      <c r="DH458" s="162"/>
      <c r="DI458" s="162"/>
      <c r="DJ458" s="162"/>
      <c r="DK458" s="162"/>
      <c r="DL458" s="162"/>
      <c r="DM458" s="162"/>
      <c r="DN458" s="162"/>
      <c r="DO458" s="162"/>
      <c r="DP458" s="162"/>
      <c r="DQ458" s="162"/>
      <c r="DR458" s="162"/>
      <c r="DS458" s="162"/>
      <c r="DT458" s="162"/>
      <c r="DU458" s="162"/>
      <c r="DV458" s="162"/>
      <c r="DW458" s="162"/>
    </row>
    <row r="459" spans="1:127" ht="15" customHeight="1">
      <c r="A459" s="159"/>
      <c r="B459" s="160"/>
      <c r="C459" s="161"/>
      <c r="D459" s="162"/>
      <c r="E459" s="162"/>
      <c r="F459" s="162"/>
      <c r="G459" s="162"/>
      <c r="H459" s="162"/>
      <c r="I459" s="162"/>
      <c r="J459" s="162"/>
      <c r="K459" s="162"/>
      <c r="L459" s="162"/>
      <c r="M459" s="162"/>
      <c r="N459" s="161"/>
      <c r="O459" s="162"/>
      <c r="P459" s="162"/>
      <c r="Q459" s="162"/>
      <c r="R459" s="162"/>
      <c r="S459" s="161"/>
      <c r="T459" s="161"/>
      <c r="U459" s="163"/>
      <c r="V459" s="163"/>
      <c r="W459" s="163"/>
      <c r="X459" s="163"/>
      <c r="Y459" s="163"/>
      <c r="Z459" s="163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2"/>
      <c r="DC459" s="162"/>
      <c r="DD459" s="162"/>
      <c r="DE459" s="162"/>
      <c r="DF459" s="162"/>
      <c r="DG459" s="162"/>
      <c r="DH459" s="162"/>
      <c r="DI459" s="162"/>
      <c r="DJ459" s="162"/>
      <c r="DK459" s="162"/>
      <c r="DL459" s="162"/>
      <c r="DM459" s="162"/>
      <c r="DN459" s="162"/>
      <c r="DO459" s="162"/>
      <c r="DP459" s="162"/>
      <c r="DQ459" s="162"/>
      <c r="DR459" s="162"/>
      <c r="DS459" s="162"/>
      <c r="DT459" s="162"/>
      <c r="DU459" s="162"/>
      <c r="DV459" s="162"/>
      <c r="DW459" s="162"/>
    </row>
    <row r="460" spans="1:127" ht="15" customHeight="1">
      <c r="A460" s="159"/>
      <c r="B460" s="160"/>
      <c r="C460" s="161"/>
      <c r="D460" s="162"/>
      <c r="E460" s="162"/>
      <c r="F460" s="162"/>
      <c r="G460" s="162"/>
      <c r="H460" s="162"/>
      <c r="I460" s="162"/>
      <c r="J460" s="162"/>
      <c r="K460" s="162"/>
      <c r="L460" s="162"/>
      <c r="M460" s="162"/>
      <c r="N460" s="161"/>
      <c r="O460" s="162"/>
      <c r="P460" s="162"/>
      <c r="Q460" s="162"/>
      <c r="R460" s="162"/>
      <c r="S460" s="161"/>
      <c r="T460" s="161"/>
      <c r="U460" s="163"/>
      <c r="V460" s="163"/>
      <c r="W460" s="163"/>
      <c r="X460" s="163"/>
      <c r="Y460" s="163"/>
      <c r="Z460" s="163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2"/>
      <c r="DC460" s="162"/>
      <c r="DD460" s="162"/>
      <c r="DE460" s="162"/>
      <c r="DF460" s="162"/>
      <c r="DG460" s="162"/>
      <c r="DH460" s="162"/>
      <c r="DI460" s="162"/>
      <c r="DJ460" s="162"/>
      <c r="DK460" s="162"/>
      <c r="DL460" s="162"/>
      <c r="DM460" s="162"/>
      <c r="DN460" s="162"/>
      <c r="DO460" s="162"/>
      <c r="DP460" s="162"/>
      <c r="DQ460" s="162"/>
      <c r="DR460" s="162"/>
      <c r="DS460" s="162"/>
      <c r="DT460" s="162"/>
      <c r="DU460" s="162"/>
      <c r="DV460" s="162"/>
      <c r="DW460" s="162"/>
    </row>
    <row r="461" spans="1:127" ht="15" customHeight="1">
      <c r="A461" s="159"/>
      <c r="B461" s="160"/>
      <c r="C461" s="161"/>
      <c r="D461" s="162"/>
      <c r="E461" s="162"/>
      <c r="F461" s="162"/>
      <c r="G461" s="162"/>
      <c r="H461" s="162"/>
      <c r="I461" s="162"/>
      <c r="J461" s="162"/>
      <c r="K461" s="162"/>
      <c r="L461" s="162"/>
      <c r="M461" s="162"/>
      <c r="N461" s="161"/>
      <c r="O461" s="162"/>
      <c r="P461" s="162"/>
      <c r="Q461" s="162"/>
      <c r="R461" s="162"/>
      <c r="S461" s="161"/>
      <c r="T461" s="161"/>
      <c r="U461" s="163"/>
      <c r="V461" s="163"/>
      <c r="W461" s="163"/>
      <c r="X461" s="163"/>
      <c r="Y461" s="163"/>
      <c r="Z461" s="163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2"/>
      <c r="DC461" s="162"/>
      <c r="DD461" s="162"/>
      <c r="DE461" s="162"/>
      <c r="DF461" s="162"/>
      <c r="DG461" s="162"/>
      <c r="DH461" s="162"/>
      <c r="DI461" s="162"/>
      <c r="DJ461" s="162"/>
      <c r="DK461" s="162"/>
      <c r="DL461" s="162"/>
      <c r="DM461" s="162"/>
      <c r="DN461" s="162"/>
      <c r="DO461" s="162"/>
      <c r="DP461" s="162"/>
      <c r="DQ461" s="162"/>
      <c r="DR461" s="162"/>
      <c r="DS461" s="162"/>
      <c r="DT461" s="162"/>
      <c r="DU461" s="162"/>
      <c r="DV461" s="162"/>
      <c r="DW461" s="162"/>
    </row>
    <row r="462" spans="1:127" ht="15" customHeight="1">
      <c r="A462" s="159"/>
      <c r="B462" s="160"/>
      <c r="C462" s="161"/>
      <c r="D462" s="162"/>
      <c r="E462" s="162"/>
      <c r="F462" s="162"/>
      <c r="G462" s="162"/>
      <c r="H462" s="162"/>
      <c r="I462" s="162"/>
      <c r="J462" s="162"/>
      <c r="K462" s="162"/>
      <c r="L462" s="162"/>
      <c r="M462" s="162"/>
      <c r="N462" s="161"/>
      <c r="O462" s="162"/>
      <c r="P462" s="162"/>
      <c r="Q462" s="162"/>
      <c r="R462" s="162"/>
      <c r="S462" s="161"/>
      <c r="T462" s="161"/>
      <c r="U462" s="163"/>
      <c r="V462" s="163"/>
      <c r="W462" s="163"/>
      <c r="X462" s="163"/>
      <c r="Y462" s="163"/>
      <c r="Z462" s="163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2"/>
      <c r="DC462" s="162"/>
      <c r="DD462" s="162"/>
      <c r="DE462" s="162"/>
      <c r="DF462" s="162"/>
      <c r="DG462" s="162"/>
      <c r="DH462" s="162"/>
      <c r="DI462" s="162"/>
      <c r="DJ462" s="162"/>
      <c r="DK462" s="162"/>
      <c r="DL462" s="162"/>
      <c r="DM462" s="162"/>
      <c r="DN462" s="162"/>
      <c r="DO462" s="162"/>
      <c r="DP462" s="162"/>
      <c r="DQ462" s="162"/>
      <c r="DR462" s="162"/>
      <c r="DS462" s="162"/>
      <c r="DT462" s="162"/>
      <c r="DU462" s="162"/>
      <c r="DV462" s="162"/>
      <c r="DW462" s="162"/>
    </row>
    <row r="463" spans="1:127" ht="15" customHeight="1">
      <c r="A463" s="159"/>
      <c r="B463" s="160"/>
      <c r="C463" s="161"/>
      <c r="D463" s="162"/>
      <c r="E463" s="162"/>
      <c r="F463" s="162"/>
      <c r="G463" s="162"/>
      <c r="H463" s="162"/>
      <c r="I463" s="162"/>
      <c r="J463" s="162"/>
      <c r="K463" s="162"/>
      <c r="L463" s="162"/>
      <c r="M463" s="162"/>
      <c r="N463" s="161"/>
      <c r="O463" s="162"/>
      <c r="P463" s="162"/>
      <c r="Q463" s="162"/>
      <c r="R463" s="162"/>
      <c r="S463" s="161"/>
      <c r="T463" s="161"/>
      <c r="U463" s="163"/>
      <c r="V463" s="163"/>
      <c r="W463" s="163"/>
      <c r="X463" s="163"/>
      <c r="Y463" s="163"/>
      <c r="Z463" s="163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2"/>
      <c r="DC463" s="162"/>
      <c r="DD463" s="162"/>
      <c r="DE463" s="162"/>
      <c r="DF463" s="162"/>
      <c r="DG463" s="162"/>
      <c r="DH463" s="162"/>
      <c r="DI463" s="162"/>
      <c r="DJ463" s="162"/>
      <c r="DK463" s="162"/>
      <c r="DL463" s="162"/>
      <c r="DM463" s="162"/>
      <c r="DN463" s="162"/>
      <c r="DO463" s="162"/>
      <c r="DP463" s="162"/>
      <c r="DQ463" s="162"/>
      <c r="DR463" s="162"/>
      <c r="DS463" s="162"/>
      <c r="DT463" s="162"/>
      <c r="DU463" s="162"/>
      <c r="DV463" s="162"/>
      <c r="DW463" s="162"/>
    </row>
    <row r="464" spans="1:127" ht="15" customHeight="1">
      <c r="A464" s="159"/>
      <c r="B464" s="160"/>
      <c r="C464" s="161"/>
      <c r="D464" s="162"/>
      <c r="E464" s="162"/>
      <c r="F464" s="162"/>
      <c r="G464" s="162"/>
      <c r="H464" s="162"/>
      <c r="I464" s="162"/>
      <c r="J464" s="162"/>
      <c r="K464" s="162"/>
      <c r="L464" s="162"/>
      <c r="M464" s="162"/>
      <c r="N464" s="161"/>
      <c r="O464" s="162"/>
      <c r="P464" s="162"/>
      <c r="Q464" s="162"/>
      <c r="R464" s="162"/>
      <c r="S464" s="161"/>
      <c r="T464" s="161"/>
      <c r="U464" s="163"/>
      <c r="V464" s="163"/>
      <c r="W464" s="163"/>
      <c r="X464" s="163"/>
      <c r="Y464" s="163"/>
      <c r="Z464" s="163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2"/>
      <c r="DC464" s="162"/>
      <c r="DD464" s="162"/>
      <c r="DE464" s="162"/>
      <c r="DF464" s="162"/>
      <c r="DG464" s="162"/>
      <c r="DH464" s="162"/>
      <c r="DI464" s="162"/>
      <c r="DJ464" s="162"/>
      <c r="DK464" s="162"/>
      <c r="DL464" s="162"/>
      <c r="DM464" s="162"/>
      <c r="DN464" s="162"/>
      <c r="DO464" s="162"/>
      <c r="DP464" s="162"/>
      <c r="DQ464" s="162"/>
      <c r="DR464" s="162"/>
      <c r="DS464" s="162"/>
      <c r="DT464" s="162"/>
      <c r="DU464" s="162"/>
      <c r="DV464" s="162"/>
      <c r="DW464" s="162"/>
    </row>
    <row r="465" spans="1:127" ht="15" customHeight="1">
      <c r="A465" s="159"/>
      <c r="B465" s="160"/>
      <c r="C465" s="161"/>
      <c r="D465" s="162"/>
      <c r="E465" s="162"/>
      <c r="F465" s="162"/>
      <c r="G465" s="162"/>
      <c r="H465" s="162"/>
      <c r="I465" s="162"/>
      <c r="J465" s="162"/>
      <c r="K465" s="162"/>
      <c r="L465" s="162"/>
      <c r="M465" s="162"/>
      <c r="N465" s="161"/>
      <c r="O465" s="162"/>
      <c r="P465" s="162"/>
      <c r="Q465" s="162"/>
      <c r="R465" s="162"/>
      <c r="S465" s="161"/>
      <c r="T465" s="161"/>
      <c r="U465" s="163"/>
      <c r="V465" s="163"/>
      <c r="W465" s="163"/>
      <c r="X465" s="163"/>
      <c r="Y465" s="163"/>
      <c r="Z465" s="163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2"/>
      <c r="DC465" s="162"/>
      <c r="DD465" s="162"/>
      <c r="DE465" s="162"/>
      <c r="DF465" s="162"/>
      <c r="DG465" s="162"/>
      <c r="DH465" s="162"/>
      <c r="DI465" s="162"/>
      <c r="DJ465" s="162"/>
      <c r="DK465" s="162"/>
      <c r="DL465" s="162"/>
      <c r="DM465" s="162"/>
      <c r="DN465" s="162"/>
      <c r="DO465" s="162"/>
      <c r="DP465" s="162"/>
      <c r="DQ465" s="162"/>
      <c r="DR465" s="162"/>
      <c r="DS465" s="162"/>
      <c r="DT465" s="162"/>
      <c r="DU465" s="162"/>
      <c r="DV465" s="162"/>
      <c r="DW465" s="162"/>
    </row>
    <row r="466" spans="1:127" ht="15" customHeight="1">
      <c r="A466" s="159"/>
      <c r="B466" s="160"/>
      <c r="C466" s="161"/>
      <c r="D466" s="162"/>
      <c r="E466" s="162"/>
      <c r="F466" s="162"/>
      <c r="G466" s="162"/>
      <c r="H466" s="162"/>
      <c r="I466" s="162"/>
      <c r="J466" s="162"/>
      <c r="K466" s="162"/>
      <c r="L466" s="162"/>
      <c r="M466" s="162"/>
      <c r="N466" s="161"/>
      <c r="O466" s="162"/>
      <c r="P466" s="162"/>
      <c r="Q466" s="162"/>
      <c r="R466" s="162"/>
      <c r="S466" s="161"/>
      <c r="T466" s="161"/>
      <c r="U466" s="163"/>
      <c r="V466" s="163"/>
      <c r="W466" s="163"/>
      <c r="X466" s="163"/>
      <c r="Y466" s="163"/>
      <c r="Z466" s="163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2"/>
      <c r="DC466" s="162"/>
      <c r="DD466" s="162"/>
      <c r="DE466" s="162"/>
      <c r="DF466" s="162"/>
      <c r="DG466" s="162"/>
      <c r="DH466" s="162"/>
      <c r="DI466" s="162"/>
      <c r="DJ466" s="162"/>
      <c r="DK466" s="162"/>
      <c r="DL466" s="162"/>
      <c r="DM466" s="162"/>
      <c r="DN466" s="162"/>
      <c r="DO466" s="162"/>
      <c r="DP466" s="162"/>
      <c r="DQ466" s="162"/>
      <c r="DR466" s="162"/>
      <c r="DS466" s="162"/>
      <c r="DT466" s="162"/>
      <c r="DU466" s="162"/>
      <c r="DV466" s="162"/>
      <c r="DW466" s="162"/>
    </row>
    <row r="467" spans="1:127" ht="15" customHeight="1">
      <c r="A467" s="159"/>
      <c r="B467" s="160"/>
      <c r="C467" s="161"/>
      <c r="D467" s="162"/>
      <c r="E467" s="162"/>
      <c r="F467" s="162"/>
      <c r="G467" s="162"/>
      <c r="H467" s="162"/>
      <c r="I467" s="162"/>
      <c r="J467" s="162"/>
      <c r="K467" s="162"/>
      <c r="L467" s="162"/>
      <c r="M467" s="162"/>
      <c r="N467" s="161"/>
      <c r="O467" s="162"/>
      <c r="P467" s="162"/>
      <c r="Q467" s="162"/>
      <c r="R467" s="162"/>
      <c r="S467" s="161"/>
      <c r="T467" s="161"/>
      <c r="U467" s="163"/>
      <c r="V467" s="163"/>
      <c r="W467" s="163"/>
      <c r="X467" s="163"/>
      <c r="Y467" s="163"/>
      <c r="Z467" s="163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2"/>
      <c r="DC467" s="162"/>
      <c r="DD467" s="162"/>
      <c r="DE467" s="162"/>
      <c r="DF467" s="162"/>
      <c r="DG467" s="162"/>
      <c r="DH467" s="162"/>
      <c r="DI467" s="162"/>
      <c r="DJ467" s="162"/>
      <c r="DK467" s="162"/>
      <c r="DL467" s="162"/>
      <c r="DM467" s="162"/>
      <c r="DN467" s="162"/>
      <c r="DO467" s="162"/>
      <c r="DP467" s="162"/>
      <c r="DQ467" s="162"/>
      <c r="DR467" s="162"/>
      <c r="DS467" s="162"/>
      <c r="DT467" s="162"/>
      <c r="DU467" s="162"/>
      <c r="DV467" s="162"/>
      <c r="DW467" s="162"/>
    </row>
    <row r="468" spans="1:127" ht="15" customHeight="1">
      <c r="A468" s="159"/>
      <c r="B468" s="160"/>
      <c r="C468" s="161"/>
      <c r="D468" s="162"/>
      <c r="E468" s="162"/>
      <c r="F468" s="162"/>
      <c r="G468" s="162"/>
      <c r="H468" s="162"/>
      <c r="I468" s="162"/>
      <c r="J468" s="162"/>
      <c r="K468" s="162"/>
      <c r="L468" s="162"/>
      <c r="M468" s="162"/>
      <c r="N468" s="161"/>
      <c r="O468" s="162"/>
      <c r="P468" s="162"/>
      <c r="Q468" s="162"/>
      <c r="R468" s="162"/>
      <c r="S468" s="161"/>
      <c r="T468" s="161"/>
      <c r="U468" s="163"/>
      <c r="V468" s="163"/>
      <c r="W468" s="163"/>
      <c r="X468" s="163"/>
      <c r="Y468" s="163"/>
      <c r="Z468" s="163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2"/>
      <c r="DC468" s="162"/>
      <c r="DD468" s="162"/>
      <c r="DE468" s="162"/>
      <c r="DF468" s="162"/>
      <c r="DG468" s="162"/>
      <c r="DH468" s="162"/>
      <c r="DI468" s="162"/>
      <c r="DJ468" s="162"/>
      <c r="DK468" s="162"/>
      <c r="DL468" s="162"/>
      <c r="DM468" s="162"/>
      <c r="DN468" s="162"/>
      <c r="DO468" s="162"/>
      <c r="DP468" s="162"/>
      <c r="DQ468" s="162"/>
      <c r="DR468" s="162"/>
      <c r="DS468" s="162"/>
      <c r="DT468" s="162"/>
      <c r="DU468" s="162"/>
      <c r="DV468" s="162"/>
      <c r="DW468" s="162"/>
    </row>
    <row r="469" spans="1:127" ht="15" customHeight="1">
      <c r="A469" s="159"/>
      <c r="B469" s="160"/>
      <c r="C469" s="161"/>
      <c r="D469" s="162"/>
      <c r="E469" s="162"/>
      <c r="F469" s="162"/>
      <c r="G469" s="162"/>
      <c r="H469" s="162"/>
      <c r="I469" s="162"/>
      <c r="J469" s="162"/>
      <c r="K469" s="162"/>
      <c r="L469" s="162"/>
      <c r="M469" s="162"/>
      <c r="N469" s="161"/>
      <c r="O469" s="162"/>
      <c r="P469" s="162"/>
      <c r="Q469" s="162"/>
      <c r="R469" s="162"/>
      <c r="S469" s="161"/>
      <c r="T469" s="161"/>
      <c r="U469" s="163"/>
      <c r="V469" s="163"/>
      <c r="W469" s="163"/>
      <c r="X469" s="163"/>
      <c r="Y469" s="163"/>
      <c r="Z469" s="163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2"/>
      <c r="DC469" s="162"/>
      <c r="DD469" s="162"/>
      <c r="DE469" s="162"/>
      <c r="DF469" s="162"/>
      <c r="DG469" s="162"/>
      <c r="DH469" s="162"/>
      <c r="DI469" s="162"/>
      <c r="DJ469" s="162"/>
      <c r="DK469" s="162"/>
      <c r="DL469" s="162"/>
      <c r="DM469" s="162"/>
      <c r="DN469" s="162"/>
      <c r="DO469" s="162"/>
      <c r="DP469" s="162"/>
      <c r="DQ469" s="162"/>
      <c r="DR469" s="162"/>
      <c r="DS469" s="162"/>
      <c r="DT469" s="162"/>
      <c r="DU469" s="162"/>
      <c r="DV469" s="162"/>
      <c r="DW469" s="162"/>
    </row>
    <row r="470" spans="1:127" ht="15" customHeight="1">
      <c r="A470" s="159"/>
      <c r="B470" s="160"/>
      <c r="C470" s="161"/>
      <c r="D470" s="162"/>
      <c r="E470" s="162"/>
      <c r="F470" s="162"/>
      <c r="G470" s="162"/>
      <c r="H470" s="162"/>
      <c r="I470" s="162"/>
      <c r="J470" s="162"/>
      <c r="K470" s="162"/>
      <c r="L470" s="162"/>
      <c r="M470" s="162"/>
      <c r="N470" s="161"/>
      <c r="O470" s="162"/>
      <c r="P470" s="162"/>
      <c r="Q470" s="162"/>
      <c r="R470" s="162"/>
      <c r="S470" s="161"/>
      <c r="T470" s="161"/>
      <c r="U470" s="163"/>
      <c r="V470" s="163"/>
      <c r="W470" s="163"/>
      <c r="X470" s="163"/>
      <c r="Y470" s="163"/>
      <c r="Z470" s="163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2"/>
      <c r="DC470" s="162"/>
      <c r="DD470" s="162"/>
      <c r="DE470" s="162"/>
      <c r="DF470" s="162"/>
      <c r="DG470" s="162"/>
      <c r="DH470" s="162"/>
      <c r="DI470" s="162"/>
      <c r="DJ470" s="162"/>
      <c r="DK470" s="162"/>
      <c r="DL470" s="162"/>
      <c r="DM470" s="162"/>
      <c r="DN470" s="162"/>
      <c r="DO470" s="162"/>
      <c r="DP470" s="162"/>
      <c r="DQ470" s="162"/>
      <c r="DR470" s="162"/>
      <c r="DS470" s="162"/>
      <c r="DT470" s="162"/>
      <c r="DU470" s="162"/>
      <c r="DV470" s="162"/>
      <c r="DW470" s="162"/>
    </row>
    <row r="471" spans="1:127" ht="15" customHeight="1">
      <c r="A471" s="159"/>
      <c r="B471" s="160"/>
      <c r="C471" s="161"/>
      <c r="D471" s="162"/>
      <c r="E471" s="162"/>
      <c r="F471" s="162"/>
      <c r="G471" s="162"/>
      <c r="H471" s="162"/>
      <c r="I471" s="162"/>
      <c r="J471" s="162"/>
      <c r="K471" s="162"/>
      <c r="L471" s="162"/>
      <c r="M471" s="162"/>
      <c r="N471" s="161"/>
      <c r="O471" s="162"/>
      <c r="P471" s="162"/>
      <c r="Q471" s="162"/>
      <c r="R471" s="162"/>
      <c r="S471" s="161"/>
      <c r="T471" s="161"/>
      <c r="U471" s="163"/>
      <c r="V471" s="163"/>
      <c r="W471" s="163"/>
      <c r="X471" s="163"/>
      <c r="Y471" s="163"/>
      <c r="Z471" s="163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2"/>
      <c r="DC471" s="162"/>
      <c r="DD471" s="162"/>
      <c r="DE471" s="162"/>
      <c r="DF471" s="162"/>
      <c r="DG471" s="162"/>
      <c r="DH471" s="162"/>
      <c r="DI471" s="162"/>
      <c r="DJ471" s="162"/>
      <c r="DK471" s="162"/>
      <c r="DL471" s="162"/>
      <c r="DM471" s="162"/>
      <c r="DN471" s="162"/>
      <c r="DO471" s="162"/>
      <c r="DP471" s="162"/>
      <c r="DQ471" s="162"/>
      <c r="DR471" s="162"/>
      <c r="DS471" s="162"/>
      <c r="DT471" s="162"/>
      <c r="DU471" s="162"/>
      <c r="DV471" s="162"/>
      <c r="DW471" s="162"/>
    </row>
    <row r="472" spans="1:127" ht="15" customHeight="1">
      <c r="A472" s="159"/>
      <c r="B472" s="160"/>
      <c r="C472" s="161"/>
      <c r="D472" s="162"/>
      <c r="E472" s="162"/>
      <c r="F472" s="162"/>
      <c r="G472" s="162"/>
      <c r="H472" s="162"/>
      <c r="I472" s="162"/>
      <c r="J472" s="162"/>
      <c r="K472" s="162"/>
      <c r="L472" s="162"/>
      <c r="M472" s="162"/>
      <c r="N472" s="161"/>
      <c r="O472" s="162"/>
      <c r="P472" s="162"/>
      <c r="Q472" s="162"/>
      <c r="R472" s="162"/>
      <c r="S472" s="161"/>
      <c r="T472" s="161"/>
      <c r="U472" s="163"/>
      <c r="V472" s="163"/>
      <c r="W472" s="163"/>
      <c r="X472" s="163"/>
      <c r="Y472" s="163"/>
      <c r="Z472" s="163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2"/>
      <c r="DC472" s="162"/>
      <c r="DD472" s="162"/>
      <c r="DE472" s="162"/>
      <c r="DF472" s="162"/>
      <c r="DG472" s="162"/>
      <c r="DH472" s="162"/>
      <c r="DI472" s="162"/>
      <c r="DJ472" s="162"/>
      <c r="DK472" s="162"/>
      <c r="DL472" s="162"/>
      <c r="DM472" s="162"/>
      <c r="DN472" s="162"/>
      <c r="DO472" s="162"/>
      <c r="DP472" s="162"/>
      <c r="DQ472" s="162"/>
      <c r="DR472" s="162"/>
      <c r="DS472" s="162"/>
      <c r="DT472" s="162"/>
      <c r="DU472" s="162"/>
      <c r="DV472" s="162"/>
      <c r="DW472" s="162"/>
    </row>
    <row r="473" spans="1:127" ht="15" customHeight="1">
      <c r="A473" s="159"/>
      <c r="B473" s="160"/>
      <c r="C473" s="161"/>
      <c r="D473" s="162"/>
      <c r="E473" s="162"/>
      <c r="F473" s="162"/>
      <c r="G473" s="162"/>
      <c r="H473" s="162"/>
      <c r="I473" s="162"/>
      <c r="J473" s="162"/>
      <c r="K473" s="162"/>
      <c r="L473" s="162"/>
      <c r="M473" s="162"/>
      <c r="N473" s="161"/>
      <c r="O473" s="162"/>
      <c r="P473" s="162"/>
      <c r="Q473" s="162"/>
      <c r="R473" s="162"/>
      <c r="S473" s="161"/>
      <c r="T473" s="161"/>
      <c r="U473" s="163"/>
      <c r="V473" s="163"/>
      <c r="W473" s="163"/>
      <c r="X473" s="163"/>
      <c r="Y473" s="163"/>
      <c r="Z473" s="163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2"/>
      <c r="DC473" s="162"/>
      <c r="DD473" s="162"/>
      <c r="DE473" s="162"/>
      <c r="DF473" s="162"/>
      <c r="DG473" s="162"/>
      <c r="DH473" s="162"/>
      <c r="DI473" s="162"/>
      <c r="DJ473" s="162"/>
      <c r="DK473" s="162"/>
      <c r="DL473" s="162"/>
      <c r="DM473" s="162"/>
      <c r="DN473" s="162"/>
      <c r="DO473" s="162"/>
      <c r="DP473" s="162"/>
      <c r="DQ473" s="162"/>
      <c r="DR473" s="162"/>
      <c r="DS473" s="162"/>
      <c r="DT473" s="162"/>
      <c r="DU473" s="162"/>
      <c r="DV473" s="162"/>
      <c r="DW473" s="162"/>
    </row>
    <row r="474" spans="1:127" ht="15" customHeight="1">
      <c r="A474" s="159"/>
      <c r="B474" s="160"/>
      <c r="C474" s="161"/>
      <c r="D474" s="162"/>
      <c r="E474" s="162"/>
      <c r="F474" s="162"/>
      <c r="G474" s="162"/>
      <c r="H474" s="162"/>
      <c r="I474" s="162"/>
      <c r="J474" s="162"/>
      <c r="K474" s="162"/>
      <c r="L474" s="162"/>
      <c r="M474" s="162"/>
      <c r="N474" s="161"/>
      <c r="O474" s="162"/>
      <c r="P474" s="162"/>
      <c r="Q474" s="162"/>
      <c r="R474" s="162"/>
      <c r="S474" s="161"/>
      <c r="T474" s="161"/>
      <c r="U474" s="163"/>
      <c r="V474" s="163"/>
      <c r="W474" s="163"/>
      <c r="X474" s="163"/>
      <c r="Y474" s="163"/>
      <c r="Z474" s="163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2"/>
      <c r="DC474" s="162"/>
      <c r="DD474" s="162"/>
      <c r="DE474" s="162"/>
      <c r="DF474" s="162"/>
      <c r="DG474" s="162"/>
      <c r="DH474" s="162"/>
      <c r="DI474" s="162"/>
      <c r="DJ474" s="162"/>
      <c r="DK474" s="162"/>
      <c r="DL474" s="162"/>
      <c r="DM474" s="162"/>
      <c r="DN474" s="162"/>
      <c r="DO474" s="162"/>
      <c r="DP474" s="162"/>
      <c r="DQ474" s="162"/>
      <c r="DR474" s="162"/>
      <c r="DS474" s="162"/>
      <c r="DT474" s="162"/>
      <c r="DU474" s="162"/>
      <c r="DV474" s="162"/>
      <c r="DW474" s="162"/>
    </row>
    <row r="475" spans="1:127" ht="15" customHeight="1">
      <c r="A475" s="159"/>
      <c r="B475" s="160"/>
      <c r="C475" s="161"/>
      <c r="D475" s="162"/>
      <c r="E475" s="162"/>
      <c r="F475" s="162"/>
      <c r="G475" s="162"/>
      <c r="H475" s="162"/>
      <c r="I475" s="162"/>
      <c r="J475" s="162"/>
      <c r="K475" s="162"/>
      <c r="L475" s="162"/>
      <c r="M475" s="162"/>
      <c r="N475" s="161"/>
      <c r="O475" s="162"/>
      <c r="P475" s="162"/>
      <c r="Q475" s="162"/>
      <c r="R475" s="162"/>
      <c r="S475" s="161"/>
      <c r="T475" s="161"/>
      <c r="U475" s="163"/>
      <c r="V475" s="163"/>
      <c r="W475" s="163"/>
      <c r="X475" s="163"/>
      <c r="Y475" s="163"/>
      <c r="Z475" s="163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2"/>
      <c r="DC475" s="162"/>
      <c r="DD475" s="162"/>
      <c r="DE475" s="162"/>
      <c r="DF475" s="162"/>
      <c r="DG475" s="162"/>
      <c r="DH475" s="162"/>
      <c r="DI475" s="162"/>
      <c r="DJ475" s="162"/>
      <c r="DK475" s="162"/>
      <c r="DL475" s="162"/>
      <c r="DM475" s="162"/>
      <c r="DN475" s="162"/>
      <c r="DO475" s="162"/>
      <c r="DP475" s="162"/>
      <c r="DQ475" s="162"/>
      <c r="DR475" s="162"/>
      <c r="DS475" s="162"/>
      <c r="DT475" s="162"/>
      <c r="DU475" s="162"/>
      <c r="DV475" s="162"/>
      <c r="DW475" s="162"/>
    </row>
    <row r="476" spans="1:127" ht="15" customHeight="1">
      <c r="A476" s="159"/>
      <c r="B476" s="160"/>
      <c r="C476" s="161"/>
      <c r="D476" s="162"/>
      <c r="E476" s="162"/>
      <c r="F476" s="162"/>
      <c r="G476" s="162"/>
      <c r="H476" s="162"/>
      <c r="I476" s="162"/>
      <c r="J476" s="162"/>
      <c r="K476" s="162"/>
      <c r="L476" s="162"/>
      <c r="M476" s="162"/>
      <c r="N476" s="161"/>
      <c r="O476" s="162"/>
      <c r="P476" s="162"/>
      <c r="Q476" s="162"/>
      <c r="R476" s="162"/>
      <c r="S476" s="161"/>
      <c r="T476" s="161"/>
      <c r="U476" s="163"/>
      <c r="V476" s="163"/>
      <c r="W476" s="163"/>
      <c r="X476" s="163"/>
      <c r="Y476" s="163"/>
      <c r="Z476" s="163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2"/>
      <c r="DC476" s="162"/>
      <c r="DD476" s="162"/>
      <c r="DE476" s="162"/>
      <c r="DF476" s="162"/>
      <c r="DG476" s="162"/>
      <c r="DH476" s="162"/>
      <c r="DI476" s="162"/>
      <c r="DJ476" s="162"/>
      <c r="DK476" s="162"/>
      <c r="DL476" s="162"/>
      <c r="DM476" s="162"/>
      <c r="DN476" s="162"/>
      <c r="DO476" s="162"/>
      <c r="DP476" s="162"/>
      <c r="DQ476" s="162"/>
      <c r="DR476" s="162"/>
      <c r="DS476" s="162"/>
      <c r="DT476" s="162"/>
      <c r="DU476" s="162"/>
      <c r="DV476" s="162"/>
      <c r="DW476" s="162"/>
    </row>
    <row r="477" spans="1:127" ht="15" customHeight="1">
      <c r="A477" s="159"/>
      <c r="B477" s="160"/>
      <c r="C477" s="161"/>
      <c r="D477" s="162"/>
      <c r="E477" s="162"/>
      <c r="F477" s="162"/>
      <c r="G477" s="162"/>
      <c r="H477" s="162"/>
      <c r="I477" s="162"/>
      <c r="J477" s="162"/>
      <c r="K477" s="162"/>
      <c r="L477" s="162"/>
      <c r="M477" s="162"/>
      <c r="N477" s="161"/>
      <c r="O477" s="162"/>
      <c r="P477" s="162"/>
      <c r="Q477" s="162"/>
      <c r="R477" s="162"/>
      <c r="S477" s="161"/>
      <c r="T477" s="161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2"/>
      <c r="DC477" s="162"/>
      <c r="DD477" s="162"/>
      <c r="DE477" s="162"/>
      <c r="DF477" s="162"/>
      <c r="DG477" s="162"/>
      <c r="DH477" s="162"/>
      <c r="DI477" s="162"/>
      <c r="DJ477" s="162"/>
      <c r="DK477" s="162"/>
      <c r="DL477" s="162"/>
      <c r="DM477" s="162"/>
      <c r="DN477" s="162"/>
      <c r="DO477" s="162"/>
      <c r="DP477" s="162"/>
      <c r="DQ477" s="162"/>
      <c r="DR477" s="162"/>
      <c r="DS477" s="162"/>
      <c r="DT477" s="162"/>
      <c r="DU477" s="162"/>
      <c r="DV477" s="162"/>
      <c r="DW477" s="162"/>
    </row>
    <row r="478" spans="1:127" ht="15" customHeight="1">
      <c r="A478" s="159"/>
      <c r="B478" s="160"/>
      <c r="C478" s="161"/>
      <c r="D478" s="162"/>
      <c r="E478" s="162"/>
      <c r="F478" s="162"/>
      <c r="G478" s="162"/>
      <c r="H478" s="162"/>
      <c r="I478" s="162"/>
      <c r="J478" s="162"/>
      <c r="K478" s="162"/>
      <c r="L478" s="162"/>
      <c r="M478" s="162"/>
      <c r="N478" s="161"/>
      <c r="O478" s="162"/>
      <c r="P478" s="162"/>
      <c r="Q478" s="162"/>
      <c r="R478" s="162"/>
      <c r="S478" s="161"/>
      <c r="T478" s="161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2"/>
      <c r="DC478" s="162"/>
      <c r="DD478" s="162"/>
      <c r="DE478" s="162"/>
      <c r="DF478" s="162"/>
      <c r="DG478" s="162"/>
      <c r="DH478" s="162"/>
      <c r="DI478" s="162"/>
      <c r="DJ478" s="162"/>
      <c r="DK478" s="162"/>
      <c r="DL478" s="162"/>
      <c r="DM478" s="162"/>
      <c r="DN478" s="162"/>
      <c r="DO478" s="162"/>
      <c r="DP478" s="162"/>
      <c r="DQ478" s="162"/>
      <c r="DR478" s="162"/>
      <c r="DS478" s="162"/>
      <c r="DT478" s="162"/>
      <c r="DU478" s="162"/>
      <c r="DV478" s="162"/>
      <c r="DW478" s="162"/>
    </row>
    <row r="479" spans="1:127" ht="15" customHeight="1">
      <c r="A479" s="159"/>
      <c r="B479" s="160"/>
      <c r="C479" s="161"/>
      <c r="D479" s="162"/>
      <c r="E479" s="162"/>
      <c r="F479" s="162"/>
      <c r="G479" s="162"/>
      <c r="H479" s="162"/>
      <c r="I479" s="162"/>
      <c r="J479" s="162"/>
      <c r="K479" s="162"/>
      <c r="L479" s="162"/>
      <c r="M479" s="162"/>
      <c r="N479" s="161"/>
      <c r="O479" s="162"/>
      <c r="P479" s="162"/>
      <c r="Q479" s="162"/>
      <c r="R479" s="162"/>
      <c r="S479" s="161"/>
      <c r="T479" s="161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2"/>
      <c r="DC479" s="162"/>
      <c r="DD479" s="162"/>
      <c r="DE479" s="162"/>
      <c r="DF479" s="162"/>
      <c r="DG479" s="162"/>
      <c r="DH479" s="162"/>
      <c r="DI479" s="162"/>
      <c r="DJ479" s="162"/>
      <c r="DK479" s="162"/>
      <c r="DL479" s="162"/>
      <c r="DM479" s="162"/>
      <c r="DN479" s="162"/>
      <c r="DO479" s="162"/>
      <c r="DP479" s="162"/>
      <c r="DQ479" s="162"/>
      <c r="DR479" s="162"/>
      <c r="DS479" s="162"/>
      <c r="DT479" s="162"/>
      <c r="DU479" s="162"/>
      <c r="DV479" s="162"/>
      <c r="DW479" s="162"/>
    </row>
    <row r="480" spans="1:127" ht="15" customHeight="1">
      <c r="A480" s="159"/>
      <c r="B480" s="160"/>
      <c r="C480" s="161"/>
      <c r="D480" s="162"/>
      <c r="E480" s="162"/>
      <c r="F480" s="162"/>
      <c r="G480" s="162"/>
      <c r="H480" s="162"/>
      <c r="I480" s="162"/>
      <c r="J480" s="162"/>
      <c r="K480" s="162"/>
      <c r="L480" s="162"/>
      <c r="M480" s="162"/>
      <c r="N480" s="161"/>
      <c r="O480" s="162"/>
      <c r="P480" s="162"/>
      <c r="Q480" s="162"/>
      <c r="R480" s="162"/>
      <c r="S480" s="161"/>
      <c r="T480" s="161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2"/>
      <c r="DC480" s="162"/>
      <c r="DD480" s="162"/>
      <c r="DE480" s="162"/>
      <c r="DF480" s="162"/>
      <c r="DG480" s="162"/>
      <c r="DH480" s="162"/>
      <c r="DI480" s="162"/>
      <c r="DJ480" s="162"/>
      <c r="DK480" s="162"/>
      <c r="DL480" s="162"/>
      <c r="DM480" s="162"/>
      <c r="DN480" s="162"/>
      <c r="DO480" s="162"/>
      <c r="DP480" s="162"/>
      <c r="DQ480" s="162"/>
      <c r="DR480" s="162"/>
      <c r="DS480" s="162"/>
      <c r="DT480" s="162"/>
      <c r="DU480" s="162"/>
      <c r="DV480" s="162"/>
      <c r="DW480" s="162"/>
    </row>
    <row r="481" spans="1:127" ht="15" customHeight="1">
      <c r="A481" s="159"/>
      <c r="B481" s="160"/>
      <c r="C481" s="161"/>
      <c r="D481" s="162"/>
      <c r="E481" s="162"/>
      <c r="F481" s="162"/>
      <c r="G481" s="162"/>
      <c r="H481" s="162"/>
      <c r="I481" s="162"/>
      <c r="J481" s="162"/>
      <c r="K481" s="162"/>
      <c r="L481" s="162"/>
      <c r="M481" s="162"/>
      <c r="N481" s="161"/>
      <c r="O481" s="162"/>
      <c r="P481" s="162"/>
      <c r="Q481" s="162"/>
      <c r="R481" s="162"/>
      <c r="S481" s="161"/>
      <c r="T481" s="161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2"/>
      <c r="DC481" s="162"/>
      <c r="DD481" s="162"/>
      <c r="DE481" s="162"/>
      <c r="DF481" s="162"/>
      <c r="DG481" s="162"/>
      <c r="DH481" s="162"/>
      <c r="DI481" s="162"/>
      <c r="DJ481" s="162"/>
      <c r="DK481" s="162"/>
      <c r="DL481" s="162"/>
      <c r="DM481" s="162"/>
      <c r="DN481" s="162"/>
      <c r="DO481" s="162"/>
      <c r="DP481" s="162"/>
      <c r="DQ481" s="162"/>
      <c r="DR481" s="162"/>
      <c r="DS481" s="162"/>
      <c r="DT481" s="162"/>
      <c r="DU481" s="162"/>
      <c r="DV481" s="162"/>
      <c r="DW481" s="162"/>
    </row>
    <row r="482" spans="1:127" ht="15" customHeight="1">
      <c r="A482" s="159"/>
      <c r="B482" s="160"/>
      <c r="C482" s="161"/>
      <c r="D482" s="162"/>
      <c r="E482" s="162"/>
      <c r="F482" s="162"/>
      <c r="G482" s="162"/>
      <c r="H482" s="162"/>
      <c r="I482" s="162"/>
      <c r="J482" s="162"/>
      <c r="K482" s="162"/>
      <c r="L482" s="162"/>
      <c r="M482" s="162"/>
      <c r="N482" s="161"/>
      <c r="O482" s="162"/>
      <c r="P482" s="162"/>
      <c r="Q482" s="162"/>
      <c r="R482" s="162"/>
      <c r="S482" s="161"/>
      <c r="T482" s="161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2"/>
      <c r="DC482" s="162"/>
      <c r="DD482" s="162"/>
      <c r="DE482" s="162"/>
      <c r="DF482" s="162"/>
      <c r="DG482" s="162"/>
      <c r="DH482" s="162"/>
      <c r="DI482" s="162"/>
      <c r="DJ482" s="162"/>
      <c r="DK482" s="162"/>
      <c r="DL482" s="162"/>
      <c r="DM482" s="162"/>
      <c r="DN482" s="162"/>
      <c r="DO482" s="162"/>
      <c r="DP482" s="162"/>
      <c r="DQ482" s="162"/>
      <c r="DR482" s="162"/>
      <c r="DS482" s="162"/>
      <c r="DT482" s="162"/>
      <c r="DU482" s="162"/>
      <c r="DV482" s="162"/>
      <c r="DW482" s="162"/>
    </row>
    <row r="483" spans="1:127" ht="15" customHeight="1">
      <c r="A483" s="159"/>
      <c r="B483" s="160"/>
      <c r="C483" s="161"/>
      <c r="D483" s="162"/>
      <c r="E483" s="162"/>
      <c r="F483" s="162"/>
      <c r="G483" s="162"/>
      <c r="H483" s="162"/>
      <c r="I483" s="162"/>
      <c r="J483" s="162"/>
      <c r="K483" s="162"/>
      <c r="L483" s="162"/>
      <c r="M483" s="162"/>
      <c r="N483" s="161"/>
      <c r="O483" s="162"/>
      <c r="P483" s="162"/>
      <c r="Q483" s="162"/>
      <c r="R483" s="162"/>
      <c r="S483" s="161"/>
      <c r="T483" s="161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2"/>
      <c r="DC483" s="162"/>
      <c r="DD483" s="162"/>
      <c r="DE483" s="162"/>
      <c r="DF483" s="162"/>
      <c r="DG483" s="162"/>
      <c r="DH483" s="162"/>
      <c r="DI483" s="162"/>
      <c r="DJ483" s="162"/>
      <c r="DK483" s="162"/>
      <c r="DL483" s="162"/>
      <c r="DM483" s="162"/>
      <c r="DN483" s="162"/>
      <c r="DO483" s="162"/>
      <c r="DP483" s="162"/>
      <c r="DQ483" s="162"/>
      <c r="DR483" s="162"/>
      <c r="DS483" s="162"/>
      <c r="DT483" s="162"/>
      <c r="DU483" s="162"/>
      <c r="DV483" s="162"/>
      <c r="DW483" s="162"/>
    </row>
    <row r="484" spans="1:127" ht="15" customHeight="1">
      <c r="A484" s="159"/>
      <c r="B484" s="160"/>
      <c r="C484" s="161"/>
      <c r="D484" s="162"/>
      <c r="E484" s="162"/>
      <c r="F484" s="162"/>
      <c r="G484" s="162"/>
      <c r="H484" s="162"/>
      <c r="I484" s="162"/>
      <c r="J484" s="162"/>
      <c r="K484" s="162"/>
      <c r="L484" s="162"/>
      <c r="M484" s="162"/>
      <c r="N484" s="161"/>
      <c r="O484" s="162"/>
      <c r="P484" s="162"/>
      <c r="Q484" s="162"/>
      <c r="R484" s="162"/>
      <c r="S484" s="161"/>
      <c r="T484" s="161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2"/>
      <c r="DC484" s="162"/>
      <c r="DD484" s="162"/>
      <c r="DE484" s="162"/>
      <c r="DF484" s="162"/>
      <c r="DG484" s="162"/>
      <c r="DH484" s="162"/>
      <c r="DI484" s="162"/>
      <c r="DJ484" s="162"/>
      <c r="DK484" s="162"/>
      <c r="DL484" s="162"/>
      <c r="DM484" s="162"/>
      <c r="DN484" s="162"/>
      <c r="DO484" s="162"/>
      <c r="DP484" s="162"/>
      <c r="DQ484" s="162"/>
      <c r="DR484" s="162"/>
      <c r="DS484" s="162"/>
      <c r="DT484" s="162"/>
      <c r="DU484" s="162"/>
      <c r="DV484" s="162"/>
      <c r="DW484" s="162"/>
    </row>
    <row r="485" spans="1:127" ht="15" customHeight="1">
      <c r="A485" s="159"/>
      <c r="B485" s="160"/>
      <c r="C485" s="161"/>
      <c r="D485" s="162"/>
      <c r="E485" s="162"/>
      <c r="F485" s="162"/>
      <c r="G485" s="162"/>
      <c r="H485" s="162"/>
      <c r="I485" s="162"/>
      <c r="J485" s="162"/>
      <c r="K485" s="162"/>
      <c r="L485" s="162"/>
      <c r="M485" s="162"/>
      <c r="N485" s="161"/>
      <c r="O485" s="162"/>
      <c r="P485" s="162"/>
      <c r="Q485" s="162"/>
      <c r="R485" s="162"/>
      <c r="S485" s="161"/>
      <c r="T485" s="161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2"/>
      <c r="DC485" s="162"/>
      <c r="DD485" s="162"/>
      <c r="DE485" s="162"/>
      <c r="DF485" s="162"/>
      <c r="DG485" s="162"/>
      <c r="DH485" s="162"/>
      <c r="DI485" s="162"/>
      <c r="DJ485" s="162"/>
      <c r="DK485" s="162"/>
      <c r="DL485" s="162"/>
      <c r="DM485" s="162"/>
      <c r="DN485" s="162"/>
      <c r="DO485" s="162"/>
      <c r="DP485" s="162"/>
      <c r="DQ485" s="162"/>
      <c r="DR485" s="162"/>
      <c r="DS485" s="162"/>
      <c r="DT485" s="162"/>
      <c r="DU485" s="162"/>
      <c r="DV485" s="162"/>
      <c r="DW485" s="162"/>
    </row>
    <row r="486" spans="1:127" ht="15" customHeight="1">
      <c r="A486" s="159"/>
      <c r="B486" s="160"/>
      <c r="C486" s="161"/>
      <c r="D486" s="162"/>
      <c r="E486" s="162"/>
      <c r="F486" s="162"/>
      <c r="G486" s="162"/>
      <c r="H486" s="162"/>
      <c r="I486" s="162"/>
      <c r="J486" s="162"/>
      <c r="K486" s="162"/>
      <c r="L486" s="162"/>
      <c r="M486" s="162"/>
      <c r="N486" s="161"/>
      <c r="O486" s="162"/>
      <c r="P486" s="162"/>
      <c r="Q486" s="162"/>
      <c r="R486" s="162"/>
      <c r="S486" s="161"/>
      <c r="T486" s="161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2"/>
      <c r="DC486" s="162"/>
      <c r="DD486" s="162"/>
      <c r="DE486" s="162"/>
      <c r="DF486" s="162"/>
      <c r="DG486" s="162"/>
      <c r="DH486" s="162"/>
      <c r="DI486" s="162"/>
      <c r="DJ486" s="162"/>
      <c r="DK486" s="162"/>
      <c r="DL486" s="162"/>
      <c r="DM486" s="162"/>
      <c r="DN486" s="162"/>
      <c r="DO486" s="162"/>
      <c r="DP486" s="162"/>
      <c r="DQ486" s="162"/>
      <c r="DR486" s="162"/>
      <c r="DS486" s="162"/>
      <c r="DT486" s="162"/>
      <c r="DU486" s="162"/>
      <c r="DV486" s="162"/>
      <c r="DW486" s="162"/>
    </row>
    <row r="487" spans="1:127" ht="15" customHeight="1">
      <c r="A487" s="159"/>
      <c r="B487" s="160"/>
      <c r="C487" s="161"/>
      <c r="D487" s="162"/>
      <c r="E487" s="162"/>
      <c r="F487" s="162"/>
      <c r="G487" s="162"/>
      <c r="H487" s="162"/>
      <c r="I487" s="162"/>
      <c r="J487" s="162"/>
      <c r="K487" s="162"/>
      <c r="L487" s="162"/>
      <c r="M487" s="162"/>
      <c r="N487" s="161"/>
      <c r="O487" s="162"/>
      <c r="P487" s="162"/>
      <c r="Q487" s="162"/>
      <c r="R487" s="162"/>
      <c r="S487" s="161"/>
      <c r="T487" s="161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2"/>
      <c r="DC487" s="162"/>
      <c r="DD487" s="162"/>
      <c r="DE487" s="162"/>
      <c r="DF487" s="162"/>
      <c r="DG487" s="162"/>
      <c r="DH487" s="162"/>
      <c r="DI487" s="162"/>
      <c r="DJ487" s="162"/>
      <c r="DK487" s="162"/>
      <c r="DL487" s="162"/>
      <c r="DM487" s="162"/>
      <c r="DN487" s="162"/>
      <c r="DO487" s="162"/>
      <c r="DP487" s="162"/>
      <c r="DQ487" s="162"/>
      <c r="DR487" s="162"/>
      <c r="DS487" s="162"/>
      <c r="DT487" s="162"/>
      <c r="DU487" s="162"/>
      <c r="DV487" s="162"/>
      <c r="DW487" s="162"/>
    </row>
    <row r="488" spans="1:127" ht="15" customHeight="1">
      <c r="A488" s="159"/>
      <c r="B488" s="160"/>
      <c r="C488" s="161"/>
      <c r="D488" s="162"/>
      <c r="E488" s="162"/>
      <c r="F488" s="162"/>
      <c r="G488" s="162"/>
      <c r="H488" s="162"/>
      <c r="I488" s="162"/>
      <c r="J488" s="162"/>
      <c r="K488" s="162"/>
      <c r="L488" s="162"/>
      <c r="M488" s="162"/>
      <c r="N488" s="161"/>
      <c r="O488" s="162"/>
      <c r="P488" s="162"/>
      <c r="Q488" s="162"/>
      <c r="R488" s="162"/>
      <c r="S488" s="161"/>
      <c r="T488" s="161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2"/>
      <c r="DC488" s="162"/>
      <c r="DD488" s="162"/>
      <c r="DE488" s="162"/>
      <c r="DF488" s="162"/>
      <c r="DG488" s="162"/>
      <c r="DH488" s="162"/>
      <c r="DI488" s="162"/>
      <c r="DJ488" s="162"/>
      <c r="DK488" s="162"/>
      <c r="DL488" s="162"/>
      <c r="DM488" s="162"/>
      <c r="DN488" s="162"/>
      <c r="DO488" s="162"/>
      <c r="DP488" s="162"/>
      <c r="DQ488" s="162"/>
      <c r="DR488" s="162"/>
      <c r="DS488" s="162"/>
      <c r="DT488" s="162"/>
      <c r="DU488" s="162"/>
      <c r="DV488" s="162"/>
      <c r="DW488" s="162"/>
    </row>
    <row r="489" spans="1:127" ht="15" customHeight="1">
      <c r="A489" s="159"/>
      <c r="B489" s="160"/>
      <c r="C489" s="161"/>
      <c r="D489" s="162"/>
      <c r="E489" s="162"/>
      <c r="F489" s="162"/>
      <c r="G489" s="162"/>
      <c r="H489" s="162"/>
      <c r="I489" s="162"/>
      <c r="J489" s="162"/>
      <c r="K489" s="162"/>
      <c r="L489" s="162"/>
      <c r="M489" s="162"/>
      <c r="N489" s="161"/>
      <c r="O489" s="162"/>
      <c r="P489" s="162"/>
      <c r="Q489" s="162"/>
      <c r="R489" s="162"/>
      <c r="S489" s="161"/>
      <c r="T489" s="161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2"/>
      <c r="DC489" s="162"/>
      <c r="DD489" s="162"/>
      <c r="DE489" s="162"/>
      <c r="DF489" s="162"/>
      <c r="DG489" s="162"/>
      <c r="DH489" s="162"/>
      <c r="DI489" s="162"/>
      <c r="DJ489" s="162"/>
      <c r="DK489" s="162"/>
      <c r="DL489" s="162"/>
      <c r="DM489" s="162"/>
      <c r="DN489" s="162"/>
      <c r="DO489" s="162"/>
      <c r="DP489" s="162"/>
      <c r="DQ489" s="162"/>
      <c r="DR489" s="162"/>
      <c r="DS489" s="162"/>
      <c r="DT489" s="162"/>
      <c r="DU489" s="162"/>
      <c r="DV489" s="162"/>
      <c r="DW489" s="162"/>
    </row>
    <row r="490" spans="1:127" ht="15" customHeight="1">
      <c r="A490" s="159"/>
      <c r="B490" s="160"/>
      <c r="C490" s="161"/>
      <c r="D490" s="162"/>
      <c r="E490" s="162"/>
      <c r="F490" s="162"/>
      <c r="G490" s="162"/>
      <c r="H490" s="162"/>
      <c r="I490" s="162"/>
      <c r="J490" s="162"/>
      <c r="K490" s="162"/>
      <c r="L490" s="162"/>
      <c r="M490" s="162"/>
      <c r="N490" s="161"/>
      <c r="O490" s="162"/>
      <c r="P490" s="162"/>
      <c r="Q490" s="162"/>
      <c r="R490" s="162"/>
      <c r="S490" s="161"/>
      <c r="T490" s="161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2"/>
      <c r="DC490" s="162"/>
      <c r="DD490" s="162"/>
      <c r="DE490" s="162"/>
      <c r="DF490" s="162"/>
      <c r="DG490" s="162"/>
      <c r="DH490" s="162"/>
      <c r="DI490" s="162"/>
      <c r="DJ490" s="162"/>
      <c r="DK490" s="162"/>
      <c r="DL490" s="162"/>
      <c r="DM490" s="162"/>
      <c r="DN490" s="162"/>
      <c r="DO490" s="162"/>
      <c r="DP490" s="162"/>
      <c r="DQ490" s="162"/>
      <c r="DR490" s="162"/>
      <c r="DS490" s="162"/>
      <c r="DT490" s="162"/>
      <c r="DU490" s="162"/>
      <c r="DV490" s="162"/>
      <c r="DW490" s="162"/>
    </row>
    <row r="491" spans="1:127" ht="15" customHeight="1">
      <c r="A491" s="159"/>
      <c r="B491" s="160"/>
      <c r="C491" s="161"/>
      <c r="D491" s="162"/>
      <c r="E491" s="162"/>
      <c r="F491" s="162"/>
      <c r="G491" s="162"/>
      <c r="H491" s="162"/>
      <c r="I491" s="162"/>
      <c r="J491" s="162"/>
      <c r="K491" s="162"/>
      <c r="L491" s="162"/>
      <c r="M491" s="162"/>
      <c r="N491" s="161"/>
      <c r="O491" s="162"/>
      <c r="P491" s="162"/>
      <c r="Q491" s="162"/>
      <c r="R491" s="162"/>
      <c r="S491" s="161"/>
      <c r="T491" s="161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2"/>
      <c r="DC491" s="162"/>
      <c r="DD491" s="162"/>
      <c r="DE491" s="162"/>
      <c r="DF491" s="162"/>
      <c r="DG491" s="162"/>
      <c r="DH491" s="162"/>
      <c r="DI491" s="162"/>
      <c r="DJ491" s="162"/>
      <c r="DK491" s="162"/>
      <c r="DL491" s="162"/>
      <c r="DM491" s="162"/>
      <c r="DN491" s="162"/>
      <c r="DO491" s="162"/>
      <c r="DP491" s="162"/>
      <c r="DQ491" s="162"/>
      <c r="DR491" s="162"/>
      <c r="DS491" s="162"/>
      <c r="DT491" s="162"/>
      <c r="DU491" s="162"/>
      <c r="DV491" s="162"/>
      <c r="DW491" s="162"/>
    </row>
    <row r="492" spans="1:127" ht="15" customHeight="1">
      <c r="A492" s="159"/>
      <c r="B492" s="160"/>
      <c r="C492" s="161"/>
      <c r="D492" s="162"/>
      <c r="E492" s="162"/>
      <c r="F492" s="162"/>
      <c r="G492" s="162"/>
      <c r="H492" s="162"/>
      <c r="I492" s="162"/>
      <c r="J492" s="162"/>
      <c r="K492" s="162"/>
      <c r="L492" s="162"/>
      <c r="M492" s="162"/>
      <c r="N492" s="161"/>
      <c r="O492" s="162"/>
      <c r="P492" s="162"/>
      <c r="Q492" s="162"/>
      <c r="R492" s="162"/>
      <c r="S492" s="161"/>
      <c r="T492" s="161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2"/>
      <c r="DC492" s="162"/>
      <c r="DD492" s="162"/>
      <c r="DE492" s="162"/>
      <c r="DF492" s="162"/>
      <c r="DG492" s="162"/>
      <c r="DH492" s="162"/>
      <c r="DI492" s="162"/>
      <c r="DJ492" s="162"/>
      <c r="DK492" s="162"/>
      <c r="DL492" s="162"/>
      <c r="DM492" s="162"/>
      <c r="DN492" s="162"/>
      <c r="DO492" s="162"/>
      <c r="DP492" s="162"/>
      <c r="DQ492" s="162"/>
      <c r="DR492" s="162"/>
      <c r="DS492" s="162"/>
      <c r="DT492" s="162"/>
      <c r="DU492" s="162"/>
      <c r="DV492" s="162"/>
      <c r="DW492" s="162"/>
    </row>
    <row r="493" spans="1:127" ht="15" customHeight="1">
      <c r="A493" s="159"/>
      <c r="B493" s="160"/>
      <c r="C493" s="161"/>
      <c r="D493" s="162"/>
      <c r="E493" s="162"/>
      <c r="F493" s="162"/>
      <c r="G493" s="162"/>
      <c r="H493" s="162"/>
      <c r="I493" s="162"/>
      <c r="J493" s="162"/>
      <c r="K493" s="162"/>
      <c r="L493" s="162"/>
      <c r="M493" s="162"/>
      <c r="N493" s="161"/>
      <c r="O493" s="162"/>
      <c r="P493" s="162"/>
      <c r="Q493" s="162"/>
      <c r="R493" s="162"/>
      <c r="S493" s="161"/>
      <c r="T493" s="161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2"/>
      <c r="DC493" s="162"/>
      <c r="DD493" s="162"/>
      <c r="DE493" s="162"/>
      <c r="DF493" s="162"/>
      <c r="DG493" s="162"/>
      <c r="DH493" s="162"/>
      <c r="DI493" s="162"/>
      <c r="DJ493" s="162"/>
      <c r="DK493" s="162"/>
      <c r="DL493" s="162"/>
      <c r="DM493" s="162"/>
      <c r="DN493" s="162"/>
      <c r="DO493" s="162"/>
      <c r="DP493" s="162"/>
      <c r="DQ493" s="162"/>
      <c r="DR493" s="162"/>
      <c r="DS493" s="162"/>
      <c r="DT493" s="162"/>
      <c r="DU493" s="162"/>
      <c r="DV493" s="162"/>
      <c r="DW493" s="162"/>
    </row>
    <row r="494" spans="1:127" ht="15" customHeight="1">
      <c r="A494" s="159"/>
      <c r="B494" s="160"/>
      <c r="C494" s="161"/>
      <c r="D494" s="162"/>
      <c r="E494" s="162"/>
      <c r="F494" s="162"/>
      <c r="G494" s="162"/>
      <c r="H494" s="162"/>
      <c r="I494" s="162"/>
      <c r="J494" s="162"/>
      <c r="K494" s="162"/>
      <c r="L494" s="162"/>
      <c r="M494" s="162"/>
      <c r="N494" s="161"/>
      <c r="O494" s="162"/>
      <c r="P494" s="162"/>
      <c r="Q494" s="162"/>
      <c r="R494" s="162"/>
      <c r="S494" s="161"/>
      <c r="T494" s="161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2"/>
      <c r="DC494" s="162"/>
      <c r="DD494" s="162"/>
      <c r="DE494" s="162"/>
      <c r="DF494" s="162"/>
      <c r="DG494" s="162"/>
      <c r="DH494" s="162"/>
      <c r="DI494" s="162"/>
      <c r="DJ494" s="162"/>
      <c r="DK494" s="162"/>
      <c r="DL494" s="162"/>
      <c r="DM494" s="162"/>
      <c r="DN494" s="162"/>
      <c r="DO494" s="162"/>
      <c r="DP494" s="162"/>
      <c r="DQ494" s="162"/>
      <c r="DR494" s="162"/>
      <c r="DS494" s="162"/>
      <c r="DT494" s="162"/>
      <c r="DU494" s="162"/>
      <c r="DV494" s="162"/>
      <c r="DW494" s="162"/>
    </row>
    <row r="495" spans="1:127" ht="15" customHeight="1">
      <c r="A495" s="159"/>
      <c r="B495" s="160"/>
      <c r="C495" s="161"/>
      <c r="D495" s="162"/>
      <c r="E495" s="162"/>
      <c r="F495" s="162"/>
      <c r="G495" s="162"/>
      <c r="H495" s="162"/>
      <c r="I495" s="162"/>
      <c r="J495" s="162"/>
      <c r="K495" s="162"/>
      <c r="L495" s="162"/>
      <c r="M495" s="162"/>
      <c r="N495" s="161"/>
      <c r="O495" s="162"/>
      <c r="P495" s="162"/>
      <c r="Q495" s="162"/>
      <c r="R495" s="162"/>
      <c r="S495" s="161"/>
      <c r="T495" s="161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2"/>
      <c r="DC495" s="162"/>
      <c r="DD495" s="162"/>
      <c r="DE495" s="162"/>
      <c r="DF495" s="162"/>
      <c r="DG495" s="162"/>
      <c r="DH495" s="162"/>
      <c r="DI495" s="162"/>
      <c r="DJ495" s="162"/>
      <c r="DK495" s="162"/>
      <c r="DL495" s="162"/>
      <c r="DM495" s="162"/>
      <c r="DN495" s="162"/>
      <c r="DO495" s="162"/>
      <c r="DP495" s="162"/>
      <c r="DQ495" s="162"/>
      <c r="DR495" s="162"/>
      <c r="DS495" s="162"/>
      <c r="DT495" s="162"/>
      <c r="DU495" s="162"/>
      <c r="DV495" s="162"/>
      <c r="DW495" s="162"/>
    </row>
    <row r="496" spans="1:127" ht="15" customHeight="1">
      <c r="A496" s="159"/>
      <c r="B496" s="160"/>
      <c r="C496" s="161"/>
      <c r="D496" s="162"/>
      <c r="E496" s="162"/>
      <c r="F496" s="162"/>
      <c r="G496" s="162"/>
      <c r="H496" s="162"/>
      <c r="I496" s="162"/>
      <c r="J496" s="162"/>
      <c r="K496" s="162"/>
      <c r="L496" s="162"/>
      <c r="M496" s="162"/>
      <c r="N496" s="161"/>
      <c r="O496" s="162"/>
      <c r="P496" s="162"/>
      <c r="Q496" s="162"/>
      <c r="R496" s="162"/>
      <c r="S496" s="161"/>
      <c r="T496" s="161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2"/>
      <c r="DC496" s="162"/>
      <c r="DD496" s="162"/>
      <c r="DE496" s="162"/>
      <c r="DF496" s="162"/>
      <c r="DG496" s="162"/>
      <c r="DH496" s="162"/>
      <c r="DI496" s="162"/>
      <c r="DJ496" s="162"/>
      <c r="DK496" s="162"/>
      <c r="DL496" s="162"/>
      <c r="DM496" s="162"/>
      <c r="DN496" s="162"/>
      <c r="DO496" s="162"/>
      <c r="DP496" s="162"/>
      <c r="DQ496" s="162"/>
      <c r="DR496" s="162"/>
      <c r="DS496" s="162"/>
      <c r="DT496" s="162"/>
      <c r="DU496" s="162"/>
      <c r="DV496" s="162"/>
      <c r="DW496" s="162"/>
    </row>
    <row r="497" spans="1:127" ht="15" customHeight="1">
      <c r="A497" s="159"/>
      <c r="B497" s="160"/>
      <c r="C497" s="161"/>
      <c r="D497" s="162"/>
      <c r="E497" s="162"/>
      <c r="F497" s="162"/>
      <c r="G497" s="162"/>
      <c r="H497" s="162"/>
      <c r="I497" s="162"/>
      <c r="J497" s="162"/>
      <c r="K497" s="162"/>
      <c r="L497" s="162"/>
      <c r="M497" s="162"/>
      <c r="N497" s="161"/>
      <c r="O497" s="162"/>
      <c r="P497" s="162"/>
      <c r="Q497" s="162"/>
      <c r="R497" s="162"/>
      <c r="S497" s="161"/>
      <c r="T497" s="161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2"/>
      <c r="DC497" s="162"/>
      <c r="DD497" s="162"/>
      <c r="DE497" s="162"/>
      <c r="DF497" s="162"/>
      <c r="DG497" s="162"/>
      <c r="DH497" s="162"/>
      <c r="DI497" s="162"/>
      <c r="DJ497" s="162"/>
      <c r="DK497" s="162"/>
      <c r="DL497" s="162"/>
      <c r="DM497" s="162"/>
      <c r="DN497" s="162"/>
      <c r="DO497" s="162"/>
      <c r="DP497" s="162"/>
      <c r="DQ497" s="162"/>
      <c r="DR497" s="162"/>
      <c r="DS497" s="162"/>
      <c r="DT497" s="162"/>
      <c r="DU497" s="162"/>
      <c r="DV497" s="162"/>
      <c r="DW497" s="162"/>
    </row>
    <row r="498" spans="1:127" ht="15" customHeight="1">
      <c r="A498" s="159"/>
      <c r="B498" s="160"/>
      <c r="C498" s="161"/>
      <c r="D498" s="162"/>
      <c r="E498" s="162"/>
      <c r="F498" s="162"/>
      <c r="G498" s="162"/>
      <c r="H498" s="162"/>
      <c r="I498" s="162"/>
      <c r="J498" s="162"/>
      <c r="K498" s="162"/>
      <c r="L498" s="162"/>
      <c r="M498" s="162"/>
      <c r="N498" s="161"/>
      <c r="O498" s="162"/>
      <c r="P498" s="162"/>
      <c r="Q498" s="162"/>
      <c r="R498" s="162"/>
      <c r="S498" s="161"/>
      <c r="T498" s="161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2"/>
      <c r="DC498" s="162"/>
      <c r="DD498" s="162"/>
      <c r="DE498" s="162"/>
      <c r="DF498" s="162"/>
      <c r="DG498" s="162"/>
      <c r="DH498" s="162"/>
      <c r="DI498" s="162"/>
      <c r="DJ498" s="162"/>
      <c r="DK498" s="162"/>
      <c r="DL498" s="162"/>
      <c r="DM498" s="162"/>
      <c r="DN498" s="162"/>
      <c r="DO498" s="162"/>
      <c r="DP498" s="162"/>
      <c r="DQ498" s="162"/>
      <c r="DR498" s="162"/>
      <c r="DS498" s="162"/>
      <c r="DT498" s="162"/>
      <c r="DU498" s="162"/>
      <c r="DV498" s="162"/>
      <c r="DW498" s="162"/>
    </row>
    <row r="499" spans="1:127" ht="15" customHeight="1">
      <c r="A499" s="159"/>
      <c r="B499" s="160"/>
      <c r="C499" s="161"/>
      <c r="D499" s="162"/>
      <c r="E499" s="162"/>
      <c r="F499" s="162"/>
      <c r="G499" s="162"/>
      <c r="H499" s="162"/>
      <c r="I499" s="162"/>
      <c r="J499" s="162"/>
      <c r="K499" s="162"/>
      <c r="L499" s="162"/>
      <c r="M499" s="162"/>
      <c r="N499" s="161"/>
      <c r="O499" s="162"/>
      <c r="P499" s="162"/>
      <c r="Q499" s="162"/>
      <c r="R499" s="162"/>
      <c r="S499" s="161"/>
      <c r="T499" s="161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2"/>
      <c r="DC499" s="162"/>
      <c r="DD499" s="162"/>
      <c r="DE499" s="162"/>
      <c r="DF499" s="162"/>
      <c r="DG499" s="162"/>
      <c r="DH499" s="162"/>
      <c r="DI499" s="162"/>
      <c r="DJ499" s="162"/>
      <c r="DK499" s="162"/>
      <c r="DL499" s="162"/>
      <c r="DM499" s="162"/>
      <c r="DN499" s="162"/>
      <c r="DO499" s="162"/>
      <c r="DP499" s="162"/>
      <c r="DQ499" s="162"/>
      <c r="DR499" s="162"/>
      <c r="DS499" s="162"/>
      <c r="DT499" s="162"/>
      <c r="DU499" s="162"/>
      <c r="DV499" s="162"/>
      <c r="DW499" s="162"/>
    </row>
    <row r="500" spans="1:127" ht="15" customHeight="1">
      <c r="A500" s="159"/>
      <c r="B500" s="160"/>
      <c r="C500" s="161"/>
      <c r="D500" s="162"/>
      <c r="E500" s="162"/>
      <c r="F500" s="162"/>
      <c r="G500" s="162"/>
      <c r="H500" s="162"/>
      <c r="I500" s="162"/>
      <c r="J500" s="162"/>
      <c r="K500" s="162"/>
      <c r="L500" s="162"/>
      <c r="M500" s="162"/>
      <c r="N500" s="161"/>
      <c r="O500" s="162"/>
      <c r="P500" s="162"/>
      <c r="Q500" s="162"/>
      <c r="R500" s="162"/>
      <c r="S500" s="161"/>
      <c r="T500" s="161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2"/>
      <c r="DC500" s="162"/>
      <c r="DD500" s="162"/>
      <c r="DE500" s="162"/>
      <c r="DF500" s="162"/>
      <c r="DG500" s="162"/>
      <c r="DH500" s="162"/>
      <c r="DI500" s="162"/>
      <c r="DJ500" s="162"/>
      <c r="DK500" s="162"/>
      <c r="DL500" s="162"/>
      <c r="DM500" s="162"/>
      <c r="DN500" s="162"/>
      <c r="DO500" s="162"/>
      <c r="DP500" s="162"/>
      <c r="DQ500" s="162"/>
      <c r="DR500" s="162"/>
      <c r="DS500" s="162"/>
      <c r="DT500" s="162"/>
      <c r="DU500" s="162"/>
      <c r="DV500" s="162"/>
      <c r="DW500" s="162"/>
    </row>
    <row r="501" spans="1:127" ht="15" customHeight="1">
      <c r="A501" s="159"/>
      <c r="B501" s="160"/>
      <c r="C501" s="161"/>
      <c r="D501" s="162"/>
      <c r="E501" s="162"/>
      <c r="F501" s="162"/>
      <c r="G501" s="162"/>
      <c r="H501" s="162"/>
      <c r="I501" s="162"/>
      <c r="J501" s="162"/>
      <c r="K501" s="162"/>
      <c r="L501" s="162"/>
      <c r="M501" s="162"/>
      <c r="N501" s="161"/>
      <c r="O501" s="162"/>
      <c r="P501" s="162"/>
      <c r="Q501" s="162"/>
      <c r="R501" s="162"/>
      <c r="S501" s="161"/>
      <c r="T501" s="161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2"/>
      <c r="DC501" s="162"/>
      <c r="DD501" s="162"/>
      <c r="DE501" s="162"/>
      <c r="DF501" s="162"/>
      <c r="DG501" s="162"/>
      <c r="DH501" s="162"/>
      <c r="DI501" s="162"/>
      <c r="DJ501" s="162"/>
      <c r="DK501" s="162"/>
      <c r="DL501" s="162"/>
      <c r="DM501" s="162"/>
      <c r="DN501" s="162"/>
      <c r="DO501" s="162"/>
      <c r="DP501" s="162"/>
      <c r="DQ501" s="162"/>
      <c r="DR501" s="162"/>
      <c r="DS501" s="162"/>
      <c r="DT501" s="162"/>
      <c r="DU501" s="162"/>
      <c r="DV501" s="162"/>
      <c r="DW501" s="162"/>
    </row>
    <row r="502" spans="1:127" ht="15" customHeight="1">
      <c r="A502" s="159"/>
      <c r="B502" s="160"/>
      <c r="C502" s="161"/>
      <c r="D502" s="162"/>
      <c r="E502" s="162"/>
      <c r="F502" s="162"/>
      <c r="G502" s="162"/>
      <c r="H502" s="162"/>
      <c r="I502" s="162"/>
      <c r="J502" s="162"/>
      <c r="K502" s="162"/>
      <c r="L502" s="162"/>
      <c r="M502" s="162"/>
      <c r="N502" s="161"/>
      <c r="O502" s="162"/>
      <c r="P502" s="162"/>
      <c r="Q502" s="162"/>
      <c r="R502" s="162"/>
      <c r="S502" s="161"/>
      <c r="T502" s="161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2"/>
      <c r="DC502" s="162"/>
      <c r="DD502" s="162"/>
      <c r="DE502" s="162"/>
      <c r="DF502" s="162"/>
      <c r="DG502" s="162"/>
      <c r="DH502" s="162"/>
      <c r="DI502" s="162"/>
      <c r="DJ502" s="162"/>
      <c r="DK502" s="162"/>
      <c r="DL502" s="162"/>
      <c r="DM502" s="162"/>
      <c r="DN502" s="162"/>
      <c r="DO502" s="162"/>
      <c r="DP502" s="162"/>
      <c r="DQ502" s="162"/>
      <c r="DR502" s="162"/>
      <c r="DS502" s="162"/>
      <c r="DT502" s="162"/>
      <c r="DU502" s="162"/>
      <c r="DV502" s="162"/>
      <c r="DW502" s="162"/>
    </row>
    <row r="503" spans="1:127" ht="15" customHeight="1">
      <c r="A503" s="159"/>
      <c r="B503" s="160"/>
      <c r="C503" s="161"/>
      <c r="D503" s="162"/>
      <c r="E503" s="162"/>
      <c r="F503" s="162"/>
      <c r="G503" s="162"/>
      <c r="H503" s="162"/>
      <c r="I503" s="162"/>
      <c r="J503" s="162"/>
      <c r="K503" s="162"/>
      <c r="L503" s="162"/>
      <c r="M503" s="162"/>
      <c r="N503" s="161"/>
      <c r="O503" s="162"/>
      <c r="P503" s="162"/>
      <c r="Q503" s="162"/>
      <c r="R503" s="162"/>
      <c r="S503" s="161"/>
      <c r="T503" s="161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2"/>
      <c r="DC503" s="162"/>
      <c r="DD503" s="162"/>
      <c r="DE503" s="162"/>
      <c r="DF503" s="162"/>
      <c r="DG503" s="162"/>
      <c r="DH503" s="162"/>
      <c r="DI503" s="162"/>
      <c r="DJ503" s="162"/>
      <c r="DK503" s="162"/>
      <c r="DL503" s="162"/>
      <c r="DM503" s="162"/>
      <c r="DN503" s="162"/>
      <c r="DO503" s="162"/>
      <c r="DP503" s="162"/>
      <c r="DQ503" s="162"/>
      <c r="DR503" s="162"/>
      <c r="DS503" s="162"/>
      <c r="DT503" s="162"/>
      <c r="DU503" s="162"/>
      <c r="DV503" s="162"/>
      <c r="DW503" s="162"/>
    </row>
    <row r="504" spans="1:127" ht="15" customHeight="1">
      <c r="A504" s="159"/>
      <c r="B504" s="160"/>
      <c r="C504" s="161"/>
      <c r="D504" s="162"/>
      <c r="E504" s="162"/>
      <c r="F504" s="162"/>
      <c r="G504" s="162"/>
      <c r="H504" s="162"/>
      <c r="I504" s="162"/>
      <c r="J504" s="162"/>
      <c r="K504" s="162"/>
      <c r="L504" s="162"/>
      <c r="M504" s="162"/>
      <c r="N504" s="161"/>
      <c r="O504" s="162"/>
      <c r="P504" s="162"/>
      <c r="Q504" s="162"/>
      <c r="R504" s="162"/>
      <c r="S504" s="161"/>
      <c r="T504" s="161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2"/>
      <c r="DC504" s="162"/>
      <c r="DD504" s="162"/>
      <c r="DE504" s="162"/>
      <c r="DF504" s="162"/>
      <c r="DG504" s="162"/>
      <c r="DH504" s="162"/>
      <c r="DI504" s="162"/>
      <c r="DJ504" s="162"/>
      <c r="DK504" s="162"/>
      <c r="DL504" s="162"/>
      <c r="DM504" s="162"/>
      <c r="DN504" s="162"/>
      <c r="DO504" s="162"/>
      <c r="DP504" s="162"/>
      <c r="DQ504" s="162"/>
      <c r="DR504" s="162"/>
      <c r="DS504" s="162"/>
      <c r="DT504" s="162"/>
      <c r="DU504" s="162"/>
      <c r="DV504" s="162"/>
      <c r="DW504" s="162"/>
    </row>
    <row r="505" spans="1:127" ht="15" customHeight="1">
      <c r="A505" s="159"/>
      <c r="B505" s="160"/>
      <c r="C505" s="161"/>
      <c r="D505" s="162"/>
      <c r="E505" s="162"/>
      <c r="F505" s="162"/>
      <c r="G505" s="162"/>
      <c r="H505" s="162"/>
      <c r="I505" s="162"/>
      <c r="J505" s="162"/>
      <c r="K505" s="162"/>
      <c r="L505" s="162"/>
      <c r="M505" s="162"/>
      <c r="N505" s="161"/>
      <c r="O505" s="162"/>
      <c r="P505" s="162"/>
      <c r="Q505" s="162"/>
      <c r="R505" s="162"/>
      <c r="S505" s="161"/>
      <c r="T505" s="161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2"/>
      <c r="DC505" s="162"/>
      <c r="DD505" s="162"/>
      <c r="DE505" s="162"/>
      <c r="DF505" s="162"/>
      <c r="DG505" s="162"/>
      <c r="DH505" s="162"/>
      <c r="DI505" s="162"/>
      <c r="DJ505" s="162"/>
      <c r="DK505" s="162"/>
      <c r="DL505" s="162"/>
      <c r="DM505" s="162"/>
      <c r="DN505" s="162"/>
      <c r="DO505" s="162"/>
      <c r="DP505" s="162"/>
      <c r="DQ505" s="162"/>
      <c r="DR505" s="162"/>
      <c r="DS505" s="162"/>
      <c r="DT505" s="162"/>
      <c r="DU505" s="162"/>
      <c r="DV505" s="162"/>
      <c r="DW505" s="162"/>
    </row>
    <row r="506" spans="1:127" ht="15" customHeight="1">
      <c r="A506" s="159"/>
      <c r="B506" s="160"/>
      <c r="C506" s="161"/>
      <c r="D506" s="162"/>
      <c r="E506" s="162"/>
      <c r="F506" s="162"/>
      <c r="G506" s="162"/>
      <c r="H506" s="162"/>
      <c r="I506" s="162"/>
      <c r="J506" s="162"/>
      <c r="K506" s="162"/>
      <c r="L506" s="162"/>
      <c r="M506" s="162"/>
      <c r="N506" s="161"/>
      <c r="O506" s="162"/>
      <c r="P506" s="162"/>
      <c r="Q506" s="162"/>
      <c r="R506" s="162"/>
      <c r="S506" s="161"/>
      <c r="T506" s="161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2"/>
      <c r="DC506" s="162"/>
      <c r="DD506" s="162"/>
      <c r="DE506" s="162"/>
      <c r="DF506" s="162"/>
      <c r="DG506" s="162"/>
      <c r="DH506" s="162"/>
      <c r="DI506" s="162"/>
      <c r="DJ506" s="162"/>
      <c r="DK506" s="162"/>
      <c r="DL506" s="162"/>
      <c r="DM506" s="162"/>
      <c r="DN506" s="162"/>
      <c r="DO506" s="162"/>
      <c r="DP506" s="162"/>
      <c r="DQ506" s="162"/>
      <c r="DR506" s="162"/>
      <c r="DS506" s="162"/>
      <c r="DT506" s="162"/>
      <c r="DU506" s="162"/>
      <c r="DV506" s="162"/>
      <c r="DW506" s="162"/>
    </row>
    <row r="507" spans="1:127" ht="15" customHeight="1">
      <c r="A507" s="159"/>
      <c r="B507" s="160"/>
      <c r="C507" s="161"/>
      <c r="D507" s="162"/>
      <c r="E507" s="162"/>
      <c r="F507" s="162"/>
      <c r="G507" s="162"/>
      <c r="H507" s="162"/>
      <c r="I507" s="162"/>
      <c r="J507" s="162"/>
      <c r="K507" s="162"/>
      <c r="L507" s="162"/>
      <c r="M507" s="162"/>
      <c r="N507" s="161"/>
      <c r="O507" s="162"/>
      <c r="P507" s="162"/>
      <c r="Q507" s="162"/>
      <c r="R507" s="162"/>
      <c r="S507" s="161"/>
      <c r="T507" s="161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2"/>
      <c r="DC507" s="162"/>
      <c r="DD507" s="162"/>
      <c r="DE507" s="162"/>
      <c r="DF507" s="162"/>
      <c r="DG507" s="162"/>
      <c r="DH507" s="162"/>
      <c r="DI507" s="162"/>
      <c r="DJ507" s="162"/>
      <c r="DK507" s="162"/>
      <c r="DL507" s="162"/>
      <c r="DM507" s="162"/>
      <c r="DN507" s="162"/>
      <c r="DO507" s="162"/>
      <c r="DP507" s="162"/>
      <c r="DQ507" s="162"/>
      <c r="DR507" s="162"/>
      <c r="DS507" s="162"/>
      <c r="DT507" s="162"/>
      <c r="DU507" s="162"/>
      <c r="DV507" s="162"/>
      <c r="DW507" s="162"/>
    </row>
    <row r="508" spans="1:127" ht="15" customHeight="1">
      <c r="A508" s="159"/>
      <c r="B508" s="160"/>
      <c r="C508" s="161"/>
      <c r="D508" s="162"/>
      <c r="E508" s="162"/>
      <c r="F508" s="162"/>
      <c r="G508" s="162"/>
      <c r="H508" s="162"/>
      <c r="I508" s="162"/>
      <c r="J508" s="162"/>
      <c r="K508" s="162"/>
      <c r="L508" s="162"/>
      <c r="M508" s="162"/>
      <c r="N508" s="161"/>
      <c r="O508" s="162"/>
      <c r="P508" s="162"/>
      <c r="Q508" s="162"/>
      <c r="R508" s="162"/>
      <c r="S508" s="161"/>
      <c r="T508" s="161"/>
      <c r="U508" s="162"/>
      <c r="V508" s="162"/>
      <c r="W508" s="162"/>
      <c r="X508" s="162"/>
      <c r="Y508" s="162"/>
      <c r="Z508" s="162"/>
    </row>
    <row r="509" spans="1:127" ht="15" customHeight="1">
      <c r="A509" s="159"/>
      <c r="B509" s="160"/>
      <c r="C509" s="161"/>
      <c r="D509" s="162"/>
      <c r="E509" s="162"/>
      <c r="F509" s="162"/>
      <c r="G509" s="162"/>
      <c r="H509" s="162"/>
      <c r="I509" s="162"/>
      <c r="J509" s="162"/>
      <c r="K509" s="162"/>
      <c r="L509" s="162"/>
      <c r="M509" s="162"/>
      <c r="N509" s="161"/>
      <c r="O509" s="162"/>
      <c r="P509" s="162"/>
      <c r="Q509" s="162"/>
      <c r="R509" s="162"/>
      <c r="S509" s="161"/>
      <c r="T509" s="161"/>
      <c r="U509" s="162"/>
      <c r="V509" s="162"/>
      <c r="W509" s="162"/>
      <c r="X509" s="162"/>
      <c r="Y509" s="162"/>
      <c r="Z509" s="162"/>
    </row>
    <row r="510" spans="1:127" ht="15" customHeight="1">
      <c r="A510" s="159"/>
      <c r="B510" s="160"/>
      <c r="C510" s="161"/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1"/>
      <c r="O510" s="162"/>
      <c r="P510" s="162"/>
      <c r="Q510" s="162"/>
      <c r="R510" s="162"/>
      <c r="S510" s="161"/>
      <c r="T510" s="161"/>
      <c r="U510" s="162"/>
      <c r="V510" s="162"/>
      <c r="W510" s="162"/>
      <c r="X510" s="162"/>
      <c r="Y510" s="162"/>
      <c r="Z510" s="162"/>
    </row>
    <row r="511" spans="1:127" ht="15" customHeight="1">
      <c r="A511" s="159"/>
      <c r="B511" s="160"/>
      <c r="C511" s="161"/>
      <c r="D511" s="162"/>
      <c r="E511" s="162"/>
      <c r="F511" s="162"/>
      <c r="G511" s="162"/>
      <c r="H511" s="162"/>
      <c r="I511" s="162"/>
      <c r="J511" s="162"/>
      <c r="K511" s="162"/>
      <c r="L511" s="162"/>
      <c r="M511" s="162"/>
      <c r="N511" s="161"/>
      <c r="O511" s="162"/>
      <c r="P511" s="162"/>
      <c r="Q511" s="162"/>
      <c r="R511" s="162"/>
      <c r="S511" s="161"/>
      <c r="T511" s="161"/>
      <c r="U511" s="162"/>
      <c r="V511" s="162"/>
      <c r="W511" s="162"/>
      <c r="X511" s="162"/>
      <c r="Y511" s="162"/>
      <c r="Z511" s="162"/>
    </row>
    <row r="512" spans="1:127" ht="15" customHeight="1">
      <c r="A512" s="159"/>
      <c r="B512" s="160"/>
      <c r="C512" s="161"/>
      <c r="D512" s="162"/>
      <c r="E512" s="162"/>
      <c r="F512" s="162"/>
      <c r="G512" s="162"/>
      <c r="H512" s="162"/>
      <c r="I512" s="162"/>
      <c r="J512" s="162"/>
      <c r="K512" s="162"/>
      <c r="L512" s="162"/>
      <c r="M512" s="162"/>
      <c r="N512" s="161"/>
      <c r="O512" s="162"/>
      <c r="P512" s="162"/>
      <c r="Q512" s="162"/>
      <c r="R512" s="162"/>
      <c r="S512" s="161"/>
      <c r="T512" s="161"/>
      <c r="U512" s="162"/>
      <c r="V512" s="162"/>
      <c r="W512" s="162"/>
      <c r="X512" s="162"/>
      <c r="Y512" s="162"/>
      <c r="Z512" s="162"/>
    </row>
    <row r="513" spans="1:26" ht="15" customHeight="1">
      <c r="A513" s="159"/>
      <c r="B513" s="160"/>
      <c r="C513" s="161"/>
      <c r="D513" s="162"/>
      <c r="E513" s="162"/>
      <c r="F513" s="162"/>
      <c r="G513" s="162"/>
      <c r="H513" s="162"/>
      <c r="I513" s="162"/>
      <c r="J513" s="162"/>
      <c r="K513" s="162"/>
      <c r="L513" s="162"/>
      <c r="M513" s="162"/>
      <c r="N513" s="161"/>
      <c r="O513" s="162"/>
      <c r="P513" s="162"/>
      <c r="Q513" s="162"/>
      <c r="R513" s="162"/>
      <c r="S513" s="161"/>
      <c r="T513" s="161"/>
      <c r="U513" s="162"/>
      <c r="V513" s="162"/>
      <c r="W513" s="162"/>
      <c r="X513" s="162"/>
      <c r="Y513" s="162"/>
      <c r="Z513" s="162"/>
    </row>
    <row r="514" spans="1:26" ht="15" customHeight="1">
      <c r="A514" s="159"/>
      <c r="B514" s="160"/>
      <c r="C514" s="161"/>
      <c r="D514" s="162"/>
      <c r="E514" s="162"/>
      <c r="F514" s="162"/>
      <c r="G514" s="162"/>
      <c r="H514" s="162"/>
      <c r="I514" s="162"/>
      <c r="J514" s="162"/>
      <c r="K514" s="162"/>
      <c r="L514" s="162"/>
      <c r="M514" s="162"/>
      <c r="N514" s="161"/>
      <c r="O514" s="162"/>
      <c r="P514" s="162"/>
      <c r="Q514" s="162"/>
      <c r="R514" s="162"/>
      <c r="S514" s="161"/>
      <c r="T514" s="161"/>
      <c r="U514" s="162"/>
      <c r="V514" s="162"/>
      <c r="W514" s="162"/>
      <c r="X514" s="162"/>
      <c r="Y514" s="162"/>
      <c r="Z514" s="162"/>
    </row>
    <row r="515" spans="1:26" ht="15" customHeight="1">
      <c r="A515" s="159"/>
      <c r="B515" s="160"/>
      <c r="C515" s="161"/>
      <c r="D515" s="162"/>
      <c r="E515" s="162"/>
      <c r="F515" s="162"/>
      <c r="G515" s="162"/>
      <c r="H515" s="162"/>
      <c r="I515" s="162"/>
      <c r="J515" s="162"/>
      <c r="K515" s="162"/>
      <c r="L515" s="162"/>
      <c r="M515" s="162"/>
      <c r="N515" s="161"/>
      <c r="O515" s="162"/>
      <c r="P515" s="162"/>
      <c r="Q515" s="162"/>
      <c r="R515" s="162"/>
      <c r="S515" s="161"/>
      <c r="T515" s="161"/>
      <c r="U515" s="162"/>
      <c r="V515" s="162"/>
      <c r="W515" s="162"/>
      <c r="X515" s="162"/>
      <c r="Y515" s="162"/>
      <c r="Z515" s="162"/>
    </row>
    <row r="516" spans="1:26" ht="15" customHeight="1">
      <c r="A516" s="159"/>
      <c r="B516" s="160"/>
      <c r="C516" s="161"/>
      <c r="D516" s="162"/>
      <c r="E516" s="162"/>
      <c r="F516" s="162"/>
      <c r="G516" s="162"/>
      <c r="H516" s="162"/>
      <c r="I516" s="162"/>
      <c r="J516" s="162"/>
      <c r="K516" s="162"/>
      <c r="L516" s="162"/>
      <c r="M516" s="162"/>
      <c r="N516" s="161"/>
      <c r="O516" s="162"/>
      <c r="P516" s="162"/>
      <c r="Q516" s="162"/>
      <c r="R516" s="162"/>
      <c r="S516" s="161"/>
      <c r="T516" s="161"/>
      <c r="U516" s="162"/>
      <c r="V516" s="162"/>
      <c r="W516" s="162"/>
      <c r="X516" s="162"/>
      <c r="Y516" s="162"/>
      <c r="Z516" s="162"/>
    </row>
    <row r="517" spans="1:26" ht="15" customHeight="1">
      <c r="A517" s="159"/>
      <c r="B517" s="160"/>
      <c r="C517" s="161"/>
      <c r="D517" s="162"/>
      <c r="E517" s="162"/>
      <c r="F517" s="162"/>
      <c r="G517" s="162"/>
      <c r="H517" s="162"/>
      <c r="I517" s="162"/>
      <c r="J517" s="162"/>
      <c r="K517" s="162"/>
      <c r="L517" s="162"/>
      <c r="M517" s="162"/>
      <c r="N517" s="161"/>
      <c r="O517" s="162"/>
      <c r="P517" s="162"/>
      <c r="Q517" s="162"/>
      <c r="R517" s="162"/>
      <c r="S517" s="161"/>
      <c r="T517" s="161"/>
      <c r="U517" s="162"/>
      <c r="V517" s="162"/>
      <c r="W517" s="162"/>
      <c r="X517" s="162"/>
      <c r="Y517" s="162"/>
      <c r="Z517" s="162"/>
    </row>
    <row r="518" spans="1:26" ht="15" customHeight="1">
      <c r="A518" s="159"/>
      <c r="B518" s="160"/>
      <c r="C518" s="161"/>
      <c r="D518" s="162"/>
      <c r="E518" s="162"/>
      <c r="F518" s="162"/>
      <c r="G518" s="162"/>
      <c r="H518" s="162"/>
      <c r="I518" s="162"/>
      <c r="J518" s="162"/>
      <c r="K518" s="162"/>
      <c r="L518" s="162"/>
      <c r="M518" s="162"/>
      <c r="N518" s="161"/>
      <c r="O518" s="162"/>
      <c r="P518" s="162"/>
      <c r="Q518" s="162"/>
      <c r="R518" s="162"/>
      <c r="S518" s="161"/>
      <c r="T518" s="161"/>
      <c r="U518" s="162"/>
      <c r="V518" s="162"/>
      <c r="W518" s="162"/>
      <c r="X518" s="162"/>
      <c r="Y518" s="162"/>
      <c r="Z518" s="162"/>
    </row>
    <row r="519" spans="1:26" ht="15" customHeight="1">
      <c r="A519" s="159"/>
      <c r="B519" s="160"/>
      <c r="C519" s="161"/>
      <c r="D519" s="162"/>
      <c r="E519" s="162"/>
      <c r="F519" s="162"/>
      <c r="G519" s="162"/>
      <c r="H519" s="162"/>
      <c r="I519" s="162"/>
      <c r="J519" s="162"/>
      <c r="K519" s="162"/>
      <c r="L519" s="162"/>
      <c r="M519" s="162"/>
      <c r="N519" s="161"/>
      <c r="O519" s="162"/>
      <c r="P519" s="162"/>
      <c r="Q519" s="162"/>
      <c r="R519" s="162"/>
      <c r="S519" s="161"/>
      <c r="T519" s="161"/>
      <c r="U519" s="162"/>
      <c r="V519" s="162"/>
      <c r="W519" s="162"/>
      <c r="X519" s="162"/>
      <c r="Y519" s="162"/>
      <c r="Z519" s="162"/>
    </row>
    <row r="520" spans="1:26" ht="15" customHeight="1">
      <c r="A520" s="159"/>
      <c r="B520" s="160"/>
      <c r="C520" s="161"/>
      <c r="D520" s="162"/>
      <c r="E520" s="162"/>
      <c r="F520" s="162"/>
      <c r="G520" s="162"/>
      <c r="H520" s="162"/>
      <c r="I520" s="162"/>
      <c r="J520" s="162"/>
      <c r="K520" s="162"/>
      <c r="L520" s="162"/>
      <c r="M520" s="162"/>
      <c r="N520" s="161"/>
      <c r="O520" s="162"/>
      <c r="P520" s="162"/>
      <c r="Q520" s="162"/>
      <c r="R520" s="162"/>
      <c r="S520" s="161"/>
      <c r="T520" s="161"/>
      <c r="U520" s="162"/>
      <c r="V520" s="162"/>
      <c r="W520" s="162"/>
      <c r="X520" s="162"/>
      <c r="Y520" s="162"/>
      <c r="Z520" s="162"/>
    </row>
    <row r="521" spans="1:26" ht="15" customHeight="1">
      <c r="A521" s="159"/>
      <c r="B521" s="160"/>
      <c r="C521" s="161"/>
      <c r="D521" s="162"/>
      <c r="E521" s="162"/>
      <c r="F521" s="162"/>
      <c r="G521" s="162"/>
      <c r="H521" s="162"/>
      <c r="I521" s="162"/>
      <c r="J521" s="162"/>
      <c r="K521" s="162"/>
      <c r="L521" s="162"/>
      <c r="M521" s="162"/>
      <c r="N521" s="161"/>
      <c r="O521" s="162"/>
      <c r="P521" s="162"/>
      <c r="Q521" s="162"/>
      <c r="R521" s="162"/>
      <c r="S521" s="161"/>
      <c r="T521" s="161"/>
      <c r="U521" s="162"/>
      <c r="V521" s="162"/>
      <c r="W521" s="162"/>
      <c r="X521" s="162"/>
      <c r="Y521" s="162"/>
      <c r="Z521" s="162"/>
    </row>
    <row r="522" spans="1:26" ht="15" customHeight="1">
      <c r="A522" s="159"/>
      <c r="B522" s="160"/>
      <c r="C522" s="161"/>
      <c r="D522" s="162"/>
      <c r="E522" s="162"/>
      <c r="F522" s="162"/>
      <c r="G522" s="162"/>
      <c r="H522" s="162"/>
      <c r="I522" s="162"/>
      <c r="J522" s="162"/>
      <c r="K522" s="162"/>
      <c r="L522" s="162"/>
      <c r="M522" s="162"/>
      <c r="N522" s="161"/>
      <c r="O522" s="162"/>
      <c r="P522" s="162"/>
      <c r="Q522" s="162"/>
      <c r="R522" s="162"/>
      <c r="S522" s="161"/>
      <c r="T522" s="161"/>
      <c r="U522" s="162"/>
      <c r="V522" s="162"/>
      <c r="W522" s="162"/>
      <c r="X522" s="162"/>
      <c r="Y522" s="162"/>
      <c r="Z522" s="162"/>
    </row>
    <row r="523" spans="1:26" ht="15" customHeight="1">
      <c r="A523" s="159"/>
      <c r="B523" s="160"/>
      <c r="C523" s="161"/>
      <c r="D523" s="162"/>
      <c r="E523" s="162"/>
      <c r="F523" s="162"/>
      <c r="G523" s="162"/>
      <c r="H523" s="162"/>
      <c r="I523" s="162"/>
      <c r="J523" s="162"/>
      <c r="K523" s="162"/>
      <c r="L523" s="162"/>
      <c r="M523" s="162"/>
      <c r="N523" s="161"/>
      <c r="O523" s="162"/>
      <c r="P523" s="162"/>
      <c r="Q523" s="162"/>
      <c r="R523" s="162"/>
      <c r="S523" s="161"/>
      <c r="T523" s="161"/>
      <c r="U523" s="162"/>
      <c r="V523" s="162"/>
      <c r="W523" s="162"/>
      <c r="X523" s="162"/>
      <c r="Y523" s="162"/>
      <c r="Z523" s="162"/>
    </row>
    <row r="524" spans="1:26" ht="15" customHeight="1">
      <c r="A524" s="159"/>
      <c r="B524" s="160"/>
      <c r="C524" s="161"/>
      <c r="D524" s="162"/>
      <c r="E524" s="162"/>
      <c r="F524" s="162"/>
      <c r="G524" s="162"/>
      <c r="H524" s="162"/>
      <c r="I524" s="162"/>
      <c r="J524" s="162"/>
      <c r="K524" s="162"/>
      <c r="L524" s="162"/>
      <c r="M524" s="162"/>
      <c r="N524" s="161"/>
      <c r="O524" s="162"/>
      <c r="P524" s="162"/>
      <c r="Q524" s="162"/>
      <c r="R524" s="162"/>
      <c r="S524" s="161"/>
      <c r="T524" s="161"/>
      <c r="U524" s="162"/>
      <c r="V524" s="162"/>
      <c r="W524" s="162"/>
      <c r="X524" s="162"/>
      <c r="Y524" s="162"/>
      <c r="Z524" s="162"/>
    </row>
    <row r="525" spans="1:26" ht="15" customHeight="1">
      <c r="A525" s="159"/>
      <c r="B525" s="160"/>
      <c r="C525" s="161"/>
      <c r="D525" s="162"/>
      <c r="E525" s="162"/>
      <c r="F525" s="162"/>
      <c r="G525" s="162"/>
      <c r="H525" s="162"/>
      <c r="I525" s="162"/>
      <c r="J525" s="162"/>
      <c r="K525" s="162"/>
      <c r="L525" s="162"/>
      <c r="M525" s="162"/>
      <c r="N525" s="161"/>
      <c r="O525" s="162"/>
      <c r="P525" s="162"/>
      <c r="Q525" s="162"/>
      <c r="R525" s="162"/>
      <c r="S525" s="161"/>
      <c r="T525" s="161"/>
      <c r="U525" s="162"/>
      <c r="V525" s="162"/>
      <c r="W525" s="162"/>
      <c r="X525" s="162"/>
      <c r="Y525" s="162"/>
      <c r="Z525" s="162"/>
    </row>
    <row r="526" spans="1:26" ht="15" customHeight="1">
      <c r="A526" s="159"/>
      <c r="B526" s="160"/>
      <c r="C526" s="161"/>
      <c r="D526" s="162"/>
      <c r="E526" s="162"/>
      <c r="F526" s="162"/>
      <c r="G526" s="162"/>
      <c r="H526" s="162"/>
      <c r="I526" s="162"/>
      <c r="J526" s="162"/>
      <c r="K526" s="162"/>
      <c r="L526" s="162"/>
      <c r="M526" s="162"/>
      <c r="N526" s="161"/>
      <c r="O526" s="162"/>
      <c r="P526" s="162"/>
      <c r="Q526" s="162"/>
      <c r="R526" s="162"/>
      <c r="S526" s="161"/>
      <c r="T526" s="161"/>
      <c r="U526" s="162"/>
      <c r="V526" s="162"/>
      <c r="W526" s="162"/>
      <c r="X526" s="162"/>
      <c r="Y526" s="162"/>
      <c r="Z526" s="162"/>
    </row>
    <row r="527" spans="1:26" ht="15" customHeight="1">
      <c r="A527" s="159"/>
      <c r="B527" s="160"/>
      <c r="C527" s="161"/>
      <c r="D527" s="162"/>
      <c r="E527" s="162"/>
      <c r="F527" s="162"/>
      <c r="G527" s="162"/>
      <c r="H527" s="162"/>
      <c r="I527" s="162"/>
      <c r="J527" s="162"/>
      <c r="K527" s="162"/>
      <c r="L527" s="162"/>
      <c r="M527" s="162"/>
      <c r="N527" s="161"/>
      <c r="O527" s="162"/>
      <c r="P527" s="162"/>
      <c r="Q527" s="162"/>
      <c r="R527" s="162"/>
      <c r="S527" s="161"/>
      <c r="T527" s="161"/>
      <c r="U527" s="162"/>
      <c r="V527" s="162"/>
      <c r="W527" s="162"/>
      <c r="X527" s="162"/>
      <c r="Y527" s="162"/>
      <c r="Z527" s="162"/>
    </row>
    <row r="528" spans="1:26" ht="15" customHeight="1">
      <c r="A528" s="159"/>
      <c r="B528" s="160"/>
      <c r="C528" s="161"/>
      <c r="D528" s="162"/>
      <c r="E528" s="162"/>
      <c r="F528" s="162"/>
      <c r="G528" s="162"/>
      <c r="H528" s="162"/>
      <c r="I528" s="162"/>
      <c r="J528" s="162"/>
      <c r="K528" s="162"/>
      <c r="L528" s="162"/>
      <c r="M528" s="162"/>
      <c r="N528" s="161"/>
      <c r="O528" s="162"/>
      <c r="P528" s="162"/>
      <c r="Q528" s="162"/>
      <c r="R528" s="162"/>
      <c r="S528" s="161"/>
      <c r="T528" s="161"/>
      <c r="U528" s="162"/>
      <c r="V528" s="162"/>
      <c r="W528" s="162"/>
      <c r="X528" s="162"/>
      <c r="Y528" s="162"/>
      <c r="Z528" s="162"/>
    </row>
    <row r="529" spans="1:26" ht="15" customHeight="1">
      <c r="A529" s="159"/>
      <c r="B529" s="160"/>
      <c r="C529" s="161"/>
      <c r="D529" s="162"/>
      <c r="E529" s="162"/>
      <c r="F529" s="162"/>
      <c r="G529" s="162"/>
      <c r="H529" s="162"/>
      <c r="I529" s="162"/>
      <c r="J529" s="162"/>
      <c r="K529" s="162"/>
      <c r="L529" s="162"/>
      <c r="M529" s="162"/>
      <c r="N529" s="161"/>
      <c r="O529" s="162"/>
      <c r="P529" s="162"/>
      <c r="Q529" s="162"/>
      <c r="R529" s="162"/>
      <c r="S529" s="161"/>
      <c r="T529" s="161"/>
      <c r="U529" s="162"/>
      <c r="V529" s="162"/>
      <c r="W529" s="162"/>
      <c r="X529" s="162"/>
      <c r="Y529" s="162"/>
      <c r="Z529" s="162"/>
    </row>
    <row r="530" spans="1:26" ht="15" customHeight="1">
      <c r="A530" s="159"/>
      <c r="B530" s="160"/>
      <c r="C530" s="161"/>
      <c r="D530" s="162"/>
      <c r="E530" s="162"/>
      <c r="F530" s="162"/>
      <c r="G530" s="162"/>
      <c r="H530" s="162"/>
      <c r="I530" s="162"/>
      <c r="J530" s="162"/>
      <c r="K530" s="162"/>
      <c r="L530" s="162"/>
      <c r="M530" s="162"/>
      <c r="N530" s="161"/>
      <c r="O530" s="162"/>
      <c r="P530" s="162"/>
      <c r="Q530" s="162"/>
      <c r="R530" s="162"/>
      <c r="S530" s="161"/>
      <c r="T530" s="161"/>
      <c r="U530" s="162"/>
      <c r="V530" s="162"/>
      <c r="W530" s="162"/>
      <c r="X530" s="162"/>
      <c r="Y530" s="162"/>
      <c r="Z530" s="162"/>
    </row>
    <row r="531" spans="1:26" ht="15" customHeight="1">
      <c r="A531" s="159"/>
      <c r="B531" s="160"/>
      <c r="C531" s="161"/>
      <c r="D531" s="162"/>
      <c r="E531" s="162"/>
      <c r="F531" s="162"/>
      <c r="G531" s="162"/>
      <c r="H531" s="162"/>
      <c r="I531" s="162"/>
      <c r="J531" s="162"/>
      <c r="K531" s="162"/>
      <c r="L531" s="162"/>
      <c r="M531" s="162"/>
      <c r="N531" s="161"/>
      <c r="O531" s="162"/>
      <c r="P531" s="162"/>
      <c r="Q531" s="162"/>
      <c r="R531" s="162"/>
      <c r="S531" s="161"/>
      <c r="T531" s="161"/>
      <c r="U531" s="162"/>
      <c r="V531" s="162"/>
      <c r="W531" s="162"/>
      <c r="X531" s="162"/>
      <c r="Y531" s="162"/>
      <c r="Z531" s="162"/>
    </row>
    <row r="532" spans="1:26" ht="15" customHeight="1">
      <c r="A532" s="159"/>
      <c r="B532" s="160"/>
      <c r="C532" s="161"/>
      <c r="D532" s="162"/>
      <c r="E532" s="162"/>
      <c r="F532" s="162"/>
      <c r="G532" s="162"/>
      <c r="H532" s="162"/>
      <c r="I532" s="162"/>
      <c r="J532" s="162"/>
      <c r="K532" s="162"/>
      <c r="L532" s="162"/>
      <c r="M532" s="162"/>
      <c r="N532" s="161"/>
      <c r="O532" s="162"/>
      <c r="P532" s="162"/>
      <c r="Q532" s="162"/>
      <c r="R532" s="162"/>
      <c r="S532" s="161"/>
      <c r="T532" s="161"/>
      <c r="U532" s="162"/>
      <c r="V532" s="162"/>
      <c r="W532" s="162"/>
      <c r="X532" s="162"/>
      <c r="Y532" s="162"/>
      <c r="Z532" s="162"/>
    </row>
    <row r="533" spans="1:26" ht="15" customHeight="1">
      <c r="A533" s="159"/>
      <c r="B533" s="160"/>
      <c r="C533" s="161"/>
      <c r="D533" s="162"/>
      <c r="E533" s="162"/>
      <c r="F533" s="162"/>
      <c r="G533" s="162"/>
      <c r="H533" s="162"/>
      <c r="I533" s="162"/>
      <c r="J533" s="162"/>
      <c r="K533" s="162"/>
      <c r="L533" s="162"/>
      <c r="M533" s="162"/>
      <c r="N533" s="161"/>
      <c r="O533" s="162"/>
      <c r="P533" s="162"/>
      <c r="Q533" s="162"/>
      <c r="R533" s="162"/>
      <c r="S533" s="161"/>
      <c r="T533" s="161"/>
      <c r="U533" s="162"/>
      <c r="V533" s="162"/>
      <c r="W533" s="162"/>
      <c r="X533" s="162"/>
      <c r="Y533" s="162"/>
      <c r="Z533" s="162"/>
    </row>
    <row r="534" spans="1:26" ht="15" customHeight="1">
      <c r="A534" s="159"/>
      <c r="B534" s="160"/>
      <c r="C534" s="161"/>
      <c r="D534" s="162"/>
      <c r="E534" s="162"/>
      <c r="F534" s="162"/>
      <c r="G534" s="162"/>
      <c r="H534" s="162"/>
      <c r="I534" s="162"/>
      <c r="J534" s="162"/>
      <c r="K534" s="162"/>
      <c r="L534" s="162"/>
      <c r="M534" s="162"/>
      <c r="N534" s="161"/>
      <c r="O534" s="162"/>
      <c r="P534" s="162"/>
      <c r="Q534" s="162"/>
      <c r="R534" s="162"/>
      <c r="S534" s="161"/>
      <c r="T534" s="161"/>
      <c r="U534" s="162"/>
      <c r="V534" s="162"/>
      <c r="W534" s="162"/>
      <c r="X534" s="162"/>
      <c r="Y534" s="162"/>
      <c r="Z534" s="162"/>
    </row>
    <row r="535" spans="1:26" ht="15" customHeight="1">
      <c r="A535" s="159"/>
      <c r="B535" s="160"/>
      <c r="C535" s="161"/>
      <c r="D535" s="162"/>
      <c r="E535" s="162"/>
      <c r="F535" s="162"/>
      <c r="G535" s="162"/>
      <c r="H535" s="162"/>
      <c r="I535" s="162"/>
      <c r="J535" s="162"/>
      <c r="K535" s="162"/>
      <c r="L535" s="162"/>
      <c r="M535" s="162"/>
      <c r="N535" s="161"/>
      <c r="O535" s="162"/>
      <c r="P535" s="162"/>
      <c r="Q535" s="162"/>
      <c r="R535" s="162"/>
      <c r="S535" s="161"/>
      <c r="T535" s="161"/>
      <c r="U535" s="162"/>
      <c r="V535" s="162"/>
      <c r="W535" s="162"/>
      <c r="X535" s="162"/>
      <c r="Y535" s="162"/>
      <c r="Z535" s="162"/>
    </row>
    <row r="536" spans="1:26" ht="15" customHeight="1">
      <c r="A536" s="159"/>
      <c r="B536" s="160"/>
      <c r="C536" s="161"/>
      <c r="D536" s="162"/>
      <c r="E536" s="162"/>
      <c r="F536" s="162"/>
      <c r="G536" s="162"/>
      <c r="H536" s="162"/>
      <c r="I536" s="162"/>
      <c r="J536" s="162"/>
      <c r="K536" s="162"/>
      <c r="L536" s="162"/>
      <c r="M536" s="162"/>
      <c r="N536" s="161"/>
      <c r="O536" s="162"/>
      <c r="P536" s="162"/>
      <c r="Q536" s="162"/>
      <c r="R536" s="162"/>
      <c r="S536" s="161"/>
      <c r="T536" s="161"/>
      <c r="U536" s="162"/>
      <c r="V536" s="162"/>
      <c r="W536" s="162"/>
      <c r="X536" s="162"/>
      <c r="Y536" s="162"/>
      <c r="Z536" s="162"/>
    </row>
    <row r="537" spans="1:26" ht="15" customHeight="1">
      <c r="A537" s="159"/>
      <c r="B537" s="160"/>
      <c r="C537" s="161"/>
      <c r="D537" s="162"/>
      <c r="E537" s="162"/>
      <c r="F537" s="162"/>
      <c r="G537" s="162"/>
      <c r="H537" s="162"/>
      <c r="I537" s="162"/>
      <c r="J537" s="162"/>
      <c r="K537" s="162"/>
      <c r="L537" s="162"/>
      <c r="M537" s="162"/>
      <c r="N537" s="161"/>
      <c r="O537" s="162"/>
      <c r="P537" s="162"/>
      <c r="Q537" s="162"/>
      <c r="R537" s="162"/>
      <c r="S537" s="161"/>
      <c r="T537" s="161"/>
      <c r="U537" s="162"/>
      <c r="V537" s="162"/>
      <c r="W537" s="162"/>
      <c r="X537" s="162"/>
      <c r="Y537" s="162"/>
      <c r="Z537" s="162"/>
    </row>
    <row r="538" spans="1:26" ht="15" customHeight="1">
      <c r="A538" s="159"/>
      <c r="B538" s="160"/>
      <c r="C538" s="161"/>
      <c r="D538" s="162"/>
      <c r="E538" s="162"/>
      <c r="F538" s="162"/>
      <c r="G538" s="162"/>
      <c r="H538" s="162"/>
      <c r="I538" s="162"/>
      <c r="J538" s="162"/>
      <c r="K538" s="162"/>
      <c r="L538" s="162"/>
      <c r="M538" s="162"/>
      <c r="N538" s="161"/>
      <c r="O538" s="162"/>
      <c r="P538" s="162"/>
      <c r="Q538" s="162"/>
      <c r="R538" s="162"/>
      <c r="S538" s="161"/>
      <c r="T538" s="161"/>
      <c r="U538" s="162"/>
      <c r="V538" s="162"/>
      <c r="W538" s="162"/>
      <c r="X538" s="162"/>
      <c r="Y538" s="162"/>
      <c r="Z538" s="162"/>
    </row>
    <row r="539" spans="1:26" ht="15" customHeight="1">
      <c r="A539" s="159"/>
      <c r="B539" s="160"/>
      <c r="C539" s="161"/>
      <c r="D539" s="162"/>
      <c r="E539" s="162"/>
      <c r="F539" s="162"/>
      <c r="G539" s="162"/>
      <c r="H539" s="162"/>
      <c r="I539" s="162"/>
      <c r="J539" s="162"/>
      <c r="K539" s="162"/>
      <c r="L539" s="162"/>
      <c r="M539" s="162"/>
      <c r="N539" s="161"/>
      <c r="O539" s="162"/>
      <c r="P539" s="162"/>
      <c r="Q539" s="162"/>
      <c r="R539" s="162"/>
      <c r="S539" s="161"/>
      <c r="T539" s="161"/>
      <c r="U539" s="162"/>
      <c r="V539" s="162"/>
      <c r="W539" s="162"/>
      <c r="X539" s="162"/>
      <c r="Y539" s="162"/>
      <c r="Z539" s="162"/>
    </row>
    <row r="540" spans="1:26" ht="15" customHeight="1">
      <c r="A540" s="159"/>
      <c r="B540" s="160"/>
      <c r="C540" s="161"/>
      <c r="D540" s="162"/>
      <c r="E540" s="162"/>
      <c r="F540" s="162"/>
      <c r="G540" s="162"/>
      <c r="H540" s="162"/>
      <c r="I540" s="162"/>
      <c r="J540" s="162"/>
      <c r="K540" s="162"/>
      <c r="L540" s="162"/>
      <c r="M540" s="162"/>
      <c r="N540" s="161"/>
      <c r="O540" s="162"/>
      <c r="P540" s="162"/>
      <c r="Q540" s="162"/>
      <c r="R540" s="162"/>
      <c r="S540" s="161"/>
      <c r="T540" s="161"/>
      <c r="U540" s="162"/>
      <c r="V540" s="162"/>
      <c r="W540" s="162"/>
      <c r="X540" s="162"/>
      <c r="Y540" s="162"/>
      <c r="Z540" s="162"/>
    </row>
    <row r="541" spans="1:26" ht="15" customHeight="1">
      <c r="A541" s="159"/>
      <c r="B541" s="160"/>
      <c r="C541" s="161"/>
      <c r="D541" s="162"/>
      <c r="E541" s="162"/>
      <c r="F541" s="162"/>
      <c r="G541" s="162"/>
      <c r="H541" s="162"/>
      <c r="I541" s="162"/>
      <c r="J541" s="162"/>
      <c r="K541" s="162"/>
      <c r="L541" s="162"/>
      <c r="M541" s="162"/>
      <c r="N541" s="161"/>
      <c r="O541" s="162"/>
      <c r="P541" s="162"/>
      <c r="Q541" s="162"/>
      <c r="R541" s="162"/>
      <c r="S541" s="161"/>
      <c r="T541" s="161"/>
      <c r="U541" s="162"/>
      <c r="V541" s="162"/>
      <c r="W541" s="162"/>
      <c r="X541" s="162"/>
      <c r="Y541" s="162"/>
      <c r="Z541" s="162"/>
    </row>
    <row r="542" spans="1:26" ht="15" customHeight="1">
      <c r="A542" s="159"/>
      <c r="B542" s="160"/>
      <c r="C542" s="161"/>
      <c r="D542" s="162"/>
      <c r="E542" s="162"/>
      <c r="F542" s="162"/>
      <c r="G542" s="162"/>
      <c r="H542" s="162"/>
      <c r="I542" s="162"/>
      <c r="J542" s="162"/>
      <c r="K542" s="162"/>
      <c r="L542" s="162"/>
      <c r="M542" s="162"/>
      <c r="N542" s="161"/>
      <c r="O542" s="162"/>
      <c r="P542" s="162"/>
      <c r="Q542" s="162"/>
      <c r="R542" s="162"/>
      <c r="S542" s="161"/>
      <c r="T542" s="161"/>
      <c r="U542" s="162"/>
      <c r="V542" s="162"/>
      <c r="W542" s="162"/>
      <c r="X542" s="162"/>
      <c r="Y542" s="162"/>
      <c r="Z542" s="162"/>
    </row>
    <row r="543" spans="1:26" ht="15" customHeight="1">
      <c r="A543" s="159"/>
      <c r="B543" s="160"/>
      <c r="C543" s="161"/>
      <c r="D543" s="162"/>
      <c r="E543" s="162"/>
      <c r="F543" s="162"/>
      <c r="G543" s="162"/>
      <c r="H543" s="162"/>
      <c r="I543" s="162"/>
      <c r="J543" s="162"/>
      <c r="K543" s="162"/>
      <c r="L543" s="162"/>
      <c r="M543" s="162"/>
      <c r="N543" s="161"/>
      <c r="O543" s="162"/>
      <c r="P543" s="162"/>
      <c r="Q543" s="162"/>
      <c r="R543" s="162"/>
      <c r="S543" s="161"/>
      <c r="T543" s="161"/>
      <c r="U543" s="162"/>
      <c r="V543" s="162"/>
      <c r="W543" s="162"/>
      <c r="X543" s="162"/>
      <c r="Y543" s="162"/>
      <c r="Z543" s="162"/>
    </row>
    <row r="544" spans="1:26" ht="15" customHeight="1">
      <c r="A544" s="159"/>
      <c r="B544" s="160"/>
      <c r="C544" s="161"/>
      <c r="D544" s="162"/>
      <c r="E544" s="162"/>
      <c r="F544" s="162"/>
      <c r="G544" s="162"/>
      <c r="H544" s="162"/>
      <c r="I544" s="162"/>
      <c r="J544" s="162"/>
      <c r="K544" s="162"/>
      <c r="L544" s="162"/>
      <c r="M544" s="162"/>
      <c r="N544" s="161"/>
      <c r="O544" s="162"/>
      <c r="P544" s="162"/>
      <c r="Q544" s="162"/>
      <c r="R544" s="162"/>
      <c r="S544" s="161"/>
      <c r="T544" s="161"/>
      <c r="U544" s="162"/>
      <c r="V544" s="162"/>
      <c r="W544" s="162"/>
      <c r="X544" s="162"/>
      <c r="Y544" s="162"/>
      <c r="Z544" s="162"/>
    </row>
    <row r="545" spans="1:26" ht="15" customHeight="1">
      <c r="A545" s="159"/>
      <c r="B545" s="160"/>
      <c r="C545" s="161"/>
      <c r="D545" s="162"/>
      <c r="E545" s="162"/>
      <c r="F545" s="162"/>
      <c r="G545" s="162"/>
      <c r="H545" s="162"/>
      <c r="I545" s="162"/>
      <c r="J545" s="162"/>
      <c r="K545" s="162"/>
      <c r="L545" s="162"/>
      <c r="M545" s="162"/>
      <c r="N545" s="161"/>
      <c r="O545" s="162"/>
      <c r="P545" s="162"/>
      <c r="Q545" s="162"/>
      <c r="R545" s="162"/>
      <c r="S545" s="161"/>
      <c r="T545" s="161"/>
      <c r="U545" s="162"/>
      <c r="V545" s="162"/>
      <c r="W545" s="162"/>
      <c r="X545" s="162"/>
      <c r="Y545" s="162"/>
      <c r="Z545" s="162"/>
    </row>
    <row r="546" spans="1:26" ht="15" customHeight="1">
      <c r="A546" s="159"/>
      <c r="B546" s="160"/>
      <c r="C546" s="161"/>
      <c r="D546" s="162"/>
      <c r="E546" s="162"/>
      <c r="F546" s="162"/>
      <c r="G546" s="162"/>
      <c r="H546" s="162"/>
      <c r="I546" s="162"/>
      <c r="J546" s="162"/>
      <c r="K546" s="162"/>
      <c r="L546" s="162"/>
      <c r="M546" s="162"/>
      <c r="N546" s="161"/>
      <c r="O546" s="162"/>
      <c r="P546" s="162"/>
      <c r="Q546" s="162"/>
      <c r="R546" s="162"/>
      <c r="S546" s="161"/>
      <c r="T546" s="161"/>
      <c r="U546" s="162"/>
      <c r="V546" s="162"/>
      <c r="W546" s="162"/>
      <c r="X546" s="162"/>
      <c r="Y546" s="162"/>
      <c r="Z546" s="162"/>
    </row>
    <row r="547" spans="1:26" ht="15" customHeight="1">
      <c r="A547" s="159"/>
      <c r="B547" s="160"/>
      <c r="C547" s="161"/>
      <c r="D547" s="162"/>
      <c r="E547" s="162"/>
      <c r="F547" s="162"/>
      <c r="G547" s="162"/>
      <c r="H547" s="162"/>
      <c r="I547" s="162"/>
      <c r="J547" s="162"/>
      <c r="K547" s="162"/>
      <c r="L547" s="162"/>
      <c r="M547" s="162"/>
      <c r="N547" s="161"/>
      <c r="O547" s="162"/>
      <c r="P547" s="162"/>
      <c r="Q547" s="162"/>
      <c r="R547" s="162"/>
      <c r="S547" s="161"/>
      <c r="T547" s="161"/>
      <c r="U547" s="162"/>
      <c r="V547" s="162"/>
      <c r="W547" s="162"/>
      <c r="X547" s="162"/>
      <c r="Y547" s="162"/>
      <c r="Z547" s="162"/>
    </row>
    <row r="548" spans="1:26" ht="15" customHeight="1">
      <c r="A548" s="159"/>
      <c r="B548" s="160"/>
      <c r="C548" s="161"/>
      <c r="D548" s="162"/>
      <c r="E548" s="162"/>
      <c r="F548" s="162"/>
      <c r="G548" s="162"/>
      <c r="H548" s="162"/>
      <c r="I548" s="162"/>
      <c r="J548" s="162"/>
      <c r="K548" s="162"/>
      <c r="L548" s="162"/>
      <c r="M548" s="162"/>
      <c r="N548" s="161"/>
      <c r="O548" s="162"/>
      <c r="P548" s="162"/>
      <c r="Q548" s="162"/>
      <c r="R548" s="162"/>
      <c r="S548" s="161"/>
      <c r="T548" s="161"/>
      <c r="U548" s="162"/>
      <c r="V548" s="162"/>
      <c r="W548" s="162"/>
      <c r="X548" s="162"/>
      <c r="Y548" s="162"/>
      <c r="Z548" s="162"/>
    </row>
    <row r="549" spans="1:26" ht="15" customHeight="1">
      <c r="A549" s="159"/>
      <c r="B549" s="160"/>
      <c r="C549" s="161"/>
      <c r="D549" s="162"/>
      <c r="E549" s="162"/>
      <c r="F549" s="162"/>
      <c r="G549" s="162"/>
      <c r="H549" s="162"/>
      <c r="I549" s="162"/>
      <c r="J549" s="162"/>
      <c r="K549" s="162"/>
      <c r="L549" s="162"/>
      <c r="M549" s="162"/>
      <c r="N549" s="161"/>
      <c r="O549" s="162"/>
      <c r="P549" s="162"/>
      <c r="Q549" s="162"/>
      <c r="R549" s="162"/>
      <c r="S549" s="161"/>
      <c r="T549" s="161"/>
      <c r="U549" s="162"/>
      <c r="V549" s="162"/>
      <c r="W549" s="162"/>
      <c r="X549" s="162"/>
      <c r="Y549" s="162"/>
      <c r="Z549" s="162"/>
    </row>
    <row r="550" spans="1:26" ht="15" customHeight="1">
      <c r="A550" s="159"/>
      <c r="B550" s="160"/>
      <c r="C550" s="161"/>
      <c r="D550" s="162"/>
      <c r="E550" s="162"/>
      <c r="F550" s="162"/>
      <c r="G550" s="162"/>
      <c r="H550" s="162"/>
      <c r="I550" s="162"/>
      <c r="J550" s="162"/>
      <c r="K550" s="162"/>
      <c r="L550" s="162"/>
      <c r="M550" s="162"/>
      <c r="N550" s="161"/>
      <c r="O550" s="162"/>
      <c r="P550" s="162"/>
      <c r="Q550" s="162"/>
      <c r="R550" s="162"/>
      <c r="S550" s="161"/>
      <c r="T550" s="161"/>
      <c r="U550" s="162"/>
      <c r="V550" s="162"/>
      <c r="W550" s="162"/>
      <c r="X550" s="162"/>
      <c r="Y550" s="162"/>
      <c r="Z550" s="162"/>
    </row>
    <row r="551" spans="1:26" ht="15" customHeight="1">
      <c r="A551" s="159"/>
      <c r="B551" s="160"/>
      <c r="C551" s="161"/>
      <c r="D551" s="162"/>
      <c r="E551" s="162"/>
      <c r="F551" s="162"/>
      <c r="G551" s="162"/>
      <c r="H551" s="162"/>
      <c r="I551" s="162"/>
      <c r="J551" s="162"/>
      <c r="K551" s="162"/>
      <c r="L551" s="162"/>
      <c r="M551" s="162"/>
      <c r="N551" s="161"/>
      <c r="O551" s="162"/>
      <c r="P551" s="162"/>
      <c r="Q551" s="162"/>
      <c r="R551" s="162"/>
      <c r="S551" s="161"/>
      <c r="T551" s="161"/>
      <c r="U551" s="162"/>
      <c r="V551" s="162"/>
      <c r="W551" s="162"/>
      <c r="X551" s="162"/>
      <c r="Y551" s="162"/>
      <c r="Z551" s="162"/>
    </row>
    <row r="552" spans="1:26" ht="15" customHeight="1">
      <c r="A552" s="159"/>
      <c r="B552" s="160"/>
      <c r="C552" s="161"/>
      <c r="D552" s="162"/>
      <c r="E552" s="162"/>
      <c r="F552" s="162"/>
      <c r="G552" s="162"/>
      <c r="H552" s="162"/>
      <c r="I552" s="162"/>
      <c r="J552" s="162"/>
      <c r="K552" s="162"/>
      <c r="L552" s="162"/>
      <c r="M552" s="162"/>
      <c r="N552" s="161"/>
      <c r="O552" s="162"/>
      <c r="P552" s="162"/>
      <c r="Q552" s="162"/>
      <c r="R552" s="162"/>
      <c r="S552" s="161"/>
      <c r="T552" s="161"/>
      <c r="U552" s="162"/>
      <c r="V552" s="162"/>
      <c r="W552" s="162"/>
      <c r="X552" s="162"/>
      <c r="Y552" s="162"/>
      <c r="Z552" s="162"/>
    </row>
    <row r="553" spans="1:26" ht="15" customHeight="1">
      <c r="A553" s="159"/>
      <c r="B553" s="160"/>
      <c r="C553" s="161"/>
      <c r="D553" s="162"/>
      <c r="E553" s="162"/>
      <c r="F553" s="162"/>
      <c r="G553" s="162"/>
      <c r="H553" s="162"/>
      <c r="I553" s="162"/>
      <c r="J553" s="162"/>
      <c r="K553" s="162"/>
      <c r="L553" s="162"/>
      <c r="M553" s="162"/>
      <c r="N553" s="161"/>
      <c r="O553" s="162"/>
      <c r="P553" s="162"/>
      <c r="Q553" s="162"/>
      <c r="R553" s="162"/>
      <c r="S553" s="161"/>
      <c r="T553" s="161"/>
      <c r="U553" s="162"/>
      <c r="V553" s="162"/>
      <c r="W553" s="162"/>
      <c r="X553" s="162"/>
      <c r="Y553" s="162"/>
      <c r="Z553" s="162"/>
    </row>
    <row r="554" spans="1:26" ht="15" customHeight="1">
      <c r="A554" s="159"/>
      <c r="B554" s="160"/>
      <c r="C554" s="161"/>
      <c r="D554" s="162"/>
      <c r="E554" s="162"/>
      <c r="F554" s="162"/>
      <c r="G554" s="162"/>
      <c r="H554" s="162"/>
      <c r="I554" s="162"/>
      <c r="J554" s="162"/>
      <c r="K554" s="162"/>
      <c r="L554" s="162"/>
      <c r="M554" s="162"/>
      <c r="N554" s="161"/>
      <c r="O554" s="162"/>
      <c r="P554" s="162"/>
      <c r="Q554" s="162"/>
      <c r="R554" s="162"/>
      <c r="S554" s="161"/>
      <c r="T554" s="161"/>
      <c r="U554" s="162"/>
      <c r="V554" s="162"/>
      <c r="W554" s="162"/>
      <c r="X554" s="162"/>
      <c r="Y554" s="162"/>
      <c r="Z554" s="162"/>
    </row>
    <row r="555" spans="1:26" ht="15" customHeight="1">
      <c r="A555" s="159"/>
      <c r="B555" s="160"/>
      <c r="C555" s="161"/>
      <c r="D555" s="162"/>
      <c r="E555" s="162"/>
      <c r="F555" s="162"/>
      <c r="G555" s="162"/>
      <c r="H555" s="162"/>
      <c r="I555" s="162"/>
      <c r="J555" s="162"/>
      <c r="K555" s="162"/>
      <c r="L555" s="162"/>
      <c r="M555" s="162"/>
      <c r="N555" s="161"/>
      <c r="O555" s="162"/>
      <c r="P555" s="162"/>
      <c r="Q555" s="162"/>
      <c r="R555" s="162"/>
      <c r="S555" s="161"/>
      <c r="T555" s="161"/>
      <c r="U555" s="162"/>
      <c r="V555" s="162"/>
      <c r="W555" s="162"/>
      <c r="X555" s="162"/>
      <c r="Y555" s="162"/>
      <c r="Z555" s="162"/>
    </row>
    <row r="556" spans="1:26" ht="15" customHeight="1">
      <c r="A556" s="159"/>
      <c r="B556" s="160"/>
      <c r="C556" s="161"/>
      <c r="D556" s="162"/>
      <c r="E556" s="162"/>
      <c r="F556" s="162"/>
      <c r="G556" s="162"/>
      <c r="H556" s="162"/>
      <c r="I556" s="162"/>
      <c r="J556" s="162"/>
      <c r="K556" s="162"/>
      <c r="L556" s="162"/>
      <c r="M556" s="162"/>
      <c r="N556" s="161"/>
      <c r="O556" s="162"/>
      <c r="P556" s="162"/>
      <c r="Q556" s="162"/>
      <c r="R556" s="162"/>
      <c r="S556" s="161"/>
      <c r="T556" s="161"/>
      <c r="U556" s="162"/>
      <c r="V556" s="162"/>
      <c r="W556" s="162"/>
      <c r="X556" s="162"/>
      <c r="Y556" s="162"/>
      <c r="Z556" s="162"/>
    </row>
    <row r="557" spans="1:26" ht="15" customHeight="1">
      <c r="A557" s="159"/>
      <c r="B557" s="160"/>
      <c r="C557" s="161"/>
      <c r="D557" s="162"/>
      <c r="E557" s="162"/>
      <c r="F557" s="162"/>
      <c r="G557" s="162"/>
      <c r="H557" s="162"/>
      <c r="I557" s="162"/>
      <c r="J557" s="162"/>
      <c r="K557" s="162"/>
      <c r="L557" s="162"/>
      <c r="M557" s="162"/>
      <c r="N557" s="161"/>
      <c r="O557" s="162"/>
      <c r="P557" s="162"/>
      <c r="Q557" s="162"/>
      <c r="R557" s="162"/>
      <c r="S557" s="161"/>
      <c r="T557" s="161"/>
      <c r="U557" s="162"/>
      <c r="V557" s="162"/>
      <c r="W557" s="162"/>
      <c r="X557" s="162"/>
      <c r="Y557" s="162"/>
      <c r="Z557" s="162"/>
    </row>
    <row r="558" spans="1:26" ht="15" customHeight="1">
      <c r="A558" s="159"/>
      <c r="B558" s="160"/>
      <c r="C558" s="161"/>
      <c r="D558" s="162"/>
      <c r="E558" s="162"/>
      <c r="F558" s="162"/>
      <c r="G558" s="162"/>
      <c r="H558" s="162"/>
      <c r="I558" s="162"/>
      <c r="J558" s="162"/>
      <c r="K558" s="162"/>
      <c r="L558" s="162"/>
      <c r="M558" s="162"/>
      <c r="N558" s="161"/>
      <c r="O558" s="162"/>
      <c r="P558" s="162"/>
      <c r="Q558" s="162"/>
      <c r="R558" s="162"/>
      <c r="S558" s="161"/>
      <c r="T558" s="161"/>
      <c r="U558" s="162"/>
      <c r="V558" s="162"/>
      <c r="W558" s="162"/>
      <c r="X558" s="162"/>
      <c r="Y558" s="162"/>
      <c r="Z558" s="162"/>
    </row>
    <row r="559" spans="1:26" ht="15" customHeight="1">
      <c r="A559" s="159"/>
      <c r="B559" s="160"/>
      <c r="C559" s="161"/>
      <c r="D559" s="162"/>
      <c r="E559" s="162"/>
      <c r="F559" s="162"/>
      <c r="G559" s="162"/>
      <c r="H559" s="162"/>
      <c r="I559" s="162"/>
      <c r="J559" s="162"/>
      <c r="K559" s="162"/>
      <c r="L559" s="162"/>
      <c r="M559" s="162"/>
      <c r="N559" s="161"/>
      <c r="O559" s="162"/>
      <c r="P559" s="162"/>
      <c r="Q559" s="162"/>
      <c r="R559" s="162"/>
      <c r="S559" s="161"/>
      <c r="T559" s="161"/>
      <c r="U559" s="162"/>
      <c r="V559" s="162"/>
      <c r="W559" s="162"/>
      <c r="X559" s="162"/>
      <c r="Y559" s="162"/>
      <c r="Z559" s="162"/>
    </row>
    <row r="560" spans="1:26" ht="15" customHeight="1">
      <c r="A560" s="159"/>
      <c r="B560" s="160"/>
      <c r="C560" s="161"/>
      <c r="D560" s="162"/>
      <c r="E560" s="162"/>
      <c r="F560" s="162"/>
      <c r="G560" s="162"/>
      <c r="H560" s="162"/>
      <c r="I560" s="162"/>
      <c r="J560" s="162"/>
      <c r="K560" s="162"/>
      <c r="L560" s="162"/>
      <c r="M560" s="162"/>
      <c r="N560" s="161"/>
      <c r="O560" s="162"/>
      <c r="P560" s="162"/>
      <c r="Q560" s="162"/>
      <c r="R560" s="162"/>
      <c r="S560" s="161"/>
      <c r="T560" s="161"/>
      <c r="U560" s="162"/>
      <c r="V560" s="162"/>
      <c r="W560" s="162"/>
      <c r="X560" s="162"/>
      <c r="Y560" s="162"/>
      <c r="Z560" s="162"/>
    </row>
    <row r="561" spans="1:26" ht="15" customHeight="1">
      <c r="A561" s="159"/>
      <c r="B561" s="160"/>
      <c r="C561" s="161"/>
      <c r="D561" s="162"/>
      <c r="E561" s="162"/>
      <c r="F561" s="162"/>
      <c r="G561" s="162"/>
      <c r="H561" s="162"/>
      <c r="I561" s="162"/>
      <c r="J561" s="162"/>
      <c r="K561" s="162"/>
      <c r="L561" s="162"/>
      <c r="M561" s="162"/>
      <c r="N561" s="161"/>
      <c r="O561" s="162"/>
      <c r="P561" s="162"/>
      <c r="Q561" s="162"/>
      <c r="R561" s="162"/>
      <c r="S561" s="161"/>
      <c r="T561" s="161"/>
      <c r="U561" s="162"/>
      <c r="V561" s="162"/>
      <c r="W561" s="162"/>
      <c r="X561" s="162"/>
      <c r="Y561" s="162"/>
      <c r="Z561" s="162"/>
    </row>
    <row r="562" spans="1:26" ht="15" customHeight="1">
      <c r="A562" s="159"/>
      <c r="B562" s="160"/>
      <c r="C562" s="161"/>
      <c r="D562" s="162"/>
      <c r="E562" s="162"/>
      <c r="F562" s="162"/>
      <c r="G562" s="162"/>
      <c r="H562" s="162"/>
      <c r="I562" s="162"/>
      <c r="J562" s="162"/>
      <c r="K562" s="162"/>
      <c r="L562" s="162"/>
      <c r="M562" s="162"/>
      <c r="N562" s="161"/>
      <c r="O562" s="162"/>
      <c r="P562" s="162"/>
      <c r="Q562" s="162"/>
      <c r="R562" s="162"/>
      <c r="S562" s="161"/>
      <c r="T562" s="161"/>
      <c r="U562" s="162"/>
      <c r="V562" s="162"/>
      <c r="W562" s="162"/>
      <c r="X562" s="162"/>
      <c r="Y562" s="162"/>
      <c r="Z562" s="162"/>
    </row>
  </sheetData>
  <sheetProtection selectLockedCells="1"/>
  <hyperlinks>
    <hyperlink ref="A1" location="ExtractAndProcessData" display="Run Extractor" xr:uid="{B5B7FEA5-80FC-4EFD-BD54-7E1E25450EAC}"/>
  </hyperlinks>
  <pageMargins left="0.25" right="0.25" top="0.75" bottom="0.75" header="0.3" footer="0.3"/>
  <pageSetup scale="1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F993-4AB2-48D7-9C11-FC7DA39B7A68}">
  <sheetPr codeName="Sheet10"/>
  <dimension ref="A1:K4"/>
  <sheetViews>
    <sheetView workbookViewId="0">
      <selection activeCell="A3" sqref="A3"/>
    </sheetView>
  </sheetViews>
  <sheetFormatPr defaultColWidth="8.7109375" defaultRowHeight="15"/>
  <cols>
    <col min="1" max="1" width="22.85546875" bestFit="1" customWidth="1"/>
    <col min="2" max="2" width="17.28515625" bestFit="1" customWidth="1"/>
    <col min="3" max="3" width="12.85546875" bestFit="1" customWidth="1"/>
    <col min="4" max="4" width="17.5703125" bestFit="1" customWidth="1"/>
    <col min="5" max="5" width="25.5703125" customWidth="1"/>
    <col min="6" max="6" width="19.42578125" bestFit="1" customWidth="1"/>
    <col min="7" max="7" width="13.5703125" bestFit="1" customWidth="1"/>
    <col min="8" max="8" width="25.5703125" customWidth="1"/>
    <col min="9" max="9" width="7.140625" bestFit="1" customWidth="1"/>
    <col min="10" max="10" width="14.42578125" bestFit="1" customWidth="1"/>
  </cols>
  <sheetData>
    <row r="1" spans="1:11" s="2" customFormat="1" ht="29.45" customHeight="1"/>
    <row r="2" spans="1:11">
      <c r="A2" s="207" t="s">
        <v>314</v>
      </c>
      <c r="B2" s="207" t="s">
        <v>315</v>
      </c>
      <c r="C2" s="207" t="s">
        <v>316</v>
      </c>
      <c r="D2" s="207" t="s">
        <v>317</v>
      </c>
      <c r="E2" s="207" t="s">
        <v>318</v>
      </c>
      <c r="F2" s="207" t="s">
        <v>319</v>
      </c>
      <c r="G2" s="207" t="s">
        <v>320</v>
      </c>
      <c r="H2" s="207" t="s">
        <v>321</v>
      </c>
      <c r="I2" s="207" t="s">
        <v>322</v>
      </c>
      <c r="J2" s="207" t="s">
        <v>323</v>
      </c>
      <c r="K2" s="207" t="s">
        <v>324</v>
      </c>
    </row>
    <row r="3" spans="1:11">
      <c r="A3" t="s">
        <v>89</v>
      </c>
      <c r="B3" t="s">
        <v>82</v>
      </c>
      <c r="C3" s="1">
        <v>45910</v>
      </c>
      <c r="D3" t="s">
        <v>325</v>
      </c>
      <c r="E3" t="s">
        <v>326</v>
      </c>
      <c r="F3" t="s">
        <v>55</v>
      </c>
      <c r="G3">
        <v>825812</v>
      </c>
      <c r="H3" t="s">
        <v>79</v>
      </c>
      <c r="I3">
        <v>93</v>
      </c>
      <c r="J3" t="s">
        <v>80</v>
      </c>
      <c r="K3" s="1">
        <v>45910</v>
      </c>
    </row>
    <row r="4" spans="1:11">
      <c r="A4" t="s">
        <v>92</v>
      </c>
      <c r="B4" t="s">
        <v>82</v>
      </c>
      <c r="C4" s="1">
        <v>45910</v>
      </c>
      <c r="D4" t="s">
        <v>325</v>
      </c>
      <c r="E4" t="s">
        <v>326</v>
      </c>
      <c r="F4" t="s">
        <v>55</v>
      </c>
      <c r="G4">
        <v>825812</v>
      </c>
      <c r="H4" t="s">
        <v>79</v>
      </c>
      <c r="I4">
        <v>94</v>
      </c>
      <c r="J4" t="s">
        <v>80</v>
      </c>
      <c r="K4" s="1">
        <v>45910</v>
      </c>
    </row>
  </sheetData>
  <sortState xmlns:xlrd2="http://schemas.microsoft.com/office/spreadsheetml/2017/richdata2" ref="A3:K4">
    <sortCondition ref="K2:K4"/>
    <sortCondition ref="C2:C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07C3-BDEE-4F7C-AEFA-00F996BF9C78}">
  <sheetPr codeName="Sheet8"/>
  <dimension ref="A1:K644"/>
  <sheetViews>
    <sheetView topLeftCell="A133" workbookViewId="0">
      <selection activeCell="A2" sqref="A2"/>
    </sheetView>
  </sheetViews>
  <sheetFormatPr defaultColWidth="8.7109375" defaultRowHeight="15"/>
  <cols>
    <col min="1" max="1" width="27.5703125" bestFit="1" customWidth="1"/>
    <col min="2" max="2" width="24" bestFit="1" customWidth="1"/>
    <col min="3" max="3" width="15.5703125" bestFit="1" customWidth="1"/>
    <col min="4" max="4" width="13.5703125" customWidth="1"/>
    <col min="5" max="5" width="18.5703125" customWidth="1"/>
    <col min="6" max="6" width="19.42578125" bestFit="1" customWidth="1"/>
    <col min="7" max="7" width="13.5703125" bestFit="1" customWidth="1"/>
    <col min="8" max="8" width="21.5703125" bestFit="1" customWidth="1"/>
    <col min="9" max="9" width="7.140625" bestFit="1" customWidth="1"/>
    <col min="10" max="10" width="14.42578125" bestFit="1" customWidth="1"/>
    <col min="11" max="11" width="12.28515625" bestFit="1" customWidth="1"/>
    <col min="13" max="13" width="9.85546875" customWidth="1"/>
  </cols>
  <sheetData>
    <row r="1" spans="1:11">
      <c r="A1" s="207" t="s">
        <v>314</v>
      </c>
      <c r="B1" s="207" t="s">
        <v>315</v>
      </c>
      <c r="C1" s="207" t="s">
        <v>316</v>
      </c>
      <c r="D1" s="207" t="s">
        <v>317</v>
      </c>
      <c r="E1" s="207" t="s">
        <v>327</v>
      </c>
      <c r="F1" s="207" t="s">
        <v>319</v>
      </c>
      <c r="G1" s="207" t="s">
        <v>320</v>
      </c>
      <c r="H1" s="207" t="s">
        <v>321</v>
      </c>
      <c r="I1" s="207" t="s">
        <v>322</v>
      </c>
      <c r="J1" s="207" t="s">
        <v>323</v>
      </c>
      <c r="K1" s="207" t="s">
        <v>324</v>
      </c>
    </row>
    <row r="2" spans="1:11">
      <c r="A2" t="s">
        <v>165</v>
      </c>
      <c r="B2" t="s">
        <v>27</v>
      </c>
      <c r="C2" t="s">
        <v>166</v>
      </c>
      <c r="D2" t="s">
        <v>328</v>
      </c>
      <c r="F2" t="s">
        <v>55</v>
      </c>
      <c r="G2">
        <v>825812</v>
      </c>
      <c r="H2" t="s">
        <v>151</v>
      </c>
      <c r="I2">
        <v>28</v>
      </c>
      <c r="J2" t="s">
        <v>152</v>
      </c>
      <c r="K2" s="1">
        <v>2</v>
      </c>
    </row>
    <row r="3" spans="1:11">
      <c r="A3" t="s">
        <v>65</v>
      </c>
      <c r="B3" t="s">
        <v>9</v>
      </c>
      <c r="C3" s="1">
        <v>45721</v>
      </c>
      <c r="D3" t="s">
        <v>328</v>
      </c>
      <c r="F3" t="s">
        <v>55</v>
      </c>
      <c r="G3">
        <v>825812</v>
      </c>
      <c r="H3" t="s">
        <v>58</v>
      </c>
      <c r="I3">
        <v>53</v>
      </c>
      <c r="J3" t="s">
        <v>59</v>
      </c>
      <c r="K3" s="1">
        <v>45721</v>
      </c>
    </row>
    <row r="4" spans="1:11">
      <c r="A4" t="s">
        <v>65</v>
      </c>
      <c r="B4" t="s">
        <v>10</v>
      </c>
      <c r="C4" s="1">
        <v>45721</v>
      </c>
      <c r="D4" t="s">
        <v>328</v>
      </c>
      <c r="F4" t="s">
        <v>55</v>
      </c>
      <c r="G4">
        <v>825812</v>
      </c>
      <c r="H4" t="s">
        <v>58</v>
      </c>
      <c r="I4">
        <v>53</v>
      </c>
      <c r="J4" t="s">
        <v>59</v>
      </c>
      <c r="K4" s="1">
        <v>45721</v>
      </c>
    </row>
    <row r="5" spans="1:11">
      <c r="A5" t="s">
        <v>65</v>
      </c>
      <c r="B5" t="s">
        <v>61</v>
      </c>
      <c r="C5" s="1">
        <v>45721</v>
      </c>
      <c r="D5" t="s">
        <v>328</v>
      </c>
      <c r="F5" t="s">
        <v>55</v>
      </c>
      <c r="G5">
        <v>825812</v>
      </c>
      <c r="H5" t="s">
        <v>58</v>
      </c>
      <c r="I5">
        <v>53</v>
      </c>
      <c r="J5" t="s">
        <v>59</v>
      </c>
      <c r="K5" s="1">
        <v>45721</v>
      </c>
    </row>
    <row r="6" spans="1:11">
      <c r="A6" t="s">
        <v>65</v>
      </c>
      <c r="B6" t="s">
        <v>12</v>
      </c>
      <c r="C6" s="1">
        <v>45721</v>
      </c>
      <c r="D6" t="s">
        <v>328</v>
      </c>
      <c r="F6" t="s">
        <v>55</v>
      </c>
      <c r="G6">
        <v>825812</v>
      </c>
      <c r="H6" t="s">
        <v>58</v>
      </c>
      <c r="I6">
        <v>53</v>
      </c>
      <c r="J6" t="s">
        <v>59</v>
      </c>
      <c r="K6" s="1">
        <v>45721</v>
      </c>
    </row>
    <row r="7" spans="1:11">
      <c r="A7" t="s">
        <v>65</v>
      </c>
      <c r="B7" t="s">
        <v>13</v>
      </c>
      <c r="C7" s="1">
        <v>45721</v>
      </c>
      <c r="D7" t="s">
        <v>328</v>
      </c>
      <c r="F7" t="s">
        <v>55</v>
      </c>
      <c r="G7">
        <v>825812</v>
      </c>
      <c r="H7" t="s">
        <v>58</v>
      </c>
      <c r="I7">
        <v>53</v>
      </c>
      <c r="J7" t="s">
        <v>59</v>
      </c>
      <c r="K7" s="1">
        <v>45721</v>
      </c>
    </row>
    <row r="8" spans="1:11">
      <c r="A8" t="s">
        <v>65</v>
      </c>
      <c r="B8" t="s">
        <v>14</v>
      </c>
      <c r="C8" s="1">
        <v>45721</v>
      </c>
      <c r="D8" t="s">
        <v>328</v>
      </c>
      <c r="F8" t="s">
        <v>55</v>
      </c>
      <c r="G8">
        <v>825812</v>
      </c>
      <c r="H8" t="s">
        <v>58</v>
      </c>
      <c r="I8">
        <v>53</v>
      </c>
      <c r="J8" t="s">
        <v>59</v>
      </c>
      <c r="K8" s="1">
        <v>45721</v>
      </c>
    </row>
    <row r="9" spans="1:11">
      <c r="A9" t="s">
        <v>65</v>
      </c>
      <c r="B9" t="s">
        <v>15</v>
      </c>
      <c r="C9" s="1">
        <v>45721</v>
      </c>
      <c r="D9" t="s">
        <v>328</v>
      </c>
      <c r="F9" t="s">
        <v>55</v>
      </c>
      <c r="G9">
        <v>825812</v>
      </c>
      <c r="H9" t="s">
        <v>58</v>
      </c>
      <c r="I9">
        <v>53</v>
      </c>
      <c r="J9" t="s">
        <v>59</v>
      </c>
      <c r="K9" s="1">
        <v>45721</v>
      </c>
    </row>
    <row r="10" spans="1:11">
      <c r="A10" t="s">
        <v>65</v>
      </c>
      <c r="B10" t="s">
        <v>60</v>
      </c>
      <c r="C10" s="1">
        <v>45722</v>
      </c>
      <c r="D10" t="s">
        <v>328</v>
      </c>
      <c r="F10" t="s">
        <v>55</v>
      </c>
      <c r="G10">
        <v>825812</v>
      </c>
      <c r="H10" t="s">
        <v>58</v>
      </c>
      <c r="I10">
        <v>53</v>
      </c>
      <c r="J10" t="s">
        <v>59</v>
      </c>
      <c r="K10" s="1">
        <v>45722</v>
      </c>
    </row>
    <row r="11" spans="1:11">
      <c r="A11" t="s">
        <v>65</v>
      </c>
      <c r="B11" t="s">
        <v>20</v>
      </c>
      <c r="C11" s="1">
        <v>45722</v>
      </c>
      <c r="D11" t="s">
        <v>328</v>
      </c>
      <c r="F11" t="s">
        <v>55</v>
      </c>
      <c r="G11">
        <v>825812</v>
      </c>
      <c r="H11" t="s">
        <v>58</v>
      </c>
      <c r="I11">
        <v>53</v>
      </c>
      <c r="J11" t="s">
        <v>59</v>
      </c>
      <c r="K11" s="1">
        <v>45722</v>
      </c>
    </row>
    <row r="12" spans="1:11">
      <c r="A12" t="s">
        <v>65</v>
      </c>
      <c r="B12" t="s">
        <v>18</v>
      </c>
      <c r="C12" s="1">
        <v>45722</v>
      </c>
      <c r="D12" t="s">
        <v>328</v>
      </c>
      <c r="F12" t="s">
        <v>55</v>
      </c>
      <c r="G12">
        <v>825812</v>
      </c>
      <c r="H12" t="s">
        <v>58</v>
      </c>
      <c r="I12">
        <v>53</v>
      </c>
      <c r="J12" t="s">
        <v>59</v>
      </c>
      <c r="K12" s="1">
        <v>45722</v>
      </c>
    </row>
    <row r="13" spans="1:11">
      <c r="A13" t="s">
        <v>65</v>
      </c>
      <c r="B13" t="s">
        <v>19</v>
      </c>
      <c r="C13" s="1">
        <v>45722</v>
      </c>
      <c r="D13" t="s">
        <v>328</v>
      </c>
      <c r="F13" t="s">
        <v>55</v>
      </c>
      <c r="G13">
        <v>825812</v>
      </c>
      <c r="H13" t="s">
        <v>58</v>
      </c>
      <c r="I13">
        <v>53</v>
      </c>
      <c r="J13" t="s">
        <v>59</v>
      </c>
      <c r="K13" s="1">
        <v>45722</v>
      </c>
    </row>
    <row r="14" spans="1:11">
      <c r="A14" t="s">
        <v>65</v>
      </c>
      <c r="B14" t="s">
        <v>62</v>
      </c>
      <c r="C14" s="1">
        <v>45726</v>
      </c>
      <c r="D14" t="s">
        <v>328</v>
      </c>
      <c r="F14" t="s">
        <v>55</v>
      </c>
      <c r="G14">
        <v>825812</v>
      </c>
      <c r="H14" t="s">
        <v>58</v>
      </c>
      <c r="I14">
        <v>53</v>
      </c>
      <c r="J14" t="s">
        <v>59</v>
      </c>
      <c r="K14" s="1">
        <v>45726</v>
      </c>
    </row>
    <row r="15" spans="1:11">
      <c r="A15" t="s">
        <v>65</v>
      </c>
      <c r="B15" t="s">
        <v>25</v>
      </c>
      <c r="C15" s="1">
        <v>45726</v>
      </c>
      <c r="D15" t="s">
        <v>328</v>
      </c>
      <c r="F15" t="s">
        <v>55</v>
      </c>
      <c r="G15">
        <v>825812</v>
      </c>
      <c r="H15" t="s">
        <v>58</v>
      </c>
      <c r="I15">
        <v>53</v>
      </c>
      <c r="J15" t="s">
        <v>59</v>
      </c>
      <c r="K15" s="1">
        <v>45726</v>
      </c>
    </row>
    <row r="16" spans="1:11">
      <c r="A16" t="s">
        <v>65</v>
      </c>
      <c r="B16" t="s">
        <v>27</v>
      </c>
      <c r="C16" s="1">
        <v>45727</v>
      </c>
      <c r="D16" t="s">
        <v>328</v>
      </c>
      <c r="E16" t="s">
        <v>67</v>
      </c>
      <c r="F16" t="s">
        <v>55</v>
      </c>
      <c r="G16">
        <v>825812</v>
      </c>
      <c r="H16" t="s">
        <v>58</v>
      </c>
      <c r="I16">
        <v>53</v>
      </c>
      <c r="J16" t="s">
        <v>59</v>
      </c>
      <c r="K16" s="1">
        <v>45727</v>
      </c>
    </row>
    <row r="17" spans="1:11">
      <c r="A17" t="s">
        <v>73</v>
      </c>
      <c r="B17" t="s">
        <v>9</v>
      </c>
      <c r="C17" s="1">
        <v>45728</v>
      </c>
      <c r="D17" t="s">
        <v>328</v>
      </c>
      <c r="F17" t="s">
        <v>55</v>
      </c>
      <c r="G17">
        <v>825812</v>
      </c>
      <c r="H17" t="s">
        <v>68</v>
      </c>
      <c r="I17">
        <v>261</v>
      </c>
      <c r="J17" t="s">
        <v>69</v>
      </c>
      <c r="K17" s="1">
        <v>45728</v>
      </c>
    </row>
    <row r="18" spans="1:11">
      <c r="A18" t="s">
        <v>76</v>
      </c>
      <c r="B18" t="s">
        <v>9</v>
      </c>
      <c r="C18" s="1">
        <v>45728</v>
      </c>
      <c r="D18" t="s">
        <v>328</v>
      </c>
      <c r="F18" t="s">
        <v>55</v>
      </c>
      <c r="G18">
        <v>825812</v>
      </c>
      <c r="H18" t="s">
        <v>68</v>
      </c>
      <c r="I18">
        <v>270</v>
      </c>
      <c r="J18" t="s">
        <v>69</v>
      </c>
      <c r="K18" s="1">
        <v>45728</v>
      </c>
    </row>
    <row r="19" spans="1:11">
      <c r="A19" t="s">
        <v>73</v>
      </c>
      <c r="B19" t="s">
        <v>10</v>
      </c>
      <c r="C19" s="1">
        <v>45728</v>
      </c>
      <c r="D19" t="s">
        <v>328</v>
      </c>
      <c r="F19" t="s">
        <v>55</v>
      </c>
      <c r="G19">
        <v>825812</v>
      </c>
      <c r="H19" t="s">
        <v>68</v>
      </c>
      <c r="I19">
        <v>261</v>
      </c>
      <c r="J19" t="s">
        <v>69</v>
      </c>
      <c r="K19" s="1">
        <v>45728</v>
      </c>
    </row>
    <row r="20" spans="1:11">
      <c r="A20" t="s">
        <v>76</v>
      </c>
      <c r="B20" t="s">
        <v>10</v>
      </c>
      <c r="C20" s="1">
        <v>45728</v>
      </c>
      <c r="D20" t="s">
        <v>328</v>
      </c>
      <c r="F20" t="s">
        <v>55</v>
      </c>
      <c r="G20">
        <v>825812</v>
      </c>
      <c r="H20" t="s">
        <v>68</v>
      </c>
      <c r="I20">
        <v>270</v>
      </c>
      <c r="J20" t="s">
        <v>69</v>
      </c>
      <c r="K20" s="1">
        <v>45728</v>
      </c>
    </row>
    <row r="21" spans="1:11">
      <c r="A21" t="s">
        <v>73</v>
      </c>
      <c r="B21" t="s">
        <v>60</v>
      </c>
      <c r="C21" s="1">
        <v>45728</v>
      </c>
      <c r="D21" t="s">
        <v>328</v>
      </c>
      <c r="F21" t="s">
        <v>55</v>
      </c>
      <c r="G21">
        <v>825812</v>
      </c>
      <c r="H21" t="s">
        <v>68</v>
      </c>
      <c r="I21">
        <v>261</v>
      </c>
      <c r="J21" t="s">
        <v>69</v>
      </c>
      <c r="K21" s="1">
        <v>45728</v>
      </c>
    </row>
    <row r="22" spans="1:11">
      <c r="A22" t="s">
        <v>76</v>
      </c>
      <c r="B22" t="s">
        <v>60</v>
      </c>
      <c r="C22" s="1">
        <v>45728</v>
      </c>
      <c r="D22" t="s">
        <v>328</v>
      </c>
      <c r="F22" t="s">
        <v>55</v>
      </c>
      <c r="G22">
        <v>825812</v>
      </c>
      <c r="H22" t="s">
        <v>68</v>
      </c>
      <c r="I22">
        <v>270</v>
      </c>
      <c r="J22" t="s">
        <v>69</v>
      </c>
      <c r="K22" s="1">
        <v>45728</v>
      </c>
    </row>
    <row r="23" spans="1:11">
      <c r="A23" t="s">
        <v>73</v>
      </c>
      <c r="B23" t="s">
        <v>61</v>
      </c>
      <c r="C23" s="1">
        <v>45728</v>
      </c>
      <c r="D23" t="s">
        <v>328</v>
      </c>
      <c r="F23" t="s">
        <v>55</v>
      </c>
      <c r="G23">
        <v>825812</v>
      </c>
      <c r="H23" t="s">
        <v>68</v>
      </c>
      <c r="I23">
        <v>261</v>
      </c>
      <c r="J23" t="s">
        <v>69</v>
      </c>
      <c r="K23" s="1">
        <v>45728</v>
      </c>
    </row>
    <row r="24" spans="1:11">
      <c r="A24" t="s">
        <v>73</v>
      </c>
      <c r="B24" t="s">
        <v>12</v>
      </c>
      <c r="C24" s="1">
        <v>45728</v>
      </c>
      <c r="D24" t="s">
        <v>328</v>
      </c>
      <c r="F24" t="s">
        <v>55</v>
      </c>
      <c r="G24">
        <v>825812</v>
      </c>
      <c r="H24" t="s">
        <v>68</v>
      </c>
      <c r="I24">
        <v>261</v>
      </c>
      <c r="J24" t="s">
        <v>69</v>
      </c>
      <c r="K24" s="1">
        <v>45728</v>
      </c>
    </row>
    <row r="25" spans="1:11">
      <c r="A25" t="s">
        <v>76</v>
      </c>
      <c r="B25" t="s">
        <v>12</v>
      </c>
      <c r="C25" s="1">
        <v>45728</v>
      </c>
      <c r="D25" t="s">
        <v>328</v>
      </c>
      <c r="F25" t="s">
        <v>55</v>
      </c>
      <c r="G25">
        <v>825812</v>
      </c>
      <c r="H25" t="s">
        <v>68</v>
      </c>
      <c r="I25">
        <v>270</v>
      </c>
      <c r="J25" t="s">
        <v>69</v>
      </c>
      <c r="K25" s="1">
        <v>45728</v>
      </c>
    </row>
    <row r="26" spans="1:11">
      <c r="A26" t="s">
        <v>73</v>
      </c>
      <c r="B26" t="s">
        <v>13</v>
      </c>
      <c r="C26" s="1">
        <v>45728</v>
      </c>
      <c r="D26" t="s">
        <v>328</v>
      </c>
      <c r="F26" t="s">
        <v>55</v>
      </c>
      <c r="G26">
        <v>825812</v>
      </c>
      <c r="H26" t="s">
        <v>68</v>
      </c>
      <c r="I26">
        <v>261</v>
      </c>
      <c r="J26" t="s">
        <v>69</v>
      </c>
      <c r="K26" s="1">
        <v>45728</v>
      </c>
    </row>
    <row r="27" spans="1:11">
      <c r="A27" t="s">
        <v>73</v>
      </c>
      <c r="B27" t="s">
        <v>14</v>
      </c>
      <c r="C27" s="1">
        <v>45728</v>
      </c>
      <c r="D27" t="s">
        <v>328</v>
      </c>
      <c r="F27" t="s">
        <v>55</v>
      </c>
      <c r="G27">
        <v>825812</v>
      </c>
      <c r="H27" t="s">
        <v>68</v>
      </c>
      <c r="I27">
        <v>261</v>
      </c>
      <c r="J27" t="s">
        <v>69</v>
      </c>
      <c r="K27" s="1">
        <v>45728</v>
      </c>
    </row>
    <row r="28" spans="1:11">
      <c r="A28" t="s">
        <v>76</v>
      </c>
      <c r="B28" t="s">
        <v>14</v>
      </c>
      <c r="C28" s="1">
        <v>45728</v>
      </c>
      <c r="D28" t="s">
        <v>328</v>
      </c>
      <c r="F28" t="s">
        <v>55</v>
      </c>
      <c r="G28">
        <v>825812</v>
      </c>
      <c r="H28" t="s">
        <v>68</v>
      </c>
      <c r="I28">
        <v>270</v>
      </c>
      <c r="J28" t="s">
        <v>69</v>
      </c>
      <c r="K28" s="1">
        <v>45728</v>
      </c>
    </row>
    <row r="29" spans="1:11">
      <c r="A29" t="s">
        <v>73</v>
      </c>
      <c r="B29" t="s">
        <v>15</v>
      </c>
      <c r="C29" s="1">
        <v>45728</v>
      </c>
      <c r="D29" t="s">
        <v>328</v>
      </c>
      <c r="F29" t="s">
        <v>55</v>
      </c>
      <c r="G29">
        <v>825812</v>
      </c>
      <c r="H29" t="s">
        <v>68</v>
      </c>
      <c r="I29">
        <v>261</v>
      </c>
      <c r="J29" t="s">
        <v>69</v>
      </c>
      <c r="K29" s="1">
        <v>45728</v>
      </c>
    </row>
    <row r="30" spans="1:11">
      <c r="A30" t="s">
        <v>76</v>
      </c>
      <c r="B30" t="s">
        <v>15</v>
      </c>
      <c r="C30" s="1">
        <v>45728</v>
      </c>
      <c r="D30" t="s">
        <v>328</v>
      </c>
      <c r="F30" t="s">
        <v>55</v>
      </c>
      <c r="G30">
        <v>825812</v>
      </c>
      <c r="H30" t="s">
        <v>68</v>
      </c>
      <c r="I30">
        <v>270</v>
      </c>
      <c r="J30" t="s">
        <v>69</v>
      </c>
      <c r="K30" s="1">
        <v>45728</v>
      </c>
    </row>
    <row r="31" spans="1:11">
      <c r="A31" t="s">
        <v>73</v>
      </c>
      <c r="B31" t="s">
        <v>20</v>
      </c>
      <c r="C31" s="1">
        <v>45728</v>
      </c>
      <c r="D31" t="s">
        <v>328</v>
      </c>
      <c r="F31" t="s">
        <v>55</v>
      </c>
      <c r="G31">
        <v>825812</v>
      </c>
      <c r="H31" t="s">
        <v>68</v>
      </c>
      <c r="I31">
        <v>261</v>
      </c>
      <c r="J31" t="s">
        <v>69</v>
      </c>
      <c r="K31" s="1">
        <v>45728</v>
      </c>
    </row>
    <row r="32" spans="1:11">
      <c r="A32" t="s">
        <v>76</v>
      </c>
      <c r="B32" t="s">
        <v>20</v>
      </c>
      <c r="C32" s="1">
        <v>45728</v>
      </c>
      <c r="D32" t="s">
        <v>328</v>
      </c>
      <c r="F32" t="s">
        <v>55</v>
      </c>
      <c r="G32">
        <v>825812</v>
      </c>
      <c r="H32" t="s">
        <v>68</v>
      </c>
      <c r="I32">
        <v>270</v>
      </c>
      <c r="J32" t="s">
        <v>69</v>
      </c>
      <c r="K32" s="1">
        <v>45728</v>
      </c>
    </row>
    <row r="33" spans="1:11">
      <c r="A33" t="s">
        <v>73</v>
      </c>
      <c r="B33" t="s">
        <v>18</v>
      </c>
      <c r="C33" s="1">
        <v>45728</v>
      </c>
      <c r="D33" t="s">
        <v>328</v>
      </c>
      <c r="F33" t="s">
        <v>55</v>
      </c>
      <c r="G33">
        <v>825812</v>
      </c>
      <c r="H33" t="s">
        <v>68</v>
      </c>
      <c r="I33">
        <v>261</v>
      </c>
      <c r="J33" t="s">
        <v>69</v>
      </c>
      <c r="K33" s="1">
        <v>45728</v>
      </c>
    </row>
    <row r="34" spans="1:11">
      <c r="A34" t="s">
        <v>73</v>
      </c>
      <c r="B34" t="s">
        <v>19</v>
      </c>
      <c r="C34" s="1">
        <v>45728</v>
      </c>
      <c r="D34" t="s">
        <v>328</v>
      </c>
      <c r="F34" t="s">
        <v>55</v>
      </c>
      <c r="G34">
        <v>825812</v>
      </c>
      <c r="H34" t="s">
        <v>68</v>
      </c>
      <c r="I34">
        <v>261</v>
      </c>
      <c r="J34" t="s">
        <v>69</v>
      </c>
      <c r="K34" s="1">
        <v>45728</v>
      </c>
    </row>
    <row r="35" spans="1:11">
      <c r="A35" t="s">
        <v>73</v>
      </c>
      <c r="B35" t="s">
        <v>62</v>
      </c>
      <c r="C35" s="1">
        <v>45728</v>
      </c>
      <c r="D35" t="s">
        <v>328</v>
      </c>
      <c r="F35" t="s">
        <v>55</v>
      </c>
      <c r="G35">
        <v>825812</v>
      </c>
      <c r="H35" t="s">
        <v>68</v>
      </c>
      <c r="I35">
        <v>261</v>
      </c>
      <c r="J35" t="s">
        <v>69</v>
      </c>
      <c r="K35" s="1">
        <v>45728</v>
      </c>
    </row>
    <row r="36" spans="1:11">
      <c r="A36" t="s">
        <v>165</v>
      </c>
      <c r="B36" t="s">
        <v>9</v>
      </c>
      <c r="C36" s="1">
        <v>45729</v>
      </c>
      <c r="D36" t="s">
        <v>328</v>
      </c>
      <c r="F36" t="s">
        <v>55</v>
      </c>
      <c r="G36">
        <v>825812</v>
      </c>
      <c r="H36" t="s">
        <v>151</v>
      </c>
      <c r="I36">
        <v>28</v>
      </c>
      <c r="J36" t="s">
        <v>152</v>
      </c>
      <c r="K36" s="1">
        <v>45729</v>
      </c>
    </row>
    <row r="37" spans="1:11">
      <c r="A37" t="s">
        <v>165</v>
      </c>
      <c r="B37" t="s">
        <v>10</v>
      </c>
      <c r="C37" s="1">
        <v>45729</v>
      </c>
      <c r="D37" t="s">
        <v>328</v>
      </c>
      <c r="F37" t="s">
        <v>55</v>
      </c>
      <c r="G37">
        <v>825812</v>
      </c>
      <c r="H37" t="s">
        <v>151</v>
      </c>
      <c r="I37">
        <v>28</v>
      </c>
      <c r="J37" t="s">
        <v>152</v>
      </c>
      <c r="K37" s="1">
        <v>45729</v>
      </c>
    </row>
    <row r="38" spans="1:11">
      <c r="A38" t="s">
        <v>165</v>
      </c>
      <c r="B38" t="s">
        <v>60</v>
      </c>
      <c r="C38" s="1">
        <v>45729</v>
      </c>
      <c r="D38" t="s">
        <v>328</v>
      </c>
      <c r="F38" t="s">
        <v>55</v>
      </c>
      <c r="G38">
        <v>825812</v>
      </c>
      <c r="H38" t="s">
        <v>151</v>
      </c>
      <c r="I38">
        <v>28</v>
      </c>
      <c r="J38" t="s">
        <v>152</v>
      </c>
      <c r="K38" s="1">
        <v>45729</v>
      </c>
    </row>
    <row r="39" spans="1:11">
      <c r="A39" t="s">
        <v>165</v>
      </c>
      <c r="B39" t="s">
        <v>61</v>
      </c>
      <c r="C39" s="1">
        <v>45729</v>
      </c>
      <c r="D39" t="s">
        <v>328</v>
      </c>
      <c r="F39" t="s">
        <v>55</v>
      </c>
      <c r="G39">
        <v>825812</v>
      </c>
      <c r="H39" t="s">
        <v>151</v>
      </c>
      <c r="I39">
        <v>28</v>
      </c>
      <c r="J39" t="s">
        <v>152</v>
      </c>
      <c r="K39" s="1">
        <v>45729</v>
      </c>
    </row>
    <row r="40" spans="1:11">
      <c r="A40" t="s">
        <v>165</v>
      </c>
      <c r="B40" t="s">
        <v>153</v>
      </c>
      <c r="C40" s="1">
        <v>45729</v>
      </c>
      <c r="D40" t="s">
        <v>328</v>
      </c>
      <c r="F40" t="s">
        <v>55</v>
      </c>
      <c r="G40">
        <v>825812</v>
      </c>
      <c r="H40" t="s">
        <v>151</v>
      </c>
      <c r="I40">
        <v>28</v>
      </c>
      <c r="J40" t="s">
        <v>152</v>
      </c>
      <c r="K40" s="1">
        <v>45729</v>
      </c>
    </row>
    <row r="41" spans="1:11">
      <c r="A41" t="s">
        <v>165</v>
      </c>
      <c r="B41" t="s">
        <v>154</v>
      </c>
      <c r="C41" s="1">
        <v>45729</v>
      </c>
      <c r="D41" t="s">
        <v>328</v>
      </c>
      <c r="F41" t="s">
        <v>55</v>
      </c>
      <c r="G41">
        <v>825812</v>
      </c>
      <c r="H41" t="s">
        <v>151</v>
      </c>
      <c r="I41">
        <v>28</v>
      </c>
      <c r="J41" t="s">
        <v>152</v>
      </c>
      <c r="K41" s="1">
        <v>45729</v>
      </c>
    </row>
    <row r="42" spans="1:11">
      <c r="A42" t="s">
        <v>178</v>
      </c>
      <c r="B42" t="s">
        <v>9</v>
      </c>
      <c r="C42" s="1">
        <v>45729</v>
      </c>
      <c r="D42" t="s">
        <v>328</v>
      </c>
      <c r="F42" t="s">
        <v>55</v>
      </c>
      <c r="G42">
        <v>825812</v>
      </c>
      <c r="H42" t="s">
        <v>176</v>
      </c>
      <c r="I42">
        <v>63</v>
      </c>
      <c r="J42" t="s">
        <v>59</v>
      </c>
      <c r="K42" s="1">
        <v>45729</v>
      </c>
    </row>
    <row r="43" spans="1:11">
      <c r="A43" t="s">
        <v>178</v>
      </c>
      <c r="B43" t="s">
        <v>10</v>
      </c>
      <c r="C43" s="1">
        <v>45729</v>
      </c>
      <c r="D43" t="s">
        <v>328</v>
      </c>
      <c r="F43" t="s">
        <v>55</v>
      </c>
      <c r="G43">
        <v>825812</v>
      </c>
      <c r="H43" t="s">
        <v>176</v>
      </c>
      <c r="I43">
        <v>63</v>
      </c>
      <c r="J43" t="s">
        <v>59</v>
      </c>
      <c r="K43" s="1">
        <v>45729</v>
      </c>
    </row>
    <row r="44" spans="1:11">
      <c r="A44" t="s">
        <v>178</v>
      </c>
      <c r="B44" t="s">
        <v>60</v>
      </c>
      <c r="C44" s="1">
        <v>45729</v>
      </c>
      <c r="D44" t="s">
        <v>328</v>
      </c>
      <c r="F44" t="s">
        <v>55</v>
      </c>
      <c r="G44">
        <v>825812</v>
      </c>
      <c r="H44" t="s">
        <v>176</v>
      </c>
      <c r="I44">
        <v>63</v>
      </c>
      <c r="J44" t="s">
        <v>59</v>
      </c>
      <c r="K44" s="1">
        <v>45729</v>
      </c>
    </row>
    <row r="45" spans="1:11">
      <c r="A45" t="s">
        <v>178</v>
      </c>
      <c r="B45" t="s">
        <v>61</v>
      </c>
      <c r="C45" s="1">
        <v>45729</v>
      </c>
      <c r="D45" t="s">
        <v>328</v>
      </c>
      <c r="F45" t="s">
        <v>55</v>
      </c>
      <c r="G45">
        <v>825812</v>
      </c>
      <c r="H45" t="s">
        <v>176</v>
      </c>
      <c r="I45">
        <v>63</v>
      </c>
      <c r="J45" t="s">
        <v>59</v>
      </c>
      <c r="K45" s="1">
        <v>45729</v>
      </c>
    </row>
    <row r="46" spans="1:11">
      <c r="A46" t="s">
        <v>178</v>
      </c>
      <c r="B46" t="s">
        <v>12</v>
      </c>
      <c r="C46" s="1">
        <v>45729</v>
      </c>
      <c r="D46" t="s">
        <v>328</v>
      </c>
      <c r="F46" t="s">
        <v>55</v>
      </c>
      <c r="G46">
        <v>825812</v>
      </c>
      <c r="H46" t="s">
        <v>176</v>
      </c>
      <c r="I46">
        <v>63</v>
      </c>
      <c r="J46" t="s">
        <v>59</v>
      </c>
      <c r="K46" s="1">
        <v>45729</v>
      </c>
    </row>
    <row r="47" spans="1:11">
      <c r="A47" t="s">
        <v>178</v>
      </c>
      <c r="B47" t="s">
        <v>13</v>
      </c>
      <c r="C47" s="1">
        <v>45729</v>
      </c>
      <c r="D47" t="s">
        <v>328</v>
      </c>
      <c r="F47" t="s">
        <v>55</v>
      </c>
      <c r="G47">
        <v>825812</v>
      </c>
      <c r="H47" t="s">
        <v>176</v>
      </c>
      <c r="I47">
        <v>63</v>
      </c>
      <c r="J47" t="s">
        <v>59</v>
      </c>
      <c r="K47" s="1">
        <v>45729</v>
      </c>
    </row>
    <row r="48" spans="1:11">
      <c r="A48" t="s">
        <v>178</v>
      </c>
      <c r="B48" t="s">
        <v>14</v>
      </c>
      <c r="C48" s="1">
        <v>45729</v>
      </c>
      <c r="D48" t="s">
        <v>328</v>
      </c>
      <c r="F48" t="s">
        <v>55</v>
      </c>
      <c r="G48">
        <v>825812</v>
      </c>
      <c r="H48" t="s">
        <v>176</v>
      </c>
      <c r="I48">
        <v>63</v>
      </c>
      <c r="J48" t="s">
        <v>59</v>
      </c>
      <c r="K48" s="1">
        <v>45729</v>
      </c>
    </row>
    <row r="49" spans="1:11">
      <c r="A49" t="s">
        <v>178</v>
      </c>
      <c r="B49" t="s">
        <v>15</v>
      </c>
      <c r="C49" s="1">
        <v>45729</v>
      </c>
      <c r="D49" t="s">
        <v>328</v>
      </c>
      <c r="F49" t="s">
        <v>55</v>
      </c>
      <c r="G49">
        <v>825812</v>
      </c>
      <c r="H49" t="s">
        <v>176</v>
      </c>
      <c r="I49">
        <v>63</v>
      </c>
      <c r="J49" t="s">
        <v>59</v>
      </c>
      <c r="K49" s="1">
        <v>45729</v>
      </c>
    </row>
    <row r="50" spans="1:11">
      <c r="A50" t="s">
        <v>178</v>
      </c>
      <c r="B50" t="s">
        <v>20</v>
      </c>
      <c r="C50" s="1">
        <v>45729</v>
      </c>
      <c r="D50" t="s">
        <v>328</v>
      </c>
      <c r="F50" t="s">
        <v>55</v>
      </c>
      <c r="G50">
        <v>825812</v>
      </c>
      <c r="H50" t="s">
        <v>176</v>
      </c>
      <c r="I50">
        <v>63</v>
      </c>
      <c r="J50" t="s">
        <v>59</v>
      </c>
      <c r="K50" s="1">
        <v>45729</v>
      </c>
    </row>
    <row r="51" spans="1:11">
      <c r="A51" t="s">
        <v>178</v>
      </c>
      <c r="B51" t="s">
        <v>18</v>
      </c>
      <c r="C51" s="1">
        <v>45729</v>
      </c>
      <c r="D51" t="s">
        <v>328</v>
      </c>
      <c r="F51" t="s">
        <v>55</v>
      </c>
      <c r="G51">
        <v>825812</v>
      </c>
      <c r="H51" t="s">
        <v>176</v>
      </c>
      <c r="I51">
        <v>63</v>
      </c>
      <c r="J51" t="s">
        <v>59</v>
      </c>
      <c r="K51" s="1">
        <v>45729</v>
      </c>
    </row>
    <row r="52" spans="1:11">
      <c r="A52" t="s">
        <v>178</v>
      </c>
      <c r="B52" t="s">
        <v>19</v>
      </c>
      <c r="C52" s="1">
        <v>45729</v>
      </c>
      <c r="D52" t="s">
        <v>328</v>
      </c>
      <c r="F52" t="s">
        <v>55</v>
      </c>
      <c r="G52">
        <v>825812</v>
      </c>
      <c r="H52" t="s">
        <v>176</v>
      </c>
      <c r="I52">
        <v>63</v>
      </c>
      <c r="J52" t="s">
        <v>59</v>
      </c>
      <c r="K52" s="1">
        <v>45729</v>
      </c>
    </row>
    <row r="53" spans="1:11">
      <c r="A53" t="s">
        <v>65</v>
      </c>
      <c r="B53" t="s">
        <v>23</v>
      </c>
      <c r="C53" s="1">
        <v>45730</v>
      </c>
      <c r="D53" t="s">
        <v>328</v>
      </c>
      <c r="F53" t="s">
        <v>55</v>
      </c>
      <c r="G53">
        <v>825812</v>
      </c>
      <c r="H53" t="s">
        <v>58</v>
      </c>
      <c r="I53">
        <v>53</v>
      </c>
      <c r="J53" t="s">
        <v>59</v>
      </c>
      <c r="K53" s="1">
        <v>45730</v>
      </c>
    </row>
    <row r="54" spans="1:11">
      <c r="A54" t="s">
        <v>73</v>
      </c>
      <c r="B54" t="s">
        <v>25</v>
      </c>
      <c r="C54" s="1">
        <v>45730</v>
      </c>
      <c r="D54" t="s">
        <v>328</v>
      </c>
      <c r="F54" t="s">
        <v>55</v>
      </c>
      <c r="G54">
        <v>825812</v>
      </c>
      <c r="H54" t="s">
        <v>68</v>
      </c>
      <c r="I54">
        <v>261</v>
      </c>
      <c r="J54" t="s">
        <v>69</v>
      </c>
      <c r="K54" s="1">
        <v>45730</v>
      </c>
    </row>
    <row r="55" spans="1:11">
      <c r="A55" t="s">
        <v>76</v>
      </c>
      <c r="B55" t="s">
        <v>25</v>
      </c>
      <c r="C55" s="1">
        <v>45730</v>
      </c>
      <c r="D55" t="s">
        <v>328</v>
      </c>
      <c r="F55" t="s">
        <v>55</v>
      </c>
      <c r="G55">
        <v>825812</v>
      </c>
      <c r="H55" t="s">
        <v>68</v>
      </c>
      <c r="I55">
        <v>270</v>
      </c>
      <c r="J55" t="s">
        <v>69</v>
      </c>
      <c r="K55" s="1">
        <v>45730</v>
      </c>
    </row>
    <row r="56" spans="1:11">
      <c r="A56" t="s">
        <v>76</v>
      </c>
      <c r="B56" t="s">
        <v>72</v>
      </c>
      <c r="C56" s="1">
        <v>45730</v>
      </c>
      <c r="D56" t="s">
        <v>328</v>
      </c>
      <c r="E56" t="s">
        <v>78</v>
      </c>
      <c r="F56" t="s">
        <v>55</v>
      </c>
      <c r="G56">
        <v>825812</v>
      </c>
      <c r="H56" t="s">
        <v>68</v>
      </c>
      <c r="I56">
        <v>270</v>
      </c>
      <c r="J56" t="s">
        <v>69</v>
      </c>
      <c r="K56" s="1">
        <v>45730</v>
      </c>
    </row>
    <row r="57" spans="1:11">
      <c r="A57" t="s">
        <v>165</v>
      </c>
      <c r="B57" t="s">
        <v>20</v>
      </c>
      <c r="C57" s="1">
        <v>45730</v>
      </c>
      <c r="D57" t="s">
        <v>328</v>
      </c>
      <c r="F57" t="s">
        <v>55</v>
      </c>
      <c r="G57">
        <v>825812</v>
      </c>
      <c r="H57" t="s">
        <v>151</v>
      </c>
      <c r="I57">
        <v>28</v>
      </c>
      <c r="J57" t="s">
        <v>152</v>
      </c>
      <c r="K57" s="1">
        <v>45730</v>
      </c>
    </row>
    <row r="58" spans="1:11">
      <c r="A58" t="s">
        <v>165</v>
      </c>
      <c r="B58" t="s">
        <v>18</v>
      </c>
      <c r="C58" s="1">
        <v>45730</v>
      </c>
      <c r="D58" t="s">
        <v>328</v>
      </c>
      <c r="F58" t="s">
        <v>55</v>
      </c>
      <c r="G58">
        <v>825812</v>
      </c>
      <c r="H58" t="s">
        <v>151</v>
      </c>
      <c r="I58">
        <v>28</v>
      </c>
      <c r="J58" t="s">
        <v>152</v>
      </c>
      <c r="K58" s="1">
        <v>45730</v>
      </c>
    </row>
    <row r="59" spans="1:11">
      <c r="A59" t="s">
        <v>165</v>
      </c>
      <c r="B59" t="s">
        <v>19</v>
      </c>
      <c r="C59" s="1">
        <v>45730</v>
      </c>
      <c r="D59" t="s">
        <v>328</v>
      </c>
      <c r="F59" t="s">
        <v>55</v>
      </c>
      <c r="G59">
        <v>825812</v>
      </c>
      <c r="H59" t="s">
        <v>151</v>
      </c>
      <c r="I59">
        <v>28</v>
      </c>
      <c r="J59" t="s">
        <v>152</v>
      </c>
      <c r="K59" s="1">
        <v>45730</v>
      </c>
    </row>
    <row r="60" spans="1:11">
      <c r="A60" t="s">
        <v>165</v>
      </c>
      <c r="B60" t="s">
        <v>62</v>
      </c>
      <c r="C60" s="1">
        <v>45730</v>
      </c>
      <c r="D60" t="s">
        <v>328</v>
      </c>
      <c r="F60" t="s">
        <v>55</v>
      </c>
      <c r="G60">
        <v>825812</v>
      </c>
      <c r="H60" t="s">
        <v>151</v>
      </c>
      <c r="I60">
        <v>28</v>
      </c>
      <c r="J60" t="s">
        <v>152</v>
      </c>
      <c r="K60" s="1">
        <v>45730</v>
      </c>
    </row>
    <row r="61" spans="1:11">
      <c r="A61" t="s">
        <v>178</v>
      </c>
      <c r="B61" t="s">
        <v>62</v>
      </c>
      <c r="C61" s="1">
        <v>45730</v>
      </c>
      <c r="D61" t="s">
        <v>328</v>
      </c>
      <c r="F61" t="s">
        <v>55</v>
      </c>
      <c r="G61">
        <v>825812</v>
      </c>
      <c r="H61" t="s">
        <v>176</v>
      </c>
      <c r="I61">
        <v>63</v>
      </c>
      <c r="J61" t="s">
        <v>59</v>
      </c>
      <c r="K61" s="1">
        <v>45730</v>
      </c>
    </row>
    <row r="62" spans="1:11">
      <c r="A62" t="s">
        <v>76</v>
      </c>
      <c r="B62" t="s">
        <v>13</v>
      </c>
      <c r="C62" s="1">
        <v>45733</v>
      </c>
      <c r="D62" t="s">
        <v>328</v>
      </c>
      <c r="F62" t="s">
        <v>55</v>
      </c>
      <c r="G62">
        <v>825812</v>
      </c>
      <c r="H62" t="s">
        <v>68</v>
      </c>
      <c r="I62">
        <v>270</v>
      </c>
      <c r="J62" t="s">
        <v>69</v>
      </c>
      <c r="K62" s="1">
        <v>45733</v>
      </c>
    </row>
    <row r="63" spans="1:11">
      <c r="A63" t="s">
        <v>76</v>
      </c>
      <c r="B63" t="s">
        <v>18</v>
      </c>
      <c r="C63" s="1">
        <v>45733</v>
      </c>
      <c r="D63" t="s">
        <v>328</v>
      </c>
      <c r="F63" t="s">
        <v>55</v>
      </c>
      <c r="G63">
        <v>825812</v>
      </c>
      <c r="H63" t="s">
        <v>68</v>
      </c>
      <c r="I63">
        <v>270</v>
      </c>
      <c r="J63" t="s">
        <v>69</v>
      </c>
      <c r="K63" s="1">
        <v>45733</v>
      </c>
    </row>
    <row r="64" spans="1:11">
      <c r="A64" t="s">
        <v>76</v>
      </c>
      <c r="B64" t="s">
        <v>19</v>
      </c>
      <c r="C64" s="1">
        <v>45733</v>
      </c>
      <c r="D64" t="s">
        <v>328</v>
      </c>
      <c r="F64" t="s">
        <v>55</v>
      </c>
      <c r="G64">
        <v>825812</v>
      </c>
      <c r="H64" t="s">
        <v>68</v>
      </c>
      <c r="I64">
        <v>270</v>
      </c>
      <c r="J64" t="s">
        <v>69</v>
      </c>
      <c r="K64" s="1">
        <v>45733</v>
      </c>
    </row>
    <row r="65" spans="1:11">
      <c r="A65" t="s">
        <v>76</v>
      </c>
      <c r="B65" t="s">
        <v>62</v>
      </c>
      <c r="C65" s="1">
        <v>45733</v>
      </c>
      <c r="D65" t="s">
        <v>328</v>
      </c>
      <c r="F65" t="s">
        <v>55</v>
      </c>
      <c r="G65">
        <v>825812</v>
      </c>
      <c r="H65" t="s">
        <v>68</v>
      </c>
      <c r="I65">
        <v>270</v>
      </c>
      <c r="J65" t="s">
        <v>69</v>
      </c>
      <c r="K65" s="1">
        <v>45733</v>
      </c>
    </row>
    <row r="66" spans="1:11">
      <c r="A66" t="s">
        <v>65</v>
      </c>
      <c r="B66" t="s">
        <v>24</v>
      </c>
      <c r="C66" s="1">
        <v>45734</v>
      </c>
      <c r="D66" t="s">
        <v>328</v>
      </c>
      <c r="F66" t="s">
        <v>55</v>
      </c>
      <c r="G66">
        <v>825812</v>
      </c>
      <c r="H66" t="s">
        <v>58</v>
      </c>
      <c r="I66">
        <v>53</v>
      </c>
      <c r="J66" t="s">
        <v>59</v>
      </c>
      <c r="K66" s="1">
        <v>45734</v>
      </c>
    </row>
    <row r="67" spans="1:11">
      <c r="A67" t="s">
        <v>65</v>
      </c>
      <c r="B67" t="s">
        <v>21</v>
      </c>
      <c r="C67" s="1">
        <v>45735</v>
      </c>
      <c r="D67" t="s">
        <v>328</v>
      </c>
      <c r="F67" t="s">
        <v>55</v>
      </c>
      <c r="G67">
        <v>825812</v>
      </c>
      <c r="H67" t="s">
        <v>58</v>
      </c>
      <c r="I67">
        <v>53</v>
      </c>
      <c r="J67" t="s">
        <v>59</v>
      </c>
      <c r="K67" s="1">
        <v>45735</v>
      </c>
    </row>
    <row r="68" spans="1:11">
      <c r="A68" t="s">
        <v>73</v>
      </c>
      <c r="B68" t="s">
        <v>23</v>
      </c>
      <c r="C68" s="1">
        <v>45736</v>
      </c>
      <c r="D68" t="s">
        <v>328</v>
      </c>
      <c r="F68" t="s">
        <v>55</v>
      </c>
      <c r="G68">
        <v>825812</v>
      </c>
      <c r="H68" t="s">
        <v>68</v>
      </c>
      <c r="I68">
        <v>261</v>
      </c>
      <c r="J68" t="s">
        <v>69</v>
      </c>
      <c r="K68" s="1">
        <v>45736</v>
      </c>
    </row>
    <row r="69" spans="1:11">
      <c r="A69" t="s">
        <v>165</v>
      </c>
      <c r="B69" t="s">
        <v>23</v>
      </c>
      <c r="C69" s="1">
        <v>45741</v>
      </c>
      <c r="D69" t="s">
        <v>328</v>
      </c>
      <c r="E69" s="1">
        <v>45747</v>
      </c>
      <c r="F69" t="s">
        <v>55</v>
      </c>
      <c r="G69">
        <v>825812</v>
      </c>
      <c r="H69" t="s">
        <v>151</v>
      </c>
      <c r="I69">
        <v>28</v>
      </c>
      <c r="J69" t="s">
        <v>152</v>
      </c>
      <c r="K69" s="1">
        <v>45741</v>
      </c>
    </row>
    <row r="70" spans="1:11">
      <c r="A70" t="s">
        <v>165</v>
      </c>
      <c r="B70" t="s">
        <v>21</v>
      </c>
      <c r="C70" s="1">
        <v>45747</v>
      </c>
      <c r="D70" t="s">
        <v>328</v>
      </c>
      <c r="F70" t="s">
        <v>55</v>
      </c>
      <c r="G70">
        <v>825812</v>
      </c>
      <c r="H70" t="s">
        <v>151</v>
      </c>
      <c r="I70">
        <v>28</v>
      </c>
      <c r="J70" t="s">
        <v>152</v>
      </c>
      <c r="K70" s="1">
        <v>45747</v>
      </c>
    </row>
    <row r="71" spans="1:11">
      <c r="A71" t="s">
        <v>165</v>
      </c>
      <c r="B71" t="s">
        <v>26</v>
      </c>
      <c r="C71" s="1">
        <v>45747</v>
      </c>
      <c r="D71" t="s">
        <v>328</v>
      </c>
      <c r="F71" t="s">
        <v>55</v>
      </c>
      <c r="G71">
        <v>825812</v>
      </c>
      <c r="H71" t="s">
        <v>151</v>
      </c>
      <c r="I71">
        <v>28</v>
      </c>
      <c r="J71" t="s">
        <v>152</v>
      </c>
      <c r="K71" s="1">
        <v>45747</v>
      </c>
    </row>
    <row r="72" spans="1:11">
      <c r="A72" t="s">
        <v>178</v>
      </c>
      <c r="B72" t="s">
        <v>21</v>
      </c>
      <c r="C72" s="1">
        <v>45747</v>
      </c>
      <c r="D72" t="s">
        <v>328</v>
      </c>
      <c r="F72" t="s">
        <v>55</v>
      </c>
      <c r="G72">
        <v>825812</v>
      </c>
      <c r="H72" t="s">
        <v>176</v>
      </c>
      <c r="I72">
        <v>63</v>
      </c>
      <c r="J72" t="s">
        <v>59</v>
      </c>
      <c r="K72" s="1">
        <v>45747</v>
      </c>
    </row>
    <row r="73" spans="1:11">
      <c r="A73" t="s">
        <v>178</v>
      </c>
      <c r="B73" t="s">
        <v>23</v>
      </c>
      <c r="C73" s="1">
        <v>45747</v>
      </c>
      <c r="D73" t="s">
        <v>328</v>
      </c>
      <c r="F73" t="s">
        <v>55</v>
      </c>
      <c r="G73">
        <v>825812</v>
      </c>
      <c r="H73" t="s">
        <v>176</v>
      </c>
      <c r="I73">
        <v>63</v>
      </c>
      <c r="J73" t="s">
        <v>59</v>
      </c>
      <c r="K73" s="1">
        <v>45747</v>
      </c>
    </row>
    <row r="74" spans="1:11">
      <c r="A74" t="s">
        <v>184</v>
      </c>
      <c r="B74" t="s">
        <v>9</v>
      </c>
      <c r="C74" s="1">
        <v>45754</v>
      </c>
      <c r="D74" t="s">
        <v>328</v>
      </c>
      <c r="F74" t="s">
        <v>55</v>
      </c>
      <c r="G74">
        <v>825812</v>
      </c>
      <c r="H74" t="s">
        <v>176</v>
      </c>
      <c r="I74">
        <v>67</v>
      </c>
      <c r="J74" t="s">
        <v>59</v>
      </c>
      <c r="K74" s="1">
        <v>45754</v>
      </c>
    </row>
    <row r="75" spans="1:11">
      <c r="A75" t="s">
        <v>187</v>
      </c>
      <c r="B75" t="s">
        <v>9</v>
      </c>
      <c r="C75" s="1">
        <v>45754</v>
      </c>
      <c r="D75" t="s">
        <v>328</v>
      </c>
      <c r="F75" t="s">
        <v>55</v>
      </c>
      <c r="G75">
        <v>825812</v>
      </c>
      <c r="H75" t="s">
        <v>176</v>
      </c>
      <c r="I75">
        <v>68</v>
      </c>
      <c r="J75" t="s">
        <v>59</v>
      </c>
      <c r="K75" s="1">
        <v>45754</v>
      </c>
    </row>
    <row r="76" spans="1:11">
      <c r="A76" t="s">
        <v>184</v>
      </c>
      <c r="B76" t="s">
        <v>10</v>
      </c>
      <c r="C76" s="1">
        <v>45754</v>
      </c>
      <c r="D76" t="s">
        <v>328</v>
      </c>
      <c r="F76" t="s">
        <v>55</v>
      </c>
      <c r="G76">
        <v>825812</v>
      </c>
      <c r="H76" t="s">
        <v>176</v>
      </c>
      <c r="I76">
        <v>67</v>
      </c>
      <c r="J76" t="s">
        <v>59</v>
      </c>
      <c r="K76" s="1">
        <v>45754</v>
      </c>
    </row>
    <row r="77" spans="1:11">
      <c r="A77" t="s">
        <v>187</v>
      </c>
      <c r="B77" t="s">
        <v>10</v>
      </c>
      <c r="C77" s="1">
        <v>45754</v>
      </c>
      <c r="D77" t="s">
        <v>328</v>
      </c>
      <c r="F77" t="s">
        <v>55</v>
      </c>
      <c r="G77">
        <v>825812</v>
      </c>
      <c r="H77" t="s">
        <v>176</v>
      </c>
      <c r="I77">
        <v>68</v>
      </c>
      <c r="J77" t="s">
        <v>59</v>
      </c>
      <c r="K77" s="1">
        <v>45754</v>
      </c>
    </row>
    <row r="78" spans="1:11">
      <c r="A78" t="s">
        <v>184</v>
      </c>
      <c r="B78" t="s">
        <v>60</v>
      </c>
      <c r="C78" s="1">
        <v>45754</v>
      </c>
      <c r="D78" t="s">
        <v>328</v>
      </c>
      <c r="F78" t="s">
        <v>55</v>
      </c>
      <c r="G78">
        <v>825812</v>
      </c>
      <c r="H78" t="s">
        <v>176</v>
      </c>
      <c r="I78">
        <v>67</v>
      </c>
      <c r="J78" t="s">
        <v>59</v>
      </c>
      <c r="K78" s="1">
        <v>45754</v>
      </c>
    </row>
    <row r="79" spans="1:11">
      <c r="A79" t="s">
        <v>187</v>
      </c>
      <c r="B79" t="s">
        <v>60</v>
      </c>
      <c r="C79" s="1">
        <v>45754</v>
      </c>
      <c r="D79" t="s">
        <v>328</v>
      </c>
      <c r="F79" t="s">
        <v>55</v>
      </c>
      <c r="G79">
        <v>825812</v>
      </c>
      <c r="H79" t="s">
        <v>176</v>
      </c>
      <c r="I79">
        <v>68</v>
      </c>
      <c r="J79" t="s">
        <v>59</v>
      </c>
      <c r="K79" s="1">
        <v>45754</v>
      </c>
    </row>
    <row r="80" spans="1:11">
      <c r="A80" t="s">
        <v>187</v>
      </c>
      <c r="B80" t="s">
        <v>61</v>
      </c>
      <c r="C80" s="1">
        <v>45754</v>
      </c>
      <c r="D80" t="s">
        <v>328</v>
      </c>
      <c r="F80" t="s">
        <v>55</v>
      </c>
      <c r="G80">
        <v>825812</v>
      </c>
      <c r="H80" t="s">
        <v>176</v>
      </c>
      <c r="I80">
        <v>68</v>
      </c>
      <c r="J80" t="s">
        <v>59</v>
      </c>
      <c r="K80" s="1">
        <v>45754</v>
      </c>
    </row>
    <row r="81" spans="1:11">
      <c r="A81" t="s">
        <v>187</v>
      </c>
      <c r="B81" t="s">
        <v>12</v>
      </c>
      <c r="C81" s="1">
        <v>45754</v>
      </c>
      <c r="D81" t="s">
        <v>328</v>
      </c>
      <c r="F81" t="s">
        <v>55</v>
      </c>
      <c r="G81">
        <v>825812</v>
      </c>
      <c r="H81" t="s">
        <v>176</v>
      </c>
      <c r="I81">
        <v>68</v>
      </c>
      <c r="J81" t="s">
        <v>59</v>
      </c>
      <c r="K81" s="1">
        <v>45754</v>
      </c>
    </row>
    <row r="82" spans="1:11">
      <c r="A82" t="s">
        <v>187</v>
      </c>
      <c r="B82" t="s">
        <v>13</v>
      </c>
      <c r="C82" s="1">
        <v>45754</v>
      </c>
      <c r="D82" t="s">
        <v>328</v>
      </c>
      <c r="F82" t="s">
        <v>55</v>
      </c>
      <c r="G82">
        <v>825812</v>
      </c>
      <c r="H82" t="s">
        <v>176</v>
      </c>
      <c r="I82">
        <v>68</v>
      </c>
      <c r="J82" t="s">
        <v>59</v>
      </c>
      <c r="K82" s="1">
        <v>45754</v>
      </c>
    </row>
    <row r="83" spans="1:11">
      <c r="A83" t="s">
        <v>187</v>
      </c>
      <c r="B83" t="s">
        <v>14</v>
      </c>
      <c r="C83" s="1">
        <v>45754</v>
      </c>
      <c r="D83" t="s">
        <v>328</v>
      </c>
      <c r="F83" t="s">
        <v>55</v>
      </c>
      <c r="G83">
        <v>825812</v>
      </c>
      <c r="H83" t="s">
        <v>176</v>
      </c>
      <c r="I83">
        <v>68</v>
      </c>
      <c r="J83" t="s">
        <v>59</v>
      </c>
      <c r="K83" s="1">
        <v>45754</v>
      </c>
    </row>
    <row r="84" spans="1:11">
      <c r="A84" t="s">
        <v>187</v>
      </c>
      <c r="B84" t="s">
        <v>15</v>
      </c>
      <c r="C84" s="1">
        <v>45754</v>
      </c>
      <c r="D84" t="s">
        <v>328</v>
      </c>
      <c r="F84" t="s">
        <v>55</v>
      </c>
      <c r="G84">
        <v>825812</v>
      </c>
      <c r="H84" t="s">
        <v>176</v>
      </c>
      <c r="I84">
        <v>68</v>
      </c>
      <c r="J84" t="s">
        <v>59</v>
      </c>
      <c r="K84" s="1">
        <v>45754</v>
      </c>
    </row>
    <row r="85" spans="1:11">
      <c r="A85" t="s">
        <v>187</v>
      </c>
      <c r="B85" t="s">
        <v>18</v>
      </c>
      <c r="C85" s="1">
        <v>45755</v>
      </c>
      <c r="D85" t="s">
        <v>328</v>
      </c>
      <c r="F85" t="s">
        <v>55</v>
      </c>
      <c r="G85">
        <v>825812</v>
      </c>
      <c r="H85" t="s">
        <v>176</v>
      </c>
      <c r="I85">
        <v>68</v>
      </c>
      <c r="J85" t="s">
        <v>59</v>
      </c>
      <c r="K85" s="1">
        <v>45755</v>
      </c>
    </row>
    <row r="86" spans="1:11">
      <c r="A86" t="s">
        <v>134</v>
      </c>
      <c r="B86" t="s">
        <v>9</v>
      </c>
      <c r="C86" s="1">
        <v>45757</v>
      </c>
      <c r="D86" t="s">
        <v>328</v>
      </c>
      <c r="F86" t="s">
        <v>55</v>
      </c>
      <c r="G86">
        <v>825812</v>
      </c>
      <c r="H86" t="s">
        <v>124</v>
      </c>
      <c r="I86">
        <v>144</v>
      </c>
      <c r="J86" t="s">
        <v>80</v>
      </c>
      <c r="K86" s="1">
        <v>45757</v>
      </c>
    </row>
    <row r="87" spans="1:11">
      <c r="A87" t="s">
        <v>134</v>
      </c>
      <c r="B87" t="s">
        <v>10</v>
      </c>
      <c r="C87" s="1">
        <v>45757</v>
      </c>
      <c r="D87" t="s">
        <v>328</v>
      </c>
      <c r="F87" t="s">
        <v>55</v>
      </c>
      <c r="G87">
        <v>825812</v>
      </c>
      <c r="H87" t="s">
        <v>124</v>
      </c>
      <c r="I87">
        <v>144</v>
      </c>
      <c r="J87" t="s">
        <v>80</v>
      </c>
      <c r="K87" s="1">
        <v>45757</v>
      </c>
    </row>
    <row r="88" spans="1:11">
      <c r="A88" t="s">
        <v>134</v>
      </c>
      <c r="B88" t="s">
        <v>60</v>
      </c>
      <c r="C88" s="1">
        <v>45757</v>
      </c>
      <c r="D88" t="s">
        <v>328</v>
      </c>
      <c r="F88" t="s">
        <v>55</v>
      </c>
      <c r="G88">
        <v>825812</v>
      </c>
      <c r="H88" t="s">
        <v>124</v>
      </c>
      <c r="I88">
        <v>144</v>
      </c>
      <c r="J88" t="s">
        <v>80</v>
      </c>
      <c r="K88" s="1">
        <v>45757</v>
      </c>
    </row>
    <row r="89" spans="1:11">
      <c r="A89" t="s">
        <v>134</v>
      </c>
      <c r="B89" t="s">
        <v>61</v>
      </c>
      <c r="C89" s="1">
        <v>45757</v>
      </c>
      <c r="D89" t="s">
        <v>328</v>
      </c>
      <c r="F89" t="s">
        <v>55</v>
      </c>
      <c r="G89">
        <v>825812</v>
      </c>
      <c r="H89" t="s">
        <v>124</v>
      </c>
      <c r="I89">
        <v>144</v>
      </c>
      <c r="J89" t="s">
        <v>80</v>
      </c>
      <c r="K89" s="1">
        <v>45757</v>
      </c>
    </row>
    <row r="90" spans="1:11">
      <c r="A90" t="s">
        <v>134</v>
      </c>
      <c r="B90" t="s">
        <v>12</v>
      </c>
      <c r="C90" s="1">
        <v>45757</v>
      </c>
      <c r="D90" t="s">
        <v>328</v>
      </c>
      <c r="F90" t="s">
        <v>55</v>
      </c>
      <c r="G90">
        <v>825812</v>
      </c>
      <c r="H90" t="s">
        <v>124</v>
      </c>
      <c r="I90">
        <v>144</v>
      </c>
      <c r="J90" t="s">
        <v>80</v>
      </c>
      <c r="K90" s="1">
        <v>45757</v>
      </c>
    </row>
    <row r="91" spans="1:11">
      <c r="A91" t="s">
        <v>134</v>
      </c>
      <c r="B91" t="s">
        <v>13</v>
      </c>
      <c r="C91" s="1">
        <v>45757</v>
      </c>
      <c r="D91" t="s">
        <v>328</v>
      </c>
      <c r="F91" t="s">
        <v>55</v>
      </c>
      <c r="G91">
        <v>825812</v>
      </c>
      <c r="H91" t="s">
        <v>124</v>
      </c>
      <c r="I91">
        <v>144</v>
      </c>
      <c r="J91" t="s">
        <v>80</v>
      </c>
      <c r="K91" s="1">
        <v>45757</v>
      </c>
    </row>
    <row r="92" spans="1:11">
      <c r="A92" t="s">
        <v>134</v>
      </c>
      <c r="B92" t="s">
        <v>14</v>
      </c>
      <c r="C92" s="1">
        <v>45757</v>
      </c>
      <c r="D92" t="s">
        <v>328</v>
      </c>
      <c r="F92" t="s">
        <v>55</v>
      </c>
      <c r="G92">
        <v>825812</v>
      </c>
      <c r="H92" t="s">
        <v>124</v>
      </c>
      <c r="I92">
        <v>144</v>
      </c>
      <c r="J92" t="s">
        <v>80</v>
      </c>
      <c r="K92" s="1">
        <v>45757</v>
      </c>
    </row>
    <row r="93" spans="1:11">
      <c r="A93" t="s">
        <v>134</v>
      </c>
      <c r="B93" t="s">
        <v>15</v>
      </c>
      <c r="C93" s="1">
        <v>45757</v>
      </c>
      <c r="D93" t="s">
        <v>328</v>
      </c>
      <c r="F93" t="s">
        <v>55</v>
      </c>
      <c r="G93">
        <v>825812</v>
      </c>
      <c r="H93" t="s">
        <v>124</v>
      </c>
      <c r="I93">
        <v>144</v>
      </c>
      <c r="J93" t="s">
        <v>80</v>
      </c>
      <c r="K93" s="1">
        <v>45757</v>
      </c>
    </row>
    <row r="94" spans="1:11">
      <c r="A94" t="s">
        <v>134</v>
      </c>
      <c r="B94" t="s">
        <v>20</v>
      </c>
      <c r="C94" s="1">
        <v>45757</v>
      </c>
      <c r="D94" t="s">
        <v>328</v>
      </c>
      <c r="E94" t="s">
        <v>135</v>
      </c>
      <c r="F94" t="s">
        <v>55</v>
      </c>
      <c r="G94">
        <v>825812</v>
      </c>
      <c r="H94" t="s">
        <v>124</v>
      </c>
      <c r="I94">
        <v>144</v>
      </c>
      <c r="J94" t="s">
        <v>80</v>
      </c>
      <c r="K94" s="1">
        <v>45757</v>
      </c>
    </row>
    <row r="95" spans="1:11">
      <c r="A95" t="s">
        <v>134</v>
      </c>
      <c r="B95" t="s">
        <v>18</v>
      </c>
      <c r="C95" s="1">
        <v>45757</v>
      </c>
      <c r="D95" t="s">
        <v>328</v>
      </c>
      <c r="F95" t="s">
        <v>55</v>
      </c>
      <c r="G95">
        <v>825812</v>
      </c>
      <c r="H95" t="s">
        <v>124</v>
      </c>
      <c r="I95">
        <v>144</v>
      </c>
      <c r="J95" t="s">
        <v>80</v>
      </c>
      <c r="K95" s="1">
        <v>45757</v>
      </c>
    </row>
    <row r="96" spans="1:11">
      <c r="A96" t="s">
        <v>134</v>
      </c>
      <c r="B96" t="s">
        <v>19</v>
      </c>
      <c r="C96" s="1">
        <v>45757</v>
      </c>
      <c r="D96" t="s">
        <v>328</v>
      </c>
      <c r="F96" t="s">
        <v>55</v>
      </c>
      <c r="G96">
        <v>825812</v>
      </c>
      <c r="H96" t="s">
        <v>124</v>
      </c>
      <c r="I96">
        <v>144</v>
      </c>
      <c r="J96" t="s">
        <v>80</v>
      </c>
      <c r="K96" s="1">
        <v>45757</v>
      </c>
    </row>
    <row r="97" spans="1:11">
      <c r="A97" t="s">
        <v>134</v>
      </c>
      <c r="B97" t="s">
        <v>62</v>
      </c>
      <c r="C97" s="1">
        <v>45757</v>
      </c>
      <c r="D97" t="s">
        <v>328</v>
      </c>
      <c r="F97" t="s">
        <v>55</v>
      </c>
      <c r="G97">
        <v>825812</v>
      </c>
      <c r="H97" t="s">
        <v>124</v>
      </c>
      <c r="I97">
        <v>144</v>
      </c>
      <c r="J97" t="s">
        <v>80</v>
      </c>
      <c r="K97" s="1">
        <v>45757</v>
      </c>
    </row>
    <row r="98" spans="1:11">
      <c r="A98" t="s">
        <v>134</v>
      </c>
      <c r="B98" t="s">
        <v>25</v>
      </c>
      <c r="C98" s="1">
        <v>45757</v>
      </c>
      <c r="D98" t="s">
        <v>328</v>
      </c>
      <c r="F98" t="s">
        <v>55</v>
      </c>
      <c r="G98">
        <v>825812</v>
      </c>
      <c r="H98" t="s">
        <v>124</v>
      </c>
      <c r="I98">
        <v>144</v>
      </c>
      <c r="J98" t="s">
        <v>80</v>
      </c>
      <c r="K98" s="1">
        <v>45757</v>
      </c>
    </row>
    <row r="99" spans="1:11">
      <c r="A99" t="s">
        <v>157</v>
      </c>
      <c r="B99" t="s">
        <v>9</v>
      </c>
      <c r="C99" s="1">
        <v>45757</v>
      </c>
      <c r="D99" t="s">
        <v>328</v>
      </c>
      <c r="F99" t="s">
        <v>55</v>
      </c>
      <c r="G99">
        <v>825812</v>
      </c>
      <c r="H99" t="s">
        <v>151</v>
      </c>
      <c r="I99">
        <v>2</v>
      </c>
      <c r="J99" t="s">
        <v>152</v>
      </c>
      <c r="K99" s="1">
        <v>45757</v>
      </c>
    </row>
    <row r="100" spans="1:11">
      <c r="A100" t="s">
        <v>163</v>
      </c>
      <c r="B100" t="s">
        <v>9</v>
      </c>
      <c r="C100" s="1">
        <v>45757</v>
      </c>
      <c r="D100" t="s">
        <v>328</v>
      </c>
      <c r="F100" t="s">
        <v>55</v>
      </c>
      <c r="G100">
        <v>825812</v>
      </c>
      <c r="H100" t="s">
        <v>151</v>
      </c>
      <c r="I100">
        <v>23</v>
      </c>
      <c r="J100" t="s">
        <v>152</v>
      </c>
      <c r="K100" s="1">
        <v>45757</v>
      </c>
    </row>
    <row r="101" spans="1:11">
      <c r="A101" t="s">
        <v>157</v>
      </c>
      <c r="B101" t="s">
        <v>10</v>
      </c>
      <c r="C101" s="1">
        <v>45757</v>
      </c>
      <c r="D101" t="s">
        <v>328</v>
      </c>
      <c r="F101" t="s">
        <v>55</v>
      </c>
      <c r="G101">
        <v>825812</v>
      </c>
      <c r="H101" t="s">
        <v>151</v>
      </c>
      <c r="I101">
        <v>2</v>
      </c>
      <c r="J101" t="s">
        <v>152</v>
      </c>
      <c r="K101" s="1">
        <v>45757</v>
      </c>
    </row>
    <row r="102" spans="1:11">
      <c r="A102" t="s">
        <v>163</v>
      </c>
      <c r="B102" t="s">
        <v>10</v>
      </c>
      <c r="C102" s="1">
        <v>45757</v>
      </c>
      <c r="D102" t="s">
        <v>328</v>
      </c>
      <c r="F102" t="s">
        <v>55</v>
      </c>
      <c r="G102">
        <v>825812</v>
      </c>
      <c r="H102" t="s">
        <v>151</v>
      </c>
      <c r="I102">
        <v>23</v>
      </c>
      <c r="J102" t="s">
        <v>152</v>
      </c>
      <c r="K102" s="1">
        <v>45757</v>
      </c>
    </row>
    <row r="103" spans="1:11">
      <c r="A103" t="s">
        <v>157</v>
      </c>
      <c r="B103" t="s">
        <v>60</v>
      </c>
      <c r="C103" s="1">
        <v>45757</v>
      </c>
      <c r="D103" t="s">
        <v>328</v>
      </c>
      <c r="F103" t="s">
        <v>55</v>
      </c>
      <c r="G103">
        <v>825812</v>
      </c>
      <c r="H103" t="s">
        <v>151</v>
      </c>
      <c r="I103">
        <v>2</v>
      </c>
      <c r="J103" t="s">
        <v>152</v>
      </c>
      <c r="K103" s="1">
        <v>45757</v>
      </c>
    </row>
    <row r="104" spans="1:11">
      <c r="A104" t="s">
        <v>163</v>
      </c>
      <c r="B104" t="s">
        <v>60</v>
      </c>
      <c r="C104" s="1">
        <v>45757</v>
      </c>
      <c r="D104" t="s">
        <v>328</v>
      </c>
      <c r="F104" t="s">
        <v>55</v>
      </c>
      <c r="G104">
        <v>825812</v>
      </c>
      <c r="H104" t="s">
        <v>151</v>
      </c>
      <c r="I104">
        <v>23</v>
      </c>
      <c r="J104" t="s">
        <v>152</v>
      </c>
      <c r="K104" s="1">
        <v>45757</v>
      </c>
    </row>
    <row r="105" spans="1:11">
      <c r="A105" t="s">
        <v>157</v>
      </c>
      <c r="B105" t="s">
        <v>61</v>
      </c>
      <c r="C105" s="1">
        <v>45757</v>
      </c>
      <c r="D105" t="s">
        <v>328</v>
      </c>
      <c r="F105" t="s">
        <v>55</v>
      </c>
      <c r="G105">
        <v>825812</v>
      </c>
      <c r="H105" t="s">
        <v>151</v>
      </c>
      <c r="I105">
        <v>2</v>
      </c>
      <c r="J105" t="s">
        <v>152</v>
      </c>
      <c r="K105" s="1">
        <v>45757</v>
      </c>
    </row>
    <row r="106" spans="1:11">
      <c r="A106" t="s">
        <v>163</v>
      </c>
      <c r="B106" t="s">
        <v>61</v>
      </c>
      <c r="C106" s="1">
        <v>45757</v>
      </c>
      <c r="D106" t="s">
        <v>328</v>
      </c>
      <c r="F106" t="s">
        <v>55</v>
      </c>
      <c r="G106">
        <v>825812</v>
      </c>
      <c r="H106" t="s">
        <v>151</v>
      </c>
      <c r="I106">
        <v>23</v>
      </c>
      <c r="J106" t="s">
        <v>152</v>
      </c>
      <c r="K106" s="1">
        <v>45757</v>
      </c>
    </row>
    <row r="107" spans="1:11">
      <c r="A107" t="s">
        <v>157</v>
      </c>
      <c r="B107" t="s">
        <v>153</v>
      </c>
      <c r="C107" s="1">
        <v>45757</v>
      </c>
      <c r="D107" t="s">
        <v>328</v>
      </c>
      <c r="F107" t="s">
        <v>55</v>
      </c>
      <c r="G107">
        <v>825812</v>
      </c>
      <c r="H107" t="s">
        <v>151</v>
      </c>
      <c r="I107">
        <v>2</v>
      </c>
      <c r="J107" t="s">
        <v>152</v>
      </c>
      <c r="K107" s="1">
        <v>45757</v>
      </c>
    </row>
    <row r="108" spans="1:11">
      <c r="A108" t="s">
        <v>163</v>
      </c>
      <c r="B108" t="s">
        <v>153</v>
      </c>
      <c r="C108" s="1">
        <v>45757</v>
      </c>
      <c r="D108" t="s">
        <v>328</v>
      </c>
      <c r="F108" t="s">
        <v>55</v>
      </c>
      <c r="G108">
        <v>825812</v>
      </c>
      <c r="H108" t="s">
        <v>151</v>
      </c>
      <c r="I108">
        <v>23</v>
      </c>
      <c r="J108" t="s">
        <v>152</v>
      </c>
      <c r="K108" s="1">
        <v>45757</v>
      </c>
    </row>
    <row r="109" spans="1:11">
      <c r="A109" t="s">
        <v>157</v>
      </c>
      <c r="B109" t="s">
        <v>154</v>
      </c>
      <c r="C109" s="1">
        <v>45757</v>
      </c>
      <c r="D109" t="s">
        <v>328</v>
      </c>
      <c r="F109" t="s">
        <v>55</v>
      </c>
      <c r="G109">
        <v>825812</v>
      </c>
      <c r="H109" t="s">
        <v>151</v>
      </c>
      <c r="I109">
        <v>2</v>
      </c>
      <c r="J109" t="s">
        <v>152</v>
      </c>
      <c r="K109" s="1">
        <v>45757</v>
      </c>
    </row>
    <row r="110" spans="1:11">
      <c r="A110" t="s">
        <v>163</v>
      </c>
      <c r="B110" t="s">
        <v>154</v>
      </c>
      <c r="C110" s="1">
        <v>45757</v>
      </c>
      <c r="D110" t="s">
        <v>328</v>
      </c>
      <c r="F110" t="s">
        <v>55</v>
      </c>
      <c r="G110">
        <v>825812</v>
      </c>
      <c r="H110" t="s">
        <v>151</v>
      </c>
      <c r="I110">
        <v>23</v>
      </c>
      <c r="J110" t="s">
        <v>152</v>
      </c>
      <c r="K110" s="1">
        <v>45757</v>
      </c>
    </row>
    <row r="111" spans="1:11">
      <c r="A111" t="s">
        <v>184</v>
      </c>
      <c r="B111" t="s">
        <v>12</v>
      </c>
      <c r="C111" s="1">
        <v>45757</v>
      </c>
      <c r="D111" t="s">
        <v>328</v>
      </c>
      <c r="F111" t="s">
        <v>55</v>
      </c>
      <c r="G111">
        <v>825812</v>
      </c>
      <c r="H111" t="s">
        <v>176</v>
      </c>
      <c r="I111">
        <v>67</v>
      </c>
      <c r="J111" t="s">
        <v>59</v>
      </c>
      <c r="K111" s="1">
        <v>45757</v>
      </c>
    </row>
    <row r="112" spans="1:11">
      <c r="A112" t="s">
        <v>184</v>
      </c>
      <c r="B112" t="s">
        <v>13</v>
      </c>
      <c r="C112" s="1">
        <v>45757</v>
      </c>
      <c r="D112" t="s">
        <v>328</v>
      </c>
      <c r="F112" t="s">
        <v>55</v>
      </c>
      <c r="G112">
        <v>825812</v>
      </c>
      <c r="H112" t="s">
        <v>176</v>
      </c>
      <c r="I112">
        <v>67</v>
      </c>
      <c r="J112" t="s">
        <v>59</v>
      </c>
      <c r="K112" s="1">
        <v>45757</v>
      </c>
    </row>
    <row r="113" spans="1:11">
      <c r="A113" t="s">
        <v>184</v>
      </c>
      <c r="B113" t="s">
        <v>14</v>
      </c>
      <c r="C113" s="1">
        <v>45757</v>
      </c>
      <c r="D113" t="s">
        <v>328</v>
      </c>
      <c r="F113" t="s">
        <v>55</v>
      </c>
      <c r="G113">
        <v>825812</v>
      </c>
      <c r="H113" t="s">
        <v>176</v>
      </c>
      <c r="I113">
        <v>67</v>
      </c>
      <c r="J113" t="s">
        <v>59</v>
      </c>
      <c r="K113" s="1">
        <v>45757</v>
      </c>
    </row>
    <row r="114" spans="1:11">
      <c r="A114" t="s">
        <v>184</v>
      </c>
      <c r="B114" t="s">
        <v>15</v>
      </c>
      <c r="C114" s="1">
        <v>45757</v>
      </c>
      <c r="D114" t="s">
        <v>328</v>
      </c>
      <c r="F114" t="s">
        <v>55</v>
      </c>
      <c r="G114">
        <v>825812</v>
      </c>
      <c r="H114" t="s">
        <v>176</v>
      </c>
      <c r="I114">
        <v>67</v>
      </c>
      <c r="J114" t="s">
        <v>59</v>
      </c>
      <c r="K114" s="1">
        <v>45757</v>
      </c>
    </row>
    <row r="115" spans="1:11">
      <c r="A115" t="s">
        <v>184</v>
      </c>
      <c r="B115" t="s">
        <v>18</v>
      </c>
      <c r="C115" s="1">
        <v>45757</v>
      </c>
      <c r="D115" t="s">
        <v>328</v>
      </c>
      <c r="F115" t="s">
        <v>55</v>
      </c>
      <c r="G115">
        <v>825812</v>
      </c>
      <c r="H115" t="s">
        <v>176</v>
      </c>
      <c r="I115">
        <v>67</v>
      </c>
      <c r="J115" t="s">
        <v>59</v>
      </c>
      <c r="K115" s="1">
        <v>45757</v>
      </c>
    </row>
    <row r="116" spans="1:11">
      <c r="A116" t="s">
        <v>184</v>
      </c>
      <c r="B116" t="s">
        <v>19</v>
      </c>
      <c r="C116" s="1">
        <v>45757</v>
      </c>
      <c r="D116" t="s">
        <v>328</v>
      </c>
      <c r="F116" t="s">
        <v>55</v>
      </c>
      <c r="G116">
        <v>825812</v>
      </c>
      <c r="H116" t="s">
        <v>176</v>
      </c>
      <c r="I116">
        <v>67</v>
      </c>
      <c r="J116" t="s">
        <v>59</v>
      </c>
      <c r="K116" s="1">
        <v>45757</v>
      </c>
    </row>
    <row r="117" spans="1:11">
      <c r="A117" t="s">
        <v>187</v>
      </c>
      <c r="B117" t="s">
        <v>19</v>
      </c>
      <c r="C117" s="1">
        <v>45757</v>
      </c>
      <c r="D117" t="s">
        <v>328</v>
      </c>
      <c r="F117" t="s">
        <v>55</v>
      </c>
      <c r="G117">
        <v>825812</v>
      </c>
      <c r="H117" t="s">
        <v>176</v>
      </c>
      <c r="I117">
        <v>68</v>
      </c>
      <c r="J117" t="s">
        <v>59</v>
      </c>
      <c r="K117" s="1">
        <v>45757</v>
      </c>
    </row>
    <row r="118" spans="1:11">
      <c r="A118" t="s">
        <v>155</v>
      </c>
      <c r="B118" t="s">
        <v>9</v>
      </c>
      <c r="C118" s="1">
        <v>45758</v>
      </c>
      <c r="D118" t="s">
        <v>328</v>
      </c>
      <c r="F118" t="s">
        <v>55</v>
      </c>
      <c r="G118">
        <v>825812</v>
      </c>
      <c r="H118" t="s">
        <v>151</v>
      </c>
      <c r="I118">
        <v>1</v>
      </c>
      <c r="J118" t="s">
        <v>152</v>
      </c>
      <c r="K118" s="1">
        <v>45758</v>
      </c>
    </row>
    <row r="119" spans="1:11">
      <c r="A119" t="s">
        <v>155</v>
      </c>
      <c r="B119" t="s">
        <v>10</v>
      </c>
      <c r="C119" s="1">
        <v>45758</v>
      </c>
      <c r="D119" t="s">
        <v>328</v>
      </c>
      <c r="F119" t="s">
        <v>55</v>
      </c>
      <c r="G119">
        <v>825812</v>
      </c>
      <c r="H119" t="s">
        <v>151</v>
      </c>
      <c r="I119">
        <v>1</v>
      </c>
      <c r="J119" t="s">
        <v>152</v>
      </c>
      <c r="K119" s="1">
        <v>45758</v>
      </c>
    </row>
    <row r="120" spans="1:11">
      <c r="A120" t="s">
        <v>155</v>
      </c>
      <c r="B120" t="s">
        <v>60</v>
      </c>
      <c r="C120" s="1">
        <v>45758</v>
      </c>
      <c r="D120" t="s">
        <v>328</v>
      </c>
      <c r="F120" t="s">
        <v>55</v>
      </c>
      <c r="G120">
        <v>825812</v>
      </c>
      <c r="H120" t="s">
        <v>151</v>
      </c>
      <c r="I120">
        <v>1</v>
      </c>
      <c r="J120" t="s">
        <v>152</v>
      </c>
      <c r="K120" s="1">
        <v>45758</v>
      </c>
    </row>
    <row r="121" spans="1:11">
      <c r="A121" t="s">
        <v>155</v>
      </c>
      <c r="B121" t="s">
        <v>61</v>
      </c>
      <c r="C121" s="1">
        <v>45758</v>
      </c>
      <c r="D121" t="s">
        <v>328</v>
      </c>
      <c r="F121" t="s">
        <v>55</v>
      </c>
      <c r="G121">
        <v>825812</v>
      </c>
      <c r="H121" t="s">
        <v>151</v>
      </c>
      <c r="I121">
        <v>1</v>
      </c>
      <c r="J121" t="s">
        <v>152</v>
      </c>
      <c r="K121" s="1">
        <v>45758</v>
      </c>
    </row>
    <row r="122" spans="1:11">
      <c r="A122" t="s">
        <v>155</v>
      </c>
      <c r="B122" t="s">
        <v>153</v>
      </c>
      <c r="C122" s="1">
        <v>45758</v>
      </c>
      <c r="D122" t="s">
        <v>328</v>
      </c>
      <c r="F122" t="s">
        <v>55</v>
      </c>
      <c r="G122">
        <v>825812</v>
      </c>
      <c r="H122" t="s">
        <v>151</v>
      </c>
      <c r="I122">
        <v>1</v>
      </c>
      <c r="J122" t="s">
        <v>152</v>
      </c>
      <c r="K122" s="1">
        <v>45758</v>
      </c>
    </row>
    <row r="123" spans="1:11">
      <c r="A123" t="s">
        <v>155</v>
      </c>
      <c r="B123" t="s">
        <v>154</v>
      </c>
      <c r="C123" s="1">
        <v>45758</v>
      </c>
      <c r="D123" t="s">
        <v>328</v>
      </c>
      <c r="F123" t="s">
        <v>55</v>
      </c>
      <c r="G123">
        <v>825812</v>
      </c>
      <c r="H123" t="s">
        <v>151</v>
      </c>
      <c r="I123">
        <v>1</v>
      </c>
      <c r="J123" t="s">
        <v>152</v>
      </c>
      <c r="K123" s="1">
        <v>45758</v>
      </c>
    </row>
    <row r="124" spans="1:11">
      <c r="A124" t="s">
        <v>155</v>
      </c>
      <c r="B124" t="s">
        <v>18</v>
      </c>
      <c r="C124" s="1">
        <v>45758</v>
      </c>
      <c r="D124" t="s">
        <v>328</v>
      </c>
      <c r="F124" t="s">
        <v>55</v>
      </c>
      <c r="G124">
        <v>825812</v>
      </c>
      <c r="H124" t="s">
        <v>151</v>
      </c>
      <c r="I124">
        <v>1</v>
      </c>
      <c r="J124" t="s">
        <v>152</v>
      </c>
      <c r="K124" s="1">
        <v>45758</v>
      </c>
    </row>
    <row r="125" spans="1:11">
      <c r="A125" t="s">
        <v>157</v>
      </c>
      <c r="B125" t="s">
        <v>18</v>
      </c>
      <c r="C125" s="1">
        <v>45758</v>
      </c>
      <c r="D125" t="s">
        <v>328</v>
      </c>
      <c r="F125" t="s">
        <v>55</v>
      </c>
      <c r="G125">
        <v>825812</v>
      </c>
      <c r="H125" t="s">
        <v>151</v>
      </c>
      <c r="I125">
        <v>2</v>
      </c>
      <c r="J125" t="s">
        <v>152</v>
      </c>
      <c r="K125" s="1">
        <v>45758</v>
      </c>
    </row>
    <row r="126" spans="1:11">
      <c r="A126" t="s">
        <v>163</v>
      </c>
      <c r="B126" t="s">
        <v>18</v>
      </c>
      <c r="C126" s="1">
        <v>45758</v>
      </c>
      <c r="D126" t="s">
        <v>328</v>
      </c>
      <c r="F126" t="s">
        <v>55</v>
      </c>
      <c r="G126">
        <v>825812</v>
      </c>
      <c r="H126" t="s">
        <v>151</v>
      </c>
      <c r="I126">
        <v>23</v>
      </c>
      <c r="J126" t="s">
        <v>152</v>
      </c>
      <c r="K126" s="1">
        <v>45758</v>
      </c>
    </row>
    <row r="127" spans="1:11">
      <c r="A127" t="s">
        <v>155</v>
      </c>
      <c r="B127" t="s">
        <v>19</v>
      </c>
      <c r="C127" s="1">
        <v>45758</v>
      </c>
      <c r="D127" t="s">
        <v>328</v>
      </c>
      <c r="F127" t="s">
        <v>55</v>
      </c>
      <c r="G127">
        <v>825812</v>
      </c>
      <c r="H127" t="s">
        <v>151</v>
      </c>
      <c r="I127">
        <v>1</v>
      </c>
      <c r="J127" t="s">
        <v>152</v>
      </c>
      <c r="K127" s="1">
        <v>45758</v>
      </c>
    </row>
    <row r="128" spans="1:11">
      <c r="A128" t="s">
        <v>157</v>
      </c>
      <c r="B128" t="s">
        <v>19</v>
      </c>
      <c r="C128" s="1">
        <v>45758</v>
      </c>
      <c r="D128" t="s">
        <v>328</v>
      </c>
      <c r="F128" t="s">
        <v>55</v>
      </c>
      <c r="G128">
        <v>825812</v>
      </c>
      <c r="H128" t="s">
        <v>151</v>
      </c>
      <c r="I128">
        <v>2</v>
      </c>
      <c r="J128" t="s">
        <v>152</v>
      </c>
      <c r="K128" s="1">
        <v>45758</v>
      </c>
    </row>
    <row r="129" spans="1:11">
      <c r="A129" t="s">
        <v>163</v>
      </c>
      <c r="B129" t="s">
        <v>19</v>
      </c>
      <c r="C129" s="1">
        <v>45758</v>
      </c>
      <c r="D129" t="s">
        <v>328</v>
      </c>
      <c r="F129" t="s">
        <v>55</v>
      </c>
      <c r="G129">
        <v>825812</v>
      </c>
      <c r="H129" t="s">
        <v>151</v>
      </c>
      <c r="I129">
        <v>23</v>
      </c>
      <c r="J129" t="s">
        <v>152</v>
      </c>
      <c r="K129" s="1">
        <v>45758</v>
      </c>
    </row>
    <row r="130" spans="1:11">
      <c r="A130" t="s">
        <v>76</v>
      </c>
      <c r="B130" t="s">
        <v>23</v>
      </c>
      <c r="C130" s="1">
        <v>45764</v>
      </c>
      <c r="D130" t="s">
        <v>328</v>
      </c>
      <c r="F130" t="s">
        <v>55</v>
      </c>
      <c r="G130">
        <v>825812</v>
      </c>
      <c r="H130" t="s">
        <v>68</v>
      </c>
      <c r="I130">
        <v>270</v>
      </c>
      <c r="J130" t="s">
        <v>69</v>
      </c>
      <c r="K130" s="1">
        <v>45764</v>
      </c>
    </row>
    <row r="131" spans="1:11">
      <c r="A131" t="s">
        <v>184</v>
      </c>
      <c r="B131" t="s">
        <v>20</v>
      </c>
      <c r="C131" s="1">
        <v>45764</v>
      </c>
      <c r="D131" t="s">
        <v>328</v>
      </c>
      <c r="F131" t="s">
        <v>55</v>
      </c>
      <c r="G131">
        <v>825812</v>
      </c>
      <c r="H131" t="s">
        <v>176</v>
      </c>
      <c r="I131">
        <v>67</v>
      </c>
      <c r="J131" t="s">
        <v>59</v>
      </c>
      <c r="K131" s="1">
        <v>45764</v>
      </c>
    </row>
    <row r="132" spans="1:11">
      <c r="A132" t="s">
        <v>187</v>
      </c>
      <c r="B132" t="s">
        <v>23</v>
      </c>
      <c r="C132" s="1">
        <v>45764</v>
      </c>
      <c r="D132" t="s">
        <v>328</v>
      </c>
      <c r="F132" t="s">
        <v>55</v>
      </c>
      <c r="G132">
        <v>825812</v>
      </c>
      <c r="H132" t="s">
        <v>176</v>
      </c>
      <c r="I132">
        <v>68</v>
      </c>
      <c r="J132" t="s">
        <v>59</v>
      </c>
      <c r="K132" s="1">
        <v>45764</v>
      </c>
    </row>
    <row r="133" spans="1:11">
      <c r="A133" t="s">
        <v>76</v>
      </c>
      <c r="B133" t="s">
        <v>21</v>
      </c>
      <c r="C133" s="1">
        <v>45765</v>
      </c>
      <c r="D133" t="s">
        <v>328</v>
      </c>
      <c r="F133" t="s">
        <v>55</v>
      </c>
      <c r="G133">
        <v>825812</v>
      </c>
      <c r="H133" t="s">
        <v>68</v>
      </c>
      <c r="I133">
        <v>270</v>
      </c>
      <c r="J133" t="s">
        <v>69</v>
      </c>
      <c r="K133" s="1">
        <v>45765</v>
      </c>
    </row>
    <row r="134" spans="1:11">
      <c r="A134" t="s">
        <v>134</v>
      </c>
      <c r="B134" t="s">
        <v>23</v>
      </c>
      <c r="C134" s="1">
        <v>45768</v>
      </c>
      <c r="D134" t="s">
        <v>328</v>
      </c>
      <c r="F134" t="s">
        <v>55</v>
      </c>
      <c r="G134">
        <v>825812</v>
      </c>
      <c r="H134" t="s">
        <v>124</v>
      </c>
      <c r="I134">
        <v>144</v>
      </c>
      <c r="J134" t="s">
        <v>80</v>
      </c>
      <c r="K134" s="1">
        <v>45768</v>
      </c>
    </row>
    <row r="135" spans="1:11">
      <c r="A135" t="s">
        <v>155</v>
      </c>
      <c r="B135" t="s">
        <v>20</v>
      </c>
      <c r="C135" s="1">
        <v>45768</v>
      </c>
      <c r="D135" t="s">
        <v>328</v>
      </c>
      <c r="F135" t="s">
        <v>55</v>
      </c>
      <c r="G135">
        <v>825812</v>
      </c>
      <c r="H135" t="s">
        <v>151</v>
      </c>
      <c r="I135">
        <v>1</v>
      </c>
      <c r="J135" t="s">
        <v>152</v>
      </c>
      <c r="K135" s="1">
        <v>45768</v>
      </c>
    </row>
    <row r="136" spans="1:11">
      <c r="A136" t="s">
        <v>155</v>
      </c>
      <c r="B136" t="s">
        <v>26</v>
      </c>
      <c r="C136" s="1">
        <v>45768</v>
      </c>
      <c r="D136" t="s">
        <v>328</v>
      </c>
      <c r="F136" t="s">
        <v>55</v>
      </c>
      <c r="G136">
        <v>825812</v>
      </c>
      <c r="H136" t="s">
        <v>151</v>
      </c>
      <c r="I136">
        <v>1</v>
      </c>
      <c r="J136" t="s">
        <v>152</v>
      </c>
      <c r="K136" s="1">
        <v>45768</v>
      </c>
    </row>
    <row r="137" spans="1:11">
      <c r="A137" t="s">
        <v>184</v>
      </c>
      <c r="B137" t="s">
        <v>62</v>
      </c>
      <c r="C137" s="1">
        <v>45768</v>
      </c>
      <c r="D137" t="s">
        <v>328</v>
      </c>
      <c r="F137" t="s">
        <v>55</v>
      </c>
      <c r="G137">
        <v>825812</v>
      </c>
      <c r="H137" t="s">
        <v>176</v>
      </c>
      <c r="I137">
        <v>67</v>
      </c>
      <c r="J137" t="s">
        <v>59</v>
      </c>
      <c r="K137" s="1">
        <v>45768</v>
      </c>
    </row>
    <row r="138" spans="1:11">
      <c r="A138" t="s">
        <v>155</v>
      </c>
      <c r="B138" t="s">
        <v>27</v>
      </c>
      <c r="C138" s="1">
        <v>45769</v>
      </c>
      <c r="D138" t="s">
        <v>328</v>
      </c>
      <c r="E138">
        <v>1704182</v>
      </c>
      <c r="F138" t="s">
        <v>55</v>
      </c>
      <c r="G138">
        <v>825812</v>
      </c>
      <c r="H138" t="s">
        <v>151</v>
      </c>
      <c r="I138">
        <v>1</v>
      </c>
      <c r="J138" t="s">
        <v>152</v>
      </c>
      <c r="K138" s="1">
        <v>45769</v>
      </c>
    </row>
    <row r="139" spans="1:11">
      <c r="A139" t="s">
        <v>184</v>
      </c>
      <c r="B139" t="s">
        <v>23</v>
      </c>
      <c r="C139" s="1">
        <v>45769</v>
      </c>
      <c r="D139" t="s">
        <v>328</v>
      </c>
      <c r="F139" t="s">
        <v>55</v>
      </c>
      <c r="G139">
        <v>825812</v>
      </c>
      <c r="H139" t="s">
        <v>176</v>
      </c>
      <c r="I139">
        <v>67</v>
      </c>
      <c r="J139" t="s">
        <v>59</v>
      </c>
      <c r="K139" s="1">
        <v>45769</v>
      </c>
    </row>
    <row r="140" spans="1:11">
      <c r="A140" t="s">
        <v>76</v>
      </c>
      <c r="B140" t="s">
        <v>24</v>
      </c>
      <c r="C140" s="1">
        <v>45770</v>
      </c>
      <c r="D140" t="s">
        <v>328</v>
      </c>
      <c r="F140" t="s">
        <v>55</v>
      </c>
      <c r="G140">
        <v>825812</v>
      </c>
      <c r="H140" t="s">
        <v>68</v>
      </c>
      <c r="I140">
        <v>270</v>
      </c>
      <c r="J140" t="s">
        <v>69</v>
      </c>
      <c r="K140" s="1">
        <v>45770</v>
      </c>
    </row>
    <row r="141" spans="1:11">
      <c r="A141" t="s">
        <v>155</v>
      </c>
      <c r="B141" t="s">
        <v>62</v>
      </c>
      <c r="C141" s="1">
        <v>45770</v>
      </c>
      <c r="D141" t="s">
        <v>328</v>
      </c>
      <c r="F141" t="s">
        <v>55</v>
      </c>
      <c r="G141">
        <v>825812</v>
      </c>
      <c r="H141" t="s">
        <v>151</v>
      </c>
      <c r="I141">
        <v>1</v>
      </c>
      <c r="J141" t="s">
        <v>152</v>
      </c>
      <c r="K141" s="1">
        <v>45770</v>
      </c>
    </row>
    <row r="142" spans="1:11">
      <c r="A142" t="s">
        <v>155</v>
      </c>
      <c r="B142" t="s">
        <v>23</v>
      </c>
      <c r="C142" s="1">
        <v>45770</v>
      </c>
      <c r="D142" t="s">
        <v>328</v>
      </c>
      <c r="F142" t="s">
        <v>55</v>
      </c>
      <c r="G142">
        <v>825812</v>
      </c>
      <c r="H142" t="s">
        <v>151</v>
      </c>
      <c r="I142">
        <v>1</v>
      </c>
      <c r="J142" t="s">
        <v>152</v>
      </c>
      <c r="K142" s="1">
        <v>45770</v>
      </c>
    </row>
    <row r="143" spans="1:11">
      <c r="A143" t="s">
        <v>187</v>
      </c>
      <c r="B143" t="s">
        <v>24</v>
      </c>
      <c r="C143" s="1">
        <v>45770</v>
      </c>
      <c r="D143" t="s">
        <v>328</v>
      </c>
      <c r="F143" t="s">
        <v>55</v>
      </c>
      <c r="G143">
        <v>825812</v>
      </c>
      <c r="H143" t="s">
        <v>176</v>
      </c>
      <c r="I143">
        <v>68</v>
      </c>
      <c r="J143" t="s">
        <v>59</v>
      </c>
      <c r="K143" s="1">
        <v>45770</v>
      </c>
    </row>
    <row r="144" spans="1:11">
      <c r="A144" t="s">
        <v>155</v>
      </c>
      <c r="B144" t="s">
        <v>21</v>
      </c>
      <c r="C144" s="1">
        <v>45772</v>
      </c>
      <c r="D144" t="s">
        <v>328</v>
      </c>
      <c r="F144" t="s">
        <v>55</v>
      </c>
      <c r="G144">
        <v>825812</v>
      </c>
      <c r="H144" t="s">
        <v>151</v>
      </c>
      <c r="I144">
        <v>1</v>
      </c>
      <c r="J144" t="s">
        <v>152</v>
      </c>
      <c r="K144" s="1">
        <v>45772</v>
      </c>
    </row>
    <row r="145" spans="1:11">
      <c r="A145" t="s">
        <v>184</v>
      </c>
      <c r="B145" t="s">
        <v>21</v>
      </c>
      <c r="C145" s="1">
        <v>45772</v>
      </c>
      <c r="D145" t="s">
        <v>328</v>
      </c>
      <c r="F145" t="s">
        <v>55</v>
      </c>
      <c r="G145">
        <v>825812</v>
      </c>
      <c r="H145" t="s">
        <v>176</v>
      </c>
      <c r="I145">
        <v>67</v>
      </c>
      <c r="J145" t="s">
        <v>59</v>
      </c>
      <c r="K145" s="1">
        <v>45772</v>
      </c>
    </row>
    <row r="146" spans="1:11">
      <c r="A146" t="s">
        <v>134</v>
      </c>
      <c r="B146" t="s">
        <v>21</v>
      </c>
      <c r="C146" s="1">
        <v>45775</v>
      </c>
      <c r="D146" t="s">
        <v>328</v>
      </c>
      <c r="F146" t="s">
        <v>55</v>
      </c>
      <c r="G146">
        <v>825812</v>
      </c>
      <c r="H146" t="s">
        <v>124</v>
      </c>
      <c r="I146">
        <v>144</v>
      </c>
      <c r="J146" t="s">
        <v>80</v>
      </c>
      <c r="K146" s="1">
        <v>45775</v>
      </c>
    </row>
    <row r="147" spans="1:11">
      <c r="A147" t="s">
        <v>187</v>
      </c>
      <c r="B147" t="s">
        <v>20</v>
      </c>
      <c r="C147" s="1">
        <v>45775</v>
      </c>
      <c r="D147" t="s">
        <v>328</v>
      </c>
      <c r="F147" t="s">
        <v>55</v>
      </c>
      <c r="G147">
        <v>825812</v>
      </c>
      <c r="H147" t="s">
        <v>176</v>
      </c>
      <c r="I147">
        <v>68</v>
      </c>
      <c r="J147" t="s">
        <v>59</v>
      </c>
      <c r="K147" s="1">
        <v>45775</v>
      </c>
    </row>
    <row r="148" spans="1:11">
      <c r="A148" t="s">
        <v>134</v>
      </c>
      <c r="B148" t="s">
        <v>24</v>
      </c>
      <c r="C148" s="1">
        <v>45776</v>
      </c>
      <c r="D148" t="s">
        <v>328</v>
      </c>
      <c r="F148" t="s">
        <v>55</v>
      </c>
      <c r="G148">
        <v>825812</v>
      </c>
      <c r="H148" t="s">
        <v>124</v>
      </c>
      <c r="I148">
        <v>144</v>
      </c>
      <c r="J148" t="s">
        <v>80</v>
      </c>
      <c r="K148" s="1">
        <v>45776</v>
      </c>
    </row>
    <row r="149" spans="1:11">
      <c r="A149" t="s">
        <v>163</v>
      </c>
      <c r="B149" t="s">
        <v>23</v>
      </c>
      <c r="C149" s="1">
        <v>45776</v>
      </c>
      <c r="D149" t="s">
        <v>328</v>
      </c>
      <c r="F149" t="s">
        <v>55</v>
      </c>
      <c r="G149">
        <v>825812</v>
      </c>
      <c r="H149" t="s">
        <v>151</v>
      </c>
      <c r="I149">
        <v>23</v>
      </c>
      <c r="J149" t="s">
        <v>152</v>
      </c>
      <c r="K149" s="1">
        <v>45776</v>
      </c>
    </row>
    <row r="150" spans="1:11">
      <c r="A150" t="s">
        <v>73</v>
      </c>
      <c r="B150" t="s">
        <v>72</v>
      </c>
      <c r="C150" s="1">
        <v>45777</v>
      </c>
      <c r="D150" t="s">
        <v>328</v>
      </c>
      <c r="E150" t="s">
        <v>75</v>
      </c>
      <c r="F150" t="s">
        <v>55</v>
      </c>
      <c r="G150">
        <v>825812</v>
      </c>
      <c r="H150" t="s">
        <v>68</v>
      </c>
      <c r="I150">
        <v>261</v>
      </c>
      <c r="J150" t="s">
        <v>69</v>
      </c>
      <c r="K150" s="1">
        <v>45777</v>
      </c>
    </row>
    <row r="151" spans="1:11">
      <c r="A151" t="s">
        <v>163</v>
      </c>
      <c r="B151" t="s">
        <v>20</v>
      </c>
      <c r="C151" s="1">
        <v>45777</v>
      </c>
      <c r="D151" t="s">
        <v>328</v>
      </c>
      <c r="F151" t="s">
        <v>55</v>
      </c>
      <c r="G151">
        <v>825812</v>
      </c>
      <c r="H151" t="s">
        <v>151</v>
      </c>
      <c r="I151">
        <v>23</v>
      </c>
      <c r="J151" t="s">
        <v>152</v>
      </c>
      <c r="K151" s="1">
        <v>45777</v>
      </c>
    </row>
    <row r="152" spans="1:11">
      <c r="A152" t="s">
        <v>187</v>
      </c>
      <c r="B152" t="s">
        <v>21</v>
      </c>
      <c r="C152" s="1">
        <v>45777</v>
      </c>
      <c r="D152" t="s">
        <v>328</v>
      </c>
      <c r="F152" t="s">
        <v>55</v>
      </c>
      <c r="G152">
        <v>825812</v>
      </c>
      <c r="H152" t="s">
        <v>176</v>
      </c>
      <c r="I152">
        <v>68</v>
      </c>
      <c r="J152" t="s">
        <v>59</v>
      </c>
      <c r="K152" s="1">
        <v>45777</v>
      </c>
    </row>
    <row r="153" spans="1:11">
      <c r="A153" t="s">
        <v>187</v>
      </c>
      <c r="B153" t="s">
        <v>62</v>
      </c>
      <c r="C153" s="1">
        <v>45777</v>
      </c>
      <c r="D153" t="s">
        <v>328</v>
      </c>
      <c r="F153" t="s">
        <v>55</v>
      </c>
      <c r="G153">
        <v>825812</v>
      </c>
      <c r="H153" t="s">
        <v>176</v>
      </c>
      <c r="I153">
        <v>68</v>
      </c>
      <c r="J153" t="s">
        <v>59</v>
      </c>
      <c r="K153" s="1">
        <v>45777</v>
      </c>
    </row>
    <row r="154" spans="1:11">
      <c r="A154" t="s">
        <v>184</v>
      </c>
      <c r="B154" t="s">
        <v>24</v>
      </c>
      <c r="C154" s="1">
        <v>45777</v>
      </c>
      <c r="D154" t="s">
        <v>328</v>
      </c>
      <c r="F154" t="s">
        <v>55</v>
      </c>
      <c r="G154">
        <v>825812</v>
      </c>
      <c r="H154" t="s">
        <v>176</v>
      </c>
      <c r="I154">
        <v>67</v>
      </c>
      <c r="J154" t="s">
        <v>59</v>
      </c>
      <c r="K154" s="1">
        <v>45777</v>
      </c>
    </row>
    <row r="155" spans="1:11">
      <c r="A155" t="s">
        <v>163</v>
      </c>
      <c r="B155" t="s">
        <v>62</v>
      </c>
      <c r="C155" s="1">
        <v>45778</v>
      </c>
      <c r="D155" t="s">
        <v>328</v>
      </c>
      <c r="F155" t="s">
        <v>55</v>
      </c>
      <c r="G155">
        <v>825812</v>
      </c>
      <c r="H155" t="s">
        <v>151</v>
      </c>
      <c r="I155">
        <v>23</v>
      </c>
      <c r="J155" t="s">
        <v>152</v>
      </c>
      <c r="K155" s="1">
        <v>45778</v>
      </c>
    </row>
    <row r="156" spans="1:11">
      <c r="A156" t="s">
        <v>163</v>
      </c>
      <c r="B156" t="s">
        <v>27</v>
      </c>
      <c r="C156" s="1">
        <v>45778</v>
      </c>
      <c r="D156" t="s">
        <v>328</v>
      </c>
      <c r="E156" t="s">
        <v>164</v>
      </c>
      <c r="F156" t="s">
        <v>55</v>
      </c>
      <c r="G156">
        <v>825812</v>
      </c>
      <c r="H156" t="s">
        <v>151</v>
      </c>
      <c r="I156">
        <v>23</v>
      </c>
      <c r="J156" t="s">
        <v>152</v>
      </c>
      <c r="K156" s="1">
        <v>45778</v>
      </c>
    </row>
    <row r="157" spans="1:11">
      <c r="A157" t="s">
        <v>73</v>
      </c>
      <c r="B157" t="s">
        <v>21</v>
      </c>
      <c r="C157" s="1">
        <v>45779</v>
      </c>
      <c r="D157" t="s">
        <v>328</v>
      </c>
      <c r="F157" t="s">
        <v>55</v>
      </c>
      <c r="G157">
        <v>825812</v>
      </c>
      <c r="H157" t="s">
        <v>68</v>
      </c>
      <c r="I157">
        <v>261</v>
      </c>
      <c r="J157" t="s">
        <v>69</v>
      </c>
      <c r="K157" s="1">
        <v>45779</v>
      </c>
    </row>
    <row r="158" spans="1:11">
      <c r="A158" t="s">
        <v>163</v>
      </c>
      <c r="B158" t="s">
        <v>21</v>
      </c>
      <c r="C158" s="1">
        <v>45779</v>
      </c>
      <c r="D158" t="s">
        <v>328</v>
      </c>
      <c r="F158" t="s">
        <v>55</v>
      </c>
      <c r="G158">
        <v>825812</v>
      </c>
      <c r="H158" t="s">
        <v>151</v>
      </c>
      <c r="I158">
        <v>23</v>
      </c>
      <c r="J158" t="s">
        <v>152</v>
      </c>
      <c r="K158" s="1">
        <v>45779</v>
      </c>
    </row>
    <row r="159" spans="1:11">
      <c r="A159" t="s">
        <v>157</v>
      </c>
      <c r="B159" t="s">
        <v>20</v>
      </c>
      <c r="C159" s="1">
        <v>45782</v>
      </c>
      <c r="D159" t="s">
        <v>328</v>
      </c>
      <c r="F159" t="s">
        <v>55</v>
      </c>
      <c r="G159">
        <v>825812</v>
      </c>
      <c r="H159" t="s">
        <v>151</v>
      </c>
      <c r="I159">
        <v>2</v>
      </c>
      <c r="J159" t="s">
        <v>152</v>
      </c>
      <c r="K159" s="1">
        <v>45782</v>
      </c>
    </row>
    <row r="160" spans="1:11">
      <c r="A160" t="s">
        <v>157</v>
      </c>
      <c r="B160" t="s">
        <v>62</v>
      </c>
      <c r="C160" s="1">
        <v>45782</v>
      </c>
      <c r="D160" t="s">
        <v>328</v>
      </c>
      <c r="F160" t="s">
        <v>55</v>
      </c>
      <c r="G160">
        <v>825812</v>
      </c>
      <c r="H160" t="s">
        <v>151</v>
      </c>
      <c r="I160">
        <v>2</v>
      </c>
      <c r="J160" t="s">
        <v>152</v>
      </c>
      <c r="K160" s="1">
        <v>45782</v>
      </c>
    </row>
    <row r="161" spans="1:11">
      <c r="A161" t="s">
        <v>157</v>
      </c>
      <c r="B161" t="s">
        <v>27</v>
      </c>
      <c r="C161" s="1">
        <v>45782</v>
      </c>
      <c r="D161" t="s">
        <v>328</v>
      </c>
      <c r="E161" t="s">
        <v>159</v>
      </c>
      <c r="F161" t="s">
        <v>55</v>
      </c>
      <c r="G161">
        <v>825812</v>
      </c>
      <c r="H161" t="s">
        <v>151</v>
      </c>
      <c r="I161">
        <v>2</v>
      </c>
      <c r="J161" t="s">
        <v>152</v>
      </c>
      <c r="K161" s="1">
        <v>45782</v>
      </c>
    </row>
    <row r="162" spans="1:11">
      <c r="A162" t="s">
        <v>83</v>
      </c>
      <c r="B162" t="s">
        <v>9</v>
      </c>
      <c r="C162" s="1">
        <v>45783</v>
      </c>
      <c r="D162" t="s">
        <v>328</v>
      </c>
      <c r="F162" t="s">
        <v>55</v>
      </c>
      <c r="G162">
        <v>825812</v>
      </c>
      <c r="H162" t="s">
        <v>79</v>
      </c>
      <c r="I162">
        <v>91</v>
      </c>
      <c r="J162" t="s">
        <v>80</v>
      </c>
      <c r="K162" s="1">
        <v>45783</v>
      </c>
    </row>
    <row r="163" spans="1:11">
      <c r="A163" t="s">
        <v>86</v>
      </c>
      <c r="B163" t="s">
        <v>9</v>
      </c>
      <c r="C163" s="1">
        <v>45783</v>
      </c>
      <c r="D163" t="s">
        <v>328</v>
      </c>
      <c r="F163" t="s">
        <v>55</v>
      </c>
      <c r="G163">
        <v>825812</v>
      </c>
      <c r="H163" t="s">
        <v>79</v>
      </c>
      <c r="I163">
        <v>92</v>
      </c>
      <c r="J163" t="s">
        <v>80</v>
      </c>
      <c r="K163" s="1">
        <v>45783</v>
      </c>
    </row>
    <row r="164" spans="1:11">
      <c r="A164" t="s">
        <v>83</v>
      </c>
      <c r="B164" t="s">
        <v>10</v>
      </c>
      <c r="C164" s="1">
        <v>45783</v>
      </c>
      <c r="D164" t="s">
        <v>328</v>
      </c>
      <c r="F164" t="s">
        <v>55</v>
      </c>
      <c r="G164">
        <v>825812</v>
      </c>
      <c r="H164" t="s">
        <v>79</v>
      </c>
      <c r="I164">
        <v>91</v>
      </c>
      <c r="J164" t="s">
        <v>80</v>
      </c>
      <c r="K164" s="1">
        <v>45783</v>
      </c>
    </row>
    <row r="165" spans="1:11">
      <c r="A165" t="s">
        <v>86</v>
      </c>
      <c r="B165" t="s">
        <v>10</v>
      </c>
      <c r="C165" s="1">
        <v>45783</v>
      </c>
      <c r="D165" t="s">
        <v>328</v>
      </c>
      <c r="F165" t="s">
        <v>55</v>
      </c>
      <c r="G165">
        <v>825812</v>
      </c>
      <c r="H165" t="s">
        <v>79</v>
      </c>
      <c r="I165">
        <v>92</v>
      </c>
      <c r="J165" t="s">
        <v>80</v>
      </c>
      <c r="K165" s="1">
        <v>45783</v>
      </c>
    </row>
    <row r="166" spans="1:11">
      <c r="A166" t="s">
        <v>83</v>
      </c>
      <c r="B166" t="s">
        <v>60</v>
      </c>
      <c r="C166" s="1">
        <v>45783</v>
      </c>
      <c r="D166" t="s">
        <v>328</v>
      </c>
      <c r="F166" t="s">
        <v>55</v>
      </c>
      <c r="G166">
        <v>825812</v>
      </c>
      <c r="H166" t="s">
        <v>79</v>
      </c>
      <c r="I166">
        <v>91</v>
      </c>
      <c r="J166" t="s">
        <v>80</v>
      </c>
      <c r="K166" s="1">
        <v>45783</v>
      </c>
    </row>
    <row r="167" spans="1:11">
      <c r="A167" t="s">
        <v>86</v>
      </c>
      <c r="B167" t="s">
        <v>60</v>
      </c>
      <c r="C167" s="1">
        <v>45783</v>
      </c>
      <c r="D167" t="s">
        <v>328</v>
      </c>
      <c r="F167" t="s">
        <v>55</v>
      </c>
      <c r="G167">
        <v>825812</v>
      </c>
      <c r="H167" t="s">
        <v>79</v>
      </c>
      <c r="I167">
        <v>92</v>
      </c>
      <c r="J167" t="s">
        <v>80</v>
      </c>
      <c r="K167" s="1">
        <v>45783</v>
      </c>
    </row>
    <row r="168" spans="1:11">
      <c r="A168" t="s">
        <v>83</v>
      </c>
      <c r="B168" t="s">
        <v>61</v>
      </c>
      <c r="C168" s="1">
        <v>45783</v>
      </c>
      <c r="D168" t="s">
        <v>328</v>
      </c>
      <c r="F168" t="s">
        <v>55</v>
      </c>
      <c r="G168">
        <v>825812</v>
      </c>
      <c r="H168" t="s">
        <v>79</v>
      </c>
      <c r="I168">
        <v>91</v>
      </c>
      <c r="J168" t="s">
        <v>80</v>
      </c>
      <c r="K168" s="1">
        <v>45783</v>
      </c>
    </row>
    <row r="169" spans="1:11">
      <c r="A169" t="s">
        <v>86</v>
      </c>
      <c r="B169" t="s">
        <v>61</v>
      </c>
      <c r="C169" s="1">
        <v>45783</v>
      </c>
      <c r="D169" t="s">
        <v>328</v>
      </c>
      <c r="F169" t="s">
        <v>55</v>
      </c>
      <c r="G169">
        <v>825812</v>
      </c>
      <c r="H169" t="s">
        <v>79</v>
      </c>
      <c r="I169">
        <v>92</v>
      </c>
      <c r="J169" t="s">
        <v>80</v>
      </c>
      <c r="K169" s="1">
        <v>45783</v>
      </c>
    </row>
    <row r="170" spans="1:11">
      <c r="A170" t="s">
        <v>83</v>
      </c>
      <c r="B170" t="s">
        <v>12</v>
      </c>
      <c r="C170" s="1">
        <v>45783</v>
      </c>
      <c r="D170" t="s">
        <v>328</v>
      </c>
      <c r="F170" t="s">
        <v>55</v>
      </c>
      <c r="G170">
        <v>825812</v>
      </c>
      <c r="H170" t="s">
        <v>79</v>
      </c>
      <c r="I170">
        <v>91</v>
      </c>
      <c r="J170" t="s">
        <v>80</v>
      </c>
      <c r="K170" s="1">
        <v>45783</v>
      </c>
    </row>
    <row r="171" spans="1:11">
      <c r="A171" t="s">
        <v>86</v>
      </c>
      <c r="B171" t="s">
        <v>12</v>
      </c>
      <c r="C171" s="1">
        <v>45783</v>
      </c>
      <c r="D171" t="s">
        <v>328</v>
      </c>
      <c r="F171" t="s">
        <v>55</v>
      </c>
      <c r="G171">
        <v>825812</v>
      </c>
      <c r="H171" t="s">
        <v>79</v>
      </c>
      <c r="I171">
        <v>92</v>
      </c>
      <c r="J171" t="s">
        <v>80</v>
      </c>
      <c r="K171" s="1">
        <v>45783</v>
      </c>
    </row>
    <row r="172" spans="1:11">
      <c r="A172" t="s">
        <v>83</v>
      </c>
      <c r="B172" t="s">
        <v>13</v>
      </c>
      <c r="C172" s="1">
        <v>45783</v>
      </c>
      <c r="D172" t="s">
        <v>328</v>
      </c>
      <c r="F172" t="s">
        <v>55</v>
      </c>
      <c r="G172">
        <v>825812</v>
      </c>
      <c r="H172" t="s">
        <v>79</v>
      </c>
      <c r="I172">
        <v>91</v>
      </c>
      <c r="J172" t="s">
        <v>80</v>
      </c>
      <c r="K172" s="1">
        <v>45783</v>
      </c>
    </row>
    <row r="173" spans="1:11">
      <c r="A173" t="s">
        <v>86</v>
      </c>
      <c r="B173" t="s">
        <v>13</v>
      </c>
      <c r="C173" s="1">
        <v>45783</v>
      </c>
      <c r="D173" t="s">
        <v>328</v>
      </c>
      <c r="F173" t="s">
        <v>55</v>
      </c>
      <c r="G173">
        <v>825812</v>
      </c>
      <c r="H173" t="s">
        <v>79</v>
      </c>
      <c r="I173">
        <v>92</v>
      </c>
      <c r="J173" t="s">
        <v>80</v>
      </c>
      <c r="K173" s="1">
        <v>45783</v>
      </c>
    </row>
    <row r="174" spans="1:11">
      <c r="A174" t="s">
        <v>83</v>
      </c>
      <c r="B174" t="s">
        <v>14</v>
      </c>
      <c r="C174" s="1">
        <v>45783</v>
      </c>
      <c r="D174" t="s">
        <v>328</v>
      </c>
      <c r="F174" t="s">
        <v>55</v>
      </c>
      <c r="G174">
        <v>825812</v>
      </c>
      <c r="H174" t="s">
        <v>79</v>
      </c>
      <c r="I174">
        <v>91</v>
      </c>
      <c r="J174" t="s">
        <v>80</v>
      </c>
      <c r="K174" s="1">
        <v>45783</v>
      </c>
    </row>
    <row r="175" spans="1:11">
      <c r="A175" t="s">
        <v>86</v>
      </c>
      <c r="B175" t="s">
        <v>14</v>
      </c>
      <c r="C175" s="1">
        <v>45783</v>
      </c>
      <c r="D175" t="s">
        <v>328</v>
      </c>
      <c r="F175" t="s">
        <v>55</v>
      </c>
      <c r="G175">
        <v>825812</v>
      </c>
      <c r="H175" t="s">
        <v>79</v>
      </c>
      <c r="I175">
        <v>92</v>
      </c>
      <c r="J175" t="s">
        <v>80</v>
      </c>
      <c r="K175" s="1">
        <v>45783</v>
      </c>
    </row>
    <row r="176" spans="1:11">
      <c r="A176" t="s">
        <v>83</v>
      </c>
      <c r="B176" t="s">
        <v>15</v>
      </c>
      <c r="C176" s="1">
        <v>45783</v>
      </c>
      <c r="D176" t="s">
        <v>328</v>
      </c>
      <c r="F176" t="s">
        <v>55</v>
      </c>
      <c r="G176">
        <v>825812</v>
      </c>
      <c r="H176" t="s">
        <v>79</v>
      </c>
      <c r="I176">
        <v>91</v>
      </c>
      <c r="J176" t="s">
        <v>80</v>
      </c>
      <c r="K176" s="1">
        <v>45783</v>
      </c>
    </row>
    <row r="177" spans="1:11">
      <c r="A177" t="s">
        <v>86</v>
      </c>
      <c r="B177" t="s">
        <v>15</v>
      </c>
      <c r="C177" s="1">
        <v>45783</v>
      </c>
      <c r="D177" t="s">
        <v>328</v>
      </c>
      <c r="F177" t="s">
        <v>55</v>
      </c>
      <c r="G177">
        <v>825812</v>
      </c>
      <c r="H177" t="s">
        <v>79</v>
      </c>
      <c r="I177">
        <v>92</v>
      </c>
      <c r="J177" t="s">
        <v>80</v>
      </c>
      <c r="K177" s="1">
        <v>45783</v>
      </c>
    </row>
    <row r="178" spans="1:11">
      <c r="A178" t="s">
        <v>83</v>
      </c>
      <c r="B178" t="s">
        <v>18</v>
      </c>
      <c r="C178" s="1">
        <v>45783</v>
      </c>
      <c r="D178" t="s">
        <v>328</v>
      </c>
      <c r="F178" t="s">
        <v>55</v>
      </c>
      <c r="G178">
        <v>825812</v>
      </c>
      <c r="H178" t="s">
        <v>79</v>
      </c>
      <c r="I178">
        <v>91</v>
      </c>
      <c r="J178" t="s">
        <v>80</v>
      </c>
      <c r="K178" s="1">
        <v>45783</v>
      </c>
    </row>
    <row r="179" spans="1:11">
      <c r="A179" t="s">
        <v>86</v>
      </c>
      <c r="B179" t="s">
        <v>18</v>
      </c>
      <c r="C179" s="1">
        <v>45783</v>
      </c>
      <c r="D179" t="s">
        <v>328</v>
      </c>
      <c r="F179" t="s">
        <v>55</v>
      </c>
      <c r="G179">
        <v>825812</v>
      </c>
      <c r="H179" t="s">
        <v>79</v>
      </c>
      <c r="I179">
        <v>92</v>
      </c>
      <c r="J179" t="s">
        <v>80</v>
      </c>
      <c r="K179" s="1">
        <v>45783</v>
      </c>
    </row>
    <row r="180" spans="1:11">
      <c r="A180" t="s">
        <v>157</v>
      </c>
      <c r="B180" t="s">
        <v>26</v>
      </c>
      <c r="C180" s="1">
        <v>45783</v>
      </c>
      <c r="D180" t="s">
        <v>328</v>
      </c>
      <c r="F180" t="s">
        <v>55</v>
      </c>
      <c r="G180">
        <v>825812</v>
      </c>
      <c r="H180" t="s">
        <v>151</v>
      </c>
      <c r="I180">
        <v>2</v>
      </c>
      <c r="J180" t="s">
        <v>152</v>
      </c>
      <c r="K180" s="1">
        <v>45783</v>
      </c>
    </row>
    <row r="181" spans="1:11">
      <c r="A181" t="s">
        <v>163</v>
      </c>
      <c r="B181" t="s">
        <v>26</v>
      </c>
      <c r="C181" s="1">
        <v>45783</v>
      </c>
      <c r="D181" t="s">
        <v>328</v>
      </c>
      <c r="F181" t="s">
        <v>55</v>
      </c>
      <c r="G181">
        <v>825812</v>
      </c>
      <c r="H181" t="s">
        <v>151</v>
      </c>
      <c r="I181">
        <v>23</v>
      </c>
      <c r="J181" t="s">
        <v>152</v>
      </c>
      <c r="K181" s="1">
        <v>45783</v>
      </c>
    </row>
    <row r="182" spans="1:11">
      <c r="A182" t="s">
        <v>37</v>
      </c>
      <c r="B182" t="s">
        <v>9</v>
      </c>
      <c r="C182" s="1">
        <v>45784</v>
      </c>
      <c r="D182" t="s">
        <v>328</v>
      </c>
      <c r="F182" t="s">
        <v>3</v>
      </c>
      <c r="G182">
        <v>655352</v>
      </c>
      <c r="H182" t="s">
        <v>6</v>
      </c>
      <c r="I182">
        <v>5</v>
      </c>
      <c r="K182" s="1">
        <v>45784</v>
      </c>
    </row>
    <row r="183" spans="1:11">
      <c r="A183" t="s">
        <v>37</v>
      </c>
      <c r="B183" t="s">
        <v>10</v>
      </c>
      <c r="C183" s="1">
        <v>45784</v>
      </c>
      <c r="D183" t="s">
        <v>328</v>
      </c>
      <c r="F183" t="s">
        <v>3</v>
      </c>
      <c r="G183">
        <v>655352</v>
      </c>
      <c r="H183" t="s">
        <v>6</v>
      </c>
      <c r="I183">
        <v>5</v>
      </c>
      <c r="K183" s="1">
        <v>45784</v>
      </c>
    </row>
    <row r="184" spans="1:11">
      <c r="A184" t="s">
        <v>37</v>
      </c>
      <c r="B184" t="s">
        <v>11</v>
      </c>
      <c r="C184" s="1">
        <v>45784</v>
      </c>
      <c r="D184" t="s">
        <v>328</v>
      </c>
      <c r="F184" t="s">
        <v>3</v>
      </c>
      <c r="G184">
        <v>655352</v>
      </c>
      <c r="H184" t="s">
        <v>6</v>
      </c>
      <c r="I184">
        <v>5</v>
      </c>
      <c r="K184" s="1">
        <v>45784</v>
      </c>
    </row>
    <row r="185" spans="1:11">
      <c r="A185" t="s">
        <v>37</v>
      </c>
      <c r="B185" t="s">
        <v>12</v>
      </c>
      <c r="C185" s="1">
        <v>45784</v>
      </c>
      <c r="D185" t="s">
        <v>328</v>
      </c>
      <c r="F185" t="s">
        <v>3</v>
      </c>
      <c r="G185">
        <v>655352</v>
      </c>
      <c r="H185" t="s">
        <v>6</v>
      </c>
      <c r="I185">
        <v>5</v>
      </c>
      <c r="K185" s="1">
        <v>45784</v>
      </c>
    </row>
    <row r="186" spans="1:11">
      <c r="A186" t="s">
        <v>37</v>
      </c>
      <c r="B186" t="s">
        <v>13</v>
      </c>
      <c r="C186" s="1">
        <v>45784</v>
      </c>
      <c r="D186" t="s">
        <v>328</v>
      </c>
      <c r="F186" t="s">
        <v>3</v>
      </c>
      <c r="G186">
        <v>655352</v>
      </c>
      <c r="H186" t="s">
        <v>6</v>
      </c>
      <c r="I186">
        <v>5</v>
      </c>
      <c r="K186" s="1">
        <v>45784</v>
      </c>
    </row>
    <row r="187" spans="1:11">
      <c r="A187" t="s">
        <v>37</v>
      </c>
      <c r="B187" t="s">
        <v>14</v>
      </c>
      <c r="C187" s="1">
        <v>45784</v>
      </c>
      <c r="D187" t="s">
        <v>328</v>
      </c>
      <c r="F187" t="s">
        <v>3</v>
      </c>
      <c r="G187">
        <v>655352</v>
      </c>
      <c r="H187" t="s">
        <v>6</v>
      </c>
      <c r="I187">
        <v>5</v>
      </c>
      <c r="K187" s="1">
        <v>45784</v>
      </c>
    </row>
    <row r="188" spans="1:11">
      <c r="A188" t="s">
        <v>37</v>
      </c>
      <c r="B188" t="s">
        <v>15</v>
      </c>
      <c r="C188" s="1">
        <v>45784</v>
      </c>
      <c r="D188" t="s">
        <v>328</v>
      </c>
      <c r="F188" t="s">
        <v>3</v>
      </c>
      <c r="G188">
        <v>655352</v>
      </c>
      <c r="H188" t="s">
        <v>6</v>
      </c>
      <c r="I188">
        <v>5</v>
      </c>
      <c r="K188" s="1">
        <v>45784</v>
      </c>
    </row>
    <row r="189" spans="1:11">
      <c r="A189" t="s">
        <v>37</v>
      </c>
      <c r="B189" t="s">
        <v>19</v>
      </c>
      <c r="C189" s="1">
        <v>45784</v>
      </c>
      <c r="D189" t="s">
        <v>328</v>
      </c>
      <c r="F189" t="s">
        <v>3</v>
      </c>
      <c r="G189">
        <v>655352</v>
      </c>
      <c r="H189" t="s">
        <v>6</v>
      </c>
      <c r="I189">
        <v>5</v>
      </c>
      <c r="K189" s="1">
        <v>45784</v>
      </c>
    </row>
    <row r="190" spans="1:11">
      <c r="A190" t="s">
        <v>157</v>
      </c>
      <c r="B190" t="s">
        <v>23</v>
      </c>
      <c r="C190" s="1">
        <v>45784</v>
      </c>
      <c r="D190" t="s">
        <v>328</v>
      </c>
      <c r="F190" t="s">
        <v>55</v>
      </c>
      <c r="G190">
        <v>825812</v>
      </c>
      <c r="H190" t="s">
        <v>151</v>
      </c>
      <c r="I190">
        <v>2</v>
      </c>
      <c r="J190" t="s">
        <v>152</v>
      </c>
      <c r="K190" s="1">
        <v>45784</v>
      </c>
    </row>
    <row r="191" spans="1:11">
      <c r="A191" t="s">
        <v>37</v>
      </c>
      <c r="B191" t="s">
        <v>18</v>
      </c>
      <c r="C191" s="1">
        <v>45785</v>
      </c>
      <c r="D191" t="s">
        <v>328</v>
      </c>
      <c r="F191" t="s">
        <v>3</v>
      </c>
      <c r="G191">
        <v>655352</v>
      </c>
      <c r="H191" t="s">
        <v>6</v>
      </c>
      <c r="I191">
        <v>5</v>
      </c>
      <c r="K191" s="1">
        <v>45785</v>
      </c>
    </row>
    <row r="192" spans="1:11">
      <c r="A192" t="s">
        <v>73</v>
      </c>
      <c r="B192" t="s">
        <v>24</v>
      </c>
      <c r="C192" s="1">
        <v>45785</v>
      </c>
      <c r="D192" t="s">
        <v>328</v>
      </c>
      <c r="F192" t="s">
        <v>55</v>
      </c>
      <c r="G192">
        <v>825812</v>
      </c>
      <c r="H192" t="s">
        <v>68</v>
      </c>
      <c r="I192">
        <v>261</v>
      </c>
      <c r="J192" t="s">
        <v>69</v>
      </c>
      <c r="K192" s="1">
        <v>45785</v>
      </c>
    </row>
    <row r="193" spans="1:11">
      <c r="A193" t="s">
        <v>139</v>
      </c>
      <c r="B193" t="s">
        <v>9</v>
      </c>
      <c r="C193" s="1">
        <v>45785</v>
      </c>
      <c r="D193" t="s">
        <v>328</v>
      </c>
      <c r="F193" t="s">
        <v>55</v>
      </c>
      <c r="G193">
        <v>825812</v>
      </c>
      <c r="H193" t="s">
        <v>137</v>
      </c>
      <c r="I193">
        <v>1460</v>
      </c>
      <c r="J193" t="s">
        <v>138</v>
      </c>
      <c r="K193" s="1">
        <v>45785</v>
      </c>
    </row>
    <row r="194" spans="1:11">
      <c r="A194" t="s">
        <v>142</v>
      </c>
      <c r="B194" t="s">
        <v>9</v>
      </c>
      <c r="C194" s="1">
        <v>45785</v>
      </c>
      <c r="D194" t="s">
        <v>328</v>
      </c>
      <c r="F194" t="s">
        <v>55</v>
      </c>
      <c r="G194">
        <v>825812</v>
      </c>
      <c r="H194" t="s">
        <v>137</v>
      </c>
      <c r="I194">
        <v>1461</v>
      </c>
      <c r="J194" t="s">
        <v>138</v>
      </c>
      <c r="K194" s="1">
        <v>45785</v>
      </c>
    </row>
    <row r="195" spans="1:11">
      <c r="A195" t="s">
        <v>145</v>
      </c>
      <c r="B195" t="s">
        <v>9</v>
      </c>
      <c r="C195" s="1">
        <v>45785</v>
      </c>
      <c r="D195" t="s">
        <v>328</v>
      </c>
      <c r="F195" t="s">
        <v>55</v>
      </c>
      <c r="G195">
        <v>825812</v>
      </c>
      <c r="H195" t="s">
        <v>137</v>
      </c>
      <c r="I195">
        <v>1462</v>
      </c>
      <c r="J195" t="s">
        <v>138</v>
      </c>
      <c r="K195" s="1">
        <v>45785</v>
      </c>
    </row>
    <row r="196" spans="1:11">
      <c r="A196" t="s">
        <v>148</v>
      </c>
      <c r="B196" t="s">
        <v>9</v>
      </c>
      <c r="C196" s="1">
        <v>45785</v>
      </c>
      <c r="D196" t="s">
        <v>328</v>
      </c>
      <c r="F196" t="s">
        <v>55</v>
      </c>
      <c r="G196">
        <v>825812</v>
      </c>
      <c r="H196" t="s">
        <v>137</v>
      </c>
      <c r="I196">
        <v>1463</v>
      </c>
      <c r="J196" t="s">
        <v>138</v>
      </c>
      <c r="K196" s="1">
        <v>45785</v>
      </c>
    </row>
    <row r="197" spans="1:11">
      <c r="A197" t="s">
        <v>139</v>
      </c>
      <c r="B197" t="s">
        <v>10</v>
      </c>
      <c r="C197" s="1">
        <v>45785</v>
      </c>
      <c r="D197" t="s">
        <v>328</v>
      </c>
      <c r="F197" t="s">
        <v>55</v>
      </c>
      <c r="G197">
        <v>825812</v>
      </c>
      <c r="H197" t="s">
        <v>137</v>
      </c>
      <c r="I197">
        <v>1460</v>
      </c>
      <c r="J197" t="s">
        <v>138</v>
      </c>
      <c r="K197" s="1">
        <v>45785</v>
      </c>
    </row>
    <row r="198" spans="1:11">
      <c r="A198" t="s">
        <v>142</v>
      </c>
      <c r="B198" t="s">
        <v>10</v>
      </c>
      <c r="C198" s="1">
        <v>45785</v>
      </c>
      <c r="D198" t="s">
        <v>328</v>
      </c>
      <c r="F198" t="s">
        <v>55</v>
      </c>
      <c r="G198">
        <v>825812</v>
      </c>
      <c r="H198" t="s">
        <v>137</v>
      </c>
      <c r="I198">
        <v>1461</v>
      </c>
      <c r="J198" t="s">
        <v>138</v>
      </c>
      <c r="K198" s="1">
        <v>45785</v>
      </c>
    </row>
    <row r="199" spans="1:11">
      <c r="A199" t="s">
        <v>145</v>
      </c>
      <c r="B199" t="s">
        <v>10</v>
      </c>
      <c r="C199" s="1">
        <v>45785</v>
      </c>
      <c r="D199" t="s">
        <v>328</v>
      </c>
      <c r="F199" t="s">
        <v>55</v>
      </c>
      <c r="G199">
        <v>825812</v>
      </c>
      <c r="H199" t="s">
        <v>137</v>
      </c>
      <c r="I199">
        <v>1462</v>
      </c>
      <c r="J199" t="s">
        <v>138</v>
      </c>
      <c r="K199" s="1">
        <v>45785</v>
      </c>
    </row>
    <row r="200" spans="1:11">
      <c r="A200" t="s">
        <v>148</v>
      </c>
      <c r="B200" t="s">
        <v>10</v>
      </c>
      <c r="C200" s="1">
        <v>45785</v>
      </c>
      <c r="D200" t="s">
        <v>328</v>
      </c>
      <c r="F200" t="s">
        <v>55</v>
      </c>
      <c r="G200">
        <v>825812</v>
      </c>
      <c r="H200" t="s">
        <v>137</v>
      </c>
      <c r="I200">
        <v>1463</v>
      </c>
      <c r="J200" t="s">
        <v>138</v>
      </c>
      <c r="K200" s="1">
        <v>45785</v>
      </c>
    </row>
    <row r="201" spans="1:11">
      <c r="A201" t="s">
        <v>139</v>
      </c>
      <c r="B201" t="s">
        <v>60</v>
      </c>
      <c r="C201" s="1">
        <v>45785</v>
      </c>
      <c r="D201" t="s">
        <v>328</v>
      </c>
      <c r="F201" t="s">
        <v>55</v>
      </c>
      <c r="G201">
        <v>825812</v>
      </c>
      <c r="H201" t="s">
        <v>137</v>
      </c>
      <c r="I201">
        <v>1460</v>
      </c>
      <c r="J201" t="s">
        <v>138</v>
      </c>
      <c r="K201" s="1">
        <v>45785</v>
      </c>
    </row>
    <row r="202" spans="1:11">
      <c r="A202" t="s">
        <v>142</v>
      </c>
      <c r="B202" t="s">
        <v>60</v>
      </c>
      <c r="C202" s="1">
        <v>45785</v>
      </c>
      <c r="D202" t="s">
        <v>328</v>
      </c>
      <c r="F202" t="s">
        <v>55</v>
      </c>
      <c r="G202">
        <v>825812</v>
      </c>
      <c r="H202" t="s">
        <v>137</v>
      </c>
      <c r="I202">
        <v>1461</v>
      </c>
      <c r="J202" t="s">
        <v>138</v>
      </c>
      <c r="K202" s="1">
        <v>45785</v>
      </c>
    </row>
    <row r="203" spans="1:11">
      <c r="A203" t="s">
        <v>145</v>
      </c>
      <c r="B203" t="s">
        <v>60</v>
      </c>
      <c r="C203" s="1">
        <v>45785</v>
      </c>
      <c r="D203" t="s">
        <v>328</v>
      </c>
      <c r="F203" t="s">
        <v>55</v>
      </c>
      <c r="G203">
        <v>825812</v>
      </c>
      <c r="H203" t="s">
        <v>137</v>
      </c>
      <c r="I203">
        <v>1462</v>
      </c>
      <c r="J203" t="s">
        <v>138</v>
      </c>
      <c r="K203" s="1">
        <v>45785</v>
      </c>
    </row>
    <row r="204" spans="1:11">
      <c r="A204" t="s">
        <v>148</v>
      </c>
      <c r="B204" t="s">
        <v>60</v>
      </c>
      <c r="C204" s="1">
        <v>45785</v>
      </c>
      <c r="D204" t="s">
        <v>328</v>
      </c>
      <c r="F204" t="s">
        <v>55</v>
      </c>
      <c r="G204">
        <v>825812</v>
      </c>
      <c r="H204" t="s">
        <v>137</v>
      </c>
      <c r="I204">
        <v>1463</v>
      </c>
      <c r="J204" t="s">
        <v>138</v>
      </c>
      <c r="K204" s="1">
        <v>45785</v>
      </c>
    </row>
    <row r="205" spans="1:11">
      <c r="A205" t="s">
        <v>139</v>
      </c>
      <c r="B205" t="s">
        <v>61</v>
      </c>
      <c r="C205" s="1">
        <v>45785</v>
      </c>
      <c r="D205" t="s">
        <v>328</v>
      </c>
      <c r="F205" t="s">
        <v>55</v>
      </c>
      <c r="G205">
        <v>825812</v>
      </c>
      <c r="H205" t="s">
        <v>137</v>
      </c>
      <c r="I205">
        <v>1460</v>
      </c>
      <c r="J205" t="s">
        <v>138</v>
      </c>
      <c r="K205" s="1">
        <v>45785</v>
      </c>
    </row>
    <row r="206" spans="1:11">
      <c r="A206" t="s">
        <v>142</v>
      </c>
      <c r="B206" t="s">
        <v>61</v>
      </c>
      <c r="C206" s="1">
        <v>45785</v>
      </c>
      <c r="D206" t="s">
        <v>328</v>
      </c>
      <c r="F206" t="s">
        <v>55</v>
      </c>
      <c r="G206">
        <v>825812</v>
      </c>
      <c r="H206" t="s">
        <v>137</v>
      </c>
      <c r="I206">
        <v>1461</v>
      </c>
      <c r="J206" t="s">
        <v>138</v>
      </c>
      <c r="K206" s="1">
        <v>45785</v>
      </c>
    </row>
    <row r="207" spans="1:11">
      <c r="A207" t="s">
        <v>145</v>
      </c>
      <c r="B207" t="s">
        <v>61</v>
      </c>
      <c r="C207" s="1">
        <v>45785</v>
      </c>
      <c r="D207" t="s">
        <v>328</v>
      </c>
      <c r="F207" t="s">
        <v>55</v>
      </c>
      <c r="G207">
        <v>825812</v>
      </c>
      <c r="H207" t="s">
        <v>137</v>
      </c>
      <c r="I207">
        <v>1462</v>
      </c>
      <c r="J207" t="s">
        <v>138</v>
      </c>
      <c r="K207" s="1">
        <v>45785</v>
      </c>
    </row>
    <row r="208" spans="1:11">
      <c r="A208" t="s">
        <v>148</v>
      </c>
      <c r="B208" t="s">
        <v>61</v>
      </c>
      <c r="C208" s="1">
        <v>45785</v>
      </c>
      <c r="D208" t="s">
        <v>328</v>
      </c>
      <c r="F208" t="s">
        <v>55</v>
      </c>
      <c r="G208">
        <v>825812</v>
      </c>
      <c r="H208" t="s">
        <v>137</v>
      </c>
      <c r="I208">
        <v>1463</v>
      </c>
      <c r="J208" t="s">
        <v>138</v>
      </c>
      <c r="K208" s="1">
        <v>45785</v>
      </c>
    </row>
    <row r="209" spans="1:11">
      <c r="A209" t="s">
        <v>139</v>
      </c>
      <c r="B209" t="s">
        <v>12</v>
      </c>
      <c r="C209" s="1">
        <v>45785</v>
      </c>
      <c r="D209" t="s">
        <v>328</v>
      </c>
      <c r="F209" t="s">
        <v>55</v>
      </c>
      <c r="G209">
        <v>825812</v>
      </c>
      <c r="H209" t="s">
        <v>137</v>
      </c>
      <c r="I209">
        <v>1460</v>
      </c>
      <c r="J209" t="s">
        <v>138</v>
      </c>
      <c r="K209" s="1">
        <v>45785</v>
      </c>
    </row>
    <row r="210" spans="1:11">
      <c r="A210" t="s">
        <v>142</v>
      </c>
      <c r="B210" t="s">
        <v>12</v>
      </c>
      <c r="C210" s="1">
        <v>45785</v>
      </c>
      <c r="D210" t="s">
        <v>328</v>
      </c>
      <c r="F210" t="s">
        <v>55</v>
      </c>
      <c r="G210">
        <v>825812</v>
      </c>
      <c r="H210" t="s">
        <v>137</v>
      </c>
      <c r="I210">
        <v>1461</v>
      </c>
      <c r="J210" t="s">
        <v>138</v>
      </c>
      <c r="K210" s="1">
        <v>45785</v>
      </c>
    </row>
    <row r="211" spans="1:11">
      <c r="A211" t="s">
        <v>145</v>
      </c>
      <c r="B211" t="s">
        <v>12</v>
      </c>
      <c r="C211" s="1">
        <v>45785</v>
      </c>
      <c r="D211" t="s">
        <v>328</v>
      </c>
      <c r="F211" t="s">
        <v>55</v>
      </c>
      <c r="G211">
        <v>825812</v>
      </c>
      <c r="H211" t="s">
        <v>137</v>
      </c>
      <c r="I211">
        <v>1462</v>
      </c>
      <c r="J211" t="s">
        <v>138</v>
      </c>
      <c r="K211" s="1">
        <v>45785</v>
      </c>
    </row>
    <row r="212" spans="1:11">
      <c r="A212" t="s">
        <v>148</v>
      </c>
      <c r="B212" t="s">
        <v>12</v>
      </c>
      <c r="C212" s="1">
        <v>45785</v>
      </c>
      <c r="D212" t="s">
        <v>328</v>
      </c>
      <c r="F212" t="s">
        <v>55</v>
      </c>
      <c r="G212">
        <v>825812</v>
      </c>
      <c r="H212" t="s">
        <v>137</v>
      </c>
      <c r="I212">
        <v>1463</v>
      </c>
      <c r="J212" t="s">
        <v>138</v>
      </c>
      <c r="K212" s="1">
        <v>45785</v>
      </c>
    </row>
    <row r="213" spans="1:11">
      <c r="A213" t="s">
        <v>139</v>
      </c>
      <c r="B213" t="s">
        <v>13</v>
      </c>
      <c r="C213" s="1">
        <v>45785</v>
      </c>
      <c r="D213" t="s">
        <v>328</v>
      </c>
      <c r="F213" t="s">
        <v>55</v>
      </c>
      <c r="G213">
        <v>825812</v>
      </c>
      <c r="H213" t="s">
        <v>137</v>
      </c>
      <c r="I213">
        <v>1460</v>
      </c>
      <c r="J213" t="s">
        <v>138</v>
      </c>
      <c r="K213" s="1">
        <v>45785</v>
      </c>
    </row>
    <row r="214" spans="1:11">
      <c r="A214" t="s">
        <v>142</v>
      </c>
      <c r="B214" t="s">
        <v>13</v>
      </c>
      <c r="C214" s="1">
        <v>45785</v>
      </c>
      <c r="D214" t="s">
        <v>328</v>
      </c>
      <c r="F214" t="s">
        <v>55</v>
      </c>
      <c r="G214">
        <v>825812</v>
      </c>
      <c r="H214" t="s">
        <v>137</v>
      </c>
      <c r="I214">
        <v>1461</v>
      </c>
      <c r="J214" t="s">
        <v>138</v>
      </c>
      <c r="K214" s="1">
        <v>45785</v>
      </c>
    </row>
    <row r="215" spans="1:11">
      <c r="A215" t="s">
        <v>145</v>
      </c>
      <c r="B215" t="s">
        <v>13</v>
      </c>
      <c r="C215" s="1">
        <v>45785</v>
      </c>
      <c r="D215" t="s">
        <v>328</v>
      </c>
      <c r="F215" t="s">
        <v>55</v>
      </c>
      <c r="G215">
        <v>825812</v>
      </c>
      <c r="H215" t="s">
        <v>137</v>
      </c>
      <c r="I215">
        <v>1462</v>
      </c>
      <c r="J215" t="s">
        <v>138</v>
      </c>
      <c r="K215" s="1">
        <v>45785</v>
      </c>
    </row>
    <row r="216" spans="1:11">
      <c r="A216" t="s">
        <v>148</v>
      </c>
      <c r="B216" t="s">
        <v>13</v>
      </c>
      <c r="C216" s="1">
        <v>45785</v>
      </c>
      <c r="D216" t="s">
        <v>328</v>
      </c>
      <c r="F216" t="s">
        <v>55</v>
      </c>
      <c r="G216">
        <v>825812</v>
      </c>
      <c r="H216" t="s">
        <v>137</v>
      </c>
      <c r="I216">
        <v>1463</v>
      </c>
      <c r="J216" t="s">
        <v>138</v>
      </c>
      <c r="K216" s="1">
        <v>45785</v>
      </c>
    </row>
    <row r="217" spans="1:11">
      <c r="A217" t="s">
        <v>139</v>
      </c>
      <c r="B217" t="s">
        <v>14</v>
      </c>
      <c r="C217" s="1">
        <v>45785</v>
      </c>
      <c r="D217" t="s">
        <v>328</v>
      </c>
      <c r="F217" t="s">
        <v>55</v>
      </c>
      <c r="G217">
        <v>825812</v>
      </c>
      <c r="H217" t="s">
        <v>137</v>
      </c>
      <c r="I217">
        <v>1460</v>
      </c>
      <c r="J217" t="s">
        <v>138</v>
      </c>
      <c r="K217" s="1">
        <v>45785</v>
      </c>
    </row>
    <row r="218" spans="1:11">
      <c r="A218" t="s">
        <v>145</v>
      </c>
      <c r="B218" t="s">
        <v>14</v>
      </c>
      <c r="C218" s="1">
        <v>45785</v>
      </c>
      <c r="D218" t="s">
        <v>328</v>
      </c>
      <c r="F218" t="s">
        <v>55</v>
      </c>
      <c r="G218">
        <v>825812</v>
      </c>
      <c r="H218" t="s">
        <v>137</v>
      </c>
      <c r="I218">
        <v>1462</v>
      </c>
      <c r="J218" t="s">
        <v>138</v>
      </c>
      <c r="K218" s="1">
        <v>45785</v>
      </c>
    </row>
    <row r="219" spans="1:11">
      <c r="A219" t="s">
        <v>139</v>
      </c>
      <c r="B219" t="s">
        <v>15</v>
      </c>
      <c r="C219" s="1">
        <v>45785</v>
      </c>
      <c r="D219" t="s">
        <v>328</v>
      </c>
      <c r="F219" t="s">
        <v>55</v>
      </c>
      <c r="G219">
        <v>825812</v>
      </c>
      <c r="H219" t="s">
        <v>137</v>
      </c>
      <c r="I219">
        <v>1460</v>
      </c>
      <c r="J219" t="s">
        <v>138</v>
      </c>
      <c r="K219" s="1">
        <v>45785</v>
      </c>
    </row>
    <row r="220" spans="1:11">
      <c r="A220" t="s">
        <v>145</v>
      </c>
      <c r="B220" t="s">
        <v>15</v>
      </c>
      <c r="C220" s="1">
        <v>45785</v>
      </c>
      <c r="D220" t="s">
        <v>328</v>
      </c>
      <c r="F220" t="s">
        <v>55</v>
      </c>
      <c r="G220">
        <v>825812</v>
      </c>
      <c r="H220" t="s">
        <v>137</v>
      </c>
      <c r="I220">
        <v>1462</v>
      </c>
      <c r="J220" t="s">
        <v>138</v>
      </c>
      <c r="K220" s="1">
        <v>45785</v>
      </c>
    </row>
    <row r="221" spans="1:11">
      <c r="A221" t="s">
        <v>139</v>
      </c>
      <c r="B221" t="s">
        <v>18</v>
      </c>
      <c r="C221" s="1">
        <v>45785</v>
      </c>
      <c r="D221" t="s">
        <v>328</v>
      </c>
      <c r="F221" t="s">
        <v>55</v>
      </c>
      <c r="G221">
        <v>825812</v>
      </c>
      <c r="H221" t="s">
        <v>137</v>
      </c>
      <c r="I221">
        <v>1460</v>
      </c>
      <c r="J221" t="s">
        <v>138</v>
      </c>
      <c r="K221" s="1">
        <v>45785</v>
      </c>
    </row>
    <row r="222" spans="1:11">
      <c r="A222" t="s">
        <v>142</v>
      </c>
      <c r="B222" t="s">
        <v>18</v>
      </c>
      <c r="C222" s="1">
        <v>45785</v>
      </c>
      <c r="D222" t="s">
        <v>328</v>
      </c>
      <c r="F222" t="s">
        <v>55</v>
      </c>
      <c r="G222">
        <v>825812</v>
      </c>
      <c r="H222" t="s">
        <v>137</v>
      </c>
      <c r="I222">
        <v>1461</v>
      </c>
      <c r="J222" t="s">
        <v>138</v>
      </c>
      <c r="K222" s="1">
        <v>45785</v>
      </c>
    </row>
    <row r="223" spans="1:11">
      <c r="A223" t="s">
        <v>145</v>
      </c>
      <c r="B223" t="s">
        <v>18</v>
      </c>
      <c r="C223" s="1">
        <v>45785</v>
      </c>
      <c r="D223" t="s">
        <v>328</v>
      </c>
      <c r="F223" t="s">
        <v>55</v>
      </c>
      <c r="G223">
        <v>825812</v>
      </c>
      <c r="H223" t="s">
        <v>137</v>
      </c>
      <c r="I223">
        <v>1462</v>
      </c>
      <c r="J223" t="s">
        <v>138</v>
      </c>
      <c r="K223" s="1">
        <v>45785</v>
      </c>
    </row>
    <row r="224" spans="1:11">
      <c r="A224" t="s">
        <v>148</v>
      </c>
      <c r="B224" t="s">
        <v>18</v>
      </c>
      <c r="C224" s="1">
        <v>45785</v>
      </c>
      <c r="D224" t="s">
        <v>328</v>
      </c>
      <c r="F224" t="s">
        <v>55</v>
      </c>
      <c r="G224">
        <v>825812</v>
      </c>
      <c r="H224" t="s">
        <v>137</v>
      </c>
      <c r="I224">
        <v>1463</v>
      </c>
      <c r="J224" t="s">
        <v>138</v>
      </c>
      <c r="K224" s="1">
        <v>45785</v>
      </c>
    </row>
    <row r="225" spans="1:11">
      <c r="A225" t="s">
        <v>170</v>
      </c>
      <c r="B225" t="s">
        <v>9</v>
      </c>
      <c r="C225" s="1">
        <v>45785</v>
      </c>
      <c r="D225" t="s">
        <v>328</v>
      </c>
      <c r="F225" t="s">
        <v>55</v>
      </c>
      <c r="G225">
        <v>825812</v>
      </c>
      <c r="H225" t="s">
        <v>151</v>
      </c>
      <c r="I225">
        <v>30</v>
      </c>
      <c r="J225" t="s">
        <v>152</v>
      </c>
      <c r="K225" s="1">
        <v>45785</v>
      </c>
    </row>
    <row r="226" spans="1:11">
      <c r="A226" t="s">
        <v>170</v>
      </c>
      <c r="B226" t="s">
        <v>10</v>
      </c>
      <c r="C226" s="1">
        <v>45785</v>
      </c>
      <c r="D226" t="s">
        <v>328</v>
      </c>
      <c r="F226" t="s">
        <v>55</v>
      </c>
      <c r="G226">
        <v>825812</v>
      </c>
      <c r="H226" t="s">
        <v>151</v>
      </c>
      <c r="I226">
        <v>30</v>
      </c>
      <c r="J226" t="s">
        <v>152</v>
      </c>
      <c r="K226" s="1">
        <v>45785</v>
      </c>
    </row>
    <row r="227" spans="1:11">
      <c r="A227" t="s">
        <v>170</v>
      </c>
      <c r="B227" t="s">
        <v>60</v>
      </c>
      <c r="C227" s="1">
        <v>45785</v>
      </c>
      <c r="D227" t="s">
        <v>328</v>
      </c>
      <c r="F227" t="s">
        <v>55</v>
      </c>
      <c r="G227">
        <v>825812</v>
      </c>
      <c r="H227" t="s">
        <v>151</v>
      </c>
      <c r="I227">
        <v>30</v>
      </c>
      <c r="J227" t="s">
        <v>152</v>
      </c>
      <c r="K227" s="1">
        <v>45785</v>
      </c>
    </row>
    <row r="228" spans="1:11">
      <c r="A228" t="s">
        <v>170</v>
      </c>
      <c r="B228" t="s">
        <v>61</v>
      </c>
      <c r="C228" s="1">
        <v>45785</v>
      </c>
      <c r="D228" t="s">
        <v>328</v>
      </c>
      <c r="F228" t="s">
        <v>55</v>
      </c>
      <c r="G228">
        <v>825812</v>
      </c>
      <c r="H228" t="s">
        <v>151</v>
      </c>
      <c r="I228">
        <v>30</v>
      </c>
      <c r="J228" t="s">
        <v>152</v>
      </c>
      <c r="K228" s="1">
        <v>45785</v>
      </c>
    </row>
    <row r="229" spans="1:11">
      <c r="A229" t="s">
        <v>170</v>
      </c>
      <c r="B229" t="s">
        <v>153</v>
      </c>
      <c r="C229" s="1">
        <v>45785</v>
      </c>
      <c r="D229" t="s">
        <v>328</v>
      </c>
      <c r="F229" t="s">
        <v>55</v>
      </c>
      <c r="G229">
        <v>825812</v>
      </c>
      <c r="H229" t="s">
        <v>151</v>
      </c>
      <c r="I229">
        <v>30</v>
      </c>
      <c r="J229" t="s">
        <v>152</v>
      </c>
      <c r="K229" s="1">
        <v>45785</v>
      </c>
    </row>
    <row r="230" spans="1:11">
      <c r="A230" t="s">
        <v>170</v>
      </c>
      <c r="B230" t="s">
        <v>154</v>
      </c>
      <c r="C230" s="1">
        <v>45785</v>
      </c>
      <c r="D230" t="s">
        <v>328</v>
      </c>
      <c r="F230" t="s">
        <v>55</v>
      </c>
      <c r="G230">
        <v>825812</v>
      </c>
      <c r="H230" t="s">
        <v>151</v>
      </c>
      <c r="I230">
        <v>30</v>
      </c>
      <c r="J230" t="s">
        <v>152</v>
      </c>
      <c r="K230" s="1">
        <v>45785</v>
      </c>
    </row>
    <row r="231" spans="1:11">
      <c r="A231" t="s">
        <v>170</v>
      </c>
      <c r="B231" t="s">
        <v>18</v>
      </c>
      <c r="C231" s="1">
        <v>45785</v>
      </c>
      <c r="D231" t="s">
        <v>328</v>
      </c>
      <c r="F231" t="s">
        <v>55</v>
      </c>
      <c r="G231">
        <v>825812</v>
      </c>
      <c r="H231" t="s">
        <v>151</v>
      </c>
      <c r="I231">
        <v>30</v>
      </c>
      <c r="J231" t="s">
        <v>152</v>
      </c>
      <c r="K231" s="1">
        <v>45785</v>
      </c>
    </row>
    <row r="232" spans="1:11">
      <c r="A232" t="s">
        <v>128</v>
      </c>
      <c r="B232" t="s">
        <v>9</v>
      </c>
      <c r="C232" s="1">
        <v>45786</v>
      </c>
      <c r="D232" t="s">
        <v>328</v>
      </c>
      <c r="F232" t="s">
        <v>55</v>
      </c>
      <c r="G232">
        <v>825812</v>
      </c>
      <c r="H232" t="s">
        <v>124</v>
      </c>
      <c r="I232">
        <v>142</v>
      </c>
      <c r="J232" t="s">
        <v>80</v>
      </c>
      <c r="K232" s="1">
        <v>45786</v>
      </c>
    </row>
    <row r="233" spans="1:11">
      <c r="A233" t="s">
        <v>131</v>
      </c>
      <c r="B233" t="s">
        <v>9</v>
      </c>
      <c r="C233" s="1">
        <v>45786</v>
      </c>
      <c r="D233" t="s">
        <v>328</v>
      </c>
      <c r="F233" t="s">
        <v>55</v>
      </c>
      <c r="G233">
        <v>825812</v>
      </c>
      <c r="H233" t="s">
        <v>124</v>
      </c>
      <c r="I233">
        <v>143</v>
      </c>
      <c r="J233" t="s">
        <v>80</v>
      </c>
      <c r="K233" s="1">
        <v>45786</v>
      </c>
    </row>
    <row r="234" spans="1:11">
      <c r="A234" t="s">
        <v>128</v>
      </c>
      <c r="B234" t="s">
        <v>10</v>
      </c>
      <c r="C234" s="1">
        <v>45786</v>
      </c>
      <c r="D234" t="s">
        <v>328</v>
      </c>
      <c r="F234" t="s">
        <v>55</v>
      </c>
      <c r="G234">
        <v>825812</v>
      </c>
      <c r="H234" t="s">
        <v>124</v>
      </c>
      <c r="I234">
        <v>142</v>
      </c>
      <c r="J234" t="s">
        <v>80</v>
      </c>
      <c r="K234" s="1">
        <v>45786</v>
      </c>
    </row>
    <row r="235" spans="1:11">
      <c r="A235" t="s">
        <v>131</v>
      </c>
      <c r="B235" t="s">
        <v>10</v>
      </c>
      <c r="C235" s="1">
        <v>45786</v>
      </c>
      <c r="D235" t="s">
        <v>328</v>
      </c>
      <c r="F235" t="s">
        <v>55</v>
      </c>
      <c r="G235">
        <v>825812</v>
      </c>
      <c r="H235" t="s">
        <v>124</v>
      </c>
      <c r="I235">
        <v>143</v>
      </c>
      <c r="J235" t="s">
        <v>80</v>
      </c>
      <c r="K235" s="1">
        <v>45786</v>
      </c>
    </row>
    <row r="236" spans="1:11">
      <c r="A236" t="s">
        <v>128</v>
      </c>
      <c r="B236" t="s">
        <v>60</v>
      </c>
      <c r="C236" s="1">
        <v>45786</v>
      </c>
      <c r="D236" t="s">
        <v>328</v>
      </c>
      <c r="F236" t="s">
        <v>55</v>
      </c>
      <c r="G236">
        <v>825812</v>
      </c>
      <c r="H236" t="s">
        <v>124</v>
      </c>
      <c r="I236">
        <v>142</v>
      </c>
      <c r="J236" t="s">
        <v>80</v>
      </c>
      <c r="K236" s="1">
        <v>45786</v>
      </c>
    </row>
    <row r="237" spans="1:11">
      <c r="A237" t="s">
        <v>131</v>
      </c>
      <c r="B237" t="s">
        <v>60</v>
      </c>
      <c r="C237" s="1">
        <v>45786</v>
      </c>
      <c r="D237" t="s">
        <v>328</v>
      </c>
      <c r="F237" t="s">
        <v>55</v>
      </c>
      <c r="G237">
        <v>825812</v>
      </c>
      <c r="H237" t="s">
        <v>124</v>
      </c>
      <c r="I237">
        <v>143</v>
      </c>
      <c r="J237" t="s">
        <v>80</v>
      </c>
      <c r="K237" s="1">
        <v>45786</v>
      </c>
    </row>
    <row r="238" spans="1:11">
      <c r="A238" t="s">
        <v>128</v>
      </c>
      <c r="B238" t="s">
        <v>61</v>
      </c>
      <c r="C238" s="1">
        <v>45786</v>
      </c>
      <c r="D238" t="s">
        <v>328</v>
      </c>
      <c r="F238" t="s">
        <v>55</v>
      </c>
      <c r="G238">
        <v>825812</v>
      </c>
      <c r="H238" t="s">
        <v>124</v>
      </c>
      <c r="I238">
        <v>142</v>
      </c>
      <c r="J238" t="s">
        <v>80</v>
      </c>
      <c r="K238" s="1">
        <v>45786</v>
      </c>
    </row>
    <row r="239" spans="1:11">
      <c r="A239" t="s">
        <v>131</v>
      </c>
      <c r="B239" t="s">
        <v>61</v>
      </c>
      <c r="C239" s="1">
        <v>45786</v>
      </c>
      <c r="D239" t="s">
        <v>328</v>
      </c>
      <c r="F239" t="s">
        <v>55</v>
      </c>
      <c r="G239">
        <v>825812</v>
      </c>
      <c r="H239" t="s">
        <v>124</v>
      </c>
      <c r="I239">
        <v>143</v>
      </c>
      <c r="J239" t="s">
        <v>80</v>
      </c>
      <c r="K239" s="1">
        <v>45786</v>
      </c>
    </row>
    <row r="240" spans="1:11">
      <c r="A240" t="s">
        <v>128</v>
      </c>
      <c r="B240" t="s">
        <v>12</v>
      </c>
      <c r="C240" s="1">
        <v>45786</v>
      </c>
      <c r="D240" t="s">
        <v>328</v>
      </c>
      <c r="F240" t="s">
        <v>55</v>
      </c>
      <c r="G240">
        <v>825812</v>
      </c>
      <c r="H240" t="s">
        <v>124</v>
      </c>
      <c r="I240">
        <v>142</v>
      </c>
      <c r="J240" t="s">
        <v>80</v>
      </c>
      <c r="K240" s="1">
        <v>45786</v>
      </c>
    </row>
    <row r="241" spans="1:11">
      <c r="A241" t="s">
        <v>131</v>
      </c>
      <c r="B241" t="s">
        <v>12</v>
      </c>
      <c r="C241" s="1">
        <v>45786</v>
      </c>
      <c r="D241" t="s">
        <v>328</v>
      </c>
      <c r="F241" t="s">
        <v>55</v>
      </c>
      <c r="G241">
        <v>825812</v>
      </c>
      <c r="H241" t="s">
        <v>124</v>
      </c>
      <c r="I241">
        <v>143</v>
      </c>
      <c r="J241" t="s">
        <v>80</v>
      </c>
      <c r="K241" s="1">
        <v>45786</v>
      </c>
    </row>
    <row r="242" spans="1:11">
      <c r="A242" t="s">
        <v>128</v>
      </c>
      <c r="B242" t="s">
        <v>13</v>
      </c>
      <c r="C242" s="1">
        <v>45786</v>
      </c>
      <c r="D242" t="s">
        <v>328</v>
      </c>
      <c r="F242" t="s">
        <v>55</v>
      </c>
      <c r="G242">
        <v>825812</v>
      </c>
      <c r="H242" t="s">
        <v>124</v>
      </c>
      <c r="I242">
        <v>142</v>
      </c>
      <c r="J242" t="s">
        <v>80</v>
      </c>
      <c r="K242" s="1">
        <v>45786</v>
      </c>
    </row>
    <row r="243" spans="1:11">
      <c r="A243" t="s">
        <v>131</v>
      </c>
      <c r="B243" t="s">
        <v>13</v>
      </c>
      <c r="C243" s="1">
        <v>45786</v>
      </c>
      <c r="D243" t="s">
        <v>328</v>
      </c>
      <c r="F243" t="s">
        <v>55</v>
      </c>
      <c r="G243">
        <v>825812</v>
      </c>
      <c r="H243" t="s">
        <v>124</v>
      </c>
      <c r="I243">
        <v>143</v>
      </c>
      <c r="J243" t="s">
        <v>80</v>
      </c>
      <c r="K243" s="1">
        <v>45786</v>
      </c>
    </row>
    <row r="244" spans="1:11">
      <c r="A244" t="s">
        <v>128</v>
      </c>
      <c r="B244" t="s">
        <v>14</v>
      </c>
      <c r="C244" s="1">
        <v>45786</v>
      </c>
      <c r="D244" t="s">
        <v>328</v>
      </c>
      <c r="F244" t="s">
        <v>55</v>
      </c>
      <c r="G244">
        <v>825812</v>
      </c>
      <c r="H244" t="s">
        <v>124</v>
      </c>
      <c r="I244">
        <v>142</v>
      </c>
      <c r="J244" t="s">
        <v>80</v>
      </c>
      <c r="K244" s="1">
        <v>45786</v>
      </c>
    </row>
    <row r="245" spans="1:11">
      <c r="A245" t="s">
        <v>131</v>
      </c>
      <c r="B245" t="s">
        <v>14</v>
      </c>
      <c r="C245" s="1">
        <v>45786</v>
      </c>
      <c r="D245" t="s">
        <v>328</v>
      </c>
      <c r="F245" t="s">
        <v>55</v>
      </c>
      <c r="G245">
        <v>825812</v>
      </c>
      <c r="H245" t="s">
        <v>124</v>
      </c>
      <c r="I245">
        <v>143</v>
      </c>
      <c r="J245" t="s">
        <v>80</v>
      </c>
      <c r="K245" s="1">
        <v>45786</v>
      </c>
    </row>
    <row r="246" spans="1:11">
      <c r="A246" t="s">
        <v>128</v>
      </c>
      <c r="B246" t="s">
        <v>15</v>
      </c>
      <c r="C246" s="1">
        <v>45786</v>
      </c>
      <c r="D246" t="s">
        <v>328</v>
      </c>
      <c r="F246" t="s">
        <v>55</v>
      </c>
      <c r="G246">
        <v>825812</v>
      </c>
      <c r="H246" t="s">
        <v>124</v>
      </c>
      <c r="I246">
        <v>142</v>
      </c>
      <c r="J246" t="s">
        <v>80</v>
      </c>
      <c r="K246" s="1">
        <v>45786</v>
      </c>
    </row>
    <row r="247" spans="1:11">
      <c r="A247" t="s">
        <v>131</v>
      </c>
      <c r="B247" t="s">
        <v>15</v>
      </c>
      <c r="C247" s="1">
        <v>45786</v>
      </c>
      <c r="D247" t="s">
        <v>328</v>
      </c>
      <c r="F247" t="s">
        <v>55</v>
      </c>
      <c r="G247">
        <v>825812</v>
      </c>
      <c r="H247" t="s">
        <v>124</v>
      </c>
      <c r="I247">
        <v>143</v>
      </c>
      <c r="J247" t="s">
        <v>80</v>
      </c>
      <c r="K247" s="1">
        <v>45786</v>
      </c>
    </row>
    <row r="248" spans="1:11">
      <c r="A248" t="s">
        <v>128</v>
      </c>
      <c r="B248" t="s">
        <v>18</v>
      </c>
      <c r="C248" s="1">
        <v>45786</v>
      </c>
      <c r="D248" t="s">
        <v>328</v>
      </c>
      <c r="F248" t="s">
        <v>55</v>
      </c>
      <c r="G248">
        <v>825812</v>
      </c>
      <c r="H248" t="s">
        <v>124</v>
      </c>
      <c r="I248">
        <v>142</v>
      </c>
      <c r="J248" t="s">
        <v>80</v>
      </c>
      <c r="K248" s="1">
        <v>45786</v>
      </c>
    </row>
    <row r="249" spans="1:11">
      <c r="A249" t="s">
        <v>131</v>
      </c>
      <c r="B249" t="s">
        <v>18</v>
      </c>
      <c r="C249" s="1">
        <v>45786</v>
      </c>
      <c r="D249" t="s">
        <v>328</v>
      </c>
      <c r="F249" t="s">
        <v>55</v>
      </c>
      <c r="G249">
        <v>825812</v>
      </c>
      <c r="H249" t="s">
        <v>124</v>
      </c>
      <c r="I249">
        <v>143</v>
      </c>
      <c r="J249" t="s">
        <v>80</v>
      </c>
      <c r="K249" s="1">
        <v>45786</v>
      </c>
    </row>
    <row r="250" spans="1:11">
      <c r="A250" t="s">
        <v>128</v>
      </c>
      <c r="B250" t="s">
        <v>19</v>
      </c>
      <c r="C250" s="1">
        <v>45786</v>
      </c>
      <c r="D250" t="s">
        <v>328</v>
      </c>
      <c r="F250" t="s">
        <v>55</v>
      </c>
      <c r="G250">
        <v>825812</v>
      </c>
      <c r="H250" t="s">
        <v>124</v>
      </c>
      <c r="I250">
        <v>142</v>
      </c>
      <c r="J250" t="s">
        <v>80</v>
      </c>
      <c r="K250" s="1">
        <v>45786</v>
      </c>
    </row>
    <row r="251" spans="1:11">
      <c r="A251" t="s">
        <v>131</v>
      </c>
      <c r="B251" t="s">
        <v>19</v>
      </c>
      <c r="C251" s="1">
        <v>45786</v>
      </c>
      <c r="D251" t="s">
        <v>328</v>
      </c>
      <c r="F251" t="s">
        <v>55</v>
      </c>
      <c r="G251">
        <v>825812</v>
      </c>
      <c r="H251" t="s">
        <v>124</v>
      </c>
      <c r="I251">
        <v>143</v>
      </c>
      <c r="J251" t="s">
        <v>80</v>
      </c>
      <c r="K251" s="1">
        <v>45786</v>
      </c>
    </row>
    <row r="252" spans="1:11">
      <c r="A252" t="s">
        <v>139</v>
      </c>
      <c r="B252" t="s">
        <v>19</v>
      </c>
      <c r="C252" s="1">
        <v>45786</v>
      </c>
      <c r="D252" t="s">
        <v>328</v>
      </c>
      <c r="F252" t="s">
        <v>55</v>
      </c>
      <c r="G252">
        <v>825812</v>
      </c>
      <c r="H252" t="s">
        <v>137</v>
      </c>
      <c r="I252">
        <v>1460</v>
      </c>
      <c r="J252" t="s">
        <v>138</v>
      </c>
      <c r="K252" s="1">
        <v>45786</v>
      </c>
    </row>
    <row r="253" spans="1:11">
      <c r="A253" t="s">
        <v>142</v>
      </c>
      <c r="B253" t="s">
        <v>19</v>
      </c>
      <c r="C253" s="1">
        <v>45786</v>
      </c>
      <c r="D253" t="s">
        <v>328</v>
      </c>
      <c r="F253" t="s">
        <v>55</v>
      </c>
      <c r="G253">
        <v>825812</v>
      </c>
      <c r="H253" t="s">
        <v>137</v>
      </c>
      <c r="I253">
        <v>1461</v>
      </c>
      <c r="J253" t="s">
        <v>138</v>
      </c>
      <c r="K253" s="1">
        <v>45786</v>
      </c>
    </row>
    <row r="254" spans="1:11">
      <c r="A254" t="s">
        <v>145</v>
      </c>
      <c r="B254" t="s">
        <v>19</v>
      </c>
      <c r="C254" s="1">
        <v>45786</v>
      </c>
      <c r="D254" t="s">
        <v>328</v>
      </c>
      <c r="F254" t="s">
        <v>55</v>
      </c>
      <c r="G254">
        <v>825812</v>
      </c>
      <c r="H254" t="s">
        <v>137</v>
      </c>
      <c r="I254">
        <v>1462</v>
      </c>
      <c r="J254" t="s">
        <v>138</v>
      </c>
      <c r="K254" s="1">
        <v>45786</v>
      </c>
    </row>
    <row r="255" spans="1:11">
      <c r="A255" t="s">
        <v>148</v>
      </c>
      <c r="B255" t="s">
        <v>19</v>
      </c>
      <c r="C255" s="1">
        <v>45786</v>
      </c>
      <c r="D255" t="s">
        <v>328</v>
      </c>
      <c r="F255" t="s">
        <v>55</v>
      </c>
      <c r="G255">
        <v>825812</v>
      </c>
      <c r="H255" t="s">
        <v>137</v>
      </c>
      <c r="I255">
        <v>1463</v>
      </c>
      <c r="J255" t="s">
        <v>138</v>
      </c>
      <c r="K255" s="1">
        <v>45786</v>
      </c>
    </row>
    <row r="256" spans="1:11">
      <c r="A256" t="s">
        <v>173</v>
      </c>
      <c r="B256" t="s">
        <v>9</v>
      </c>
      <c r="C256" s="1">
        <v>45786</v>
      </c>
      <c r="D256" t="s">
        <v>328</v>
      </c>
      <c r="F256" t="s">
        <v>55</v>
      </c>
      <c r="G256">
        <v>825812</v>
      </c>
      <c r="H256" t="s">
        <v>151</v>
      </c>
      <c r="I256">
        <v>31</v>
      </c>
      <c r="J256" t="s">
        <v>152</v>
      </c>
      <c r="K256" s="1">
        <v>45786</v>
      </c>
    </row>
    <row r="257" spans="1:11">
      <c r="A257" t="s">
        <v>173</v>
      </c>
      <c r="B257" t="s">
        <v>10</v>
      </c>
      <c r="C257" s="1">
        <v>45786</v>
      </c>
      <c r="D257" t="s">
        <v>328</v>
      </c>
      <c r="F257" t="s">
        <v>55</v>
      </c>
      <c r="G257">
        <v>825812</v>
      </c>
      <c r="H257" t="s">
        <v>151</v>
      </c>
      <c r="I257">
        <v>31</v>
      </c>
      <c r="J257" t="s">
        <v>152</v>
      </c>
      <c r="K257" s="1">
        <v>45786</v>
      </c>
    </row>
    <row r="258" spans="1:11">
      <c r="A258" t="s">
        <v>173</v>
      </c>
      <c r="B258" t="s">
        <v>60</v>
      </c>
      <c r="C258" s="1">
        <v>45786</v>
      </c>
      <c r="D258" t="s">
        <v>328</v>
      </c>
      <c r="F258" t="s">
        <v>55</v>
      </c>
      <c r="G258">
        <v>825812</v>
      </c>
      <c r="H258" t="s">
        <v>151</v>
      </c>
      <c r="I258">
        <v>31</v>
      </c>
      <c r="J258" t="s">
        <v>152</v>
      </c>
      <c r="K258" s="1">
        <v>45786</v>
      </c>
    </row>
    <row r="259" spans="1:11">
      <c r="A259" t="s">
        <v>173</v>
      </c>
      <c r="B259" t="s">
        <v>61</v>
      </c>
      <c r="C259" s="1">
        <v>45786</v>
      </c>
      <c r="D259" t="s">
        <v>328</v>
      </c>
      <c r="F259" t="s">
        <v>55</v>
      </c>
      <c r="G259">
        <v>825812</v>
      </c>
      <c r="H259" t="s">
        <v>151</v>
      </c>
      <c r="I259">
        <v>31</v>
      </c>
      <c r="J259" t="s">
        <v>152</v>
      </c>
      <c r="K259" s="1">
        <v>45786</v>
      </c>
    </row>
    <row r="260" spans="1:11">
      <c r="A260" t="s">
        <v>173</v>
      </c>
      <c r="B260" t="s">
        <v>153</v>
      </c>
      <c r="C260" s="1">
        <v>45786</v>
      </c>
      <c r="D260" t="s">
        <v>328</v>
      </c>
      <c r="F260" t="s">
        <v>55</v>
      </c>
      <c r="G260">
        <v>825812</v>
      </c>
      <c r="H260" t="s">
        <v>151</v>
      </c>
      <c r="I260">
        <v>31</v>
      </c>
      <c r="J260" t="s">
        <v>152</v>
      </c>
      <c r="K260" s="1">
        <v>45786</v>
      </c>
    </row>
    <row r="261" spans="1:11">
      <c r="A261" t="s">
        <v>173</v>
      </c>
      <c r="B261" t="s">
        <v>154</v>
      </c>
      <c r="C261" s="1">
        <v>45786</v>
      </c>
      <c r="D261" t="s">
        <v>328</v>
      </c>
      <c r="F261" t="s">
        <v>55</v>
      </c>
      <c r="G261">
        <v>825812</v>
      </c>
      <c r="H261" t="s">
        <v>151</v>
      </c>
      <c r="I261">
        <v>31</v>
      </c>
      <c r="J261" t="s">
        <v>152</v>
      </c>
      <c r="K261" s="1">
        <v>45786</v>
      </c>
    </row>
    <row r="262" spans="1:11">
      <c r="A262" t="s">
        <v>157</v>
      </c>
      <c r="B262" t="s">
        <v>21</v>
      </c>
      <c r="C262" s="1">
        <v>45786</v>
      </c>
      <c r="D262" t="s">
        <v>328</v>
      </c>
      <c r="F262" t="s">
        <v>55</v>
      </c>
      <c r="G262">
        <v>825812</v>
      </c>
      <c r="H262" t="s">
        <v>151</v>
      </c>
      <c r="I262">
        <v>2</v>
      </c>
      <c r="J262" t="s">
        <v>152</v>
      </c>
      <c r="K262" s="1">
        <v>45786</v>
      </c>
    </row>
    <row r="263" spans="1:11">
      <c r="A263" t="s">
        <v>173</v>
      </c>
      <c r="B263" t="s">
        <v>18</v>
      </c>
      <c r="C263" s="1">
        <v>45786</v>
      </c>
      <c r="D263" t="s">
        <v>328</v>
      </c>
      <c r="F263" t="s">
        <v>55</v>
      </c>
      <c r="G263">
        <v>825812</v>
      </c>
      <c r="H263" t="s">
        <v>151</v>
      </c>
      <c r="I263">
        <v>31</v>
      </c>
      <c r="J263" t="s">
        <v>152</v>
      </c>
      <c r="K263" s="1">
        <v>45786</v>
      </c>
    </row>
    <row r="264" spans="1:11">
      <c r="A264" t="s">
        <v>170</v>
      </c>
      <c r="B264" t="s">
        <v>19</v>
      </c>
      <c r="C264" s="1">
        <v>45786</v>
      </c>
      <c r="D264" t="s">
        <v>328</v>
      </c>
      <c r="F264" t="s">
        <v>55</v>
      </c>
      <c r="G264">
        <v>825812</v>
      </c>
      <c r="H264" t="s">
        <v>151</v>
      </c>
      <c r="I264">
        <v>30</v>
      </c>
      <c r="J264" t="s">
        <v>152</v>
      </c>
      <c r="K264" s="1">
        <v>45786</v>
      </c>
    </row>
    <row r="265" spans="1:11">
      <c r="A265" t="s">
        <v>173</v>
      </c>
      <c r="B265" t="s">
        <v>19</v>
      </c>
      <c r="C265" s="1">
        <v>45786</v>
      </c>
      <c r="D265" t="s">
        <v>328</v>
      </c>
      <c r="F265" t="s">
        <v>55</v>
      </c>
      <c r="G265">
        <v>825812</v>
      </c>
      <c r="H265" t="s">
        <v>151</v>
      </c>
      <c r="I265">
        <v>31</v>
      </c>
      <c r="J265" t="s">
        <v>152</v>
      </c>
      <c r="K265" s="1">
        <v>45786</v>
      </c>
    </row>
    <row r="266" spans="1:11">
      <c r="A266" t="s">
        <v>40</v>
      </c>
      <c r="B266" t="s">
        <v>9</v>
      </c>
      <c r="C266" s="1">
        <v>45789</v>
      </c>
      <c r="D266" t="s">
        <v>328</v>
      </c>
      <c r="F266" t="s">
        <v>3</v>
      </c>
      <c r="G266">
        <v>655352</v>
      </c>
      <c r="H266" t="s">
        <v>6</v>
      </c>
      <c r="I266">
        <v>6</v>
      </c>
      <c r="K266" s="1">
        <v>45789</v>
      </c>
    </row>
    <row r="267" spans="1:11">
      <c r="A267" t="s">
        <v>40</v>
      </c>
      <c r="B267" t="s">
        <v>10</v>
      </c>
      <c r="C267" s="1">
        <v>45789</v>
      </c>
      <c r="D267" t="s">
        <v>328</v>
      </c>
      <c r="F267" t="s">
        <v>3</v>
      </c>
      <c r="G267">
        <v>655352</v>
      </c>
      <c r="H267" t="s">
        <v>6</v>
      </c>
      <c r="I267">
        <v>6</v>
      </c>
      <c r="K267" s="1">
        <v>45789</v>
      </c>
    </row>
    <row r="268" spans="1:11">
      <c r="A268" t="s">
        <v>40</v>
      </c>
      <c r="B268" t="s">
        <v>11</v>
      </c>
      <c r="C268" s="1">
        <v>45789</v>
      </c>
      <c r="D268" t="s">
        <v>328</v>
      </c>
      <c r="F268" t="s">
        <v>3</v>
      </c>
      <c r="G268">
        <v>655352</v>
      </c>
      <c r="H268" t="s">
        <v>6</v>
      </c>
      <c r="I268">
        <v>6</v>
      </c>
      <c r="K268" s="1">
        <v>45789</v>
      </c>
    </row>
    <row r="269" spans="1:11">
      <c r="A269" t="s">
        <v>40</v>
      </c>
      <c r="B269" t="s">
        <v>12</v>
      </c>
      <c r="C269" s="1">
        <v>45789</v>
      </c>
      <c r="D269" t="s">
        <v>328</v>
      </c>
      <c r="F269" t="s">
        <v>3</v>
      </c>
      <c r="G269">
        <v>655352</v>
      </c>
      <c r="H269" t="s">
        <v>6</v>
      </c>
      <c r="I269">
        <v>6</v>
      </c>
      <c r="K269" s="1">
        <v>45789</v>
      </c>
    </row>
    <row r="270" spans="1:11">
      <c r="A270" t="s">
        <v>40</v>
      </c>
      <c r="B270" t="s">
        <v>13</v>
      </c>
      <c r="C270" s="1">
        <v>45789</v>
      </c>
      <c r="D270" t="s">
        <v>328</v>
      </c>
      <c r="F270" t="s">
        <v>3</v>
      </c>
      <c r="G270">
        <v>655352</v>
      </c>
      <c r="H270" t="s">
        <v>6</v>
      </c>
      <c r="I270">
        <v>6</v>
      </c>
      <c r="K270" s="1">
        <v>45789</v>
      </c>
    </row>
    <row r="271" spans="1:11">
      <c r="A271" t="s">
        <v>40</v>
      </c>
      <c r="B271" t="s">
        <v>14</v>
      </c>
      <c r="C271" s="1">
        <v>45789</v>
      </c>
      <c r="D271" t="s">
        <v>328</v>
      </c>
      <c r="F271" t="s">
        <v>3</v>
      </c>
      <c r="G271">
        <v>655352</v>
      </c>
      <c r="H271" t="s">
        <v>6</v>
      </c>
      <c r="I271">
        <v>6</v>
      </c>
      <c r="K271" s="1">
        <v>45789</v>
      </c>
    </row>
    <row r="272" spans="1:11">
      <c r="A272" t="s">
        <v>40</v>
      </c>
      <c r="B272" t="s">
        <v>15</v>
      </c>
      <c r="C272" s="1">
        <v>45789</v>
      </c>
      <c r="D272" t="s">
        <v>328</v>
      </c>
      <c r="F272" t="s">
        <v>3</v>
      </c>
      <c r="G272">
        <v>655352</v>
      </c>
      <c r="H272" t="s">
        <v>6</v>
      </c>
      <c r="I272">
        <v>6</v>
      </c>
      <c r="K272" s="1">
        <v>45789</v>
      </c>
    </row>
    <row r="273" spans="1:11">
      <c r="A273" t="s">
        <v>40</v>
      </c>
      <c r="B273" t="s">
        <v>18</v>
      </c>
      <c r="C273" s="1">
        <v>45789</v>
      </c>
      <c r="D273" t="s">
        <v>328</v>
      </c>
      <c r="F273" t="s">
        <v>3</v>
      </c>
      <c r="G273">
        <v>655352</v>
      </c>
      <c r="H273" t="s">
        <v>6</v>
      </c>
      <c r="I273">
        <v>6</v>
      </c>
      <c r="K273" s="1">
        <v>45789</v>
      </c>
    </row>
    <row r="274" spans="1:11">
      <c r="A274" t="s">
        <v>40</v>
      </c>
      <c r="B274" t="s">
        <v>19</v>
      </c>
      <c r="C274" s="1">
        <v>45789</v>
      </c>
      <c r="D274" t="s">
        <v>328</v>
      </c>
      <c r="F274" t="s">
        <v>3</v>
      </c>
      <c r="G274">
        <v>655352</v>
      </c>
      <c r="H274" t="s">
        <v>6</v>
      </c>
      <c r="I274">
        <v>6</v>
      </c>
      <c r="K274" s="1">
        <v>45789</v>
      </c>
    </row>
    <row r="275" spans="1:11">
      <c r="A275" t="s">
        <v>128</v>
      </c>
      <c r="B275" t="s">
        <v>25</v>
      </c>
      <c r="C275" s="1">
        <v>45791</v>
      </c>
      <c r="D275" t="s">
        <v>328</v>
      </c>
      <c r="F275" t="s">
        <v>55</v>
      </c>
      <c r="G275">
        <v>825812</v>
      </c>
      <c r="H275" t="s">
        <v>124</v>
      </c>
      <c r="I275">
        <v>142</v>
      </c>
      <c r="J275" t="s">
        <v>80</v>
      </c>
      <c r="K275" s="1">
        <v>45791</v>
      </c>
    </row>
    <row r="276" spans="1:11">
      <c r="A276" t="s">
        <v>182</v>
      </c>
      <c r="B276" t="s">
        <v>9</v>
      </c>
      <c r="C276" s="1">
        <v>45791</v>
      </c>
      <c r="D276" t="s">
        <v>328</v>
      </c>
      <c r="F276" t="s">
        <v>55</v>
      </c>
      <c r="G276">
        <v>825812</v>
      </c>
      <c r="H276" t="s">
        <v>176</v>
      </c>
      <c r="I276">
        <v>65</v>
      </c>
      <c r="J276" t="s">
        <v>59</v>
      </c>
      <c r="K276" s="1">
        <v>45791</v>
      </c>
    </row>
    <row r="277" spans="1:11">
      <c r="A277" t="s">
        <v>188</v>
      </c>
      <c r="B277" t="s">
        <v>9</v>
      </c>
      <c r="C277" s="1">
        <v>45791</v>
      </c>
      <c r="D277" t="s">
        <v>328</v>
      </c>
      <c r="F277" t="s">
        <v>55</v>
      </c>
      <c r="G277">
        <v>825812</v>
      </c>
      <c r="H277" t="s">
        <v>176</v>
      </c>
      <c r="I277">
        <v>69</v>
      </c>
      <c r="J277" t="s">
        <v>59</v>
      </c>
      <c r="K277" s="1">
        <v>45791</v>
      </c>
    </row>
    <row r="278" spans="1:11">
      <c r="A278" t="s">
        <v>182</v>
      </c>
      <c r="B278" t="s">
        <v>10</v>
      </c>
      <c r="C278" s="1">
        <v>45791</v>
      </c>
      <c r="D278" t="s">
        <v>328</v>
      </c>
      <c r="F278" t="s">
        <v>55</v>
      </c>
      <c r="G278">
        <v>825812</v>
      </c>
      <c r="H278" t="s">
        <v>176</v>
      </c>
      <c r="I278">
        <v>65</v>
      </c>
      <c r="J278" t="s">
        <v>59</v>
      </c>
      <c r="K278" s="1">
        <v>45791</v>
      </c>
    </row>
    <row r="279" spans="1:11">
      <c r="A279" t="s">
        <v>188</v>
      </c>
      <c r="B279" t="s">
        <v>10</v>
      </c>
      <c r="C279" s="1">
        <v>45791</v>
      </c>
      <c r="D279" t="s">
        <v>328</v>
      </c>
      <c r="F279" t="s">
        <v>55</v>
      </c>
      <c r="G279">
        <v>825812</v>
      </c>
      <c r="H279" t="s">
        <v>176</v>
      </c>
      <c r="I279">
        <v>69</v>
      </c>
      <c r="J279" t="s">
        <v>59</v>
      </c>
      <c r="K279" s="1">
        <v>45791</v>
      </c>
    </row>
    <row r="280" spans="1:11">
      <c r="A280" t="s">
        <v>182</v>
      </c>
      <c r="B280" t="s">
        <v>60</v>
      </c>
      <c r="C280" s="1">
        <v>45791</v>
      </c>
      <c r="D280" t="s">
        <v>328</v>
      </c>
      <c r="F280" t="s">
        <v>55</v>
      </c>
      <c r="G280">
        <v>825812</v>
      </c>
      <c r="H280" t="s">
        <v>176</v>
      </c>
      <c r="I280">
        <v>65</v>
      </c>
      <c r="J280" t="s">
        <v>59</v>
      </c>
      <c r="K280" s="1">
        <v>45791</v>
      </c>
    </row>
    <row r="281" spans="1:11">
      <c r="A281" t="s">
        <v>188</v>
      </c>
      <c r="B281" t="s">
        <v>60</v>
      </c>
      <c r="C281" s="1">
        <v>45791</v>
      </c>
      <c r="D281" t="s">
        <v>328</v>
      </c>
      <c r="F281" t="s">
        <v>55</v>
      </c>
      <c r="G281">
        <v>825812</v>
      </c>
      <c r="H281" t="s">
        <v>176</v>
      </c>
      <c r="I281">
        <v>69</v>
      </c>
      <c r="J281" t="s">
        <v>59</v>
      </c>
      <c r="K281" s="1">
        <v>45791</v>
      </c>
    </row>
    <row r="282" spans="1:11">
      <c r="A282" t="s">
        <v>182</v>
      </c>
      <c r="B282" t="s">
        <v>61</v>
      </c>
      <c r="C282" s="1">
        <v>45791</v>
      </c>
      <c r="D282" t="s">
        <v>328</v>
      </c>
      <c r="F282" t="s">
        <v>55</v>
      </c>
      <c r="G282">
        <v>825812</v>
      </c>
      <c r="H282" t="s">
        <v>176</v>
      </c>
      <c r="I282">
        <v>65</v>
      </c>
      <c r="J282" t="s">
        <v>59</v>
      </c>
      <c r="K282" s="1">
        <v>45791</v>
      </c>
    </row>
    <row r="283" spans="1:11">
      <c r="A283" t="s">
        <v>188</v>
      </c>
      <c r="B283" t="s">
        <v>61</v>
      </c>
      <c r="C283" s="1">
        <v>45791</v>
      </c>
      <c r="D283" t="s">
        <v>328</v>
      </c>
      <c r="F283" t="s">
        <v>55</v>
      </c>
      <c r="G283">
        <v>825812</v>
      </c>
      <c r="H283" t="s">
        <v>176</v>
      </c>
      <c r="I283">
        <v>69</v>
      </c>
      <c r="J283" t="s">
        <v>59</v>
      </c>
      <c r="K283" s="1">
        <v>45791</v>
      </c>
    </row>
    <row r="284" spans="1:11">
      <c r="A284" t="s">
        <v>182</v>
      </c>
      <c r="B284" t="s">
        <v>12</v>
      </c>
      <c r="C284" s="1">
        <v>45791</v>
      </c>
      <c r="D284" t="s">
        <v>328</v>
      </c>
      <c r="F284" t="s">
        <v>55</v>
      </c>
      <c r="G284">
        <v>825812</v>
      </c>
      <c r="H284" t="s">
        <v>176</v>
      </c>
      <c r="I284">
        <v>65</v>
      </c>
      <c r="J284" t="s">
        <v>59</v>
      </c>
      <c r="K284" s="1">
        <v>45791</v>
      </c>
    </row>
    <row r="285" spans="1:11">
      <c r="A285" t="s">
        <v>182</v>
      </c>
      <c r="B285" t="s">
        <v>13</v>
      </c>
      <c r="C285" s="1">
        <v>45791</v>
      </c>
      <c r="D285" t="s">
        <v>328</v>
      </c>
      <c r="F285" t="s">
        <v>55</v>
      </c>
      <c r="G285">
        <v>825812</v>
      </c>
      <c r="H285" t="s">
        <v>176</v>
      </c>
      <c r="I285">
        <v>65</v>
      </c>
      <c r="J285" t="s">
        <v>59</v>
      </c>
      <c r="K285" s="1">
        <v>45791</v>
      </c>
    </row>
    <row r="286" spans="1:11">
      <c r="A286" t="s">
        <v>182</v>
      </c>
      <c r="B286" t="s">
        <v>14</v>
      </c>
      <c r="C286" s="1">
        <v>45791</v>
      </c>
      <c r="D286" t="s">
        <v>328</v>
      </c>
      <c r="F286" t="s">
        <v>55</v>
      </c>
      <c r="G286">
        <v>825812</v>
      </c>
      <c r="H286" t="s">
        <v>176</v>
      </c>
      <c r="I286">
        <v>65</v>
      </c>
      <c r="J286" t="s">
        <v>59</v>
      </c>
      <c r="K286" s="1">
        <v>45791</v>
      </c>
    </row>
    <row r="287" spans="1:11">
      <c r="A287" t="s">
        <v>188</v>
      </c>
      <c r="B287" t="s">
        <v>14</v>
      </c>
      <c r="C287" s="1">
        <v>45791</v>
      </c>
      <c r="D287" t="s">
        <v>328</v>
      </c>
      <c r="F287" t="s">
        <v>55</v>
      </c>
      <c r="G287">
        <v>825812</v>
      </c>
      <c r="H287" t="s">
        <v>176</v>
      </c>
      <c r="I287">
        <v>69</v>
      </c>
      <c r="J287" t="s">
        <v>59</v>
      </c>
      <c r="K287" s="1">
        <v>45791</v>
      </c>
    </row>
    <row r="288" spans="1:11">
      <c r="A288" t="s">
        <v>182</v>
      </c>
      <c r="B288" t="s">
        <v>15</v>
      </c>
      <c r="C288" s="1">
        <v>45791</v>
      </c>
      <c r="D288" t="s">
        <v>328</v>
      </c>
      <c r="F288" t="s">
        <v>55</v>
      </c>
      <c r="G288">
        <v>825812</v>
      </c>
      <c r="H288" t="s">
        <v>176</v>
      </c>
      <c r="I288">
        <v>65</v>
      </c>
      <c r="J288" t="s">
        <v>59</v>
      </c>
      <c r="K288" s="1">
        <v>45791</v>
      </c>
    </row>
    <row r="289" spans="1:11">
      <c r="A289" t="s">
        <v>188</v>
      </c>
      <c r="B289" t="s">
        <v>15</v>
      </c>
      <c r="C289" s="1">
        <v>45791</v>
      </c>
      <c r="D289" t="s">
        <v>328</v>
      </c>
      <c r="F289" t="s">
        <v>55</v>
      </c>
      <c r="G289">
        <v>825812</v>
      </c>
      <c r="H289" t="s">
        <v>176</v>
      </c>
      <c r="I289">
        <v>69</v>
      </c>
      <c r="J289" t="s">
        <v>59</v>
      </c>
      <c r="K289" s="1">
        <v>45791</v>
      </c>
    </row>
    <row r="290" spans="1:11">
      <c r="A290" t="s">
        <v>188</v>
      </c>
      <c r="B290" t="s">
        <v>18</v>
      </c>
      <c r="C290" s="1">
        <v>45791</v>
      </c>
      <c r="D290" t="s">
        <v>328</v>
      </c>
      <c r="F290" t="s">
        <v>55</v>
      </c>
      <c r="G290">
        <v>825812</v>
      </c>
      <c r="H290" t="s">
        <v>176</v>
      </c>
      <c r="I290">
        <v>69</v>
      </c>
      <c r="J290" t="s">
        <v>59</v>
      </c>
      <c r="K290" s="1">
        <v>45791</v>
      </c>
    </row>
    <row r="291" spans="1:11">
      <c r="A291" t="s">
        <v>188</v>
      </c>
      <c r="B291" t="s">
        <v>19</v>
      </c>
      <c r="C291" s="1">
        <v>45791</v>
      </c>
      <c r="D291" t="s">
        <v>328</v>
      </c>
      <c r="F291" t="s">
        <v>55</v>
      </c>
      <c r="G291">
        <v>825812</v>
      </c>
      <c r="H291" t="s">
        <v>176</v>
      </c>
      <c r="I291">
        <v>69</v>
      </c>
      <c r="J291" t="s">
        <v>59</v>
      </c>
      <c r="K291" s="1">
        <v>45791</v>
      </c>
    </row>
    <row r="292" spans="1:11">
      <c r="A292" t="s">
        <v>30</v>
      </c>
      <c r="B292" t="s">
        <v>25</v>
      </c>
      <c r="C292" s="1">
        <v>45792</v>
      </c>
      <c r="D292" t="s">
        <v>328</v>
      </c>
      <c r="F292" t="s">
        <v>3</v>
      </c>
      <c r="G292">
        <v>655352</v>
      </c>
      <c r="H292" t="s">
        <v>6</v>
      </c>
      <c r="I292">
        <v>3</v>
      </c>
      <c r="K292" s="1">
        <v>45792</v>
      </c>
    </row>
    <row r="293" spans="1:11">
      <c r="A293" t="s">
        <v>34</v>
      </c>
      <c r="B293" t="s">
        <v>25</v>
      </c>
      <c r="C293" s="1">
        <v>45792</v>
      </c>
      <c r="D293" t="s">
        <v>328</v>
      </c>
      <c r="F293" t="s">
        <v>3</v>
      </c>
      <c r="G293">
        <v>655352</v>
      </c>
      <c r="H293" t="s">
        <v>6</v>
      </c>
      <c r="I293">
        <v>4</v>
      </c>
      <c r="K293" s="1">
        <v>45792</v>
      </c>
    </row>
    <row r="294" spans="1:11">
      <c r="A294" t="s">
        <v>83</v>
      </c>
      <c r="B294" t="s">
        <v>20</v>
      </c>
      <c r="C294" s="1">
        <v>45792</v>
      </c>
      <c r="D294" t="s">
        <v>328</v>
      </c>
      <c r="F294" t="s">
        <v>55</v>
      </c>
      <c r="G294">
        <v>825812</v>
      </c>
      <c r="H294" t="s">
        <v>79</v>
      </c>
      <c r="I294">
        <v>91</v>
      </c>
      <c r="J294" t="s">
        <v>80</v>
      </c>
      <c r="K294" s="1">
        <v>45792</v>
      </c>
    </row>
    <row r="295" spans="1:11">
      <c r="A295" t="s">
        <v>86</v>
      </c>
      <c r="B295" t="s">
        <v>20</v>
      </c>
      <c r="C295" s="1">
        <v>45792</v>
      </c>
      <c r="D295" t="s">
        <v>328</v>
      </c>
      <c r="F295" t="s">
        <v>55</v>
      </c>
      <c r="G295">
        <v>825812</v>
      </c>
      <c r="H295" t="s">
        <v>79</v>
      </c>
      <c r="I295">
        <v>92</v>
      </c>
      <c r="J295" t="s">
        <v>80</v>
      </c>
      <c r="K295" s="1">
        <v>45792</v>
      </c>
    </row>
    <row r="296" spans="1:11">
      <c r="A296" t="s">
        <v>128</v>
      </c>
      <c r="B296" t="s">
        <v>20</v>
      </c>
      <c r="C296" s="1">
        <v>45792</v>
      </c>
      <c r="D296" t="s">
        <v>328</v>
      </c>
      <c r="F296" t="s">
        <v>55</v>
      </c>
      <c r="G296">
        <v>825812</v>
      </c>
      <c r="H296" t="s">
        <v>124</v>
      </c>
      <c r="I296">
        <v>142</v>
      </c>
      <c r="J296" t="s">
        <v>80</v>
      </c>
      <c r="K296" s="1">
        <v>45792</v>
      </c>
    </row>
    <row r="297" spans="1:11">
      <c r="A297" t="s">
        <v>131</v>
      </c>
      <c r="B297" t="s">
        <v>20</v>
      </c>
      <c r="C297" s="1">
        <v>45792</v>
      </c>
      <c r="D297" t="s">
        <v>328</v>
      </c>
      <c r="F297" t="s">
        <v>55</v>
      </c>
      <c r="G297">
        <v>825812</v>
      </c>
      <c r="H297" t="s">
        <v>124</v>
      </c>
      <c r="I297">
        <v>143</v>
      </c>
      <c r="J297" t="s">
        <v>80</v>
      </c>
      <c r="K297" s="1">
        <v>45792</v>
      </c>
    </row>
    <row r="298" spans="1:11">
      <c r="A298" t="s">
        <v>139</v>
      </c>
      <c r="B298" t="s">
        <v>20</v>
      </c>
      <c r="C298" s="1">
        <v>45792</v>
      </c>
      <c r="D298" t="s">
        <v>328</v>
      </c>
      <c r="F298" t="s">
        <v>55</v>
      </c>
      <c r="G298">
        <v>825812</v>
      </c>
      <c r="H298" t="s">
        <v>137</v>
      </c>
      <c r="I298">
        <v>1460</v>
      </c>
      <c r="J298" t="s">
        <v>138</v>
      </c>
      <c r="K298" s="1">
        <v>45792</v>
      </c>
    </row>
    <row r="299" spans="1:11">
      <c r="A299" t="s">
        <v>142</v>
      </c>
      <c r="B299" t="s">
        <v>20</v>
      </c>
      <c r="C299" s="1">
        <v>45792</v>
      </c>
      <c r="D299" t="s">
        <v>328</v>
      </c>
      <c r="F299" t="s">
        <v>55</v>
      </c>
      <c r="G299">
        <v>825812</v>
      </c>
      <c r="H299" t="s">
        <v>137</v>
      </c>
      <c r="I299">
        <v>1461</v>
      </c>
      <c r="J299" t="s">
        <v>138</v>
      </c>
      <c r="K299" s="1">
        <v>45792</v>
      </c>
    </row>
    <row r="300" spans="1:11">
      <c r="A300" t="s">
        <v>160</v>
      </c>
      <c r="B300" t="s">
        <v>9</v>
      </c>
      <c r="C300" s="1">
        <v>45792</v>
      </c>
      <c r="D300" t="s">
        <v>328</v>
      </c>
      <c r="F300" t="s">
        <v>55</v>
      </c>
      <c r="G300">
        <v>825812</v>
      </c>
      <c r="H300" t="s">
        <v>151</v>
      </c>
      <c r="I300">
        <v>22</v>
      </c>
      <c r="J300" t="s">
        <v>152</v>
      </c>
      <c r="K300" s="1">
        <v>45792</v>
      </c>
    </row>
    <row r="301" spans="1:11">
      <c r="A301" t="s">
        <v>167</v>
      </c>
      <c r="B301" t="s">
        <v>9</v>
      </c>
      <c r="C301" s="1">
        <v>45792</v>
      </c>
      <c r="D301" t="s">
        <v>328</v>
      </c>
      <c r="F301" t="s">
        <v>55</v>
      </c>
      <c r="G301">
        <v>825812</v>
      </c>
      <c r="H301" t="s">
        <v>151</v>
      </c>
      <c r="I301">
        <v>29</v>
      </c>
      <c r="J301" t="s">
        <v>152</v>
      </c>
      <c r="K301" s="1">
        <v>45792</v>
      </c>
    </row>
    <row r="302" spans="1:11">
      <c r="A302" t="s">
        <v>160</v>
      </c>
      <c r="B302" t="s">
        <v>10</v>
      </c>
      <c r="C302" s="1">
        <v>45792</v>
      </c>
      <c r="D302" t="s">
        <v>328</v>
      </c>
      <c r="F302" t="s">
        <v>55</v>
      </c>
      <c r="G302">
        <v>825812</v>
      </c>
      <c r="H302" t="s">
        <v>151</v>
      </c>
      <c r="I302">
        <v>22</v>
      </c>
      <c r="J302" t="s">
        <v>152</v>
      </c>
      <c r="K302" s="1">
        <v>45792</v>
      </c>
    </row>
    <row r="303" spans="1:11">
      <c r="A303" t="s">
        <v>167</v>
      </c>
      <c r="B303" t="s">
        <v>10</v>
      </c>
      <c r="C303" s="1">
        <v>45792</v>
      </c>
      <c r="D303" t="s">
        <v>328</v>
      </c>
      <c r="F303" t="s">
        <v>55</v>
      </c>
      <c r="G303">
        <v>825812</v>
      </c>
      <c r="H303" t="s">
        <v>151</v>
      </c>
      <c r="I303">
        <v>29</v>
      </c>
      <c r="J303" t="s">
        <v>152</v>
      </c>
      <c r="K303" s="1">
        <v>45792</v>
      </c>
    </row>
    <row r="304" spans="1:11">
      <c r="A304" t="s">
        <v>160</v>
      </c>
      <c r="B304" t="s">
        <v>60</v>
      </c>
      <c r="C304" s="1">
        <v>45792</v>
      </c>
      <c r="D304" t="s">
        <v>328</v>
      </c>
      <c r="F304" t="s">
        <v>55</v>
      </c>
      <c r="G304">
        <v>825812</v>
      </c>
      <c r="H304" t="s">
        <v>151</v>
      </c>
      <c r="I304">
        <v>22</v>
      </c>
      <c r="J304" t="s">
        <v>152</v>
      </c>
      <c r="K304" s="1">
        <v>45792</v>
      </c>
    </row>
    <row r="305" spans="1:11">
      <c r="A305" t="s">
        <v>167</v>
      </c>
      <c r="B305" t="s">
        <v>60</v>
      </c>
      <c r="C305" s="1">
        <v>45792</v>
      </c>
      <c r="D305" t="s">
        <v>328</v>
      </c>
      <c r="F305" t="s">
        <v>55</v>
      </c>
      <c r="G305">
        <v>825812</v>
      </c>
      <c r="H305" t="s">
        <v>151</v>
      </c>
      <c r="I305">
        <v>29</v>
      </c>
      <c r="J305" t="s">
        <v>152</v>
      </c>
      <c r="K305" s="1">
        <v>45792</v>
      </c>
    </row>
    <row r="306" spans="1:11">
      <c r="A306" t="s">
        <v>160</v>
      </c>
      <c r="B306" t="s">
        <v>61</v>
      </c>
      <c r="C306" s="1">
        <v>45792</v>
      </c>
      <c r="D306" t="s">
        <v>328</v>
      </c>
      <c r="F306" t="s">
        <v>55</v>
      </c>
      <c r="G306">
        <v>825812</v>
      </c>
      <c r="H306" t="s">
        <v>151</v>
      </c>
      <c r="I306">
        <v>22</v>
      </c>
      <c r="J306" t="s">
        <v>152</v>
      </c>
      <c r="K306" s="1">
        <v>45792</v>
      </c>
    </row>
    <row r="307" spans="1:11">
      <c r="A307" t="s">
        <v>167</v>
      </c>
      <c r="B307" t="s">
        <v>61</v>
      </c>
      <c r="C307" s="1">
        <v>45792</v>
      </c>
      <c r="D307" t="s">
        <v>328</v>
      </c>
      <c r="F307" t="s">
        <v>55</v>
      </c>
      <c r="G307">
        <v>825812</v>
      </c>
      <c r="H307" t="s">
        <v>151</v>
      </c>
      <c r="I307">
        <v>29</v>
      </c>
      <c r="J307" t="s">
        <v>152</v>
      </c>
      <c r="K307" s="1">
        <v>45792</v>
      </c>
    </row>
    <row r="308" spans="1:11">
      <c r="A308" t="s">
        <v>160</v>
      </c>
      <c r="B308" t="s">
        <v>153</v>
      </c>
      <c r="C308" s="1">
        <v>45792</v>
      </c>
      <c r="D308" t="s">
        <v>328</v>
      </c>
      <c r="F308" t="s">
        <v>55</v>
      </c>
      <c r="G308">
        <v>825812</v>
      </c>
      <c r="H308" t="s">
        <v>151</v>
      </c>
      <c r="I308">
        <v>22</v>
      </c>
      <c r="J308" t="s">
        <v>152</v>
      </c>
      <c r="K308" s="1">
        <v>45792</v>
      </c>
    </row>
    <row r="309" spans="1:11">
      <c r="A309" t="s">
        <v>167</v>
      </c>
      <c r="B309" t="s">
        <v>153</v>
      </c>
      <c r="C309" s="1">
        <v>45792</v>
      </c>
      <c r="D309" t="s">
        <v>328</v>
      </c>
      <c r="F309" t="s">
        <v>55</v>
      </c>
      <c r="G309">
        <v>825812</v>
      </c>
      <c r="H309" t="s">
        <v>151</v>
      </c>
      <c r="I309">
        <v>29</v>
      </c>
      <c r="J309" t="s">
        <v>152</v>
      </c>
      <c r="K309" s="1">
        <v>45792</v>
      </c>
    </row>
    <row r="310" spans="1:11">
      <c r="A310" t="s">
        <v>160</v>
      </c>
      <c r="B310" t="s">
        <v>154</v>
      </c>
      <c r="C310" s="1">
        <v>45792</v>
      </c>
      <c r="D310" t="s">
        <v>328</v>
      </c>
      <c r="F310" t="s">
        <v>55</v>
      </c>
      <c r="G310">
        <v>825812</v>
      </c>
      <c r="H310" t="s">
        <v>151</v>
      </c>
      <c r="I310">
        <v>22</v>
      </c>
      <c r="J310" t="s">
        <v>152</v>
      </c>
      <c r="K310" s="1">
        <v>45792</v>
      </c>
    </row>
    <row r="311" spans="1:11">
      <c r="A311" t="s">
        <v>167</v>
      </c>
      <c r="B311" t="s">
        <v>154</v>
      </c>
      <c r="C311" s="1">
        <v>45792</v>
      </c>
      <c r="D311" t="s">
        <v>328</v>
      </c>
      <c r="F311" t="s">
        <v>55</v>
      </c>
      <c r="G311">
        <v>825812</v>
      </c>
      <c r="H311" t="s">
        <v>151</v>
      </c>
      <c r="I311">
        <v>29</v>
      </c>
      <c r="J311" t="s">
        <v>152</v>
      </c>
      <c r="K311" s="1">
        <v>45792</v>
      </c>
    </row>
    <row r="312" spans="1:11">
      <c r="A312" t="s">
        <v>160</v>
      </c>
      <c r="B312" t="s">
        <v>18</v>
      </c>
      <c r="C312" s="1">
        <v>45792</v>
      </c>
      <c r="D312" t="s">
        <v>328</v>
      </c>
      <c r="F312" t="s">
        <v>55</v>
      </c>
      <c r="G312">
        <v>825812</v>
      </c>
      <c r="H312" t="s">
        <v>151</v>
      </c>
      <c r="I312">
        <v>22</v>
      </c>
      <c r="J312" t="s">
        <v>152</v>
      </c>
      <c r="K312" s="1">
        <v>45792</v>
      </c>
    </row>
    <row r="313" spans="1:11">
      <c r="A313" t="s">
        <v>167</v>
      </c>
      <c r="B313" t="s">
        <v>18</v>
      </c>
      <c r="C313" s="1">
        <v>45792</v>
      </c>
      <c r="D313" t="s">
        <v>328</v>
      </c>
      <c r="F313" t="s">
        <v>55</v>
      </c>
      <c r="G313">
        <v>825812</v>
      </c>
      <c r="H313" t="s">
        <v>151</v>
      </c>
      <c r="I313">
        <v>29</v>
      </c>
      <c r="J313" t="s">
        <v>152</v>
      </c>
      <c r="K313" s="1">
        <v>45792</v>
      </c>
    </row>
    <row r="314" spans="1:11">
      <c r="A314" t="s">
        <v>145</v>
      </c>
      <c r="B314" t="s">
        <v>20</v>
      </c>
      <c r="C314" s="1">
        <v>45793</v>
      </c>
      <c r="D314" t="s">
        <v>328</v>
      </c>
      <c r="F314" t="s">
        <v>55</v>
      </c>
      <c r="G314">
        <v>825812</v>
      </c>
      <c r="H314" t="s">
        <v>137</v>
      </c>
      <c r="I314">
        <v>1462</v>
      </c>
      <c r="J314" t="s">
        <v>138</v>
      </c>
      <c r="K314" s="1">
        <v>45793</v>
      </c>
    </row>
    <row r="315" spans="1:11">
      <c r="A315" t="s">
        <v>148</v>
      </c>
      <c r="B315" t="s">
        <v>20</v>
      </c>
      <c r="C315" s="1">
        <v>45793</v>
      </c>
      <c r="D315" t="s">
        <v>328</v>
      </c>
      <c r="F315" t="s">
        <v>55</v>
      </c>
      <c r="G315">
        <v>825812</v>
      </c>
      <c r="H315" t="s">
        <v>137</v>
      </c>
      <c r="I315">
        <v>1463</v>
      </c>
      <c r="J315" t="s">
        <v>138</v>
      </c>
      <c r="K315" s="1">
        <v>45793</v>
      </c>
    </row>
    <row r="316" spans="1:11">
      <c r="A316" t="s">
        <v>160</v>
      </c>
      <c r="B316" t="s">
        <v>20</v>
      </c>
      <c r="C316" s="1">
        <v>45793</v>
      </c>
      <c r="D316" t="s">
        <v>328</v>
      </c>
      <c r="F316" t="s">
        <v>55</v>
      </c>
      <c r="G316">
        <v>825812</v>
      </c>
      <c r="H316" t="s">
        <v>151</v>
      </c>
      <c r="I316">
        <v>22</v>
      </c>
      <c r="J316" t="s">
        <v>152</v>
      </c>
      <c r="K316" s="1">
        <v>45793</v>
      </c>
    </row>
    <row r="317" spans="1:11">
      <c r="A317" t="s">
        <v>167</v>
      </c>
      <c r="B317" t="s">
        <v>20</v>
      </c>
      <c r="C317" s="1">
        <v>45793</v>
      </c>
      <c r="D317" t="s">
        <v>328</v>
      </c>
      <c r="F317" t="s">
        <v>55</v>
      </c>
      <c r="G317">
        <v>825812</v>
      </c>
      <c r="H317" t="s">
        <v>151</v>
      </c>
      <c r="I317">
        <v>29</v>
      </c>
      <c r="J317" t="s">
        <v>152</v>
      </c>
      <c r="K317" s="1">
        <v>45793</v>
      </c>
    </row>
    <row r="318" spans="1:11">
      <c r="A318" t="s">
        <v>170</v>
      </c>
      <c r="B318" t="s">
        <v>20</v>
      </c>
      <c r="C318" s="1">
        <v>45793</v>
      </c>
      <c r="D318" t="s">
        <v>328</v>
      </c>
      <c r="F318" t="s">
        <v>55</v>
      </c>
      <c r="G318">
        <v>825812</v>
      </c>
      <c r="H318" t="s">
        <v>151</v>
      </c>
      <c r="I318">
        <v>30</v>
      </c>
      <c r="J318" t="s">
        <v>152</v>
      </c>
      <c r="K318" s="1">
        <v>45793</v>
      </c>
    </row>
    <row r="319" spans="1:11">
      <c r="A319" t="s">
        <v>173</v>
      </c>
      <c r="B319" t="s">
        <v>20</v>
      </c>
      <c r="C319" s="1">
        <v>45793</v>
      </c>
      <c r="D319" t="s">
        <v>328</v>
      </c>
      <c r="F319" t="s">
        <v>55</v>
      </c>
      <c r="G319">
        <v>825812</v>
      </c>
      <c r="H319" t="s">
        <v>151</v>
      </c>
      <c r="I319">
        <v>31</v>
      </c>
      <c r="J319" t="s">
        <v>152</v>
      </c>
      <c r="K319" s="1">
        <v>45793</v>
      </c>
    </row>
    <row r="320" spans="1:11">
      <c r="A320" t="s">
        <v>182</v>
      </c>
      <c r="B320" t="s">
        <v>20</v>
      </c>
      <c r="C320" s="1">
        <v>45793</v>
      </c>
      <c r="D320" t="s">
        <v>328</v>
      </c>
      <c r="F320" t="s">
        <v>55</v>
      </c>
      <c r="G320">
        <v>825812</v>
      </c>
      <c r="H320" t="s">
        <v>176</v>
      </c>
      <c r="I320">
        <v>65</v>
      </c>
      <c r="J320" t="s">
        <v>59</v>
      </c>
      <c r="K320" s="1">
        <v>45793</v>
      </c>
    </row>
    <row r="321" spans="1:11">
      <c r="A321" t="s">
        <v>188</v>
      </c>
      <c r="B321" t="s">
        <v>20</v>
      </c>
      <c r="C321" s="1">
        <v>45793</v>
      </c>
      <c r="D321" t="s">
        <v>328</v>
      </c>
      <c r="F321" t="s">
        <v>55</v>
      </c>
      <c r="G321">
        <v>825812</v>
      </c>
      <c r="H321" t="s">
        <v>176</v>
      </c>
      <c r="I321">
        <v>69</v>
      </c>
      <c r="J321" t="s">
        <v>59</v>
      </c>
      <c r="K321" s="1">
        <v>45793</v>
      </c>
    </row>
    <row r="322" spans="1:11">
      <c r="A322" t="s">
        <v>182</v>
      </c>
      <c r="B322" t="s">
        <v>18</v>
      </c>
      <c r="C322" s="1">
        <v>45793</v>
      </c>
      <c r="D322" t="s">
        <v>328</v>
      </c>
      <c r="F322" t="s">
        <v>55</v>
      </c>
      <c r="G322">
        <v>825812</v>
      </c>
      <c r="H322" t="s">
        <v>176</v>
      </c>
      <c r="I322">
        <v>65</v>
      </c>
      <c r="J322" t="s">
        <v>59</v>
      </c>
      <c r="K322" s="1">
        <v>45793</v>
      </c>
    </row>
    <row r="323" spans="1:11">
      <c r="A323" t="s">
        <v>37</v>
      </c>
      <c r="B323" t="s">
        <v>20</v>
      </c>
      <c r="C323" s="1">
        <v>45796</v>
      </c>
      <c r="D323" t="s">
        <v>328</v>
      </c>
      <c r="F323" t="s">
        <v>3</v>
      </c>
      <c r="G323">
        <v>655352</v>
      </c>
      <c r="H323" t="s">
        <v>6</v>
      </c>
      <c r="I323">
        <v>5</v>
      </c>
      <c r="K323" s="1">
        <v>45796</v>
      </c>
    </row>
    <row r="324" spans="1:11">
      <c r="A324" t="s">
        <v>40</v>
      </c>
      <c r="B324" t="s">
        <v>20</v>
      </c>
      <c r="C324" s="1">
        <v>45796</v>
      </c>
      <c r="D324" t="s">
        <v>328</v>
      </c>
      <c r="F324" t="s">
        <v>3</v>
      </c>
      <c r="G324">
        <v>655352</v>
      </c>
      <c r="H324" t="s">
        <v>6</v>
      </c>
      <c r="I324">
        <v>6</v>
      </c>
      <c r="K324" s="1">
        <v>45796</v>
      </c>
    </row>
    <row r="325" spans="1:11">
      <c r="A325" t="s">
        <v>37</v>
      </c>
      <c r="B325" t="s">
        <v>22</v>
      </c>
      <c r="C325" s="1">
        <v>45796</v>
      </c>
      <c r="D325" t="s">
        <v>328</v>
      </c>
      <c r="F325" t="s">
        <v>3</v>
      </c>
      <c r="G325">
        <v>655352</v>
      </c>
      <c r="H325" t="s">
        <v>6</v>
      </c>
      <c r="I325">
        <v>5</v>
      </c>
      <c r="K325" s="1">
        <v>45796</v>
      </c>
    </row>
    <row r="326" spans="1:11">
      <c r="A326" t="s">
        <v>40</v>
      </c>
      <c r="B326" t="s">
        <v>22</v>
      </c>
      <c r="C326" s="1">
        <v>45796</v>
      </c>
      <c r="D326" t="s">
        <v>328</v>
      </c>
      <c r="F326" t="s">
        <v>3</v>
      </c>
      <c r="G326">
        <v>655352</v>
      </c>
      <c r="H326" t="s">
        <v>6</v>
      </c>
      <c r="I326">
        <v>6</v>
      </c>
      <c r="K326" s="1">
        <v>45796</v>
      </c>
    </row>
    <row r="327" spans="1:11">
      <c r="A327" t="s">
        <v>83</v>
      </c>
      <c r="B327" t="s">
        <v>62</v>
      </c>
      <c r="C327" s="1">
        <v>45796</v>
      </c>
      <c r="D327" t="s">
        <v>328</v>
      </c>
      <c r="F327" t="s">
        <v>55</v>
      </c>
      <c r="G327">
        <v>825812</v>
      </c>
      <c r="H327" t="s">
        <v>79</v>
      </c>
      <c r="I327">
        <v>91</v>
      </c>
      <c r="J327" t="s">
        <v>80</v>
      </c>
      <c r="K327" s="1">
        <v>45796</v>
      </c>
    </row>
    <row r="328" spans="1:11">
      <c r="A328" t="s">
        <v>86</v>
      </c>
      <c r="B328" t="s">
        <v>62</v>
      </c>
      <c r="C328" s="1">
        <v>45796</v>
      </c>
      <c r="D328" t="s">
        <v>328</v>
      </c>
      <c r="F328" t="s">
        <v>55</v>
      </c>
      <c r="G328">
        <v>825812</v>
      </c>
      <c r="H328" t="s">
        <v>79</v>
      </c>
      <c r="I328">
        <v>92</v>
      </c>
      <c r="J328" t="s">
        <v>80</v>
      </c>
      <c r="K328" s="1">
        <v>45796</v>
      </c>
    </row>
    <row r="329" spans="1:11">
      <c r="A329" t="s">
        <v>128</v>
      </c>
      <c r="B329" t="s">
        <v>62</v>
      </c>
      <c r="C329" s="1">
        <v>45796</v>
      </c>
      <c r="D329" t="s">
        <v>328</v>
      </c>
      <c r="F329" t="s">
        <v>55</v>
      </c>
      <c r="G329">
        <v>825812</v>
      </c>
      <c r="H329" t="s">
        <v>124</v>
      </c>
      <c r="I329">
        <v>142</v>
      </c>
      <c r="J329" t="s">
        <v>80</v>
      </c>
      <c r="K329" s="1">
        <v>45796</v>
      </c>
    </row>
    <row r="330" spans="1:11">
      <c r="A330" t="s">
        <v>131</v>
      </c>
      <c r="B330" t="s">
        <v>62</v>
      </c>
      <c r="C330" s="1">
        <v>45796</v>
      </c>
      <c r="D330" t="s">
        <v>328</v>
      </c>
      <c r="F330" t="s">
        <v>55</v>
      </c>
      <c r="G330">
        <v>825812</v>
      </c>
      <c r="H330" t="s">
        <v>124</v>
      </c>
      <c r="I330">
        <v>143</v>
      </c>
      <c r="J330" t="s">
        <v>80</v>
      </c>
      <c r="K330" s="1">
        <v>45796</v>
      </c>
    </row>
    <row r="331" spans="1:11">
      <c r="A331" t="s">
        <v>131</v>
      </c>
      <c r="B331" t="s">
        <v>23</v>
      </c>
      <c r="C331" s="1">
        <v>45796</v>
      </c>
      <c r="D331" t="s">
        <v>328</v>
      </c>
      <c r="F331" t="s">
        <v>55</v>
      </c>
      <c r="G331">
        <v>825812</v>
      </c>
      <c r="H331" t="s">
        <v>124</v>
      </c>
      <c r="I331">
        <v>143</v>
      </c>
      <c r="J331" t="s">
        <v>80</v>
      </c>
      <c r="K331" s="1">
        <v>45796</v>
      </c>
    </row>
    <row r="332" spans="1:11">
      <c r="A332" t="s">
        <v>131</v>
      </c>
      <c r="B332" t="s">
        <v>24</v>
      </c>
      <c r="C332" s="1">
        <v>45796</v>
      </c>
      <c r="D332" t="s">
        <v>328</v>
      </c>
      <c r="F332" t="s">
        <v>55</v>
      </c>
      <c r="G332">
        <v>825812</v>
      </c>
      <c r="H332" t="s">
        <v>124</v>
      </c>
      <c r="I332">
        <v>143</v>
      </c>
      <c r="J332" t="s">
        <v>80</v>
      </c>
      <c r="K332" s="1">
        <v>45796</v>
      </c>
    </row>
    <row r="333" spans="1:11">
      <c r="A333" t="s">
        <v>173</v>
      </c>
      <c r="B333" t="s">
        <v>23</v>
      </c>
      <c r="C333" s="1">
        <v>45796</v>
      </c>
      <c r="D333" t="s">
        <v>328</v>
      </c>
      <c r="F333" t="s">
        <v>55</v>
      </c>
      <c r="G333">
        <v>825812</v>
      </c>
      <c r="H333" t="s">
        <v>151</v>
      </c>
      <c r="I333">
        <v>31</v>
      </c>
      <c r="J333" t="s">
        <v>152</v>
      </c>
      <c r="K333" s="1">
        <v>45796</v>
      </c>
    </row>
    <row r="334" spans="1:11">
      <c r="A334" t="s">
        <v>37</v>
      </c>
      <c r="B334" t="s">
        <v>25</v>
      </c>
      <c r="C334" s="1">
        <v>45797</v>
      </c>
      <c r="D334" t="s">
        <v>328</v>
      </c>
      <c r="F334" t="s">
        <v>3</v>
      </c>
      <c r="G334">
        <v>655352</v>
      </c>
      <c r="H334" t="s">
        <v>6</v>
      </c>
      <c r="I334">
        <v>5</v>
      </c>
      <c r="K334" s="1">
        <v>45797</v>
      </c>
    </row>
    <row r="335" spans="1:11">
      <c r="A335" t="s">
        <v>40</v>
      </c>
      <c r="B335" t="s">
        <v>25</v>
      </c>
      <c r="C335" s="1">
        <v>45797</v>
      </c>
      <c r="D335" t="s">
        <v>328</v>
      </c>
      <c r="F335" t="s">
        <v>3</v>
      </c>
      <c r="G335">
        <v>655352</v>
      </c>
      <c r="H335" t="s">
        <v>6</v>
      </c>
      <c r="I335">
        <v>6</v>
      </c>
      <c r="K335" s="1">
        <v>45797</v>
      </c>
    </row>
    <row r="336" spans="1:11">
      <c r="A336" t="s">
        <v>37</v>
      </c>
      <c r="B336" t="s">
        <v>27</v>
      </c>
      <c r="C336" s="1">
        <v>45797</v>
      </c>
      <c r="D336" t="s">
        <v>328</v>
      </c>
      <c r="E336" t="s">
        <v>39</v>
      </c>
      <c r="F336" t="s">
        <v>3</v>
      </c>
      <c r="G336">
        <v>655352</v>
      </c>
      <c r="H336" t="s">
        <v>6</v>
      </c>
      <c r="I336">
        <v>5</v>
      </c>
      <c r="K336" s="1">
        <v>45797</v>
      </c>
    </row>
    <row r="337" spans="1:11">
      <c r="A337" t="s">
        <v>40</v>
      </c>
      <c r="B337" t="s">
        <v>27</v>
      </c>
      <c r="C337" s="1">
        <v>45797</v>
      </c>
      <c r="D337" t="s">
        <v>328</v>
      </c>
      <c r="E337" t="s">
        <v>42</v>
      </c>
      <c r="F337" t="s">
        <v>3</v>
      </c>
      <c r="G337">
        <v>655352</v>
      </c>
      <c r="H337" t="s">
        <v>6</v>
      </c>
      <c r="I337">
        <v>6</v>
      </c>
      <c r="K337" s="1">
        <v>45797</v>
      </c>
    </row>
    <row r="338" spans="1:11">
      <c r="A338" t="s">
        <v>83</v>
      </c>
      <c r="B338" t="s">
        <v>82</v>
      </c>
      <c r="C338" s="1">
        <v>45797</v>
      </c>
      <c r="D338" t="s">
        <v>328</v>
      </c>
      <c r="F338" t="s">
        <v>55</v>
      </c>
      <c r="G338">
        <v>825812</v>
      </c>
      <c r="H338" t="s">
        <v>79</v>
      </c>
      <c r="I338">
        <v>91</v>
      </c>
      <c r="J338" t="s">
        <v>80</v>
      </c>
      <c r="K338" s="1">
        <v>45797</v>
      </c>
    </row>
    <row r="339" spans="1:11">
      <c r="A339" t="s">
        <v>86</v>
      </c>
      <c r="B339" t="s">
        <v>82</v>
      </c>
      <c r="C339" s="1">
        <v>45797</v>
      </c>
      <c r="D339" t="s">
        <v>328</v>
      </c>
      <c r="F339" t="s">
        <v>55</v>
      </c>
      <c r="G339">
        <v>825812</v>
      </c>
      <c r="H339" t="s">
        <v>79</v>
      </c>
      <c r="I339">
        <v>92</v>
      </c>
      <c r="J339" t="s">
        <v>80</v>
      </c>
      <c r="K339" s="1">
        <v>45797</v>
      </c>
    </row>
    <row r="340" spans="1:11">
      <c r="A340" t="s">
        <v>131</v>
      </c>
      <c r="B340" t="s">
        <v>25</v>
      </c>
      <c r="C340" s="1">
        <v>45797</v>
      </c>
      <c r="D340" t="s">
        <v>328</v>
      </c>
      <c r="F340" t="s">
        <v>55</v>
      </c>
      <c r="G340">
        <v>825812</v>
      </c>
      <c r="H340" t="s">
        <v>124</v>
      </c>
      <c r="I340">
        <v>143</v>
      </c>
      <c r="J340" t="s">
        <v>80</v>
      </c>
      <c r="K340" s="1">
        <v>45797</v>
      </c>
    </row>
    <row r="341" spans="1:11">
      <c r="A341" t="s">
        <v>128</v>
      </c>
      <c r="B341" t="s">
        <v>27</v>
      </c>
      <c r="C341" s="1">
        <v>45797</v>
      </c>
      <c r="D341" t="s">
        <v>328</v>
      </c>
      <c r="E341" t="s">
        <v>130</v>
      </c>
      <c r="F341" t="s">
        <v>55</v>
      </c>
      <c r="G341">
        <v>825812</v>
      </c>
      <c r="H341" t="s">
        <v>124</v>
      </c>
      <c r="I341">
        <v>142</v>
      </c>
      <c r="J341" t="s">
        <v>80</v>
      </c>
      <c r="K341" s="1">
        <v>45797</v>
      </c>
    </row>
    <row r="342" spans="1:11">
      <c r="A342" t="s">
        <v>131</v>
      </c>
      <c r="B342" t="s">
        <v>27</v>
      </c>
      <c r="C342" s="1">
        <v>45797</v>
      </c>
      <c r="D342" t="s">
        <v>328</v>
      </c>
      <c r="E342" t="s">
        <v>133</v>
      </c>
      <c r="F342" t="s">
        <v>55</v>
      </c>
      <c r="G342">
        <v>825812</v>
      </c>
      <c r="H342" t="s">
        <v>124</v>
      </c>
      <c r="I342">
        <v>143</v>
      </c>
      <c r="J342" t="s">
        <v>80</v>
      </c>
      <c r="K342" s="1">
        <v>45797</v>
      </c>
    </row>
    <row r="343" spans="1:11">
      <c r="A343" t="s">
        <v>134</v>
      </c>
      <c r="B343" t="s">
        <v>27</v>
      </c>
      <c r="C343" s="1">
        <v>45797</v>
      </c>
      <c r="D343" t="s">
        <v>328</v>
      </c>
      <c r="E343" t="s">
        <v>136</v>
      </c>
      <c r="F343" t="s">
        <v>55</v>
      </c>
      <c r="G343">
        <v>825812</v>
      </c>
      <c r="H343" t="s">
        <v>124</v>
      </c>
      <c r="I343">
        <v>144</v>
      </c>
      <c r="J343" t="s">
        <v>80</v>
      </c>
      <c r="K343" s="1">
        <v>45797</v>
      </c>
    </row>
    <row r="344" spans="1:11">
      <c r="A344" t="s">
        <v>139</v>
      </c>
      <c r="B344" t="s">
        <v>62</v>
      </c>
      <c r="C344" s="1">
        <v>45797</v>
      </c>
      <c r="D344" t="s">
        <v>328</v>
      </c>
      <c r="F344" t="s">
        <v>55</v>
      </c>
      <c r="G344">
        <v>825812</v>
      </c>
      <c r="H344" t="s">
        <v>137</v>
      </c>
      <c r="I344">
        <v>1460</v>
      </c>
      <c r="J344" t="s">
        <v>138</v>
      </c>
      <c r="K344" s="1">
        <v>45797</v>
      </c>
    </row>
    <row r="345" spans="1:11">
      <c r="A345" t="s">
        <v>142</v>
      </c>
      <c r="B345" t="s">
        <v>62</v>
      </c>
      <c r="C345" s="1">
        <v>45797</v>
      </c>
      <c r="D345" t="s">
        <v>328</v>
      </c>
      <c r="F345" t="s">
        <v>55</v>
      </c>
      <c r="G345">
        <v>825812</v>
      </c>
      <c r="H345" t="s">
        <v>137</v>
      </c>
      <c r="I345">
        <v>1461</v>
      </c>
      <c r="J345" t="s">
        <v>138</v>
      </c>
      <c r="K345" s="1">
        <v>45797</v>
      </c>
    </row>
    <row r="346" spans="1:11">
      <c r="A346" t="s">
        <v>145</v>
      </c>
      <c r="B346" t="s">
        <v>62</v>
      </c>
      <c r="C346" s="1">
        <v>45797</v>
      </c>
      <c r="D346" t="s">
        <v>328</v>
      </c>
      <c r="F346" t="s">
        <v>55</v>
      </c>
      <c r="G346">
        <v>825812</v>
      </c>
      <c r="H346" t="s">
        <v>137</v>
      </c>
      <c r="I346">
        <v>1462</v>
      </c>
      <c r="J346" t="s">
        <v>138</v>
      </c>
      <c r="K346" s="1">
        <v>45797</v>
      </c>
    </row>
    <row r="347" spans="1:11">
      <c r="A347" t="s">
        <v>148</v>
      </c>
      <c r="B347" t="s">
        <v>62</v>
      </c>
      <c r="C347" s="1">
        <v>45797</v>
      </c>
      <c r="D347" t="s">
        <v>328</v>
      </c>
      <c r="F347" t="s">
        <v>55</v>
      </c>
      <c r="G347">
        <v>825812</v>
      </c>
      <c r="H347" t="s">
        <v>137</v>
      </c>
      <c r="I347">
        <v>1463</v>
      </c>
      <c r="J347" t="s">
        <v>138</v>
      </c>
      <c r="K347" s="1">
        <v>45797</v>
      </c>
    </row>
    <row r="348" spans="1:11">
      <c r="A348" t="s">
        <v>139</v>
      </c>
      <c r="B348" t="s">
        <v>25</v>
      </c>
      <c r="C348" s="1">
        <v>45797</v>
      </c>
      <c r="D348" t="s">
        <v>328</v>
      </c>
      <c r="F348" t="s">
        <v>55</v>
      </c>
      <c r="G348">
        <v>825812</v>
      </c>
      <c r="H348" t="s">
        <v>137</v>
      </c>
      <c r="I348">
        <v>1460</v>
      </c>
      <c r="J348" t="s">
        <v>138</v>
      </c>
      <c r="K348" s="1">
        <v>45797</v>
      </c>
    </row>
    <row r="349" spans="1:11">
      <c r="A349" t="s">
        <v>142</v>
      </c>
      <c r="B349" t="s">
        <v>25</v>
      </c>
      <c r="C349" s="1">
        <v>45797</v>
      </c>
      <c r="D349" t="s">
        <v>328</v>
      </c>
      <c r="F349" t="s">
        <v>55</v>
      </c>
      <c r="G349">
        <v>825812</v>
      </c>
      <c r="H349" t="s">
        <v>137</v>
      </c>
      <c r="I349">
        <v>1461</v>
      </c>
      <c r="J349" t="s">
        <v>138</v>
      </c>
      <c r="K349" s="1">
        <v>45797</v>
      </c>
    </row>
    <row r="350" spans="1:11">
      <c r="A350" t="s">
        <v>145</v>
      </c>
      <c r="B350" t="s">
        <v>25</v>
      </c>
      <c r="C350" s="1">
        <v>45797</v>
      </c>
      <c r="D350" t="s">
        <v>328</v>
      </c>
      <c r="F350" t="s">
        <v>55</v>
      </c>
      <c r="G350">
        <v>825812</v>
      </c>
      <c r="H350" t="s">
        <v>137</v>
      </c>
      <c r="I350">
        <v>1462</v>
      </c>
      <c r="J350" t="s">
        <v>138</v>
      </c>
      <c r="K350" s="1">
        <v>45797</v>
      </c>
    </row>
    <row r="351" spans="1:11">
      <c r="A351" t="s">
        <v>148</v>
      </c>
      <c r="B351" t="s">
        <v>25</v>
      </c>
      <c r="C351" s="1">
        <v>45797</v>
      </c>
      <c r="D351" t="s">
        <v>328</v>
      </c>
      <c r="F351" t="s">
        <v>55</v>
      </c>
      <c r="G351">
        <v>825812</v>
      </c>
      <c r="H351" t="s">
        <v>137</v>
      </c>
      <c r="I351">
        <v>1463</v>
      </c>
      <c r="J351" t="s">
        <v>138</v>
      </c>
      <c r="K351" s="1">
        <v>45797</v>
      </c>
    </row>
    <row r="352" spans="1:11">
      <c r="A352" t="s">
        <v>139</v>
      </c>
      <c r="B352" t="s">
        <v>27</v>
      </c>
      <c r="C352" s="1">
        <v>45797</v>
      </c>
      <c r="D352" t="s">
        <v>328</v>
      </c>
      <c r="E352" t="s">
        <v>141</v>
      </c>
      <c r="F352" t="s">
        <v>55</v>
      </c>
      <c r="G352">
        <v>825812</v>
      </c>
      <c r="H352" t="s">
        <v>137</v>
      </c>
      <c r="I352">
        <v>1460</v>
      </c>
      <c r="J352" t="s">
        <v>138</v>
      </c>
      <c r="K352" s="1">
        <v>45797</v>
      </c>
    </row>
    <row r="353" spans="1:11">
      <c r="A353" t="s">
        <v>142</v>
      </c>
      <c r="B353" t="s">
        <v>27</v>
      </c>
      <c r="C353" s="1">
        <v>45797</v>
      </c>
      <c r="D353" t="s">
        <v>328</v>
      </c>
      <c r="E353" t="s">
        <v>144</v>
      </c>
      <c r="F353" t="s">
        <v>55</v>
      </c>
      <c r="G353">
        <v>825812</v>
      </c>
      <c r="H353" t="s">
        <v>137</v>
      </c>
      <c r="I353">
        <v>1461</v>
      </c>
      <c r="J353" t="s">
        <v>138</v>
      </c>
      <c r="K353" s="1">
        <v>45797</v>
      </c>
    </row>
    <row r="354" spans="1:11">
      <c r="A354" t="s">
        <v>145</v>
      </c>
      <c r="B354" t="s">
        <v>27</v>
      </c>
      <c r="C354" s="1">
        <v>45797</v>
      </c>
      <c r="D354" t="s">
        <v>328</v>
      </c>
      <c r="E354" t="s">
        <v>147</v>
      </c>
      <c r="F354" t="s">
        <v>55</v>
      </c>
      <c r="G354">
        <v>825812</v>
      </c>
      <c r="H354" t="s">
        <v>137</v>
      </c>
      <c r="I354">
        <v>1462</v>
      </c>
      <c r="J354" t="s">
        <v>138</v>
      </c>
      <c r="K354" s="1">
        <v>45797</v>
      </c>
    </row>
    <row r="355" spans="1:11">
      <c r="A355" t="s">
        <v>148</v>
      </c>
      <c r="B355" t="s">
        <v>27</v>
      </c>
      <c r="C355" s="1">
        <v>45797</v>
      </c>
      <c r="D355" t="s">
        <v>328</v>
      </c>
      <c r="E355" t="s">
        <v>150</v>
      </c>
      <c r="F355" t="s">
        <v>55</v>
      </c>
      <c r="G355">
        <v>825812</v>
      </c>
      <c r="H355" t="s">
        <v>137</v>
      </c>
      <c r="I355">
        <v>1463</v>
      </c>
      <c r="J355" t="s">
        <v>138</v>
      </c>
      <c r="K355" s="1">
        <v>45797</v>
      </c>
    </row>
    <row r="356" spans="1:11">
      <c r="A356" t="s">
        <v>160</v>
      </c>
      <c r="B356" t="s">
        <v>62</v>
      </c>
      <c r="C356" s="1">
        <v>45797</v>
      </c>
      <c r="D356" t="s">
        <v>328</v>
      </c>
      <c r="F356" t="s">
        <v>55</v>
      </c>
      <c r="G356">
        <v>825812</v>
      </c>
      <c r="H356" t="s">
        <v>151</v>
      </c>
      <c r="I356">
        <v>22</v>
      </c>
      <c r="J356" t="s">
        <v>152</v>
      </c>
      <c r="K356" s="1">
        <v>45797</v>
      </c>
    </row>
    <row r="357" spans="1:11">
      <c r="A357" t="s">
        <v>167</v>
      </c>
      <c r="B357" t="s">
        <v>62</v>
      </c>
      <c r="C357" s="1">
        <v>45797</v>
      </c>
      <c r="D357" t="s">
        <v>328</v>
      </c>
      <c r="F357" t="s">
        <v>55</v>
      </c>
      <c r="G357">
        <v>825812</v>
      </c>
      <c r="H357" t="s">
        <v>151</v>
      </c>
      <c r="I357">
        <v>29</v>
      </c>
      <c r="J357" t="s">
        <v>152</v>
      </c>
      <c r="K357" s="1">
        <v>45797</v>
      </c>
    </row>
    <row r="358" spans="1:11">
      <c r="A358" t="s">
        <v>170</v>
      </c>
      <c r="B358" t="s">
        <v>62</v>
      </c>
      <c r="C358" s="1">
        <v>45797</v>
      </c>
      <c r="D358" t="s">
        <v>328</v>
      </c>
      <c r="F358" t="s">
        <v>55</v>
      </c>
      <c r="G358">
        <v>825812</v>
      </c>
      <c r="H358" t="s">
        <v>151</v>
      </c>
      <c r="I358">
        <v>30</v>
      </c>
      <c r="J358" t="s">
        <v>152</v>
      </c>
      <c r="K358" s="1">
        <v>45797</v>
      </c>
    </row>
    <row r="359" spans="1:11">
      <c r="A359" t="s">
        <v>173</v>
      </c>
      <c r="B359" t="s">
        <v>62</v>
      </c>
      <c r="C359" s="1">
        <v>45797</v>
      </c>
      <c r="D359" t="s">
        <v>328</v>
      </c>
      <c r="F359" t="s">
        <v>55</v>
      </c>
      <c r="G359">
        <v>825812</v>
      </c>
      <c r="H359" t="s">
        <v>151</v>
      </c>
      <c r="I359">
        <v>31</v>
      </c>
      <c r="J359" t="s">
        <v>152</v>
      </c>
      <c r="K359" s="1">
        <v>45797</v>
      </c>
    </row>
    <row r="360" spans="1:11">
      <c r="A360" t="s">
        <v>191</v>
      </c>
      <c r="B360" t="s">
        <v>9</v>
      </c>
      <c r="C360" s="1">
        <v>45797</v>
      </c>
      <c r="D360" t="s">
        <v>328</v>
      </c>
      <c r="F360" t="s">
        <v>55</v>
      </c>
      <c r="G360">
        <v>825812</v>
      </c>
      <c r="H360" t="s">
        <v>176</v>
      </c>
      <c r="I360">
        <v>70</v>
      </c>
      <c r="J360" t="s">
        <v>59</v>
      </c>
      <c r="K360" s="1">
        <v>45797</v>
      </c>
    </row>
    <row r="361" spans="1:11">
      <c r="A361" t="s">
        <v>191</v>
      </c>
      <c r="B361" t="s">
        <v>10</v>
      </c>
      <c r="C361" s="1">
        <v>45797</v>
      </c>
      <c r="D361" t="s">
        <v>328</v>
      </c>
      <c r="F361" t="s">
        <v>55</v>
      </c>
      <c r="G361">
        <v>825812</v>
      </c>
      <c r="H361" t="s">
        <v>176</v>
      </c>
      <c r="I361">
        <v>70</v>
      </c>
      <c r="J361" t="s">
        <v>59</v>
      </c>
      <c r="K361" s="1">
        <v>45797</v>
      </c>
    </row>
    <row r="362" spans="1:11">
      <c r="A362" t="s">
        <v>191</v>
      </c>
      <c r="B362" t="s">
        <v>60</v>
      </c>
      <c r="C362" s="1">
        <v>45797</v>
      </c>
      <c r="D362" t="s">
        <v>328</v>
      </c>
      <c r="F362" t="s">
        <v>55</v>
      </c>
      <c r="G362">
        <v>825812</v>
      </c>
      <c r="H362" t="s">
        <v>176</v>
      </c>
      <c r="I362">
        <v>70</v>
      </c>
      <c r="J362" t="s">
        <v>59</v>
      </c>
      <c r="K362" s="1">
        <v>45797</v>
      </c>
    </row>
    <row r="363" spans="1:11">
      <c r="A363" t="s">
        <v>191</v>
      </c>
      <c r="B363" t="s">
        <v>61</v>
      </c>
      <c r="C363" s="1">
        <v>45797</v>
      </c>
      <c r="D363" t="s">
        <v>328</v>
      </c>
      <c r="F363" t="s">
        <v>55</v>
      </c>
      <c r="G363">
        <v>825812</v>
      </c>
      <c r="H363" t="s">
        <v>176</v>
      </c>
      <c r="I363">
        <v>70</v>
      </c>
      <c r="J363" t="s">
        <v>59</v>
      </c>
      <c r="K363" s="1">
        <v>45797</v>
      </c>
    </row>
    <row r="364" spans="1:11">
      <c r="A364" t="s">
        <v>191</v>
      </c>
      <c r="B364" t="s">
        <v>12</v>
      </c>
      <c r="C364" s="1">
        <v>45797</v>
      </c>
      <c r="D364" t="s">
        <v>328</v>
      </c>
      <c r="F364" t="s">
        <v>55</v>
      </c>
      <c r="G364">
        <v>825812</v>
      </c>
      <c r="H364" t="s">
        <v>176</v>
      </c>
      <c r="I364">
        <v>70</v>
      </c>
      <c r="J364" t="s">
        <v>59</v>
      </c>
      <c r="K364" s="1">
        <v>45797</v>
      </c>
    </row>
    <row r="365" spans="1:11">
      <c r="A365" t="s">
        <v>191</v>
      </c>
      <c r="B365" t="s">
        <v>13</v>
      </c>
      <c r="C365" s="1">
        <v>45797</v>
      </c>
      <c r="D365" t="s">
        <v>328</v>
      </c>
      <c r="F365" t="s">
        <v>55</v>
      </c>
      <c r="G365">
        <v>825812</v>
      </c>
      <c r="H365" t="s">
        <v>176</v>
      </c>
      <c r="I365">
        <v>70</v>
      </c>
      <c r="J365" t="s">
        <v>59</v>
      </c>
      <c r="K365" s="1">
        <v>45797</v>
      </c>
    </row>
    <row r="366" spans="1:11">
      <c r="A366" t="s">
        <v>191</v>
      </c>
      <c r="B366" t="s">
        <v>14</v>
      </c>
      <c r="C366" s="1">
        <v>45797</v>
      </c>
      <c r="D366" t="s">
        <v>328</v>
      </c>
      <c r="F366" t="s">
        <v>55</v>
      </c>
      <c r="G366">
        <v>825812</v>
      </c>
      <c r="H366" t="s">
        <v>176</v>
      </c>
      <c r="I366">
        <v>70</v>
      </c>
      <c r="J366" t="s">
        <v>59</v>
      </c>
      <c r="K366" s="1">
        <v>45797</v>
      </c>
    </row>
    <row r="367" spans="1:11">
      <c r="A367" t="s">
        <v>191</v>
      </c>
      <c r="B367" t="s">
        <v>15</v>
      </c>
      <c r="C367" s="1">
        <v>45797</v>
      </c>
      <c r="D367" t="s">
        <v>328</v>
      </c>
      <c r="F367" t="s">
        <v>55</v>
      </c>
      <c r="G367">
        <v>825812</v>
      </c>
      <c r="H367" t="s">
        <v>176</v>
      </c>
      <c r="I367">
        <v>70</v>
      </c>
      <c r="J367" t="s">
        <v>59</v>
      </c>
      <c r="K367" s="1">
        <v>45797</v>
      </c>
    </row>
    <row r="368" spans="1:11">
      <c r="A368" t="s">
        <v>191</v>
      </c>
      <c r="B368" t="s">
        <v>20</v>
      </c>
      <c r="C368" s="1">
        <v>45797</v>
      </c>
      <c r="D368" t="s">
        <v>328</v>
      </c>
      <c r="F368" t="s">
        <v>55</v>
      </c>
      <c r="G368">
        <v>825812</v>
      </c>
      <c r="H368" t="s">
        <v>176</v>
      </c>
      <c r="I368">
        <v>70</v>
      </c>
      <c r="J368" t="s">
        <v>59</v>
      </c>
      <c r="K368" s="1">
        <v>45797</v>
      </c>
    </row>
    <row r="369" spans="1:11">
      <c r="A369" t="s">
        <v>191</v>
      </c>
      <c r="B369" t="s">
        <v>18</v>
      </c>
      <c r="C369" s="1">
        <v>45797</v>
      </c>
      <c r="D369" t="s">
        <v>328</v>
      </c>
      <c r="F369" t="s">
        <v>55</v>
      </c>
      <c r="G369">
        <v>825812</v>
      </c>
      <c r="H369" t="s">
        <v>176</v>
      </c>
      <c r="I369">
        <v>70</v>
      </c>
      <c r="J369" t="s">
        <v>59</v>
      </c>
      <c r="K369" s="1">
        <v>45797</v>
      </c>
    </row>
    <row r="370" spans="1:11">
      <c r="A370" t="s">
        <v>182</v>
      </c>
      <c r="B370" t="s">
        <v>62</v>
      </c>
      <c r="C370" s="1">
        <v>45797</v>
      </c>
      <c r="D370" t="s">
        <v>328</v>
      </c>
      <c r="F370" t="s">
        <v>55</v>
      </c>
      <c r="G370">
        <v>825812</v>
      </c>
      <c r="H370" t="s">
        <v>176</v>
      </c>
      <c r="I370">
        <v>65</v>
      </c>
      <c r="J370" t="s">
        <v>59</v>
      </c>
      <c r="K370" s="1">
        <v>45797</v>
      </c>
    </row>
    <row r="371" spans="1:11">
      <c r="A371" t="s">
        <v>188</v>
      </c>
      <c r="B371" t="s">
        <v>62</v>
      </c>
      <c r="C371" s="1">
        <v>45797</v>
      </c>
      <c r="D371" t="s">
        <v>328</v>
      </c>
      <c r="F371" t="s">
        <v>55</v>
      </c>
      <c r="G371">
        <v>825812</v>
      </c>
      <c r="H371" t="s">
        <v>176</v>
      </c>
      <c r="I371">
        <v>69</v>
      </c>
      <c r="J371" t="s">
        <v>59</v>
      </c>
      <c r="K371" s="1">
        <v>45797</v>
      </c>
    </row>
    <row r="372" spans="1:11">
      <c r="A372" t="s">
        <v>131</v>
      </c>
      <c r="B372" t="s">
        <v>26</v>
      </c>
      <c r="C372" s="1">
        <v>45798</v>
      </c>
      <c r="D372" t="s">
        <v>328</v>
      </c>
      <c r="F372" t="s">
        <v>55</v>
      </c>
      <c r="G372">
        <v>825812</v>
      </c>
      <c r="H372" t="s">
        <v>124</v>
      </c>
      <c r="I372">
        <v>143</v>
      </c>
      <c r="J372" t="s">
        <v>80</v>
      </c>
      <c r="K372" s="1">
        <v>45798</v>
      </c>
    </row>
    <row r="373" spans="1:11">
      <c r="A373" t="s">
        <v>160</v>
      </c>
      <c r="B373" t="s">
        <v>19</v>
      </c>
      <c r="C373" s="1">
        <v>45798</v>
      </c>
      <c r="D373" t="s">
        <v>328</v>
      </c>
      <c r="F373" t="s">
        <v>55</v>
      </c>
      <c r="G373">
        <v>825812</v>
      </c>
      <c r="H373" t="s">
        <v>151</v>
      </c>
      <c r="I373">
        <v>22</v>
      </c>
      <c r="J373" t="s">
        <v>152</v>
      </c>
      <c r="K373" s="1">
        <v>45798</v>
      </c>
    </row>
    <row r="374" spans="1:11">
      <c r="A374" t="s">
        <v>167</v>
      </c>
      <c r="B374" t="s">
        <v>19</v>
      </c>
      <c r="C374" s="1">
        <v>45798</v>
      </c>
      <c r="D374" t="s">
        <v>328</v>
      </c>
      <c r="F374" t="s">
        <v>55</v>
      </c>
      <c r="G374">
        <v>825812</v>
      </c>
      <c r="H374" t="s">
        <v>151</v>
      </c>
      <c r="I374">
        <v>29</v>
      </c>
      <c r="J374" t="s">
        <v>152</v>
      </c>
      <c r="K374" s="1">
        <v>45798</v>
      </c>
    </row>
    <row r="375" spans="1:11">
      <c r="A375" t="s">
        <v>170</v>
      </c>
      <c r="B375" t="s">
        <v>25</v>
      </c>
      <c r="C375" s="1">
        <v>45798</v>
      </c>
      <c r="D375" t="s">
        <v>328</v>
      </c>
      <c r="F375" t="s">
        <v>55</v>
      </c>
      <c r="G375">
        <v>825812</v>
      </c>
      <c r="H375" t="s">
        <v>151</v>
      </c>
      <c r="I375">
        <v>30</v>
      </c>
      <c r="J375" t="s">
        <v>152</v>
      </c>
      <c r="K375" s="1">
        <v>45798</v>
      </c>
    </row>
    <row r="376" spans="1:11">
      <c r="A376" t="s">
        <v>173</v>
      </c>
      <c r="B376" t="s">
        <v>25</v>
      </c>
      <c r="C376" s="1">
        <v>45798</v>
      </c>
      <c r="D376" t="s">
        <v>328</v>
      </c>
      <c r="F376" t="s">
        <v>55</v>
      </c>
      <c r="G376">
        <v>825812</v>
      </c>
      <c r="H376" t="s">
        <v>151</v>
      </c>
      <c r="I376">
        <v>31</v>
      </c>
      <c r="J376" t="s">
        <v>152</v>
      </c>
      <c r="K376" s="1">
        <v>45798</v>
      </c>
    </row>
    <row r="377" spans="1:11">
      <c r="A377" t="s">
        <v>173</v>
      </c>
      <c r="B377" t="s">
        <v>26</v>
      </c>
      <c r="C377" s="1">
        <v>45798</v>
      </c>
      <c r="D377" t="s">
        <v>328</v>
      </c>
      <c r="F377" t="s">
        <v>55</v>
      </c>
      <c r="G377">
        <v>825812</v>
      </c>
      <c r="H377" t="s">
        <v>151</v>
      </c>
      <c r="I377">
        <v>31</v>
      </c>
      <c r="J377" t="s">
        <v>152</v>
      </c>
      <c r="K377" s="1">
        <v>45798</v>
      </c>
    </row>
    <row r="378" spans="1:11">
      <c r="A378" t="s">
        <v>170</v>
      </c>
      <c r="B378" t="s">
        <v>27</v>
      </c>
      <c r="C378" s="1">
        <v>45798</v>
      </c>
      <c r="D378" t="s">
        <v>328</v>
      </c>
      <c r="E378" t="s">
        <v>172</v>
      </c>
      <c r="F378" t="s">
        <v>55</v>
      </c>
      <c r="G378">
        <v>825812</v>
      </c>
      <c r="H378" t="s">
        <v>151</v>
      </c>
      <c r="I378">
        <v>30</v>
      </c>
      <c r="J378" t="s">
        <v>152</v>
      </c>
      <c r="K378" s="1">
        <v>45798</v>
      </c>
    </row>
    <row r="379" spans="1:11">
      <c r="A379" t="s">
        <v>173</v>
      </c>
      <c r="B379" t="s">
        <v>27</v>
      </c>
      <c r="C379" s="1">
        <v>45798</v>
      </c>
      <c r="D379" t="s">
        <v>328</v>
      </c>
      <c r="E379" t="s">
        <v>175</v>
      </c>
      <c r="F379" t="s">
        <v>55</v>
      </c>
      <c r="G379">
        <v>825812</v>
      </c>
      <c r="H379" t="s">
        <v>151</v>
      </c>
      <c r="I379">
        <v>31</v>
      </c>
      <c r="J379" t="s">
        <v>152</v>
      </c>
      <c r="K379" s="1">
        <v>45798</v>
      </c>
    </row>
    <row r="380" spans="1:11">
      <c r="A380" t="s">
        <v>191</v>
      </c>
      <c r="B380" t="s">
        <v>19</v>
      </c>
      <c r="C380" s="1">
        <v>45798</v>
      </c>
      <c r="D380" t="s">
        <v>328</v>
      </c>
      <c r="F380" t="s">
        <v>55</v>
      </c>
      <c r="G380">
        <v>825812</v>
      </c>
      <c r="H380" t="s">
        <v>176</v>
      </c>
      <c r="I380">
        <v>70</v>
      </c>
      <c r="J380" t="s">
        <v>59</v>
      </c>
      <c r="K380" s="1">
        <v>45798</v>
      </c>
    </row>
    <row r="381" spans="1:11">
      <c r="A381" t="s">
        <v>191</v>
      </c>
      <c r="B381" t="s">
        <v>62</v>
      </c>
      <c r="C381" s="1">
        <v>45798</v>
      </c>
      <c r="D381" t="s">
        <v>328</v>
      </c>
      <c r="F381" t="s">
        <v>55</v>
      </c>
      <c r="G381">
        <v>825812</v>
      </c>
      <c r="H381" t="s">
        <v>176</v>
      </c>
      <c r="I381">
        <v>70</v>
      </c>
      <c r="J381" t="s">
        <v>59</v>
      </c>
      <c r="K381" s="1">
        <v>45798</v>
      </c>
    </row>
    <row r="382" spans="1:11">
      <c r="A382" t="s">
        <v>63</v>
      </c>
      <c r="B382" t="s">
        <v>9</v>
      </c>
      <c r="C382" s="1">
        <v>45799</v>
      </c>
      <c r="D382" t="s">
        <v>328</v>
      </c>
      <c r="F382" t="s">
        <v>55</v>
      </c>
      <c r="G382">
        <v>825812</v>
      </c>
      <c r="H382" t="s">
        <v>58</v>
      </c>
      <c r="I382">
        <v>33</v>
      </c>
      <c r="J382" t="s">
        <v>59</v>
      </c>
      <c r="K382" s="1">
        <v>45799</v>
      </c>
    </row>
    <row r="383" spans="1:11">
      <c r="A383" t="s">
        <v>63</v>
      </c>
      <c r="B383" t="s">
        <v>10</v>
      </c>
      <c r="C383" s="1">
        <v>45799</v>
      </c>
      <c r="D383" t="s">
        <v>328</v>
      </c>
      <c r="F383" t="s">
        <v>55</v>
      </c>
      <c r="G383">
        <v>825812</v>
      </c>
      <c r="H383" t="s">
        <v>58</v>
      </c>
      <c r="I383">
        <v>33</v>
      </c>
      <c r="J383" t="s">
        <v>59</v>
      </c>
      <c r="K383" s="1">
        <v>45799</v>
      </c>
    </row>
    <row r="384" spans="1:11">
      <c r="A384" t="s">
        <v>63</v>
      </c>
      <c r="B384" t="s">
        <v>60</v>
      </c>
      <c r="C384" s="1">
        <v>45799</v>
      </c>
      <c r="D384" t="s">
        <v>328</v>
      </c>
      <c r="F384" t="s">
        <v>55</v>
      </c>
      <c r="G384">
        <v>825812</v>
      </c>
      <c r="H384" t="s">
        <v>58</v>
      </c>
      <c r="I384">
        <v>33</v>
      </c>
      <c r="J384" t="s">
        <v>59</v>
      </c>
      <c r="K384" s="1">
        <v>45799</v>
      </c>
    </row>
    <row r="385" spans="1:11">
      <c r="A385" t="s">
        <v>63</v>
      </c>
      <c r="B385" t="s">
        <v>61</v>
      </c>
      <c r="C385" s="1">
        <v>45799</v>
      </c>
      <c r="D385" t="s">
        <v>328</v>
      </c>
      <c r="F385" t="s">
        <v>55</v>
      </c>
      <c r="G385">
        <v>825812</v>
      </c>
      <c r="H385" t="s">
        <v>58</v>
      </c>
      <c r="I385">
        <v>33</v>
      </c>
      <c r="J385" t="s">
        <v>59</v>
      </c>
      <c r="K385" s="1">
        <v>45799</v>
      </c>
    </row>
    <row r="386" spans="1:11">
      <c r="A386" t="s">
        <v>63</v>
      </c>
      <c r="B386" t="s">
        <v>12</v>
      </c>
      <c r="C386" s="1">
        <v>45799</v>
      </c>
      <c r="D386" t="s">
        <v>328</v>
      </c>
      <c r="F386" t="s">
        <v>55</v>
      </c>
      <c r="G386">
        <v>825812</v>
      </c>
      <c r="H386" t="s">
        <v>58</v>
      </c>
      <c r="I386">
        <v>33</v>
      </c>
      <c r="J386" t="s">
        <v>59</v>
      </c>
      <c r="K386" s="1">
        <v>45799</v>
      </c>
    </row>
    <row r="387" spans="1:11">
      <c r="A387" t="s">
        <v>63</v>
      </c>
      <c r="B387" t="s">
        <v>13</v>
      </c>
      <c r="C387" s="1">
        <v>45799</v>
      </c>
      <c r="D387" t="s">
        <v>328</v>
      </c>
      <c r="F387" t="s">
        <v>55</v>
      </c>
      <c r="G387">
        <v>825812</v>
      </c>
      <c r="H387" t="s">
        <v>58</v>
      </c>
      <c r="I387">
        <v>33</v>
      </c>
      <c r="J387" t="s">
        <v>59</v>
      </c>
      <c r="K387" s="1">
        <v>45799</v>
      </c>
    </row>
    <row r="388" spans="1:11">
      <c r="A388" t="s">
        <v>63</v>
      </c>
      <c r="B388" t="s">
        <v>14</v>
      </c>
      <c r="C388" s="1">
        <v>45799</v>
      </c>
      <c r="D388" t="s">
        <v>328</v>
      </c>
      <c r="F388" t="s">
        <v>55</v>
      </c>
      <c r="G388">
        <v>825812</v>
      </c>
      <c r="H388" t="s">
        <v>58</v>
      </c>
      <c r="I388">
        <v>33</v>
      </c>
      <c r="J388" t="s">
        <v>59</v>
      </c>
      <c r="K388" s="1">
        <v>45799</v>
      </c>
    </row>
    <row r="389" spans="1:11">
      <c r="A389" t="s">
        <v>63</v>
      </c>
      <c r="B389" t="s">
        <v>15</v>
      </c>
      <c r="C389" s="1">
        <v>45799</v>
      </c>
      <c r="D389" t="s">
        <v>328</v>
      </c>
      <c r="F389" t="s">
        <v>55</v>
      </c>
      <c r="G389">
        <v>825812</v>
      </c>
      <c r="H389" t="s">
        <v>58</v>
      </c>
      <c r="I389">
        <v>33</v>
      </c>
      <c r="J389" t="s">
        <v>59</v>
      </c>
      <c r="K389" s="1">
        <v>45799</v>
      </c>
    </row>
    <row r="390" spans="1:11">
      <c r="A390" t="s">
        <v>63</v>
      </c>
      <c r="B390" t="s">
        <v>20</v>
      </c>
      <c r="C390" s="1">
        <v>45799</v>
      </c>
      <c r="D390" t="s">
        <v>328</v>
      </c>
      <c r="F390" t="s">
        <v>55</v>
      </c>
      <c r="G390">
        <v>825812</v>
      </c>
      <c r="H390" t="s">
        <v>58</v>
      </c>
      <c r="I390">
        <v>33</v>
      </c>
      <c r="J390" t="s">
        <v>59</v>
      </c>
      <c r="K390" s="1">
        <v>45799</v>
      </c>
    </row>
    <row r="391" spans="1:11">
      <c r="A391" t="s">
        <v>63</v>
      </c>
      <c r="B391" t="s">
        <v>18</v>
      </c>
      <c r="C391" s="1">
        <v>45799</v>
      </c>
      <c r="D391" t="s">
        <v>328</v>
      </c>
      <c r="F391" t="s">
        <v>55</v>
      </c>
      <c r="G391">
        <v>825812</v>
      </c>
      <c r="H391" t="s">
        <v>58</v>
      </c>
      <c r="I391">
        <v>33</v>
      </c>
      <c r="J391" t="s">
        <v>59</v>
      </c>
      <c r="K391" s="1">
        <v>45799</v>
      </c>
    </row>
    <row r="392" spans="1:11">
      <c r="A392" t="s">
        <v>63</v>
      </c>
      <c r="B392" t="s">
        <v>19</v>
      </c>
      <c r="C392" s="1">
        <v>45799</v>
      </c>
      <c r="D392" t="s">
        <v>328</v>
      </c>
      <c r="F392" t="s">
        <v>55</v>
      </c>
      <c r="G392">
        <v>825812</v>
      </c>
      <c r="H392" t="s">
        <v>58</v>
      </c>
      <c r="I392">
        <v>33</v>
      </c>
      <c r="J392" t="s">
        <v>59</v>
      </c>
      <c r="K392" s="1">
        <v>45799</v>
      </c>
    </row>
    <row r="393" spans="1:11">
      <c r="A393" t="s">
        <v>134</v>
      </c>
      <c r="B393" t="s">
        <v>26</v>
      </c>
      <c r="C393" s="1">
        <v>45799</v>
      </c>
      <c r="D393" t="s">
        <v>328</v>
      </c>
      <c r="F393" t="s">
        <v>55</v>
      </c>
      <c r="G393">
        <v>825812</v>
      </c>
      <c r="H393" t="s">
        <v>124</v>
      </c>
      <c r="I393">
        <v>144</v>
      </c>
      <c r="J393" t="s">
        <v>80</v>
      </c>
      <c r="K393" s="1">
        <v>45799</v>
      </c>
    </row>
    <row r="394" spans="1:11">
      <c r="A394" t="s">
        <v>160</v>
      </c>
      <c r="B394" t="s">
        <v>25</v>
      </c>
      <c r="C394" s="1">
        <v>45799</v>
      </c>
      <c r="D394" t="s">
        <v>328</v>
      </c>
      <c r="F394" t="s">
        <v>55</v>
      </c>
      <c r="G394">
        <v>825812</v>
      </c>
      <c r="H394" t="s">
        <v>151</v>
      </c>
      <c r="I394">
        <v>22</v>
      </c>
      <c r="J394" t="s">
        <v>152</v>
      </c>
      <c r="K394" s="1">
        <v>45799</v>
      </c>
    </row>
    <row r="395" spans="1:11">
      <c r="A395" t="s">
        <v>167</v>
      </c>
      <c r="B395" t="s">
        <v>25</v>
      </c>
      <c r="C395" s="1">
        <v>45799</v>
      </c>
      <c r="D395" t="s">
        <v>328</v>
      </c>
      <c r="F395" t="s">
        <v>55</v>
      </c>
      <c r="G395">
        <v>825812</v>
      </c>
      <c r="H395" t="s">
        <v>151</v>
      </c>
      <c r="I395">
        <v>29</v>
      </c>
      <c r="J395" t="s">
        <v>152</v>
      </c>
      <c r="K395" s="1">
        <v>45799</v>
      </c>
    </row>
    <row r="396" spans="1:11">
      <c r="A396" t="s">
        <v>160</v>
      </c>
      <c r="B396" t="s">
        <v>27</v>
      </c>
      <c r="C396" s="1">
        <v>45799</v>
      </c>
      <c r="D396" t="s">
        <v>328</v>
      </c>
      <c r="E396" t="s">
        <v>162</v>
      </c>
      <c r="F396" t="s">
        <v>55</v>
      </c>
      <c r="G396">
        <v>825812</v>
      </c>
      <c r="H396" t="s">
        <v>151</v>
      </c>
      <c r="I396">
        <v>22</v>
      </c>
      <c r="J396" t="s">
        <v>152</v>
      </c>
      <c r="K396" s="1">
        <v>45799</v>
      </c>
    </row>
    <row r="397" spans="1:11">
      <c r="A397" t="s">
        <v>167</v>
      </c>
      <c r="B397" t="s">
        <v>27</v>
      </c>
      <c r="C397" s="1">
        <v>45799</v>
      </c>
      <c r="D397" t="s">
        <v>328</v>
      </c>
      <c r="E397" t="s">
        <v>169</v>
      </c>
      <c r="F397" t="s">
        <v>55</v>
      </c>
      <c r="G397">
        <v>825812</v>
      </c>
      <c r="H397" t="s">
        <v>151</v>
      </c>
      <c r="I397">
        <v>29</v>
      </c>
      <c r="J397" t="s">
        <v>152</v>
      </c>
      <c r="K397" s="1">
        <v>45799</v>
      </c>
    </row>
    <row r="398" spans="1:11">
      <c r="A398" t="s">
        <v>63</v>
      </c>
      <c r="B398" t="s">
        <v>25</v>
      </c>
      <c r="C398" s="1">
        <v>45800</v>
      </c>
      <c r="D398" t="s">
        <v>328</v>
      </c>
      <c r="F398" t="s">
        <v>55</v>
      </c>
      <c r="G398">
        <v>825812</v>
      </c>
      <c r="H398" t="s">
        <v>58</v>
      </c>
      <c r="I398">
        <v>33</v>
      </c>
      <c r="J398" t="s">
        <v>59</v>
      </c>
      <c r="K398" s="1">
        <v>45800</v>
      </c>
    </row>
    <row r="399" spans="1:11">
      <c r="A399" t="s">
        <v>83</v>
      </c>
      <c r="B399" t="s">
        <v>19</v>
      </c>
      <c r="C399" s="1">
        <v>45800</v>
      </c>
      <c r="D399" t="s">
        <v>328</v>
      </c>
      <c r="F399" t="s">
        <v>55</v>
      </c>
      <c r="G399">
        <v>825812</v>
      </c>
      <c r="H399" t="s">
        <v>79</v>
      </c>
      <c r="I399">
        <v>91</v>
      </c>
      <c r="J399" t="s">
        <v>80</v>
      </c>
      <c r="K399" s="1">
        <v>45800</v>
      </c>
    </row>
    <row r="400" spans="1:11">
      <c r="A400" t="s">
        <v>86</v>
      </c>
      <c r="B400" t="s">
        <v>19</v>
      </c>
      <c r="C400" s="1">
        <v>45800</v>
      </c>
      <c r="D400" t="s">
        <v>328</v>
      </c>
      <c r="F400" t="s">
        <v>55</v>
      </c>
      <c r="G400">
        <v>825812</v>
      </c>
      <c r="H400" t="s">
        <v>79</v>
      </c>
      <c r="I400">
        <v>92</v>
      </c>
      <c r="J400" t="s">
        <v>80</v>
      </c>
      <c r="K400" s="1">
        <v>45800</v>
      </c>
    </row>
    <row r="401" spans="1:11">
      <c r="A401" t="s">
        <v>131</v>
      </c>
      <c r="B401" t="s">
        <v>21</v>
      </c>
      <c r="C401" s="1">
        <v>45800</v>
      </c>
      <c r="D401" t="s">
        <v>328</v>
      </c>
      <c r="F401" t="s">
        <v>55</v>
      </c>
      <c r="G401">
        <v>825812</v>
      </c>
      <c r="H401" t="s">
        <v>124</v>
      </c>
      <c r="I401">
        <v>143</v>
      </c>
      <c r="J401" t="s">
        <v>80</v>
      </c>
      <c r="K401" s="1">
        <v>45800</v>
      </c>
    </row>
    <row r="402" spans="1:11">
      <c r="A402" t="s">
        <v>173</v>
      </c>
      <c r="B402" t="s">
        <v>21</v>
      </c>
      <c r="C402" s="1">
        <v>45800</v>
      </c>
      <c r="D402" t="s">
        <v>328</v>
      </c>
      <c r="F402" t="s">
        <v>55</v>
      </c>
      <c r="G402">
        <v>825812</v>
      </c>
      <c r="H402" t="s">
        <v>151</v>
      </c>
      <c r="I402">
        <v>31</v>
      </c>
      <c r="J402" t="s">
        <v>152</v>
      </c>
      <c r="K402" s="1">
        <v>45800</v>
      </c>
    </row>
    <row r="403" spans="1:11">
      <c r="A403" t="s">
        <v>40</v>
      </c>
      <c r="B403" t="s">
        <v>21</v>
      </c>
      <c r="C403" s="1">
        <v>45804</v>
      </c>
      <c r="D403" t="s">
        <v>328</v>
      </c>
      <c r="F403" t="s">
        <v>3</v>
      </c>
      <c r="G403">
        <v>655352</v>
      </c>
      <c r="H403" t="s">
        <v>6</v>
      </c>
      <c r="I403">
        <v>6</v>
      </c>
      <c r="K403" s="1">
        <v>45804</v>
      </c>
    </row>
    <row r="404" spans="1:11">
      <c r="A404" t="s">
        <v>37</v>
      </c>
      <c r="B404" t="s">
        <v>23</v>
      </c>
      <c r="C404" s="1">
        <v>45804</v>
      </c>
      <c r="D404" t="s">
        <v>328</v>
      </c>
      <c r="F404" t="s">
        <v>3</v>
      </c>
      <c r="G404">
        <v>655352</v>
      </c>
      <c r="H404" t="s">
        <v>6</v>
      </c>
      <c r="I404">
        <v>5</v>
      </c>
      <c r="K404" s="1">
        <v>45804</v>
      </c>
    </row>
    <row r="405" spans="1:11">
      <c r="A405" t="s">
        <v>40</v>
      </c>
      <c r="B405" t="s">
        <v>23</v>
      </c>
      <c r="C405" s="1">
        <v>45804</v>
      </c>
      <c r="D405" t="s">
        <v>328</v>
      </c>
      <c r="F405" t="s">
        <v>3</v>
      </c>
      <c r="G405">
        <v>655352</v>
      </c>
      <c r="H405" t="s">
        <v>6</v>
      </c>
      <c r="I405">
        <v>6</v>
      </c>
      <c r="K405" s="1">
        <v>45804</v>
      </c>
    </row>
    <row r="406" spans="1:11">
      <c r="A406" t="s">
        <v>83</v>
      </c>
      <c r="B406" t="s">
        <v>23</v>
      </c>
      <c r="C406" s="1">
        <v>45804</v>
      </c>
      <c r="D406" t="s">
        <v>328</v>
      </c>
      <c r="F406" t="s">
        <v>55</v>
      </c>
      <c r="G406">
        <v>825812</v>
      </c>
      <c r="H406" t="s">
        <v>79</v>
      </c>
      <c r="I406">
        <v>91</v>
      </c>
      <c r="J406" t="s">
        <v>80</v>
      </c>
      <c r="K406" s="1">
        <v>45804</v>
      </c>
    </row>
    <row r="407" spans="1:11">
      <c r="A407" t="s">
        <v>170</v>
      </c>
      <c r="B407" t="s">
        <v>23</v>
      </c>
      <c r="C407" s="1">
        <v>45804</v>
      </c>
      <c r="D407" t="s">
        <v>328</v>
      </c>
      <c r="F407" t="s">
        <v>55</v>
      </c>
      <c r="G407">
        <v>825812</v>
      </c>
      <c r="H407" t="s">
        <v>151</v>
      </c>
      <c r="I407">
        <v>30</v>
      </c>
      <c r="J407" t="s">
        <v>152</v>
      </c>
      <c r="K407" s="1">
        <v>45804</v>
      </c>
    </row>
    <row r="408" spans="1:11">
      <c r="A408" t="s">
        <v>37</v>
      </c>
      <c r="B408" t="s">
        <v>21</v>
      </c>
      <c r="C408" s="1">
        <v>45805</v>
      </c>
      <c r="D408" t="s">
        <v>328</v>
      </c>
      <c r="F408" t="s">
        <v>3</v>
      </c>
      <c r="G408">
        <v>655352</v>
      </c>
      <c r="H408" t="s">
        <v>6</v>
      </c>
      <c r="I408">
        <v>5</v>
      </c>
      <c r="K408" s="1">
        <v>45805</v>
      </c>
    </row>
    <row r="409" spans="1:11">
      <c r="A409" t="s">
        <v>43</v>
      </c>
      <c r="B409" t="s">
        <v>27</v>
      </c>
      <c r="C409" s="1">
        <v>45805</v>
      </c>
      <c r="D409" t="s">
        <v>328</v>
      </c>
      <c r="E409" t="s">
        <v>45</v>
      </c>
      <c r="F409" t="s">
        <v>3</v>
      </c>
      <c r="G409">
        <v>655352</v>
      </c>
      <c r="H409" t="s">
        <v>6</v>
      </c>
      <c r="I409">
        <v>8</v>
      </c>
      <c r="K409" s="1">
        <v>45805</v>
      </c>
    </row>
    <row r="410" spans="1:11">
      <c r="A410" t="s">
        <v>83</v>
      </c>
      <c r="B410" t="s">
        <v>71</v>
      </c>
      <c r="C410" s="1">
        <v>45805</v>
      </c>
      <c r="D410" t="s">
        <v>328</v>
      </c>
      <c r="F410" t="s">
        <v>55</v>
      </c>
      <c r="G410">
        <v>825812</v>
      </c>
      <c r="H410" t="s">
        <v>79</v>
      </c>
      <c r="I410">
        <v>91</v>
      </c>
      <c r="J410" t="s">
        <v>80</v>
      </c>
      <c r="K410" s="1">
        <v>45805</v>
      </c>
    </row>
    <row r="411" spans="1:11">
      <c r="A411" t="s">
        <v>83</v>
      </c>
      <c r="B411" t="s">
        <v>72</v>
      </c>
      <c r="C411" s="1">
        <v>45805</v>
      </c>
      <c r="D411" t="s">
        <v>328</v>
      </c>
      <c r="E411" t="s">
        <v>85</v>
      </c>
      <c r="F411" t="s">
        <v>55</v>
      </c>
      <c r="G411">
        <v>825812</v>
      </c>
      <c r="H411" t="s">
        <v>79</v>
      </c>
      <c r="I411">
        <v>91</v>
      </c>
      <c r="J411" t="s">
        <v>80</v>
      </c>
      <c r="K411" s="1">
        <v>45805</v>
      </c>
    </row>
    <row r="412" spans="1:11">
      <c r="A412" t="s">
        <v>188</v>
      </c>
      <c r="B412" t="s">
        <v>23</v>
      </c>
      <c r="C412" s="1">
        <v>45805</v>
      </c>
      <c r="D412" t="s">
        <v>328</v>
      </c>
      <c r="F412" t="s">
        <v>55</v>
      </c>
      <c r="G412">
        <v>825812</v>
      </c>
      <c r="H412" t="s">
        <v>176</v>
      </c>
      <c r="I412">
        <v>69</v>
      </c>
      <c r="J412" t="s">
        <v>59</v>
      </c>
      <c r="K412" s="1">
        <v>45805</v>
      </c>
    </row>
    <row r="413" spans="1:11">
      <c r="A413" t="s">
        <v>86</v>
      </c>
      <c r="B413" t="s">
        <v>72</v>
      </c>
      <c r="C413" s="1">
        <v>45806</v>
      </c>
      <c r="D413" t="s">
        <v>328</v>
      </c>
      <c r="E413" t="s">
        <v>88</v>
      </c>
      <c r="F413" t="s">
        <v>55</v>
      </c>
      <c r="G413">
        <v>825812</v>
      </c>
      <c r="H413" t="s">
        <v>79</v>
      </c>
      <c r="I413">
        <v>92</v>
      </c>
      <c r="J413" t="s">
        <v>80</v>
      </c>
      <c r="K413" s="1">
        <v>45806</v>
      </c>
    </row>
    <row r="414" spans="1:11">
      <c r="A414" t="s">
        <v>188</v>
      </c>
      <c r="B414" t="s">
        <v>21</v>
      </c>
      <c r="C414" s="1">
        <v>45806</v>
      </c>
      <c r="D414" t="s">
        <v>328</v>
      </c>
      <c r="F414" t="s">
        <v>55</v>
      </c>
      <c r="G414">
        <v>825812</v>
      </c>
      <c r="H414" t="s">
        <v>176</v>
      </c>
      <c r="I414">
        <v>69</v>
      </c>
      <c r="J414" t="s">
        <v>59</v>
      </c>
      <c r="K414" s="1">
        <v>45806</v>
      </c>
    </row>
    <row r="415" spans="1:11">
      <c r="A415" t="s">
        <v>63</v>
      </c>
      <c r="B415" t="s">
        <v>62</v>
      </c>
      <c r="C415" s="1">
        <v>45807</v>
      </c>
      <c r="D415" t="s">
        <v>328</v>
      </c>
      <c r="F415" t="s">
        <v>55</v>
      </c>
      <c r="G415">
        <v>825812</v>
      </c>
      <c r="H415" t="s">
        <v>58</v>
      </c>
      <c r="I415">
        <v>33</v>
      </c>
      <c r="J415" t="s">
        <v>59</v>
      </c>
      <c r="K415" s="1">
        <v>45807</v>
      </c>
    </row>
    <row r="416" spans="1:11">
      <c r="A416" t="s">
        <v>86</v>
      </c>
      <c r="B416" t="s">
        <v>23</v>
      </c>
      <c r="C416" s="1">
        <v>45807</v>
      </c>
      <c r="D416" t="s">
        <v>328</v>
      </c>
      <c r="F416" t="s">
        <v>55</v>
      </c>
      <c r="G416">
        <v>825812</v>
      </c>
      <c r="H416" t="s">
        <v>79</v>
      </c>
      <c r="I416">
        <v>92</v>
      </c>
      <c r="J416" t="s">
        <v>80</v>
      </c>
      <c r="K416" s="1">
        <v>45807</v>
      </c>
    </row>
    <row r="417" spans="1:11">
      <c r="A417" t="s">
        <v>170</v>
      </c>
      <c r="B417" t="s">
        <v>21</v>
      </c>
      <c r="C417" s="1">
        <v>45807</v>
      </c>
      <c r="D417" t="s">
        <v>328</v>
      </c>
      <c r="F417" t="s">
        <v>55</v>
      </c>
      <c r="G417">
        <v>825812</v>
      </c>
      <c r="H417" t="s">
        <v>151</v>
      </c>
      <c r="I417">
        <v>30</v>
      </c>
      <c r="J417" t="s">
        <v>152</v>
      </c>
      <c r="K417" s="1">
        <v>45807</v>
      </c>
    </row>
    <row r="418" spans="1:11">
      <c r="A418" t="s">
        <v>83</v>
      </c>
      <c r="B418" t="s">
        <v>21</v>
      </c>
      <c r="C418" s="1">
        <v>45810</v>
      </c>
      <c r="D418" t="s">
        <v>328</v>
      </c>
      <c r="F418" t="s">
        <v>55</v>
      </c>
      <c r="G418">
        <v>825812</v>
      </c>
      <c r="H418" t="s">
        <v>79</v>
      </c>
      <c r="I418">
        <v>91</v>
      </c>
      <c r="J418" t="s">
        <v>80</v>
      </c>
      <c r="K418" s="1">
        <v>45810</v>
      </c>
    </row>
    <row r="419" spans="1:11">
      <c r="A419" t="s">
        <v>83</v>
      </c>
      <c r="B419" t="s">
        <v>24</v>
      </c>
      <c r="C419" s="1">
        <v>45810</v>
      </c>
      <c r="D419" t="s">
        <v>328</v>
      </c>
      <c r="F419" t="s">
        <v>55</v>
      </c>
      <c r="G419">
        <v>825812</v>
      </c>
      <c r="H419" t="s">
        <v>79</v>
      </c>
      <c r="I419">
        <v>91</v>
      </c>
      <c r="J419" t="s">
        <v>80</v>
      </c>
      <c r="K419" s="1">
        <v>45810</v>
      </c>
    </row>
    <row r="420" spans="1:11">
      <c r="A420" t="s">
        <v>128</v>
      </c>
      <c r="B420" t="s">
        <v>23</v>
      </c>
      <c r="C420" s="1">
        <v>45810</v>
      </c>
      <c r="D420" t="s">
        <v>328</v>
      </c>
      <c r="F420" t="s">
        <v>55</v>
      </c>
      <c r="G420">
        <v>825812</v>
      </c>
      <c r="H420" t="s">
        <v>124</v>
      </c>
      <c r="I420">
        <v>142</v>
      </c>
      <c r="J420" t="s">
        <v>80</v>
      </c>
      <c r="K420" s="1">
        <v>45810</v>
      </c>
    </row>
    <row r="421" spans="1:11">
      <c r="A421" t="s">
        <v>128</v>
      </c>
      <c r="B421" t="s">
        <v>24</v>
      </c>
      <c r="C421" s="1">
        <v>45810</v>
      </c>
      <c r="D421" t="s">
        <v>328</v>
      </c>
      <c r="F421" t="s">
        <v>55</v>
      </c>
      <c r="G421">
        <v>825812</v>
      </c>
      <c r="H421" t="s">
        <v>124</v>
      </c>
      <c r="I421">
        <v>142</v>
      </c>
      <c r="J421" t="s">
        <v>80</v>
      </c>
      <c r="K421" s="1">
        <v>45810</v>
      </c>
    </row>
    <row r="422" spans="1:11">
      <c r="A422" t="s">
        <v>182</v>
      </c>
      <c r="B422" t="s">
        <v>19</v>
      </c>
      <c r="C422" s="1">
        <v>45810</v>
      </c>
      <c r="D422" t="s">
        <v>328</v>
      </c>
      <c r="F422" t="s">
        <v>55</v>
      </c>
      <c r="G422">
        <v>825812</v>
      </c>
      <c r="H422" t="s">
        <v>176</v>
      </c>
      <c r="I422">
        <v>65</v>
      </c>
      <c r="J422" t="s">
        <v>59</v>
      </c>
      <c r="K422" s="1">
        <v>45810</v>
      </c>
    </row>
    <row r="423" spans="1:11">
      <c r="A423" t="s">
        <v>43</v>
      </c>
      <c r="B423" t="s">
        <v>9</v>
      </c>
      <c r="C423" s="1">
        <v>45812</v>
      </c>
      <c r="D423" t="s">
        <v>328</v>
      </c>
      <c r="F423" t="s">
        <v>3</v>
      </c>
      <c r="G423">
        <v>655352</v>
      </c>
      <c r="H423" t="s">
        <v>6</v>
      </c>
      <c r="I423">
        <v>8</v>
      </c>
      <c r="K423" s="1">
        <v>45812</v>
      </c>
    </row>
    <row r="424" spans="1:11">
      <c r="A424" t="s">
        <v>46</v>
      </c>
      <c r="B424" t="s">
        <v>9</v>
      </c>
      <c r="C424" s="1">
        <v>45812</v>
      </c>
      <c r="D424" t="s">
        <v>328</v>
      </c>
      <c r="F424" t="s">
        <v>3</v>
      </c>
      <c r="G424">
        <v>655352</v>
      </c>
      <c r="H424" t="s">
        <v>6</v>
      </c>
      <c r="I424">
        <v>9</v>
      </c>
      <c r="K424" s="1">
        <v>45812</v>
      </c>
    </row>
    <row r="425" spans="1:11">
      <c r="A425" t="s">
        <v>43</v>
      </c>
      <c r="B425" t="s">
        <v>10</v>
      </c>
      <c r="C425" s="1">
        <v>45812</v>
      </c>
      <c r="D425" t="s">
        <v>328</v>
      </c>
      <c r="F425" t="s">
        <v>3</v>
      </c>
      <c r="G425">
        <v>655352</v>
      </c>
      <c r="H425" t="s">
        <v>6</v>
      </c>
      <c r="I425">
        <v>8</v>
      </c>
      <c r="K425" s="1">
        <v>45812</v>
      </c>
    </row>
    <row r="426" spans="1:11">
      <c r="A426" t="s">
        <v>46</v>
      </c>
      <c r="B426" t="s">
        <v>10</v>
      </c>
      <c r="C426" s="1">
        <v>45812</v>
      </c>
      <c r="D426" t="s">
        <v>328</v>
      </c>
      <c r="F426" t="s">
        <v>3</v>
      </c>
      <c r="G426">
        <v>655352</v>
      </c>
      <c r="H426" t="s">
        <v>6</v>
      </c>
      <c r="I426">
        <v>9</v>
      </c>
      <c r="K426" s="1">
        <v>45812</v>
      </c>
    </row>
    <row r="427" spans="1:11">
      <c r="A427" t="s">
        <v>43</v>
      </c>
      <c r="B427" t="s">
        <v>11</v>
      </c>
      <c r="C427" s="1">
        <v>45812</v>
      </c>
      <c r="D427" t="s">
        <v>328</v>
      </c>
      <c r="F427" t="s">
        <v>3</v>
      </c>
      <c r="G427">
        <v>655352</v>
      </c>
      <c r="H427" t="s">
        <v>6</v>
      </c>
      <c r="I427">
        <v>8</v>
      </c>
      <c r="K427" s="1">
        <v>45812</v>
      </c>
    </row>
    <row r="428" spans="1:11">
      <c r="A428" t="s">
        <v>46</v>
      </c>
      <c r="B428" t="s">
        <v>11</v>
      </c>
      <c r="C428" s="1">
        <v>45812</v>
      </c>
      <c r="D428" t="s">
        <v>328</v>
      </c>
      <c r="F428" t="s">
        <v>3</v>
      </c>
      <c r="G428">
        <v>655352</v>
      </c>
      <c r="H428" t="s">
        <v>6</v>
      </c>
      <c r="I428">
        <v>9</v>
      </c>
      <c r="K428" s="1">
        <v>45812</v>
      </c>
    </row>
    <row r="429" spans="1:11">
      <c r="A429" t="s">
        <v>43</v>
      </c>
      <c r="B429" t="s">
        <v>12</v>
      </c>
      <c r="C429" s="1">
        <v>45812</v>
      </c>
      <c r="D429" t="s">
        <v>328</v>
      </c>
      <c r="F429" t="s">
        <v>3</v>
      </c>
      <c r="G429">
        <v>655352</v>
      </c>
      <c r="H429" t="s">
        <v>6</v>
      </c>
      <c r="I429">
        <v>8</v>
      </c>
      <c r="K429" s="1">
        <v>45812</v>
      </c>
    </row>
    <row r="430" spans="1:11">
      <c r="A430" t="s">
        <v>46</v>
      </c>
      <c r="B430" t="s">
        <v>12</v>
      </c>
      <c r="C430" s="1">
        <v>45812</v>
      </c>
      <c r="D430" t="s">
        <v>328</v>
      </c>
      <c r="F430" t="s">
        <v>3</v>
      </c>
      <c r="G430">
        <v>655352</v>
      </c>
      <c r="H430" t="s">
        <v>6</v>
      </c>
      <c r="I430">
        <v>9</v>
      </c>
      <c r="K430" s="1">
        <v>45812</v>
      </c>
    </row>
    <row r="431" spans="1:11">
      <c r="A431" t="s">
        <v>43</v>
      </c>
      <c r="B431" t="s">
        <v>13</v>
      </c>
      <c r="C431" s="1">
        <v>45812</v>
      </c>
      <c r="D431" t="s">
        <v>328</v>
      </c>
      <c r="F431" t="s">
        <v>3</v>
      </c>
      <c r="G431">
        <v>655352</v>
      </c>
      <c r="H431" t="s">
        <v>6</v>
      </c>
      <c r="I431">
        <v>8</v>
      </c>
      <c r="K431" s="1">
        <v>45812</v>
      </c>
    </row>
    <row r="432" spans="1:11">
      <c r="A432" t="s">
        <v>46</v>
      </c>
      <c r="B432" t="s">
        <v>13</v>
      </c>
      <c r="C432" s="1">
        <v>45812</v>
      </c>
      <c r="D432" t="s">
        <v>328</v>
      </c>
      <c r="F432" t="s">
        <v>3</v>
      </c>
      <c r="G432">
        <v>655352</v>
      </c>
      <c r="H432" t="s">
        <v>6</v>
      </c>
      <c r="I432">
        <v>9</v>
      </c>
      <c r="K432" s="1">
        <v>45812</v>
      </c>
    </row>
    <row r="433" spans="1:11">
      <c r="A433" t="s">
        <v>43</v>
      </c>
      <c r="B433" t="s">
        <v>14</v>
      </c>
      <c r="C433" s="1">
        <v>45812</v>
      </c>
      <c r="D433" t="s">
        <v>328</v>
      </c>
      <c r="F433" t="s">
        <v>3</v>
      </c>
      <c r="G433">
        <v>655352</v>
      </c>
      <c r="H433" t="s">
        <v>6</v>
      </c>
      <c r="I433">
        <v>8</v>
      </c>
      <c r="K433" s="1">
        <v>45812</v>
      </c>
    </row>
    <row r="434" spans="1:11">
      <c r="A434" t="s">
        <v>46</v>
      </c>
      <c r="B434" t="s">
        <v>14</v>
      </c>
      <c r="C434" s="1">
        <v>45812</v>
      </c>
      <c r="D434" t="s">
        <v>328</v>
      </c>
      <c r="F434" t="s">
        <v>3</v>
      </c>
      <c r="G434">
        <v>655352</v>
      </c>
      <c r="H434" t="s">
        <v>6</v>
      </c>
      <c r="I434">
        <v>9</v>
      </c>
      <c r="K434" s="1">
        <v>45812</v>
      </c>
    </row>
    <row r="435" spans="1:11">
      <c r="A435" t="s">
        <v>43</v>
      </c>
      <c r="B435" t="s">
        <v>15</v>
      </c>
      <c r="C435" s="1">
        <v>45812</v>
      </c>
      <c r="D435" t="s">
        <v>328</v>
      </c>
      <c r="F435" t="s">
        <v>3</v>
      </c>
      <c r="G435">
        <v>655352</v>
      </c>
      <c r="H435" t="s">
        <v>6</v>
      </c>
      <c r="I435">
        <v>8</v>
      </c>
      <c r="K435" s="1">
        <v>45812</v>
      </c>
    </row>
    <row r="436" spans="1:11">
      <c r="A436" t="s">
        <v>46</v>
      </c>
      <c r="B436" t="s">
        <v>15</v>
      </c>
      <c r="C436" s="1">
        <v>45812</v>
      </c>
      <c r="D436" t="s">
        <v>328</v>
      </c>
      <c r="F436" t="s">
        <v>3</v>
      </c>
      <c r="G436">
        <v>655352</v>
      </c>
      <c r="H436" t="s">
        <v>6</v>
      </c>
      <c r="I436">
        <v>9</v>
      </c>
      <c r="K436" s="1">
        <v>45812</v>
      </c>
    </row>
    <row r="437" spans="1:11">
      <c r="A437" t="s">
        <v>43</v>
      </c>
      <c r="B437" t="s">
        <v>19</v>
      </c>
      <c r="C437" s="1">
        <v>45812</v>
      </c>
      <c r="D437" t="s">
        <v>328</v>
      </c>
      <c r="F437" t="s">
        <v>3</v>
      </c>
      <c r="G437">
        <v>655352</v>
      </c>
      <c r="H437" t="s">
        <v>6</v>
      </c>
      <c r="I437">
        <v>8</v>
      </c>
      <c r="K437" s="1">
        <v>45812</v>
      </c>
    </row>
    <row r="438" spans="1:11">
      <c r="A438" t="s">
        <v>46</v>
      </c>
      <c r="B438" t="s">
        <v>19</v>
      </c>
      <c r="C438" s="1">
        <v>45812</v>
      </c>
      <c r="D438" t="s">
        <v>328</v>
      </c>
      <c r="F438" t="s">
        <v>3</v>
      </c>
      <c r="G438">
        <v>655352</v>
      </c>
      <c r="H438" t="s">
        <v>6</v>
      </c>
      <c r="I438">
        <v>9</v>
      </c>
      <c r="K438" s="1">
        <v>45812</v>
      </c>
    </row>
    <row r="439" spans="1:11">
      <c r="A439" t="s">
        <v>40</v>
      </c>
      <c r="B439" t="s">
        <v>24</v>
      </c>
      <c r="C439" s="1">
        <v>45812</v>
      </c>
      <c r="D439" t="s">
        <v>328</v>
      </c>
      <c r="F439" t="s">
        <v>3</v>
      </c>
      <c r="G439">
        <v>655352</v>
      </c>
      <c r="H439" t="s">
        <v>6</v>
      </c>
      <c r="I439">
        <v>6</v>
      </c>
      <c r="K439" s="1">
        <v>45812</v>
      </c>
    </row>
    <row r="440" spans="1:11">
      <c r="A440" t="s">
        <v>43</v>
      </c>
      <c r="B440" t="s">
        <v>25</v>
      </c>
      <c r="C440" s="1">
        <v>45812</v>
      </c>
      <c r="D440" t="s">
        <v>328</v>
      </c>
      <c r="F440" t="s">
        <v>3</v>
      </c>
      <c r="G440">
        <v>655352</v>
      </c>
      <c r="H440" t="s">
        <v>6</v>
      </c>
      <c r="I440">
        <v>8</v>
      </c>
      <c r="K440" s="1">
        <v>45812</v>
      </c>
    </row>
    <row r="441" spans="1:11">
      <c r="A441" t="s">
        <v>86</v>
      </c>
      <c r="B441" t="s">
        <v>21</v>
      </c>
      <c r="C441" s="1">
        <v>45813</v>
      </c>
      <c r="D441" t="s">
        <v>328</v>
      </c>
      <c r="F441" t="s">
        <v>55</v>
      </c>
      <c r="G441">
        <v>825812</v>
      </c>
      <c r="H441" t="s">
        <v>79</v>
      </c>
      <c r="I441">
        <v>92</v>
      </c>
      <c r="J441" t="s">
        <v>80</v>
      </c>
      <c r="K441" s="1">
        <v>45813</v>
      </c>
    </row>
    <row r="442" spans="1:11">
      <c r="A442" t="s">
        <v>125</v>
      </c>
      <c r="B442" t="s">
        <v>9</v>
      </c>
      <c r="C442" s="1">
        <v>45813</v>
      </c>
      <c r="D442" t="s">
        <v>328</v>
      </c>
      <c r="F442" t="s">
        <v>55</v>
      </c>
      <c r="G442">
        <v>825812</v>
      </c>
      <c r="H442" t="s">
        <v>124</v>
      </c>
      <c r="I442">
        <v>139</v>
      </c>
      <c r="J442" t="s">
        <v>80</v>
      </c>
      <c r="K442" s="1">
        <v>45813</v>
      </c>
    </row>
    <row r="443" spans="1:11">
      <c r="A443" t="s">
        <v>127</v>
      </c>
      <c r="B443" t="s">
        <v>9</v>
      </c>
      <c r="C443" s="1">
        <v>45813</v>
      </c>
      <c r="D443" t="s">
        <v>328</v>
      </c>
      <c r="F443" t="s">
        <v>55</v>
      </c>
      <c r="G443">
        <v>825812</v>
      </c>
      <c r="H443" t="s">
        <v>124</v>
      </c>
      <c r="I443">
        <v>141</v>
      </c>
      <c r="J443" t="s">
        <v>80</v>
      </c>
      <c r="K443" s="1">
        <v>45813</v>
      </c>
    </row>
    <row r="444" spans="1:11">
      <c r="A444" t="s">
        <v>125</v>
      </c>
      <c r="B444" t="s">
        <v>10</v>
      </c>
      <c r="C444" s="1">
        <v>45813</v>
      </c>
      <c r="D444" t="s">
        <v>328</v>
      </c>
      <c r="F444" t="s">
        <v>55</v>
      </c>
      <c r="G444">
        <v>825812</v>
      </c>
      <c r="H444" t="s">
        <v>124</v>
      </c>
      <c r="I444">
        <v>139</v>
      </c>
      <c r="J444" t="s">
        <v>80</v>
      </c>
      <c r="K444" s="1">
        <v>45813</v>
      </c>
    </row>
    <row r="445" spans="1:11">
      <c r="A445" t="s">
        <v>127</v>
      </c>
      <c r="B445" t="s">
        <v>10</v>
      </c>
      <c r="C445" s="1">
        <v>45813</v>
      </c>
      <c r="D445" t="s">
        <v>328</v>
      </c>
      <c r="F445" t="s">
        <v>55</v>
      </c>
      <c r="G445">
        <v>825812</v>
      </c>
      <c r="H445" t="s">
        <v>124</v>
      </c>
      <c r="I445">
        <v>141</v>
      </c>
      <c r="J445" t="s">
        <v>80</v>
      </c>
      <c r="K445" s="1">
        <v>45813</v>
      </c>
    </row>
    <row r="446" spans="1:11">
      <c r="A446" t="s">
        <v>125</v>
      </c>
      <c r="B446" t="s">
        <v>60</v>
      </c>
      <c r="C446" s="1">
        <v>45813</v>
      </c>
      <c r="D446" t="s">
        <v>328</v>
      </c>
      <c r="F446" t="s">
        <v>55</v>
      </c>
      <c r="G446">
        <v>825812</v>
      </c>
      <c r="H446" t="s">
        <v>124</v>
      </c>
      <c r="I446">
        <v>139</v>
      </c>
      <c r="J446" t="s">
        <v>80</v>
      </c>
      <c r="K446" s="1">
        <v>45813</v>
      </c>
    </row>
    <row r="447" spans="1:11">
      <c r="A447" t="s">
        <v>127</v>
      </c>
      <c r="B447" t="s">
        <v>60</v>
      </c>
      <c r="C447" s="1">
        <v>45813</v>
      </c>
      <c r="D447" t="s">
        <v>328</v>
      </c>
      <c r="F447" t="s">
        <v>55</v>
      </c>
      <c r="G447">
        <v>825812</v>
      </c>
      <c r="H447" t="s">
        <v>124</v>
      </c>
      <c r="I447">
        <v>141</v>
      </c>
      <c r="J447" t="s">
        <v>80</v>
      </c>
      <c r="K447" s="1">
        <v>45813</v>
      </c>
    </row>
    <row r="448" spans="1:11">
      <c r="A448" t="s">
        <v>125</v>
      </c>
      <c r="B448" t="s">
        <v>61</v>
      </c>
      <c r="C448" s="1">
        <v>45813</v>
      </c>
      <c r="D448" t="s">
        <v>328</v>
      </c>
      <c r="F448" t="s">
        <v>55</v>
      </c>
      <c r="G448">
        <v>825812</v>
      </c>
      <c r="H448" t="s">
        <v>124</v>
      </c>
      <c r="I448">
        <v>139</v>
      </c>
      <c r="J448" t="s">
        <v>80</v>
      </c>
      <c r="K448" s="1">
        <v>45813</v>
      </c>
    </row>
    <row r="449" spans="1:11">
      <c r="A449" t="s">
        <v>127</v>
      </c>
      <c r="B449" t="s">
        <v>61</v>
      </c>
      <c r="C449" s="1">
        <v>45813</v>
      </c>
      <c r="D449" t="s">
        <v>328</v>
      </c>
      <c r="F449" t="s">
        <v>55</v>
      </c>
      <c r="G449">
        <v>825812</v>
      </c>
      <c r="H449" t="s">
        <v>124</v>
      </c>
      <c r="I449">
        <v>141</v>
      </c>
      <c r="J449" t="s">
        <v>80</v>
      </c>
      <c r="K449" s="1">
        <v>45813</v>
      </c>
    </row>
    <row r="450" spans="1:11">
      <c r="A450" t="s">
        <v>125</v>
      </c>
      <c r="B450" t="s">
        <v>12</v>
      </c>
      <c r="C450" s="1">
        <v>45813</v>
      </c>
      <c r="D450" t="s">
        <v>328</v>
      </c>
      <c r="F450" t="s">
        <v>55</v>
      </c>
      <c r="G450">
        <v>825812</v>
      </c>
      <c r="H450" t="s">
        <v>124</v>
      </c>
      <c r="I450">
        <v>139</v>
      </c>
      <c r="J450" t="s">
        <v>80</v>
      </c>
      <c r="K450" s="1">
        <v>45813</v>
      </c>
    </row>
    <row r="451" spans="1:11">
      <c r="A451" t="s">
        <v>127</v>
      </c>
      <c r="B451" t="s">
        <v>12</v>
      </c>
      <c r="C451" s="1">
        <v>45813</v>
      </c>
      <c r="D451" t="s">
        <v>328</v>
      </c>
      <c r="F451" t="s">
        <v>55</v>
      </c>
      <c r="G451">
        <v>825812</v>
      </c>
      <c r="H451" t="s">
        <v>124</v>
      </c>
      <c r="I451">
        <v>141</v>
      </c>
      <c r="J451" t="s">
        <v>80</v>
      </c>
      <c r="K451" s="1">
        <v>45813</v>
      </c>
    </row>
    <row r="452" spans="1:11">
      <c r="A452" t="s">
        <v>125</v>
      </c>
      <c r="B452" t="s">
        <v>13</v>
      </c>
      <c r="C452" s="1">
        <v>45813</v>
      </c>
      <c r="D452" t="s">
        <v>328</v>
      </c>
      <c r="F452" t="s">
        <v>55</v>
      </c>
      <c r="G452">
        <v>825812</v>
      </c>
      <c r="H452" t="s">
        <v>124</v>
      </c>
      <c r="I452">
        <v>139</v>
      </c>
      <c r="J452" t="s">
        <v>80</v>
      </c>
      <c r="K452" s="1">
        <v>45813</v>
      </c>
    </row>
    <row r="453" spans="1:11">
      <c r="A453" t="s">
        <v>127</v>
      </c>
      <c r="B453" t="s">
        <v>13</v>
      </c>
      <c r="C453" s="1">
        <v>45813</v>
      </c>
      <c r="D453" t="s">
        <v>328</v>
      </c>
      <c r="F453" t="s">
        <v>55</v>
      </c>
      <c r="G453">
        <v>825812</v>
      </c>
      <c r="H453" t="s">
        <v>124</v>
      </c>
      <c r="I453">
        <v>141</v>
      </c>
      <c r="J453" t="s">
        <v>80</v>
      </c>
      <c r="K453" s="1">
        <v>45813</v>
      </c>
    </row>
    <row r="454" spans="1:11">
      <c r="A454" t="s">
        <v>125</v>
      </c>
      <c r="B454" t="s">
        <v>14</v>
      </c>
      <c r="C454" s="1">
        <v>45813</v>
      </c>
      <c r="D454" t="s">
        <v>328</v>
      </c>
      <c r="F454" t="s">
        <v>55</v>
      </c>
      <c r="G454">
        <v>825812</v>
      </c>
      <c r="H454" t="s">
        <v>124</v>
      </c>
      <c r="I454">
        <v>139</v>
      </c>
      <c r="J454" t="s">
        <v>80</v>
      </c>
      <c r="K454" s="1">
        <v>45813</v>
      </c>
    </row>
    <row r="455" spans="1:11">
      <c r="A455" t="s">
        <v>127</v>
      </c>
      <c r="B455" t="s">
        <v>14</v>
      </c>
      <c r="C455" s="1">
        <v>45813</v>
      </c>
      <c r="D455" t="s">
        <v>328</v>
      </c>
      <c r="F455" t="s">
        <v>55</v>
      </c>
      <c r="G455">
        <v>825812</v>
      </c>
      <c r="H455" t="s">
        <v>124</v>
      </c>
      <c r="I455">
        <v>141</v>
      </c>
      <c r="J455" t="s">
        <v>80</v>
      </c>
      <c r="K455" s="1">
        <v>45813</v>
      </c>
    </row>
    <row r="456" spans="1:11">
      <c r="A456" t="s">
        <v>125</v>
      </c>
      <c r="B456" t="s">
        <v>15</v>
      </c>
      <c r="C456" s="1">
        <v>45813</v>
      </c>
      <c r="D456" t="s">
        <v>328</v>
      </c>
      <c r="F456" t="s">
        <v>55</v>
      </c>
      <c r="G456">
        <v>825812</v>
      </c>
      <c r="H456" t="s">
        <v>124</v>
      </c>
      <c r="I456">
        <v>139</v>
      </c>
      <c r="J456" t="s">
        <v>80</v>
      </c>
      <c r="K456" s="1">
        <v>45813</v>
      </c>
    </row>
    <row r="457" spans="1:11">
      <c r="A457" t="s">
        <v>127</v>
      </c>
      <c r="B457" t="s">
        <v>15</v>
      </c>
      <c r="C457" s="1">
        <v>45813</v>
      </c>
      <c r="D457" t="s">
        <v>328</v>
      </c>
      <c r="F457" t="s">
        <v>55</v>
      </c>
      <c r="G457">
        <v>825812</v>
      </c>
      <c r="H457" t="s">
        <v>124</v>
      </c>
      <c r="I457">
        <v>141</v>
      </c>
      <c r="J457" t="s">
        <v>80</v>
      </c>
      <c r="K457" s="1">
        <v>45813</v>
      </c>
    </row>
    <row r="458" spans="1:11">
      <c r="A458" t="s">
        <v>125</v>
      </c>
      <c r="B458" t="s">
        <v>20</v>
      </c>
      <c r="C458" s="1">
        <v>45813</v>
      </c>
      <c r="D458" t="s">
        <v>328</v>
      </c>
      <c r="F458" t="s">
        <v>55</v>
      </c>
      <c r="G458">
        <v>825812</v>
      </c>
      <c r="H458" t="s">
        <v>124</v>
      </c>
      <c r="I458">
        <v>139</v>
      </c>
      <c r="J458" t="s">
        <v>80</v>
      </c>
      <c r="K458" s="1">
        <v>45813</v>
      </c>
    </row>
    <row r="459" spans="1:11">
      <c r="A459" t="s">
        <v>127</v>
      </c>
      <c r="B459" t="s">
        <v>20</v>
      </c>
      <c r="C459" s="1">
        <v>45813</v>
      </c>
      <c r="D459" t="s">
        <v>328</v>
      </c>
      <c r="F459" t="s">
        <v>55</v>
      </c>
      <c r="G459">
        <v>825812</v>
      </c>
      <c r="H459" t="s">
        <v>124</v>
      </c>
      <c r="I459">
        <v>141</v>
      </c>
      <c r="J459" t="s">
        <v>80</v>
      </c>
      <c r="K459" s="1">
        <v>45813</v>
      </c>
    </row>
    <row r="460" spans="1:11">
      <c r="A460" t="s">
        <v>125</v>
      </c>
      <c r="B460" t="s">
        <v>18</v>
      </c>
      <c r="C460" s="1">
        <v>45813</v>
      </c>
      <c r="D460" t="s">
        <v>328</v>
      </c>
      <c r="F460" t="s">
        <v>55</v>
      </c>
      <c r="G460">
        <v>825812</v>
      </c>
      <c r="H460" t="s">
        <v>124</v>
      </c>
      <c r="I460">
        <v>139</v>
      </c>
      <c r="J460" t="s">
        <v>80</v>
      </c>
      <c r="K460" s="1">
        <v>45813</v>
      </c>
    </row>
    <row r="461" spans="1:11">
      <c r="A461" t="s">
        <v>127</v>
      </c>
      <c r="B461" t="s">
        <v>18</v>
      </c>
      <c r="C461" s="1">
        <v>45813</v>
      </c>
      <c r="D461" t="s">
        <v>328</v>
      </c>
      <c r="F461" t="s">
        <v>55</v>
      </c>
      <c r="G461">
        <v>825812</v>
      </c>
      <c r="H461" t="s">
        <v>124</v>
      </c>
      <c r="I461">
        <v>141</v>
      </c>
      <c r="J461" t="s">
        <v>80</v>
      </c>
      <c r="K461" s="1">
        <v>45813</v>
      </c>
    </row>
    <row r="462" spans="1:11">
      <c r="A462" t="s">
        <v>127</v>
      </c>
      <c r="B462" t="s">
        <v>25</v>
      </c>
      <c r="C462" s="1">
        <v>45813</v>
      </c>
      <c r="D462" t="s">
        <v>328</v>
      </c>
      <c r="F462" t="s">
        <v>55</v>
      </c>
      <c r="G462">
        <v>825812</v>
      </c>
      <c r="H462" t="s">
        <v>124</v>
      </c>
      <c r="I462">
        <v>141</v>
      </c>
      <c r="J462" t="s">
        <v>80</v>
      </c>
      <c r="K462" s="1">
        <v>45813</v>
      </c>
    </row>
    <row r="463" spans="1:11">
      <c r="A463" t="s">
        <v>43</v>
      </c>
      <c r="B463" t="s">
        <v>18</v>
      </c>
      <c r="C463" s="1">
        <v>45814</v>
      </c>
      <c r="D463" t="s">
        <v>328</v>
      </c>
      <c r="F463" t="s">
        <v>3</v>
      </c>
      <c r="G463">
        <v>655352</v>
      </c>
      <c r="H463" t="s">
        <v>6</v>
      </c>
      <c r="I463">
        <v>8</v>
      </c>
      <c r="K463" s="1">
        <v>45814</v>
      </c>
    </row>
    <row r="464" spans="1:11">
      <c r="A464" t="s">
        <v>46</v>
      </c>
      <c r="B464" t="s">
        <v>18</v>
      </c>
      <c r="C464" s="1">
        <v>45814</v>
      </c>
      <c r="D464" t="s">
        <v>328</v>
      </c>
      <c r="F464" t="s">
        <v>3</v>
      </c>
      <c r="G464">
        <v>655352</v>
      </c>
      <c r="H464" t="s">
        <v>6</v>
      </c>
      <c r="I464">
        <v>9</v>
      </c>
      <c r="K464" s="1">
        <v>45814</v>
      </c>
    </row>
    <row r="465" spans="1:11">
      <c r="A465" t="s">
        <v>43</v>
      </c>
      <c r="B465" t="s">
        <v>20</v>
      </c>
      <c r="C465" s="1">
        <v>45814</v>
      </c>
      <c r="D465" t="s">
        <v>328</v>
      </c>
      <c r="F465" t="s">
        <v>3</v>
      </c>
      <c r="G465">
        <v>655352</v>
      </c>
      <c r="H465" t="s">
        <v>6</v>
      </c>
      <c r="I465">
        <v>8</v>
      </c>
      <c r="K465" s="1">
        <v>45814</v>
      </c>
    </row>
    <row r="466" spans="1:11">
      <c r="A466" t="s">
        <v>46</v>
      </c>
      <c r="B466" t="s">
        <v>20</v>
      </c>
      <c r="C466" s="1">
        <v>45814</v>
      </c>
      <c r="D466" t="s">
        <v>328</v>
      </c>
      <c r="F466" t="s">
        <v>3</v>
      </c>
      <c r="G466">
        <v>655352</v>
      </c>
      <c r="H466" t="s">
        <v>6</v>
      </c>
      <c r="I466">
        <v>9</v>
      </c>
      <c r="K466" s="1">
        <v>45814</v>
      </c>
    </row>
    <row r="467" spans="1:11">
      <c r="A467" t="s">
        <v>128</v>
      </c>
      <c r="B467" t="s">
        <v>21</v>
      </c>
      <c r="C467" s="1">
        <v>45814</v>
      </c>
      <c r="D467" t="s">
        <v>328</v>
      </c>
      <c r="F467" t="s">
        <v>55</v>
      </c>
      <c r="G467">
        <v>825812</v>
      </c>
      <c r="H467" t="s">
        <v>124</v>
      </c>
      <c r="I467">
        <v>142</v>
      </c>
      <c r="J467" t="s">
        <v>80</v>
      </c>
      <c r="K467" s="1">
        <v>45814</v>
      </c>
    </row>
    <row r="468" spans="1:11">
      <c r="A468" t="s">
        <v>139</v>
      </c>
      <c r="B468" t="s">
        <v>21</v>
      </c>
      <c r="C468" s="1">
        <v>45814</v>
      </c>
      <c r="D468" t="s">
        <v>328</v>
      </c>
      <c r="F468" t="s">
        <v>55</v>
      </c>
      <c r="G468">
        <v>825812</v>
      </c>
      <c r="H468" t="s">
        <v>137</v>
      </c>
      <c r="I468">
        <v>1460</v>
      </c>
      <c r="J468" t="s">
        <v>138</v>
      </c>
      <c r="K468" s="1">
        <v>45814</v>
      </c>
    </row>
    <row r="469" spans="1:11">
      <c r="A469" t="s">
        <v>142</v>
      </c>
      <c r="B469" t="s">
        <v>21</v>
      </c>
      <c r="C469" s="1">
        <v>45814</v>
      </c>
      <c r="D469" t="s">
        <v>328</v>
      </c>
      <c r="F469" t="s">
        <v>55</v>
      </c>
      <c r="G469">
        <v>825812</v>
      </c>
      <c r="H469" t="s">
        <v>137</v>
      </c>
      <c r="I469">
        <v>1461</v>
      </c>
      <c r="J469" t="s">
        <v>138</v>
      </c>
      <c r="K469" s="1">
        <v>45814</v>
      </c>
    </row>
    <row r="470" spans="1:11">
      <c r="A470" t="s">
        <v>145</v>
      </c>
      <c r="B470" t="s">
        <v>21</v>
      </c>
      <c r="C470" s="1">
        <v>45814</v>
      </c>
      <c r="D470" t="s">
        <v>328</v>
      </c>
      <c r="F470" t="s">
        <v>55</v>
      </c>
      <c r="G470">
        <v>825812</v>
      </c>
      <c r="H470" t="s">
        <v>137</v>
      </c>
      <c r="I470">
        <v>1462</v>
      </c>
      <c r="J470" t="s">
        <v>138</v>
      </c>
      <c r="K470" s="1">
        <v>45814</v>
      </c>
    </row>
    <row r="471" spans="1:11">
      <c r="A471" t="s">
        <v>148</v>
      </c>
      <c r="B471" t="s">
        <v>21</v>
      </c>
      <c r="C471" s="1">
        <v>45814</v>
      </c>
      <c r="D471" t="s">
        <v>328</v>
      </c>
      <c r="F471" t="s">
        <v>55</v>
      </c>
      <c r="G471">
        <v>825812</v>
      </c>
      <c r="H471" t="s">
        <v>137</v>
      </c>
      <c r="I471">
        <v>1463</v>
      </c>
      <c r="J471" t="s">
        <v>138</v>
      </c>
      <c r="K471" s="1">
        <v>45814</v>
      </c>
    </row>
    <row r="472" spans="1:11">
      <c r="A472" t="s">
        <v>43</v>
      </c>
      <c r="B472" t="s">
        <v>22</v>
      </c>
      <c r="C472" s="1">
        <v>45817</v>
      </c>
      <c r="D472" t="s">
        <v>328</v>
      </c>
      <c r="F472" t="s">
        <v>3</v>
      </c>
      <c r="G472">
        <v>655352</v>
      </c>
      <c r="H472" t="s">
        <v>6</v>
      </c>
      <c r="I472">
        <v>8</v>
      </c>
      <c r="K472" s="1">
        <v>45817</v>
      </c>
    </row>
    <row r="473" spans="1:11">
      <c r="A473" t="s">
        <v>46</v>
      </c>
      <c r="B473" t="s">
        <v>22</v>
      </c>
      <c r="C473" s="1">
        <v>45817</v>
      </c>
      <c r="D473" t="s">
        <v>328</v>
      </c>
      <c r="F473" t="s">
        <v>3</v>
      </c>
      <c r="G473">
        <v>655352</v>
      </c>
      <c r="H473" t="s">
        <v>6</v>
      </c>
      <c r="I473">
        <v>9</v>
      </c>
      <c r="K473" s="1">
        <v>45817</v>
      </c>
    </row>
    <row r="474" spans="1:11">
      <c r="A474" t="s">
        <v>86</v>
      </c>
      <c r="B474" t="s">
        <v>24</v>
      </c>
      <c r="C474" s="1">
        <v>45817</v>
      </c>
      <c r="D474" t="s">
        <v>328</v>
      </c>
      <c r="F474" t="s">
        <v>55</v>
      </c>
      <c r="G474">
        <v>825812</v>
      </c>
      <c r="H474" t="s">
        <v>79</v>
      </c>
      <c r="I474">
        <v>92</v>
      </c>
      <c r="J474" t="s">
        <v>80</v>
      </c>
      <c r="K474" s="1">
        <v>45817</v>
      </c>
    </row>
    <row r="475" spans="1:11">
      <c r="A475" t="s">
        <v>125</v>
      </c>
      <c r="B475" t="s">
        <v>19</v>
      </c>
      <c r="C475" s="1">
        <v>45817</v>
      </c>
      <c r="D475" t="s">
        <v>328</v>
      </c>
      <c r="F475" t="s">
        <v>55</v>
      </c>
      <c r="G475">
        <v>825812</v>
      </c>
      <c r="H475" t="s">
        <v>124</v>
      </c>
      <c r="I475">
        <v>139</v>
      </c>
      <c r="J475" t="s">
        <v>80</v>
      </c>
      <c r="K475" s="1">
        <v>45817</v>
      </c>
    </row>
    <row r="476" spans="1:11">
      <c r="A476" t="s">
        <v>127</v>
      </c>
      <c r="B476" t="s">
        <v>19</v>
      </c>
      <c r="C476" s="1">
        <v>45817</v>
      </c>
      <c r="D476" t="s">
        <v>328</v>
      </c>
      <c r="F476" t="s">
        <v>55</v>
      </c>
      <c r="G476">
        <v>825812</v>
      </c>
      <c r="H476" t="s">
        <v>124</v>
      </c>
      <c r="I476">
        <v>141</v>
      </c>
      <c r="J476" t="s">
        <v>80</v>
      </c>
      <c r="K476" s="1">
        <v>45817</v>
      </c>
    </row>
    <row r="477" spans="1:11">
      <c r="A477" t="s">
        <v>125</v>
      </c>
      <c r="B477" t="s">
        <v>62</v>
      </c>
      <c r="C477" s="1">
        <v>45817</v>
      </c>
      <c r="D477" t="s">
        <v>328</v>
      </c>
      <c r="F477" t="s">
        <v>55</v>
      </c>
      <c r="G477">
        <v>825812</v>
      </c>
      <c r="H477" t="s">
        <v>124</v>
      </c>
      <c r="I477">
        <v>139</v>
      </c>
      <c r="J477" t="s">
        <v>80</v>
      </c>
      <c r="K477" s="1">
        <v>45817</v>
      </c>
    </row>
    <row r="478" spans="1:11">
      <c r="A478" t="s">
        <v>127</v>
      </c>
      <c r="B478" t="s">
        <v>62</v>
      </c>
      <c r="C478" s="1">
        <v>45817</v>
      </c>
      <c r="D478" t="s">
        <v>328</v>
      </c>
      <c r="F478" t="s">
        <v>55</v>
      </c>
      <c r="G478">
        <v>825812</v>
      </c>
      <c r="H478" t="s">
        <v>124</v>
      </c>
      <c r="I478">
        <v>141</v>
      </c>
      <c r="J478" t="s">
        <v>80</v>
      </c>
      <c r="K478" s="1">
        <v>45817</v>
      </c>
    </row>
    <row r="479" spans="1:11">
      <c r="A479" t="s">
        <v>125</v>
      </c>
      <c r="B479" t="s">
        <v>25</v>
      </c>
      <c r="C479" s="1">
        <v>45817</v>
      </c>
      <c r="D479" t="s">
        <v>328</v>
      </c>
      <c r="F479" t="s">
        <v>55</v>
      </c>
      <c r="G479">
        <v>825812</v>
      </c>
      <c r="H479" t="s">
        <v>124</v>
      </c>
      <c r="I479">
        <v>139</v>
      </c>
      <c r="J479" t="s">
        <v>80</v>
      </c>
      <c r="K479" s="1">
        <v>45817</v>
      </c>
    </row>
    <row r="480" spans="1:11">
      <c r="A480" t="s">
        <v>139</v>
      </c>
      <c r="B480" t="s">
        <v>23</v>
      </c>
      <c r="C480" s="1">
        <v>45817</v>
      </c>
      <c r="D480" t="s">
        <v>328</v>
      </c>
      <c r="F480" t="s">
        <v>55</v>
      </c>
      <c r="G480">
        <v>825812</v>
      </c>
      <c r="H480" t="s">
        <v>137</v>
      </c>
      <c r="I480">
        <v>1460</v>
      </c>
      <c r="J480" t="s">
        <v>138</v>
      </c>
      <c r="K480" s="1">
        <v>45817</v>
      </c>
    </row>
    <row r="481" spans="1:11">
      <c r="A481" t="s">
        <v>142</v>
      </c>
      <c r="B481" t="s">
        <v>23</v>
      </c>
      <c r="C481" s="1">
        <v>45817</v>
      </c>
      <c r="D481" t="s">
        <v>328</v>
      </c>
      <c r="F481" t="s">
        <v>55</v>
      </c>
      <c r="G481">
        <v>825812</v>
      </c>
      <c r="H481" t="s">
        <v>137</v>
      </c>
      <c r="I481">
        <v>1461</v>
      </c>
      <c r="J481" t="s">
        <v>138</v>
      </c>
      <c r="K481" s="1">
        <v>45817</v>
      </c>
    </row>
    <row r="482" spans="1:11">
      <c r="A482" t="s">
        <v>191</v>
      </c>
      <c r="B482" t="s">
        <v>23</v>
      </c>
      <c r="C482" s="1">
        <v>45818</v>
      </c>
      <c r="D482" t="s">
        <v>328</v>
      </c>
      <c r="F482" t="s">
        <v>55</v>
      </c>
      <c r="G482">
        <v>825812</v>
      </c>
      <c r="H482" t="s">
        <v>176</v>
      </c>
      <c r="I482">
        <v>70</v>
      </c>
      <c r="J482" t="s">
        <v>59</v>
      </c>
      <c r="K482" s="1">
        <v>45818</v>
      </c>
    </row>
    <row r="483" spans="1:11">
      <c r="A483" t="s">
        <v>46</v>
      </c>
      <c r="B483" t="s">
        <v>25</v>
      </c>
      <c r="C483" s="1">
        <v>45819</v>
      </c>
      <c r="D483" t="s">
        <v>328</v>
      </c>
      <c r="F483" t="s">
        <v>3</v>
      </c>
      <c r="G483">
        <v>655352</v>
      </c>
      <c r="H483" t="s">
        <v>6</v>
      </c>
      <c r="I483">
        <v>9</v>
      </c>
      <c r="K483" s="1">
        <v>45819</v>
      </c>
    </row>
    <row r="484" spans="1:11">
      <c r="A484" t="s">
        <v>160</v>
      </c>
      <c r="B484" t="s">
        <v>23</v>
      </c>
      <c r="C484" s="1">
        <v>45819</v>
      </c>
      <c r="D484" t="s">
        <v>328</v>
      </c>
      <c r="F484" t="s">
        <v>55</v>
      </c>
      <c r="G484">
        <v>825812</v>
      </c>
      <c r="H484" t="s">
        <v>151</v>
      </c>
      <c r="I484">
        <v>22</v>
      </c>
      <c r="J484" t="s">
        <v>152</v>
      </c>
      <c r="K484" s="1">
        <v>45819</v>
      </c>
    </row>
    <row r="485" spans="1:11">
      <c r="A485" t="s">
        <v>167</v>
      </c>
      <c r="B485" t="s">
        <v>23</v>
      </c>
      <c r="C485" s="1">
        <v>45819</v>
      </c>
      <c r="D485" t="s">
        <v>328</v>
      </c>
      <c r="F485" t="s">
        <v>55</v>
      </c>
      <c r="G485">
        <v>825812</v>
      </c>
      <c r="H485" t="s">
        <v>151</v>
      </c>
      <c r="I485">
        <v>29</v>
      </c>
      <c r="J485" t="s">
        <v>152</v>
      </c>
      <c r="K485" s="1">
        <v>45819</v>
      </c>
    </row>
    <row r="486" spans="1:11">
      <c r="A486" t="s">
        <v>191</v>
      </c>
      <c r="B486" t="s">
        <v>21</v>
      </c>
      <c r="C486" s="1">
        <v>45819</v>
      </c>
      <c r="D486" t="s">
        <v>328</v>
      </c>
      <c r="F486" t="s">
        <v>55</v>
      </c>
      <c r="G486">
        <v>825812</v>
      </c>
      <c r="H486" t="s">
        <v>176</v>
      </c>
      <c r="I486">
        <v>70</v>
      </c>
      <c r="J486" t="s">
        <v>59</v>
      </c>
      <c r="K486" s="1">
        <v>45819</v>
      </c>
    </row>
    <row r="487" spans="1:11">
      <c r="A487" t="s">
        <v>63</v>
      </c>
      <c r="B487" t="s">
        <v>21</v>
      </c>
      <c r="C487" s="1">
        <v>45820</v>
      </c>
      <c r="D487" t="s">
        <v>328</v>
      </c>
      <c r="F487" t="s">
        <v>55</v>
      </c>
      <c r="G487">
        <v>825812</v>
      </c>
      <c r="H487" t="s">
        <v>58</v>
      </c>
      <c r="I487">
        <v>33</v>
      </c>
      <c r="J487" t="s">
        <v>59</v>
      </c>
      <c r="K487" s="1">
        <v>45820</v>
      </c>
    </row>
    <row r="488" spans="1:11">
      <c r="A488" t="s">
        <v>63</v>
      </c>
      <c r="B488" t="s">
        <v>23</v>
      </c>
      <c r="C488" s="1">
        <v>45820</v>
      </c>
      <c r="D488" t="s">
        <v>328</v>
      </c>
      <c r="F488" t="s">
        <v>55</v>
      </c>
      <c r="G488">
        <v>825812</v>
      </c>
      <c r="H488" t="s">
        <v>58</v>
      </c>
      <c r="I488">
        <v>33</v>
      </c>
      <c r="J488" t="s">
        <v>59</v>
      </c>
      <c r="K488" s="1">
        <v>45820</v>
      </c>
    </row>
    <row r="489" spans="1:11">
      <c r="A489" t="s">
        <v>139</v>
      </c>
      <c r="B489" t="s">
        <v>24</v>
      </c>
      <c r="C489" s="1">
        <v>45820</v>
      </c>
      <c r="D489" t="s">
        <v>328</v>
      </c>
      <c r="F489" t="s">
        <v>55</v>
      </c>
      <c r="G489">
        <v>825812</v>
      </c>
      <c r="H489" t="s">
        <v>137</v>
      </c>
      <c r="I489">
        <v>1460</v>
      </c>
      <c r="J489" t="s">
        <v>138</v>
      </c>
      <c r="K489" s="1">
        <v>45820</v>
      </c>
    </row>
    <row r="490" spans="1:11">
      <c r="A490" t="s">
        <v>142</v>
      </c>
      <c r="B490" t="s">
        <v>24</v>
      </c>
      <c r="C490" s="1">
        <v>45820</v>
      </c>
      <c r="D490" t="s">
        <v>328</v>
      </c>
      <c r="F490" t="s">
        <v>55</v>
      </c>
      <c r="G490">
        <v>825812</v>
      </c>
      <c r="H490" t="s">
        <v>137</v>
      </c>
      <c r="I490">
        <v>1461</v>
      </c>
      <c r="J490" t="s">
        <v>138</v>
      </c>
      <c r="K490" s="1">
        <v>45820</v>
      </c>
    </row>
    <row r="491" spans="1:11">
      <c r="A491" t="s">
        <v>160</v>
      </c>
      <c r="B491" t="s">
        <v>21</v>
      </c>
      <c r="C491" s="1">
        <v>45821</v>
      </c>
      <c r="D491" t="s">
        <v>328</v>
      </c>
      <c r="F491" t="s">
        <v>55</v>
      </c>
      <c r="G491">
        <v>825812</v>
      </c>
      <c r="H491" t="s">
        <v>151</v>
      </c>
      <c r="I491">
        <v>22</v>
      </c>
      <c r="J491" t="s">
        <v>152</v>
      </c>
      <c r="K491" s="1">
        <v>45821</v>
      </c>
    </row>
    <row r="492" spans="1:11">
      <c r="A492" t="s">
        <v>167</v>
      </c>
      <c r="B492" t="s">
        <v>21</v>
      </c>
      <c r="C492" s="1">
        <v>45821</v>
      </c>
      <c r="D492" t="s">
        <v>328</v>
      </c>
      <c r="F492" t="s">
        <v>55</v>
      </c>
      <c r="G492">
        <v>825812</v>
      </c>
      <c r="H492" t="s">
        <v>151</v>
      </c>
      <c r="I492">
        <v>29</v>
      </c>
      <c r="J492" t="s">
        <v>152</v>
      </c>
      <c r="K492" s="1">
        <v>45821</v>
      </c>
    </row>
    <row r="493" spans="1:11">
      <c r="A493" t="s">
        <v>43</v>
      </c>
      <c r="B493" t="s">
        <v>23</v>
      </c>
      <c r="C493" s="1">
        <v>45824</v>
      </c>
      <c r="D493" t="s">
        <v>328</v>
      </c>
      <c r="F493" t="s">
        <v>3</v>
      </c>
      <c r="G493">
        <v>655352</v>
      </c>
      <c r="H493" t="s">
        <v>6</v>
      </c>
      <c r="I493">
        <v>8</v>
      </c>
      <c r="K493" s="1">
        <v>45824</v>
      </c>
    </row>
    <row r="494" spans="1:11">
      <c r="A494" t="s">
        <v>145</v>
      </c>
      <c r="B494" t="s">
        <v>23</v>
      </c>
      <c r="C494" s="1">
        <v>45824</v>
      </c>
      <c r="D494" t="s">
        <v>328</v>
      </c>
      <c r="F494" t="s">
        <v>55</v>
      </c>
      <c r="G494">
        <v>825812</v>
      </c>
      <c r="H494" t="s">
        <v>137</v>
      </c>
      <c r="I494">
        <v>1462</v>
      </c>
      <c r="J494" t="s">
        <v>138</v>
      </c>
      <c r="K494" s="1">
        <v>45824</v>
      </c>
    </row>
    <row r="495" spans="1:11">
      <c r="A495" t="s">
        <v>148</v>
      </c>
      <c r="B495" t="s">
        <v>23</v>
      </c>
      <c r="C495" s="1">
        <v>45824</v>
      </c>
      <c r="D495" t="s">
        <v>328</v>
      </c>
      <c r="F495" t="s">
        <v>55</v>
      </c>
      <c r="G495">
        <v>825812</v>
      </c>
      <c r="H495" t="s">
        <v>137</v>
      </c>
      <c r="I495">
        <v>1463</v>
      </c>
      <c r="J495" t="s">
        <v>138</v>
      </c>
      <c r="K495" s="1">
        <v>45824</v>
      </c>
    </row>
    <row r="496" spans="1:11">
      <c r="A496" t="s">
        <v>43</v>
      </c>
      <c r="B496" t="s">
        <v>21</v>
      </c>
      <c r="C496" s="1">
        <v>45825</v>
      </c>
      <c r="D496" t="s">
        <v>328</v>
      </c>
      <c r="F496" t="s">
        <v>3</v>
      </c>
      <c r="G496">
        <v>655352</v>
      </c>
      <c r="H496" t="s">
        <v>6</v>
      </c>
      <c r="I496">
        <v>8</v>
      </c>
      <c r="K496" s="1">
        <v>45825</v>
      </c>
    </row>
    <row r="497" spans="1:11">
      <c r="A497" t="s">
        <v>63</v>
      </c>
      <c r="B497" t="s">
        <v>24</v>
      </c>
      <c r="C497" s="1">
        <v>45825</v>
      </c>
      <c r="D497" t="s">
        <v>328</v>
      </c>
      <c r="F497" t="s">
        <v>55</v>
      </c>
      <c r="G497">
        <v>825812</v>
      </c>
      <c r="H497" t="s">
        <v>58</v>
      </c>
      <c r="I497">
        <v>33</v>
      </c>
      <c r="J497" t="s">
        <v>59</v>
      </c>
      <c r="K497" s="1">
        <v>45825</v>
      </c>
    </row>
    <row r="498" spans="1:11">
      <c r="A498" t="s">
        <v>191</v>
      </c>
      <c r="B498" t="s">
        <v>24</v>
      </c>
      <c r="C498" s="1">
        <v>45825</v>
      </c>
      <c r="D498" t="s">
        <v>328</v>
      </c>
      <c r="F498" t="s">
        <v>55</v>
      </c>
      <c r="G498">
        <v>825812</v>
      </c>
      <c r="H498" t="s">
        <v>176</v>
      </c>
      <c r="I498">
        <v>70</v>
      </c>
      <c r="J498" t="s">
        <v>59</v>
      </c>
      <c r="K498" s="1">
        <v>45825</v>
      </c>
    </row>
    <row r="499" spans="1:11">
      <c r="A499" t="s">
        <v>127</v>
      </c>
      <c r="B499" t="s">
        <v>23</v>
      </c>
      <c r="C499" s="1">
        <v>45826</v>
      </c>
      <c r="D499" t="s">
        <v>328</v>
      </c>
      <c r="F499" t="s">
        <v>55</v>
      </c>
      <c r="G499">
        <v>825812</v>
      </c>
      <c r="H499" t="s">
        <v>124</v>
      </c>
      <c r="I499">
        <v>141</v>
      </c>
      <c r="J499" t="s">
        <v>80</v>
      </c>
      <c r="K499" s="1">
        <v>45826</v>
      </c>
    </row>
    <row r="500" spans="1:11">
      <c r="A500" t="s">
        <v>46</v>
      </c>
      <c r="B500" t="s">
        <v>23</v>
      </c>
      <c r="C500" s="1">
        <v>45827</v>
      </c>
      <c r="D500" t="s">
        <v>328</v>
      </c>
      <c r="F500" t="s">
        <v>3</v>
      </c>
      <c r="G500">
        <v>655352</v>
      </c>
      <c r="H500" t="s">
        <v>6</v>
      </c>
      <c r="I500">
        <v>9</v>
      </c>
      <c r="K500" s="1">
        <v>45827</v>
      </c>
    </row>
    <row r="501" spans="1:11">
      <c r="A501" t="s">
        <v>43</v>
      </c>
      <c r="B501" t="s">
        <v>24</v>
      </c>
      <c r="C501" s="1">
        <v>45827</v>
      </c>
      <c r="D501" t="s">
        <v>328</v>
      </c>
      <c r="F501" t="s">
        <v>3</v>
      </c>
      <c r="G501">
        <v>655352</v>
      </c>
      <c r="H501" t="s">
        <v>6</v>
      </c>
      <c r="I501">
        <v>8</v>
      </c>
      <c r="K501" s="1">
        <v>45827</v>
      </c>
    </row>
    <row r="502" spans="1:11">
      <c r="A502" t="s">
        <v>46</v>
      </c>
      <c r="B502" t="s">
        <v>21</v>
      </c>
      <c r="C502" s="1">
        <v>45828</v>
      </c>
      <c r="D502" t="s">
        <v>328</v>
      </c>
      <c r="F502" t="s">
        <v>3</v>
      </c>
      <c r="G502">
        <v>655352</v>
      </c>
      <c r="H502" t="s">
        <v>6</v>
      </c>
      <c r="I502">
        <v>9</v>
      </c>
      <c r="K502" s="1">
        <v>45828</v>
      </c>
    </row>
    <row r="503" spans="1:11">
      <c r="A503" t="s">
        <v>46</v>
      </c>
      <c r="B503" t="s">
        <v>27</v>
      </c>
      <c r="C503" s="1">
        <v>45828</v>
      </c>
      <c r="D503" t="s">
        <v>328</v>
      </c>
      <c r="E503" t="s">
        <v>48</v>
      </c>
      <c r="F503" t="s">
        <v>3</v>
      </c>
      <c r="G503">
        <v>655352</v>
      </c>
      <c r="H503" t="s">
        <v>6</v>
      </c>
      <c r="I503">
        <v>9</v>
      </c>
      <c r="K503" s="1">
        <v>45828</v>
      </c>
    </row>
    <row r="504" spans="1:11">
      <c r="A504" t="s">
        <v>145</v>
      </c>
      <c r="B504" t="s">
        <v>24</v>
      </c>
      <c r="C504" s="1">
        <v>45828</v>
      </c>
      <c r="D504" t="s">
        <v>328</v>
      </c>
      <c r="F504" t="s">
        <v>55</v>
      </c>
      <c r="G504">
        <v>825812</v>
      </c>
      <c r="H504" t="s">
        <v>137</v>
      </c>
      <c r="I504">
        <v>1462</v>
      </c>
      <c r="J504" t="s">
        <v>138</v>
      </c>
      <c r="K504" s="1">
        <v>45828</v>
      </c>
    </row>
    <row r="505" spans="1:11">
      <c r="A505" t="s">
        <v>148</v>
      </c>
      <c r="B505" t="s">
        <v>24</v>
      </c>
      <c r="C505" s="1">
        <v>45828</v>
      </c>
      <c r="D505" t="s">
        <v>328</v>
      </c>
      <c r="F505" t="s">
        <v>55</v>
      </c>
      <c r="G505">
        <v>825812</v>
      </c>
      <c r="H505" t="s">
        <v>137</v>
      </c>
      <c r="I505">
        <v>1463</v>
      </c>
      <c r="J505" t="s">
        <v>138</v>
      </c>
      <c r="K505" s="1">
        <v>45828</v>
      </c>
    </row>
    <row r="506" spans="1:11">
      <c r="A506" t="s">
        <v>46</v>
      </c>
      <c r="B506" t="s">
        <v>24</v>
      </c>
      <c r="C506" s="1">
        <v>45831</v>
      </c>
      <c r="D506" t="s">
        <v>328</v>
      </c>
      <c r="F506" t="s">
        <v>3</v>
      </c>
      <c r="G506">
        <v>655352</v>
      </c>
      <c r="H506" t="s">
        <v>6</v>
      </c>
      <c r="I506">
        <v>9</v>
      </c>
      <c r="K506" s="1">
        <v>45831</v>
      </c>
    </row>
    <row r="507" spans="1:11">
      <c r="A507" t="s">
        <v>127</v>
      </c>
      <c r="B507" t="s">
        <v>24</v>
      </c>
      <c r="C507" s="1">
        <v>45831</v>
      </c>
      <c r="D507" t="s">
        <v>328</v>
      </c>
      <c r="F507" t="s">
        <v>55</v>
      </c>
      <c r="G507">
        <v>825812</v>
      </c>
      <c r="H507" t="s">
        <v>124</v>
      </c>
      <c r="I507">
        <v>141</v>
      </c>
      <c r="J507" t="s">
        <v>80</v>
      </c>
      <c r="K507" s="1">
        <v>45831</v>
      </c>
    </row>
    <row r="508" spans="1:11">
      <c r="A508" t="s">
        <v>49</v>
      </c>
      <c r="B508" t="s">
        <v>25</v>
      </c>
      <c r="C508" s="1">
        <v>45835</v>
      </c>
      <c r="D508" t="s">
        <v>328</v>
      </c>
      <c r="F508" t="s">
        <v>3</v>
      </c>
      <c r="G508">
        <v>655352</v>
      </c>
      <c r="H508" t="s">
        <v>6</v>
      </c>
      <c r="I508">
        <v>10</v>
      </c>
      <c r="K508" s="1">
        <v>45835</v>
      </c>
    </row>
    <row r="509" spans="1:11">
      <c r="A509" t="s">
        <v>52</v>
      </c>
      <c r="B509" t="s">
        <v>25</v>
      </c>
      <c r="C509" s="1">
        <v>45835</v>
      </c>
      <c r="D509" t="s">
        <v>328</v>
      </c>
      <c r="F509" t="s">
        <v>3</v>
      </c>
      <c r="G509">
        <v>655352</v>
      </c>
      <c r="H509" t="s">
        <v>6</v>
      </c>
      <c r="I509">
        <v>11</v>
      </c>
      <c r="K509" s="1">
        <v>45835</v>
      </c>
    </row>
    <row r="510" spans="1:11">
      <c r="A510" t="s">
        <v>37</v>
      </c>
      <c r="B510" t="s">
        <v>24</v>
      </c>
      <c r="C510" s="1">
        <v>45838</v>
      </c>
      <c r="D510" t="s">
        <v>328</v>
      </c>
      <c r="F510" t="s">
        <v>3</v>
      </c>
      <c r="G510">
        <v>655352</v>
      </c>
      <c r="H510" t="s">
        <v>6</v>
      </c>
      <c r="I510">
        <v>5</v>
      </c>
      <c r="K510" s="1">
        <v>45838</v>
      </c>
    </row>
    <row r="511" spans="1:11">
      <c r="A511" t="s">
        <v>125</v>
      </c>
      <c r="B511" t="s">
        <v>23</v>
      </c>
      <c r="C511" s="1">
        <v>45838</v>
      </c>
      <c r="D511" t="s">
        <v>328</v>
      </c>
      <c r="F511" t="s">
        <v>55</v>
      </c>
      <c r="G511">
        <v>825812</v>
      </c>
      <c r="H511" t="s">
        <v>124</v>
      </c>
      <c r="I511">
        <v>139</v>
      </c>
      <c r="J511" t="s">
        <v>80</v>
      </c>
      <c r="K511" s="1">
        <v>45838</v>
      </c>
    </row>
    <row r="512" spans="1:11">
      <c r="A512" t="s">
        <v>30</v>
      </c>
      <c r="B512" t="s">
        <v>16</v>
      </c>
      <c r="C512" s="1">
        <v>45840</v>
      </c>
      <c r="D512" t="s">
        <v>328</v>
      </c>
      <c r="E512" t="s">
        <v>32</v>
      </c>
      <c r="F512" t="s">
        <v>3</v>
      </c>
      <c r="G512">
        <v>655352</v>
      </c>
      <c r="H512" t="s">
        <v>6</v>
      </c>
      <c r="I512">
        <v>3</v>
      </c>
      <c r="K512" s="1">
        <v>45840</v>
      </c>
    </row>
    <row r="513" spans="1:11">
      <c r="A513" t="s">
        <v>125</v>
      </c>
      <c r="B513" t="s">
        <v>24</v>
      </c>
      <c r="C513" s="1">
        <v>45840</v>
      </c>
      <c r="D513" t="s">
        <v>328</v>
      </c>
      <c r="F513" t="s">
        <v>55</v>
      </c>
      <c r="G513">
        <v>825812</v>
      </c>
      <c r="H513" t="s">
        <v>124</v>
      </c>
      <c r="I513">
        <v>139</v>
      </c>
      <c r="J513" t="s">
        <v>80</v>
      </c>
      <c r="K513" s="1">
        <v>45840</v>
      </c>
    </row>
    <row r="514" spans="1:11">
      <c r="A514" t="s">
        <v>34</v>
      </c>
      <c r="B514" t="s">
        <v>16</v>
      </c>
      <c r="C514" s="1">
        <v>45842</v>
      </c>
      <c r="D514" t="s">
        <v>328</v>
      </c>
      <c r="E514" t="s">
        <v>32</v>
      </c>
      <c r="F514" t="s">
        <v>3</v>
      </c>
      <c r="G514">
        <v>655352</v>
      </c>
      <c r="H514" t="s">
        <v>6</v>
      </c>
      <c r="I514">
        <v>4</v>
      </c>
      <c r="K514" s="1">
        <v>45842</v>
      </c>
    </row>
    <row r="515" spans="1:11">
      <c r="A515" t="s">
        <v>30</v>
      </c>
      <c r="B515" t="s">
        <v>9</v>
      </c>
      <c r="C515" s="1">
        <v>45845</v>
      </c>
      <c r="D515" t="s">
        <v>328</v>
      </c>
      <c r="F515" t="s">
        <v>3</v>
      </c>
      <c r="G515">
        <v>655352</v>
      </c>
      <c r="H515" t="s">
        <v>6</v>
      </c>
      <c r="I515">
        <v>3</v>
      </c>
      <c r="K515" s="1">
        <v>45845</v>
      </c>
    </row>
    <row r="516" spans="1:11">
      <c r="A516" t="s">
        <v>34</v>
      </c>
      <c r="B516" t="s">
        <v>9</v>
      </c>
      <c r="C516" s="1">
        <v>45845</v>
      </c>
      <c r="D516" t="s">
        <v>328</v>
      </c>
      <c r="F516" t="s">
        <v>3</v>
      </c>
      <c r="G516">
        <v>655352</v>
      </c>
      <c r="H516" t="s">
        <v>6</v>
      </c>
      <c r="I516">
        <v>4</v>
      </c>
      <c r="K516" s="1">
        <v>45845</v>
      </c>
    </row>
    <row r="517" spans="1:11">
      <c r="A517" t="s">
        <v>30</v>
      </c>
      <c r="B517" t="s">
        <v>10</v>
      </c>
      <c r="C517" s="1">
        <v>45845</v>
      </c>
      <c r="D517" t="s">
        <v>328</v>
      </c>
      <c r="F517" t="s">
        <v>3</v>
      </c>
      <c r="G517">
        <v>655352</v>
      </c>
      <c r="H517" t="s">
        <v>6</v>
      </c>
      <c r="I517">
        <v>3</v>
      </c>
      <c r="K517" s="1">
        <v>45845</v>
      </c>
    </row>
    <row r="518" spans="1:11">
      <c r="A518" t="s">
        <v>34</v>
      </c>
      <c r="B518" t="s">
        <v>10</v>
      </c>
      <c r="C518" s="1">
        <v>45845</v>
      </c>
      <c r="D518" t="s">
        <v>328</v>
      </c>
      <c r="F518" t="s">
        <v>3</v>
      </c>
      <c r="G518">
        <v>655352</v>
      </c>
      <c r="H518" t="s">
        <v>6</v>
      </c>
      <c r="I518">
        <v>4</v>
      </c>
      <c r="K518" s="1">
        <v>45845</v>
      </c>
    </row>
    <row r="519" spans="1:11">
      <c r="A519" t="s">
        <v>30</v>
      </c>
      <c r="B519" t="s">
        <v>11</v>
      </c>
      <c r="C519" s="1">
        <v>45845</v>
      </c>
      <c r="D519" t="s">
        <v>328</v>
      </c>
      <c r="F519" t="s">
        <v>3</v>
      </c>
      <c r="G519">
        <v>655352</v>
      </c>
      <c r="H519" t="s">
        <v>6</v>
      </c>
      <c r="I519">
        <v>3</v>
      </c>
      <c r="K519" s="1">
        <v>45845</v>
      </c>
    </row>
    <row r="520" spans="1:11">
      <c r="A520" t="s">
        <v>34</v>
      </c>
      <c r="B520" t="s">
        <v>11</v>
      </c>
      <c r="C520" s="1">
        <v>45845</v>
      </c>
      <c r="D520" t="s">
        <v>328</v>
      </c>
      <c r="F520" t="s">
        <v>3</v>
      </c>
      <c r="G520">
        <v>655352</v>
      </c>
      <c r="H520" t="s">
        <v>6</v>
      </c>
      <c r="I520">
        <v>4</v>
      </c>
      <c r="K520" s="1">
        <v>45845</v>
      </c>
    </row>
    <row r="521" spans="1:11">
      <c r="A521" t="s">
        <v>30</v>
      </c>
      <c r="B521" t="s">
        <v>12</v>
      </c>
      <c r="C521" s="1">
        <v>45845</v>
      </c>
      <c r="D521" t="s">
        <v>328</v>
      </c>
      <c r="F521" t="s">
        <v>3</v>
      </c>
      <c r="G521">
        <v>655352</v>
      </c>
      <c r="H521" t="s">
        <v>6</v>
      </c>
      <c r="I521">
        <v>3</v>
      </c>
      <c r="K521" s="1">
        <v>45845</v>
      </c>
    </row>
    <row r="522" spans="1:11">
      <c r="A522" t="s">
        <v>34</v>
      </c>
      <c r="B522" t="s">
        <v>12</v>
      </c>
      <c r="C522" s="1">
        <v>45845</v>
      </c>
      <c r="D522" t="s">
        <v>328</v>
      </c>
      <c r="F522" t="s">
        <v>3</v>
      </c>
      <c r="G522">
        <v>655352</v>
      </c>
      <c r="H522" t="s">
        <v>6</v>
      </c>
      <c r="I522">
        <v>4</v>
      </c>
      <c r="K522" s="1">
        <v>45845</v>
      </c>
    </row>
    <row r="523" spans="1:11">
      <c r="A523" t="s">
        <v>30</v>
      </c>
      <c r="B523" t="s">
        <v>13</v>
      </c>
      <c r="C523" s="1">
        <v>45845</v>
      </c>
      <c r="D523" t="s">
        <v>328</v>
      </c>
      <c r="F523" t="s">
        <v>3</v>
      </c>
      <c r="G523">
        <v>655352</v>
      </c>
      <c r="H523" t="s">
        <v>6</v>
      </c>
      <c r="I523">
        <v>3</v>
      </c>
      <c r="K523" s="1">
        <v>45845</v>
      </c>
    </row>
    <row r="524" spans="1:11">
      <c r="A524" t="s">
        <v>34</v>
      </c>
      <c r="B524" t="s">
        <v>13</v>
      </c>
      <c r="C524" s="1">
        <v>45845</v>
      </c>
      <c r="D524" t="s">
        <v>328</v>
      </c>
      <c r="F524" t="s">
        <v>3</v>
      </c>
      <c r="G524">
        <v>655352</v>
      </c>
      <c r="H524" t="s">
        <v>6</v>
      </c>
      <c r="I524">
        <v>4</v>
      </c>
      <c r="K524" s="1">
        <v>45845</v>
      </c>
    </row>
    <row r="525" spans="1:11">
      <c r="A525" t="s">
        <v>30</v>
      </c>
      <c r="B525" t="s">
        <v>14</v>
      </c>
      <c r="C525" s="1">
        <v>45845</v>
      </c>
      <c r="D525" t="s">
        <v>328</v>
      </c>
      <c r="F525" t="s">
        <v>3</v>
      </c>
      <c r="G525">
        <v>655352</v>
      </c>
      <c r="H525" t="s">
        <v>6</v>
      </c>
      <c r="I525">
        <v>3</v>
      </c>
      <c r="K525" s="1">
        <v>45845</v>
      </c>
    </row>
    <row r="526" spans="1:11">
      <c r="A526" t="s">
        <v>34</v>
      </c>
      <c r="B526" t="s">
        <v>14</v>
      </c>
      <c r="C526" s="1">
        <v>45845</v>
      </c>
      <c r="D526" t="s">
        <v>328</v>
      </c>
      <c r="F526" t="s">
        <v>3</v>
      </c>
      <c r="G526">
        <v>655352</v>
      </c>
      <c r="H526" t="s">
        <v>6</v>
      </c>
      <c r="I526">
        <v>4</v>
      </c>
      <c r="K526" s="1">
        <v>45845</v>
      </c>
    </row>
    <row r="527" spans="1:11">
      <c r="A527" t="s">
        <v>30</v>
      </c>
      <c r="B527" t="s">
        <v>15</v>
      </c>
      <c r="C527" s="1">
        <v>45845</v>
      </c>
      <c r="D527" t="s">
        <v>328</v>
      </c>
      <c r="F527" t="s">
        <v>3</v>
      </c>
      <c r="G527">
        <v>655352</v>
      </c>
      <c r="H527" t="s">
        <v>6</v>
      </c>
      <c r="I527">
        <v>3</v>
      </c>
      <c r="K527" s="1">
        <v>45845</v>
      </c>
    </row>
    <row r="528" spans="1:11">
      <c r="A528" t="s">
        <v>34</v>
      </c>
      <c r="B528" t="s">
        <v>15</v>
      </c>
      <c r="C528" s="1">
        <v>45845</v>
      </c>
      <c r="D528" t="s">
        <v>328</v>
      </c>
      <c r="F528" t="s">
        <v>3</v>
      </c>
      <c r="G528">
        <v>655352</v>
      </c>
      <c r="H528" t="s">
        <v>6</v>
      </c>
      <c r="I528">
        <v>4</v>
      </c>
      <c r="K528" s="1">
        <v>45845</v>
      </c>
    </row>
    <row r="529" spans="1:11">
      <c r="A529" t="s">
        <v>30</v>
      </c>
      <c r="B529" t="s">
        <v>18</v>
      </c>
      <c r="C529" s="1">
        <v>45846</v>
      </c>
      <c r="D529" t="s">
        <v>328</v>
      </c>
      <c r="F529" t="s">
        <v>3</v>
      </c>
      <c r="G529">
        <v>655352</v>
      </c>
      <c r="H529" t="s">
        <v>6</v>
      </c>
      <c r="I529">
        <v>3</v>
      </c>
      <c r="K529" s="1">
        <v>45846</v>
      </c>
    </row>
    <row r="530" spans="1:11">
      <c r="A530" t="s">
        <v>34</v>
      </c>
      <c r="B530" t="s">
        <v>18</v>
      </c>
      <c r="C530" s="1">
        <v>45846</v>
      </c>
      <c r="D530" t="s">
        <v>328</v>
      </c>
      <c r="F530" t="s">
        <v>3</v>
      </c>
      <c r="G530">
        <v>655352</v>
      </c>
      <c r="H530" t="s">
        <v>6</v>
      </c>
      <c r="I530">
        <v>4</v>
      </c>
      <c r="K530" s="1">
        <v>45846</v>
      </c>
    </row>
    <row r="531" spans="1:11">
      <c r="A531" t="s">
        <v>30</v>
      </c>
      <c r="B531" t="s">
        <v>19</v>
      </c>
      <c r="C531" s="1">
        <v>45846</v>
      </c>
      <c r="D531" t="s">
        <v>328</v>
      </c>
      <c r="F531" t="s">
        <v>3</v>
      </c>
      <c r="G531">
        <v>655352</v>
      </c>
      <c r="H531" t="s">
        <v>6</v>
      </c>
      <c r="I531">
        <v>3</v>
      </c>
      <c r="K531" s="1">
        <v>45846</v>
      </c>
    </row>
    <row r="532" spans="1:11">
      <c r="A532" t="s">
        <v>34</v>
      </c>
      <c r="B532" t="s">
        <v>19</v>
      </c>
      <c r="C532" s="1">
        <v>45846</v>
      </c>
      <c r="D532" t="s">
        <v>328</v>
      </c>
      <c r="F532" t="s">
        <v>3</v>
      </c>
      <c r="G532">
        <v>655352</v>
      </c>
      <c r="H532" t="s">
        <v>6</v>
      </c>
      <c r="I532">
        <v>4</v>
      </c>
      <c r="K532" s="1">
        <v>45846</v>
      </c>
    </row>
    <row r="533" spans="1:11">
      <c r="A533" t="s">
        <v>30</v>
      </c>
      <c r="B533" t="s">
        <v>20</v>
      </c>
      <c r="C533" s="1">
        <v>45846</v>
      </c>
      <c r="D533" t="s">
        <v>328</v>
      </c>
      <c r="F533" t="s">
        <v>3</v>
      </c>
      <c r="G533">
        <v>655352</v>
      </c>
      <c r="H533" t="s">
        <v>6</v>
      </c>
      <c r="I533">
        <v>3</v>
      </c>
      <c r="K533" s="1">
        <v>45846</v>
      </c>
    </row>
    <row r="534" spans="1:11">
      <c r="A534" t="s">
        <v>34</v>
      </c>
      <c r="B534" t="s">
        <v>20</v>
      </c>
      <c r="C534" s="1">
        <v>45846</v>
      </c>
      <c r="D534" t="s">
        <v>328</v>
      </c>
      <c r="F534" t="s">
        <v>3</v>
      </c>
      <c r="G534">
        <v>655352</v>
      </c>
      <c r="H534" t="s">
        <v>6</v>
      </c>
      <c r="I534">
        <v>4</v>
      </c>
      <c r="K534" s="1">
        <v>45846</v>
      </c>
    </row>
    <row r="535" spans="1:11">
      <c r="A535" t="s">
        <v>30</v>
      </c>
      <c r="B535" t="s">
        <v>17</v>
      </c>
      <c r="C535" s="1">
        <v>45856</v>
      </c>
      <c r="D535" t="s">
        <v>328</v>
      </c>
      <c r="F535" t="s">
        <v>3</v>
      </c>
      <c r="G535">
        <v>655352</v>
      </c>
      <c r="H535" t="s">
        <v>6</v>
      </c>
      <c r="I535">
        <v>3</v>
      </c>
      <c r="K535" s="1">
        <v>45856</v>
      </c>
    </row>
    <row r="536" spans="1:11">
      <c r="A536" t="s">
        <v>278</v>
      </c>
      <c r="B536" t="s">
        <v>9</v>
      </c>
      <c r="C536" s="1">
        <v>45856</v>
      </c>
      <c r="D536" t="s">
        <v>328</v>
      </c>
      <c r="F536" t="s">
        <v>254</v>
      </c>
      <c r="G536">
        <v>1014701</v>
      </c>
      <c r="H536" t="s">
        <v>247</v>
      </c>
      <c r="I536">
        <v>3</v>
      </c>
      <c r="J536" t="s">
        <v>80</v>
      </c>
      <c r="K536" s="1">
        <v>45856</v>
      </c>
    </row>
    <row r="537" spans="1:11">
      <c r="A537" t="s">
        <v>278</v>
      </c>
      <c r="B537" t="s">
        <v>197</v>
      </c>
      <c r="C537" s="1">
        <v>45856</v>
      </c>
      <c r="D537" t="s">
        <v>328</v>
      </c>
      <c r="F537" t="s">
        <v>254</v>
      </c>
      <c r="G537">
        <v>1014701</v>
      </c>
      <c r="H537" t="s">
        <v>247</v>
      </c>
      <c r="I537">
        <v>3</v>
      </c>
      <c r="J537" t="s">
        <v>80</v>
      </c>
      <c r="K537" s="1">
        <v>45856</v>
      </c>
    </row>
    <row r="538" spans="1:11">
      <c r="A538" t="s">
        <v>278</v>
      </c>
      <c r="B538" t="s">
        <v>10</v>
      </c>
      <c r="C538" s="1">
        <v>45856</v>
      </c>
      <c r="D538" t="s">
        <v>328</v>
      </c>
      <c r="F538" t="s">
        <v>254</v>
      </c>
      <c r="G538">
        <v>1014701</v>
      </c>
      <c r="H538" t="s">
        <v>247</v>
      </c>
      <c r="I538">
        <v>3</v>
      </c>
      <c r="J538" t="s">
        <v>80</v>
      </c>
      <c r="K538" s="1">
        <v>45856</v>
      </c>
    </row>
    <row r="539" spans="1:11">
      <c r="A539" t="s">
        <v>49</v>
      </c>
      <c r="B539" t="s">
        <v>9</v>
      </c>
      <c r="C539" s="1">
        <v>45860</v>
      </c>
      <c r="D539" t="s">
        <v>328</v>
      </c>
      <c r="F539" t="s">
        <v>3</v>
      </c>
      <c r="G539">
        <v>655352</v>
      </c>
      <c r="H539" t="s">
        <v>6</v>
      </c>
      <c r="I539">
        <v>10</v>
      </c>
      <c r="K539" s="1">
        <v>45860</v>
      </c>
    </row>
    <row r="540" spans="1:11">
      <c r="A540" t="s">
        <v>49</v>
      </c>
      <c r="B540" t="s">
        <v>10</v>
      </c>
      <c r="C540" s="1">
        <v>45860</v>
      </c>
      <c r="D540" t="s">
        <v>328</v>
      </c>
      <c r="F540" t="s">
        <v>3</v>
      </c>
      <c r="G540">
        <v>655352</v>
      </c>
      <c r="H540" t="s">
        <v>6</v>
      </c>
      <c r="I540">
        <v>10</v>
      </c>
      <c r="K540" s="1">
        <v>45860</v>
      </c>
    </row>
    <row r="541" spans="1:11">
      <c r="A541" t="s">
        <v>49</v>
      </c>
      <c r="B541" t="s">
        <v>11</v>
      </c>
      <c r="C541" s="1">
        <v>45860</v>
      </c>
      <c r="D541" t="s">
        <v>328</v>
      </c>
      <c r="F541" t="s">
        <v>3</v>
      </c>
      <c r="G541">
        <v>655352</v>
      </c>
      <c r="H541" t="s">
        <v>6</v>
      </c>
      <c r="I541">
        <v>10</v>
      </c>
      <c r="K541" s="1">
        <v>45860</v>
      </c>
    </row>
    <row r="542" spans="1:11">
      <c r="A542" t="s">
        <v>49</v>
      </c>
      <c r="B542" t="s">
        <v>12</v>
      </c>
      <c r="C542" s="1">
        <v>45860</v>
      </c>
      <c r="D542" t="s">
        <v>328</v>
      </c>
      <c r="F542" t="s">
        <v>3</v>
      </c>
      <c r="G542">
        <v>655352</v>
      </c>
      <c r="H542" t="s">
        <v>6</v>
      </c>
      <c r="I542">
        <v>10</v>
      </c>
      <c r="K542" s="1">
        <v>45860</v>
      </c>
    </row>
    <row r="543" spans="1:11">
      <c r="A543" t="s">
        <v>49</v>
      </c>
      <c r="B543" t="s">
        <v>13</v>
      </c>
      <c r="C543" s="1">
        <v>45860</v>
      </c>
      <c r="D543" t="s">
        <v>328</v>
      </c>
      <c r="F543" t="s">
        <v>3</v>
      </c>
      <c r="G543">
        <v>655352</v>
      </c>
      <c r="H543" t="s">
        <v>6</v>
      </c>
      <c r="I543">
        <v>10</v>
      </c>
      <c r="K543" s="1">
        <v>45860</v>
      </c>
    </row>
    <row r="544" spans="1:11">
      <c r="A544" t="s">
        <v>49</v>
      </c>
      <c r="B544" t="s">
        <v>14</v>
      </c>
      <c r="C544" s="1">
        <v>45860</v>
      </c>
      <c r="D544" t="s">
        <v>328</v>
      </c>
      <c r="F544" t="s">
        <v>3</v>
      </c>
      <c r="G544">
        <v>655352</v>
      </c>
      <c r="H544" t="s">
        <v>6</v>
      </c>
      <c r="I544">
        <v>10</v>
      </c>
      <c r="K544" s="1">
        <v>45860</v>
      </c>
    </row>
    <row r="545" spans="1:11">
      <c r="A545" t="s">
        <v>49</v>
      </c>
      <c r="B545" t="s">
        <v>15</v>
      </c>
      <c r="C545" s="1">
        <v>45860</v>
      </c>
      <c r="D545" t="s">
        <v>328</v>
      </c>
      <c r="F545" t="s">
        <v>3</v>
      </c>
      <c r="G545">
        <v>655352</v>
      </c>
      <c r="H545" t="s">
        <v>6</v>
      </c>
      <c r="I545">
        <v>10</v>
      </c>
      <c r="K545" s="1">
        <v>45860</v>
      </c>
    </row>
    <row r="546" spans="1:11">
      <c r="A546" t="s">
        <v>49</v>
      </c>
      <c r="B546" t="s">
        <v>18</v>
      </c>
      <c r="C546" s="1">
        <v>45861</v>
      </c>
      <c r="D546" t="s">
        <v>328</v>
      </c>
      <c r="F546" t="s">
        <v>3</v>
      </c>
      <c r="G546">
        <v>655352</v>
      </c>
      <c r="H546" t="s">
        <v>6</v>
      </c>
      <c r="I546">
        <v>10</v>
      </c>
      <c r="K546" s="1">
        <v>45861</v>
      </c>
    </row>
    <row r="547" spans="1:11">
      <c r="A547" t="s">
        <v>49</v>
      </c>
      <c r="B547" t="s">
        <v>19</v>
      </c>
      <c r="C547" s="1">
        <v>45861</v>
      </c>
      <c r="D547" t="s">
        <v>328</v>
      </c>
      <c r="F547" t="s">
        <v>3</v>
      </c>
      <c r="G547">
        <v>655352</v>
      </c>
      <c r="H547" t="s">
        <v>6</v>
      </c>
      <c r="I547">
        <v>10</v>
      </c>
      <c r="K547" s="1">
        <v>45861</v>
      </c>
    </row>
    <row r="548" spans="1:11">
      <c r="A548" t="s">
        <v>49</v>
      </c>
      <c r="B548" t="s">
        <v>20</v>
      </c>
      <c r="C548" s="1">
        <v>45861</v>
      </c>
      <c r="D548" t="s">
        <v>328</v>
      </c>
      <c r="F548" t="s">
        <v>3</v>
      </c>
      <c r="G548">
        <v>655352</v>
      </c>
      <c r="H548" t="s">
        <v>6</v>
      </c>
      <c r="I548">
        <v>10</v>
      </c>
      <c r="K548" s="1">
        <v>45861</v>
      </c>
    </row>
    <row r="549" spans="1:11">
      <c r="A549" t="s">
        <v>52</v>
      </c>
      <c r="B549" t="s">
        <v>20</v>
      </c>
      <c r="C549" s="1">
        <v>45861</v>
      </c>
      <c r="D549" t="s">
        <v>328</v>
      </c>
      <c r="F549" t="s">
        <v>3</v>
      </c>
      <c r="G549">
        <v>655352</v>
      </c>
      <c r="H549" t="s">
        <v>6</v>
      </c>
      <c r="I549">
        <v>11</v>
      </c>
      <c r="K549" s="1">
        <v>45861</v>
      </c>
    </row>
    <row r="550" spans="1:11">
      <c r="A550" t="s">
        <v>30</v>
      </c>
      <c r="B550" t="s">
        <v>23</v>
      </c>
      <c r="C550" s="1">
        <v>45862</v>
      </c>
      <c r="D550" t="s">
        <v>328</v>
      </c>
      <c r="F550" t="s">
        <v>3</v>
      </c>
      <c r="G550">
        <v>655352</v>
      </c>
      <c r="H550" t="s">
        <v>6</v>
      </c>
      <c r="I550">
        <v>3</v>
      </c>
      <c r="K550" s="1">
        <v>45862</v>
      </c>
    </row>
    <row r="551" spans="1:11">
      <c r="A551" t="s">
        <v>30</v>
      </c>
      <c r="B551" t="s">
        <v>24</v>
      </c>
      <c r="C551" s="1">
        <v>45862</v>
      </c>
      <c r="D551" t="s">
        <v>328</v>
      </c>
      <c r="F551" t="s">
        <v>3</v>
      </c>
      <c r="G551">
        <v>655352</v>
      </c>
      <c r="H551" t="s">
        <v>6</v>
      </c>
      <c r="I551">
        <v>3</v>
      </c>
      <c r="K551" s="1">
        <v>45862</v>
      </c>
    </row>
    <row r="552" spans="1:11">
      <c r="A552" t="s">
        <v>30</v>
      </c>
      <c r="B552" t="s">
        <v>26</v>
      </c>
      <c r="C552" s="1">
        <v>45862</v>
      </c>
      <c r="D552" t="s">
        <v>328</v>
      </c>
      <c r="F552" t="s">
        <v>3</v>
      </c>
      <c r="G552">
        <v>655352</v>
      </c>
      <c r="H552" t="s">
        <v>6</v>
      </c>
      <c r="I552">
        <v>3</v>
      </c>
      <c r="K552" s="1">
        <v>45862</v>
      </c>
    </row>
    <row r="553" spans="1:11">
      <c r="A553" t="s">
        <v>30</v>
      </c>
      <c r="B553" t="s">
        <v>27</v>
      </c>
      <c r="C553" s="1">
        <v>45862</v>
      </c>
      <c r="D553" t="s">
        <v>328</v>
      </c>
      <c r="E553" t="s">
        <v>33</v>
      </c>
      <c r="F553" t="s">
        <v>3</v>
      </c>
      <c r="G553">
        <v>655352</v>
      </c>
      <c r="H553" t="s">
        <v>6</v>
      </c>
      <c r="I553">
        <v>3</v>
      </c>
      <c r="K553" s="1">
        <v>45862</v>
      </c>
    </row>
    <row r="554" spans="1:11">
      <c r="A554" t="s">
        <v>30</v>
      </c>
      <c r="B554" t="s">
        <v>21</v>
      </c>
      <c r="C554" s="1">
        <v>45863</v>
      </c>
      <c r="D554" t="s">
        <v>328</v>
      </c>
      <c r="F554" t="s">
        <v>3</v>
      </c>
      <c r="G554">
        <v>655352</v>
      </c>
      <c r="H554" t="s">
        <v>6</v>
      </c>
      <c r="I554">
        <v>3</v>
      </c>
      <c r="K554" s="1">
        <v>45863</v>
      </c>
    </row>
    <row r="555" spans="1:11">
      <c r="A555" t="s">
        <v>34</v>
      </c>
      <c r="B555" t="s">
        <v>21</v>
      </c>
      <c r="C555" s="1">
        <v>45868</v>
      </c>
      <c r="D555" t="s">
        <v>328</v>
      </c>
      <c r="F555" t="s">
        <v>3</v>
      </c>
      <c r="G555">
        <v>655352</v>
      </c>
      <c r="H555" t="s">
        <v>6</v>
      </c>
      <c r="I555">
        <v>4</v>
      </c>
      <c r="K555" s="1">
        <v>45868</v>
      </c>
    </row>
    <row r="556" spans="1:11">
      <c r="A556" t="s">
        <v>49</v>
      </c>
      <c r="B556" t="s">
        <v>23</v>
      </c>
      <c r="C556" s="1">
        <v>45874</v>
      </c>
      <c r="D556" t="s">
        <v>328</v>
      </c>
      <c r="F556" t="s">
        <v>3</v>
      </c>
      <c r="G556">
        <v>655352</v>
      </c>
      <c r="H556" t="s">
        <v>6</v>
      </c>
      <c r="I556">
        <v>10</v>
      </c>
      <c r="K556" s="1">
        <v>45874</v>
      </c>
    </row>
    <row r="557" spans="1:11">
      <c r="A557" t="s">
        <v>49</v>
      </c>
      <c r="B557" t="s">
        <v>24</v>
      </c>
      <c r="C557" s="1">
        <v>45877</v>
      </c>
      <c r="D557" t="s">
        <v>328</v>
      </c>
      <c r="F557" t="s">
        <v>3</v>
      </c>
      <c r="G557">
        <v>655352</v>
      </c>
      <c r="H557" t="s">
        <v>6</v>
      </c>
      <c r="I557">
        <v>10</v>
      </c>
      <c r="K557" s="1">
        <v>45877</v>
      </c>
    </row>
    <row r="558" spans="1:11">
      <c r="A558" t="s">
        <v>52</v>
      </c>
      <c r="B558" t="s">
        <v>9</v>
      </c>
      <c r="C558" s="1">
        <v>45880</v>
      </c>
      <c r="D558" t="s">
        <v>328</v>
      </c>
      <c r="F558" t="s">
        <v>3</v>
      </c>
      <c r="G558">
        <v>655352</v>
      </c>
      <c r="H558" t="s">
        <v>6</v>
      </c>
      <c r="I558">
        <v>11</v>
      </c>
      <c r="K558" s="1">
        <v>45880</v>
      </c>
    </row>
    <row r="559" spans="1:11">
      <c r="A559" t="s">
        <v>52</v>
      </c>
      <c r="B559" t="s">
        <v>10</v>
      </c>
      <c r="C559" s="1">
        <v>45880</v>
      </c>
      <c r="D559" t="s">
        <v>328</v>
      </c>
      <c r="F559" t="s">
        <v>3</v>
      </c>
      <c r="G559">
        <v>655352</v>
      </c>
      <c r="H559" t="s">
        <v>6</v>
      </c>
      <c r="I559">
        <v>11</v>
      </c>
      <c r="K559" s="1">
        <v>45880</v>
      </c>
    </row>
    <row r="560" spans="1:11">
      <c r="A560" t="s">
        <v>52</v>
      </c>
      <c r="B560" t="s">
        <v>11</v>
      </c>
      <c r="C560" s="1">
        <v>45880</v>
      </c>
      <c r="D560" t="s">
        <v>328</v>
      </c>
      <c r="F560" t="s">
        <v>3</v>
      </c>
      <c r="G560">
        <v>655352</v>
      </c>
      <c r="H560" t="s">
        <v>6</v>
      </c>
      <c r="I560">
        <v>11</v>
      </c>
      <c r="K560" s="1">
        <v>45880</v>
      </c>
    </row>
    <row r="561" spans="1:11">
      <c r="A561" t="s">
        <v>52</v>
      </c>
      <c r="B561" t="s">
        <v>12</v>
      </c>
      <c r="C561" s="1">
        <v>45880</v>
      </c>
      <c r="D561" t="s">
        <v>328</v>
      </c>
      <c r="F561" t="s">
        <v>3</v>
      </c>
      <c r="G561">
        <v>655352</v>
      </c>
      <c r="H561" t="s">
        <v>6</v>
      </c>
      <c r="I561">
        <v>11</v>
      </c>
      <c r="K561" s="1">
        <v>45880</v>
      </c>
    </row>
    <row r="562" spans="1:11">
      <c r="A562" t="s">
        <v>52</v>
      </c>
      <c r="B562" t="s">
        <v>13</v>
      </c>
      <c r="C562" s="1">
        <v>45880</v>
      </c>
      <c r="D562" t="s">
        <v>328</v>
      </c>
      <c r="F562" t="s">
        <v>3</v>
      </c>
      <c r="G562">
        <v>655352</v>
      </c>
      <c r="H562" t="s">
        <v>6</v>
      </c>
      <c r="I562">
        <v>11</v>
      </c>
      <c r="K562" s="1">
        <v>45880</v>
      </c>
    </row>
    <row r="563" spans="1:11">
      <c r="A563" t="s">
        <v>52</v>
      </c>
      <c r="B563" t="s">
        <v>14</v>
      </c>
      <c r="C563" s="1">
        <v>45880</v>
      </c>
      <c r="D563" t="s">
        <v>328</v>
      </c>
      <c r="F563" t="s">
        <v>3</v>
      </c>
      <c r="G563">
        <v>655352</v>
      </c>
      <c r="H563" t="s">
        <v>6</v>
      </c>
      <c r="I563">
        <v>11</v>
      </c>
      <c r="K563" s="1">
        <v>45880</v>
      </c>
    </row>
    <row r="564" spans="1:11">
      <c r="A564" t="s">
        <v>52</v>
      </c>
      <c r="B564" t="s">
        <v>15</v>
      </c>
      <c r="C564" s="1">
        <v>45880</v>
      </c>
      <c r="D564" t="s">
        <v>328</v>
      </c>
      <c r="F564" t="s">
        <v>3</v>
      </c>
      <c r="G564">
        <v>655352</v>
      </c>
      <c r="H564" t="s">
        <v>6</v>
      </c>
      <c r="I564">
        <v>11</v>
      </c>
      <c r="K564" s="1">
        <v>45880</v>
      </c>
    </row>
    <row r="565" spans="1:11">
      <c r="A565" t="s">
        <v>52</v>
      </c>
      <c r="B565" t="s">
        <v>18</v>
      </c>
      <c r="C565" s="1">
        <v>45880</v>
      </c>
      <c r="D565" t="s">
        <v>328</v>
      </c>
      <c r="F565" t="s">
        <v>3</v>
      </c>
      <c r="G565">
        <v>655352</v>
      </c>
      <c r="H565" t="s">
        <v>6</v>
      </c>
      <c r="I565">
        <v>11</v>
      </c>
      <c r="K565" s="1">
        <v>45880</v>
      </c>
    </row>
    <row r="566" spans="1:11">
      <c r="A566" t="s">
        <v>52</v>
      </c>
      <c r="B566" t="s">
        <v>19</v>
      </c>
      <c r="C566" s="1">
        <v>45880</v>
      </c>
      <c r="D566" t="s">
        <v>328</v>
      </c>
      <c r="F566" t="s">
        <v>3</v>
      </c>
      <c r="G566">
        <v>655352</v>
      </c>
      <c r="H566" t="s">
        <v>6</v>
      </c>
      <c r="I566">
        <v>11</v>
      </c>
      <c r="K566" s="1">
        <v>45880</v>
      </c>
    </row>
    <row r="567" spans="1:11">
      <c r="A567" t="s">
        <v>49</v>
      </c>
      <c r="B567" t="s">
        <v>26</v>
      </c>
      <c r="C567" s="1">
        <v>45880</v>
      </c>
      <c r="D567" t="s">
        <v>328</v>
      </c>
      <c r="F567" t="s">
        <v>3</v>
      </c>
      <c r="G567">
        <v>655352</v>
      </c>
      <c r="H567" t="s">
        <v>6</v>
      </c>
      <c r="I567">
        <v>10</v>
      </c>
      <c r="K567" s="1">
        <v>45880</v>
      </c>
    </row>
    <row r="568" spans="1:11">
      <c r="A568" t="s">
        <v>52</v>
      </c>
      <c r="B568" t="s">
        <v>26</v>
      </c>
      <c r="C568" s="1">
        <v>45880</v>
      </c>
      <c r="D568" t="s">
        <v>328</v>
      </c>
      <c r="F568" t="s">
        <v>3</v>
      </c>
      <c r="G568">
        <v>655352</v>
      </c>
      <c r="H568" t="s">
        <v>6</v>
      </c>
      <c r="I568">
        <v>11</v>
      </c>
      <c r="K568" s="1">
        <v>45880</v>
      </c>
    </row>
    <row r="569" spans="1:11">
      <c r="A569" t="s">
        <v>49</v>
      </c>
      <c r="B569" t="s">
        <v>27</v>
      </c>
      <c r="C569" s="1">
        <v>45880</v>
      </c>
      <c r="D569" t="s">
        <v>328</v>
      </c>
      <c r="E569" t="s">
        <v>51</v>
      </c>
      <c r="F569" t="s">
        <v>3</v>
      </c>
      <c r="G569">
        <v>655352</v>
      </c>
      <c r="H569" t="s">
        <v>6</v>
      </c>
      <c r="I569">
        <v>10</v>
      </c>
      <c r="K569" s="1">
        <v>45880</v>
      </c>
    </row>
    <row r="570" spans="1:11">
      <c r="A570" t="s">
        <v>52</v>
      </c>
      <c r="B570" t="s">
        <v>27</v>
      </c>
      <c r="C570" s="1">
        <v>45880</v>
      </c>
      <c r="D570" t="s">
        <v>328</v>
      </c>
      <c r="E570" t="s">
        <v>54</v>
      </c>
      <c r="F570" t="s">
        <v>3</v>
      </c>
      <c r="G570">
        <v>655352</v>
      </c>
      <c r="H570" t="s">
        <v>6</v>
      </c>
      <c r="I570">
        <v>11</v>
      </c>
      <c r="K570" s="1">
        <v>45880</v>
      </c>
    </row>
    <row r="571" spans="1:11">
      <c r="A571" t="s">
        <v>49</v>
      </c>
      <c r="B571" t="s">
        <v>21</v>
      </c>
      <c r="C571" s="1">
        <v>45881</v>
      </c>
      <c r="D571" t="s">
        <v>328</v>
      </c>
      <c r="F571" t="s">
        <v>3</v>
      </c>
      <c r="G571">
        <v>655352</v>
      </c>
      <c r="H571" t="s">
        <v>6</v>
      </c>
      <c r="I571">
        <v>10</v>
      </c>
      <c r="K571" s="1">
        <v>45881</v>
      </c>
    </row>
    <row r="572" spans="1:11">
      <c r="A572" t="s">
        <v>52</v>
      </c>
      <c r="B572" t="s">
        <v>21</v>
      </c>
      <c r="C572" s="1">
        <v>45881</v>
      </c>
      <c r="D572" t="s">
        <v>328</v>
      </c>
      <c r="F572" t="s">
        <v>3</v>
      </c>
      <c r="G572">
        <v>655352</v>
      </c>
      <c r="H572" t="s">
        <v>6</v>
      </c>
      <c r="I572">
        <v>11</v>
      </c>
      <c r="K572" s="1">
        <v>45881</v>
      </c>
    </row>
    <row r="573" spans="1:11">
      <c r="A573" t="s">
        <v>30</v>
      </c>
      <c r="B573" t="s">
        <v>22</v>
      </c>
      <c r="C573" s="1">
        <v>45881</v>
      </c>
      <c r="D573" t="s">
        <v>328</v>
      </c>
      <c r="F573" t="s">
        <v>3</v>
      </c>
      <c r="G573">
        <v>655352</v>
      </c>
      <c r="H573" t="s">
        <v>6</v>
      </c>
      <c r="I573">
        <v>3</v>
      </c>
      <c r="K573" s="1">
        <v>45881</v>
      </c>
    </row>
    <row r="574" spans="1:11">
      <c r="A574" t="s">
        <v>34</v>
      </c>
      <c r="B574" t="s">
        <v>22</v>
      </c>
      <c r="C574" s="1">
        <v>45881</v>
      </c>
      <c r="D574" t="s">
        <v>328</v>
      </c>
      <c r="F574" t="s">
        <v>3</v>
      </c>
      <c r="G574">
        <v>655352</v>
      </c>
      <c r="H574" t="s">
        <v>6</v>
      </c>
      <c r="I574">
        <v>4</v>
      </c>
      <c r="K574" s="1">
        <v>45881</v>
      </c>
    </row>
    <row r="575" spans="1:11">
      <c r="A575" t="s">
        <v>49</v>
      </c>
      <c r="B575" t="s">
        <v>22</v>
      </c>
      <c r="C575" s="1">
        <v>45881</v>
      </c>
      <c r="D575" t="s">
        <v>328</v>
      </c>
      <c r="F575" t="s">
        <v>3</v>
      </c>
      <c r="G575">
        <v>655352</v>
      </c>
      <c r="H575" t="s">
        <v>6</v>
      </c>
      <c r="I575">
        <v>10</v>
      </c>
      <c r="K575" s="1">
        <v>45881</v>
      </c>
    </row>
    <row r="576" spans="1:11">
      <c r="A576" t="s">
        <v>52</v>
      </c>
      <c r="B576" t="s">
        <v>22</v>
      </c>
      <c r="C576" s="1">
        <v>45881</v>
      </c>
      <c r="D576" t="s">
        <v>328</v>
      </c>
      <c r="F576" t="s">
        <v>3</v>
      </c>
      <c r="G576">
        <v>655352</v>
      </c>
      <c r="H576" t="s">
        <v>6</v>
      </c>
      <c r="I576">
        <v>11</v>
      </c>
      <c r="K576" s="1">
        <v>45881</v>
      </c>
    </row>
    <row r="577" spans="1:11">
      <c r="A577" t="s">
        <v>52</v>
      </c>
      <c r="B577" t="s">
        <v>23</v>
      </c>
      <c r="C577" s="1">
        <v>45882</v>
      </c>
      <c r="D577" t="s">
        <v>328</v>
      </c>
      <c r="F577" t="s">
        <v>3</v>
      </c>
      <c r="G577">
        <v>655352</v>
      </c>
      <c r="H577" t="s">
        <v>6</v>
      </c>
      <c r="I577">
        <v>11</v>
      </c>
      <c r="K577" s="1">
        <v>45882</v>
      </c>
    </row>
    <row r="578" spans="1:11">
      <c r="A578" t="s">
        <v>52</v>
      </c>
      <c r="B578" t="s">
        <v>24</v>
      </c>
      <c r="C578" s="1">
        <v>45883</v>
      </c>
      <c r="D578" t="s">
        <v>328</v>
      </c>
      <c r="F578" t="s">
        <v>3</v>
      </c>
      <c r="G578">
        <v>655352</v>
      </c>
      <c r="H578" t="s">
        <v>6</v>
      </c>
      <c r="I578">
        <v>11</v>
      </c>
      <c r="K578" s="1">
        <v>45883</v>
      </c>
    </row>
    <row r="579" spans="1:11">
      <c r="A579" t="s">
        <v>34</v>
      </c>
      <c r="B579" t="s">
        <v>27</v>
      </c>
      <c r="C579" s="1">
        <v>45891</v>
      </c>
      <c r="D579" t="s">
        <v>328</v>
      </c>
      <c r="E579" t="s">
        <v>36</v>
      </c>
      <c r="F579" t="s">
        <v>3</v>
      </c>
      <c r="G579">
        <v>655352</v>
      </c>
      <c r="H579" t="s">
        <v>6</v>
      </c>
      <c r="I579">
        <v>4</v>
      </c>
      <c r="K579" s="1">
        <v>45891</v>
      </c>
    </row>
    <row r="580" spans="1:11">
      <c r="A580" t="s">
        <v>280</v>
      </c>
      <c r="B580" t="s">
        <v>9</v>
      </c>
      <c r="C580" s="1">
        <v>45891</v>
      </c>
      <c r="D580" t="s">
        <v>328</v>
      </c>
      <c r="F580" t="s">
        <v>254</v>
      </c>
      <c r="G580">
        <v>1014701</v>
      </c>
      <c r="H580" t="s">
        <v>247</v>
      </c>
      <c r="I580">
        <v>4</v>
      </c>
      <c r="J580" t="s">
        <v>80</v>
      </c>
      <c r="K580" s="1">
        <v>45891</v>
      </c>
    </row>
    <row r="581" spans="1:11">
      <c r="A581" t="s">
        <v>280</v>
      </c>
      <c r="B581" t="s">
        <v>197</v>
      </c>
      <c r="C581" s="1">
        <v>45891</v>
      </c>
      <c r="D581" t="s">
        <v>328</v>
      </c>
      <c r="F581" t="s">
        <v>254</v>
      </c>
      <c r="G581">
        <v>1014701</v>
      </c>
      <c r="H581" t="s">
        <v>247</v>
      </c>
      <c r="I581">
        <v>4</v>
      </c>
      <c r="J581" t="s">
        <v>80</v>
      </c>
      <c r="K581" s="1">
        <v>45891</v>
      </c>
    </row>
    <row r="582" spans="1:11">
      <c r="A582" t="s">
        <v>280</v>
      </c>
      <c r="B582" t="s">
        <v>10</v>
      </c>
      <c r="C582" s="1">
        <v>45891</v>
      </c>
      <c r="D582" t="s">
        <v>328</v>
      </c>
      <c r="F582" t="s">
        <v>254</v>
      </c>
      <c r="G582">
        <v>1014701</v>
      </c>
      <c r="H582" t="s">
        <v>247</v>
      </c>
      <c r="I582">
        <v>4</v>
      </c>
      <c r="J582" t="s">
        <v>80</v>
      </c>
      <c r="K582" s="1">
        <v>45891</v>
      </c>
    </row>
    <row r="583" spans="1:11">
      <c r="A583" t="s">
        <v>34</v>
      </c>
      <c r="B583" t="s">
        <v>23</v>
      </c>
      <c r="C583" s="1">
        <v>45895</v>
      </c>
      <c r="D583" t="s">
        <v>328</v>
      </c>
      <c r="F583" t="s">
        <v>3</v>
      </c>
      <c r="G583">
        <v>655352</v>
      </c>
      <c r="H583" t="s">
        <v>6</v>
      </c>
      <c r="I583">
        <v>4</v>
      </c>
      <c r="K583" s="1">
        <v>45895</v>
      </c>
    </row>
    <row r="584" spans="1:11">
      <c r="A584" t="s">
        <v>34</v>
      </c>
      <c r="B584" t="s">
        <v>24</v>
      </c>
      <c r="C584" s="1">
        <v>45895</v>
      </c>
      <c r="D584" t="s">
        <v>328</v>
      </c>
      <c r="F584" t="s">
        <v>3</v>
      </c>
      <c r="G584">
        <v>655352</v>
      </c>
      <c r="H584" t="s">
        <v>6</v>
      </c>
      <c r="I584">
        <v>4</v>
      </c>
      <c r="K584" s="1">
        <v>45895</v>
      </c>
    </row>
    <row r="585" spans="1:11">
      <c r="A585" t="s">
        <v>89</v>
      </c>
      <c r="B585" t="s">
        <v>9</v>
      </c>
      <c r="C585" s="1">
        <v>45902</v>
      </c>
      <c r="D585" t="s">
        <v>328</v>
      </c>
      <c r="F585" t="s">
        <v>55</v>
      </c>
      <c r="G585">
        <v>825812</v>
      </c>
      <c r="H585" t="s">
        <v>79</v>
      </c>
      <c r="I585">
        <v>93</v>
      </c>
      <c r="J585" t="s">
        <v>80</v>
      </c>
      <c r="K585" s="1">
        <v>45902</v>
      </c>
    </row>
    <row r="586" spans="1:11">
      <c r="A586" t="s">
        <v>89</v>
      </c>
      <c r="B586" t="s">
        <v>10</v>
      </c>
      <c r="C586" s="1">
        <v>45902</v>
      </c>
      <c r="D586" t="s">
        <v>328</v>
      </c>
      <c r="F586" t="s">
        <v>55</v>
      </c>
      <c r="G586">
        <v>825812</v>
      </c>
      <c r="H586" t="s">
        <v>79</v>
      </c>
      <c r="I586">
        <v>93</v>
      </c>
      <c r="J586" t="s">
        <v>80</v>
      </c>
      <c r="K586" s="1">
        <v>45902</v>
      </c>
    </row>
    <row r="587" spans="1:11">
      <c r="A587" t="s">
        <v>89</v>
      </c>
      <c r="B587" t="s">
        <v>60</v>
      </c>
      <c r="C587" s="1">
        <v>45902</v>
      </c>
      <c r="D587" t="s">
        <v>328</v>
      </c>
      <c r="F587" t="s">
        <v>55</v>
      </c>
      <c r="G587">
        <v>825812</v>
      </c>
      <c r="H587" t="s">
        <v>79</v>
      </c>
      <c r="I587">
        <v>93</v>
      </c>
      <c r="J587" t="s">
        <v>80</v>
      </c>
      <c r="K587" s="1">
        <v>45902</v>
      </c>
    </row>
    <row r="588" spans="1:11">
      <c r="A588" t="s">
        <v>89</v>
      </c>
      <c r="B588" t="s">
        <v>61</v>
      </c>
      <c r="C588" s="1">
        <v>45902</v>
      </c>
      <c r="D588" t="s">
        <v>328</v>
      </c>
      <c r="F588" t="s">
        <v>55</v>
      </c>
      <c r="G588">
        <v>825812</v>
      </c>
      <c r="H588" t="s">
        <v>79</v>
      </c>
      <c r="I588">
        <v>93</v>
      </c>
      <c r="J588" t="s">
        <v>80</v>
      </c>
      <c r="K588" s="1">
        <v>45902</v>
      </c>
    </row>
    <row r="589" spans="1:11">
      <c r="A589" t="s">
        <v>89</v>
      </c>
      <c r="B589" t="s">
        <v>12</v>
      </c>
      <c r="C589" s="1">
        <v>45902</v>
      </c>
      <c r="D589" t="s">
        <v>328</v>
      </c>
      <c r="F589" t="s">
        <v>55</v>
      </c>
      <c r="G589">
        <v>825812</v>
      </c>
      <c r="H589" t="s">
        <v>79</v>
      </c>
      <c r="I589">
        <v>93</v>
      </c>
      <c r="J589" t="s">
        <v>80</v>
      </c>
      <c r="K589" s="1">
        <v>45902</v>
      </c>
    </row>
    <row r="590" spans="1:11">
      <c r="A590" t="s">
        <v>89</v>
      </c>
      <c r="B590" t="s">
        <v>13</v>
      </c>
      <c r="C590" s="1">
        <v>45902</v>
      </c>
      <c r="D590" t="s">
        <v>328</v>
      </c>
      <c r="F590" t="s">
        <v>55</v>
      </c>
      <c r="G590">
        <v>825812</v>
      </c>
      <c r="H590" t="s">
        <v>79</v>
      </c>
      <c r="I590">
        <v>93</v>
      </c>
      <c r="J590" t="s">
        <v>80</v>
      </c>
      <c r="K590" s="1">
        <v>45902</v>
      </c>
    </row>
    <row r="591" spans="1:11">
      <c r="A591" t="s">
        <v>89</v>
      </c>
      <c r="B591" t="s">
        <v>14</v>
      </c>
      <c r="C591" s="1">
        <v>45902</v>
      </c>
      <c r="D591" t="s">
        <v>328</v>
      </c>
      <c r="F591" t="s">
        <v>55</v>
      </c>
      <c r="G591">
        <v>825812</v>
      </c>
      <c r="H591" t="s">
        <v>79</v>
      </c>
      <c r="I591">
        <v>93</v>
      </c>
      <c r="J591" t="s">
        <v>80</v>
      </c>
      <c r="K591" s="1">
        <v>45902</v>
      </c>
    </row>
    <row r="592" spans="1:11">
      <c r="A592" t="s">
        <v>89</v>
      </c>
      <c r="B592" t="s">
        <v>15</v>
      </c>
      <c r="C592" s="1">
        <v>45902</v>
      </c>
      <c r="D592" t="s">
        <v>328</v>
      </c>
      <c r="F592" t="s">
        <v>55</v>
      </c>
      <c r="G592">
        <v>825812</v>
      </c>
      <c r="H592" t="s">
        <v>79</v>
      </c>
      <c r="I592">
        <v>93</v>
      </c>
      <c r="J592" t="s">
        <v>80</v>
      </c>
      <c r="K592" s="1">
        <v>45902</v>
      </c>
    </row>
    <row r="593" spans="1:11">
      <c r="A593" t="s">
        <v>89</v>
      </c>
      <c r="B593" t="s">
        <v>21</v>
      </c>
      <c r="C593" s="1">
        <v>45902</v>
      </c>
      <c r="D593" t="s">
        <v>328</v>
      </c>
      <c r="F593" t="s">
        <v>55</v>
      </c>
      <c r="G593">
        <v>825812</v>
      </c>
      <c r="H593" t="s">
        <v>79</v>
      </c>
      <c r="I593">
        <v>93</v>
      </c>
      <c r="J593" t="s">
        <v>80</v>
      </c>
      <c r="K593" s="1">
        <v>45902</v>
      </c>
    </row>
    <row r="594" spans="1:11">
      <c r="A594" t="s">
        <v>89</v>
      </c>
      <c r="B594" t="s">
        <v>20</v>
      </c>
      <c r="C594" s="1">
        <v>45902</v>
      </c>
      <c r="D594" t="s">
        <v>328</v>
      </c>
      <c r="F594" t="s">
        <v>55</v>
      </c>
      <c r="G594">
        <v>825812</v>
      </c>
      <c r="H594" t="s">
        <v>79</v>
      </c>
      <c r="I594">
        <v>93</v>
      </c>
      <c r="J594" t="s">
        <v>80</v>
      </c>
      <c r="K594" s="1">
        <v>45902</v>
      </c>
    </row>
    <row r="595" spans="1:11">
      <c r="A595" t="s">
        <v>89</v>
      </c>
      <c r="B595" t="s">
        <v>18</v>
      </c>
      <c r="C595" s="1">
        <v>45902</v>
      </c>
      <c r="D595" t="s">
        <v>328</v>
      </c>
      <c r="F595" t="s">
        <v>55</v>
      </c>
      <c r="G595">
        <v>825812</v>
      </c>
      <c r="H595" t="s">
        <v>79</v>
      </c>
      <c r="I595">
        <v>93</v>
      </c>
      <c r="J595" t="s">
        <v>80</v>
      </c>
      <c r="K595" s="1">
        <v>45902</v>
      </c>
    </row>
    <row r="596" spans="1:11">
      <c r="A596" t="s">
        <v>89</v>
      </c>
      <c r="B596" t="s">
        <v>19</v>
      </c>
      <c r="C596" s="1">
        <v>45903</v>
      </c>
      <c r="D596" t="s">
        <v>328</v>
      </c>
      <c r="F596" t="s">
        <v>55</v>
      </c>
      <c r="G596">
        <v>825812</v>
      </c>
      <c r="H596" t="s">
        <v>79</v>
      </c>
      <c r="I596">
        <v>93</v>
      </c>
      <c r="J596" t="s">
        <v>80</v>
      </c>
      <c r="K596" s="1">
        <v>45903</v>
      </c>
    </row>
    <row r="597" spans="1:11">
      <c r="A597" t="s">
        <v>89</v>
      </c>
      <c r="B597" t="s">
        <v>62</v>
      </c>
      <c r="C597" s="1">
        <v>45903</v>
      </c>
      <c r="D597" t="s">
        <v>328</v>
      </c>
      <c r="F597" t="s">
        <v>55</v>
      </c>
      <c r="G597">
        <v>825812</v>
      </c>
      <c r="H597" t="s">
        <v>79</v>
      </c>
      <c r="I597">
        <v>93</v>
      </c>
      <c r="J597" t="s">
        <v>80</v>
      </c>
      <c r="K597" s="1">
        <v>45903</v>
      </c>
    </row>
    <row r="598" spans="1:11">
      <c r="A598" t="s">
        <v>114</v>
      </c>
      <c r="B598" t="s">
        <v>9</v>
      </c>
      <c r="C598" s="1">
        <v>45903</v>
      </c>
      <c r="D598" t="s">
        <v>328</v>
      </c>
      <c r="F598" t="s">
        <v>55</v>
      </c>
      <c r="G598">
        <v>825812</v>
      </c>
      <c r="H598" t="s">
        <v>112</v>
      </c>
      <c r="I598">
        <v>113</v>
      </c>
      <c r="J598" t="s">
        <v>80</v>
      </c>
      <c r="K598" s="1">
        <v>45903</v>
      </c>
    </row>
    <row r="599" spans="1:11">
      <c r="A599" t="s">
        <v>117</v>
      </c>
      <c r="B599" t="s">
        <v>9</v>
      </c>
      <c r="C599" s="1">
        <v>45903</v>
      </c>
      <c r="D599" t="s">
        <v>328</v>
      </c>
      <c r="F599" t="s">
        <v>55</v>
      </c>
      <c r="G599">
        <v>825812</v>
      </c>
      <c r="H599" t="s">
        <v>112</v>
      </c>
      <c r="I599">
        <v>114</v>
      </c>
      <c r="J599" t="s">
        <v>80</v>
      </c>
      <c r="K599" s="1">
        <v>45903</v>
      </c>
    </row>
    <row r="600" spans="1:11">
      <c r="A600" t="s">
        <v>114</v>
      </c>
      <c r="B600" t="s">
        <v>10</v>
      </c>
      <c r="C600" s="1">
        <v>45903</v>
      </c>
      <c r="D600" t="s">
        <v>328</v>
      </c>
      <c r="F600" t="s">
        <v>55</v>
      </c>
      <c r="G600">
        <v>825812</v>
      </c>
      <c r="H600" t="s">
        <v>112</v>
      </c>
      <c r="I600">
        <v>113</v>
      </c>
      <c r="J600" t="s">
        <v>80</v>
      </c>
      <c r="K600" s="1">
        <v>45903</v>
      </c>
    </row>
    <row r="601" spans="1:11">
      <c r="A601" t="s">
        <v>117</v>
      </c>
      <c r="B601" t="s">
        <v>10</v>
      </c>
      <c r="C601" s="1">
        <v>45903</v>
      </c>
      <c r="D601" t="s">
        <v>328</v>
      </c>
      <c r="F601" t="s">
        <v>55</v>
      </c>
      <c r="G601">
        <v>825812</v>
      </c>
      <c r="H601" t="s">
        <v>112</v>
      </c>
      <c r="I601">
        <v>114</v>
      </c>
      <c r="J601" t="s">
        <v>80</v>
      </c>
      <c r="K601" s="1">
        <v>45903</v>
      </c>
    </row>
    <row r="602" spans="1:11">
      <c r="A602" t="s">
        <v>114</v>
      </c>
      <c r="B602" t="s">
        <v>60</v>
      </c>
      <c r="C602" s="1">
        <v>45903</v>
      </c>
      <c r="D602" t="s">
        <v>328</v>
      </c>
      <c r="F602" t="s">
        <v>55</v>
      </c>
      <c r="G602">
        <v>825812</v>
      </c>
      <c r="H602" t="s">
        <v>112</v>
      </c>
      <c r="I602">
        <v>113</v>
      </c>
      <c r="J602" t="s">
        <v>80</v>
      </c>
      <c r="K602" s="1">
        <v>45903</v>
      </c>
    </row>
    <row r="603" spans="1:11">
      <c r="A603" t="s">
        <v>117</v>
      </c>
      <c r="B603" t="s">
        <v>60</v>
      </c>
      <c r="C603" s="1">
        <v>45903</v>
      </c>
      <c r="D603" t="s">
        <v>328</v>
      </c>
      <c r="F603" t="s">
        <v>55</v>
      </c>
      <c r="G603">
        <v>825812</v>
      </c>
      <c r="H603" t="s">
        <v>112</v>
      </c>
      <c r="I603">
        <v>114</v>
      </c>
      <c r="J603" t="s">
        <v>80</v>
      </c>
      <c r="K603" s="1">
        <v>45903</v>
      </c>
    </row>
    <row r="604" spans="1:11">
      <c r="A604" t="s">
        <v>114</v>
      </c>
      <c r="B604" t="s">
        <v>61</v>
      </c>
      <c r="C604" s="1">
        <v>45903</v>
      </c>
      <c r="D604" t="s">
        <v>328</v>
      </c>
      <c r="F604" t="s">
        <v>55</v>
      </c>
      <c r="G604">
        <v>825812</v>
      </c>
      <c r="H604" t="s">
        <v>112</v>
      </c>
      <c r="I604">
        <v>113</v>
      </c>
      <c r="J604" t="s">
        <v>80</v>
      </c>
      <c r="K604" s="1">
        <v>45903</v>
      </c>
    </row>
    <row r="605" spans="1:11">
      <c r="A605" t="s">
        <v>117</v>
      </c>
      <c r="B605" t="s">
        <v>61</v>
      </c>
      <c r="C605" s="1">
        <v>45903</v>
      </c>
      <c r="D605" t="s">
        <v>328</v>
      </c>
      <c r="F605" t="s">
        <v>55</v>
      </c>
      <c r="G605">
        <v>825812</v>
      </c>
      <c r="H605" t="s">
        <v>112</v>
      </c>
      <c r="I605">
        <v>114</v>
      </c>
      <c r="J605" t="s">
        <v>80</v>
      </c>
      <c r="K605" s="1">
        <v>45903</v>
      </c>
    </row>
    <row r="606" spans="1:11">
      <c r="A606" t="s">
        <v>114</v>
      </c>
      <c r="B606" t="s">
        <v>12</v>
      </c>
      <c r="C606" s="1">
        <v>45903</v>
      </c>
      <c r="D606" t="s">
        <v>328</v>
      </c>
      <c r="F606" t="s">
        <v>55</v>
      </c>
      <c r="G606">
        <v>825812</v>
      </c>
      <c r="H606" t="s">
        <v>112</v>
      </c>
      <c r="I606">
        <v>113</v>
      </c>
      <c r="J606" t="s">
        <v>80</v>
      </c>
      <c r="K606" s="1">
        <v>45903</v>
      </c>
    </row>
    <row r="607" spans="1:11">
      <c r="A607" t="s">
        <v>117</v>
      </c>
      <c r="B607" t="s">
        <v>12</v>
      </c>
      <c r="C607" s="1">
        <v>45903</v>
      </c>
      <c r="D607" t="s">
        <v>328</v>
      </c>
      <c r="F607" t="s">
        <v>55</v>
      </c>
      <c r="G607">
        <v>825812</v>
      </c>
      <c r="H607" t="s">
        <v>112</v>
      </c>
      <c r="I607">
        <v>114</v>
      </c>
      <c r="J607" t="s">
        <v>80</v>
      </c>
      <c r="K607" s="1">
        <v>45903</v>
      </c>
    </row>
    <row r="608" spans="1:11">
      <c r="A608" t="s">
        <v>114</v>
      </c>
      <c r="B608" t="s">
        <v>13</v>
      </c>
      <c r="C608" s="1">
        <v>45903</v>
      </c>
      <c r="D608" t="s">
        <v>328</v>
      </c>
      <c r="F608" t="s">
        <v>55</v>
      </c>
      <c r="G608">
        <v>825812</v>
      </c>
      <c r="H608" t="s">
        <v>112</v>
      </c>
      <c r="I608">
        <v>113</v>
      </c>
      <c r="J608" t="s">
        <v>80</v>
      </c>
      <c r="K608" s="1">
        <v>45903</v>
      </c>
    </row>
    <row r="609" spans="1:11">
      <c r="A609" t="s">
        <v>117</v>
      </c>
      <c r="B609" t="s">
        <v>13</v>
      </c>
      <c r="C609" s="1">
        <v>45903</v>
      </c>
      <c r="D609" t="s">
        <v>328</v>
      </c>
      <c r="F609" t="s">
        <v>55</v>
      </c>
      <c r="G609">
        <v>825812</v>
      </c>
      <c r="H609" t="s">
        <v>112</v>
      </c>
      <c r="I609">
        <v>114</v>
      </c>
      <c r="J609" t="s">
        <v>80</v>
      </c>
      <c r="K609" s="1">
        <v>45903</v>
      </c>
    </row>
    <row r="610" spans="1:11">
      <c r="A610" t="s">
        <v>114</v>
      </c>
      <c r="B610" t="s">
        <v>14</v>
      </c>
      <c r="C610" s="1">
        <v>45903</v>
      </c>
      <c r="D610" t="s">
        <v>328</v>
      </c>
      <c r="F610" t="s">
        <v>55</v>
      </c>
      <c r="G610">
        <v>825812</v>
      </c>
      <c r="H610" t="s">
        <v>112</v>
      </c>
      <c r="I610">
        <v>113</v>
      </c>
      <c r="J610" t="s">
        <v>80</v>
      </c>
      <c r="K610" s="1">
        <v>45903</v>
      </c>
    </row>
    <row r="611" spans="1:11">
      <c r="A611" t="s">
        <v>117</v>
      </c>
      <c r="B611" t="s">
        <v>14</v>
      </c>
      <c r="C611" s="1">
        <v>45903</v>
      </c>
      <c r="D611" t="s">
        <v>328</v>
      </c>
      <c r="F611" t="s">
        <v>55</v>
      </c>
      <c r="G611">
        <v>825812</v>
      </c>
      <c r="H611" t="s">
        <v>112</v>
      </c>
      <c r="I611">
        <v>114</v>
      </c>
      <c r="J611" t="s">
        <v>80</v>
      </c>
      <c r="K611" s="1">
        <v>45903</v>
      </c>
    </row>
    <row r="612" spans="1:11">
      <c r="A612" t="s">
        <v>114</v>
      </c>
      <c r="B612" t="s">
        <v>15</v>
      </c>
      <c r="C612" s="1">
        <v>45903</v>
      </c>
      <c r="D612" t="s">
        <v>328</v>
      </c>
      <c r="F612" t="s">
        <v>55</v>
      </c>
      <c r="G612">
        <v>825812</v>
      </c>
      <c r="H612" t="s">
        <v>112</v>
      </c>
      <c r="I612">
        <v>113</v>
      </c>
      <c r="J612" t="s">
        <v>80</v>
      </c>
      <c r="K612" s="1">
        <v>45903</v>
      </c>
    </row>
    <row r="613" spans="1:11">
      <c r="A613" t="s">
        <v>117</v>
      </c>
      <c r="B613" t="s">
        <v>15</v>
      </c>
      <c r="C613" s="1">
        <v>45903</v>
      </c>
      <c r="D613" t="s">
        <v>328</v>
      </c>
      <c r="F613" t="s">
        <v>55</v>
      </c>
      <c r="G613">
        <v>825812</v>
      </c>
      <c r="H613" t="s">
        <v>112</v>
      </c>
      <c r="I613">
        <v>114</v>
      </c>
      <c r="J613" t="s">
        <v>80</v>
      </c>
      <c r="K613" s="1">
        <v>45903</v>
      </c>
    </row>
    <row r="614" spans="1:11">
      <c r="A614" t="s">
        <v>114</v>
      </c>
      <c r="B614" t="s">
        <v>20</v>
      </c>
      <c r="C614" s="1">
        <v>45903</v>
      </c>
      <c r="D614" t="s">
        <v>328</v>
      </c>
      <c r="F614" t="s">
        <v>55</v>
      </c>
      <c r="G614">
        <v>825812</v>
      </c>
      <c r="H614" t="s">
        <v>112</v>
      </c>
      <c r="I614">
        <v>113</v>
      </c>
      <c r="J614" t="s">
        <v>80</v>
      </c>
      <c r="K614" s="1">
        <v>45903</v>
      </c>
    </row>
    <row r="615" spans="1:11">
      <c r="A615" t="s">
        <v>117</v>
      </c>
      <c r="B615" t="s">
        <v>20</v>
      </c>
      <c r="C615" s="1">
        <v>45903</v>
      </c>
      <c r="D615" t="s">
        <v>328</v>
      </c>
      <c r="F615" t="s">
        <v>55</v>
      </c>
      <c r="G615">
        <v>825812</v>
      </c>
      <c r="H615" t="s">
        <v>112</v>
      </c>
      <c r="I615">
        <v>114</v>
      </c>
      <c r="J615" t="s">
        <v>80</v>
      </c>
      <c r="K615" s="1">
        <v>45903</v>
      </c>
    </row>
    <row r="616" spans="1:11">
      <c r="A616" t="s">
        <v>114</v>
      </c>
      <c r="B616" t="s">
        <v>18</v>
      </c>
      <c r="C616" s="1">
        <v>45903</v>
      </c>
      <c r="D616" t="s">
        <v>328</v>
      </c>
      <c r="F616" t="s">
        <v>55</v>
      </c>
      <c r="G616">
        <v>825812</v>
      </c>
      <c r="H616" t="s">
        <v>112</v>
      </c>
      <c r="I616">
        <v>113</v>
      </c>
      <c r="J616" t="s">
        <v>80</v>
      </c>
      <c r="K616" s="1">
        <v>45903</v>
      </c>
    </row>
    <row r="617" spans="1:11">
      <c r="A617" t="s">
        <v>117</v>
      </c>
      <c r="B617" t="s">
        <v>18</v>
      </c>
      <c r="C617" s="1">
        <v>45903</v>
      </c>
      <c r="D617" t="s">
        <v>328</v>
      </c>
      <c r="F617" t="s">
        <v>55</v>
      </c>
      <c r="G617">
        <v>825812</v>
      </c>
      <c r="H617" t="s">
        <v>112</v>
      </c>
      <c r="I617">
        <v>114</v>
      </c>
      <c r="J617" t="s">
        <v>80</v>
      </c>
      <c r="K617" s="1">
        <v>45903</v>
      </c>
    </row>
    <row r="618" spans="1:11">
      <c r="A618" t="s">
        <v>114</v>
      </c>
      <c r="B618" t="s">
        <v>19</v>
      </c>
      <c r="C618" s="1">
        <v>45903</v>
      </c>
      <c r="D618" t="s">
        <v>328</v>
      </c>
      <c r="F618" t="s">
        <v>55</v>
      </c>
      <c r="G618">
        <v>825812</v>
      </c>
      <c r="H618" t="s">
        <v>112</v>
      </c>
      <c r="I618">
        <v>113</v>
      </c>
      <c r="J618" t="s">
        <v>80</v>
      </c>
      <c r="K618" s="1">
        <v>45903</v>
      </c>
    </row>
    <row r="619" spans="1:11">
      <c r="A619" t="s">
        <v>117</v>
      </c>
      <c r="B619" t="s">
        <v>19</v>
      </c>
      <c r="C619" s="1">
        <v>45903</v>
      </c>
      <c r="D619" t="s">
        <v>328</v>
      </c>
      <c r="F619" t="s">
        <v>55</v>
      </c>
      <c r="G619">
        <v>825812</v>
      </c>
      <c r="H619" t="s">
        <v>112</v>
      </c>
      <c r="I619">
        <v>114</v>
      </c>
      <c r="J619" t="s">
        <v>80</v>
      </c>
      <c r="K619" s="1">
        <v>45903</v>
      </c>
    </row>
    <row r="620" spans="1:11">
      <c r="A620" t="s">
        <v>89</v>
      </c>
      <c r="B620" t="s">
        <v>81</v>
      </c>
      <c r="C620" s="1">
        <v>45904</v>
      </c>
      <c r="D620" t="s">
        <v>328</v>
      </c>
      <c r="F620" t="s">
        <v>55</v>
      </c>
      <c r="G620">
        <v>825812</v>
      </c>
      <c r="H620" t="s">
        <v>79</v>
      </c>
      <c r="I620">
        <v>93</v>
      </c>
      <c r="J620" t="s">
        <v>80</v>
      </c>
      <c r="K620" s="1">
        <v>45904</v>
      </c>
    </row>
    <row r="621" spans="1:11">
      <c r="A621" t="s">
        <v>114</v>
      </c>
      <c r="B621" t="s">
        <v>62</v>
      </c>
      <c r="C621" s="1">
        <v>45904</v>
      </c>
      <c r="D621" t="s">
        <v>328</v>
      </c>
      <c r="F621" t="s">
        <v>55</v>
      </c>
      <c r="G621">
        <v>825812</v>
      </c>
      <c r="H621" t="s">
        <v>112</v>
      </c>
      <c r="I621">
        <v>113</v>
      </c>
      <c r="J621" t="s">
        <v>80</v>
      </c>
      <c r="K621" s="1">
        <v>45904</v>
      </c>
    </row>
    <row r="622" spans="1:11">
      <c r="A622" t="s">
        <v>117</v>
      </c>
      <c r="B622" t="s">
        <v>62</v>
      </c>
      <c r="C622" s="1">
        <v>45904</v>
      </c>
      <c r="D622" t="s">
        <v>328</v>
      </c>
      <c r="F622" t="s">
        <v>55</v>
      </c>
      <c r="G622">
        <v>825812</v>
      </c>
      <c r="H622" t="s">
        <v>112</v>
      </c>
      <c r="I622">
        <v>114</v>
      </c>
      <c r="J622" t="s">
        <v>80</v>
      </c>
      <c r="K622" s="1">
        <v>45904</v>
      </c>
    </row>
    <row r="623" spans="1:11">
      <c r="A623" t="s">
        <v>114</v>
      </c>
      <c r="B623" t="s">
        <v>113</v>
      </c>
      <c r="C623" s="1">
        <v>45904</v>
      </c>
      <c r="D623" t="s">
        <v>328</v>
      </c>
      <c r="F623" t="s">
        <v>55</v>
      </c>
      <c r="G623">
        <v>825812</v>
      </c>
      <c r="H623" t="s">
        <v>112</v>
      </c>
      <c r="I623">
        <v>113</v>
      </c>
      <c r="J623" t="s">
        <v>80</v>
      </c>
      <c r="K623" s="1">
        <v>45904</v>
      </c>
    </row>
    <row r="624" spans="1:11">
      <c r="A624" t="s">
        <v>117</v>
      </c>
      <c r="B624" t="s">
        <v>113</v>
      </c>
      <c r="C624" s="1">
        <v>45904</v>
      </c>
      <c r="D624" t="s">
        <v>328</v>
      </c>
      <c r="F624" t="s">
        <v>55</v>
      </c>
      <c r="G624">
        <v>825812</v>
      </c>
      <c r="H624" t="s">
        <v>112</v>
      </c>
      <c r="I624">
        <v>114</v>
      </c>
      <c r="J624" t="s">
        <v>80</v>
      </c>
      <c r="K624" s="1">
        <v>45904</v>
      </c>
    </row>
    <row r="625" spans="1:11">
      <c r="A625" t="s">
        <v>92</v>
      </c>
      <c r="B625" t="s">
        <v>9</v>
      </c>
      <c r="C625" s="1">
        <v>45905</v>
      </c>
      <c r="D625" t="s">
        <v>328</v>
      </c>
      <c r="F625" t="s">
        <v>55</v>
      </c>
      <c r="G625">
        <v>825812</v>
      </c>
      <c r="H625" t="s">
        <v>79</v>
      </c>
      <c r="I625">
        <v>94</v>
      </c>
      <c r="J625" t="s">
        <v>80</v>
      </c>
      <c r="K625" s="1">
        <v>45905</v>
      </c>
    </row>
    <row r="626" spans="1:11">
      <c r="A626" t="s">
        <v>92</v>
      </c>
      <c r="B626" t="s">
        <v>10</v>
      </c>
      <c r="C626" s="1">
        <v>45905</v>
      </c>
      <c r="D626" t="s">
        <v>328</v>
      </c>
      <c r="F626" t="s">
        <v>55</v>
      </c>
      <c r="G626">
        <v>825812</v>
      </c>
      <c r="H626" t="s">
        <v>79</v>
      </c>
      <c r="I626">
        <v>94</v>
      </c>
      <c r="J626" t="s">
        <v>80</v>
      </c>
      <c r="K626" s="1">
        <v>45905</v>
      </c>
    </row>
    <row r="627" spans="1:11">
      <c r="A627" t="s">
        <v>92</v>
      </c>
      <c r="B627" t="s">
        <v>60</v>
      </c>
      <c r="C627" s="1">
        <v>45905</v>
      </c>
      <c r="D627" t="s">
        <v>328</v>
      </c>
      <c r="F627" t="s">
        <v>55</v>
      </c>
      <c r="G627">
        <v>825812</v>
      </c>
      <c r="H627" t="s">
        <v>79</v>
      </c>
      <c r="I627">
        <v>94</v>
      </c>
      <c r="J627" t="s">
        <v>80</v>
      </c>
      <c r="K627" s="1">
        <v>45905</v>
      </c>
    </row>
    <row r="628" spans="1:11">
      <c r="A628" t="s">
        <v>92</v>
      </c>
      <c r="B628" t="s">
        <v>61</v>
      </c>
      <c r="C628" s="1">
        <v>45905</v>
      </c>
      <c r="D628" t="s">
        <v>328</v>
      </c>
      <c r="F628" t="s">
        <v>55</v>
      </c>
      <c r="G628">
        <v>825812</v>
      </c>
      <c r="H628" t="s">
        <v>79</v>
      </c>
      <c r="I628">
        <v>94</v>
      </c>
      <c r="J628" t="s">
        <v>80</v>
      </c>
      <c r="K628" s="1">
        <v>45905</v>
      </c>
    </row>
    <row r="629" spans="1:11">
      <c r="A629" t="s">
        <v>92</v>
      </c>
      <c r="B629" t="s">
        <v>12</v>
      </c>
      <c r="C629" s="1">
        <v>45905</v>
      </c>
      <c r="D629" t="s">
        <v>328</v>
      </c>
      <c r="F629" t="s">
        <v>55</v>
      </c>
      <c r="G629">
        <v>825812</v>
      </c>
      <c r="H629" t="s">
        <v>79</v>
      </c>
      <c r="I629">
        <v>94</v>
      </c>
      <c r="J629" t="s">
        <v>80</v>
      </c>
      <c r="K629" s="1">
        <v>45905</v>
      </c>
    </row>
    <row r="630" spans="1:11">
      <c r="A630" t="s">
        <v>92</v>
      </c>
      <c r="B630" t="s">
        <v>13</v>
      </c>
      <c r="C630" s="1">
        <v>45905</v>
      </c>
      <c r="D630" t="s">
        <v>328</v>
      </c>
      <c r="F630" t="s">
        <v>55</v>
      </c>
      <c r="G630">
        <v>825812</v>
      </c>
      <c r="H630" t="s">
        <v>79</v>
      </c>
      <c r="I630">
        <v>94</v>
      </c>
      <c r="J630" t="s">
        <v>80</v>
      </c>
      <c r="K630" s="1">
        <v>45905</v>
      </c>
    </row>
    <row r="631" spans="1:11">
      <c r="A631" t="s">
        <v>92</v>
      </c>
      <c r="B631" t="s">
        <v>14</v>
      </c>
      <c r="C631" s="1">
        <v>45905</v>
      </c>
      <c r="D631" t="s">
        <v>328</v>
      </c>
      <c r="F631" t="s">
        <v>55</v>
      </c>
      <c r="G631">
        <v>825812</v>
      </c>
      <c r="H631" t="s">
        <v>79</v>
      </c>
      <c r="I631">
        <v>94</v>
      </c>
      <c r="J631" t="s">
        <v>80</v>
      </c>
      <c r="K631" s="1">
        <v>45905</v>
      </c>
    </row>
    <row r="632" spans="1:11">
      <c r="A632" t="s">
        <v>92</v>
      </c>
      <c r="B632" t="s">
        <v>15</v>
      </c>
      <c r="C632" s="1">
        <v>45905</v>
      </c>
      <c r="D632" t="s">
        <v>328</v>
      </c>
      <c r="F632" t="s">
        <v>55</v>
      </c>
      <c r="G632">
        <v>825812</v>
      </c>
      <c r="H632" t="s">
        <v>79</v>
      </c>
      <c r="I632">
        <v>94</v>
      </c>
      <c r="J632" t="s">
        <v>80</v>
      </c>
      <c r="K632" s="1">
        <v>45905</v>
      </c>
    </row>
    <row r="633" spans="1:11">
      <c r="A633" t="s">
        <v>92</v>
      </c>
      <c r="B633" t="s">
        <v>20</v>
      </c>
      <c r="C633" s="1">
        <v>45905</v>
      </c>
      <c r="D633" t="s">
        <v>328</v>
      </c>
      <c r="F633" t="s">
        <v>55</v>
      </c>
      <c r="G633">
        <v>825812</v>
      </c>
      <c r="H633" t="s">
        <v>79</v>
      </c>
      <c r="I633">
        <v>94</v>
      </c>
      <c r="J633" t="s">
        <v>80</v>
      </c>
      <c r="K633" s="1">
        <v>45905</v>
      </c>
    </row>
    <row r="634" spans="1:11">
      <c r="A634" t="s">
        <v>92</v>
      </c>
      <c r="B634" t="s">
        <v>18</v>
      </c>
      <c r="C634" s="1">
        <v>45905</v>
      </c>
      <c r="D634" t="s">
        <v>328</v>
      </c>
      <c r="F634" t="s">
        <v>55</v>
      </c>
      <c r="G634">
        <v>825812</v>
      </c>
      <c r="H634" t="s">
        <v>79</v>
      </c>
      <c r="I634">
        <v>94</v>
      </c>
      <c r="J634" t="s">
        <v>80</v>
      </c>
      <c r="K634" s="1">
        <v>45905</v>
      </c>
    </row>
    <row r="635" spans="1:11">
      <c r="A635" t="s">
        <v>92</v>
      </c>
      <c r="B635" t="s">
        <v>19</v>
      </c>
      <c r="C635" s="1">
        <v>45905</v>
      </c>
      <c r="D635" t="s">
        <v>328</v>
      </c>
      <c r="F635" t="s">
        <v>55</v>
      </c>
      <c r="G635">
        <v>825812</v>
      </c>
      <c r="H635" t="s">
        <v>79</v>
      </c>
      <c r="I635">
        <v>94</v>
      </c>
      <c r="J635" t="s">
        <v>80</v>
      </c>
      <c r="K635" s="1">
        <v>45905</v>
      </c>
    </row>
    <row r="636" spans="1:11">
      <c r="A636" t="s">
        <v>92</v>
      </c>
      <c r="B636" t="s">
        <v>81</v>
      </c>
      <c r="C636" s="1">
        <v>45905</v>
      </c>
      <c r="D636" t="s">
        <v>328</v>
      </c>
      <c r="F636" t="s">
        <v>55</v>
      </c>
      <c r="G636">
        <v>825812</v>
      </c>
      <c r="H636" t="s">
        <v>79</v>
      </c>
      <c r="I636">
        <v>94</v>
      </c>
      <c r="J636" t="s">
        <v>80</v>
      </c>
      <c r="K636" s="1">
        <v>45905</v>
      </c>
    </row>
    <row r="637" spans="1:11">
      <c r="A637" t="s">
        <v>114</v>
      </c>
      <c r="B637" t="s">
        <v>25</v>
      </c>
      <c r="C637" s="1">
        <v>45909</v>
      </c>
      <c r="D637" t="s">
        <v>328</v>
      </c>
      <c r="F637" t="s">
        <v>55</v>
      </c>
      <c r="G637">
        <v>825812</v>
      </c>
      <c r="H637" t="s">
        <v>112</v>
      </c>
      <c r="I637">
        <v>113</v>
      </c>
      <c r="J637" t="s">
        <v>80</v>
      </c>
      <c r="K637" s="1">
        <v>45909</v>
      </c>
    </row>
    <row r="638" spans="1:11">
      <c r="A638" t="s">
        <v>117</v>
      </c>
      <c r="B638" t="s">
        <v>25</v>
      </c>
      <c r="C638" s="1">
        <v>45909</v>
      </c>
      <c r="D638" t="s">
        <v>328</v>
      </c>
      <c r="F638" t="s">
        <v>55</v>
      </c>
      <c r="G638">
        <v>825812</v>
      </c>
      <c r="H638" t="s">
        <v>112</v>
      </c>
      <c r="I638">
        <v>114</v>
      </c>
      <c r="J638" t="s">
        <v>80</v>
      </c>
      <c r="K638" s="1">
        <v>45909</v>
      </c>
    </row>
    <row r="639" spans="1:11">
      <c r="A639" t="s">
        <v>114</v>
      </c>
      <c r="B639" t="s">
        <v>72</v>
      </c>
      <c r="C639" s="1">
        <v>45909</v>
      </c>
      <c r="D639" t="s">
        <v>328</v>
      </c>
      <c r="E639" t="s">
        <v>116</v>
      </c>
      <c r="F639" t="s">
        <v>55</v>
      </c>
      <c r="G639">
        <v>825812</v>
      </c>
      <c r="H639" t="s">
        <v>112</v>
      </c>
      <c r="I639">
        <v>113</v>
      </c>
      <c r="J639" t="s">
        <v>80</v>
      </c>
      <c r="K639" s="1">
        <v>45909</v>
      </c>
    </row>
    <row r="640" spans="1:11">
      <c r="A640" t="s">
        <v>117</v>
      </c>
      <c r="B640" t="s">
        <v>72</v>
      </c>
      <c r="C640" s="1">
        <v>45909</v>
      </c>
      <c r="D640" t="s">
        <v>328</v>
      </c>
      <c r="E640" t="s">
        <v>119</v>
      </c>
      <c r="F640" t="s">
        <v>55</v>
      </c>
      <c r="G640">
        <v>825812</v>
      </c>
      <c r="H640" t="s">
        <v>112</v>
      </c>
      <c r="I640">
        <v>114</v>
      </c>
      <c r="J640" t="s">
        <v>80</v>
      </c>
      <c r="K640" s="1">
        <v>45909</v>
      </c>
    </row>
    <row r="641" spans="1:11">
      <c r="A641" t="s">
        <v>92</v>
      </c>
      <c r="B641" t="s">
        <v>62</v>
      </c>
      <c r="C641" s="1">
        <v>45910</v>
      </c>
      <c r="D641" t="s">
        <v>328</v>
      </c>
      <c r="F641" t="s">
        <v>55</v>
      </c>
      <c r="G641">
        <v>825812</v>
      </c>
      <c r="H641" t="s">
        <v>79</v>
      </c>
      <c r="I641">
        <v>94</v>
      </c>
      <c r="J641" t="s">
        <v>80</v>
      </c>
      <c r="K641" s="1">
        <v>45910</v>
      </c>
    </row>
    <row r="642" spans="1:11">
      <c r="A642" t="s">
        <v>89</v>
      </c>
      <c r="B642" t="s">
        <v>23</v>
      </c>
      <c r="C642" s="1">
        <v>45911</v>
      </c>
      <c r="D642" t="s">
        <v>328</v>
      </c>
      <c r="F642" t="s">
        <v>55</v>
      </c>
      <c r="G642">
        <v>825812</v>
      </c>
      <c r="H642" t="s">
        <v>79</v>
      </c>
      <c r="I642">
        <v>93</v>
      </c>
      <c r="J642" t="s">
        <v>80</v>
      </c>
      <c r="K642" s="1">
        <v>45911</v>
      </c>
    </row>
    <row r="643" spans="1:11">
      <c r="A643" t="s">
        <v>114</v>
      </c>
      <c r="B643" t="s">
        <v>23</v>
      </c>
      <c r="C643" s="1">
        <v>45911</v>
      </c>
      <c r="D643" t="s">
        <v>328</v>
      </c>
      <c r="F643" t="s">
        <v>55</v>
      </c>
      <c r="G643">
        <v>825812</v>
      </c>
      <c r="H643" t="s">
        <v>112</v>
      </c>
      <c r="I643">
        <v>113</v>
      </c>
      <c r="J643" t="s">
        <v>80</v>
      </c>
      <c r="K643" s="1">
        <v>45911</v>
      </c>
    </row>
    <row r="644" spans="1:11">
      <c r="A644" t="s">
        <v>117</v>
      </c>
      <c r="B644" t="s">
        <v>23</v>
      </c>
      <c r="C644" s="1">
        <v>45911</v>
      </c>
      <c r="D644" t="s">
        <v>328</v>
      </c>
      <c r="F644" t="s">
        <v>55</v>
      </c>
      <c r="G644">
        <v>825812</v>
      </c>
      <c r="H644" t="s">
        <v>112</v>
      </c>
      <c r="I644">
        <v>114</v>
      </c>
      <c r="J644" t="s">
        <v>80</v>
      </c>
      <c r="K644" s="1">
        <v>45911</v>
      </c>
    </row>
  </sheetData>
  <sortState xmlns:xlrd2="http://schemas.microsoft.com/office/spreadsheetml/2017/richdata2" ref="A2:K644">
    <sortCondition ref="K1:K644"/>
    <sortCondition ref="C1:C64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CE82-D24D-41C2-B690-79A2FB77EC0D}">
  <dimension ref="A2:AB33"/>
  <sheetViews>
    <sheetView showZeros="0" zoomScale="70" zoomScaleNormal="70" workbookViewId="0">
      <selection activeCell="C13" sqref="C13"/>
    </sheetView>
  </sheetViews>
  <sheetFormatPr defaultRowHeight="15"/>
  <cols>
    <col min="1" max="1" width="39.85546875" bestFit="1" customWidth="1"/>
    <col min="2" max="2" width="1.85546875" bestFit="1" customWidth="1"/>
    <col min="3" max="3" width="19.42578125" bestFit="1" customWidth="1"/>
    <col min="4" max="4" width="12.85546875" bestFit="1" customWidth="1"/>
    <col min="5" max="5" width="8.28515625" bestFit="1" customWidth="1"/>
    <col min="6" max="6" width="15.7109375" bestFit="1" customWidth="1"/>
    <col min="7" max="7" width="14.7109375" bestFit="1" customWidth="1"/>
    <col min="8" max="8" width="16.140625" bestFit="1" customWidth="1"/>
    <col min="9" max="9" width="14.42578125" bestFit="1" customWidth="1"/>
    <col min="10" max="10" width="15.85546875" bestFit="1" customWidth="1"/>
    <col min="11" max="11" width="16.42578125" bestFit="1" customWidth="1"/>
    <col min="12" max="12" width="12.85546875" bestFit="1" customWidth="1"/>
    <col min="13" max="13" width="11.85546875" bestFit="1" customWidth="1"/>
    <col min="14" max="14" width="16.7109375" bestFit="1" customWidth="1"/>
    <col min="15" max="15" width="9.7109375" bestFit="1" customWidth="1"/>
    <col min="16" max="16" width="9.42578125" bestFit="1" customWidth="1"/>
    <col min="17" max="17" width="15.85546875" bestFit="1" customWidth="1"/>
    <col min="18" max="18" width="19.7109375" bestFit="1" customWidth="1"/>
    <col min="19" max="19" width="20.5703125" bestFit="1" customWidth="1"/>
    <col min="20" max="20" width="10.5703125" bestFit="1" customWidth="1"/>
    <col min="21" max="21" width="11.140625" bestFit="1" customWidth="1"/>
    <col min="22" max="22" width="9.140625" bestFit="1" customWidth="1"/>
  </cols>
  <sheetData>
    <row r="2" spans="1:28" s="17" customFormat="1" ht="21">
      <c r="A2" s="18" t="s">
        <v>329</v>
      </c>
      <c r="B2" s="19"/>
      <c r="C2" s="174" t="s">
        <v>330</v>
      </c>
      <c r="D2" s="21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3"/>
      <c r="T2" s="23"/>
      <c r="U2" s="24"/>
      <c r="V2" s="24"/>
      <c r="W2" s="24"/>
      <c r="X2" s="24"/>
      <c r="Y2" s="24"/>
      <c r="Z2" s="24"/>
      <c r="AA2" s="16"/>
      <c r="AB2" s="16"/>
    </row>
    <row r="3" spans="1:28" s="17" customFormat="1" ht="21">
      <c r="A3" s="25"/>
      <c r="B3" s="25"/>
      <c r="C3" s="23" t="s">
        <v>8</v>
      </c>
      <c r="D3" s="26" t="s">
        <v>9</v>
      </c>
      <c r="E3" s="26" t="s">
        <v>10</v>
      </c>
      <c r="F3" s="26" t="s">
        <v>11</v>
      </c>
      <c r="G3" s="26" t="s">
        <v>12</v>
      </c>
      <c r="H3" s="26" t="s">
        <v>13</v>
      </c>
      <c r="I3" s="26" t="s">
        <v>14</v>
      </c>
      <c r="J3" s="26" t="s">
        <v>15</v>
      </c>
      <c r="K3" s="26" t="s">
        <v>16</v>
      </c>
      <c r="L3" s="26" t="s">
        <v>17</v>
      </c>
      <c r="M3" s="26" t="s">
        <v>18</v>
      </c>
      <c r="N3" s="26" t="s">
        <v>19</v>
      </c>
      <c r="O3" s="26" t="s">
        <v>20</v>
      </c>
      <c r="P3" s="26" t="s">
        <v>21</v>
      </c>
      <c r="Q3" s="26" t="s">
        <v>22</v>
      </c>
      <c r="R3" s="26" t="s">
        <v>23</v>
      </c>
      <c r="S3" s="26" t="s">
        <v>24</v>
      </c>
      <c r="T3" s="26" t="s">
        <v>25</v>
      </c>
      <c r="U3" s="26" t="s">
        <v>26</v>
      </c>
      <c r="V3" s="26" t="s">
        <v>27</v>
      </c>
      <c r="W3" s="26"/>
      <c r="X3" s="26"/>
      <c r="Y3" s="26"/>
      <c r="Z3" s="26"/>
      <c r="AA3" s="16"/>
    </row>
    <row r="4" spans="1:28" s="17" customFormat="1">
      <c r="A4" s="27" t="str">
        <f>IF(OR(C4="", C4=0), "", "L"&amp;C4&amp;"-"&amp;$C$75&amp;"-"&amp;A5)</f>
        <v/>
      </c>
      <c r="B4" s="57"/>
      <c r="C4" s="3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16"/>
      <c r="AB4" s="16"/>
    </row>
    <row r="5" spans="1:28" s="17" customFormat="1" ht="15.75" thickBot="1">
      <c r="A5" s="4"/>
      <c r="B5" s="4"/>
      <c r="C5" s="169" t="str">
        <f>IF(C4="","Blank 3 Plex Template","")</f>
        <v>Blank 3 Plex Template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16"/>
      <c r="AB5" s="16"/>
    </row>
    <row r="6" spans="1:28" s="17" customFormat="1">
      <c r="A6" s="27" t="str">
        <f>IF(OR(C6="", C6=0), "", "L"&amp;C6&amp;"-"&amp;$C$75&amp;"-"&amp;A7)</f>
        <v/>
      </c>
      <c r="B6" s="28"/>
      <c r="C6" s="175">
        <f>IF(C4="",,C4+1)</f>
        <v>0</v>
      </c>
      <c r="D6" s="31"/>
      <c r="E6" s="31"/>
      <c r="F6" s="48"/>
      <c r="G6" s="48"/>
      <c r="H6" s="48"/>
      <c r="I6" s="48"/>
      <c r="J6" s="48"/>
      <c r="K6" s="48"/>
      <c r="L6" s="55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16"/>
      <c r="AB6" s="16"/>
    </row>
    <row r="7" spans="1:28" s="17" customFormat="1" ht="15.75" thickBot="1">
      <c r="A7" s="170">
        <f>A5</f>
        <v>0</v>
      </c>
      <c r="B7" s="170">
        <f>B5</f>
        <v>0</v>
      </c>
      <c r="C7" s="171"/>
      <c r="D7" s="37"/>
      <c r="E7" s="37"/>
      <c r="F7" s="50"/>
      <c r="G7" s="50"/>
      <c r="H7" s="50"/>
      <c r="I7" s="50"/>
      <c r="J7" s="50"/>
      <c r="K7" s="50"/>
      <c r="L7" s="56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16"/>
      <c r="AB7" s="16"/>
    </row>
    <row r="8" spans="1:28" s="17" customFormat="1">
      <c r="A8" s="27" t="str">
        <f>IF(OR(C8="", C8=0), "", "L"&amp;C8&amp;"-"&amp;$C$75&amp;"-"&amp;A9)</f>
        <v/>
      </c>
      <c r="B8" s="28"/>
      <c r="C8" s="175">
        <f>IF(C4="",,C4+2)</f>
        <v>0</v>
      </c>
      <c r="D8" s="31"/>
      <c r="E8" s="31"/>
      <c r="F8" s="48"/>
      <c r="G8" s="48"/>
      <c r="H8" s="48"/>
      <c r="I8" s="48"/>
      <c r="J8" s="48"/>
      <c r="K8" s="48"/>
      <c r="L8" s="47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16"/>
      <c r="AB8" s="16"/>
    </row>
    <row r="9" spans="1:28" s="17" customFormat="1" ht="15.75" thickBot="1">
      <c r="A9" s="172">
        <f>A5</f>
        <v>0</v>
      </c>
      <c r="B9" s="172">
        <f>B5</f>
        <v>0</v>
      </c>
      <c r="C9" s="173"/>
      <c r="D9" s="37"/>
      <c r="E9" s="37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16"/>
      <c r="AB9" s="16"/>
    </row>
    <row r="11" spans="1:28" s="17" customFormat="1" ht="21">
      <c r="A11" s="18" t="s">
        <v>331</v>
      </c>
      <c r="B11" s="19"/>
      <c r="C11" s="174" t="s">
        <v>330</v>
      </c>
      <c r="D11" s="21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4"/>
      <c r="V11" s="24"/>
      <c r="W11" s="24"/>
      <c r="X11" s="24"/>
      <c r="Y11" s="24"/>
      <c r="Z11" s="24"/>
      <c r="AA11" s="16"/>
      <c r="AB11" s="16"/>
    </row>
    <row r="12" spans="1:28" s="17" customFormat="1" ht="21">
      <c r="A12" s="25"/>
      <c r="B12" s="25"/>
      <c r="C12" s="23" t="s">
        <v>8</v>
      </c>
      <c r="D12" s="26" t="s">
        <v>9</v>
      </c>
      <c r="E12" s="26" t="s">
        <v>10</v>
      </c>
      <c r="F12" s="26" t="s">
        <v>11</v>
      </c>
      <c r="G12" s="26" t="s">
        <v>12</v>
      </c>
      <c r="H12" s="26" t="s">
        <v>13</v>
      </c>
      <c r="I12" s="26" t="s">
        <v>14</v>
      </c>
      <c r="J12" s="26" t="s">
        <v>15</v>
      </c>
      <c r="K12" s="26" t="s">
        <v>16</v>
      </c>
      <c r="L12" s="26" t="s">
        <v>17</v>
      </c>
      <c r="M12" s="26" t="s">
        <v>18</v>
      </c>
      <c r="N12" s="26" t="s">
        <v>19</v>
      </c>
      <c r="O12" s="26" t="s">
        <v>20</v>
      </c>
      <c r="P12" s="26" t="s">
        <v>21</v>
      </c>
      <c r="Q12" s="26" t="s">
        <v>22</v>
      </c>
      <c r="R12" s="26" t="s">
        <v>23</v>
      </c>
      <c r="S12" s="26" t="s">
        <v>24</v>
      </c>
      <c r="T12" s="26" t="s">
        <v>25</v>
      </c>
      <c r="U12" s="26" t="s">
        <v>26</v>
      </c>
      <c r="V12" s="26" t="s">
        <v>27</v>
      </c>
      <c r="W12" s="26"/>
      <c r="X12" s="26"/>
      <c r="Y12" s="26"/>
      <c r="Z12" s="26"/>
      <c r="AA12" s="16"/>
    </row>
    <row r="13" spans="1:28" s="17" customFormat="1">
      <c r="A13" s="27" t="str">
        <f>IF(OR(C13="", C13=0), "", "L"&amp;C13&amp;"-"&amp;$C$86&amp;"-"&amp;A14)</f>
        <v/>
      </c>
      <c r="B13" s="57"/>
      <c r="C13" s="3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16"/>
      <c r="AB13" s="16"/>
    </row>
    <row r="14" spans="1:28" s="17" customFormat="1" ht="15.75" thickBot="1">
      <c r="A14" s="4"/>
      <c r="B14" s="4"/>
      <c r="C14" s="169" t="str">
        <f>IF(C13="","Blank 4 Plex Template","")</f>
        <v>Blank 4 Plex Template</v>
      </c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16"/>
      <c r="AB14" s="16"/>
    </row>
    <row r="15" spans="1:28" s="17" customFormat="1">
      <c r="A15" s="27" t="str">
        <f>IF(OR(C15="", C15=0), "", "L"&amp;C15&amp;"-"&amp;$C$86&amp;"-"&amp;A16)</f>
        <v/>
      </c>
      <c r="B15" s="28"/>
      <c r="C15" s="175">
        <f>IF(C13="",,C13+1)</f>
        <v>0</v>
      </c>
      <c r="D15" s="31"/>
      <c r="E15" s="31"/>
      <c r="F15" s="48"/>
      <c r="G15" s="48"/>
      <c r="H15" s="48"/>
      <c r="I15" s="48"/>
      <c r="J15" s="48"/>
      <c r="K15" s="48"/>
      <c r="L15" s="55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16"/>
      <c r="AB15" s="16"/>
    </row>
    <row r="16" spans="1:28" s="17" customFormat="1" ht="15.75" thickBot="1">
      <c r="A16" s="170">
        <f>A14</f>
        <v>0</v>
      </c>
      <c r="B16" s="170">
        <f>B14</f>
        <v>0</v>
      </c>
      <c r="C16" s="171"/>
      <c r="D16" s="37"/>
      <c r="E16" s="37"/>
      <c r="F16" s="50"/>
      <c r="G16" s="50"/>
      <c r="H16" s="50"/>
      <c r="I16" s="50"/>
      <c r="J16" s="50"/>
      <c r="K16" s="50"/>
      <c r="L16" s="56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16"/>
      <c r="AB16" s="16"/>
    </row>
    <row r="17" spans="1:28" s="17" customFormat="1">
      <c r="A17" s="27" t="str">
        <f>IF(OR(C17="", C17=0), "", "L"&amp;C17&amp;"-"&amp;$C$86&amp;"-"&amp;A18)</f>
        <v/>
      </c>
      <c r="B17" s="28"/>
      <c r="C17" s="175">
        <f>IF(C13="",,C13+2)</f>
        <v>0</v>
      </c>
      <c r="D17" s="31"/>
      <c r="E17" s="31"/>
      <c r="F17" s="48"/>
      <c r="G17" s="48"/>
      <c r="H17" s="48"/>
      <c r="I17" s="48"/>
      <c r="J17" s="48"/>
      <c r="K17" s="48"/>
      <c r="L17" s="47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16"/>
      <c r="AB17" s="16"/>
    </row>
    <row r="18" spans="1:28" s="17" customFormat="1" ht="15.75" thickBot="1">
      <c r="A18" s="170">
        <f>A14</f>
        <v>0</v>
      </c>
      <c r="B18" s="170">
        <f>B14</f>
        <v>0</v>
      </c>
      <c r="C18" s="171"/>
      <c r="D18" s="37"/>
      <c r="E18" s="37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16"/>
      <c r="AB18" s="16"/>
    </row>
    <row r="19" spans="1:28" s="17" customFormat="1">
      <c r="A19" s="27" t="str">
        <f>IF(OR(C19="", C19=0), "", "L"&amp;C19&amp;"-"&amp;$C$86&amp;"-"&amp;A20)</f>
        <v/>
      </c>
      <c r="B19" s="28"/>
      <c r="C19" s="175">
        <f>IF(C13="",,C13+3)</f>
        <v>0</v>
      </c>
      <c r="D19" s="31"/>
      <c r="E19" s="31"/>
      <c r="F19" s="55"/>
      <c r="G19" s="55"/>
      <c r="H19" s="55"/>
      <c r="I19" s="55"/>
      <c r="J19" s="55"/>
      <c r="K19" s="47"/>
      <c r="L19" s="31"/>
      <c r="M19" s="55"/>
      <c r="N19" s="55"/>
      <c r="O19" s="55"/>
      <c r="P19" s="55"/>
      <c r="Q19" s="55"/>
      <c r="R19" s="55"/>
      <c r="S19" s="48"/>
      <c r="T19" s="48"/>
      <c r="U19" s="48"/>
      <c r="V19" s="48"/>
      <c r="W19" s="48"/>
      <c r="X19" s="48"/>
      <c r="Y19" s="48"/>
      <c r="Z19" s="48"/>
      <c r="AA19" s="16"/>
    </row>
    <row r="20" spans="1:28" s="17" customFormat="1" ht="15.75" thickBot="1">
      <c r="A20" s="172">
        <f>A14</f>
        <v>0</v>
      </c>
      <c r="B20" s="172">
        <f>B14</f>
        <v>0</v>
      </c>
      <c r="C20" s="178"/>
      <c r="D20" s="176"/>
      <c r="E20" s="37"/>
      <c r="F20" s="56"/>
      <c r="G20" s="56"/>
      <c r="H20" s="56"/>
      <c r="I20" s="56"/>
      <c r="J20" s="56"/>
      <c r="K20" s="50"/>
      <c r="L20" s="37"/>
      <c r="M20" s="56"/>
      <c r="N20" s="56"/>
      <c r="O20" s="56"/>
      <c r="P20" s="56"/>
      <c r="Q20" s="56"/>
      <c r="R20" s="56"/>
      <c r="S20" s="50"/>
      <c r="T20" s="50"/>
      <c r="U20" s="50"/>
      <c r="V20" s="50"/>
      <c r="W20" s="50"/>
      <c r="X20" s="50"/>
      <c r="Y20" s="50"/>
      <c r="Z20" s="50"/>
      <c r="AA20" s="16"/>
    </row>
    <row r="22" spans="1:28" s="17" customFormat="1" ht="21">
      <c r="A22" s="180" t="s">
        <v>332</v>
      </c>
      <c r="B22" s="181"/>
      <c r="C22" s="179" t="s">
        <v>330</v>
      </c>
      <c r="D22" s="21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3"/>
      <c r="T22" s="23"/>
      <c r="U22" s="24"/>
      <c r="V22" s="24"/>
      <c r="W22" s="24"/>
      <c r="X22" s="24"/>
      <c r="Y22" s="24"/>
      <c r="Z22" s="24"/>
      <c r="AA22" s="16"/>
      <c r="AB22" s="16"/>
    </row>
    <row r="23" spans="1:28" s="17" customFormat="1" ht="21">
      <c r="A23" s="25"/>
      <c r="B23" s="25"/>
      <c r="C23" s="23" t="s">
        <v>8</v>
      </c>
      <c r="D23" s="26" t="s">
        <v>9</v>
      </c>
      <c r="E23" s="26" t="s">
        <v>10</v>
      </c>
      <c r="F23" s="26" t="s">
        <v>11</v>
      </c>
      <c r="G23" s="26" t="s">
        <v>12</v>
      </c>
      <c r="H23" s="26" t="s">
        <v>13</v>
      </c>
      <c r="I23" s="26" t="s">
        <v>14</v>
      </c>
      <c r="J23" s="26" t="s">
        <v>15</v>
      </c>
      <c r="K23" s="26" t="s">
        <v>16</v>
      </c>
      <c r="L23" s="26" t="s">
        <v>17</v>
      </c>
      <c r="M23" s="26" t="s">
        <v>18</v>
      </c>
      <c r="N23" s="26" t="s">
        <v>19</v>
      </c>
      <c r="O23" s="26" t="s">
        <v>20</v>
      </c>
      <c r="P23" s="26" t="s">
        <v>21</v>
      </c>
      <c r="Q23" s="26" t="s">
        <v>22</v>
      </c>
      <c r="R23" s="26" t="s">
        <v>23</v>
      </c>
      <c r="S23" s="26" t="s">
        <v>24</v>
      </c>
      <c r="T23" s="26" t="s">
        <v>25</v>
      </c>
      <c r="U23" s="26" t="s">
        <v>26</v>
      </c>
      <c r="V23" s="26" t="s">
        <v>27</v>
      </c>
      <c r="W23" s="26"/>
      <c r="X23" s="26"/>
      <c r="Y23" s="26"/>
      <c r="Z23" s="26"/>
      <c r="AA23" s="16"/>
    </row>
    <row r="24" spans="1:28" s="17" customFormat="1">
      <c r="A24" s="27" t="str">
        <f>IF(OR(C24="", C24=0), "", "L"&amp;C24&amp;"-"&amp;$C$82&amp;"-"&amp;A25)</f>
        <v/>
      </c>
      <c r="B24" s="57"/>
      <c r="C24" s="3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16"/>
      <c r="AB24" s="16"/>
    </row>
    <row r="25" spans="1:28" s="17" customFormat="1" ht="15.75" thickBot="1">
      <c r="A25" s="4"/>
      <c r="B25" s="4"/>
      <c r="C25" s="169" t="str">
        <f>IF(C24="","Blank 5 Plex Template","")</f>
        <v>Blank 5 Plex Template</v>
      </c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16"/>
      <c r="AB25" s="16"/>
    </row>
    <row r="26" spans="1:28" s="17" customFormat="1">
      <c r="A26" s="27" t="str">
        <f>IF(OR(C26="", C26=0), "", "L"&amp;C26&amp;"-"&amp;$C$82&amp;"-"&amp;A27)</f>
        <v/>
      </c>
      <c r="B26" s="28"/>
      <c r="C26" s="175">
        <f>IF(C24="",,C24+1)</f>
        <v>0</v>
      </c>
      <c r="D26" s="31"/>
      <c r="E26" s="31"/>
      <c r="F26" s="48"/>
      <c r="G26" s="48"/>
      <c r="H26" s="48"/>
      <c r="I26" s="48"/>
      <c r="J26" s="48"/>
      <c r="K26" s="48"/>
      <c r="L26" s="55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16"/>
      <c r="AB26" s="16"/>
    </row>
    <row r="27" spans="1:28" s="17" customFormat="1" ht="15.75" thickBot="1">
      <c r="A27" s="170">
        <f>A25</f>
        <v>0</v>
      </c>
      <c r="B27" s="170">
        <f>B25</f>
        <v>0</v>
      </c>
      <c r="C27" s="171"/>
      <c r="D27" s="37"/>
      <c r="E27" s="37"/>
      <c r="F27" s="50"/>
      <c r="G27" s="50"/>
      <c r="H27" s="50"/>
      <c r="I27" s="50"/>
      <c r="J27" s="50"/>
      <c r="K27" s="50"/>
      <c r="L27" s="56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16"/>
      <c r="AB27" s="16"/>
    </row>
    <row r="28" spans="1:28" s="17" customFormat="1">
      <c r="A28" s="27" t="str">
        <f>IF(OR(C28="", C28=0), "", "L"&amp;C28&amp;"-"&amp;$C$82&amp;"-"&amp;A29)</f>
        <v/>
      </c>
      <c r="B28" s="28"/>
      <c r="C28" s="175">
        <f>IF(C24="",,C24+2)</f>
        <v>0</v>
      </c>
      <c r="D28" s="31"/>
      <c r="E28" s="31"/>
      <c r="F28" s="48"/>
      <c r="G28" s="48"/>
      <c r="H28" s="48"/>
      <c r="I28" s="48"/>
      <c r="J28" s="48"/>
      <c r="K28" s="48"/>
      <c r="L28" s="47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16"/>
      <c r="AB28" s="16"/>
    </row>
    <row r="29" spans="1:28" s="17" customFormat="1" ht="15.75" thickBot="1">
      <c r="A29" s="170">
        <f>A25</f>
        <v>0</v>
      </c>
      <c r="B29" s="170">
        <f>B25</f>
        <v>0</v>
      </c>
      <c r="C29" s="171"/>
      <c r="D29" s="37"/>
      <c r="E29" s="37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16"/>
      <c r="AB29" s="16"/>
    </row>
    <row r="30" spans="1:28" s="17" customFormat="1">
      <c r="A30" s="27" t="str">
        <f>IF(OR(C30="", C30=0), "", "L"&amp;C30&amp;"-"&amp;$C$82&amp;"-"&amp;A31)</f>
        <v/>
      </c>
      <c r="B30" s="28"/>
      <c r="C30" s="175">
        <f>IF(C24="",,C24+3)</f>
        <v>0</v>
      </c>
      <c r="D30" s="31"/>
      <c r="E30" s="31"/>
      <c r="F30" s="55"/>
      <c r="G30" s="55"/>
      <c r="H30" s="55"/>
      <c r="I30" s="55"/>
      <c r="J30" s="55"/>
      <c r="K30" s="47"/>
      <c r="L30" s="31"/>
      <c r="M30" s="55"/>
      <c r="N30" s="55"/>
      <c r="O30" s="55"/>
      <c r="P30" s="55"/>
      <c r="Q30" s="55"/>
      <c r="R30" s="55"/>
      <c r="S30" s="48"/>
      <c r="T30" s="48"/>
      <c r="U30" s="48"/>
      <c r="V30" s="48"/>
      <c r="W30" s="48"/>
      <c r="X30" s="48"/>
      <c r="Y30" s="48"/>
      <c r="Z30" s="48"/>
      <c r="AA30" s="16"/>
    </row>
    <row r="31" spans="1:28" s="17" customFormat="1" ht="15.75" thickBot="1">
      <c r="A31" s="170">
        <f>A25</f>
        <v>0</v>
      </c>
      <c r="B31" s="170">
        <f>B25</f>
        <v>0</v>
      </c>
      <c r="C31" s="171"/>
      <c r="D31" s="37"/>
      <c r="E31" s="37"/>
      <c r="F31" s="56"/>
      <c r="G31" s="56"/>
      <c r="H31" s="56"/>
      <c r="I31" s="56"/>
      <c r="J31" s="56"/>
      <c r="K31" s="50"/>
      <c r="L31" s="37"/>
      <c r="M31" s="56"/>
      <c r="N31" s="56"/>
      <c r="O31" s="56"/>
      <c r="P31" s="56"/>
      <c r="Q31" s="56"/>
      <c r="R31" s="56"/>
      <c r="S31" s="50"/>
      <c r="T31" s="50"/>
      <c r="U31" s="50"/>
      <c r="V31" s="50"/>
      <c r="W31" s="50"/>
      <c r="X31" s="50"/>
      <c r="Y31" s="50"/>
      <c r="Z31" s="50"/>
      <c r="AA31" s="16"/>
    </row>
    <row r="32" spans="1:28" s="17" customFormat="1">
      <c r="A32" s="27" t="str">
        <f>IF(OR(C32="", C32=0), "", "L"&amp;C32&amp;"-"&amp;$C$82&amp;"-"&amp;A33)</f>
        <v/>
      </c>
      <c r="B32" s="28"/>
      <c r="C32" s="175">
        <f>IF(C24="",,C24+4)</f>
        <v>0</v>
      </c>
      <c r="D32" s="31"/>
      <c r="E32" s="31"/>
      <c r="F32" s="55"/>
      <c r="G32" s="55"/>
      <c r="H32" s="55"/>
      <c r="I32" s="55"/>
      <c r="J32" s="55"/>
      <c r="K32" s="47"/>
      <c r="L32" s="31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16"/>
    </row>
    <row r="33" spans="1:27" s="17" customFormat="1" ht="15.75" thickBot="1">
      <c r="A33" s="172">
        <f>A25</f>
        <v>0</v>
      </c>
      <c r="B33" s="172">
        <f>B25</f>
        <v>0</v>
      </c>
      <c r="C33" s="173"/>
      <c r="D33" s="37"/>
      <c r="E33" s="37"/>
      <c r="F33" s="56"/>
      <c r="G33" s="56"/>
      <c r="H33" s="56"/>
      <c r="I33" s="56"/>
      <c r="J33" s="56"/>
      <c r="K33" s="50"/>
      <c r="L33" s="37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16"/>
    </row>
  </sheetData>
  <conditionalFormatting sqref="C24">
    <cfRule type="containsBlanks" dxfId="15" priority="3">
      <formula>LEN(TRIM(C24))=0</formula>
    </cfRule>
  </conditionalFormatting>
  <conditionalFormatting sqref="C13">
    <cfRule type="containsBlanks" dxfId="14" priority="2">
      <formula>LEN(TRIM(C13))=0</formula>
    </cfRule>
  </conditionalFormatting>
  <conditionalFormatting sqref="C4">
    <cfRule type="containsBlanks" dxfId="13" priority="1">
      <formula>LEN(TRIM(C4))=0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29BF9-61CF-440F-8E85-88F519DB8992}">
  <sheetPr codeName="Sheet5"/>
  <dimension ref="A1:B2"/>
  <sheetViews>
    <sheetView workbookViewId="0"/>
  </sheetViews>
  <sheetFormatPr defaultRowHeight="15"/>
  <sheetData>
    <row r="1" spans="1:2">
      <c r="A1" t="s">
        <v>0</v>
      </c>
      <c r="B1" t="b">
        <v>0</v>
      </c>
    </row>
    <row r="2" spans="1:2">
      <c r="A2" t="s">
        <v>333</v>
      </c>
      <c r="B2" t="b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418C7-EF84-414E-AC2A-E1F0D2E36BE1}">
  <sheetPr codeName="Sheet1"/>
  <dimension ref="A1:F270"/>
  <sheetViews>
    <sheetView workbookViewId="0">
      <selection activeCell="K9" sqref="K9"/>
    </sheetView>
  </sheetViews>
  <sheetFormatPr defaultRowHeight="15"/>
  <cols>
    <col min="1" max="1" width="20" bestFit="1" customWidth="1"/>
    <col min="2" max="2" width="27.5703125" bestFit="1" customWidth="1"/>
    <col min="3" max="3" width="11.42578125" bestFit="1" customWidth="1"/>
    <col min="4" max="4" width="11.5703125" bestFit="1" customWidth="1"/>
    <col min="5" max="5" width="15.42578125" bestFit="1" customWidth="1"/>
    <col min="6" max="6" width="22" bestFit="1" customWidth="1"/>
  </cols>
  <sheetData>
    <row r="1" spans="1:6">
      <c r="A1" t="s">
        <v>314</v>
      </c>
      <c r="B1" t="s">
        <v>334</v>
      </c>
      <c r="C1" t="s">
        <v>320</v>
      </c>
      <c r="D1" t="s">
        <v>335</v>
      </c>
      <c r="E1" t="s">
        <v>317</v>
      </c>
      <c r="F1" t="s">
        <v>318</v>
      </c>
    </row>
    <row r="2" spans="1:6">
      <c r="A2" t="s">
        <v>336</v>
      </c>
      <c r="B2" t="s">
        <v>337</v>
      </c>
      <c r="C2">
        <v>987403</v>
      </c>
      <c r="D2" s="1">
        <v>45630</v>
      </c>
      <c r="E2" t="s">
        <v>338</v>
      </c>
      <c r="F2" t="s">
        <v>339</v>
      </c>
    </row>
    <row r="3" spans="1:6">
      <c r="A3" t="s">
        <v>340</v>
      </c>
      <c r="B3" t="s">
        <v>341</v>
      </c>
      <c r="C3">
        <v>825812</v>
      </c>
      <c r="D3" s="1">
        <v>45630</v>
      </c>
      <c r="E3" t="s">
        <v>338</v>
      </c>
      <c r="F3" t="s">
        <v>339</v>
      </c>
    </row>
    <row r="4" spans="1:6">
      <c r="A4" t="s">
        <v>340</v>
      </c>
      <c r="B4" t="s">
        <v>342</v>
      </c>
      <c r="C4">
        <v>825812</v>
      </c>
      <c r="D4" s="1">
        <v>45630</v>
      </c>
      <c r="E4" t="s">
        <v>338</v>
      </c>
      <c r="F4" t="s">
        <v>339</v>
      </c>
    </row>
    <row r="5" spans="1:6">
      <c r="A5" t="s">
        <v>343</v>
      </c>
      <c r="B5" t="s">
        <v>344</v>
      </c>
      <c r="C5">
        <v>825812</v>
      </c>
      <c r="D5" s="1">
        <v>45631</v>
      </c>
      <c r="E5" t="s">
        <v>325</v>
      </c>
      <c r="F5">
        <v>78604389</v>
      </c>
    </row>
    <row r="6" spans="1:6">
      <c r="A6" t="s">
        <v>343</v>
      </c>
      <c r="B6" t="s">
        <v>345</v>
      </c>
      <c r="C6">
        <v>825812</v>
      </c>
      <c r="D6" s="1">
        <v>45631</v>
      </c>
      <c r="E6" t="s">
        <v>325</v>
      </c>
      <c r="F6">
        <v>78605362</v>
      </c>
    </row>
    <row r="7" spans="1:6">
      <c r="A7" t="s">
        <v>346</v>
      </c>
      <c r="B7" t="s">
        <v>337</v>
      </c>
      <c r="C7">
        <v>825812</v>
      </c>
      <c r="D7" s="1">
        <v>45631</v>
      </c>
      <c r="E7" t="s">
        <v>325</v>
      </c>
      <c r="F7">
        <v>78656591</v>
      </c>
    </row>
    <row r="8" spans="1:6">
      <c r="A8" t="s">
        <v>347</v>
      </c>
      <c r="B8" t="s">
        <v>348</v>
      </c>
      <c r="C8">
        <v>825812</v>
      </c>
      <c r="D8" s="1">
        <v>45631</v>
      </c>
      <c r="E8" t="s">
        <v>325</v>
      </c>
      <c r="F8">
        <v>78643990</v>
      </c>
    </row>
    <row r="9" spans="1:6">
      <c r="A9" t="s">
        <v>340</v>
      </c>
      <c r="B9" t="s">
        <v>348</v>
      </c>
      <c r="C9">
        <v>825812</v>
      </c>
      <c r="D9" s="1">
        <v>45631</v>
      </c>
      <c r="E9" t="s">
        <v>325</v>
      </c>
      <c r="F9">
        <v>78642107</v>
      </c>
    </row>
    <row r="10" spans="1:6">
      <c r="A10" t="s">
        <v>349</v>
      </c>
      <c r="B10" t="s">
        <v>350</v>
      </c>
      <c r="C10">
        <v>825812</v>
      </c>
      <c r="D10" s="1">
        <v>45631</v>
      </c>
      <c r="E10" t="s">
        <v>325</v>
      </c>
      <c r="F10">
        <v>78644098</v>
      </c>
    </row>
    <row r="11" spans="1:6">
      <c r="A11" t="s">
        <v>351</v>
      </c>
      <c r="B11" t="s">
        <v>352</v>
      </c>
      <c r="C11">
        <v>825812</v>
      </c>
      <c r="D11" s="1">
        <v>45631</v>
      </c>
      <c r="E11" t="s">
        <v>325</v>
      </c>
    </row>
    <row r="12" spans="1:6">
      <c r="A12" t="s">
        <v>353</v>
      </c>
      <c r="B12" t="s">
        <v>352</v>
      </c>
      <c r="C12">
        <v>825812</v>
      </c>
      <c r="D12" s="1">
        <v>45631</v>
      </c>
      <c r="E12" t="s">
        <v>325</v>
      </c>
    </row>
    <row r="13" spans="1:6">
      <c r="A13" t="s">
        <v>354</v>
      </c>
      <c r="B13" t="s">
        <v>342</v>
      </c>
      <c r="C13">
        <v>825812</v>
      </c>
      <c r="D13" s="1">
        <v>45631</v>
      </c>
      <c r="E13" t="s">
        <v>325</v>
      </c>
      <c r="F13">
        <v>78643931</v>
      </c>
    </row>
    <row r="14" spans="1:6">
      <c r="A14" t="s">
        <v>355</v>
      </c>
      <c r="B14" t="s">
        <v>356</v>
      </c>
      <c r="C14">
        <v>987403</v>
      </c>
      <c r="D14" s="1">
        <v>45632</v>
      </c>
      <c r="E14" t="s">
        <v>325</v>
      </c>
      <c r="F14">
        <v>78689370</v>
      </c>
    </row>
    <row r="15" spans="1:6">
      <c r="A15" t="s">
        <v>357</v>
      </c>
      <c r="B15" t="s">
        <v>358</v>
      </c>
      <c r="C15">
        <v>934452</v>
      </c>
      <c r="D15" s="1">
        <v>45632</v>
      </c>
      <c r="E15" t="s">
        <v>325</v>
      </c>
    </row>
    <row r="16" spans="1:6">
      <c r="A16" t="s">
        <v>359</v>
      </c>
      <c r="B16" t="s">
        <v>360</v>
      </c>
      <c r="C16">
        <v>825812</v>
      </c>
      <c r="D16" s="1">
        <v>45632</v>
      </c>
      <c r="E16" t="s">
        <v>325</v>
      </c>
      <c r="F16">
        <v>78672512</v>
      </c>
    </row>
    <row r="17" spans="1:6">
      <c r="A17" t="s">
        <v>361</v>
      </c>
      <c r="B17" t="s">
        <v>362</v>
      </c>
      <c r="C17">
        <v>934452</v>
      </c>
      <c r="D17" s="1">
        <v>45632</v>
      </c>
      <c r="E17" t="s">
        <v>325</v>
      </c>
      <c r="F17">
        <v>78688918</v>
      </c>
    </row>
    <row r="18" spans="1:6">
      <c r="A18" t="s">
        <v>363</v>
      </c>
      <c r="B18" t="s">
        <v>337</v>
      </c>
      <c r="C18">
        <v>987403</v>
      </c>
      <c r="D18" s="1">
        <v>45632</v>
      </c>
      <c r="E18" t="s">
        <v>325</v>
      </c>
      <c r="F18">
        <v>78699575</v>
      </c>
    </row>
    <row r="19" spans="1:6">
      <c r="A19" t="s">
        <v>364</v>
      </c>
      <c r="B19" t="s">
        <v>337</v>
      </c>
      <c r="C19">
        <v>987403</v>
      </c>
      <c r="D19" s="1">
        <v>45632</v>
      </c>
      <c r="E19" t="s">
        <v>325</v>
      </c>
      <c r="F19">
        <v>78699608</v>
      </c>
    </row>
    <row r="20" spans="1:6">
      <c r="A20" t="s">
        <v>365</v>
      </c>
      <c r="B20" t="s">
        <v>342</v>
      </c>
      <c r="C20">
        <v>825812</v>
      </c>
      <c r="D20" s="1">
        <v>45632</v>
      </c>
      <c r="E20" t="s">
        <v>325</v>
      </c>
      <c r="F20">
        <v>78687049</v>
      </c>
    </row>
    <row r="21" spans="1:6">
      <c r="A21" t="s">
        <v>366</v>
      </c>
      <c r="B21" t="s">
        <v>342</v>
      </c>
      <c r="C21">
        <v>987403</v>
      </c>
      <c r="D21" s="1">
        <v>45632</v>
      </c>
      <c r="E21" t="s">
        <v>338</v>
      </c>
      <c r="F21" t="s">
        <v>339</v>
      </c>
    </row>
    <row r="22" spans="1:6">
      <c r="A22" t="s">
        <v>367</v>
      </c>
      <c r="B22" t="s">
        <v>342</v>
      </c>
      <c r="C22">
        <v>987403</v>
      </c>
      <c r="D22" s="1">
        <v>45632</v>
      </c>
      <c r="E22" t="s">
        <v>338</v>
      </c>
      <c r="F22" t="s">
        <v>339</v>
      </c>
    </row>
    <row r="23" spans="1:6">
      <c r="A23" t="s">
        <v>336</v>
      </c>
      <c r="B23" t="s">
        <v>342</v>
      </c>
      <c r="C23">
        <v>987403</v>
      </c>
      <c r="D23" s="1">
        <v>45632</v>
      </c>
      <c r="E23" t="s">
        <v>338</v>
      </c>
      <c r="F23" t="s">
        <v>339</v>
      </c>
    </row>
    <row r="24" spans="1:6">
      <c r="A24" t="s">
        <v>368</v>
      </c>
      <c r="B24" t="s">
        <v>342</v>
      </c>
      <c r="C24">
        <v>825812</v>
      </c>
      <c r="D24" s="1">
        <v>45633</v>
      </c>
      <c r="E24" t="s">
        <v>338</v>
      </c>
      <c r="F24" t="s">
        <v>339</v>
      </c>
    </row>
    <row r="25" spans="1:6">
      <c r="A25" t="s">
        <v>349</v>
      </c>
      <c r="B25" t="s">
        <v>356</v>
      </c>
      <c r="C25">
        <v>825812</v>
      </c>
      <c r="D25" s="1">
        <v>45635</v>
      </c>
      <c r="E25" t="s">
        <v>325</v>
      </c>
      <c r="F25">
        <v>78658402</v>
      </c>
    </row>
    <row r="26" spans="1:6">
      <c r="A26" t="s">
        <v>369</v>
      </c>
      <c r="B26" t="s">
        <v>356</v>
      </c>
      <c r="C26">
        <v>825812</v>
      </c>
      <c r="D26" s="1">
        <v>45635</v>
      </c>
      <c r="E26" t="s">
        <v>325</v>
      </c>
      <c r="F26">
        <v>78636430</v>
      </c>
    </row>
    <row r="27" spans="1:6">
      <c r="A27" t="s">
        <v>370</v>
      </c>
      <c r="B27" t="s">
        <v>356</v>
      </c>
      <c r="C27">
        <v>825812</v>
      </c>
      <c r="D27" s="1">
        <v>45635</v>
      </c>
      <c r="E27" t="s">
        <v>325</v>
      </c>
      <c r="F27">
        <v>78636647</v>
      </c>
    </row>
    <row r="28" spans="1:6">
      <c r="A28" t="s">
        <v>349</v>
      </c>
      <c r="B28" t="s">
        <v>371</v>
      </c>
      <c r="C28">
        <v>825812</v>
      </c>
      <c r="D28" s="1">
        <v>45635</v>
      </c>
      <c r="E28" t="s">
        <v>325</v>
      </c>
      <c r="F28">
        <v>78644206</v>
      </c>
    </row>
    <row r="29" spans="1:6">
      <c r="A29" t="s">
        <v>369</v>
      </c>
      <c r="B29" t="s">
        <v>371</v>
      </c>
      <c r="C29">
        <v>825812</v>
      </c>
      <c r="D29" s="1">
        <v>45635</v>
      </c>
      <c r="E29" t="s">
        <v>325</v>
      </c>
      <c r="F29">
        <v>78613867</v>
      </c>
    </row>
    <row r="30" spans="1:6">
      <c r="A30" t="s">
        <v>370</v>
      </c>
      <c r="B30" t="s">
        <v>371</v>
      </c>
      <c r="C30">
        <v>825812</v>
      </c>
      <c r="D30" s="1">
        <v>45635</v>
      </c>
      <c r="E30" t="s">
        <v>325</v>
      </c>
      <c r="F30">
        <v>78614420</v>
      </c>
    </row>
    <row r="31" spans="1:6">
      <c r="A31" t="s">
        <v>372</v>
      </c>
      <c r="B31" t="s">
        <v>373</v>
      </c>
      <c r="C31">
        <v>987403</v>
      </c>
      <c r="D31" s="1">
        <v>45635</v>
      </c>
      <c r="E31" t="s">
        <v>325</v>
      </c>
      <c r="F31">
        <v>78698337</v>
      </c>
    </row>
    <row r="32" spans="1:6">
      <c r="A32" t="s">
        <v>374</v>
      </c>
      <c r="B32" t="s">
        <v>375</v>
      </c>
      <c r="C32">
        <v>825812</v>
      </c>
      <c r="D32" s="1">
        <v>45635</v>
      </c>
      <c r="E32" t="s">
        <v>376</v>
      </c>
    </row>
    <row r="33" spans="1:6">
      <c r="A33" t="s">
        <v>374</v>
      </c>
      <c r="B33" t="s">
        <v>360</v>
      </c>
      <c r="C33">
        <v>825812</v>
      </c>
      <c r="D33" s="1">
        <v>45635</v>
      </c>
      <c r="E33" t="s">
        <v>325</v>
      </c>
      <c r="F33">
        <v>78699859</v>
      </c>
    </row>
    <row r="34" spans="1:6">
      <c r="A34" t="s">
        <v>372</v>
      </c>
      <c r="B34" t="s">
        <v>287</v>
      </c>
      <c r="C34">
        <v>987403</v>
      </c>
      <c r="D34" s="1">
        <v>45635</v>
      </c>
      <c r="E34" t="s">
        <v>338</v>
      </c>
    </row>
    <row r="35" spans="1:6">
      <c r="A35" t="s">
        <v>355</v>
      </c>
      <c r="B35" t="s">
        <v>287</v>
      </c>
      <c r="C35">
        <v>987403</v>
      </c>
      <c r="D35" s="1">
        <v>45635</v>
      </c>
      <c r="E35" t="s">
        <v>338</v>
      </c>
    </row>
    <row r="36" spans="1:6">
      <c r="A36" t="s">
        <v>377</v>
      </c>
      <c r="B36" t="s">
        <v>350</v>
      </c>
      <c r="C36">
        <v>987403</v>
      </c>
      <c r="D36" s="1">
        <v>45635</v>
      </c>
      <c r="E36" t="s">
        <v>325</v>
      </c>
      <c r="F36">
        <v>78699773</v>
      </c>
    </row>
    <row r="37" spans="1:6">
      <c r="A37" t="s">
        <v>368</v>
      </c>
      <c r="B37" t="s">
        <v>341</v>
      </c>
      <c r="C37">
        <v>825812</v>
      </c>
      <c r="D37" s="1">
        <v>45635</v>
      </c>
      <c r="E37" t="s">
        <v>338</v>
      </c>
      <c r="F37" t="s">
        <v>339</v>
      </c>
    </row>
    <row r="38" spans="1:6">
      <c r="A38" t="s">
        <v>378</v>
      </c>
      <c r="B38" t="s">
        <v>342</v>
      </c>
      <c r="C38">
        <v>825812</v>
      </c>
      <c r="D38" s="1">
        <v>45635</v>
      </c>
      <c r="E38" t="s">
        <v>379</v>
      </c>
    </row>
    <row r="39" spans="1:6">
      <c r="A39" t="s">
        <v>380</v>
      </c>
      <c r="B39" t="s">
        <v>342</v>
      </c>
      <c r="C39">
        <v>825812</v>
      </c>
      <c r="D39" s="1">
        <v>45635</v>
      </c>
      <c r="E39" t="s">
        <v>338</v>
      </c>
    </row>
    <row r="40" spans="1:6">
      <c r="A40" t="s">
        <v>381</v>
      </c>
      <c r="B40" t="s">
        <v>342</v>
      </c>
      <c r="C40">
        <v>825812</v>
      </c>
      <c r="D40" s="1">
        <v>45635</v>
      </c>
      <c r="E40" t="s">
        <v>338</v>
      </c>
    </row>
    <row r="41" spans="1:6">
      <c r="A41" t="s">
        <v>361</v>
      </c>
      <c r="B41" t="s">
        <v>342</v>
      </c>
      <c r="C41">
        <v>934452</v>
      </c>
      <c r="D41" s="1">
        <v>45635</v>
      </c>
      <c r="E41" t="s">
        <v>338</v>
      </c>
      <c r="F41" t="s">
        <v>339</v>
      </c>
    </row>
    <row r="42" spans="1:6">
      <c r="A42" t="s">
        <v>382</v>
      </c>
      <c r="B42" t="s">
        <v>342</v>
      </c>
      <c r="C42">
        <v>934452</v>
      </c>
      <c r="D42" s="1">
        <v>45635</v>
      </c>
      <c r="E42" t="s">
        <v>325</v>
      </c>
      <c r="F42">
        <v>78691999</v>
      </c>
    </row>
    <row r="43" spans="1:6">
      <c r="A43" t="s">
        <v>383</v>
      </c>
      <c r="B43" t="s">
        <v>342</v>
      </c>
      <c r="C43">
        <v>987403</v>
      </c>
      <c r="D43" s="1">
        <v>45635</v>
      </c>
      <c r="E43" t="s">
        <v>376</v>
      </c>
      <c r="F43" t="s">
        <v>384</v>
      </c>
    </row>
    <row r="44" spans="1:6">
      <c r="A44" t="s">
        <v>385</v>
      </c>
      <c r="B44" t="s">
        <v>344</v>
      </c>
      <c r="C44">
        <v>825812</v>
      </c>
      <c r="D44" s="1">
        <v>45636</v>
      </c>
      <c r="E44" t="s">
        <v>325</v>
      </c>
      <c r="F44">
        <v>78672113</v>
      </c>
    </row>
    <row r="45" spans="1:6">
      <c r="A45" t="s">
        <v>385</v>
      </c>
      <c r="B45" t="s">
        <v>345</v>
      </c>
      <c r="C45">
        <v>825812</v>
      </c>
      <c r="D45" s="1">
        <v>45636</v>
      </c>
      <c r="E45" t="s">
        <v>325</v>
      </c>
      <c r="F45">
        <v>78672201</v>
      </c>
    </row>
    <row r="46" spans="1:6">
      <c r="A46" t="s">
        <v>386</v>
      </c>
      <c r="B46" t="s">
        <v>337</v>
      </c>
      <c r="C46">
        <v>825812</v>
      </c>
      <c r="D46" s="1">
        <v>45636</v>
      </c>
      <c r="E46" t="s">
        <v>338</v>
      </c>
      <c r="F46" t="s">
        <v>339</v>
      </c>
    </row>
    <row r="47" spans="1:6">
      <c r="A47" t="s">
        <v>387</v>
      </c>
      <c r="B47" t="s">
        <v>350</v>
      </c>
      <c r="C47">
        <v>825812</v>
      </c>
      <c r="D47" s="1">
        <v>45636</v>
      </c>
      <c r="E47" t="s">
        <v>379</v>
      </c>
    </row>
    <row r="48" spans="1:6">
      <c r="A48" t="s">
        <v>388</v>
      </c>
      <c r="B48" t="s">
        <v>350</v>
      </c>
      <c r="C48">
        <v>987403</v>
      </c>
      <c r="D48" s="1">
        <v>45636</v>
      </c>
      <c r="E48" t="s">
        <v>376</v>
      </c>
      <c r="F48" t="s">
        <v>224</v>
      </c>
    </row>
    <row r="49" spans="1:6">
      <c r="A49" t="s">
        <v>389</v>
      </c>
      <c r="B49" t="s">
        <v>390</v>
      </c>
      <c r="C49">
        <v>825812</v>
      </c>
      <c r="D49" s="1">
        <v>45636</v>
      </c>
      <c r="E49" t="s">
        <v>376</v>
      </c>
    </row>
    <row r="50" spans="1:6">
      <c r="A50" t="s">
        <v>369</v>
      </c>
      <c r="B50" t="s">
        <v>391</v>
      </c>
      <c r="C50">
        <v>825812</v>
      </c>
      <c r="D50" s="1">
        <v>45637</v>
      </c>
      <c r="E50" t="s">
        <v>325</v>
      </c>
      <c r="F50">
        <v>39887428</v>
      </c>
    </row>
    <row r="51" spans="1:6">
      <c r="A51" t="s">
        <v>370</v>
      </c>
      <c r="B51" t="s">
        <v>391</v>
      </c>
      <c r="C51">
        <v>825812</v>
      </c>
      <c r="D51" s="1">
        <v>45637</v>
      </c>
      <c r="E51" t="s">
        <v>325</v>
      </c>
      <c r="F51">
        <v>39888063</v>
      </c>
    </row>
    <row r="52" spans="1:6">
      <c r="A52" t="s">
        <v>372</v>
      </c>
      <c r="B52" t="s">
        <v>345</v>
      </c>
      <c r="C52">
        <v>987403</v>
      </c>
      <c r="D52" s="1">
        <v>45637</v>
      </c>
      <c r="E52" t="s">
        <v>376</v>
      </c>
      <c r="F52" t="s">
        <v>339</v>
      </c>
    </row>
    <row r="53" spans="1:6">
      <c r="A53" t="s">
        <v>357</v>
      </c>
      <c r="B53" t="s">
        <v>392</v>
      </c>
      <c r="C53">
        <v>934452</v>
      </c>
      <c r="D53" s="1">
        <v>45637</v>
      </c>
      <c r="E53" t="s">
        <v>325</v>
      </c>
      <c r="F53">
        <v>78657973</v>
      </c>
    </row>
    <row r="54" spans="1:6">
      <c r="A54" t="s">
        <v>393</v>
      </c>
      <c r="B54" t="s">
        <v>360</v>
      </c>
      <c r="C54">
        <v>825812</v>
      </c>
      <c r="D54" s="1">
        <v>45637</v>
      </c>
      <c r="E54" t="s">
        <v>338</v>
      </c>
      <c r="F54" t="s">
        <v>339</v>
      </c>
    </row>
    <row r="55" spans="1:6">
      <c r="A55" t="s">
        <v>393</v>
      </c>
      <c r="B55" t="s">
        <v>341</v>
      </c>
      <c r="C55">
        <v>825812</v>
      </c>
      <c r="D55" s="1">
        <v>45637</v>
      </c>
      <c r="E55" t="s">
        <v>338</v>
      </c>
      <c r="F55" t="s">
        <v>339</v>
      </c>
    </row>
    <row r="56" spans="1:6">
      <c r="A56" t="s">
        <v>343</v>
      </c>
      <c r="B56" t="s">
        <v>390</v>
      </c>
      <c r="C56">
        <v>825812</v>
      </c>
      <c r="D56" s="1">
        <v>45637</v>
      </c>
      <c r="E56" t="s">
        <v>376</v>
      </c>
    </row>
    <row r="57" spans="1:6">
      <c r="A57" t="s">
        <v>346</v>
      </c>
      <c r="B57" t="s">
        <v>342</v>
      </c>
      <c r="C57">
        <v>825812</v>
      </c>
      <c r="D57" s="1">
        <v>45637</v>
      </c>
      <c r="E57" t="s">
        <v>325</v>
      </c>
      <c r="F57">
        <v>78692949</v>
      </c>
    </row>
    <row r="58" spans="1:6">
      <c r="A58" t="s">
        <v>387</v>
      </c>
      <c r="B58" t="s">
        <v>356</v>
      </c>
      <c r="C58">
        <v>825812</v>
      </c>
      <c r="D58" s="1">
        <v>45638</v>
      </c>
      <c r="E58" t="s">
        <v>338</v>
      </c>
    </row>
    <row r="59" spans="1:6">
      <c r="A59" t="s">
        <v>387</v>
      </c>
      <c r="B59" t="s">
        <v>371</v>
      </c>
      <c r="C59">
        <v>825812</v>
      </c>
      <c r="D59" s="1">
        <v>45638</v>
      </c>
      <c r="E59" t="s">
        <v>338</v>
      </c>
    </row>
    <row r="60" spans="1:6">
      <c r="A60" t="s">
        <v>394</v>
      </c>
      <c r="B60" t="s">
        <v>350</v>
      </c>
      <c r="C60">
        <v>825812</v>
      </c>
      <c r="D60" s="1">
        <v>45638</v>
      </c>
      <c r="E60" t="s">
        <v>338</v>
      </c>
    </row>
    <row r="61" spans="1:6">
      <c r="A61" t="s">
        <v>357</v>
      </c>
      <c r="B61" t="s">
        <v>395</v>
      </c>
      <c r="C61">
        <v>934452</v>
      </c>
      <c r="D61" s="1">
        <v>45638</v>
      </c>
      <c r="E61" t="s">
        <v>325</v>
      </c>
    </row>
    <row r="62" spans="1:6">
      <c r="A62" t="s">
        <v>349</v>
      </c>
      <c r="B62" t="s">
        <v>396</v>
      </c>
      <c r="C62">
        <v>825812</v>
      </c>
      <c r="D62" s="1">
        <v>45639</v>
      </c>
      <c r="E62" t="s">
        <v>338</v>
      </c>
    </row>
    <row r="63" spans="1:6">
      <c r="A63" t="s">
        <v>369</v>
      </c>
      <c r="B63" t="s">
        <v>397</v>
      </c>
      <c r="C63">
        <v>825812</v>
      </c>
      <c r="D63" s="1">
        <v>45639</v>
      </c>
      <c r="E63" t="s">
        <v>325</v>
      </c>
      <c r="F63">
        <v>78661375</v>
      </c>
    </row>
    <row r="64" spans="1:6">
      <c r="A64" t="s">
        <v>370</v>
      </c>
      <c r="B64" t="s">
        <v>397</v>
      </c>
      <c r="C64">
        <v>825812</v>
      </c>
      <c r="D64" s="1">
        <v>45639</v>
      </c>
      <c r="E64" t="s">
        <v>325</v>
      </c>
      <c r="F64">
        <v>78662858</v>
      </c>
    </row>
    <row r="65" spans="1:6">
      <c r="A65" t="s">
        <v>349</v>
      </c>
      <c r="B65" t="s">
        <v>398</v>
      </c>
      <c r="C65">
        <v>825812</v>
      </c>
      <c r="D65" s="1">
        <v>45639</v>
      </c>
      <c r="E65" t="s">
        <v>338</v>
      </c>
    </row>
    <row r="66" spans="1:6">
      <c r="A66" t="s">
        <v>369</v>
      </c>
      <c r="B66" t="s">
        <v>399</v>
      </c>
      <c r="C66">
        <v>825812</v>
      </c>
      <c r="D66" s="1">
        <v>45639</v>
      </c>
      <c r="E66" t="s">
        <v>325</v>
      </c>
      <c r="F66">
        <v>78659877</v>
      </c>
    </row>
    <row r="67" spans="1:6">
      <c r="A67" t="s">
        <v>370</v>
      </c>
      <c r="B67" t="s">
        <v>399</v>
      </c>
      <c r="C67">
        <v>825812</v>
      </c>
      <c r="D67" s="1">
        <v>45639</v>
      </c>
      <c r="E67" t="s">
        <v>325</v>
      </c>
      <c r="F67">
        <v>78662444</v>
      </c>
    </row>
    <row r="68" spans="1:6">
      <c r="A68" t="s">
        <v>400</v>
      </c>
      <c r="B68" t="s">
        <v>401</v>
      </c>
      <c r="C68">
        <v>825812</v>
      </c>
      <c r="D68" s="1">
        <v>45639</v>
      </c>
      <c r="E68" t="s">
        <v>338</v>
      </c>
    </row>
    <row r="69" spans="1:6">
      <c r="A69" t="s">
        <v>400</v>
      </c>
      <c r="B69" t="s">
        <v>402</v>
      </c>
      <c r="C69">
        <v>825812</v>
      </c>
      <c r="D69" s="1">
        <v>45639</v>
      </c>
      <c r="E69" t="s">
        <v>338</v>
      </c>
    </row>
    <row r="70" spans="1:6">
      <c r="A70" t="s">
        <v>403</v>
      </c>
      <c r="B70" t="s">
        <v>375</v>
      </c>
      <c r="C70">
        <v>825812</v>
      </c>
      <c r="D70" s="1">
        <v>45639</v>
      </c>
      <c r="E70" t="s">
        <v>376</v>
      </c>
    </row>
    <row r="71" spans="1:6">
      <c r="A71" t="s">
        <v>403</v>
      </c>
      <c r="B71" t="s">
        <v>360</v>
      </c>
      <c r="C71">
        <v>825812</v>
      </c>
      <c r="D71" s="1">
        <v>45639</v>
      </c>
      <c r="E71" t="s">
        <v>376</v>
      </c>
    </row>
    <row r="72" spans="1:6">
      <c r="A72" t="s">
        <v>369</v>
      </c>
      <c r="B72" t="s">
        <v>287</v>
      </c>
      <c r="C72">
        <v>825812</v>
      </c>
      <c r="D72" s="1">
        <v>45639</v>
      </c>
      <c r="E72" t="s">
        <v>325</v>
      </c>
    </row>
    <row r="73" spans="1:6">
      <c r="A73" t="s">
        <v>370</v>
      </c>
      <c r="B73" t="s">
        <v>287</v>
      </c>
      <c r="C73">
        <v>825812</v>
      </c>
      <c r="D73" s="1">
        <v>45639</v>
      </c>
      <c r="E73" t="s">
        <v>325</v>
      </c>
    </row>
    <row r="74" spans="1:6">
      <c r="A74" t="s">
        <v>349</v>
      </c>
      <c r="B74" t="s">
        <v>404</v>
      </c>
      <c r="C74">
        <v>825812</v>
      </c>
      <c r="D74" s="1">
        <v>45639</v>
      </c>
      <c r="E74" t="s">
        <v>325</v>
      </c>
    </row>
    <row r="75" spans="1:6">
      <c r="A75" t="s">
        <v>372</v>
      </c>
      <c r="B75" t="s">
        <v>390</v>
      </c>
      <c r="C75">
        <v>987403</v>
      </c>
      <c r="D75" s="1">
        <v>45639</v>
      </c>
      <c r="E75" t="s">
        <v>376</v>
      </c>
      <c r="F75" t="s">
        <v>405</v>
      </c>
    </row>
    <row r="76" spans="1:6">
      <c r="A76" t="s">
        <v>386</v>
      </c>
      <c r="B76" t="s">
        <v>342</v>
      </c>
      <c r="C76">
        <v>825812</v>
      </c>
      <c r="D76" s="1">
        <v>45641</v>
      </c>
      <c r="E76" t="s">
        <v>338</v>
      </c>
      <c r="F76" t="s">
        <v>339</v>
      </c>
    </row>
    <row r="77" spans="1:6">
      <c r="A77" t="s">
        <v>393</v>
      </c>
      <c r="B77" t="s">
        <v>342</v>
      </c>
      <c r="C77">
        <v>825812</v>
      </c>
      <c r="D77" s="1">
        <v>45641</v>
      </c>
      <c r="E77" t="s">
        <v>338</v>
      </c>
      <c r="F77" t="s">
        <v>339</v>
      </c>
    </row>
    <row r="78" spans="1:6">
      <c r="A78" t="s">
        <v>394</v>
      </c>
      <c r="B78" t="s">
        <v>356</v>
      </c>
      <c r="C78">
        <v>825812</v>
      </c>
      <c r="D78" s="1">
        <v>45642</v>
      </c>
      <c r="E78" t="s">
        <v>338</v>
      </c>
    </row>
    <row r="79" spans="1:6">
      <c r="A79" t="s">
        <v>394</v>
      </c>
      <c r="B79" t="s">
        <v>371</v>
      </c>
      <c r="C79">
        <v>825812</v>
      </c>
      <c r="D79" s="1">
        <v>45642</v>
      </c>
      <c r="E79" t="s">
        <v>338</v>
      </c>
    </row>
    <row r="80" spans="1:6">
      <c r="A80" t="s">
        <v>385</v>
      </c>
      <c r="B80" t="s">
        <v>390</v>
      </c>
      <c r="C80">
        <v>825812</v>
      </c>
      <c r="D80" s="1">
        <v>45642</v>
      </c>
      <c r="E80" t="s">
        <v>376</v>
      </c>
    </row>
    <row r="81" spans="1:6">
      <c r="A81" t="s">
        <v>372</v>
      </c>
      <c r="B81" t="s">
        <v>288</v>
      </c>
      <c r="C81">
        <v>987403</v>
      </c>
      <c r="D81" s="1">
        <v>45642</v>
      </c>
      <c r="E81" t="s">
        <v>338</v>
      </c>
    </row>
    <row r="82" spans="1:6">
      <c r="A82" t="s">
        <v>355</v>
      </c>
      <c r="B82" t="s">
        <v>288</v>
      </c>
      <c r="C82">
        <v>987403</v>
      </c>
      <c r="D82" s="1">
        <v>45642</v>
      </c>
      <c r="E82" t="s">
        <v>338</v>
      </c>
    </row>
    <row r="83" spans="1:6">
      <c r="A83" t="s">
        <v>406</v>
      </c>
      <c r="B83" t="s">
        <v>350</v>
      </c>
      <c r="C83">
        <v>825812</v>
      </c>
      <c r="D83" s="1">
        <v>45643</v>
      </c>
      <c r="E83" t="s">
        <v>338</v>
      </c>
    </row>
    <row r="84" spans="1:6">
      <c r="A84" t="s">
        <v>407</v>
      </c>
      <c r="B84" t="s">
        <v>350</v>
      </c>
      <c r="C84">
        <v>825812</v>
      </c>
      <c r="D84" s="1">
        <v>45643</v>
      </c>
      <c r="E84" t="s">
        <v>338</v>
      </c>
    </row>
    <row r="85" spans="1:6">
      <c r="A85" t="s">
        <v>357</v>
      </c>
      <c r="B85" t="s">
        <v>408</v>
      </c>
      <c r="C85">
        <v>934452</v>
      </c>
      <c r="D85" s="1">
        <v>45643</v>
      </c>
      <c r="E85" t="s">
        <v>376</v>
      </c>
    </row>
    <row r="86" spans="1:6">
      <c r="A86" t="s">
        <v>409</v>
      </c>
      <c r="B86" t="s">
        <v>288</v>
      </c>
      <c r="C86">
        <v>987403</v>
      </c>
      <c r="D86" s="1">
        <v>45643</v>
      </c>
      <c r="E86" t="s">
        <v>376</v>
      </c>
      <c r="F86" t="s">
        <v>339</v>
      </c>
    </row>
    <row r="87" spans="1:6">
      <c r="A87" t="s">
        <v>400</v>
      </c>
      <c r="B87" t="s">
        <v>410</v>
      </c>
      <c r="C87">
        <v>825812</v>
      </c>
      <c r="D87" s="1">
        <v>45644</v>
      </c>
      <c r="E87" t="s">
        <v>338</v>
      </c>
    </row>
    <row r="88" spans="1:6">
      <c r="A88" t="s">
        <v>400</v>
      </c>
      <c r="B88" t="s">
        <v>356</v>
      </c>
      <c r="C88">
        <v>825812</v>
      </c>
      <c r="D88" s="1">
        <v>45644</v>
      </c>
      <c r="E88" t="s">
        <v>338</v>
      </c>
    </row>
    <row r="89" spans="1:6">
      <c r="A89" t="s">
        <v>369</v>
      </c>
      <c r="B89" t="s">
        <v>411</v>
      </c>
      <c r="C89">
        <v>825812</v>
      </c>
      <c r="D89" s="1">
        <v>45644</v>
      </c>
      <c r="E89" t="s">
        <v>376</v>
      </c>
    </row>
    <row r="90" spans="1:6">
      <c r="A90" t="s">
        <v>370</v>
      </c>
      <c r="B90" t="s">
        <v>411</v>
      </c>
      <c r="C90">
        <v>825812</v>
      </c>
      <c r="D90" s="1">
        <v>45644</v>
      </c>
      <c r="E90" t="s">
        <v>376</v>
      </c>
    </row>
    <row r="91" spans="1:6">
      <c r="A91" t="s">
        <v>412</v>
      </c>
      <c r="B91" t="s">
        <v>413</v>
      </c>
      <c r="C91">
        <v>663817</v>
      </c>
      <c r="D91" s="1">
        <v>45644</v>
      </c>
      <c r="E91" t="s">
        <v>376</v>
      </c>
    </row>
    <row r="92" spans="1:6">
      <c r="A92" t="s">
        <v>412</v>
      </c>
      <c r="B92" t="s">
        <v>414</v>
      </c>
      <c r="C92">
        <v>663817</v>
      </c>
      <c r="D92" s="1">
        <v>45644</v>
      </c>
      <c r="E92" t="s">
        <v>338</v>
      </c>
    </row>
    <row r="93" spans="1:6">
      <c r="A93" t="s">
        <v>387</v>
      </c>
      <c r="B93" t="s">
        <v>396</v>
      </c>
      <c r="C93">
        <v>825812</v>
      </c>
      <c r="D93" s="1">
        <v>45644</v>
      </c>
      <c r="E93" t="s">
        <v>338</v>
      </c>
    </row>
    <row r="94" spans="1:6">
      <c r="A94" t="s">
        <v>387</v>
      </c>
      <c r="B94" t="s">
        <v>398</v>
      </c>
      <c r="C94">
        <v>825812</v>
      </c>
      <c r="D94" s="1">
        <v>45644</v>
      </c>
      <c r="E94" t="s">
        <v>338</v>
      </c>
    </row>
    <row r="95" spans="1:6">
      <c r="A95" t="s">
        <v>415</v>
      </c>
      <c r="B95" t="s">
        <v>401</v>
      </c>
      <c r="C95">
        <v>825812</v>
      </c>
      <c r="D95" s="1">
        <v>45644</v>
      </c>
      <c r="E95" t="s">
        <v>338</v>
      </c>
    </row>
    <row r="96" spans="1:6">
      <c r="A96" t="s">
        <v>415</v>
      </c>
      <c r="B96" t="s">
        <v>402</v>
      </c>
      <c r="C96">
        <v>825812</v>
      </c>
      <c r="D96" s="1">
        <v>45644</v>
      </c>
      <c r="E96" t="s">
        <v>338</v>
      </c>
    </row>
    <row r="97" spans="1:6">
      <c r="A97" t="s">
        <v>387</v>
      </c>
      <c r="B97" t="s">
        <v>404</v>
      </c>
      <c r="C97">
        <v>825812</v>
      </c>
      <c r="D97" s="1">
        <v>45644</v>
      </c>
      <c r="E97" t="s">
        <v>325</v>
      </c>
    </row>
    <row r="98" spans="1:6">
      <c r="A98" t="s">
        <v>416</v>
      </c>
      <c r="B98" t="s">
        <v>350</v>
      </c>
      <c r="C98">
        <v>825812</v>
      </c>
      <c r="D98" s="1">
        <v>45644</v>
      </c>
      <c r="E98" t="s">
        <v>338</v>
      </c>
    </row>
    <row r="99" spans="1:6">
      <c r="A99" t="s">
        <v>349</v>
      </c>
      <c r="B99" t="s">
        <v>408</v>
      </c>
      <c r="C99">
        <v>825812</v>
      </c>
      <c r="D99" s="1">
        <v>45644</v>
      </c>
      <c r="E99" t="s">
        <v>338</v>
      </c>
    </row>
    <row r="100" spans="1:6">
      <c r="A100" t="s">
        <v>417</v>
      </c>
      <c r="B100" t="s">
        <v>350</v>
      </c>
      <c r="C100">
        <v>825812</v>
      </c>
      <c r="D100" s="1">
        <v>45645</v>
      </c>
      <c r="E100" t="s">
        <v>338</v>
      </c>
    </row>
    <row r="101" spans="1:6">
      <c r="A101" t="s">
        <v>418</v>
      </c>
      <c r="B101" t="s">
        <v>350</v>
      </c>
      <c r="C101">
        <v>825812</v>
      </c>
      <c r="D101" s="1">
        <v>45645</v>
      </c>
      <c r="E101" t="s">
        <v>338</v>
      </c>
    </row>
    <row r="102" spans="1:6">
      <c r="A102" t="s">
        <v>349</v>
      </c>
      <c r="B102" t="s">
        <v>395</v>
      </c>
      <c r="C102">
        <v>825812</v>
      </c>
      <c r="D102" s="1">
        <v>45645</v>
      </c>
      <c r="E102" t="s">
        <v>325</v>
      </c>
    </row>
    <row r="103" spans="1:6">
      <c r="A103" t="s">
        <v>416</v>
      </c>
      <c r="B103" t="s">
        <v>356</v>
      </c>
      <c r="C103">
        <v>825812</v>
      </c>
      <c r="D103" s="1">
        <v>45646</v>
      </c>
      <c r="E103" t="s">
        <v>338</v>
      </c>
    </row>
    <row r="104" spans="1:6">
      <c r="A104" t="s">
        <v>416</v>
      </c>
      <c r="B104" t="s">
        <v>371</v>
      </c>
      <c r="C104">
        <v>825812</v>
      </c>
      <c r="D104" s="1">
        <v>45646</v>
      </c>
      <c r="E104" t="s">
        <v>338</v>
      </c>
    </row>
    <row r="105" spans="1:6">
      <c r="A105" t="s">
        <v>394</v>
      </c>
      <c r="B105" t="s">
        <v>396</v>
      </c>
      <c r="C105">
        <v>825812</v>
      </c>
      <c r="D105" s="1">
        <v>45646</v>
      </c>
      <c r="E105" t="s">
        <v>338</v>
      </c>
    </row>
    <row r="106" spans="1:6">
      <c r="A106" t="s">
        <v>394</v>
      </c>
      <c r="B106" t="s">
        <v>398</v>
      </c>
      <c r="C106">
        <v>825812</v>
      </c>
      <c r="D106" s="1">
        <v>45646</v>
      </c>
      <c r="E106" t="s">
        <v>338</v>
      </c>
    </row>
    <row r="107" spans="1:6">
      <c r="A107" t="s">
        <v>394</v>
      </c>
      <c r="B107" t="s">
        <v>404</v>
      </c>
      <c r="C107">
        <v>825812</v>
      </c>
      <c r="D107" s="1">
        <v>45646</v>
      </c>
      <c r="E107" t="s">
        <v>325</v>
      </c>
    </row>
    <row r="108" spans="1:6">
      <c r="A108" t="s">
        <v>419</v>
      </c>
      <c r="B108" t="s">
        <v>350</v>
      </c>
      <c r="C108">
        <v>825812</v>
      </c>
      <c r="D108" s="1">
        <v>45646</v>
      </c>
      <c r="E108" t="s">
        <v>338</v>
      </c>
    </row>
    <row r="109" spans="1:6">
      <c r="A109" t="s">
        <v>369</v>
      </c>
      <c r="B109" t="s">
        <v>408</v>
      </c>
      <c r="C109">
        <v>825812</v>
      </c>
      <c r="D109" s="1">
        <v>45646</v>
      </c>
      <c r="E109" t="s">
        <v>376</v>
      </c>
    </row>
    <row r="110" spans="1:6">
      <c r="A110" t="s">
        <v>370</v>
      </c>
      <c r="B110" t="s">
        <v>408</v>
      </c>
      <c r="C110">
        <v>825812</v>
      </c>
      <c r="D110" s="1">
        <v>45646</v>
      </c>
      <c r="E110" t="s">
        <v>376</v>
      </c>
    </row>
    <row r="111" spans="1:6">
      <c r="A111" t="s">
        <v>389</v>
      </c>
      <c r="B111" t="s">
        <v>341</v>
      </c>
      <c r="C111">
        <v>825812</v>
      </c>
      <c r="D111" s="1">
        <v>45647</v>
      </c>
      <c r="E111" t="s">
        <v>338</v>
      </c>
      <c r="F111" t="s">
        <v>339</v>
      </c>
    </row>
    <row r="112" spans="1:6">
      <c r="A112" t="s">
        <v>415</v>
      </c>
      <c r="B112" t="s">
        <v>410</v>
      </c>
      <c r="C112">
        <v>825812</v>
      </c>
      <c r="D112" s="1">
        <v>45649</v>
      </c>
      <c r="E112" t="s">
        <v>338</v>
      </c>
    </row>
    <row r="113" spans="1:6">
      <c r="A113" t="s">
        <v>415</v>
      </c>
      <c r="B113" t="s">
        <v>356</v>
      </c>
      <c r="C113">
        <v>825812</v>
      </c>
      <c r="D113" s="1">
        <v>45649</v>
      </c>
      <c r="E113" t="s">
        <v>338</v>
      </c>
    </row>
    <row r="114" spans="1:6">
      <c r="A114" t="s">
        <v>369</v>
      </c>
      <c r="B114" t="s">
        <v>288</v>
      </c>
      <c r="C114">
        <v>825812</v>
      </c>
      <c r="D114" s="1">
        <v>45649</v>
      </c>
      <c r="E114" t="s">
        <v>325</v>
      </c>
    </row>
    <row r="115" spans="1:6">
      <c r="A115" t="s">
        <v>370</v>
      </c>
      <c r="B115" t="s">
        <v>288</v>
      </c>
      <c r="C115">
        <v>825812</v>
      </c>
      <c r="D115" s="1">
        <v>45649</v>
      </c>
      <c r="E115" t="s">
        <v>325</v>
      </c>
    </row>
    <row r="116" spans="1:6">
      <c r="A116" t="s">
        <v>419</v>
      </c>
      <c r="B116" t="s">
        <v>356</v>
      </c>
      <c r="C116">
        <v>825812</v>
      </c>
      <c r="D116" s="1">
        <v>45652</v>
      </c>
      <c r="E116" t="s">
        <v>338</v>
      </c>
    </row>
    <row r="117" spans="1:6">
      <c r="A117" t="s">
        <v>406</v>
      </c>
      <c r="B117" t="s">
        <v>356</v>
      </c>
      <c r="C117">
        <v>825812</v>
      </c>
      <c r="D117" s="1">
        <v>45652</v>
      </c>
      <c r="E117" t="s">
        <v>338</v>
      </c>
      <c r="F117" t="s">
        <v>384</v>
      </c>
    </row>
    <row r="118" spans="1:6">
      <c r="A118" t="s">
        <v>407</v>
      </c>
      <c r="B118" t="s">
        <v>356</v>
      </c>
      <c r="C118">
        <v>825812</v>
      </c>
      <c r="D118" s="1">
        <v>45652</v>
      </c>
      <c r="E118" t="s">
        <v>338</v>
      </c>
      <c r="F118" t="s">
        <v>384</v>
      </c>
    </row>
    <row r="119" spans="1:6">
      <c r="A119" t="s">
        <v>417</v>
      </c>
      <c r="B119" t="s">
        <v>356</v>
      </c>
      <c r="C119">
        <v>825812</v>
      </c>
      <c r="D119" s="1">
        <v>45652</v>
      </c>
      <c r="E119" t="s">
        <v>338</v>
      </c>
      <c r="F119" t="s">
        <v>420</v>
      </c>
    </row>
    <row r="120" spans="1:6">
      <c r="A120" t="s">
        <v>418</v>
      </c>
      <c r="B120" t="s">
        <v>356</v>
      </c>
      <c r="C120">
        <v>825812</v>
      </c>
      <c r="D120" s="1">
        <v>45652</v>
      </c>
      <c r="E120" t="s">
        <v>338</v>
      </c>
      <c r="F120" t="s">
        <v>420</v>
      </c>
    </row>
    <row r="121" spans="1:6">
      <c r="A121" t="s">
        <v>419</v>
      </c>
      <c r="B121" t="s">
        <v>371</v>
      </c>
      <c r="C121">
        <v>825812</v>
      </c>
      <c r="D121" s="1">
        <v>45652</v>
      </c>
      <c r="E121" t="s">
        <v>338</v>
      </c>
    </row>
    <row r="122" spans="1:6">
      <c r="A122" t="s">
        <v>406</v>
      </c>
      <c r="B122" t="s">
        <v>371</v>
      </c>
      <c r="C122">
        <v>825812</v>
      </c>
      <c r="D122" s="1">
        <v>45652</v>
      </c>
      <c r="E122" t="s">
        <v>338</v>
      </c>
      <c r="F122" t="s">
        <v>384</v>
      </c>
    </row>
    <row r="123" spans="1:6">
      <c r="A123" t="s">
        <v>407</v>
      </c>
      <c r="B123" t="s">
        <v>371</v>
      </c>
      <c r="C123">
        <v>825812</v>
      </c>
      <c r="D123" s="1">
        <v>45652</v>
      </c>
      <c r="E123" t="s">
        <v>338</v>
      </c>
      <c r="F123" t="s">
        <v>384</v>
      </c>
    </row>
    <row r="124" spans="1:6">
      <c r="A124" t="s">
        <v>417</v>
      </c>
      <c r="B124" t="s">
        <v>371</v>
      </c>
      <c r="C124">
        <v>825812</v>
      </c>
      <c r="D124" s="1">
        <v>45652</v>
      </c>
      <c r="E124" t="s">
        <v>338</v>
      </c>
      <c r="F124" t="s">
        <v>420</v>
      </c>
    </row>
    <row r="125" spans="1:6">
      <c r="A125" t="s">
        <v>418</v>
      </c>
      <c r="B125" t="s">
        <v>371</v>
      </c>
      <c r="C125">
        <v>825812</v>
      </c>
      <c r="D125" s="1">
        <v>45652</v>
      </c>
      <c r="E125" t="s">
        <v>338</v>
      </c>
      <c r="F125" t="s">
        <v>420</v>
      </c>
    </row>
    <row r="126" spans="1:6">
      <c r="A126" t="s">
        <v>421</v>
      </c>
      <c r="B126" t="s">
        <v>401</v>
      </c>
      <c r="C126">
        <v>825812</v>
      </c>
      <c r="D126" s="1">
        <v>45652</v>
      </c>
      <c r="E126" t="s">
        <v>338</v>
      </c>
    </row>
    <row r="127" spans="1:6">
      <c r="A127" t="s">
        <v>421</v>
      </c>
      <c r="B127" t="s">
        <v>402</v>
      </c>
      <c r="C127">
        <v>825812</v>
      </c>
      <c r="D127" s="1">
        <v>45652</v>
      </c>
      <c r="E127" t="s">
        <v>338</v>
      </c>
    </row>
    <row r="128" spans="1:6">
      <c r="A128" t="s">
        <v>387</v>
      </c>
      <c r="B128" t="s">
        <v>408</v>
      </c>
      <c r="C128">
        <v>825812</v>
      </c>
      <c r="D128" s="1">
        <v>45652</v>
      </c>
      <c r="E128" t="s">
        <v>338</v>
      </c>
    </row>
    <row r="129" spans="1:6">
      <c r="A129" t="s">
        <v>343</v>
      </c>
      <c r="B129" t="s">
        <v>342</v>
      </c>
      <c r="C129">
        <v>825812</v>
      </c>
      <c r="D129" s="1">
        <v>45652</v>
      </c>
      <c r="E129" t="s">
        <v>338</v>
      </c>
      <c r="F129" t="s">
        <v>339</v>
      </c>
    </row>
    <row r="130" spans="1:6">
      <c r="A130" t="s">
        <v>406</v>
      </c>
      <c r="B130" t="s">
        <v>391</v>
      </c>
      <c r="C130">
        <v>825812</v>
      </c>
      <c r="D130" s="1">
        <v>45653</v>
      </c>
      <c r="E130" t="s">
        <v>338</v>
      </c>
    </row>
    <row r="131" spans="1:6">
      <c r="A131" t="s">
        <v>407</v>
      </c>
      <c r="B131" t="s">
        <v>391</v>
      </c>
      <c r="C131">
        <v>825812</v>
      </c>
      <c r="D131" s="1">
        <v>45653</v>
      </c>
      <c r="E131" t="s">
        <v>338</v>
      </c>
    </row>
    <row r="132" spans="1:6">
      <c r="A132" t="s">
        <v>385</v>
      </c>
      <c r="B132" t="s">
        <v>360</v>
      </c>
      <c r="C132">
        <v>825812</v>
      </c>
      <c r="D132" s="1">
        <v>45653</v>
      </c>
      <c r="E132" t="s">
        <v>338</v>
      </c>
      <c r="F132" t="s">
        <v>339</v>
      </c>
    </row>
    <row r="133" spans="1:6">
      <c r="A133" t="s">
        <v>422</v>
      </c>
      <c r="B133" t="s">
        <v>350</v>
      </c>
      <c r="C133">
        <v>825812</v>
      </c>
      <c r="D133" s="1">
        <v>45653</v>
      </c>
      <c r="E133" t="s">
        <v>338</v>
      </c>
    </row>
    <row r="134" spans="1:6">
      <c r="A134" t="s">
        <v>387</v>
      </c>
      <c r="B134" t="s">
        <v>395</v>
      </c>
      <c r="C134">
        <v>825812</v>
      </c>
      <c r="D134" s="1">
        <v>45653</v>
      </c>
      <c r="E134" t="s">
        <v>325</v>
      </c>
    </row>
    <row r="135" spans="1:6">
      <c r="A135" t="s">
        <v>417</v>
      </c>
      <c r="B135" t="s">
        <v>423</v>
      </c>
      <c r="C135">
        <v>825812</v>
      </c>
      <c r="D135" s="1">
        <v>45653</v>
      </c>
      <c r="E135" t="s">
        <v>338</v>
      </c>
    </row>
    <row r="136" spans="1:6">
      <c r="A136" t="s">
        <v>418</v>
      </c>
      <c r="B136" t="s">
        <v>423</v>
      </c>
      <c r="C136">
        <v>825812</v>
      </c>
      <c r="D136" s="1">
        <v>45653</v>
      </c>
      <c r="E136" t="s">
        <v>338</v>
      </c>
    </row>
    <row r="137" spans="1:6">
      <c r="A137" t="s">
        <v>400</v>
      </c>
      <c r="B137" t="s">
        <v>344</v>
      </c>
      <c r="C137">
        <v>825812</v>
      </c>
      <c r="D137" s="1">
        <v>45656</v>
      </c>
      <c r="E137" t="s">
        <v>338</v>
      </c>
    </row>
    <row r="138" spans="1:6">
      <c r="A138" t="s">
        <v>400</v>
      </c>
      <c r="B138" t="s">
        <v>345</v>
      </c>
      <c r="C138">
        <v>825812</v>
      </c>
      <c r="D138" s="1">
        <v>45656</v>
      </c>
      <c r="E138" t="s">
        <v>338</v>
      </c>
    </row>
    <row r="139" spans="1:6">
      <c r="A139" t="s">
        <v>416</v>
      </c>
      <c r="B139" t="s">
        <v>396</v>
      </c>
      <c r="C139">
        <v>825812</v>
      </c>
      <c r="D139" s="1">
        <v>45656</v>
      </c>
      <c r="E139" t="s">
        <v>338</v>
      </c>
    </row>
    <row r="140" spans="1:6">
      <c r="A140" t="s">
        <v>416</v>
      </c>
      <c r="B140" t="s">
        <v>398</v>
      </c>
      <c r="C140">
        <v>825812</v>
      </c>
      <c r="D140" s="1">
        <v>45656</v>
      </c>
      <c r="E140" t="s">
        <v>338</v>
      </c>
    </row>
    <row r="141" spans="1:6">
      <c r="A141" t="s">
        <v>416</v>
      </c>
      <c r="B141" t="s">
        <v>404</v>
      </c>
      <c r="C141">
        <v>825812</v>
      </c>
      <c r="D141" s="1">
        <v>45656</v>
      </c>
      <c r="E141" t="s">
        <v>325</v>
      </c>
    </row>
    <row r="142" spans="1:6">
      <c r="A142" t="s">
        <v>394</v>
      </c>
      <c r="B142" t="s">
        <v>408</v>
      </c>
      <c r="C142">
        <v>825812</v>
      </c>
      <c r="D142" s="1">
        <v>45656</v>
      </c>
      <c r="E142" t="s">
        <v>338</v>
      </c>
    </row>
    <row r="143" spans="1:6">
      <c r="A143" t="s">
        <v>421</v>
      </c>
      <c r="B143" t="s">
        <v>410</v>
      </c>
      <c r="C143">
        <v>825812</v>
      </c>
      <c r="D143" s="1">
        <v>45657</v>
      </c>
      <c r="E143" t="s">
        <v>338</v>
      </c>
    </row>
    <row r="144" spans="1:6">
      <c r="A144" t="s">
        <v>421</v>
      </c>
      <c r="B144" t="s">
        <v>356</v>
      </c>
      <c r="C144">
        <v>825812</v>
      </c>
      <c r="D144" s="1">
        <v>45657</v>
      </c>
      <c r="E144" t="s">
        <v>338</v>
      </c>
    </row>
    <row r="145" spans="1:6">
      <c r="A145" t="s">
        <v>422</v>
      </c>
      <c r="B145" t="s">
        <v>356</v>
      </c>
      <c r="C145">
        <v>825812</v>
      </c>
      <c r="D145" s="1">
        <v>45657</v>
      </c>
      <c r="E145" t="s">
        <v>338</v>
      </c>
    </row>
    <row r="146" spans="1:6">
      <c r="A146" t="s">
        <v>422</v>
      </c>
      <c r="B146" t="s">
        <v>371</v>
      </c>
      <c r="C146">
        <v>825812</v>
      </c>
      <c r="D146" s="1">
        <v>45657</v>
      </c>
      <c r="E146" t="s">
        <v>338</v>
      </c>
    </row>
    <row r="147" spans="1:6">
      <c r="A147" t="s">
        <v>424</v>
      </c>
      <c r="B147" t="s">
        <v>350</v>
      </c>
      <c r="C147">
        <v>825812</v>
      </c>
      <c r="D147" s="1">
        <v>45657</v>
      </c>
      <c r="E147" t="s">
        <v>338</v>
      </c>
    </row>
    <row r="148" spans="1:6">
      <c r="A148" t="s">
        <v>385</v>
      </c>
      <c r="B148" t="s">
        <v>342</v>
      </c>
      <c r="C148">
        <v>825812</v>
      </c>
      <c r="D148" s="1">
        <v>45657</v>
      </c>
      <c r="E148" t="s">
        <v>338</v>
      </c>
      <c r="F148" t="s">
        <v>339</v>
      </c>
    </row>
    <row r="149" spans="1:6">
      <c r="A149" t="s">
        <v>419</v>
      </c>
      <c r="B149" t="s">
        <v>396</v>
      </c>
      <c r="C149">
        <v>825812</v>
      </c>
      <c r="D149" s="1">
        <v>45659</v>
      </c>
      <c r="E149" t="s">
        <v>338</v>
      </c>
    </row>
    <row r="150" spans="1:6">
      <c r="A150" t="s">
        <v>406</v>
      </c>
      <c r="B150" t="s">
        <v>397</v>
      </c>
      <c r="C150">
        <v>825812</v>
      </c>
      <c r="D150" s="1">
        <v>45659</v>
      </c>
      <c r="E150" t="s">
        <v>338</v>
      </c>
    </row>
    <row r="151" spans="1:6">
      <c r="A151" t="s">
        <v>407</v>
      </c>
      <c r="B151" t="s">
        <v>397</v>
      </c>
      <c r="C151">
        <v>825812</v>
      </c>
      <c r="D151" s="1">
        <v>45659</v>
      </c>
      <c r="E151" t="s">
        <v>338</v>
      </c>
    </row>
    <row r="152" spans="1:6">
      <c r="A152" t="s">
        <v>417</v>
      </c>
      <c r="B152" t="s">
        <v>396</v>
      </c>
      <c r="C152">
        <v>825812</v>
      </c>
      <c r="D152" s="1">
        <v>45659</v>
      </c>
      <c r="E152" t="s">
        <v>338</v>
      </c>
    </row>
    <row r="153" spans="1:6">
      <c r="A153" t="s">
        <v>418</v>
      </c>
      <c r="B153" t="s">
        <v>396</v>
      </c>
      <c r="C153">
        <v>825812</v>
      </c>
      <c r="D153" s="1">
        <v>45659</v>
      </c>
      <c r="E153" t="s">
        <v>338</v>
      </c>
    </row>
    <row r="154" spans="1:6">
      <c r="A154" t="s">
        <v>419</v>
      </c>
      <c r="B154" t="s">
        <v>398</v>
      </c>
      <c r="C154">
        <v>825812</v>
      </c>
      <c r="D154" s="1">
        <v>45659</v>
      </c>
      <c r="E154" t="s">
        <v>338</v>
      </c>
    </row>
    <row r="155" spans="1:6">
      <c r="A155" t="s">
        <v>406</v>
      </c>
      <c r="B155" t="s">
        <v>399</v>
      </c>
      <c r="C155">
        <v>825812</v>
      </c>
      <c r="D155" s="1">
        <v>45659</v>
      </c>
      <c r="E155" t="s">
        <v>338</v>
      </c>
    </row>
    <row r="156" spans="1:6">
      <c r="A156" t="s">
        <v>407</v>
      </c>
      <c r="B156" t="s">
        <v>399</v>
      </c>
      <c r="C156">
        <v>825812</v>
      </c>
      <c r="D156" s="1">
        <v>45659</v>
      </c>
      <c r="E156" t="s">
        <v>338</v>
      </c>
    </row>
    <row r="157" spans="1:6">
      <c r="A157" t="s">
        <v>417</v>
      </c>
      <c r="B157" t="s">
        <v>398</v>
      </c>
      <c r="C157">
        <v>825812</v>
      </c>
      <c r="D157" s="1">
        <v>45659</v>
      </c>
      <c r="E157" t="s">
        <v>338</v>
      </c>
    </row>
    <row r="158" spans="1:6">
      <c r="A158" t="s">
        <v>418</v>
      </c>
      <c r="B158" t="s">
        <v>398</v>
      </c>
      <c r="C158">
        <v>825812</v>
      </c>
      <c r="D158" s="1">
        <v>45659</v>
      </c>
      <c r="E158" t="s">
        <v>338</v>
      </c>
    </row>
    <row r="159" spans="1:6">
      <c r="A159" t="s">
        <v>406</v>
      </c>
      <c r="B159" t="s">
        <v>287</v>
      </c>
      <c r="C159">
        <v>825812</v>
      </c>
      <c r="D159" s="1">
        <v>45659</v>
      </c>
      <c r="E159" t="s">
        <v>325</v>
      </c>
    </row>
    <row r="160" spans="1:6">
      <c r="A160" t="s">
        <v>407</v>
      </c>
      <c r="B160" t="s">
        <v>287</v>
      </c>
      <c r="C160">
        <v>825812</v>
      </c>
      <c r="D160" s="1">
        <v>45659</v>
      </c>
      <c r="E160" t="s">
        <v>325</v>
      </c>
    </row>
    <row r="161" spans="1:6">
      <c r="A161" t="s">
        <v>419</v>
      </c>
      <c r="B161" t="s">
        <v>404</v>
      </c>
      <c r="C161">
        <v>825812</v>
      </c>
      <c r="D161" s="1">
        <v>45659</v>
      </c>
      <c r="E161" t="s">
        <v>325</v>
      </c>
    </row>
    <row r="162" spans="1:6">
      <c r="A162" t="s">
        <v>425</v>
      </c>
      <c r="B162" t="s">
        <v>350</v>
      </c>
      <c r="C162">
        <v>825812</v>
      </c>
      <c r="D162" s="1">
        <v>45659</v>
      </c>
      <c r="E162" t="s">
        <v>338</v>
      </c>
    </row>
    <row r="163" spans="1:6">
      <c r="A163" t="s">
        <v>412</v>
      </c>
      <c r="B163" t="s">
        <v>390</v>
      </c>
      <c r="C163">
        <v>663817</v>
      </c>
      <c r="D163" s="1">
        <v>45659</v>
      </c>
      <c r="E163" t="s">
        <v>338</v>
      </c>
      <c r="F163" t="s">
        <v>384</v>
      </c>
    </row>
    <row r="164" spans="1:6">
      <c r="A164" t="s">
        <v>394</v>
      </c>
      <c r="B164" t="s">
        <v>395</v>
      </c>
      <c r="C164">
        <v>825812</v>
      </c>
      <c r="D164" s="1">
        <v>45659</v>
      </c>
      <c r="E164" t="s">
        <v>325</v>
      </c>
    </row>
    <row r="165" spans="1:6">
      <c r="A165" t="s">
        <v>412</v>
      </c>
      <c r="B165" t="s">
        <v>426</v>
      </c>
      <c r="C165">
        <v>663817</v>
      </c>
      <c r="D165" s="1">
        <v>45659</v>
      </c>
      <c r="E165" t="s">
        <v>338</v>
      </c>
    </row>
    <row r="166" spans="1:6">
      <c r="A166" t="s">
        <v>369</v>
      </c>
      <c r="B166" t="s">
        <v>342</v>
      </c>
      <c r="C166">
        <v>825812</v>
      </c>
      <c r="D166" s="1">
        <v>45659</v>
      </c>
      <c r="E166" t="s">
        <v>338</v>
      </c>
      <c r="F166" t="s">
        <v>339</v>
      </c>
    </row>
    <row r="167" spans="1:6">
      <c r="A167" t="s">
        <v>370</v>
      </c>
      <c r="B167" t="s">
        <v>342</v>
      </c>
      <c r="C167">
        <v>825812</v>
      </c>
      <c r="D167" s="1">
        <v>45659</v>
      </c>
      <c r="E167" t="s">
        <v>338</v>
      </c>
      <c r="F167" t="s">
        <v>339</v>
      </c>
    </row>
    <row r="168" spans="1:6">
      <c r="A168" t="s">
        <v>424</v>
      </c>
      <c r="B168" t="s">
        <v>356</v>
      </c>
      <c r="C168">
        <v>825812</v>
      </c>
      <c r="D168" s="1">
        <v>45660</v>
      </c>
      <c r="E168" t="s">
        <v>338</v>
      </c>
    </row>
    <row r="169" spans="1:6">
      <c r="A169" t="s">
        <v>424</v>
      </c>
      <c r="B169" t="s">
        <v>371</v>
      </c>
      <c r="C169">
        <v>825812</v>
      </c>
      <c r="D169" s="1">
        <v>45660</v>
      </c>
      <c r="E169" t="s">
        <v>338</v>
      </c>
    </row>
    <row r="170" spans="1:6">
      <c r="A170" t="s">
        <v>415</v>
      </c>
      <c r="B170" t="s">
        <v>344</v>
      </c>
      <c r="C170">
        <v>825812</v>
      </c>
      <c r="D170" s="1">
        <v>45660</v>
      </c>
      <c r="E170" t="s">
        <v>338</v>
      </c>
    </row>
    <row r="171" spans="1:6">
      <c r="A171" t="s">
        <v>415</v>
      </c>
      <c r="B171" t="s">
        <v>345</v>
      </c>
      <c r="C171">
        <v>825812</v>
      </c>
      <c r="D171" s="1">
        <v>45660</v>
      </c>
      <c r="E171" t="s">
        <v>338</v>
      </c>
    </row>
    <row r="172" spans="1:6">
      <c r="A172" t="s">
        <v>417</v>
      </c>
      <c r="B172" t="s">
        <v>404</v>
      </c>
      <c r="C172">
        <v>825812</v>
      </c>
      <c r="D172" s="1">
        <v>45660</v>
      </c>
      <c r="E172" t="s">
        <v>325</v>
      </c>
    </row>
    <row r="173" spans="1:6">
      <c r="A173" t="s">
        <v>418</v>
      </c>
      <c r="B173" t="s">
        <v>404</v>
      </c>
      <c r="C173">
        <v>825812</v>
      </c>
      <c r="D173" s="1">
        <v>45660</v>
      </c>
      <c r="E173" t="s">
        <v>325</v>
      </c>
    </row>
    <row r="174" spans="1:6">
      <c r="A174" t="s">
        <v>416</v>
      </c>
      <c r="B174" t="s">
        <v>408</v>
      </c>
      <c r="C174">
        <v>825812</v>
      </c>
      <c r="D174" s="1">
        <v>45660</v>
      </c>
      <c r="E174" t="s">
        <v>338</v>
      </c>
    </row>
    <row r="175" spans="1:6">
      <c r="A175" t="s">
        <v>417</v>
      </c>
      <c r="B175" t="s">
        <v>427</v>
      </c>
      <c r="C175">
        <v>825812</v>
      </c>
      <c r="D175" s="1">
        <v>45660</v>
      </c>
      <c r="E175" t="s">
        <v>338</v>
      </c>
    </row>
    <row r="176" spans="1:6">
      <c r="A176" t="s">
        <v>418</v>
      </c>
      <c r="B176" t="s">
        <v>427</v>
      </c>
      <c r="C176">
        <v>825812</v>
      </c>
      <c r="D176" s="1">
        <v>45660</v>
      </c>
      <c r="E176" t="s">
        <v>338</v>
      </c>
    </row>
    <row r="177" spans="1:6">
      <c r="A177" t="s">
        <v>428</v>
      </c>
      <c r="B177" t="s">
        <v>426</v>
      </c>
      <c r="C177">
        <v>744943</v>
      </c>
      <c r="D177" s="1">
        <v>45661</v>
      </c>
      <c r="E177" t="s">
        <v>338</v>
      </c>
      <c r="F177" t="s">
        <v>429</v>
      </c>
    </row>
    <row r="178" spans="1:6">
      <c r="A178" t="s">
        <v>406</v>
      </c>
      <c r="B178" t="s">
        <v>411</v>
      </c>
      <c r="C178">
        <v>825812</v>
      </c>
      <c r="D178" s="1">
        <v>45663</v>
      </c>
      <c r="E178" t="s">
        <v>338</v>
      </c>
    </row>
    <row r="179" spans="1:6">
      <c r="A179" t="s">
        <v>407</v>
      </c>
      <c r="B179" t="s">
        <v>411</v>
      </c>
      <c r="C179">
        <v>825812</v>
      </c>
      <c r="D179" s="1">
        <v>45663</v>
      </c>
      <c r="E179" t="s">
        <v>338</v>
      </c>
    </row>
    <row r="180" spans="1:6">
      <c r="A180" t="s">
        <v>430</v>
      </c>
      <c r="B180" t="s">
        <v>350</v>
      </c>
      <c r="C180">
        <v>825812</v>
      </c>
      <c r="D180" s="1">
        <v>45663</v>
      </c>
      <c r="E180" t="s">
        <v>338</v>
      </c>
    </row>
    <row r="181" spans="1:6">
      <c r="A181" t="s">
        <v>431</v>
      </c>
      <c r="B181" t="s">
        <v>350</v>
      </c>
      <c r="C181">
        <v>825812</v>
      </c>
      <c r="D181" s="1">
        <v>45663</v>
      </c>
      <c r="E181" t="s">
        <v>338</v>
      </c>
    </row>
    <row r="182" spans="1:6">
      <c r="A182" t="s">
        <v>432</v>
      </c>
      <c r="B182" t="s">
        <v>350</v>
      </c>
      <c r="C182">
        <v>825812</v>
      </c>
      <c r="D182" s="1">
        <v>45663</v>
      </c>
      <c r="E182" t="s">
        <v>338</v>
      </c>
    </row>
    <row r="183" spans="1:6">
      <c r="A183" t="s">
        <v>400</v>
      </c>
      <c r="B183" t="s">
        <v>390</v>
      </c>
      <c r="C183">
        <v>825812</v>
      </c>
      <c r="D183" s="1">
        <v>45663</v>
      </c>
      <c r="E183" t="s">
        <v>338</v>
      </c>
    </row>
    <row r="184" spans="1:6">
      <c r="A184" t="s">
        <v>416</v>
      </c>
      <c r="B184" t="s">
        <v>395</v>
      </c>
      <c r="C184">
        <v>825812</v>
      </c>
      <c r="D184" s="1">
        <v>45663</v>
      </c>
      <c r="E184" t="s">
        <v>325</v>
      </c>
    </row>
    <row r="185" spans="1:6">
      <c r="A185" t="s">
        <v>433</v>
      </c>
      <c r="B185" t="s">
        <v>426</v>
      </c>
      <c r="C185">
        <v>663817</v>
      </c>
      <c r="D185" s="1">
        <v>45663</v>
      </c>
      <c r="E185" t="s">
        <v>338</v>
      </c>
    </row>
    <row r="186" spans="1:6">
      <c r="A186" t="s">
        <v>422</v>
      </c>
      <c r="B186" t="s">
        <v>396</v>
      </c>
      <c r="C186">
        <v>825812</v>
      </c>
      <c r="D186" s="1">
        <v>45664</v>
      </c>
      <c r="E186" t="s">
        <v>338</v>
      </c>
    </row>
    <row r="187" spans="1:6">
      <c r="A187" t="s">
        <v>422</v>
      </c>
      <c r="B187" t="s">
        <v>398</v>
      </c>
      <c r="C187">
        <v>825812</v>
      </c>
      <c r="D187" s="1">
        <v>45664</v>
      </c>
      <c r="E187" t="s">
        <v>338</v>
      </c>
    </row>
    <row r="188" spans="1:6">
      <c r="A188" t="s">
        <v>422</v>
      </c>
      <c r="B188" t="s">
        <v>404</v>
      </c>
      <c r="C188">
        <v>825812</v>
      </c>
      <c r="D188" s="1">
        <v>45664</v>
      </c>
      <c r="E188" t="s">
        <v>325</v>
      </c>
    </row>
    <row r="189" spans="1:6">
      <c r="A189" t="s">
        <v>419</v>
      </c>
      <c r="B189" t="s">
        <v>408</v>
      </c>
      <c r="C189">
        <v>825812</v>
      </c>
      <c r="D189" s="1">
        <v>45664</v>
      </c>
      <c r="E189" t="s">
        <v>338</v>
      </c>
    </row>
    <row r="190" spans="1:6">
      <c r="A190" t="s">
        <v>425</v>
      </c>
      <c r="B190" t="s">
        <v>410</v>
      </c>
      <c r="C190">
        <v>825812</v>
      </c>
      <c r="D190" s="1">
        <v>45665</v>
      </c>
      <c r="E190" t="s">
        <v>338</v>
      </c>
    </row>
    <row r="191" spans="1:6">
      <c r="A191" t="s">
        <v>425</v>
      </c>
      <c r="B191" t="s">
        <v>356</v>
      </c>
      <c r="C191">
        <v>825812</v>
      </c>
      <c r="D191" s="1">
        <v>45665</v>
      </c>
      <c r="E191" t="s">
        <v>338</v>
      </c>
    </row>
    <row r="192" spans="1:6">
      <c r="A192" t="s">
        <v>430</v>
      </c>
      <c r="B192" t="s">
        <v>356</v>
      </c>
      <c r="C192">
        <v>825812</v>
      </c>
      <c r="D192" s="1">
        <v>45665</v>
      </c>
      <c r="E192" t="s">
        <v>338</v>
      </c>
    </row>
    <row r="193" spans="1:6">
      <c r="A193" t="s">
        <v>430</v>
      </c>
      <c r="B193" t="s">
        <v>371</v>
      </c>
      <c r="C193">
        <v>825812</v>
      </c>
      <c r="D193" s="1">
        <v>45665</v>
      </c>
      <c r="E193" t="s">
        <v>338</v>
      </c>
    </row>
    <row r="194" spans="1:6">
      <c r="A194" t="s">
        <v>421</v>
      </c>
      <c r="B194" t="s">
        <v>344</v>
      </c>
      <c r="C194">
        <v>825812</v>
      </c>
      <c r="D194" s="1">
        <v>45665</v>
      </c>
      <c r="E194" t="s">
        <v>338</v>
      </c>
    </row>
    <row r="195" spans="1:6">
      <c r="A195" t="s">
        <v>421</v>
      </c>
      <c r="B195" t="s">
        <v>345</v>
      </c>
      <c r="C195">
        <v>825812</v>
      </c>
      <c r="D195" s="1">
        <v>45665</v>
      </c>
      <c r="E195" t="s">
        <v>338</v>
      </c>
    </row>
    <row r="196" spans="1:6">
      <c r="A196" t="s">
        <v>406</v>
      </c>
      <c r="B196" t="s">
        <v>408</v>
      </c>
      <c r="C196">
        <v>825812</v>
      </c>
      <c r="D196" s="1">
        <v>45665</v>
      </c>
      <c r="E196" t="s">
        <v>338</v>
      </c>
    </row>
    <row r="197" spans="1:6">
      <c r="A197" t="s">
        <v>407</v>
      </c>
      <c r="B197" t="s">
        <v>408</v>
      </c>
      <c r="C197">
        <v>825812</v>
      </c>
      <c r="D197" s="1">
        <v>45665</v>
      </c>
      <c r="E197" t="s">
        <v>338</v>
      </c>
    </row>
    <row r="198" spans="1:6">
      <c r="A198" t="s">
        <v>417</v>
      </c>
      <c r="B198" t="s">
        <v>408</v>
      </c>
      <c r="C198">
        <v>825812</v>
      </c>
      <c r="D198" s="1">
        <v>45665</v>
      </c>
      <c r="E198" t="s">
        <v>338</v>
      </c>
    </row>
    <row r="199" spans="1:6">
      <c r="A199" t="s">
        <v>418</v>
      </c>
      <c r="B199" t="s">
        <v>408</v>
      </c>
      <c r="C199">
        <v>825812</v>
      </c>
      <c r="D199" s="1">
        <v>45665</v>
      </c>
      <c r="E199" t="s">
        <v>338</v>
      </c>
    </row>
    <row r="200" spans="1:6">
      <c r="A200" t="s">
        <v>419</v>
      </c>
      <c r="B200" t="s">
        <v>395</v>
      </c>
      <c r="C200">
        <v>825812</v>
      </c>
      <c r="D200" s="1">
        <v>45665</v>
      </c>
      <c r="E200" t="s">
        <v>325</v>
      </c>
    </row>
    <row r="201" spans="1:6">
      <c r="A201" t="s">
        <v>431</v>
      </c>
      <c r="B201" t="s">
        <v>356</v>
      </c>
      <c r="C201">
        <v>825812</v>
      </c>
      <c r="D201" s="1">
        <v>45666</v>
      </c>
      <c r="E201" t="s">
        <v>338</v>
      </c>
      <c r="F201" t="s">
        <v>420</v>
      </c>
    </row>
    <row r="202" spans="1:6">
      <c r="A202" t="s">
        <v>432</v>
      </c>
      <c r="B202" t="s">
        <v>356</v>
      </c>
      <c r="C202">
        <v>825812</v>
      </c>
      <c r="D202" s="1">
        <v>45666</v>
      </c>
      <c r="E202" t="s">
        <v>338</v>
      </c>
      <c r="F202" t="s">
        <v>420</v>
      </c>
    </row>
    <row r="203" spans="1:6">
      <c r="A203" t="s">
        <v>431</v>
      </c>
      <c r="B203" t="s">
        <v>371</v>
      </c>
      <c r="C203">
        <v>825812</v>
      </c>
      <c r="D203" s="1">
        <v>45666</v>
      </c>
      <c r="E203" t="s">
        <v>338</v>
      </c>
      <c r="F203" t="s">
        <v>420</v>
      </c>
    </row>
    <row r="204" spans="1:6">
      <c r="A204" t="s">
        <v>432</v>
      </c>
      <c r="B204" t="s">
        <v>371</v>
      </c>
      <c r="C204">
        <v>825812</v>
      </c>
      <c r="D204" s="1">
        <v>45666</v>
      </c>
      <c r="E204" t="s">
        <v>338</v>
      </c>
      <c r="F204" t="s">
        <v>420</v>
      </c>
    </row>
    <row r="205" spans="1:6">
      <c r="A205" t="s">
        <v>424</v>
      </c>
      <c r="B205" t="s">
        <v>396</v>
      </c>
      <c r="C205">
        <v>825812</v>
      </c>
      <c r="D205" s="1">
        <v>45666</v>
      </c>
      <c r="E205" t="s">
        <v>338</v>
      </c>
    </row>
    <row r="206" spans="1:6">
      <c r="A206" t="s">
        <v>424</v>
      </c>
      <c r="B206" t="s">
        <v>398</v>
      </c>
      <c r="C206">
        <v>825812</v>
      </c>
      <c r="D206" s="1">
        <v>45666</v>
      </c>
      <c r="E206" t="s">
        <v>338</v>
      </c>
    </row>
    <row r="207" spans="1:6">
      <c r="A207" t="s">
        <v>424</v>
      </c>
      <c r="B207" t="s">
        <v>404</v>
      </c>
      <c r="C207">
        <v>825812</v>
      </c>
      <c r="D207" s="1">
        <v>45666</v>
      </c>
      <c r="E207" t="s">
        <v>325</v>
      </c>
    </row>
    <row r="208" spans="1:6">
      <c r="A208" t="s">
        <v>415</v>
      </c>
      <c r="B208" t="s">
        <v>390</v>
      </c>
      <c r="C208">
        <v>825812</v>
      </c>
      <c r="D208" s="1">
        <v>45666</v>
      </c>
      <c r="E208" t="s">
        <v>338</v>
      </c>
    </row>
    <row r="209" spans="1:5">
      <c r="A209" t="s">
        <v>406</v>
      </c>
      <c r="B209" t="s">
        <v>288</v>
      </c>
      <c r="C209">
        <v>825812</v>
      </c>
      <c r="D209" s="1">
        <v>45666</v>
      </c>
      <c r="E209" t="s">
        <v>325</v>
      </c>
    </row>
    <row r="210" spans="1:5">
      <c r="A210" t="s">
        <v>407</v>
      </c>
      <c r="B210" t="s">
        <v>288</v>
      </c>
      <c r="C210">
        <v>825812</v>
      </c>
      <c r="D210" s="1">
        <v>45666</v>
      </c>
      <c r="E210" t="s">
        <v>325</v>
      </c>
    </row>
    <row r="211" spans="1:5">
      <c r="A211" t="s">
        <v>417</v>
      </c>
      <c r="B211" t="s">
        <v>395</v>
      </c>
      <c r="C211">
        <v>825812</v>
      </c>
      <c r="D211" s="1">
        <v>45666</v>
      </c>
      <c r="E211" t="s">
        <v>325</v>
      </c>
    </row>
    <row r="212" spans="1:5">
      <c r="A212" t="s">
        <v>418</v>
      </c>
      <c r="B212" t="s">
        <v>395</v>
      </c>
      <c r="C212">
        <v>825812</v>
      </c>
      <c r="D212" s="1">
        <v>45666</v>
      </c>
      <c r="E212" t="s">
        <v>325</v>
      </c>
    </row>
    <row r="213" spans="1:5">
      <c r="A213" t="s">
        <v>434</v>
      </c>
      <c r="B213" t="s">
        <v>350</v>
      </c>
      <c r="C213">
        <v>825812</v>
      </c>
      <c r="D213" s="1">
        <v>45667</v>
      </c>
      <c r="E213" t="s">
        <v>338</v>
      </c>
    </row>
    <row r="214" spans="1:5">
      <c r="A214" t="s">
        <v>434</v>
      </c>
      <c r="B214" t="s">
        <v>435</v>
      </c>
      <c r="C214">
        <v>825812</v>
      </c>
      <c r="D214" s="1">
        <v>45667</v>
      </c>
      <c r="E214" t="s">
        <v>338</v>
      </c>
    </row>
    <row r="215" spans="1:5">
      <c r="A215" t="s">
        <v>422</v>
      </c>
      <c r="B215" t="s">
        <v>408</v>
      </c>
      <c r="C215">
        <v>825812</v>
      </c>
      <c r="D215" s="1">
        <v>45667</v>
      </c>
      <c r="E215" t="s">
        <v>338</v>
      </c>
    </row>
    <row r="216" spans="1:5">
      <c r="A216" t="s">
        <v>431</v>
      </c>
      <c r="B216" t="s">
        <v>423</v>
      </c>
      <c r="C216">
        <v>825812</v>
      </c>
      <c r="D216" s="1">
        <v>45667</v>
      </c>
      <c r="E216" t="s">
        <v>338</v>
      </c>
    </row>
    <row r="217" spans="1:5">
      <c r="A217" t="s">
        <v>432</v>
      </c>
      <c r="B217" t="s">
        <v>423</v>
      </c>
      <c r="C217">
        <v>825812</v>
      </c>
      <c r="D217" s="1">
        <v>45667</v>
      </c>
      <c r="E217" t="s">
        <v>338</v>
      </c>
    </row>
    <row r="218" spans="1:5">
      <c r="A218" t="s">
        <v>436</v>
      </c>
      <c r="B218" t="s">
        <v>350</v>
      </c>
      <c r="C218">
        <v>825812</v>
      </c>
      <c r="D218" s="1">
        <v>45670</v>
      </c>
      <c r="E218" t="s">
        <v>338</v>
      </c>
    </row>
    <row r="219" spans="1:5">
      <c r="A219" t="s">
        <v>422</v>
      </c>
      <c r="B219" t="s">
        <v>395</v>
      </c>
      <c r="C219">
        <v>825812</v>
      </c>
      <c r="D219" s="1">
        <v>45670</v>
      </c>
      <c r="E219" t="s">
        <v>325</v>
      </c>
    </row>
    <row r="220" spans="1:5">
      <c r="A220" t="s">
        <v>434</v>
      </c>
      <c r="B220" t="s">
        <v>410</v>
      </c>
      <c r="C220">
        <v>825812</v>
      </c>
      <c r="D220" s="1">
        <v>45671</v>
      </c>
      <c r="E220" t="s">
        <v>338</v>
      </c>
    </row>
    <row r="221" spans="1:5">
      <c r="A221" t="s">
        <v>434</v>
      </c>
      <c r="B221" t="s">
        <v>356</v>
      </c>
      <c r="C221">
        <v>825812</v>
      </c>
      <c r="D221" s="1">
        <v>45671</v>
      </c>
      <c r="E221" t="s">
        <v>338</v>
      </c>
    </row>
    <row r="222" spans="1:5">
      <c r="A222" t="s">
        <v>425</v>
      </c>
      <c r="B222" t="s">
        <v>344</v>
      </c>
      <c r="C222">
        <v>825812</v>
      </c>
      <c r="D222" s="1">
        <v>45671</v>
      </c>
      <c r="E222" t="s">
        <v>338</v>
      </c>
    </row>
    <row r="223" spans="1:5">
      <c r="A223" t="s">
        <v>425</v>
      </c>
      <c r="B223" t="s">
        <v>345</v>
      </c>
      <c r="C223">
        <v>825812</v>
      </c>
      <c r="D223" s="1">
        <v>45671</v>
      </c>
      <c r="E223" t="s">
        <v>338</v>
      </c>
    </row>
    <row r="224" spans="1:5">
      <c r="A224" t="s">
        <v>430</v>
      </c>
      <c r="B224" t="s">
        <v>396</v>
      </c>
      <c r="C224">
        <v>825812</v>
      </c>
      <c r="D224" s="1">
        <v>45671</v>
      </c>
      <c r="E224" t="s">
        <v>338</v>
      </c>
    </row>
    <row r="225" spans="1:5">
      <c r="A225" t="s">
        <v>430</v>
      </c>
      <c r="B225" t="s">
        <v>398</v>
      </c>
      <c r="C225">
        <v>825812</v>
      </c>
      <c r="D225" s="1">
        <v>45671</v>
      </c>
      <c r="E225" t="s">
        <v>338</v>
      </c>
    </row>
    <row r="226" spans="1:5">
      <c r="A226" t="s">
        <v>430</v>
      </c>
      <c r="B226" t="s">
        <v>404</v>
      </c>
      <c r="C226">
        <v>825812</v>
      </c>
      <c r="D226" s="1">
        <v>45671</v>
      </c>
      <c r="E226" t="s">
        <v>325</v>
      </c>
    </row>
    <row r="227" spans="1:5">
      <c r="A227" t="s">
        <v>421</v>
      </c>
      <c r="B227" t="s">
        <v>390</v>
      </c>
      <c r="C227">
        <v>825812</v>
      </c>
      <c r="D227" s="1">
        <v>45671</v>
      </c>
      <c r="E227" t="s">
        <v>338</v>
      </c>
    </row>
    <row r="228" spans="1:5">
      <c r="A228" t="s">
        <v>424</v>
      </c>
      <c r="B228" t="s">
        <v>408</v>
      </c>
      <c r="C228">
        <v>825812</v>
      </c>
      <c r="D228" s="1">
        <v>45671</v>
      </c>
      <c r="E228" t="s">
        <v>338</v>
      </c>
    </row>
    <row r="229" spans="1:5">
      <c r="A229" t="s">
        <v>436</v>
      </c>
      <c r="B229" t="s">
        <v>356</v>
      </c>
      <c r="C229">
        <v>825812</v>
      </c>
      <c r="D229" s="1">
        <v>45672</v>
      </c>
      <c r="E229" t="s">
        <v>338</v>
      </c>
    </row>
    <row r="230" spans="1:5">
      <c r="A230" t="s">
        <v>436</v>
      </c>
      <c r="B230" t="s">
        <v>371</v>
      </c>
      <c r="C230">
        <v>825812</v>
      </c>
      <c r="D230" s="1">
        <v>45672</v>
      </c>
      <c r="E230" t="s">
        <v>338</v>
      </c>
    </row>
    <row r="231" spans="1:5">
      <c r="A231" t="s">
        <v>431</v>
      </c>
      <c r="B231" t="s">
        <v>396</v>
      </c>
      <c r="C231">
        <v>825812</v>
      </c>
      <c r="D231" s="1">
        <v>45672</v>
      </c>
      <c r="E231" t="s">
        <v>338</v>
      </c>
    </row>
    <row r="232" spans="1:5">
      <c r="A232" t="s">
        <v>432</v>
      </c>
      <c r="B232" t="s">
        <v>396</v>
      </c>
      <c r="C232">
        <v>825812</v>
      </c>
      <c r="D232" s="1">
        <v>45672</v>
      </c>
      <c r="E232" t="s">
        <v>338</v>
      </c>
    </row>
    <row r="233" spans="1:5">
      <c r="A233" t="s">
        <v>431</v>
      </c>
      <c r="B233" t="s">
        <v>398</v>
      </c>
      <c r="C233">
        <v>825812</v>
      </c>
      <c r="D233" s="1">
        <v>45672</v>
      </c>
      <c r="E233" t="s">
        <v>338</v>
      </c>
    </row>
    <row r="234" spans="1:5">
      <c r="A234" t="s">
        <v>432</v>
      </c>
      <c r="B234" t="s">
        <v>398</v>
      </c>
      <c r="C234">
        <v>825812</v>
      </c>
      <c r="D234" s="1">
        <v>45672</v>
      </c>
      <c r="E234" t="s">
        <v>338</v>
      </c>
    </row>
    <row r="235" spans="1:5">
      <c r="A235" t="s">
        <v>424</v>
      </c>
      <c r="B235" t="s">
        <v>395</v>
      </c>
      <c r="C235">
        <v>825812</v>
      </c>
      <c r="D235" s="1">
        <v>45672</v>
      </c>
      <c r="E235" t="s">
        <v>325</v>
      </c>
    </row>
    <row r="236" spans="1:5">
      <c r="A236" t="s">
        <v>437</v>
      </c>
      <c r="B236" t="s">
        <v>350</v>
      </c>
      <c r="C236">
        <v>825812</v>
      </c>
      <c r="D236" s="1">
        <v>45673</v>
      </c>
      <c r="E236" t="s">
        <v>338</v>
      </c>
    </row>
    <row r="237" spans="1:5">
      <c r="A237" t="s">
        <v>438</v>
      </c>
      <c r="B237" t="s">
        <v>350</v>
      </c>
      <c r="C237">
        <v>825812</v>
      </c>
      <c r="D237" s="1">
        <v>45673</v>
      </c>
      <c r="E237" t="s">
        <v>338</v>
      </c>
    </row>
    <row r="238" spans="1:5">
      <c r="A238" t="s">
        <v>431</v>
      </c>
      <c r="B238" t="s">
        <v>427</v>
      </c>
      <c r="C238">
        <v>825812</v>
      </c>
      <c r="D238" s="1">
        <v>45673</v>
      </c>
      <c r="E238" t="s">
        <v>338</v>
      </c>
    </row>
    <row r="239" spans="1:5">
      <c r="A239" t="s">
        <v>432</v>
      </c>
      <c r="B239" t="s">
        <v>427</v>
      </c>
      <c r="C239">
        <v>825812</v>
      </c>
      <c r="D239" s="1">
        <v>45673</v>
      </c>
      <c r="E239" t="s">
        <v>338</v>
      </c>
    </row>
    <row r="240" spans="1:5">
      <c r="A240" t="s">
        <v>430</v>
      </c>
      <c r="B240" t="s">
        <v>408</v>
      </c>
      <c r="C240">
        <v>825812</v>
      </c>
      <c r="D240" s="1">
        <v>45674</v>
      </c>
      <c r="E240" t="s">
        <v>338</v>
      </c>
    </row>
    <row r="241" spans="1:5">
      <c r="A241" t="s">
        <v>438</v>
      </c>
      <c r="B241" t="s">
        <v>356</v>
      </c>
      <c r="C241">
        <v>825812</v>
      </c>
      <c r="D241" s="1">
        <v>45677</v>
      </c>
      <c r="E241" t="s">
        <v>338</v>
      </c>
    </row>
    <row r="242" spans="1:5">
      <c r="A242" t="s">
        <v>438</v>
      </c>
      <c r="B242" t="s">
        <v>371</v>
      </c>
      <c r="C242">
        <v>825812</v>
      </c>
      <c r="D242" s="1">
        <v>45677</v>
      </c>
      <c r="E242" t="s">
        <v>338</v>
      </c>
    </row>
    <row r="243" spans="1:5">
      <c r="A243" t="s">
        <v>425</v>
      </c>
      <c r="B243" t="s">
        <v>390</v>
      </c>
      <c r="C243">
        <v>825812</v>
      </c>
      <c r="D243" s="1">
        <v>45677</v>
      </c>
      <c r="E243" t="s">
        <v>338</v>
      </c>
    </row>
    <row r="244" spans="1:5">
      <c r="A244" t="s">
        <v>430</v>
      </c>
      <c r="B244" t="s">
        <v>395</v>
      </c>
      <c r="C244">
        <v>825812</v>
      </c>
      <c r="D244" s="1">
        <v>45677</v>
      </c>
      <c r="E244" t="s">
        <v>325</v>
      </c>
    </row>
    <row r="245" spans="1:5">
      <c r="A245" t="s">
        <v>437</v>
      </c>
      <c r="B245" t="s">
        <v>410</v>
      </c>
      <c r="C245">
        <v>825812</v>
      </c>
      <c r="D245" s="1">
        <v>45678</v>
      </c>
      <c r="E245" t="s">
        <v>338</v>
      </c>
    </row>
    <row r="246" spans="1:5">
      <c r="A246" t="s">
        <v>437</v>
      </c>
      <c r="B246" t="s">
        <v>356</v>
      </c>
      <c r="C246">
        <v>825812</v>
      </c>
      <c r="D246" s="1">
        <v>45678</v>
      </c>
      <c r="E246" t="s">
        <v>338</v>
      </c>
    </row>
    <row r="247" spans="1:5">
      <c r="A247" t="s">
        <v>434</v>
      </c>
      <c r="B247" t="s">
        <v>344</v>
      </c>
      <c r="C247">
        <v>825812</v>
      </c>
      <c r="D247" s="1">
        <v>45678</v>
      </c>
      <c r="E247" t="s">
        <v>338</v>
      </c>
    </row>
    <row r="248" spans="1:5">
      <c r="A248" t="s">
        <v>434</v>
      </c>
      <c r="B248" t="s">
        <v>345</v>
      </c>
      <c r="C248">
        <v>825812</v>
      </c>
      <c r="D248" s="1">
        <v>45678</v>
      </c>
      <c r="E248" t="s">
        <v>338</v>
      </c>
    </row>
    <row r="249" spans="1:5">
      <c r="A249" t="s">
        <v>436</v>
      </c>
      <c r="B249" t="s">
        <v>396</v>
      </c>
      <c r="C249">
        <v>825812</v>
      </c>
      <c r="D249" s="1">
        <v>45678</v>
      </c>
      <c r="E249" t="s">
        <v>338</v>
      </c>
    </row>
    <row r="250" spans="1:5">
      <c r="A250" t="s">
        <v>436</v>
      </c>
      <c r="B250" t="s">
        <v>398</v>
      </c>
      <c r="C250">
        <v>825812</v>
      </c>
      <c r="D250" s="1">
        <v>45678</v>
      </c>
      <c r="E250" t="s">
        <v>338</v>
      </c>
    </row>
    <row r="251" spans="1:5">
      <c r="A251" t="s">
        <v>436</v>
      </c>
      <c r="B251" t="s">
        <v>404</v>
      </c>
      <c r="C251">
        <v>825812</v>
      </c>
      <c r="D251" s="1">
        <v>45678</v>
      </c>
      <c r="E251" t="s">
        <v>325</v>
      </c>
    </row>
    <row r="252" spans="1:5">
      <c r="A252" t="s">
        <v>431</v>
      </c>
      <c r="B252" t="s">
        <v>408</v>
      </c>
      <c r="C252">
        <v>825812</v>
      </c>
      <c r="D252" s="1">
        <v>45678</v>
      </c>
      <c r="E252" t="s">
        <v>338</v>
      </c>
    </row>
    <row r="253" spans="1:5">
      <c r="A253" t="s">
        <v>432</v>
      </c>
      <c r="B253" t="s">
        <v>408</v>
      </c>
      <c r="C253">
        <v>825812</v>
      </c>
      <c r="D253" s="1">
        <v>45678</v>
      </c>
      <c r="E253" t="s">
        <v>338</v>
      </c>
    </row>
    <row r="254" spans="1:5">
      <c r="A254" t="s">
        <v>439</v>
      </c>
      <c r="B254" t="s">
        <v>350</v>
      </c>
      <c r="C254">
        <v>825812</v>
      </c>
      <c r="D254" s="1">
        <v>45679</v>
      </c>
      <c r="E254" t="s">
        <v>338</v>
      </c>
    </row>
    <row r="255" spans="1:5">
      <c r="A255" t="s">
        <v>436</v>
      </c>
      <c r="B255" t="s">
        <v>408</v>
      </c>
      <c r="C255">
        <v>825812</v>
      </c>
      <c r="D255" s="1">
        <v>45681</v>
      </c>
      <c r="E255" t="s">
        <v>338</v>
      </c>
    </row>
    <row r="256" spans="1:5">
      <c r="A256" t="s">
        <v>438</v>
      </c>
      <c r="B256" t="s">
        <v>396</v>
      </c>
      <c r="C256">
        <v>825812</v>
      </c>
      <c r="D256" s="1">
        <v>45684</v>
      </c>
      <c r="E256" t="s">
        <v>338</v>
      </c>
    </row>
    <row r="257" spans="1:5">
      <c r="A257" t="s">
        <v>438</v>
      </c>
      <c r="B257" t="s">
        <v>398</v>
      </c>
      <c r="C257">
        <v>825812</v>
      </c>
      <c r="D257" s="1">
        <v>45684</v>
      </c>
      <c r="E257" t="s">
        <v>338</v>
      </c>
    </row>
    <row r="258" spans="1:5">
      <c r="A258" t="s">
        <v>438</v>
      </c>
      <c r="B258" t="s">
        <v>404</v>
      </c>
      <c r="C258">
        <v>825812</v>
      </c>
      <c r="D258" s="1">
        <v>45684</v>
      </c>
      <c r="E258" t="s">
        <v>325</v>
      </c>
    </row>
    <row r="259" spans="1:5">
      <c r="A259" t="s">
        <v>434</v>
      </c>
      <c r="B259" t="s">
        <v>390</v>
      </c>
      <c r="C259">
        <v>825812</v>
      </c>
      <c r="D259" s="1">
        <v>45684</v>
      </c>
      <c r="E259" t="s">
        <v>338</v>
      </c>
    </row>
    <row r="260" spans="1:5">
      <c r="A260" t="s">
        <v>436</v>
      </c>
      <c r="B260" t="s">
        <v>395</v>
      </c>
      <c r="C260">
        <v>825812</v>
      </c>
      <c r="D260" s="1">
        <v>45684</v>
      </c>
      <c r="E260" t="s">
        <v>325</v>
      </c>
    </row>
    <row r="261" spans="1:5">
      <c r="A261" t="s">
        <v>439</v>
      </c>
      <c r="B261" t="s">
        <v>410</v>
      </c>
      <c r="C261">
        <v>825812</v>
      </c>
      <c r="D261" s="1">
        <v>45686</v>
      </c>
      <c r="E261" t="s">
        <v>338</v>
      </c>
    </row>
    <row r="262" spans="1:5">
      <c r="A262" t="s">
        <v>439</v>
      </c>
      <c r="B262" t="s">
        <v>356</v>
      </c>
      <c r="C262">
        <v>825812</v>
      </c>
      <c r="D262" s="1">
        <v>45686</v>
      </c>
      <c r="E262" t="s">
        <v>338</v>
      </c>
    </row>
    <row r="263" spans="1:5">
      <c r="A263" t="s">
        <v>437</v>
      </c>
      <c r="B263" t="s">
        <v>344</v>
      </c>
      <c r="C263">
        <v>825812</v>
      </c>
      <c r="D263" s="1">
        <v>45686</v>
      </c>
      <c r="E263" t="s">
        <v>338</v>
      </c>
    </row>
    <row r="264" spans="1:5">
      <c r="A264" t="s">
        <v>437</v>
      </c>
      <c r="B264" t="s">
        <v>345</v>
      </c>
      <c r="C264">
        <v>825812</v>
      </c>
      <c r="D264" s="1">
        <v>45686</v>
      </c>
      <c r="E264" t="s">
        <v>338</v>
      </c>
    </row>
    <row r="265" spans="1:5">
      <c r="A265" t="s">
        <v>438</v>
      </c>
      <c r="B265" t="s">
        <v>408</v>
      </c>
      <c r="C265">
        <v>825812</v>
      </c>
      <c r="D265" s="1">
        <v>45687</v>
      </c>
      <c r="E265" t="s">
        <v>338</v>
      </c>
    </row>
    <row r="266" spans="1:5">
      <c r="A266" t="s">
        <v>438</v>
      </c>
      <c r="B266" t="s">
        <v>395</v>
      </c>
      <c r="C266">
        <v>825812</v>
      </c>
      <c r="D266" s="1">
        <v>45688</v>
      </c>
      <c r="E266" t="s">
        <v>325</v>
      </c>
    </row>
    <row r="267" spans="1:5">
      <c r="A267" t="s">
        <v>439</v>
      </c>
      <c r="B267" t="s">
        <v>344</v>
      </c>
      <c r="C267">
        <v>825812</v>
      </c>
      <c r="D267" s="1">
        <v>45691</v>
      </c>
      <c r="E267" t="s">
        <v>338</v>
      </c>
    </row>
    <row r="268" spans="1:5">
      <c r="A268" t="s">
        <v>439</v>
      </c>
      <c r="B268" t="s">
        <v>345</v>
      </c>
      <c r="C268">
        <v>825812</v>
      </c>
      <c r="D268" s="1">
        <v>45691</v>
      </c>
      <c r="E268" t="s">
        <v>338</v>
      </c>
    </row>
    <row r="269" spans="1:5">
      <c r="A269" t="s">
        <v>437</v>
      </c>
      <c r="B269" t="s">
        <v>390</v>
      </c>
      <c r="C269">
        <v>825812</v>
      </c>
      <c r="D269" s="1">
        <v>45691</v>
      </c>
      <c r="E269" t="s">
        <v>338</v>
      </c>
    </row>
    <row r="270" spans="1:5">
      <c r="A270" t="s">
        <v>439</v>
      </c>
      <c r="B270" t="s">
        <v>390</v>
      </c>
      <c r="C270">
        <v>825812</v>
      </c>
      <c r="D270" s="1">
        <v>45695</v>
      </c>
      <c r="E270" t="s">
        <v>338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51CAA-8019-4F4A-B46A-8E27753A5A6A}">
  <sheetPr codeName="Sheet2"/>
  <dimension ref="A1:B12"/>
  <sheetViews>
    <sheetView workbookViewId="0">
      <selection activeCell="A13" sqref="A13"/>
    </sheetView>
  </sheetViews>
  <sheetFormatPr defaultRowHeight="15"/>
  <cols>
    <col min="1" max="1" width="99.5703125" bestFit="1" customWidth="1"/>
    <col min="2" max="2" width="9.42578125" bestFit="1" customWidth="1"/>
  </cols>
  <sheetData>
    <row r="1" spans="1:2">
      <c r="A1" t="s">
        <v>440</v>
      </c>
    </row>
    <row r="2" spans="1:2">
      <c r="A2" t="s">
        <v>441</v>
      </c>
      <c r="B2" s="1">
        <v>45762</v>
      </c>
    </row>
    <row r="3" spans="1:2">
      <c r="A3" t="s">
        <v>442</v>
      </c>
      <c r="B3" s="1">
        <v>45776</v>
      </c>
    </row>
    <row r="4" spans="1:2">
      <c r="A4" t="s">
        <v>443</v>
      </c>
      <c r="B4" s="1">
        <v>45776</v>
      </c>
    </row>
    <row r="5" spans="1:2">
      <c r="A5" t="s">
        <v>444</v>
      </c>
      <c r="B5" s="1">
        <v>45776</v>
      </c>
    </row>
    <row r="6" spans="1:2">
      <c r="A6" t="s">
        <v>445</v>
      </c>
      <c r="B6" s="1">
        <v>45777</v>
      </c>
    </row>
    <row r="7" spans="1:2">
      <c r="A7" t="s">
        <v>446</v>
      </c>
    </row>
    <row r="8" spans="1:2">
      <c r="A8" t="s">
        <v>447</v>
      </c>
    </row>
    <row r="9" spans="1:2">
      <c r="A9" t="s">
        <v>448</v>
      </c>
    </row>
    <row r="10" spans="1:2">
      <c r="A10" t="s">
        <v>449</v>
      </c>
    </row>
    <row r="11" spans="1:2">
      <c r="A11" t="s">
        <v>450</v>
      </c>
    </row>
    <row r="12" spans="1:2">
      <c r="A12" t="s">
        <v>451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E717-89EA-4AC0-8D77-A8351ACCE173}">
  <sheetPr codeName="Sheet9"/>
  <dimension ref="A1:AB148"/>
  <sheetViews>
    <sheetView zoomScale="85" zoomScaleNormal="85" workbookViewId="0">
      <selection activeCell="C3" sqref="C3"/>
    </sheetView>
  </sheetViews>
  <sheetFormatPr defaultRowHeight="15"/>
  <cols>
    <col min="1" max="1" width="39.85546875" bestFit="1" customWidth="1"/>
    <col min="2" max="2" width="12.140625" bestFit="1" customWidth="1"/>
    <col min="3" max="3" width="19.85546875" bestFit="1" customWidth="1"/>
    <col min="4" max="4" width="13.42578125" bestFit="1" customWidth="1"/>
    <col min="5" max="5" width="14.5703125" bestFit="1" customWidth="1"/>
    <col min="6" max="6" width="15.140625" bestFit="1" customWidth="1"/>
    <col min="7" max="7" width="16.42578125" bestFit="1" customWidth="1"/>
    <col min="8" max="8" width="15.140625" bestFit="1" customWidth="1"/>
    <col min="9" max="9" width="16.42578125" bestFit="1" customWidth="1"/>
    <col min="10" max="10" width="14.5703125" bestFit="1" customWidth="1"/>
    <col min="11" max="11" width="16" bestFit="1" customWidth="1"/>
    <col min="12" max="12" width="16.85546875" bestFit="1" customWidth="1"/>
    <col min="13" max="13" width="13.42578125" bestFit="1" customWidth="1"/>
    <col min="14" max="14" width="12.42578125" bestFit="1" customWidth="1"/>
    <col min="15" max="15" width="17.140625" bestFit="1" customWidth="1"/>
    <col min="16" max="16" width="9.85546875" bestFit="1" customWidth="1"/>
    <col min="17" max="17" width="9.5703125" bestFit="1" customWidth="1"/>
    <col min="18" max="18" width="16.42578125" bestFit="1" customWidth="1"/>
    <col min="19" max="19" width="20.140625" bestFit="1" customWidth="1"/>
    <col min="20" max="20" width="20.5703125" bestFit="1" customWidth="1"/>
    <col min="21" max="21" width="10.85546875" bestFit="1" customWidth="1"/>
    <col min="22" max="22" width="11.5703125" bestFit="1" customWidth="1"/>
    <col min="23" max="23" width="9.140625" bestFit="1" customWidth="1"/>
  </cols>
  <sheetData>
    <row r="1" spans="1:28" s="17" customFormat="1" ht="21">
      <c r="A1" s="18" t="s">
        <v>329</v>
      </c>
      <c r="B1" s="19"/>
      <c r="C1" s="174" t="s">
        <v>330</v>
      </c>
      <c r="D1" s="21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3"/>
      <c r="T1" s="23"/>
      <c r="U1" s="24"/>
      <c r="V1" s="24"/>
      <c r="W1" s="24"/>
      <c r="X1" s="24"/>
      <c r="Y1" s="24"/>
      <c r="Z1" s="24"/>
      <c r="AA1" s="16"/>
      <c r="AB1" s="16"/>
    </row>
    <row r="2" spans="1:28" s="17" customFormat="1" ht="21">
      <c r="A2" s="25"/>
      <c r="B2" s="25"/>
      <c r="C2" s="23" t="s">
        <v>8</v>
      </c>
      <c r="D2" s="26" t="s">
        <v>9</v>
      </c>
      <c r="E2" s="26" t="s">
        <v>452</v>
      </c>
      <c r="F2" s="26" t="s">
        <v>10</v>
      </c>
      <c r="G2" s="26" t="s">
        <v>11</v>
      </c>
      <c r="H2" s="26" t="s">
        <v>12</v>
      </c>
      <c r="I2" s="26" t="s">
        <v>13</v>
      </c>
      <c r="J2" s="26" t="s">
        <v>14</v>
      </c>
      <c r="K2" s="26" t="s">
        <v>15</v>
      </c>
      <c r="L2" s="26" t="s">
        <v>16</v>
      </c>
      <c r="M2" s="26" t="s">
        <v>17</v>
      </c>
      <c r="N2" s="26" t="s">
        <v>18</v>
      </c>
      <c r="O2" s="26" t="s">
        <v>19</v>
      </c>
      <c r="P2" s="26" t="s">
        <v>20</v>
      </c>
      <c r="Q2" s="26" t="s">
        <v>21</v>
      </c>
      <c r="R2" s="26" t="s">
        <v>22</v>
      </c>
      <c r="S2" s="26" t="s">
        <v>23</v>
      </c>
      <c r="T2" s="26" t="s">
        <v>24</v>
      </c>
      <c r="U2" s="26" t="s">
        <v>25</v>
      </c>
      <c r="V2" s="26" t="s">
        <v>26</v>
      </c>
      <c r="W2" s="26" t="s">
        <v>27</v>
      </c>
      <c r="X2" s="26"/>
      <c r="Y2" s="26"/>
      <c r="Z2" s="26"/>
      <c r="AA2" s="16"/>
    </row>
    <row r="3" spans="1:28" s="17" customFormat="1">
      <c r="A3" s="27" t="str">
        <f>IF(OR(C3="", C3=0), "", "L"&amp;C3&amp;"-"&amp;$C$47&amp;"-"&amp;A4)</f>
        <v>L11-WR1B-Building 12</v>
      </c>
      <c r="B3" s="57"/>
      <c r="C3" s="3">
        <v>11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16"/>
      <c r="AB3" s="16"/>
    </row>
    <row r="4" spans="1:28" s="17" customFormat="1" ht="15.75" thickBot="1">
      <c r="A4" s="4" t="s">
        <v>453</v>
      </c>
      <c r="B4" s="4" t="s">
        <v>454</v>
      </c>
      <c r="C4" s="169" t="str">
        <f>IF(C3="","Blank 3 Plex Template","")</f>
        <v/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16"/>
      <c r="AB4" s="16"/>
    </row>
    <row r="5" spans="1:28" s="17" customFormat="1">
      <c r="A5" s="27" t="str">
        <f>IF(OR(C5="", C5=0), "", "L"&amp;C5&amp;"-"&amp;$C$47&amp;"-"&amp;A6)</f>
        <v>L12-WR1B-Building 12</v>
      </c>
      <c r="B5" s="28"/>
      <c r="C5" s="175">
        <f>IF(C3="",,C3+1)</f>
        <v>12</v>
      </c>
      <c r="D5" s="31"/>
      <c r="E5" s="48"/>
      <c r="F5" s="31"/>
      <c r="G5" s="48"/>
      <c r="H5" s="48"/>
      <c r="I5" s="48"/>
      <c r="J5" s="48"/>
      <c r="K5" s="48"/>
      <c r="L5" s="48"/>
      <c r="M5" s="55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16"/>
      <c r="AB5" s="16"/>
    </row>
    <row r="6" spans="1:28" s="17" customFormat="1" ht="15.75" thickBot="1">
      <c r="A6" s="170" t="str">
        <f>A4</f>
        <v>Building 12</v>
      </c>
      <c r="B6" s="170" t="str">
        <f>B4</f>
        <v>Modern</v>
      </c>
      <c r="C6" s="171"/>
      <c r="D6" s="37"/>
      <c r="E6" s="50"/>
      <c r="F6" s="37"/>
      <c r="G6" s="50"/>
      <c r="H6" s="50"/>
      <c r="I6" s="50"/>
      <c r="J6" s="50"/>
      <c r="K6" s="50"/>
      <c r="L6" s="50"/>
      <c r="M6" s="56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16"/>
      <c r="AB6" s="16"/>
    </row>
    <row r="7" spans="1:28" s="17" customFormat="1">
      <c r="A7" s="27" t="str">
        <f>IF(OR(C7="", C7=0), "", "L"&amp;C7&amp;"-"&amp;$C$47&amp;"-"&amp;A8)</f>
        <v>L13-WR1B-Building 12</v>
      </c>
      <c r="B7" s="28"/>
      <c r="C7" s="175">
        <f>IF(C3="",,C3+2)</f>
        <v>13</v>
      </c>
      <c r="D7" s="31"/>
      <c r="E7" s="48"/>
      <c r="F7" s="31"/>
      <c r="G7" s="48"/>
      <c r="H7" s="48"/>
      <c r="I7" s="48"/>
      <c r="J7" s="48"/>
      <c r="K7" s="48"/>
      <c r="L7" s="48"/>
      <c r="M7" s="47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16"/>
      <c r="AB7" s="16"/>
    </row>
    <row r="8" spans="1:28" s="17" customFormat="1" ht="15.75" thickBot="1">
      <c r="A8" s="172" t="str">
        <f>A4</f>
        <v>Building 12</v>
      </c>
      <c r="B8" s="172" t="str">
        <f>B4</f>
        <v>Modern</v>
      </c>
      <c r="C8" s="173"/>
      <c r="D8" s="37"/>
      <c r="E8" s="50"/>
      <c r="F8" s="37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16"/>
      <c r="AB8" s="16"/>
    </row>
    <row r="9" spans="1:28" s="17" customFormat="1">
      <c r="A9" s="27" t="str">
        <f>IF(OR(C9="", C9=0), "", "L"&amp;C9&amp;"-"&amp;$C$47&amp;"-"&amp;A10)</f>
        <v>L56-WR1B-Building 8</v>
      </c>
      <c r="B9" s="57"/>
      <c r="C9" s="3">
        <v>56</v>
      </c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16"/>
      <c r="AB9" s="16"/>
    </row>
    <row r="10" spans="1:28" s="17" customFormat="1" ht="15.75" thickBot="1">
      <c r="A10" s="4" t="s">
        <v>455</v>
      </c>
      <c r="B10" s="4" t="s">
        <v>454</v>
      </c>
      <c r="C10" s="169" t="str">
        <f>IF(C9="","Blank 3 Plex Template","")</f>
        <v/>
      </c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16"/>
      <c r="AB10" s="16"/>
    </row>
    <row r="11" spans="1:28" s="17" customFormat="1">
      <c r="A11" s="27" t="str">
        <f>IF(OR(C11="", C11=0), "", "L"&amp;C11&amp;"-"&amp;$C$47&amp;"-"&amp;A12)</f>
        <v>L57-WR1B-Building 8</v>
      </c>
      <c r="B11" s="28"/>
      <c r="C11" s="175">
        <f>IF(C9="",,C9+1)</f>
        <v>57</v>
      </c>
      <c r="D11" s="31"/>
      <c r="E11" s="48"/>
      <c r="F11" s="31"/>
      <c r="G11" s="48"/>
      <c r="H11" s="48"/>
      <c r="I11" s="48"/>
      <c r="J11" s="48"/>
      <c r="K11" s="48"/>
      <c r="L11" s="48"/>
      <c r="M11" s="55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16"/>
      <c r="AB11" s="16"/>
    </row>
    <row r="12" spans="1:28" s="17" customFormat="1" ht="15.75" thickBot="1">
      <c r="A12" s="170" t="str">
        <f>A10</f>
        <v>Building 8</v>
      </c>
      <c r="B12" s="170" t="str">
        <f>B10</f>
        <v>Modern</v>
      </c>
      <c r="C12" s="171"/>
      <c r="D12" s="37"/>
      <c r="E12" s="50"/>
      <c r="F12" s="37"/>
      <c r="G12" s="50"/>
      <c r="H12" s="50"/>
      <c r="I12" s="50"/>
      <c r="J12" s="50"/>
      <c r="K12" s="50"/>
      <c r="L12" s="50"/>
      <c r="M12" s="56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16"/>
      <c r="AB12" s="16"/>
    </row>
    <row r="13" spans="1:28" s="17" customFormat="1">
      <c r="A13" s="27" t="str">
        <f>IF(OR(C13="", C13=0), "", "L"&amp;C13&amp;"-"&amp;$C$47&amp;"-"&amp;A14)</f>
        <v>L58-WR1B-Building 8</v>
      </c>
      <c r="B13" s="28"/>
      <c r="C13" s="175">
        <f>IF(C9="",,C9+2)</f>
        <v>58</v>
      </c>
      <c r="D13" s="31"/>
      <c r="E13" s="48"/>
      <c r="F13" s="31"/>
      <c r="G13" s="48"/>
      <c r="H13" s="48"/>
      <c r="I13" s="48"/>
      <c r="J13" s="48"/>
      <c r="K13" s="48"/>
      <c r="L13" s="48"/>
      <c r="M13" s="47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16"/>
      <c r="AB13" s="16"/>
    </row>
    <row r="14" spans="1:28" s="17" customFormat="1" ht="15.75" thickBot="1">
      <c r="A14" s="172" t="str">
        <f>A10</f>
        <v>Building 8</v>
      </c>
      <c r="B14" s="172" t="str">
        <f>B10</f>
        <v>Modern</v>
      </c>
      <c r="C14" s="173"/>
      <c r="D14" s="37"/>
      <c r="E14" s="50"/>
      <c r="F14" s="37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16"/>
      <c r="AB14" s="16"/>
    </row>
    <row r="15" spans="1:28" s="17" customFormat="1">
      <c r="A15" s="27" t="str">
        <f>IF(OR(C15="", C15=0), "", "L"&amp;C15&amp;"-"&amp;$C$47&amp;"-"&amp;A16)</f>
        <v/>
      </c>
      <c r="B15" s="57"/>
      <c r="C15" s="57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16"/>
      <c r="AB15" s="16"/>
    </row>
    <row r="16" spans="1:28" s="17" customFormat="1" ht="15.75" thickBot="1">
      <c r="A16" s="4"/>
      <c r="B16" s="4"/>
      <c r="C16" s="169" t="str">
        <f>IF(C15="","Blank 3 Plex Template","")</f>
        <v>Blank 3 Plex Template</v>
      </c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16"/>
      <c r="AB16" s="16"/>
    </row>
    <row r="17" spans="1:28" s="17" customFormat="1">
      <c r="A17" s="27" t="str">
        <f>IF(OR(C17="", C17=0), "", "L"&amp;C17&amp;"-"&amp;$C$47&amp;"-"&amp;A18)</f>
        <v/>
      </c>
      <c r="B17" s="28"/>
      <c r="C17" s="175">
        <f>IF(C15="",,C15+1)</f>
        <v>0</v>
      </c>
      <c r="D17" s="31"/>
      <c r="E17" s="48"/>
      <c r="F17" s="31"/>
      <c r="G17" s="48"/>
      <c r="H17" s="48"/>
      <c r="I17" s="48"/>
      <c r="J17" s="48"/>
      <c r="K17" s="48"/>
      <c r="L17" s="48"/>
      <c r="M17" s="55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16"/>
      <c r="AB17" s="16"/>
    </row>
    <row r="18" spans="1:28" s="17" customFormat="1" ht="15.75" thickBot="1">
      <c r="A18" s="170">
        <f>A16</f>
        <v>0</v>
      </c>
      <c r="B18" s="170">
        <f>B16</f>
        <v>0</v>
      </c>
      <c r="C18" s="171"/>
      <c r="D18" s="37"/>
      <c r="E18" s="50"/>
      <c r="F18" s="37"/>
      <c r="G18" s="50"/>
      <c r="H18" s="50"/>
      <c r="I18" s="50"/>
      <c r="J18" s="50"/>
      <c r="K18" s="50"/>
      <c r="L18" s="50"/>
      <c r="M18" s="56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16"/>
      <c r="AB18" s="16"/>
    </row>
    <row r="19" spans="1:28" s="17" customFormat="1">
      <c r="A19" s="27" t="str">
        <f>IF(OR(C19="", C19=0), "", "L"&amp;C19&amp;"-"&amp;$C$47&amp;"-"&amp;A20)</f>
        <v/>
      </c>
      <c r="B19" s="28"/>
      <c r="C19" s="175">
        <f>IF(C15="",,C15+2)</f>
        <v>0</v>
      </c>
      <c r="D19" s="31"/>
      <c r="E19" s="48"/>
      <c r="F19" s="31"/>
      <c r="G19" s="48"/>
      <c r="H19" s="48"/>
      <c r="I19" s="48"/>
      <c r="J19" s="48"/>
      <c r="K19" s="48"/>
      <c r="L19" s="48"/>
      <c r="M19" s="47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16"/>
      <c r="AB19" s="16"/>
    </row>
    <row r="20" spans="1:28" s="17" customFormat="1" ht="15.75" thickBot="1">
      <c r="A20" s="172">
        <f>A16</f>
        <v>0</v>
      </c>
      <c r="B20" s="172">
        <f>B16</f>
        <v>0</v>
      </c>
      <c r="C20" s="173"/>
      <c r="D20" s="37"/>
      <c r="E20" s="50"/>
      <c r="F20" s="37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16"/>
      <c r="AB20" s="16"/>
    </row>
    <row r="21" spans="1:28" s="17" customFormat="1" ht="21">
      <c r="A21" s="180" t="s">
        <v>331</v>
      </c>
      <c r="B21" s="181"/>
      <c r="C21" s="179" t="s">
        <v>330</v>
      </c>
      <c r="D21" s="21"/>
      <c r="E21" s="24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3"/>
      <c r="U21" s="23"/>
      <c r="V21" s="24"/>
      <c r="W21" s="24"/>
      <c r="X21" s="24"/>
      <c r="Y21" s="24"/>
      <c r="Z21" s="24"/>
      <c r="AA21" s="16"/>
      <c r="AB21" s="16"/>
    </row>
    <row r="22" spans="1:28" s="17" customFormat="1" ht="21">
      <c r="A22" s="25"/>
      <c r="B22" s="25"/>
      <c r="C22" s="23" t="s">
        <v>8</v>
      </c>
      <c r="D22" s="26" t="s">
        <v>9</v>
      </c>
      <c r="E22" s="26"/>
      <c r="F22" s="26" t="s">
        <v>10</v>
      </c>
      <c r="G22" s="26" t="s">
        <v>11</v>
      </c>
      <c r="H22" s="26" t="s">
        <v>12</v>
      </c>
      <c r="I22" s="26" t="s">
        <v>13</v>
      </c>
      <c r="J22" s="26" t="s">
        <v>14</v>
      </c>
      <c r="K22" s="26" t="s">
        <v>15</v>
      </c>
      <c r="L22" s="26" t="s">
        <v>16</v>
      </c>
      <c r="M22" s="26" t="s">
        <v>17</v>
      </c>
      <c r="N22" s="26" t="s">
        <v>18</v>
      </c>
      <c r="O22" s="26" t="s">
        <v>19</v>
      </c>
      <c r="P22" s="26" t="s">
        <v>20</v>
      </c>
      <c r="Q22" s="26" t="s">
        <v>21</v>
      </c>
      <c r="R22" s="26" t="s">
        <v>22</v>
      </c>
      <c r="S22" s="26" t="s">
        <v>23</v>
      </c>
      <c r="T22" s="26" t="s">
        <v>24</v>
      </c>
      <c r="U22" s="26" t="s">
        <v>25</v>
      </c>
      <c r="V22" s="26" t="s">
        <v>26</v>
      </c>
      <c r="W22" s="26" t="s">
        <v>27</v>
      </c>
      <c r="X22" s="26"/>
      <c r="Y22" s="26"/>
      <c r="Z22" s="26"/>
      <c r="AA22" s="16"/>
    </row>
    <row r="23" spans="1:28" s="17" customFormat="1">
      <c r="A23" s="27" t="str">
        <f>IF(OR(C23="", C23=0), "", "L"&amp;C23&amp;"-"&amp;$C$47&amp;"-"&amp;A24)</f>
        <v>L14-WR1B-Building 5</v>
      </c>
      <c r="B23" s="57"/>
      <c r="C23" s="3">
        <v>14</v>
      </c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16"/>
      <c r="AB23" s="16"/>
    </row>
    <row r="24" spans="1:28" s="17" customFormat="1" ht="15.75" thickBot="1">
      <c r="A24" s="4" t="s">
        <v>456</v>
      </c>
      <c r="B24" s="4" t="s">
        <v>457</v>
      </c>
      <c r="C24" s="169" t="str">
        <f>IF(C23="","Blank 4 Plex Template","")</f>
        <v/>
      </c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16"/>
      <c r="AB24" s="16"/>
    </row>
    <row r="25" spans="1:28" s="17" customFormat="1">
      <c r="A25" s="27" t="str">
        <f>IF(OR(C25="", C25=0), "", "L"&amp;C25&amp;"-"&amp;$C$47&amp;"-"&amp;A26)</f>
        <v>L15-WR1B-Building 5</v>
      </c>
      <c r="B25" s="28"/>
      <c r="C25" s="175">
        <f>IF(C23="",,C23+1)</f>
        <v>15</v>
      </c>
      <c r="D25" s="31"/>
      <c r="E25" s="48"/>
      <c r="F25" s="31"/>
      <c r="G25" s="48"/>
      <c r="H25" s="48"/>
      <c r="I25" s="48"/>
      <c r="J25" s="48"/>
      <c r="K25" s="48"/>
      <c r="L25" s="48"/>
      <c r="M25" s="55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16"/>
      <c r="AB25" s="16"/>
    </row>
    <row r="26" spans="1:28" s="17" customFormat="1" ht="15.75" thickBot="1">
      <c r="A26" s="170" t="str">
        <f>A24</f>
        <v>Building 5</v>
      </c>
      <c r="B26" s="170" t="str">
        <f>B24</f>
        <v>Prairie</v>
      </c>
      <c r="C26" s="171"/>
      <c r="D26" s="37"/>
      <c r="E26" s="50"/>
      <c r="F26" s="37"/>
      <c r="G26" s="50"/>
      <c r="H26" s="50"/>
      <c r="I26" s="50"/>
      <c r="J26" s="50"/>
      <c r="K26" s="50"/>
      <c r="L26" s="50"/>
      <c r="M26" s="56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16"/>
      <c r="AB26" s="16"/>
    </row>
    <row r="27" spans="1:28" s="17" customFormat="1">
      <c r="A27" s="27" t="str">
        <f>IF(OR(C27="", C27=0), "", "L"&amp;C27&amp;"-"&amp;$C$47&amp;"-"&amp;A28)</f>
        <v>L16-WR1B-Building 5</v>
      </c>
      <c r="B27" s="28"/>
      <c r="C27" s="175">
        <f>IF(C23="",,C23+2)</f>
        <v>16</v>
      </c>
      <c r="D27" s="31"/>
      <c r="E27" s="48"/>
      <c r="F27" s="31"/>
      <c r="G27" s="48"/>
      <c r="H27" s="48"/>
      <c r="I27" s="48"/>
      <c r="J27" s="48"/>
      <c r="K27" s="48"/>
      <c r="L27" s="48"/>
      <c r="M27" s="47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16"/>
      <c r="AB27" s="16"/>
    </row>
    <row r="28" spans="1:28" s="17" customFormat="1" ht="15.75" thickBot="1">
      <c r="A28" s="170" t="str">
        <f>A24</f>
        <v>Building 5</v>
      </c>
      <c r="B28" s="170" t="str">
        <f>B24</f>
        <v>Prairie</v>
      </c>
      <c r="C28" s="171"/>
      <c r="D28" s="37"/>
      <c r="E28" s="50"/>
      <c r="F28" s="37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16"/>
      <c r="AB28" s="16"/>
    </row>
    <row r="29" spans="1:28" s="17" customFormat="1">
      <c r="A29" s="27" t="str">
        <f>IF(OR(C29="", C29=0), "", "L"&amp;C29&amp;"-"&amp;$C$47&amp;"-"&amp;A30)</f>
        <v>L17-WR1B-Building 5</v>
      </c>
      <c r="B29" s="28"/>
      <c r="C29" s="175">
        <f>IF(C23="",,C23+3)</f>
        <v>17</v>
      </c>
      <c r="D29" s="31"/>
      <c r="E29" s="48"/>
      <c r="F29" s="31"/>
      <c r="G29" s="55"/>
      <c r="H29" s="55"/>
      <c r="I29" s="55"/>
      <c r="J29" s="55"/>
      <c r="K29" s="55"/>
      <c r="L29" s="47"/>
      <c r="M29" s="31"/>
      <c r="N29" s="55"/>
      <c r="O29" s="55"/>
      <c r="P29" s="55"/>
      <c r="Q29" s="55"/>
      <c r="R29" s="55"/>
      <c r="S29" s="55"/>
      <c r="T29" s="48"/>
      <c r="U29" s="48"/>
      <c r="V29" s="48"/>
      <c r="W29" s="48"/>
      <c r="X29" s="48"/>
      <c r="Y29" s="48"/>
      <c r="Z29" s="48"/>
      <c r="AA29" s="16"/>
    </row>
    <row r="30" spans="1:28" s="17" customFormat="1" ht="15.75" thickBot="1">
      <c r="A30" s="177" t="str">
        <f>A24</f>
        <v>Building 5</v>
      </c>
      <c r="B30" s="172" t="str">
        <f>B24</f>
        <v>Prairie</v>
      </c>
      <c r="C30" s="178"/>
      <c r="D30" s="176"/>
      <c r="E30" s="50"/>
      <c r="F30" s="37"/>
      <c r="G30" s="56"/>
      <c r="H30" s="56"/>
      <c r="I30" s="56"/>
      <c r="J30" s="56"/>
      <c r="K30" s="56"/>
      <c r="L30" s="50"/>
      <c r="M30" s="37"/>
      <c r="N30" s="56"/>
      <c r="O30" s="56"/>
      <c r="P30" s="56"/>
      <c r="Q30" s="56"/>
      <c r="R30" s="56"/>
      <c r="S30" s="56"/>
      <c r="T30" s="50"/>
      <c r="U30" s="50"/>
      <c r="V30" s="50"/>
      <c r="W30" s="50"/>
      <c r="X30" s="50"/>
      <c r="Y30" s="50"/>
      <c r="Z30" s="50"/>
      <c r="AA30" s="16"/>
    </row>
    <row r="31" spans="1:28" s="17" customFormat="1">
      <c r="A31" s="27" t="str">
        <f>IF(OR(C31="", C31=0), "", "L"&amp;C31&amp;"-"&amp;$C$47&amp;"-"&amp;A32)</f>
        <v>L59-WR1B-Building 11</v>
      </c>
      <c r="B31" s="57"/>
      <c r="C31" s="3">
        <v>59</v>
      </c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16"/>
      <c r="AB31" s="16"/>
    </row>
    <row r="32" spans="1:28" s="17" customFormat="1" ht="15.75" thickBot="1">
      <c r="A32" s="4" t="s">
        <v>458</v>
      </c>
      <c r="B32" s="4" t="s">
        <v>459</v>
      </c>
      <c r="C32" s="169" t="str">
        <f>IF(C31="","Blank 4 Plex Template","")</f>
        <v/>
      </c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16"/>
      <c r="AB32" s="16"/>
    </row>
    <row r="33" spans="1:28" s="17" customFormat="1">
      <c r="A33" s="27" t="str">
        <f>IF(OR(C33="", C33=0), "", "L"&amp;C33&amp;"-"&amp;$C$47&amp;"-"&amp;A34)</f>
        <v>L60-WR1B-Building 11</v>
      </c>
      <c r="B33" s="28"/>
      <c r="C33" s="175">
        <f>IF(C31="",,C31+1)</f>
        <v>60</v>
      </c>
      <c r="D33" s="31"/>
      <c r="E33" s="48"/>
      <c r="F33" s="31"/>
      <c r="G33" s="48"/>
      <c r="H33" s="48"/>
      <c r="I33" s="48"/>
      <c r="J33" s="48"/>
      <c r="K33" s="48"/>
      <c r="L33" s="48"/>
      <c r="M33" s="55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16"/>
      <c r="AB33" s="16"/>
    </row>
    <row r="34" spans="1:28" s="17" customFormat="1" ht="15.75" thickBot="1">
      <c r="A34" s="170" t="str">
        <f>A32</f>
        <v>Building 11</v>
      </c>
      <c r="B34" s="170" t="str">
        <f>B32</f>
        <v>NW</v>
      </c>
      <c r="C34" s="171"/>
      <c r="D34" s="37"/>
      <c r="E34" s="50"/>
      <c r="F34" s="37"/>
      <c r="G34" s="50"/>
      <c r="H34" s="50"/>
      <c r="I34" s="50"/>
      <c r="J34" s="50"/>
      <c r="K34" s="50"/>
      <c r="L34" s="50"/>
      <c r="M34" s="56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16"/>
      <c r="AB34" s="16"/>
    </row>
    <row r="35" spans="1:28" s="17" customFormat="1">
      <c r="A35" s="27" t="str">
        <f>IF(OR(C35="", C35=0), "", "L"&amp;C35&amp;"-"&amp;$C$47&amp;"-"&amp;A36)</f>
        <v>L61-WR1B-Building 11</v>
      </c>
      <c r="B35" s="28"/>
      <c r="C35" s="175">
        <f>IF(C31="",,C31+2)</f>
        <v>61</v>
      </c>
      <c r="D35" s="31"/>
      <c r="E35" s="48"/>
      <c r="F35" s="31"/>
      <c r="G35" s="48"/>
      <c r="H35" s="48"/>
      <c r="I35" s="48"/>
      <c r="J35" s="48"/>
      <c r="K35" s="48"/>
      <c r="L35" s="48"/>
      <c r="M35" s="47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16"/>
      <c r="AB35" s="16"/>
    </row>
    <row r="36" spans="1:28" s="17" customFormat="1" ht="15.75" thickBot="1">
      <c r="A36" s="170" t="str">
        <f>A32</f>
        <v>Building 11</v>
      </c>
      <c r="B36" s="170" t="str">
        <f>B32</f>
        <v>NW</v>
      </c>
      <c r="C36" s="171"/>
      <c r="D36" s="37"/>
      <c r="E36" s="50"/>
      <c r="F36" s="37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16"/>
      <c r="AB36" s="16"/>
    </row>
    <row r="37" spans="1:28" s="17" customFormat="1">
      <c r="A37" s="27" t="str">
        <f>IF(OR(C37="", C37=0), "", "L"&amp;C37&amp;"-"&amp;$C$47&amp;"-"&amp;A38)</f>
        <v>L62-WR1B-Building 11</v>
      </c>
      <c r="B37" s="28"/>
      <c r="C37" s="175">
        <f>IF(C31="",,C31+3)</f>
        <v>62</v>
      </c>
      <c r="D37" s="31"/>
      <c r="E37" s="48"/>
      <c r="F37" s="31"/>
      <c r="G37" s="55"/>
      <c r="H37" s="55"/>
      <c r="I37" s="55"/>
      <c r="J37" s="55"/>
      <c r="K37" s="55"/>
      <c r="L37" s="47"/>
      <c r="M37" s="31"/>
      <c r="N37" s="55"/>
      <c r="O37" s="55"/>
      <c r="P37" s="55"/>
      <c r="Q37" s="55"/>
      <c r="R37" s="55"/>
      <c r="S37" s="55"/>
      <c r="T37" s="48"/>
      <c r="U37" s="48"/>
      <c r="V37" s="48"/>
      <c r="W37" s="48"/>
      <c r="X37" s="48"/>
      <c r="Y37" s="48"/>
      <c r="Z37" s="48"/>
      <c r="AA37" s="16"/>
    </row>
    <row r="38" spans="1:28" s="17" customFormat="1" ht="15.75" thickBot="1">
      <c r="A38" s="172" t="str">
        <f>A32</f>
        <v>Building 11</v>
      </c>
      <c r="B38" s="172" t="str">
        <f>B32</f>
        <v>NW</v>
      </c>
      <c r="C38" s="178"/>
      <c r="D38" s="176"/>
      <c r="E38" s="50"/>
      <c r="F38" s="37"/>
      <c r="G38" s="56"/>
      <c r="H38" s="56"/>
      <c r="I38" s="56"/>
      <c r="J38" s="56"/>
      <c r="K38" s="56"/>
      <c r="L38" s="50"/>
      <c r="M38" s="37"/>
      <c r="N38" s="56"/>
      <c r="O38" s="56"/>
      <c r="P38" s="56"/>
      <c r="Q38" s="56"/>
      <c r="R38" s="56"/>
      <c r="S38" s="56"/>
      <c r="T38" s="50"/>
      <c r="U38" s="50"/>
      <c r="V38" s="50"/>
      <c r="W38" s="50"/>
      <c r="X38" s="50"/>
      <c r="Y38" s="50"/>
      <c r="Z38" s="50"/>
      <c r="AA38" s="16"/>
    </row>
    <row r="39" spans="1:28" s="17" customFormat="1">
      <c r="A39" s="27" t="str">
        <f>IF(OR(C39="", C39=0), "", "L"&amp;C39&amp;"-"&amp;$C$47&amp;"-"&amp;A40)</f>
        <v/>
      </c>
      <c r="B39" s="57"/>
      <c r="C39" s="57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16"/>
      <c r="AB39" s="16"/>
    </row>
    <row r="40" spans="1:28" s="17" customFormat="1" ht="15.75" thickBot="1">
      <c r="A40" s="4"/>
      <c r="B40" s="4"/>
      <c r="C40" s="169" t="str">
        <f>IF(C39="","Blank 4 Plex Template","")</f>
        <v>Blank 4 Plex Template</v>
      </c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16"/>
      <c r="AB40" s="16"/>
    </row>
    <row r="41" spans="1:28" s="17" customFormat="1">
      <c r="A41" s="27" t="str">
        <f>IF(OR(C41="", C41=0), "", "L"&amp;C41&amp;"-"&amp;$C$47&amp;"-"&amp;A42)</f>
        <v/>
      </c>
      <c r="B41" s="28"/>
      <c r="C41" s="175">
        <f>IF(C39="",,C39+1)</f>
        <v>0</v>
      </c>
      <c r="D41" s="31"/>
      <c r="E41" s="48"/>
      <c r="F41" s="31"/>
      <c r="G41" s="48"/>
      <c r="H41" s="48"/>
      <c r="I41" s="48"/>
      <c r="J41" s="48"/>
      <c r="K41" s="48"/>
      <c r="L41" s="48"/>
      <c r="M41" s="55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16"/>
      <c r="AB41" s="16"/>
    </row>
    <row r="42" spans="1:28" s="17" customFormat="1" ht="15.75" thickBot="1">
      <c r="A42" s="170">
        <f>A40</f>
        <v>0</v>
      </c>
      <c r="B42" s="170">
        <f>B40</f>
        <v>0</v>
      </c>
      <c r="C42" s="171"/>
      <c r="D42" s="37"/>
      <c r="E42" s="50"/>
      <c r="F42" s="37"/>
      <c r="G42" s="50"/>
      <c r="H42" s="50"/>
      <c r="I42" s="50"/>
      <c r="J42" s="50"/>
      <c r="K42" s="50"/>
      <c r="L42" s="50"/>
      <c r="M42" s="56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16"/>
      <c r="AB42" s="16"/>
    </row>
    <row r="43" spans="1:28" s="17" customFormat="1">
      <c r="A43" s="27" t="str">
        <f>IF(OR(C43="", C43=0), "", "L"&amp;C43&amp;"-"&amp;$C$47&amp;"-"&amp;A44)</f>
        <v/>
      </c>
      <c r="B43" s="28"/>
      <c r="C43" s="175">
        <f>IF(C39="",,C39+2)</f>
        <v>0</v>
      </c>
      <c r="D43" s="31"/>
      <c r="E43" s="48"/>
      <c r="F43" s="31"/>
      <c r="G43" s="48"/>
      <c r="H43" s="48"/>
      <c r="I43" s="48"/>
      <c r="J43" s="48"/>
      <c r="K43" s="48"/>
      <c r="L43" s="48"/>
      <c r="M43" s="47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16"/>
      <c r="AB43" s="16"/>
    </row>
    <row r="44" spans="1:28" s="17" customFormat="1" ht="15.75" thickBot="1">
      <c r="A44" s="170">
        <f>A40</f>
        <v>0</v>
      </c>
      <c r="B44" s="170">
        <f>B40</f>
        <v>0</v>
      </c>
      <c r="C44" s="171"/>
      <c r="D44" s="37"/>
      <c r="E44" s="50"/>
      <c r="F44" s="37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16"/>
      <c r="AB44" s="16"/>
    </row>
    <row r="45" spans="1:28" s="17" customFormat="1">
      <c r="A45" s="27" t="str">
        <f>IF(OR(C45="", C45=0), "", "L"&amp;C45&amp;"-"&amp;$C$47&amp;"-"&amp;A46)</f>
        <v/>
      </c>
      <c r="B45" s="28"/>
      <c r="C45" s="175">
        <f>IF(C39="",,C39+3)</f>
        <v>0</v>
      </c>
      <c r="D45" s="31"/>
      <c r="E45" s="48"/>
      <c r="F45" s="31"/>
      <c r="G45" s="55"/>
      <c r="H45" s="55"/>
      <c r="I45" s="55"/>
      <c r="J45" s="55"/>
      <c r="K45" s="55"/>
      <c r="L45" s="47"/>
      <c r="M45" s="31"/>
      <c r="N45" s="55"/>
      <c r="O45" s="55"/>
      <c r="P45" s="55"/>
      <c r="Q45" s="55"/>
      <c r="R45" s="55"/>
      <c r="S45" s="55"/>
      <c r="T45" s="48"/>
      <c r="U45" s="48"/>
      <c r="V45" s="48"/>
      <c r="W45" s="48"/>
      <c r="X45" s="48"/>
      <c r="Y45" s="48"/>
      <c r="Z45" s="48"/>
      <c r="AA45" s="16"/>
    </row>
    <row r="46" spans="1:28" s="17" customFormat="1" ht="15.75" thickBot="1">
      <c r="A46" s="172">
        <f>A40</f>
        <v>0</v>
      </c>
      <c r="B46" s="172">
        <f>B40</f>
        <v>0</v>
      </c>
      <c r="C46" s="178"/>
      <c r="D46" s="176"/>
      <c r="E46" s="50"/>
      <c r="F46" s="37"/>
      <c r="G46" s="56"/>
      <c r="H46" s="56"/>
      <c r="I46" s="56"/>
      <c r="J46" s="56"/>
      <c r="K46" s="56"/>
      <c r="L46" s="50"/>
      <c r="M46" s="37"/>
      <c r="N46" s="56"/>
      <c r="O46" s="56"/>
      <c r="P46" s="56"/>
      <c r="Q46" s="56"/>
      <c r="R46" s="56"/>
      <c r="S46" s="56"/>
      <c r="T46" s="50"/>
      <c r="U46" s="50"/>
      <c r="V46" s="50"/>
      <c r="W46" s="50"/>
      <c r="X46" s="50"/>
      <c r="Y46" s="50"/>
      <c r="Z46" s="50"/>
      <c r="AA46" s="16"/>
    </row>
    <row r="47" spans="1:28" s="17" customFormat="1" ht="21">
      <c r="A47" s="180" t="s">
        <v>332</v>
      </c>
      <c r="B47" s="181"/>
      <c r="C47" s="179" t="s">
        <v>330</v>
      </c>
      <c r="D47" s="21"/>
      <c r="E47" s="24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3"/>
      <c r="U47" s="23"/>
      <c r="V47" s="24"/>
      <c r="W47" s="24"/>
      <c r="X47" s="24"/>
      <c r="Y47" s="24"/>
      <c r="Z47" s="24"/>
      <c r="AA47" s="16"/>
      <c r="AB47" s="16"/>
    </row>
    <row r="48" spans="1:28" s="17" customFormat="1" ht="21">
      <c r="A48" s="25"/>
      <c r="B48" s="25"/>
      <c r="C48" s="23" t="s">
        <v>8</v>
      </c>
      <c r="D48" s="26" t="s">
        <v>9</v>
      </c>
      <c r="E48" s="26" t="s">
        <v>452</v>
      </c>
      <c r="F48" s="26" t="s">
        <v>12</v>
      </c>
      <c r="G48" s="26" t="s">
        <v>13</v>
      </c>
      <c r="H48" s="26" t="s">
        <v>14</v>
      </c>
      <c r="I48" s="26" t="s">
        <v>15</v>
      </c>
      <c r="J48" s="26" t="s">
        <v>10</v>
      </c>
      <c r="K48" s="26" t="s">
        <v>11</v>
      </c>
      <c r="L48" s="26" t="s">
        <v>16</v>
      </c>
      <c r="M48" s="26" t="s">
        <v>17</v>
      </c>
      <c r="N48" s="26" t="s">
        <v>18</v>
      </c>
      <c r="O48" s="26" t="s">
        <v>19</v>
      </c>
      <c r="P48" s="26" t="s">
        <v>20</v>
      </c>
      <c r="Q48" s="26" t="s">
        <v>21</v>
      </c>
      <c r="R48" s="26" t="s">
        <v>22</v>
      </c>
      <c r="S48" s="26" t="s">
        <v>23</v>
      </c>
      <c r="T48" s="26" t="s">
        <v>24</v>
      </c>
      <c r="U48" s="26" t="s">
        <v>25</v>
      </c>
      <c r="V48" s="26" t="s">
        <v>26</v>
      </c>
      <c r="W48" s="26" t="s">
        <v>27</v>
      </c>
      <c r="X48" s="26"/>
      <c r="Y48" s="26"/>
      <c r="Z48" s="26"/>
      <c r="AA48" s="16"/>
    </row>
    <row r="49" spans="1:28" s="17" customFormat="1">
      <c r="A49" s="27" t="str">
        <f>IF(OR(C49="", C49=0), "", "L"&amp;C49&amp;"-"&amp;$C$47&amp;"-"&amp;A50)</f>
        <v>L1-WR1B-Building 14</v>
      </c>
      <c r="B49" s="57"/>
      <c r="C49" s="3">
        <v>1</v>
      </c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16"/>
      <c r="AB49" s="16"/>
    </row>
    <row r="50" spans="1:28" s="17" customFormat="1" ht="15.75" thickBot="1">
      <c r="A50" s="4" t="s">
        <v>460</v>
      </c>
      <c r="B50" s="4" t="s">
        <v>461</v>
      </c>
      <c r="C50" s="169" t="str">
        <f>IF(C49="","Blank 5 Plex Template","")</f>
        <v/>
      </c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16"/>
      <c r="AB50" s="16"/>
    </row>
    <row r="51" spans="1:28" s="17" customFormat="1">
      <c r="A51" s="27" t="str">
        <f>IF(OR(C51="", C51=0), "", "L"&amp;C51&amp;"-"&amp;$C$47&amp;"-"&amp;A52)</f>
        <v>L2-WR1B-Building 14</v>
      </c>
      <c r="B51" s="28"/>
      <c r="C51" s="175">
        <f>IF(C49="",,C49+1)</f>
        <v>2</v>
      </c>
      <c r="D51" s="31"/>
      <c r="E51" s="48"/>
      <c r="F51" s="31"/>
      <c r="G51" s="48"/>
      <c r="H51" s="48"/>
      <c r="I51" s="48"/>
      <c r="J51" s="48"/>
      <c r="K51" s="48"/>
      <c r="L51" s="48"/>
      <c r="M51" s="55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16"/>
      <c r="AB51" s="16"/>
    </row>
    <row r="52" spans="1:28" s="17" customFormat="1" ht="15.75" thickBot="1">
      <c r="A52" s="170" t="str">
        <f>A50</f>
        <v>Building 14</v>
      </c>
      <c r="B52" s="170" t="str">
        <f>B50</f>
        <v>Farmhouse</v>
      </c>
      <c r="C52" s="171"/>
      <c r="D52" s="37"/>
      <c r="E52" s="50"/>
      <c r="F52" s="37"/>
      <c r="G52" s="50"/>
      <c r="H52" s="50"/>
      <c r="I52" s="50"/>
      <c r="J52" s="50"/>
      <c r="K52" s="50"/>
      <c r="L52" s="50"/>
      <c r="M52" s="56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16"/>
      <c r="AB52" s="16"/>
    </row>
    <row r="53" spans="1:28" s="17" customFormat="1">
      <c r="A53" s="27" t="str">
        <f>IF(OR(C53="", C53=0), "", "L"&amp;C53&amp;"-"&amp;$C$47&amp;"-"&amp;A54)</f>
        <v>L3-WR1B-Building 14</v>
      </c>
      <c r="B53" s="28"/>
      <c r="C53" s="175">
        <f>IF(C49="",,C49+2)</f>
        <v>3</v>
      </c>
      <c r="D53" s="31"/>
      <c r="E53" s="48"/>
      <c r="F53" s="31"/>
      <c r="G53" s="48"/>
      <c r="H53" s="48"/>
      <c r="I53" s="48"/>
      <c r="J53" s="48"/>
      <c r="K53" s="48"/>
      <c r="L53" s="48"/>
      <c r="M53" s="47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16"/>
      <c r="AB53" s="16"/>
    </row>
    <row r="54" spans="1:28" s="17" customFormat="1" ht="15.75" thickBot="1">
      <c r="A54" s="170" t="str">
        <f>A50</f>
        <v>Building 14</v>
      </c>
      <c r="B54" s="170" t="str">
        <f>B50</f>
        <v>Farmhouse</v>
      </c>
      <c r="C54" s="171"/>
      <c r="D54" s="37"/>
      <c r="E54" s="50"/>
      <c r="F54" s="37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16"/>
      <c r="AB54" s="16"/>
    </row>
    <row r="55" spans="1:28" s="17" customFormat="1">
      <c r="A55" s="27" t="str">
        <f>IF(OR(C55="", C55=0), "", "L"&amp;C55&amp;"-"&amp;$C$47&amp;"-"&amp;A56)</f>
        <v>L4-WR1B-Building 14</v>
      </c>
      <c r="B55" s="28"/>
      <c r="C55" s="175">
        <f>IF(C49="",,C49+3)</f>
        <v>4</v>
      </c>
      <c r="D55" s="31"/>
      <c r="E55" s="48"/>
      <c r="F55" s="31"/>
      <c r="G55" s="55"/>
      <c r="H55" s="55"/>
      <c r="I55" s="55"/>
      <c r="J55" s="55"/>
      <c r="K55" s="55"/>
      <c r="L55" s="47"/>
      <c r="M55" s="31"/>
      <c r="N55" s="55"/>
      <c r="O55" s="55"/>
      <c r="P55" s="55"/>
      <c r="Q55" s="55"/>
      <c r="R55" s="55"/>
      <c r="S55" s="55"/>
      <c r="T55" s="48"/>
      <c r="U55" s="48"/>
      <c r="V55" s="48"/>
      <c r="W55" s="48"/>
      <c r="X55" s="48"/>
      <c r="Y55" s="48"/>
      <c r="Z55" s="48"/>
      <c r="AA55" s="16"/>
    </row>
    <row r="56" spans="1:28" s="17" customFormat="1" ht="15.75" thickBot="1">
      <c r="A56" s="170" t="str">
        <f>A50</f>
        <v>Building 14</v>
      </c>
      <c r="B56" s="170" t="str">
        <f>B50</f>
        <v>Farmhouse</v>
      </c>
      <c r="C56" s="171"/>
      <c r="D56" s="37"/>
      <c r="E56" s="50"/>
      <c r="F56" s="37"/>
      <c r="G56" s="56"/>
      <c r="H56" s="56"/>
      <c r="I56" s="56"/>
      <c r="J56" s="56"/>
      <c r="K56" s="56"/>
      <c r="L56" s="50"/>
      <c r="M56" s="37"/>
      <c r="N56" s="56"/>
      <c r="O56" s="56"/>
      <c r="P56" s="56"/>
      <c r="Q56" s="56"/>
      <c r="R56" s="56"/>
      <c r="S56" s="56"/>
      <c r="T56" s="50"/>
      <c r="U56" s="50"/>
      <c r="V56" s="50"/>
      <c r="W56" s="50"/>
      <c r="X56" s="50"/>
      <c r="Y56" s="50"/>
      <c r="Z56" s="50"/>
      <c r="AA56" s="16"/>
    </row>
    <row r="57" spans="1:28" s="17" customFormat="1">
      <c r="A57" s="27" t="str">
        <f>IF(OR(C57="", C57=0), "", "L"&amp;C57&amp;"-"&amp;$C$47&amp;"-"&amp;A58)</f>
        <v>L5-WR1B-Building 14</v>
      </c>
      <c r="B57" s="28"/>
      <c r="C57" s="175">
        <f>IF(C49="",,C49+4)</f>
        <v>5</v>
      </c>
      <c r="D57" s="31"/>
      <c r="E57" s="55"/>
      <c r="F57" s="31"/>
      <c r="G57" s="55"/>
      <c r="H57" s="55"/>
      <c r="I57" s="55"/>
      <c r="J57" s="55"/>
      <c r="K57" s="55"/>
      <c r="L57" s="47"/>
      <c r="M57" s="31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16"/>
    </row>
    <row r="58" spans="1:28" s="17" customFormat="1" ht="15.75" thickBot="1">
      <c r="A58" s="172" t="str">
        <f>A50</f>
        <v>Building 14</v>
      </c>
      <c r="B58" s="172" t="str">
        <f>B50</f>
        <v>Farmhouse</v>
      </c>
      <c r="C58" s="173"/>
      <c r="D58" s="37"/>
      <c r="E58" s="56"/>
      <c r="F58" s="37"/>
      <c r="G58" s="56"/>
      <c r="H58" s="56"/>
      <c r="I58" s="56"/>
      <c r="J58" s="56"/>
      <c r="K58" s="56"/>
      <c r="L58" s="50"/>
      <c r="M58" s="37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16"/>
    </row>
    <row r="59" spans="1:28" s="17" customFormat="1">
      <c r="A59" s="27" t="str">
        <f>IF(OR(C59="", C59=0), "", "L"&amp;C59&amp;"-"&amp;$C$47&amp;"-"&amp;A60)</f>
        <v>L6-WR1B-Building 13</v>
      </c>
      <c r="B59" s="28" t="s">
        <v>462</v>
      </c>
      <c r="C59" s="3">
        <v>6</v>
      </c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16"/>
      <c r="AB59" s="16"/>
    </row>
    <row r="60" spans="1:28" s="17" customFormat="1" ht="15.75" thickBot="1">
      <c r="A60" s="4" t="s">
        <v>463</v>
      </c>
      <c r="B60" s="4" t="s">
        <v>459</v>
      </c>
      <c r="C60" s="169" t="str">
        <f>IF(C59="","Blank 5 Plex Template","")</f>
        <v/>
      </c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16"/>
      <c r="AB60" s="16"/>
    </row>
    <row r="61" spans="1:28" s="17" customFormat="1">
      <c r="A61" s="27" t="str">
        <f>IF(OR(C61="", C61=0), "", "L"&amp;C61&amp;"-"&amp;$C$47&amp;"-"&amp;A62)</f>
        <v>L7-WR1B-Building 13</v>
      </c>
      <c r="B61" s="28" t="s">
        <v>464</v>
      </c>
      <c r="C61" s="175">
        <f>IF(C59="",,C59+1)</f>
        <v>7</v>
      </c>
      <c r="D61" s="31"/>
      <c r="E61" s="48"/>
      <c r="F61" s="31"/>
      <c r="G61" s="48"/>
      <c r="H61" s="48"/>
      <c r="I61" s="48"/>
      <c r="J61" s="48"/>
      <c r="K61" s="48"/>
      <c r="L61" s="48"/>
      <c r="M61" s="55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16"/>
      <c r="AB61" s="16"/>
    </row>
    <row r="62" spans="1:28" s="17" customFormat="1" ht="15.75" thickBot="1">
      <c r="A62" s="170" t="str">
        <f>A60</f>
        <v>Building 13</v>
      </c>
      <c r="B62" s="170" t="str">
        <f>B60</f>
        <v>NW</v>
      </c>
      <c r="C62" s="171"/>
      <c r="D62" s="37"/>
      <c r="E62" s="50"/>
      <c r="F62" s="37"/>
      <c r="G62" s="50"/>
      <c r="H62" s="50"/>
      <c r="I62" s="50"/>
      <c r="J62" s="50"/>
      <c r="K62" s="50"/>
      <c r="L62" s="50"/>
      <c r="M62" s="56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16"/>
      <c r="AB62" s="16"/>
    </row>
    <row r="63" spans="1:28" s="17" customFormat="1">
      <c r="A63" s="27" t="str">
        <f>IF(OR(C63="", C63=0), "", "L"&amp;C63&amp;"-"&amp;$C$47&amp;"-"&amp;A64)</f>
        <v>L8-WR1B-Building 13</v>
      </c>
      <c r="B63" s="28" t="s">
        <v>465</v>
      </c>
      <c r="C63" s="175">
        <f>IF(C59="",,C59+2)</f>
        <v>8</v>
      </c>
      <c r="D63" s="31"/>
      <c r="E63" s="48"/>
      <c r="F63" s="31"/>
      <c r="G63" s="48"/>
      <c r="H63" s="48"/>
      <c r="I63" s="48"/>
      <c r="J63" s="48"/>
      <c r="K63" s="48"/>
      <c r="L63" s="48"/>
      <c r="M63" s="47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16"/>
      <c r="AB63" s="16"/>
    </row>
    <row r="64" spans="1:28" s="17" customFormat="1" ht="15.75" thickBot="1">
      <c r="A64" s="170" t="str">
        <f>A60</f>
        <v>Building 13</v>
      </c>
      <c r="B64" s="170" t="str">
        <f>B60</f>
        <v>NW</v>
      </c>
      <c r="C64" s="171"/>
      <c r="D64" s="37"/>
      <c r="E64" s="50"/>
      <c r="F64" s="37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16"/>
      <c r="AB64" s="16"/>
    </row>
    <row r="65" spans="1:28" s="17" customFormat="1">
      <c r="A65" s="27" t="str">
        <f>IF(OR(C65="", C65=0), "", "L"&amp;C65&amp;"-"&amp;$C$47&amp;"-"&amp;A66)</f>
        <v>L9-WR1B-Building 13</v>
      </c>
      <c r="B65" s="28" t="s">
        <v>465</v>
      </c>
      <c r="C65" s="175">
        <f>IF(C59="",,C59+3)</f>
        <v>9</v>
      </c>
      <c r="D65" s="31"/>
      <c r="E65" s="48"/>
      <c r="F65" s="31"/>
      <c r="G65" s="55"/>
      <c r="H65" s="55"/>
      <c r="I65" s="55"/>
      <c r="J65" s="55"/>
      <c r="K65" s="55"/>
      <c r="L65" s="47"/>
      <c r="M65" s="31"/>
      <c r="N65" s="55"/>
      <c r="O65" s="55"/>
      <c r="P65" s="55"/>
      <c r="Q65" s="55"/>
      <c r="R65" s="55"/>
      <c r="S65" s="55"/>
      <c r="T65" s="48"/>
      <c r="U65" s="48"/>
      <c r="V65" s="48"/>
      <c r="W65" s="48"/>
      <c r="X65" s="48"/>
      <c r="Y65" s="48"/>
      <c r="Z65" s="48"/>
      <c r="AA65" s="16"/>
    </row>
    <row r="66" spans="1:28" s="17" customFormat="1" ht="15.75" thickBot="1">
      <c r="A66" s="170" t="str">
        <f>A60</f>
        <v>Building 13</v>
      </c>
      <c r="B66" s="170" t="str">
        <f>B60</f>
        <v>NW</v>
      </c>
      <c r="C66" s="171"/>
      <c r="D66" s="37"/>
      <c r="E66" s="50"/>
      <c r="F66" s="37"/>
      <c r="G66" s="56"/>
      <c r="H66" s="56"/>
      <c r="I66" s="56"/>
      <c r="J66" s="56"/>
      <c r="K66" s="56"/>
      <c r="L66" s="50"/>
      <c r="M66" s="37"/>
      <c r="N66" s="56"/>
      <c r="O66" s="56"/>
      <c r="P66" s="56"/>
      <c r="Q66" s="56"/>
      <c r="R66" s="56"/>
      <c r="S66" s="56"/>
      <c r="T66" s="50"/>
      <c r="U66" s="50"/>
      <c r="V66" s="50"/>
      <c r="W66" s="50"/>
      <c r="X66" s="50"/>
      <c r="Y66" s="50"/>
      <c r="Z66" s="50"/>
      <c r="AA66" s="16"/>
    </row>
    <row r="67" spans="1:28" s="17" customFormat="1">
      <c r="A67" s="27" t="str">
        <f>IF(OR(C67="", C67=0), "", "L"&amp;C67&amp;"-"&amp;$C$47&amp;"-"&amp;A68)</f>
        <v>L10-WR1B-Building 13</v>
      </c>
      <c r="B67" s="28" t="s">
        <v>462</v>
      </c>
      <c r="C67" s="175">
        <f>IF(C59="",,C59+4)</f>
        <v>10</v>
      </c>
      <c r="D67" s="31"/>
      <c r="E67" s="55"/>
      <c r="F67" s="31"/>
      <c r="G67" s="55"/>
      <c r="H67" s="55"/>
      <c r="I67" s="55"/>
      <c r="J67" s="55"/>
      <c r="K67" s="55"/>
      <c r="L67" s="47"/>
      <c r="M67" s="31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16"/>
    </row>
    <row r="68" spans="1:28" s="17" customFormat="1" ht="15.75" thickBot="1">
      <c r="A68" s="172" t="str">
        <f>A60</f>
        <v>Building 13</v>
      </c>
      <c r="B68" s="172" t="str">
        <f>B60</f>
        <v>NW</v>
      </c>
      <c r="C68" s="173"/>
      <c r="D68" s="182"/>
      <c r="E68" s="183"/>
      <c r="F68" s="182"/>
      <c r="G68" s="183"/>
      <c r="H68" s="183"/>
      <c r="I68" s="183"/>
      <c r="J68" s="183"/>
      <c r="K68" s="183"/>
      <c r="L68" s="184"/>
      <c r="M68" s="182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6"/>
    </row>
    <row r="69" spans="1:28" s="17" customFormat="1">
      <c r="A69" s="27" t="str">
        <f>IF(OR(C69="", C69=0), "", "L"&amp;C69&amp;"-"&amp;$C$47&amp;"-"&amp;A70)</f>
        <v>L18-WR1B-Building 4</v>
      </c>
      <c r="B69" s="57"/>
      <c r="C69" s="3">
        <v>18</v>
      </c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16"/>
      <c r="AB69" s="16"/>
    </row>
    <row r="70" spans="1:28" s="17" customFormat="1" ht="15.75" thickBot="1">
      <c r="A70" s="4" t="s">
        <v>466</v>
      </c>
      <c r="B70" s="4" t="s">
        <v>454</v>
      </c>
      <c r="C70" s="169" t="str">
        <f>IF(C69="","Blank 5 Plex Template","")</f>
        <v/>
      </c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16"/>
      <c r="AB70" s="16"/>
    </row>
    <row r="71" spans="1:28" s="17" customFormat="1">
      <c r="A71" s="27" t="str">
        <f>IF(OR(C71="", C71=0), "", "L"&amp;C71&amp;"-"&amp;$C$47&amp;"-"&amp;A72)</f>
        <v>L19-WR1B-Building 4</v>
      </c>
      <c r="B71" s="28"/>
      <c r="C71" s="175">
        <f>IF(C69="",,C69+1)</f>
        <v>19</v>
      </c>
      <c r="D71" s="31"/>
      <c r="E71" s="48"/>
      <c r="F71" s="31"/>
      <c r="G71" s="48"/>
      <c r="H71" s="48"/>
      <c r="I71" s="48"/>
      <c r="J71" s="48"/>
      <c r="K71" s="48"/>
      <c r="L71" s="48"/>
      <c r="M71" s="55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16"/>
      <c r="AB71" s="16"/>
    </row>
    <row r="72" spans="1:28" s="17" customFormat="1" ht="15.75" thickBot="1">
      <c r="A72" s="170" t="str">
        <f>A70</f>
        <v>Building 4</v>
      </c>
      <c r="B72" s="170" t="str">
        <f>B70</f>
        <v>Modern</v>
      </c>
      <c r="C72" s="171"/>
      <c r="D72" s="37"/>
      <c r="E72" s="50"/>
      <c r="F72" s="37"/>
      <c r="G72" s="50"/>
      <c r="H72" s="50"/>
      <c r="I72" s="50"/>
      <c r="J72" s="50"/>
      <c r="K72" s="50"/>
      <c r="L72" s="50"/>
      <c r="M72" s="56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16"/>
      <c r="AB72" s="16"/>
    </row>
    <row r="73" spans="1:28" s="17" customFormat="1">
      <c r="A73" s="27" t="str">
        <f>IF(OR(C73="", C73=0), "", "L"&amp;C73&amp;"-"&amp;$C$47&amp;"-"&amp;A74)</f>
        <v>L20-WR1B-Building 4</v>
      </c>
      <c r="B73" s="28"/>
      <c r="C73" s="175">
        <f>IF(C69="",,C69+2)</f>
        <v>20</v>
      </c>
      <c r="D73" s="31"/>
      <c r="E73" s="48"/>
      <c r="F73" s="31"/>
      <c r="G73" s="48"/>
      <c r="H73" s="48"/>
      <c r="I73" s="48"/>
      <c r="J73" s="48"/>
      <c r="K73" s="48"/>
      <c r="L73" s="48"/>
      <c r="M73" s="47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16"/>
      <c r="AB73" s="16"/>
    </row>
    <row r="74" spans="1:28" s="17" customFormat="1" ht="15.75" thickBot="1">
      <c r="A74" s="170" t="str">
        <f>A70</f>
        <v>Building 4</v>
      </c>
      <c r="B74" s="170" t="str">
        <f>B70</f>
        <v>Modern</v>
      </c>
      <c r="C74" s="171"/>
      <c r="D74" s="37"/>
      <c r="E74" s="50"/>
      <c r="F74" s="37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16"/>
      <c r="AB74" s="16"/>
    </row>
    <row r="75" spans="1:28" s="17" customFormat="1">
      <c r="A75" s="27" t="str">
        <f>IF(OR(C75="", C75=0), "", "L"&amp;C75&amp;"-"&amp;$C$47&amp;"-"&amp;A76)</f>
        <v>L21-WR1B-Building 4</v>
      </c>
      <c r="B75" s="28"/>
      <c r="C75" s="175">
        <f>IF(C69="",,C69+3)</f>
        <v>21</v>
      </c>
      <c r="D75" s="31"/>
      <c r="E75" s="48"/>
      <c r="F75" s="31"/>
      <c r="G75" s="55"/>
      <c r="H75" s="55"/>
      <c r="I75" s="55"/>
      <c r="J75" s="55"/>
      <c r="K75" s="55"/>
      <c r="L75" s="47"/>
      <c r="M75" s="31"/>
      <c r="N75" s="55"/>
      <c r="O75" s="55"/>
      <c r="P75" s="55"/>
      <c r="Q75" s="55"/>
      <c r="R75" s="55"/>
      <c r="S75" s="55"/>
      <c r="T75" s="48"/>
      <c r="U75" s="48"/>
      <c r="V75" s="48"/>
      <c r="W75" s="48"/>
      <c r="X75" s="48"/>
      <c r="Y75" s="48"/>
      <c r="Z75" s="48"/>
      <c r="AA75" s="16"/>
    </row>
    <row r="76" spans="1:28" s="17" customFormat="1" ht="15.75" thickBot="1">
      <c r="A76" s="170" t="str">
        <f>A70</f>
        <v>Building 4</v>
      </c>
      <c r="B76" s="170" t="str">
        <f>B70</f>
        <v>Modern</v>
      </c>
      <c r="C76" s="171"/>
      <c r="D76" s="37"/>
      <c r="E76" s="50"/>
      <c r="F76" s="37"/>
      <c r="G76" s="56"/>
      <c r="H76" s="56"/>
      <c r="I76" s="56"/>
      <c r="J76" s="56"/>
      <c r="K76" s="56"/>
      <c r="L76" s="50"/>
      <c r="M76" s="37"/>
      <c r="N76" s="56"/>
      <c r="O76" s="56"/>
      <c r="P76" s="56"/>
      <c r="Q76" s="56"/>
      <c r="R76" s="56"/>
      <c r="S76" s="56"/>
      <c r="T76" s="50"/>
      <c r="U76" s="50"/>
      <c r="V76" s="50"/>
      <c r="W76" s="50"/>
      <c r="X76" s="50"/>
      <c r="Y76" s="50"/>
      <c r="Z76" s="50"/>
      <c r="AA76" s="16"/>
    </row>
    <row r="77" spans="1:28" s="17" customFormat="1">
      <c r="A77" s="27" t="str">
        <f>IF(OR(C77="", C77=0), "", "L"&amp;C77&amp;"-"&amp;$C$47&amp;"-"&amp;A78)</f>
        <v>L22-WR1B-Building 4</v>
      </c>
      <c r="B77" s="28"/>
      <c r="C77" s="175">
        <f>IF(C69="",,C69+4)</f>
        <v>22</v>
      </c>
      <c r="D77" s="31"/>
      <c r="E77" s="55"/>
      <c r="F77" s="31"/>
      <c r="G77" s="55"/>
      <c r="H77" s="55"/>
      <c r="I77" s="55"/>
      <c r="J77" s="55"/>
      <c r="K77" s="55"/>
      <c r="L77" s="47"/>
      <c r="M77" s="31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16"/>
    </row>
    <row r="78" spans="1:28" s="17" customFormat="1" ht="15.75" thickBot="1">
      <c r="A78" s="172" t="str">
        <f>A70</f>
        <v>Building 4</v>
      </c>
      <c r="B78" s="172" t="str">
        <f>B70</f>
        <v>Modern</v>
      </c>
      <c r="C78" s="173"/>
      <c r="D78" s="37"/>
      <c r="E78" s="56"/>
      <c r="F78" s="37"/>
      <c r="G78" s="56"/>
      <c r="H78" s="56"/>
      <c r="I78" s="56"/>
      <c r="J78" s="56"/>
      <c r="K78" s="56"/>
      <c r="L78" s="50"/>
      <c r="M78" s="37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16"/>
    </row>
    <row r="79" spans="1:28" s="17" customFormat="1">
      <c r="A79" s="27" t="str">
        <f>IF(OR(C79="", C79=0), "", "L"&amp;C79&amp;"-"&amp;$C$47&amp;"-"&amp;A80)</f>
        <v>L23-WR1B-Building 3</v>
      </c>
      <c r="B79" s="57"/>
      <c r="C79" s="3">
        <v>23</v>
      </c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16"/>
      <c r="AB79" s="16"/>
    </row>
    <row r="80" spans="1:28" s="17" customFormat="1" ht="15.75" thickBot="1">
      <c r="A80" s="4" t="s">
        <v>467</v>
      </c>
      <c r="B80" s="4" t="s">
        <v>457</v>
      </c>
      <c r="C80" s="169" t="str">
        <f>IF(C79="","Blank 5 Plex Template","")</f>
        <v/>
      </c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16"/>
      <c r="AB80" s="16"/>
    </row>
    <row r="81" spans="1:28" s="17" customFormat="1">
      <c r="A81" s="27" t="str">
        <f>IF(OR(C81="", C81=0), "", "L"&amp;C81&amp;"-"&amp;$C$47&amp;"-"&amp;A82)</f>
        <v>L24-WR1B-Building 3</v>
      </c>
      <c r="B81" s="28"/>
      <c r="C81" s="175">
        <f>IF(C79="",,C79+1)</f>
        <v>24</v>
      </c>
      <c r="D81" s="31"/>
      <c r="E81" s="48"/>
      <c r="F81" s="31"/>
      <c r="G81" s="48"/>
      <c r="H81" s="48"/>
      <c r="I81" s="48"/>
      <c r="J81" s="48"/>
      <c r="K81" s="48"/>
      <c r="L81" s="48"/>
      <c r="M81" s="55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16"/>
      <c r="AB81" s="16"/>
    </row>
    <row r="82" spans="1:28" s="17" customFormat="1" ht="15.75" thickBot="1">
      <c r="A82" s="170" t="str">
        <f>A80</f>
        <v>Building 3</v>
      </c>
      <c r="B82" s="170" t="str">
        <f>B80</f>
        <v>Prairie</v>
      </c>
      <c r="C82" s="171"/>
      <c r="D82" s="37"/>
      <c r="E82" s="50"/>
      <c r="F82" s="37"/>
      <c r="G82" s="50"/>
      <c r="H82" s="50"/>
      <c r="I82" s="50"/>
      <c r="J82" s="50"/>
      <c r="K82" s="50"/>
      <c r="L82" s="50"/>
      <c r="M82" s="56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16"/>
      <c r="AB82" s="16"/>
    </row>
    <row r="83" spans="1:28" s="17" customFormat="1">
      <c r="A83" s="27" t="str">
        <f>IF(OR(C83="", C83=0), "", "L"&amp;C83&amp;"-"&amp;$C$47&amp;"-"&amp;A84)</f>
        <v>L25-WR1B-Building 3</v>
      </c>
      <c r="B83" s="28"/>
      <c r="C83" s="175">
        <f>IF(C79="",,C79+2)</f>
        <v>25</v>
      </c>
      <c r="D83" s="31"/>
      <c r="E83" s="48"/>
      <c r="F83" s="31"/>
      <c r="G83" s="48"/>
      <c r="H83" s="48"/>
      <c r="I83" s="48"/>
      <c r="J83" s="48"/>
      <c r="K83" s="48"/>
      <c r="L83" s="48"/>
      <c r="M83" s="47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16"/>
      <c r="AB83" s="16"/>
    </row>
    <row r="84" spans="1:28" s="17" customFormat="1" ht="15.75" thickBot="1">
      <c r="A84" s="170" t="str">
        <f>A80</f>
        <v>Building 3</v>
      </c>
      <c r="B84" s="170" t="str">
        <f>B80</f>
        <v>Prairie</v>
      </c>
      <c r="C84" s="171"/>
      <c r="D84" s="37"/>
      <c r="E84" s="50"/>
      <c r="F84" s="37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16"/>
      <c r="AB84" s="16"/>
    </row>
    <row r="85" spans="1:28" s="17" customFormat="1">
      <c r="A85" s="27" t="str">
        <f>IF(OR(C85="", C85=0), "", "L"&amp;C85&amp;"-"&amp;$C$47&amp;"-"&amp;A86)</f>
        <v>L26-WR1B-Building 3</v>
      </c>
      <c r="B85" s="28"/>
      <c r="C85" s="175">
        <f>IF(C79="",,C79+3)</f>
        <v>26</v>
      </c>
      <c r="D85" s="31"/>
      <c r="E85" s="48"/>
      <c r="F85" s="31"/>
      <c r="G85" s="55"/>
      <c r="H85" s="55"/>
      <c r="I85" s="55"/>
      <c r="J85" s="55"/>
      <c r="K85" s="55"/>
      <c r="L85" s="47"/>
      <c r="M85" s="31"/>
      <c r="N85" s="55"/>
      <c r="O85" s="55"/>
      <c r="P85" s="55"/>
      <c r="Q85" s="55"/>
      <c r="R85" s="55"/>
      <c r="S85" s="55"/>
      <c r="T85" s="48"/>
      <c r="U85" s="48"/>
      <c r="V85" s="48"/>
      <c r="W85" s="48"/>
      <c r="X85" s="48"/>
      <c r="Y85" s="48"/>
      <c r="Z85" s="48"/>
      <c r="AA85" s="16"/>
    </row>
    <row r="86" spans="1:28" s="17" customFormat="1" ht="15.75" thickBot="1">
      <c r="A86" s="170" t="str">
        <f>A80</f>
        <v>Building 3</v>
      </c>
      <c r="B86" s="170" t="str">
        <f>B80</f>
        <v>Prairie</v>
      </c>
      <c r="C86" s="171"/>
      <c r="D86" s="37"/>
      <c r="E86" s="50"/>
      <c r="F86" s="37"/>
      <c r="G86" s="56"/>
      <c r="H86" s="56"/>
      <c r="I86" s="56"/>
      <c r="J86" s="56"/>
      <c r="K86" s="56"/>
      <c r="L86" s="50"/>
      <c r="M86" s="37"/>
      <c r="N86" s="56"/>
      <c r="O86" s="56"/>
      <c r="P86" s="56"/>
      <c r="Q86" s="56"/>
      <c r="R86" s="56"/>
      <c r="S86" s="56"/>
      <c r="T86" s="50"/>
      <c r="U86" s="50"/>
      <c r="V86" s="50"/>
      <c r="W86" s="50"/>
      <c r="X86" s="50"/>
      <c r="Y86" s="50"/>
      <c r="Z86" s="50"/>
      <c r="AA86" s="16"/>
    </row>
    <row r="87" spans="1:28" s="17" customFormat="1">
      <c r="A87" s="27" t="str">
        <f>IF(OR(C87="", C87=0), "", "L"&amp;C87&amp;"-"&amp;$C$47&amp;"-"&amp;A88)</f>
        <v>L27-WR1B-Building 3</v>
      </c>
      <c r="B87" s="28"/>
      <c r="C87" s="175">
        <f>IF(C79="",,C79+4)</f>
        <v>27</v>
      </c>
      <c r="D87" s="31"/>
      <c r="E87" s="55"/>
      <c r="F87" s="31"/>
      <c r="G87" s="55"/>
      <c r="H87" s="55"/>
      <c r="I87" s="55"/>
      <c r="J87" s="55"/>
      <c r="K87" s="55"/>
      <c r="L87" s="47"/>
      <c r="M87" s="31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16"/>
    </row>
    <row r="88" spans="1:28" s="17" customFormat="1" ht="15.75" thickBot="1">
      <c r="A88" s="172" t="str">
        <f>A80</f>
        <v>Building 3</v>
      </c>
      <c r="B88" s="172" t="str">
        <f>B80</f>
        <v>Prairie</v>
      </c>
      <c r="C88" s="173"/>
      <c r="D88" s="37"/>
      <c r="E88" s="56"/>
      <c r="F88" s="37"/>
      <c r="G88" s="56"/>
      <c r="H88" s="56"/>
      <c r="I88" s="56"/>
      <c r="J88" s="56"/>
      <c r="K88" s="56"/>
      <c r="L88" s="50"/>
      <c r="M88" s="37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16"/>
    </row>
    <row r="89" spans="1:28" s="17" customFormat="1">
      <c r="A89" s="27" t="str">
        <f>IF(OR(C89="", C89=0), "", "L"&amp;C89&amp;"-"&amp;$C$47&amp;"-"&amp;A90)</f>
        <v>L28-WR1B-Building 2</v>
      </c>
      <c r="B89" s="28" t="s">
        <v>468</v>
      </c>
      <c r="C89" s="3">
        <v>28</v>
      </c>
      <c r="D89" s="185">
        <v>45854</v>
      </c>
      <c r="E89" s="185">
        <v>45853</v>
      </c>
      <c r="F89" s="31"/>
      <c r="G89" s="187">
        <v>45820</v>
      </c>
      <c r="H89" s="31"/>
      <c r="I89" s="187">
        <v>45820</v>
      </c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16"/>
      <c r="AB89" s="16"/>
    </row>
    <row r="90" spans="1:28" s="17" customFormat="1" ht="15.75" thickBot="1">
      <c r="A90" s="4" t="s">
        <v>469</v>
      </c>
      <c r="B90" s="4" t="s">
        <v>454</v>
      </c>
      <c r="C90" s="169" t="str">
        <f>IF(C89="","Blank 5 Plex Template","")</f>
        <v/>
      </c>
      <c r="D90" s="186" t="s">
        <v>470</v>
      </c>
      <c r="E90" s="186" t="s">
        <v>471</v>
      </c>
      <c r="F90" s="37"/>
      <c r="G90" s="188" t="s">
        <v>472</v>
      </c>
      <c r="H90" s="37"/>
      <c r="I90" s="188" t="s">
        <v>472</v>
      </c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16"/>
      <c r="AB90" s="16"/>
    </row>
    <row r="91" spans="1:28" s="17" customFormat="1">
      <c r="A91" s="27" t="str">
        <f>IF(OR(C91="", C91=0), "", "L"&amp;C91&amp;"-"&amp;$C$47&amp;"-"&amp;A92)</f>
        <v>L29-WR1B-Building 2</v>
      </c>
      <c r="B91" s="28" t="s">
        <v>473</v>
      </c>
      <c r="C91" s="175">
        <f>IF(C89="",,C89+1)</f>
        <v>29</v>
      </c>
      <c r="D91" s="185">
        <f>D$89</f>
        <v>45854</v>
      </c>
      <c r="E91" s="185">
        <f>E$89</f>
        <v>45853</v>
      </c>
      <c r="F91" s="31"/>
      <c r="G91" s="187">
        <f>G$89</f>
        <v>45820</v>
      </c>
      <c r="H91" s="48"/>
      <c r="I91" s="187">
        <f>I$89</f>
        <v>45820</v>
      </c>
      <c r="J91" s="48"/>
      <c r="K91" s="48"/>
      <c r="L91" s="48"/>
      <c r="M91" s="55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16"/>
      <c r="AB91" s="16"/>
    </row>
    <row r="92" spans="1:28" s="17" customFormat="1" ht="15.75" thickBot="1">
      <c r="A92" s="170" t="str">
        <f>A90</f>
        <v>Building 2</v>
      </c>
      <c r="B92" s="170" t="str">
        <f>B90</f>
        <v>Modern</v>
      </c>
      <c r="C92" s="171"/>
      <c r="D92" s="186" t="str">
        <f>D$90</f>
        <v>Iselin Architecs</v>
      </c>
      <c r="E92" s="186" t="str">
        <f>E$90</f>
        <v>Pliris</v>
      </c>
      <c r="F92" s="37"/>
      <c r="G92" s="188" t="str">
        <f>G$90</f>
        <v>BFS - Doug Enger</v>
      </c>
      <c r="H92" s="50"/>
      <c r="I92" s="188" t="str">
        <f>I$90</f>
        <v>BFS - Doug Enger</v>
      </c>
      <c r="J92" s="50"/>
      <c r="K92" s="50"/>
      <c r="L92" s="50"/>
      <c r="M92" s="56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16"/>
      <c r="AB92" s="16"/>
    </row>
    <row r="93" spans="1:28" s="17" customFormat="1">
      <c r="A93" s="27" t="str">
        <f>IF(OR(C93="", C93=0), "", "L"&amp;C93&amp;"-"&amp;$C$47&amp;"-"&amp;A94)</f>
        <v>L30-WR1B-Building 2</v>
      </c>
      <c r="B93" s="28" t="s">
        <v>473</v>
      </c>
      <c r="C93" s="175">
        <f>IF(C89="",,C89+2)</f>
        <v>30</v>
      </c>
      <c r="D93" s="185">
        <f>D$89</f>
        <v>45854</v>
      </c>
      <c r="E93" s="185">
        <f>E$89</f>
        <v>45853</v>
      </c>
      <c r="F93" s="31"/>
      <c r="G93" s="187">
        <f>G$89</f>
        <v>45820</v>
      </c>
      <c r="H93" s="48"/>
      <c r="I93" s="187">
        <f>I$89</f>
        <v>45820</v>
      </c>
      <c r="J93" s="48"/>
      <c r="K93" s="48"/>
      <c r="L93" s="48"/>
      <c r="M93" s="47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16"/>
      <c r="AB93" s="16"/>
    </row>
    <row r="94" spans="1:28" s="17" customFormat="1" ht="15.75" thickBot="1">
      <c r="A94" s="170" t="str">
        <f>A90</f>
        <v>Building 2</v>
      </c>
      <c r="B94" s="170" t="str">
        <f>B90</f>
        <v>Modern</v>
      </c>
      <c r="C94" s="171"/>
      <c r="D94" s="186" t="str">
        <f>D$90</f>
        <v>Iselin Architecs</v>
      </c>
      <c r="E94" s="186" t="str">
        <f>E$90</f>
        <v>Pliris</v>
      </c>
      <c r="F94" s="37"/>
      <c r="G94" s="188" t="str">
        <f>G$90</f>
        <v>BFS - Doug Enger</v>
      </c>
      <c r="H94" s="50"/>
      <c r="I94" s="188" t="str">
        <f>I$90</f>
        <v>BFS - Doug Enger</v>
      </c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16"/>
      <c r="AB94" s="16"/>
    </row>
    <row r="95" spans="1:28" s="17" customFormat="1">
      <c r="A95" s="27" t="str">
        <f>IF(OR(C95="", C95=0), "", "L"&amp;C95&amp;"-"&amp;$C$47&amp;"-"&amp;A96)</f>
        <v>L31-WR1B-Building 2</v>
      </c>
      <c r="B95" s="28" t="s">
        <v>474</v>
      </c>
      <c r="C95" s="175">
        <f>IF(C89="",,C89+3)</f>
        <v>31</v>
      </c>
      <c r="D95" s="185">
        <f>D$89</f>
        <v>45854</v>
      </c>
      <c r="E95" s="185">
        <f>E$89</f>
        <v>45853</v>
      </c>
      <c r="F95" s="31"/>
      <c r="G95" s="187">
        <f>G$89</f>
        <v>45820</v>
      </c>
      <c r="H95" s="55"/>
      <c r="I95" s="187">
        <f>I$89</f>
        <v>45820</v>
      </c>
      <c r="J95" s="55"/>
      <c r="K95" s="55"/>
      <c r="L95" s="47"/>
      <c r="M95" s="31"/>
      <c r="N95" s="55"/>
      <c r="O95" s="55"/>
      <c r="P95" s="55"/>
      <c r="Q95" s="55"/>
      <c r="R95" s="55"/>
      <c r="S95" s="55"/>
      <c r="T95" s="48"/>
      <c r="U95" s="48"/>
      <c r="V95" s="48"/>
      <c r="W95" s="48"/>
      <c r="X95" s="48"/>
      <c r="Y95" s="48"/>
      <c r="Z95" s="48"/>
      <c r="AA95" s="16"/>
    </row>
    <row r="96" spans="1:28" s="17" customFormat="1" ht="15.75" thickBot="1">
      <c r="A96" s="170" t="str">
        <f>A90</f>
        <v>Building 2</v>
      </c>
      <c r="B96" s="170" t="str">
        <f>B90</f>
        <v>Modern</v>
      </c>
      <c r="C96" s="171"/>
      <c r="D96" s="186" t="str">
        <f>D$90</f>
        <v>Iselin Architecs</v>
      </c>
      <c r="E96" s="186" t="str">
        <f>E$90</f>
        <v>Pliris</v>
      </c>
      <c r="F96" s="37"/>
      <c r="G96" s="188" t="str">
        <f>G$90</f>
        <v>BFS - Doug Enger</v>
      </c>
      <c r="H96" s="56"/>
      <c r="I96" s="188" t="str">
        <f>I$90</f>
        <v>BFS - Doug Enger</v>
      </c>
      <c r="J96" s="56"/>
      <c r="K96" s="56"/>
      <c r="L96" s="50"/>
      <c r="M96" s="37"/>
      <c r="N96" s="56"/>
      <c r="O96" s="56"/>
      <c r="P96" s="56"/>
      <c r="Q96" s="56"/>
      <c r="R96" s="56"/>
      <c r="S96" s="56"/>
      <c r="T96" s="50"/>
      <c r="U96" s="50"/>
      <c r="V96" s="50"/>
      <c r="W96" s="50"/>
      <c r="X96" s="50"/>
      <c r="Y96" s="50"/>
      <c r="Z96" s="50"/>
      <c r="AA96" s="16"/>
    </row>
    <row r="97" spans="1:28" s="17" customFormat="1">
      <c r="A97" s="27" t="str">
        <f>IF(OR(C97="", C97=0), "", "L"&amp;C97&amp;"-"&amp;$C$47&amp;"-"&amp;A98)</f>
        <v>L32-WR1B-Building 2</v>
      </c>
      <c r="B97" s="28" t="s">
        <v>468</v>
      </c>
      <c r="C97" s="175">
        <f>IF(C89="",,C89+4)</f>
        <v>32</v>
      </c>
      <c r="D97" s="185">
        <f>D$89</f>
        <v>45854</v>
      </c>
      <c r="E97" s="185">
        <f>E$89</f>
        <v>45853</v>
      </c>
      <c r="F97" s="31"/>
      <c r="G97" s="187">
        <f>G$89</f>
        <v>45820</v>
      </c>
      <c r="H97" s="55"/>
      <c r="I97" s="187">
        <f>I$89</f>
        <v>45820</v>
      </c>
      <c r="J97" s="55"/>
      <c r="K97" s="55"/>
      <c r="L97" s="47"/>
      <c r="M97" s="31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16"/>
    </row>
    <row r="98" spans="1:28" s="17" customFormat="1" ht="15.75" thickBot="1">
      <c r="A98" s="172" t="str">
        <f>A90</f>
        <v>Building 2</v>
      </c>
      <c r="B98" s="172" t="str">
        <f>B90</f>
        <v>Modern</v>
      </c>
      <c r="C98" s="173"/>
      <c r="D98" s="186" t="str">
        <f>D$90</f>
        <v>Iselin Architecs</v>
      </c>
      <c r="E98" s="186" t="str">
        <f>E$90</f>
        <v>Pliris</v>
      </c>
      <c r="F98" s="37"/>
      <c r="G98" s="188" t="str">
        <f>G$90</f>
        <v>BFS - Doug Enger</v>
      </c>
      <c r="H98" s="56"/>
      <c r="I98" s="188" t="str">
        <f>I$90</f>
        <v>BFS - Doug Enger</v>
      </c>
      <c r="J98" s="56"/>
      <c r="K98" s="56"/>
      <c r="L98" s="50"/>
      <c r="M98" s="37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16"/>
    </row>
    <row r="99" spans="1:28" s="17" customFormat="1">
      <c r="A99" s="27" t="str">
        <f>IF(OR(C99="", C99=0), "", "L"&amp;C99&amp;"-"&amp;$C$47&amp;"-"&amp;A100)</f>
        <v>L33-WR1B-Building 1 - Same a 3</v>
      </c>
      <c r="B99" s="57"/>
      <c r="C99" s="3">
        <v>33</v>
      </c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16"/>
      <c r="AB99" s="16"/>
    </row>
    <row r="100" spans="1:28" s="17" customFormat="1" ht="15.75" thickBot="1">
      <c r="A100" s="4" t="s">
        <v>475</v>
      </c>
      <c r="B100" s="4" t="s">
        <v>457</v>
      </c>
      <c r="C100" s="169" t="str">
        <f>IF(C99="","Blank 5 Plex Template","")</f>
        <v/>
      </c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16"/>
      <c r="AB100" s="16"/>
    </row>
    <row r="101" spans="1:28" s="17" customFormat="1">
      <c r="A101" s="27" t="str">
        <f>IF(OR(C101="", C101=0), "", "L"&amp;C101&amp;"-"&amp;$C$47&amp;"-"&amp;A102)</f>
        <v>L34-WR1B-Building 1 - Same a 3</v>
      </c>
      <c r="B101" s="28"/>
      <c r="C101" s="175">
        <f>IF(C99="",,C99+1)</f>
        <v>34</v>
      </c>
      <c r="D101" s="31"/>
      <c r="E101" s="48"/>
      <c r="F101" s="31"/>
      <c r="G101" s="48"/>
      <c r="H101" s="48"/>
      <c r="I101" s="48"/>
      <c r="J101" s="48"/>
      <c r="K101" s="48"/>
      <c r="L101" s="48"/>
      <c r="M101" s="55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16"/>
      <c r="AB101" s="16"/>
    </row>
    <row r="102" spans="1:28" s="17" customFormat="1" ht="15.75" thickBot="1">
      <c r="A102" s="170" t="str">
        <f>A100</f>
        <v>Building 1 - Same a 3</v>
      </c>
      <c r="B102" s="170" t="str">
        <f>B100</f>
        <v>Prairie</v>
      </c>
      <c r="C102" s="171"/>
      <c r="D102" s="37"/>
      <c r="E102" s="50"/>
      <c r="F102" s="37"/>
      <c r="G102" s="50"/>
      <c r="H102" s="50"/>
      <c r="I102" s="50"/>
      <c r="J102" s="50"/>
      <c r="K102" s="50"/>
      <c r="L102" s="50"/>
      <c r="M102" s="56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16"/>
      <c r="AB102" s="16"/>
    </row>
    <row r="103" spans="1:28" s="17" customFormat="1">
      <c r="A103" s="27" t="str">
        <f>IF(OR(C103="", C103=0), "", "L"&amp;C103&amp;"-"&amp;$C$47&amp;"-"&amp;A104)</f>
        <v>L35-WR1B-Building 1 - Same a 3</v>
      </c>
      <c r="B103" s="28"/>
      <c r="C103" s="175">
        <f>IF(C99="",,C99+2)</f>
        <v>35</v>
      </c>
      <c r="D103" s="31"/>
      <c r="E103" s="48"/>
      <c r="F103" s="31"/>
      <c r="G103" s="48"/>
      <c r="H103" s="48"/>
      <c r="I103" s="48"/>
      <c r="J103" s="48"/>
      <c r="K103" s="48"/>
      <c r="L103" s="48"/>
      <c r="M103" s="47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16"/>
      <c r="AB103" s="16"/>
    </row>
    <row r="104" spans="1:28" s="17" customFormat="1" ht="15.75" thickBot="1">
      <c r="A104" s="170" t="str">
        <f>A100</f>
        <v>Building 1 - Same a 3</v>
      </c>
      <c r="B104" s="170" t="str">
        <f>B100</f>
        <v>Prairie</v>
      </c>
      <c r="C104" s="171"/>
      <c r="D104" s="37"/>
      <c r="E104" s="50"/>
      <c r="F104" s="37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16"/>
      <c r="AB104" s="16"/>
    </row>
    <row r="105" spans="1:28" s="17" customFormat="1">
      <c r="A105" s="27" t="str">
        <f>IF(OR(C105="", C105=0), "", "L"&amp;C105&amp;"-"&amp;$C$47&amp;"-"&amp;A106)</f>
        <v>L36-WR1B-Building 1 - Same a 3</v>
      </c>
      <c r="B105" s="28"/>
      <c r="C105" s="175">
        <f>IF(C99="",,C99+3)</f>
        <v>36</v>
      </c>
      <c r="D105" s="31"/>
      <c r="E105" s="48"/>
      <c r="F105" s="31"/>
      <c r="G105" s="55"/>
      <c r="H105" s="55"/>
      <c r="I105" s="55"/>
      <c r="J105" s="55"/>
      <c r="K105" s="55"/>
      <c r="L105" s="47"/>
      <c r="M105" s="31"/>
      <c r="N105" s="55"/>
      <c r="O105" s="55"/>
      <c r="P105" s="55"/>
      <c r="Q105" s="55"/>
      <c r="R105" s="55"/>
      <c r="S105" s="55"/>
      <c r="T105" s="48"/>
      <c r="U105" s="48"/>
      <c r="V105" s="48"/>
      <c r="W105" s="48"/>
      <c r="X105" s="48"/>
      <c r="Y105" s="48"/>
      <c r="Z105" s="48"/>
      <c r="AA105" s="16"/>
    </row>
    <row r="106" spans="1:28" s="17" customFormat="1" ht="15.75" thickBot="1">
      <c r="A106" s="170" t="str">
        <f>A100</f>
        <v>Building 1 - Same a 3</v>
      </c>
      <c r="B106" s="170" t="str">
        <f>B100</f>
        <v>Prairie</v>
      </c>
      <c r="C106" s="171"/>
      <c r="D106" s="37"/>
      <c r="E106" s="50"/>
      <c r="F106" s="37"/>
      <c r="G106" s="56"/>
      <c r="H106" s="56"/>
      <c r="I106" s="56"/>
      <c r="J106" s="56"/>
      <c r="K106" s="56"/>
      <c r="L106" s="50"/>
      <c r="M106" s="37"/>
      <c r="N106" s="56"/>
      <c r="O106" s="56"/>
      <c r="P106" s="56"/>
      <c r="Q106" s="56"/>
      <c r="R106" s="56"/>
      <c r="S106" s="56"/>
      <c r="T106" s="50"/>
      <c r="U106" s="50"/>
      <c r="V106" s="50"/>
      <c r="W106" s="50"/>
      <c r="X106" s="50"/>
      <c r="Y106" s="50"/>
      <c r="Z106" s="50"/>
      <c r="AA106" s="16"/>
    </row>
    <row r="107" spans="1:28" s="17" customFormat="1">
      <c r="A107" s="27" t="str">
        <f>IF(OR(C107="", C107=0), "", "L"&amp;C107&amp;"-"&amp;$C$47&amp;"-"&amp;A108)</f>
        <v>L37-WR1B-Building 1 - Same a 3</v>
      </c>
      <c r="B107" s="28"/>
      <c r="C107" s="175">
        <f>IF(C99="",,C99+4)</f>
        <v>37</v>
      </c>
      <c r="D107" s="31"/>
      <c r="E107" s="55"/>
      <c r="F107" s="31"/>
      <c r="G107" s="55"/>
      <c r="H107" s="55"/>
      <c r="I107" s="55"/>
      <c r="J107" s="55"/>
      <c r="K107" s="55"/>
      <c r="L107" s="47"/>
      <c r="M107" s="31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16"/>
    </row>
    <row r="108" spans="1:28" s="17" customFormat="1" ht="15.75" thickBot="1">
      <c r="A108" s="172" t="str">
        <f>A100</f>
        <v>Building 1 - Same a 3</v>
      </c>
      <c r="B108" s="172" t="str">
        <f>B100</f>
        <v>Prairie</v>
      </c>
      <c r="C108" s="173"/>
      <c r="D108" s="37"/>
      <c r="E108" s="56"/>
      <c r="F108" s="37"/>
      <c r="G108" s="56"/>
      <c r="H108" s="56"/>
      <c r="I108" s="56"/>
      <c r="J108" s="56"/>
      <c r="K108" s="56"/>
      <c r="L108" s="50"/>
      <c r="M108" s="37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16"/>
    </row>
    <row r="109" spans="1:28" s="17" customFormat="1">
      <c r="A109" s="27" t="str">
        <f>IF(OR(C109="", C109=0), "", "L"&amp;C109&amp;"-"&amp;$C$47&amp;"-"&amp;A110)</f>
        <v>L38-WR1B-Building 6</v>
      </c>
      <c r="B109" s="57"/>
      <c r="C109" s="3">
        <v>38</v>
      </c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16"/>
      <c r="AB109" s="16"/>
    </row>
    <row r="110" spans="1:28" s="17" customFormat="1" ht="15.75" thickBot="1">
      <c r="A110" s="4" t="s">
        <v>476</v>
      </c>
      <c r="B110" s="4" t="s">
        <v>454</v>
      </c>
      <c r="C110" s="169" t="str">
        <f>IF(C109="","Blank 5 Plex Template","")</f>
        <v/>
      </c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16"/>
      <c r="AB110" s="16"/>
    </row>
    <row r="111" spans="1:28" s="17" customFormat="1">
      <c r="A111" s="27" t="str">
        <f>IF(OR(C111="", C111=0), "", "L"&amp;C111&amp;"-"&amp;$C$47&amp;"-"&amp;A112)</f>
        <v>L39-WR1B-Building 6</v>
      </c>
      <c r="B111" s="28"/>
      <c r="C111" s="175">
        <f>IF(C109="",,C109+1)</f>
        <v>39</v>
      </c>
      <c r="D111" s="31"/>
      <c r="E111" s="48"/>
      <c r="F111" s="31"/>
      <c r="G111" s="48"/>
      <c r="H111" s="48"/>
      <c r="I111" s="48"/>
      <c r="J111" s="48"/>
      <c r="K111" s="48"/>
      <c r="L111" s="48"/>
      <c r="M111" s="55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16"/>
      <c r="AB111" s="16"/>
    </row>
    <row r="112" spans="1:28" s="17" customFormat="1" ht="15.75" thickBot="1">
      <c r="A112" s="170" t="str">
        <f>A110</f>
        <v>Building 6</v>
      </c>
      <c r="B112" s="170" t="str">
        <f>B110</f>
        <v>Modern</v>
      </c>
      <c r="C112" s="171"/>
      <c r="D112" s="37"/>
      <c r="E112" s="50"/>
      <c r="F112" s="37"/>
      <c r="G112" s="50"/>
      <c r="H112" s="50"/>
      <c r="I112" s="50"/>
      <c r="J112" s="50"/>
      <c r="K112" s="50"/>
      <c r="L112" s="50"/>
      <c r="M112" s="56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16"/>
      <c r="AB112" s="16"/>
    </row>
    <row r="113" spans="1:28" s="17" customFormat="1">
      <c r="A113" s="27" t="str">
        <f>IF(OR(C113="", C113=0), "", "L"&amp;C113&amp;"-"&amp;$C$47&amp;"-"&amp;A114)</f>
        <v>L40-WR1B-Building 6</v>
      </c>
      <c r="B113" s="28"/>
      <c r="C113" s="175">
        <f>IF(C109="",,C109+2)</f>
        <v>40</v>
      </c>
      <c r="D113" s="31"/>
      <c r="E113" s="48"/>
      <c r="F113" s="31"/>
      <c r="G113" s="48"/>
      <c r="H113" s="48"/>
      <c r="I113" s="48"/>
      <c r="J113" s="48"/>
      <c r="K113" s="48"/>
      <c r="L113" s="48"/>
      <c r="M113" s="47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16"/>
      <c r="AB113" s="16"/>
    </row>
    <row r="114" spans="1:28" s="17" customFormat="1" ht="15.75" thickBot="1">
      <c r="A114" s="170" t="str">
        <f>A110</f>
        <v>Building 6</v>
      </c>
      <c r="B114" s="170" t="str">
        <f>B110</f>
        <v>Modern</v>
      </c>
      <c r="C114" s="171"/>
      <c r="D114" s="37"/>
      <c r="E114" s="50"/>
      <c r="F114" s="37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16"/>
      <c r="AB114" s="16"/>
    </row>
    <row r="115" spans="1:28" s="17" customFormat="1">
      <c r="A115" s="27" t="str">
        <f>IF(OR(C115="", C115=0), "", "L"&amp;C115&amp;"-"&amp;$C$47&amp;"-"&amp;A116)</f>
        <v>L41-WR1B-Building 6</v>
      </c>
      <c r="B115" s="28"/>
      <c r="C115" s="175">
        <f>IF(C109="",,C109+3)</f>
        <v>41</v>
      </c>
      <c r="D115" s="31"/>
      <c r="E115" s="48"/>
      <c r="F115" s="31"/>
      <c r="G115" s="55"/>
      <c r="H115" s="55"/>
      <c r="I115" s="55"/>
      <c r="J115" s="55"/>
      <c r="K115" s="55"/>
      <c r="L115" s="47"/>
      <c r="M115" s="31"/>
      <c r="N115" s="55"/>
      <c r="O115" s="55"/>
      <c r="P115" s="55"/>
      <c r="Q115" s="55"/>
      <c r="R115" s="55"/>
      <c r="S115" s="55"/>
      <c r="T115" s="48"/>
      <c r="U115" s="48"/>
      <c r="V115" s="48"/>
      <c r="W115" s="48"/>
      <c r="X115" s="48"/>
      <c r="Y115" s="48"/>
      <c r="Z115" s="48"/>
      <c r="AA115" s="16"/>
    </row>
    <row r="116" spans="1:28" s="17" customFormat="1" ht="15.75" thickBot="1">
      <c r="A116" s="170" t="str">
        <f>A110</f>
        <v>Building 6</v>
      </c>
      <c r="B116" s="170" t="str">
        <f>B110</f>
        <v>Modern</v>
      </c>
      <c r="C116" s="171"/>
      <c r="D116" s="37"/>
      <c r="E116" s="50"/>
      <c r="F116" s="37"/>
      <c r="G116" s="56"/>
      <c r="H116" s="56"/>
      <c r="I116" s="56"/>
      <c r="J116" s="56"/>
      <c r="K116" s="56"/>
      <c r="L116" s="50"/>
      <c r="M116" s="37"/>
      <c r="N116" s="56"/>
      <c r="O116" s="56"/>
      <c r="P116" s="56"/>
      <c r="Q116" s="56"/>
      <c r="R116" s="56"/>
      <c r="S116" s="56"/>
      <c r="T116" s="50"/>
      <c r="U116" s="50"/>
      <c r="V116" s="50"/>
      <c r="W116" s="50"/>
      <c r="X116" s="50"/>
      <c r="Y116" s="50"/>
      <c r="Z116" s="50"/>
      <c r="AA116" s="16"/>
    </row>
    <row r="117" spans="1:28" s="17" customFormat="1">
      <c r="A117" s="27" t="str">
        <f>IF(OR(C117="", C117=0), "", "L"&amp;C117&amp;"-"&amp;$C$47&amp;"-"&amp;A118)</f>
        <v>L42-WR1B-Building 6</v>
      </c>
      <c r="B117" s="28"/>
      <c r="C117" s="175">
        <f>IF(C109="",,C109+4)</f>
        <v>42</v>
      </c>
      <c r="D117" s="31"/>
      <c r="E117" s="55"/>
      <c r="F117" s="31"/>
      <c r="G117" s="55"/>
      <c r="H117" s="55"/>
      <c r="I117" s="55"/>
      <c r="J117" s="55"/>
      <c r="K117" s="55"/>
      <c r="L117" s="47"/>
      <c r="M117" s="31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16"/>
    </row>
    <row r="118" spans="1:28" s="17" customFormat="1" ht="15.75" thickBot="1">
      <c r="A118" s="172" t="str">
        <f>A110</f>
        <v>Building 6</v>
      </c>
      <c r="B118" s="172" t="str">
        <f>B110</f>
        <v>Modern</v>
      </c>
      <c r="C118" s="173"/>
      <c r="D118" s="37"/>
      <c r="E118" s="56"/>
      <c r="F118" s="37"/>
      <c r="G118" s="56"/>
      <c r="H118" s="56"/>
      <c r="I118" s="56"/>
      <c r="J118" s="56"/>
      <c r="K118" s="56"/>
      <c r="L118" s="50"/>
      <c r="M118" s="37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16"/>
    </row>
    <row r="119" spans="1:28" s="17" customFormat="1">
      <c r="A119" s="27" t="str">
        <f>IF(OR(C119="", C119=0), "", "L"&amp;C119&amp;"-"&amp;$C$47&amp;"-"&amp;A120)</f>
        <v>L43-WR1B-Building 7</v>
      </c>
      <c r="B119" s="57"/>
      <c r="C119" s="3">
        <v>43</v>
      </c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16"/>
      <c r="AB119" s="16"/>
    </row>
    <row r="120" spans="1:28" s="17" customFormat="1" ht="15.75" thickBot="1">
      <c r="A120" s="4" t="s">
        <v>477</v>
      </c>
      <c r="B120" s="4" t="s">
        <v>457</v>
      </c>
      <c r="C120" s="169" t="str">
        <f>IF(C119="","Blank 5 Plex Template","")</f>
        <v/>
      </c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16"/>
      <c r="AB120" s="16"/>
    </row>
    <row r="121" spans="1:28" s="17" customFormat="1">
      <c r="A121" s="27" t="str">
        <f>IF(OR(C121="", C121=0), "", "L"&amp;C121&amp;"-"&amp;$C$47&amp;"-"&amp;A122)</f>
        <v>L44-WR1B-Building 7</v>
      </c>
      <c r="B121" s="28"/>
      <c r="C121" s="175">
        <f>IF(C119="",,C119+1)</f>
        <v>44</v>
      </c>
      <c r="D121" s="31"/>
      <c r="E121" s="48"/>
      <c r="F121" s="31"/>
      <c r="G121" s="48"/>
      <c r="H121" s="48"/>
      <c r="I121" s="48"/>
      <c r="J121" s="48"/>
      <c r="K121" s="48"/>
      <c r="L121" s="48"/>
      <c r="M121" s="55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16"/>
      <c r="AB121" s="16"/>
    </row>
    <row r="122" spans="1:28" s="17" customFormat="1" ht="15.75" thickBot="1">
      <c r="A122" s="170" t="str">
        <f>A120</f>
        <v>Building 7</v>
      </c>
      <c r="B122" s="170" t="str">
        <f>B120</f>
        <v>Prairie</v>
      </c>
      <c r="C122" s="171"/>
      <c r="D122" s="37"/>
      <c r="E122" s="50"/>
      <c r="F122" s="37"/>
      <c r="G122" s="50"/>
      <c r="H122" s="50"/>
      <c r="I122" s="50"/>
      <c r="J122" s="50"/>
      <c r="K122" s="50"/>
      <c r="L122" s="50"/>
      <c r="M122" s="56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16"/>
      <c r="AB122" s="16"/>
    </row>
    <row r="123" spans="1:28" s="17" customFormat="1">
      <c r="A123" s="27" t="str">
        <f>IF(OR(C123="", C123=0), "", "L"&amp;C123&amp;"-"&amp;$C$47&amp;"-"&amp;A124)</f>
        <v>L45-WR1B-Building 7</v>
      </c>
      <c r="B123" s="28"/>
      <c r="C123" s="175">
        <f>IF(C119="",,C119+2)</f>
        <v>45</v>
      </c>
      <c r="D123" s="31"/>
      <c r="E123" s="48"/>
      <c r="F123" s="31"/>
      <c r="G123" s="48"/>
      <c r="H123" s="48"/>
      <c r="I123" s="48"/>
      <c r="J123" s="48"/>
      <c r="K123" s="48"/>
      <c r="L123" s="48"/>
      <c r="M123" s="47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16"/>
      <c r="AB123" s="16"/>
    </row>
    <row r="124" spans="1:28" s="17" customFormat="1" ht="15.75" thickBot="1">
      <c r="A124" s="170" t="str">
        <f>A120</f>
        <v>Building 7</v>
      </c>
      <c r="B124" s="170" t="str">
        <f>B120</f>
        <v>Prairie</v>
      </c>
      <c r="C124" s="171"/>
      <c r="D124" s="37"/>
      <c r="E124" s="50"/>
      <c r="F124" s="37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16"/>
      <c r="AB124" s="16"/>
    </row>
    <row r="125" spans="1:28" s="17" customFormat="1">
      <c r="A125" s="27" t="str">
        <f>IF(OR(C125="", C125=0), "", "L"&amp;C125&amp;"-"&amp;$C$47&amp;"-"&amp;A126)</f>
        <v>L46-WR1B-Building 7</v>
      </c>
      <c r="B125" s="28"/>
      <c r="C125" s="175">
        <f>IF(C119="",,C119+3)</f>
        <v>46</v>
      </c>
      <c r="D125" s="31"/>
      <c r="E125" s="48"/>
      <c r="F125" s="31"/>
      <c r="G125" s="55"/>
      <c r="H125" s="55"/>
      <c r="I125" s="55"/>
      <c r="J125" s="55"/>
      <c r="K125" s="55"/>
      <c r="L125" s="47"/>
      <c r="M125" s="31"/>
      <c r="N125" s="55"/>
      <c r="O125" s="55"/>
      <c r="P125" s="55"/>
      <c r="Q125" s="55"/>
      <c r="R125" s="55"/>
      <c r="S125" s="55"/>
      <c r="T125" s="48"/>
      <c r="U125" s="48"/>
      <c r="V125" s="48"/>
      <c r="W125" s="48"/>
      <c r="X125" s="48"/>
      <c r="Y125" s="48"/>
      <c r="Z125" s="48"/>
      <c r="AA125" s="16"/>
    </row>
    <row r="126" spans="1:28" s="17" customFormat="1" ht="15.75" thickBot="1">
      <c r="A126" s="170" t="str">
        <f>A120</f>
        <v>Building 7</v>
      </c>
      <c r="B126" s="170" t="str">
        <f>B120</f>
        <v>Prairie</v>
      </c>
      <c r="C126" s="171"/>
      <c r="D126" s="37"/>
      <c r="E126" s="50"/>
      <c r="F126" s="37"/>
      <c r="G126" s="56"/>
      <c r="H126" s="56"/>
      <c r="I126" s="56"/>
      <c r="J126" s="56"/>
      <c r="K126" s="56"/>
      <c r="L126" s="50"/>
      <c r="M126" s="37"/>
      <c r="N126" s="56"/>
      <c r="O126" s="56"/>
      <c r="P126" s="56"/>
      <c r="Q126" s="56"/>
      <c r="R126" s="56"/>
      <c r="S126" s="56"/>
      <c r="T126" s="50"/>
      <c r="U126" s="50"/>
      <c r="V126" s="50"/>
      <c r="W126" s="50"/>
      <c r="X126" s="50"/>
      <c r="Y126" s="50"/>
      <c r="Z126" s="50"/>
      <c r="AA126" s="16"/>
    </row>
    <row r="127" spans="1:28" s="17" customFormat="1">
      <c r="A127" s="27" t="str">
        <f>IF(OR(C127="", C127=0), "", "L"&amp;C127&amp;"-"&amp;$C$47&amp;"-"&amp;A128)</f>
        <v>L47-WR1B-Building 7</v>
      </c>
      <c r="B127" s="28"/>
      <c r="C127" s="175">
        <f>IF(C119="",,C119+4)</f>
        <v>47</v>
      </c>
      <c r="D127" s="31"/>
      <c r="E127" s="55"/>
      <c r="F127" s="31"/>
      <c r="G127" s="55"/>
      <c r="H127" s="55"/>
      <c r="I127" s="55"/>
      <c r="J127" s="55"/>
      <c r="K127" s="55"/>
      <c r="L127" s="47"/>
      <c r="M127" s="31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16"/>
    </row>
    <row r="128" spans="1:28" s="17" customFormat="1" ht="15.75" thickBot="1">
      <c r="A128" s="172" t="str">
        <f>A120</f>
        <v>Building 7</v>
      </c>
      <c r="B128" s="172" t="str">
        <f>B120</f>
        <v>Prairie</v>
      </c>
      <c r="C128" s="173"/>
      <c r="D128" s="37"/>
      <c r="E128" s="56"/>
      <c r="F128" s="37"/>
      <c r="G128" s="56"/>
      <c r="H128" s="56"/>
      <c r="I128" s="56"/>
      <c r="J128" s="56"/>
      <c r="K128" s="56"/>
      <c r="L128" s="50"/>
      <c r="M128" s="37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16"/>
    </row>
    <row r="129" spans="1:28" s="17" customFormat="1">
      <c r="A129" s="27" t="str">
        <f>IF(OR(C129="", C129=0), "", "L"&amp;C129&amp;"-"&amp;$C$47&amp;"-"&amp;A130)</f>
        <v>L51-WR1B-Buiding 9</v>
      </c>
      <c r="B129" s="57"/>
      <c r="C129" s="3">
        <v>51</v>
      </c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16"/>
      <c r="AB129" s="16"/>
    </row>
    <row r="130" spans="1:28" s="17" customFormat="1" ht="15.75" thickBot="1">
      <c r="A130" s="4" t="s">
        <v>478</v>
      </c>
      <c r="B130" s="4" t="s">
        <v>457</v>
      </c>
      <c r="C130" s="169" t="str">
        <f>IF(C129="","Blank 5 Plex Template","")</f>
        <v/>
      </c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16"/>
      <c r="AB130" s="16"/>
    </row>
    <row r="131" spans="1:28" s="17" customFormat="1">
      <c r="A131" s="27" t="str">
        <f>IF(OR(C131="", C131=0), "", "L"&amp;C131&amp;"-"&amp;$C$47&amp;"-"&amp;A132)</f>
        <v>L52-WR1B-Buiding 9</v>
      </c>
      <c r="B131" s="28"/>
      <c r="C131" s="175">
        <f>IF(C129="",,C129+1)</f>
        <v>52</v>
      </c>
      <c r="D131" s="31"/>
      <c r="E131" s="48"/>
      <c r="F131" s="31"/>
      <c r="G131" s="48"/>
      <c r="H131" s="48"/>
      <c r="I131" s="48"/>
      <c r="J131" s="48"/>
      <c r="K131" s="48"/>
      <c r="L131" s="48"/>
      <c r="M131" s="55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16"/>
      <c r="AB131" s="16"/>
    </row>
    <row r="132" spans="1:28" s="17" customFormat="1" ht="15.75" thickBot="1">
      <c r="A132" s="170" t="str">
        <f>A130</f>
        <v>Buiding 9</v>
      </c>
      <c r="B132" s="170" t="str">
        <f>B130</f>
        <v>Prairie</v>
      </c>
      <c r="C132" s="171"/>
      <c r="D132" s="37"/>
      <c r="E132" s="50"/>
      <c r="F132" s="37"/>
      <c r="G132" s="50"/>
      <c r="H132" s="50"/>
      <c r="I132" s="50"/>
      <c r="J132" s="50"/>
      <c r="K132" s="50"/>
      <c r="L132" s="50"/>
      <c r="M132" s="56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16"/>
      <c r="AB132" s="16"/>
    </row>
    <row r="133" spans="1:28" s="17" customFormat="1">
      <c r="A133" s="27" t="str">
        <f>IF(OR(C133="", C133=0), "", "L"&amp;C133&amp;"-"&amp;$C$47&amp;"-"&amp;A134)</f>
        <v>L53-WR1B-Buiding 9</v>
      </c>
      <c r="B133" s="28"/>
      <c r="C133" s="175">
        <f>IF(C129="",,C129+2)</f>
        <v>53</v>
      </c>
      <c r="D133" s="31"/>
      <c r="E133" s="48"/>
      <c r="F133" s="31"/>
      <c r="G133" s="48"/>
      <c r="H133" s="48"/>
      <c r="I133" s="48"/>
      <c r="J133" s="48"/>
      <c r="K133" s="48"/>
      <c r="L133" s="48"/>
      <c r="M133" s="47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16"/>
      <c r="AB133" s="16"/>
    </row>
    <row r="134" spans="1:28" s="17" customFormat="1" ht="15.75" thickBot="1">
      <c r="A134" s="170" t="str">
        <f>A130</f>
        <v>Buiding 9</v>
      </c>
      <c r="B134" s="170" t="str">
        <f>B130</f>
        <v>Prairie</v>
      </c>
      <c r="C134" s="171"/>
      <c r="D134" s="37"/>
      <c r="E134" s="50"/>
      <c r="F134" s="37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16"/>
      <c r="AB134" s="16"/>
    </row>
    <row r="135" spans="1:28" s="17" customFormat="1">
      <c r="A135" s="27" t="str">
        <f>IF(OR(C135="", C135=0), "", "L"&amp;C135&amp;"-"&amp;$C$47&amp;"-"&amp;A136)</f>
        <v>L54-WR1B-Buiding 9</v>
      </c>
      <c r="B135" s="28"/>
      <c r="C135" s="175">
        <f>IF(C129="",,C129+3)</f>
        <v>54</v>
      </c>
      <c r="D135" s="31"/>
      <c r="E135" s="48"/>
      <c r="F135" s="31"/>
      <c r="G135" s="55"/>
      <c r="H135" s="55"/>
      <c r="I135" s="55"/>
      <c r="J135" s="55"/>
      <c r="K135" s="55"/>
      <c r="L135" s="47"/>
      <c r="M135" s="31"/>
      <c r="N135" s="55"/>
      <c r="O135" s="55"/>
      <c r="P135" s="55"/>
      <c r="Q135" s="55"/>
      <c r="R135" s="55"/>
      <c r="S135" s="55"/>
      <c r="T135" s="48"/>
      <c r="U135" s="48"/>
      <c r="V135" s="48"/>
      <c r="W135" s="48"/>
      <c r="X135" s="48"/>
      <c r="Y135" s="48"/>
      <c r="Z135" s="48"/>
      <c r="AA135" s="16"/>
    </row>
    <row r="136" spans="1:28" s="17" customFormat="1" ht="15.75" thickBot="1">
      <c r="A136" s="170" t="str">
        <f>A130</f>
        <v>Buiding 9</v>
      </c>
      <c r="B136" s="170" t="str">
        <f>B130</f>
        <v>Prairie</v>
      </c>
      <c r="C136" s="171"/>
      <c r="D136" s="37"/>
      <c r="E136" s="50"/>
      <c r="F136" s="37"/>
      <c r="G136" s="56"/>
      <c r="H136" s="56"/>
      <c r="I136" s="56"/>
      <c r="J136" s="56"/>
      <c r="K136" s="56"/>
      <c r="L136" s="50"/>
      <c r="M136" s="37"/>
      <c r="N136" s="56"/>
      <c r="O136" s="56"/>
      <c r="P136" s="56"/>
      <c r="Q136" s="56"/>
      <c r="R136" s="56"/>
      <c r="S136" s="56"/>
      <c r="T136" s="50"/>
      <c r="U136" s="50"/>
      <c r="V136" s="50"/>
      <c r="W136" s="50"/>
      <c r="X136" s="50"/>
      <c r="Y136" s="50"/>
      <c r="Z136" s="50"/>
      <c r="AA136" s="16"/>
    </row>
    <row r="137" spans="1:28" s="17" customFormat="1">
      <c r="A137" s="27" t="str">
        <f>IF(OR(C137="", C137=0), "", "L"&amp;C137&amp;"-"&amp;$C$47&amp;"-"&amp;A138)</f>
        <v>L55-WR1B-Buiding 9</v>
      </c>
      <c r="B137" s="28"/>
      <c r="C137" s="175">
        <f>IF(C129="",,C129+4)</f>
        <v>55</v>
      </c>
      <c r="D137" s="31"/>
      <c r="E137" s="55"/>
      <c r="F137" s="31"/>
      <c r="G137" s="55"/>
      <c r="H137" s="55"/>
      <c r="I137" s="55"/>
      <c r="J137" s="55"/>
      <c r="K137" s="55"/>
      <c r="L137" s="47"/>
      <c r="M137" s="31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16"/>
    </row>
    <row r="138" spans="1:28" s="17" customFormat="1" ht="15.75" thickBot="1">
      <c r="A138" s="172" t="str">
        <f>A130</f>
        <v>Buiding 9</v>
      </c>
      <c r="B138" s="172" t="str">
        <f>B130</f>
        <v>Prairie</v>
      </c>
      <c r="C138" s="173"/>
      <c r="D138" s="37"/>
      <c r="E138" s="56"/>
      <c r="F138" s="37"/>
      <c r="G138" s="56"/>
      <c r="H138" s="56"/>
      <c r="I138" s="56"/>
      <c r="J138" s="56"/>
      <c r="K138" s="56"/>
      <c r="L138" s="50"/>
      <c r="M138" s="37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16"/>
    </row>
    <row r="139" spans="1:28" s="17" customFormat="1">
      <c r="A139" s="27" t="str">
        <f>IF(OR(C139="", C139=0), "", "L"&amp;C139&amp;"-"&amp;$C$47&amp;"-"&amp;A140)</f>
        <v/>
      </c>
      <c r="B139" s="57"/>
      <c r="C139" s="57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16"/>
      <c r="AB139" s="16"/>
    </row>
    <row r="140" spans="1:28" s="17" customFormat="1" ht="15.75" thickBot="1">
      <c r="A140" s="4"/>
      <c r="B140" s="4"/>
      <c r="C140" s="169" t="str">
        <f>IF(C139="","Blank 5 Plex Template","")</f>
        <v>Blank 5 Plex Template</v>
      </c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16"/>
      <c r="AB140" s="16"/>
    </row>
    <row r="141" spans="1:28" s="17" customFormat="1">
      <c r="A141" s="27" t="str">
        <f>IF(OR(C141="", C141=0), "", "L"&amp;C141&amp;"-"&amp;$C$47&amp;"-"&amp;A142)</f>
        <v/>
      </c>
      <c r="B141" s="28"/>
      <c r="C141" s="175">
        <f>IF(C139="",,C139+1)</f>
        <v>0</v>
      </c>
      <c r="D141" s="31"/>
      <c r="E141" s="48"/>
      <c r="F141" s="31"/>
      <c r="G141" s="48"/>
      <c r="H141" s="48"/>
      <c r="I141" s="48"/>
      <c r="J141" s="48"/>
      <c r="K141" s="48"/>
      <c r="L141" s="48"/>
      <c r="M141" s="55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16"/>
      <c r="AB141" s="16"/>
    </row>
    <row r="142" spans="1:28" s="17" customFormat="1" ht="15.75" thickBot="1">
      <c r="A142" s="170">
        <f>A140</f>
        <v>0</v>
      </c>
      <c r="B142" s="170">
        <f>B140</f>
        <v>0</v>
      </c>
      <c r="C142" s="171"/>
      <c r="D142" s="37"/>
      <c r="E142" s="50"/>
      <c r="F142" s="37"/>
      <c r="G142" s="50"/>
      <c r="H142" s="50"/>
      <c r="I142" s="50"/>
      <c r="J142" s="50"/>
      <c r="K142" s="50"/>
      <c r="L142" s="50"/>
      <c r="M142" s="56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16"/>
      <c r="AB142" s="16"/>
    </row>
    <row r="143" spans="1:28" s="17" customFormat="1">
      <c r="A143" s="27" t="str">
        <f>IF(OR(C143="", C143=0), "", "L"&amp;C143&amp;"-"&amp;$C$47&amp;"-"&amp;A144)</f>
        <v/>
      </c>
      <c r="B143" s="28"/>
      <c r="C143" s="175">
        <f>IF(C139="",,C139+2)</f>
        <v>0</v>
      </c>
      <c r="D143" s="31"/>
      <c r="E143" s="48"/>
      <c r="F143" s="31"/>
      <c r="G143" s="48"/>
      <c r="H143" s="48"/>
      <c r="I143" s="48"/>
      <c r="J143" s="48"/>
      <c r="K143" s="48"/>
      <c r="L143" s="48"/>
      <c r="M143" s="47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16"/>
      <c r="AB143" s="16"/>
    </row>
    <row r="144" spans="1:28" s="17" customFormat="1" ht="15.75" thickBot="1">
      <c r="A144" s="170">
        <f>A140</f>
        <v>0</v>
      </c>
      <c r="B144" s="170">
        <f>B140</f>
        <v>0</v>
      </c>
      <c r="C144" s="171"/>
      <c r="D144" s="37"/>
      <c r="E144" s="50"/>
      <c r="F144" s="37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16"/>
      <c r="AB144" s="16"/>
    </row>
    <row r="145" spans="1:27" s="17" customFormat="1">
      <c r="A145" s="27" t="str">
        <f>IF(OR(C145="", C145=0), "", "L"&amp;C145&amp;"-"&amp;$C$47&amp;"-"&amp;A146)</f>
        <v/>
      </c>
      <c r="B145" s="28"/>
      <c r="C145" s="175">
        <f>IF(C139="",,C139+3)</f>
        <v>0</v>
      </c>
      <c r="D145" s="31"/>
      <c r="E145" s="48"/>
      <c r="F145" s="31"/>
      <c r="G145" s="55"/>
      <c r="H145" s="55"/>
      <c r="I145" s="55"/>
      <c r="J145" s="55"/>
      <c r="K145" s="55"/>
      <c r="L145" s="47"/>
      <c r="M145" s="31"/>
      <c r="N145" s="55"/>
      <c r="O145" s="55"/>
      <c r="P145" s="55"/>
      <c r="Q145" s="55"/>
      <c r="R145" s="55"/>
      <c r="S145" s="55"/>
      <c r="T145" s="48"/>
      <c r="U145" s="48"/>
      <c r="V145" s="48"/>
      <c r="W145" s="48"/>
      <c r="X145" s="48"/>
      <c r="Y145" s="48"/>
      <c r="Z145" s="48"/>
      <c r="AA145" s="16"/>
    </row>
    <row r="146" spans="1:27" s="17" customFormat="1" ht="15.75" thickBot="1">
      <c r="A146" s="170">
        <f>A140</f>
        <v>0</v>
      </c>
      <c r="B146" s="170">
        <f>B140</f>
        <v>0</v>
      </c>
      <c r="C146" s="171"/>
      <c r="D146" s="37"/>
      <c r="E146" s="50"/>
      <c r="F146" s="37"/>
      <c r="G146" s="56"/>
      <c r="H146" s="56"/>
      <c r="I146" s="56"/>
      <c r="J146" s="56"/>
      <c r="K146" s="56"/>
      <c r="L146" s="50"/>
      <c r="M146" s="37"/>
      <c r="N146" s="56"/>
      <c r="O146" s="56"/>
      <c r="P146" s="56"/>
      <c r="Q146" s="56"/>
      <c r="R146" s="56"/>
      <c r="S146" s="56"/>
      <c r="T146" s="50"/>
      <c r="U146" s="50"/>
      <c r="V146" s="50"/>
      <c r="W146" s="50"/>
      <c r="X146" s="50"/>
      <c r="Y146" s="50"/>
      <c r="Z146" s="50"/>
      <c r="AA146" s="16"/>
    </row>
    <row r="147" spans="1:27" s="17" customFormat="1">
      <c r="A147" s="27" t="str">
        <f>IF(OR(C147="", C147=0), "", "L"&amp;C147&amp;"-"&amp;$C$47&amp;"-"&amp;A148)</f>
        <v/>
      </c>
      <c r="B147" s="28"/>
      <c r="C147" s="175">
        <f>IF(C139="",,C139+4)</f>
        <v>0</v>
      </c>
      <c r="D147" s="31"/>
      <c r="E147" s="55"/>
      <c r="F147" s="31"/>
      <c r="G147" s="55"/>
      <c r="H147" s="55"/>
      <c r="I147" s="55"/>
      <c r="J147" s="55"/>
      <c r="K147" s="55"/>
      <c r="L147" s="47"/>
      <c r="M147" s="31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16"/>
    </row>
    <row r="148" spans="1:27" s="17" customFormat="1" ht="15.75" thickBot="1">
      <c r="A148" s="172">
        <f>A140</f>
        <v>0</v>
      </c>
      <c r="B148" s="172">
        <f>B140</f>
        <v>0</v>
      </c>
      <c r="C148" s="173"/>
      <c r="D148" s="182"/>
      <c r="E148" s="183"/>
      <c r="F148" s="182"/>
      <c r="G148" s="183"/>
      <c r="H148" s="183"/>
      <c r="I148" s="183"/>
      <c r="J148" s="183"/>
      <c r="K148" s="183"/>
      <c r="L148" s="184"/>
      <c r="M148" s="182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6"/>
    </row>
  </sheetData>
  <conditionalFormatting sqref="C99">
    <cfRule type="containsBlanks" dxfId="12" priority="13">
      <formula>LEN(TRIM(C99))=0</formula>
    </cfRule>
  </conditionalFormatting>
  <conditionalFormatting sqref="C89">
    <cfRule type="containsBlanks" dxfId="11" priority="12">
      <formula>LEN(TRIM(C89))=0</formula>
    </cfRule>
  </conditionalFormatting>
  <conditionalFormatting sqref="C109">
    <cfRule type="containsBlanks" dxfId="10" priority="11">
      <formula>LEN(TRIM(C109))=0</formula>
    </cfRule>
  </conditionalFormatting>
  <conditionalFormatting sqref="C49">
    <cfRule type="containsBlanks" dxfId="9" priority="10">
      <formula>LEN(TRIM(C49))=0</formula>
    </cfRule>
  </conditionalFormatting>
  <conditionalFormatting sqref="C79">
    <cfRule type="containsBlanks" dxfId="8" priority="9">
      <formula>LEN(TRIM(C79))=0</formula>
    </cfRule>
  </conditionalFormatting>
  <conditionalFormatting sqref="C69">
    <cfRule type="containsBlanks" dxfId="7" priority="8">
      <formula>LEN(TRIM(C69))=0</formula>
    </cfRule>
  </conditionalFormatting>
  <conditionalFormatting sqref="C119">
    <cfRule type="containsBlanks" dxfId="6" priority="7">
      <formula>LEN(TRIM(C119))=0</formula>
    </cfRule>
  </conditionalFormatting>
  <conditionalFormatting sqref="C129">
    <cfRule type="containsBlanks" dxfId="5" priority="6">
      <formula>LEN(TRIM(C129))=0</formula>
    </cfRule>
  </conditionalFormatting>
  <conditionalFormatting sqref="C23">
    <cfRule type="containsBlanks" dxfId="4" priority="5">
      <formula>LEN(TRIM(C23))=0</formula>
    </cfRule>
  </conditionalFormatting>
  <conditionalFormatting sqref="C31">
    <cfRule type="containsBlanks" dxfId="3" priority="4">
      <formula>LEN(TRIM(C31))=0</formula>
    </cfRule>
  </conditionalFormatting>
  <conditionalFormatting sqref="C9">
    <cfRule type="containsBlanks" dxfId="2" priority="3">
      <formula>LEN(TRIM(C9))=0</formula>
    </cfRule>
  </conditionalFormatting>
  <conditionalFormatting sqref="C3">
    <cfRule type="containsBlanks" dxfId="1" priority="2">
      <formula>LEN(TRIM(C3))=0</formula>
    </cfRule>
  </conditionalFormatting>
  <conditionalFormatting sqref="C59">
    <cfRule type="containsBlanks" dxfId="0" priority="1">
      <formula>LEN(TRIM(C59))=0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31410135-804d-4950-be1c-87034b7a79c4">KHCAP7UFQKXS-219951315-511</_dlc_DocId>
    <_dlc_DocIdUrl xmlns="31410135-804d-4950-be1c-87034b7a79c4">
      <Url>https://portal.bldr.com/sites/reg08/slsrpt/_layouts/15/DocIdRedir.aspx?ID=KHCAP7UFQKXS-219951315-511</Url>
      <Description>KHCAP7UFQKXS-219951315-511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2D90F826BFF3489A57A8C77798A770" ma:contentTypeVersion="1" ma:contentTypeDescription="Create a new document." ma:contentTypeScope="" ma:versionID="366723c63c54ea23de3ce95c7e904c49">
  <xsd:schema xmlns:xsd="http://www.w3.org/2001/XMLSchema" xmlns:xs="http://www.w3.org/2001/XMLSchema" xmlns:p="http://schemas.microsoft.com/office/2006/metadata/properties" xmlns:ns2="31410135-804d-4950-be1c-87034b7a79c4" targetNamespace="http://schemas.microsoft.com/office/2006/metadata/properties" ma:root="true" ma:fieldsID="59454b3cd1d868d6fde8363539939a57" ns2:_="">
    <xsd:import namespace="31410135-804d-4950-be1c-87034b7a79c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10135-804d-4950-be1c-87034b7a79c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6.xml><?xml version="1.0" encoding="utf-8"?>
<customUI xmlns="http://schemas.microsoft.com/office/2009/07/customui">
  <ribbon>
    <tabs>
      <tab id="customTab" label="Whiteboard Tools">
        <group id="customGroup" label="Extraction Tools">
          <button id="btnExtractor" label="Schedule Date Extractor GO!" imageMso="ExportExcel" size="large" onAction="RunExtractAndProcessData"/>
        </group>
      </tab>
    </tabs>
  </ribbon>
</customUI>
</file>

<file path=customXml/itemProps1.xml><?xml version="1.0" encoding="utf-8"?>
<ds:datastoreItem xmlns:ds="http://schemas.openxmlformats.org/officeDocument/2006/customXml" ds:itemID="{39B30047-4F1F-4066-BCD5-1CBD5E280D4A}"/>
</file>

<file path=customXml/itemProps2.xml><?xml version="1.0" encoding="utf-8"?>
<ds:datastoreItem xmlns:ds="http://schemas.openxmlformats.org/officeDocument/2006/customXml" ds:itemID="{F6DF5317-6B4C-4A8C-AB45-8998A1017331}"/>
</file>

<file path=customXml/itemProps3.xml><?xml version="1.0" encoding="utf-8"?>
<ds:datastoreItem xmlns:ds="http://schemas.openxmlformats.org/officeDocument/2006/customXml" ds:itemID="{2441258D-D8F7-4691-8D9A-CF2A16BB8302}"/>
</file>

<file path=customXml/itemProps4.xml><?xml version="1.0" encoding="utf-8"?>
<ds:datastoreItem xmlns:ds="http://schemas.openxmlformats.org/officeDocument/2006/customXml" ds:itemID="{B1E426A5-FEF0-4C2E-8B24-0CAB6C5DDFB8}"/>
</file>

<file path=customXml/itemProps5.xml><?xml version="1.0" encoding="utf-8"?>
<ds:datastoreItem xmlns:ds="http://schemas.openxmlformats.org/officeDocument/2006/customXml" ds:itemID="{87A51980-CFEC-4B8E-8FCE-47658037B266}"/>
</file>

<file path=customXml/itemProps6.xml><?xml version="1.0" encoding="utf-8"?>
<ds:datastoreItem xmlns:ds="http://schemas.openxmlformats.org/officeDocument/2006/customXml" ds:itemID="{30BC242E-BA06-4E49-89ED-64C0EFDD13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Builders FirstSource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Christin Wood</dc:creator>
  <cp:keywords/>
  <dc:description/>
  <cp:lastModifiedBy>Corey Boser</cp:lastModifiedBy>
  <cp:revision/>
  <dcterms:created xsi:type="dcterms:W3CDTF">2022-01-13T16:10:58Z</dcterms:created>
  <dcterms:modified xsi:type="dcterms:W3CDTF">2025-11-12T16:40:34Z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0x010100872D90F826BFF3489A57A8C77798A770</vt:lpwstr>
  </property>
  <property fmtid="{D5CDD505-2E9C-101B-9397-08002B2CF9AE}" pid="3" name="_dlc_DocIdItemGuid">
    <vt:lpwstr>3dd5eea5-db44-44fe-b0e4-1651deedf09c</vt:lpwstr>
  </property>
  <property fmtid="{D5CDD505-2E9C-101B-9397-08002B2CF9AE}" pid="4" name="PlanSwiftJobName">
    <vt:lpwstr>RAH CR264 G250A</vt:lpwstr>
  </property>
  <property fmtid="{D5CDD505-2E9C-101B-9397-08002B2CF9AE}" pid="5" name="PlanSwiftJobGuid">
    <vt:lpwstr>\Storages\Local\Jobs\RAH CR264 G250A</vt:lpwstr>
  </property>
  <property fmtid="{D5CDD505-2E9C-101B-9397-08002B2CF9AE}" pid="6" name="LinkedDataId">
    <vt:lpwstr>{90C8A854-76D2-4283-9964-E267502D21DD}</vt:lpwstr>
  </property>
</Properties>
</file>