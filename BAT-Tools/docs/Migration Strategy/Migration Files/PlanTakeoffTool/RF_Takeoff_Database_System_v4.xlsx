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rey.boser\Documents\PlanTakeoffTool\"/>
    </mc:Choice>
  </mc:AlternateContent>
  <xr:revisionPtr revIDLastSave="0" documentId="13_ncr:1_{B397CAA7-97D5-4B96-918E-2B6148F0D304}" xr6:coauthVersionLast="47" xr6:coauthVersionMax="47" xr10:uidLastSave="{00000000-0000-0000-0000-000000000000}"/>
  <bookViews>
    <workbookView xWindow="-34510" yWindow="-10850" windowWidth="34620" windowHeight="13900" xr2:uid="{00000000-000D-0000-FFFF-FFFF00000000}"/>
  </bookViews>
  <sheets>
    <sheet name="Dashboard" sheetId="1" r:id="rId1"/>
    <sheet name="Database" sheetId="2" r:id="rId2"/>
    <sheet name="WallData" sheetId="3" r:id="rId3"/>
    <sheet name="RoofData" sheetId="4" r:id="rId4"/>
    <sheet name="PostBeamData" sheetId="5" r:id="rId5"/>
    <sheet name="FloorSystemData" sheetId="6" r:id="rId6"/>
    <sheet name="DeckFramingData" sheetId="7" r:id="rId7"/>
    <sheet name="DeckSurfaceData" sheetId="8" r:id="rId8"/>
    <sheet name="MaterialSummary" sheetId="9" r:id="rId9"/>
    <sheet name="ValidationRules" sheetId="10" r:id="rId10"/>
    <sheet name="Checklists" sheetId="11" r:id="rId11"/>
    <sheet name="UserFormGuide" sheetId="12" r:id="rId12"/>
    <sheet name="LookupTabl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9" l="1"/>
  <c r="H41" i="9" s="1"/>
  <c r="E40" i="9"/>
  <c r="H40" i="9" s="1"/>
  <c r="E39" i="9"/>
  <c r="H39" i="9" s="1"/>
  <c r="E38" i="9"/>
  <c r="H38" i="9" s="1"/>
  <c r="E37" i="9"/>
  <c r="H37" i="9" s="1"/>
  <c r="E36" i="9"/>
  <c r="H36" i="9" s="1"/>
  <c r="E35" i="9"/>
  <c r="H35" i="9" s="1"/>
  <c r="E34" i="9"/>
  <c r="H34" i="9" s="1"/>
  <c r="E33" i="9"/>
  <c r="H33" i="9" s="1"/>
  <c r="E32" i="9"/>
  <c r="H32" i="9" s="1"/>
  <c r="E31" i="9"/>
  <c r="H31" i="9" s="1"/>
  <c r="E30" i="9"/>
  <c r="H30" i="9" s="1"/>
  <c r="E29" i="9"/>
  <c r="H29" i="9" s="1"/>
  <c r="E28" i="9"/>
  <c r="H28" i="9" s="1"/>
  <c r="E27" i="9"/>
  <c r="H27" i="9" s="1"/>
  <c r="E26" i="9"/>
  <c r="H26" i="9" s="1"/>
  <c r="E25" i="9"/>
  <c r="H25" i="9" s="1"/>
  <c r="E24" i="9"/>
  <c r="H24" i="9" s="1"/>
  <c r="E23" i="9"/>
  <c r="H23" i="9" s="1"/>
  <c r="E22" i="9"/>
  <c r="H22" i="9" s="1"/>
  <c r="E21" i="9"/>
  <c r="H21" i="9" s="1"/>
  <c r="E20" i="9"/>
  <c r="H20" i="9" s="1"/>
  <c r="E19" i="9"/>
  <c r="H19" i="9" s="1"/>
  <c r="E18" i="9"/>
  <c r="H18" i="9" s="1"/>
  <c r="E17" i="9"/>
  <c r="H17" i="9" s="1"/>
  <c r="E16" i="9"/>
  <c r="H16" i="9" s="1"/>
  <c r="E15" i="9"/>
  <c r="H15" i="9" s="1"/>
  <c r="E14" i="9"/>
  <c r="H14" i="9" s="1"/>
  <c r="E13" i="9"/>
  <c r="H13" i="9" s="1"/>
  <c r="E12" i="9"/>
  <c r="H12" i="9" s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<sst xmlns="http://schemas.openxmlformats.org/spreadsheetml/2006/main" count="463" uniqueCount="367">
  <si>
    <t>RF FRAMING TAKEOFF SYSTEM</t>
  </si>
  <si>
    <t>UserForm-Driven Data Entry System</t>
  </si>
  <si>
    <t>Version 4.0 - Database Edition</t>
  </si>
  <si>
    <t>GETTING STARTED:</t>
  </si>
  <si>
    <t>1. Press ALT+F11 to open VBA Editor (or Tools &gt; Macro &gt; Visual Basic Editor on Mac)</t>
  </si>
  <si>
    <t>2. Insert &gt; UserForm to create the data entry interface</t>
  </si>
  <si>
    <t>3. Use the Database sheet to view all stored takeoffs</t>
  </si>
  <si>
    <t>4. Each project gets a unique Project ID for tracking</t>
  </si>
  <si>
    <t>5. All data is validated before being stored</t>
  </si>
  <si>
    <t>WORKFLOW:</t>
  </si>
  <si>
    <t>• Project Info → Post &amp; Beam → Floor Systems → Walls → Roof → Deck</t>
  </si>
  <si>
    <t>• Each stage has a checklist to ensure completeness</t>
  </si>
  <si>
    <t>• Data is stored in centralized database tables</t>
  </si>
  <si>
    <t>• Generate material lists from any historical project</t>
  </si>
  <si>
    <t>DATABASE STATISTICS</t>
  </si>
  <si>
    <t>Total Projects:</t>
  </si>
  <si>
    <t>Active Projects:</t>
  </si>
  <si>
    <t>Completed Projects:</t>
  </si>
  <si>
    <t>Total Wall Panels:</t>
  </si>
  <si>
    <t>Total Roof SF:</t>
  </si>
  <si>
    <t>Project ID</t>
  </si>
  <si>
    <t>Project Name</t>
  </si>
  <si>
    <t>Project Number</t>
  </si>
  <si>
    <t>Client Name</t>
  </si>
  <si>
    <t>Estimator</t>
  </si>
  <si>
    <t>Date Created</t>
  </si>
  <si>
    <t>Address</t>
  </si>
  <si>
    <t>City</t>
  </si>
  <si>
    <t>State</t>
  </si>
  <si>
    <t>Zip</t>
  </si>
  <si>
    <t>Building Type</t>
  </si>
  <si>
    <t>Status</t>
  </si>
  <si>
    <t>Stories</t>
  </si>
  <si>
    <t>Has Deck</t>
  </si>
  <si>
    <t>Total SF</t>
  </si>
  <si>
    <t>Notes</t>
  </si>
  <si>
    <t>PROJ-001</t>
  </si>
  <si>
    <t>Sample Project</t>
  </si>
  <si>
    <t>2025-001</t>
  </si>
  <si>
    <t>ABC Construction</t>
  </si>
  <si>
    <t>John Smith</t>
  </si>
  <si>
    <t>2025-10-18</t>
  </si>
  <si>
    <t>Residential</t>
  </si>
  <si>
    <t>Active</t>
  </si>
  <si>
    <t>Yes</t>
  </si>
  <si>
    <t>Entry ID</t>
  </si>
  <si>
    <t>Floor Level</t>
  </si>
  <si>
    <t>Plan #</t>
  </si>
  <si>
    <t>Elevation</t>
  </si>
  <si>
    <t>Wall ID</t>
  </si>
  <si>
    <t>Length (LF)</t>
  </si>
  <si>
    <t>Height (FT)</t>
  </si>
  <si>
    <t>Gross SF</t>
  </si>
  <si>
    <t>Opening SF</t>
  </si>
  <si>
    <t>Net SF</t>
  </si>
  <si>
    <t>Corners</t>
  </si>
  <si>
    <t>Header LF</t>
  </si>
  <si>
    <t>Panel Height</t>
  </si>
  <si>
    <t>Panel Qty</t>
  </si>
  <si>
    <t>Entry Date</t>
  </si>
  <si>
    <t>Verified</t>
  </si>
  <si>
    <t>Data entered via UserForm - do not edit directly</t>
  </si>
  <si>
    <t>Section</t>
  </si>
  <si>
    <t>Run (FT)</t>
  </si>
  <si>
    <t>Depth (FT)</t>
  </si>
  <si>
    <t>Pitch</t>
  </si>
  <si>
    <t>Slope Factor</t>
  </si>
  <si>
    <t>Eave OH</t>
  </si>
  <si>
    <t>Rake OH</t>
  </si>
  <si>
    <t>Ridge LF</t>
  </si>
  <si>
    <t>Hip LF</t>
  </si>
  <si>
    <t>Valley LF</t>
  </si>
  <si>
    <t>Location</t>
  </si>
  <si>
    <t>Beam ID</t>
  </si>
  <si>
    <t>Beam Type</t>
  </si>
  <si>
    <t>Beam Size</t>
  </si>
  <si>
    <t>Beam Length</t>
  </si>
  <si>
    <t>Beam Qty</t>
  </si>
  <si>
    <t>Total LF</t>
  </si>
  <si>
    <t>Post Size</t>
  </si>
  <si>
    <t>Post Height</t>
  </si>
  <si>
    <t>Post Qty</t>
  </si>
  <si>
    <t>Bearing Plates</t>
  </si>
  <si>
    <t>Hangers</t>
  </si>
  <si>
    <t>Area ID</t>
  </si>
  <si>
    <t>Joist Type</t>
  </si>
  <si>
    <t>Joist Size</t>
  </si>
  <si>
    <t>Spacing</t>
  </si>
  <si>
    <t>Span Length</t>
  </si>
  <si>
    <t>Span Depth</t>
  </si>
  <si>
    <t>Area SF</t>
  </si>
  <si>
    <t>Blocking LF</t>
  </si>
  <si>
    <t>Joist Qty</t>
  </si>
  <si>
    <t>Sheathing SF</t>
  </si>
  <si>
    <t>Glue Tubes</t>
  </si>
  <si>
    <t>Deck Area</t>
  </si>
  <si>
    <t>Beam LF</t>
  </si>
  <si>
    <t>Joist Spacing</t>
  </si>
  <si>
    <t>Area Length</t>
  </si>
  <si>
    <t>Area Depth</t>
  </si>
  <si>
    <t>Ledger Size</t>
  </si>
  <si>
    <t>Ledger LF</t>
  </si>
  <si>
    <t>Hardware Type</t>
  </si>
  <si>
    <t>Decking Type</t>
  </si>
  <si>
    <t>Board Length</t>
  </si>
  <si>
    <t>Board Qty</t>
  </si>
  <si>
    <t>Fascia LF</t>
  </si>
  <si>
    <t>Blocking Pcs</t>
  </si>
  <si>
    <t>Screws Lbs</t>
  </si>
  <si>
    <t>Rail LF</t>
  </si>
  <si>
    <t>Baluster Qty</t>
  </si>
  <si>
    <t>MATERIAL SUMMARY GENERATOR</t>
  </si>
  <si>
    <t>Project ID:</t>
  </si>
  <si>
    <t>System:</t>
  </si>
  <si>
    <t>Instructions:</t>
  </si>
  <si>
    <t>1. Enter Project ID in B3</t>
  </si>
  <si>
    <t>2. Select system in B4 (Walls, Roof, Post/Beam, Floors, Deck)</t>
  </si>
  <si>
    <t>3. Material list will generate below from database</t>
  </si>
  <si>
    <t>Category</t>
  </si>
  <si>
    <t>SKU</t>
  </si>
  <si>
    <t>Description</t>
  </si>
  <si>
    <t>Specification</t>
  </si>
  <si>
    <t>Quantity</t>
  </si>
  <si>
    <t>Unit</t>
  </si>
  <si>
    <t>Unit Price</t>
  </si>
  <si>
    <t>Extended Cost</t>
  </si>
  <si>
    <t>Walls</t>
  </si>
  <si>
    <t>WALL-001</t>
  </si>
  <si>
    <t>RF Wall Panels - 8ft</t>
  </si>
  <si>
    <t>8' Height</t>
  </si>
  <si>
    <t>EA</t>
  </si>
  <si>
    <t>WALL-002</t>
  </si>
  <si>
    <t>RF Wall Panels - 9ft</t>
  </si>
  <si>
    <t>9' Height</t>
  </si>
  <si>
    <t>WALL-003</t>
  </si>
  <si>
    <t>RF Wall Panels - 10ft</t>
  </si>
  <si>
    <t>10' Height</t>
  </si>
  <si>
    <t>WALL-004</t>
  </si>
  <si>
    <t>Plate Material</t>
  </si>
  <si>
    <t>2x4 SPF</t>
  </si>
  <si>
    <t>LF</t>
  </si>
  <si>
    <t>WALL-005</t>
  </si>
  <si>
    <t>Headers</t>
  </si>
  <si>
    <t>2x10 or 2x12</t>
  </si>
  <si>
    <t>WALL-006</t>
  </si>
  <si>
    <t>Corner Hardware</t>
  </si>
  <si>
    <t>Simpson L90</t>
  </si>
  <si>
    <t>Roof</t>
  </si>
  <si>
    <t>ROOF-001</t>
  </si>
  <si>
    <t>Roof Sheathing</t>
  </si>
  <si>
    <t>7/16" OSB</t>
  </si>
  <si>
    <t>SF</t>
  </si>
  <si>
    <t>ROOF-002</t>
  </si>
  <si>
    <t>Ridge Board</t>
  </si>
  <si>
    <t>2x8 or larger</t>
  </si>
  <si>
    <t>ROOF-003</t>
  </si>
  <si>
    <t>Hip Material</t>
  </si>
  <si>
    <t>2x6</t>
  </si>
  <si>
    <t>ROOF-004</t>
  </si>
  <si>
    <t>Valley Material</t>
  </si>
  <si>
    <t>Post/Beam</t>
  </si>
  <si>
    <t>PB-001</t>
  </si>
  <si>
    <t>Structural Beams</t>
  </si>
  <si>
    <t>LVL/PSL/Glulam</t>
  </si>
  <si>
    <t>PB-002</t>
  </si>
  <si>
    <t>Posts</t>
  </si>
  <si>
    <t>4x4, 4x6, 6x6</t>
  </si>
  <si>
    <t>PB-003</t>
  </si>
  <si>
    <t>Steel or BPS</t>
  </si>
  <si>
    <t>PB-004</t>
  </si>
  <si>
    <t>Beam Hangers</t>
  </si>
  <si>
    <t>LUS/IUS Series</t>
  </si>
  <si>
    <t>Floors</t>
  </si>
  <si>
    <t>FLR-001</t>
  </si>
  <si>
    <t>Floor Joists</t>
  </si>
  <si>
    <t>2x10, 2x12, I-Joist</t>
  </si>
  <si>
    <t>FLR-002</t>
  </si>
  <si>
    <t>Floor Sheathing</t>
  </si>
  <si>
    <t>3/4" T&amp;G OSB</t>
  </si>
  <si>
    <t>FLR-003</t>
  </si>
  <si>
    <t>Subfloor Adhesive</t>
  </si>
  <si>
    <t>Construction Glue</t>
  </si>
  <si>
    <t>Tubes</t>
  </si>
  <si>
    <t>FLR-004</t>
  </si>
  <si>
    <t>Joist Hangers</t>
  </si>
  <si>
    <t>IUS/ITS Series</t>
  </si>
  <si>
    <t>FLR-005</t>
  </si>
  <si>
    <t>Blocking Material</t>
  </si>
  <si>
    <t>Same as Joists</t>
  </si>
  <si>
    <t>Deck</t>
  </si>
  <si>
    <t>DECK-001</t>
  </si>
  <si>
    <t>Deck Posts</t>
  </si>
  <si>
    <t>6x6 PT</t>
  </si>
  <si>
    <t>DECK-002</t>
  </si>
  <si>
    <t>Deck Beams</t>
  </si>
  <si>
    <t>2x8, 2x10 PT</t>
  </si>
  <si>
    <t>DECK-003</t>
  </si>
  <si>
    <t>Deck Joists</t>
  </si>
  <si>
    <t>2x6, 2x8 PT</t>
  </si>
  <si>
    <t>DECK-004</t>
  </si>
  <si>
    <t>Ledger Board</t>
  </si>
  <si>
    <t>DECK-005</t>
  </si>
  <si>
    <t>Z-MAX Hardware</t>
  </si>
  <si>
    <t>All Corrosion Resistant</t>
  </si>
  <si>
    <t>Deck Surface</t>
  </si>
  <si>
    <t>SURF-001</t>
  </si>
  <si>
    <t>Decking Boards</t>
  </si>
  <si>
    <t>PT, Composite, Cedar</t>
  </si>
  <si>
    <t>SURF-002</t>
  </si>
  <si>
    <t>Fascia Board</t>
  </si>
  <si>
    <t>Matches Decking</t>
  </si>
  <si>
    <t>SURF-003</t>
  </si>
  <si>
    <t>Blocking Pieces</t>
  </si>
  <si>
    <t>For Composite</t>
  </si>
  <si>
    <t>SURF-004</t>
  </si>
  <si>
    <t>Deck Screws</t>
  </si>
  <si>
    <t>Coated/Stainless</t>
  </si>
  <si>
    <t>Lbs</t>
  </si>
  <si>
    <t>SURF-005</t>
  </si>
  <si>
    <t>Rail Posts</t>
  </si>
  <si>
    <t>4x4 PT</t>
  </si>
  <si>
    <t>SURF-006</t>
  </si>
  <si>
    <t>Balusters</t>
  </si>
  <si>
    <t>2x2, Metal</t>
  </si>
  <si>
    <t>DATA VALIDATION RULES</t>
  </si>
  <si>
    <t>Field Name</t>
  </si>
  <si>
    <t>Rule</t>
  </si>
  <si>
    <t>Error Message</t>
  </si>
  <si>
    <t>Required, max 100 chars</t>
  </si>
  <si>
    <t>Project name cannot be blank</t>
  </si>
  <si>
    <t>Must be: Basement, 1st, 2nd, 3rd, 4th</t>
  </si>
  <si>
    <t>Invalid floor level</t>
  </si>
  <si>
    <t>Wall Height</t>
  </si>
  <si>
    <t>Must be 0.1 to 20 feet</t>
  </si>
  <si>
    <t>Height must be between 0.1 and 20 feet</t>
  </si>
  <si>
    <t>Must be 8, 9, 10, or 12 feet</t>
  </si>
  <si>
    <t>Panel height must be standard size</t>
  </si>
  <si>
    <t>Roof Pitch</t>
  </si>
  <si>
    <t>Format: X/12 (e.g., 6/12)</t>
  </si>
  <si>
    <t>Invalid pitch format</t>
  </si>
  <si>
    <t>Must be: 12, 16, 19.2, or 24 O.C.</t>
  </si>
  <si>
    <t>Invalid joist spacing</t>
  </si>
  <si>
    <t>Deck Hardware</t>
  </si>
  <si>
    <t>Must be Z-MAX for all deck</t>
  </si>
  <si>
    <t>Deck hardware must be corrosion resistant</t>
  </si>
  <si>
    <t>TAKEOFF STAGE CHECKLISTS</t>
  </si>
  <si>
    <t>PROJECT SETUP CHECKLIST</t>
  </si>
  <si>
    <t>☐ Project name entered</t>
  </si>
  <si>
    <t>☐ Project number assigned</t>
  </si>
  <si>
    <t>☐ Client information complete</t>
  </si>
  <si>
    <t>☐ Estimator name recorded</t>
  </si>
  <si>
    <t>☐ Building address entered</t>
  </si>
  <si>
    <t>☐ Building type selected</t>
  </si>
  <si>
    <t>☐ Number of stories confirmed</t>
  </si>
  <si>
    <t>☐ Project scope defined</t>
  </si>
  <si>
    <t>WALL TAKEOFF CHECKLIST</t>
  </si>
  <si>
    <t>☐ All elevations identified (N, S, E, W)</t>
  </si>
  <si>
    <t>☐ Floor level assigned to each wall</t>
  </si>
  <si>
    <t>☐ Wall lengths measured from plans</t>
  </si>
  <si>
    <t>☐ Wall heights from building sections</t>
  </si>
  <si>
    <t>☐ All door/window openings calculated</t>
  </si>
  <si>
    <t>☐ Corner counts verified</t>
  </si>
  <si>
    <t>☐ Header lengths measured</t>
  </si>
  <si>
    <t>☐ Panel heights auto-selected correctly</t>
  </si>
  <si>
    <t>☐ Subtotals by floor reviewed</t>
  </si>
  <si>
    <t>ROOF TAKEOFF CHECKLIST</t>
  </si>
  <si>
    <t>☐ All roof sections identified</t>
  </si>
  <si>
    <t>☐ Roof pitch verified from plans</t>
  </si>
  <si>
    <t>☐ Run and depth measured</t>
  </si>
  <si>
    <t>☐ Slope factor calculated</t>
  </si>
  <si>
    <t>☐ Eave overhangs included</t>
  </si>
  <si>
    <t>☐ Rake overhangs included</t>
  </si>
  <si>
    <t>☐ Ridge lengths measured</t>
  </si>
  <si>
    <t>☐ Hip lengths measured (if applicable)</t>
  </si>
  <si>
    <t>☐ Valley lengths measured (if applicable)</t>
  </si>
  <si>
    <t>POST &amp; BEAM CHECKLIST</t>
  </si>
  <si>
    <t>☐ All beams from plans identified</t>
  </si>
  <si>
    <t>☐ Beam types selected (LVL, PSL, dimensional)</t>
  </si>
  <si>
    <t>☐ Beam sizes verified</t>
  </si>
  <si>
    <t>☐ Beam lengths measured</t>
  </si>
  <si>
    <t>☐ Posts at ALL beam supports</t>
  </si>
  <si>
    <t>☐ Post sizes appropriate for loads</t>
  </si>
  <si>
    <t>☐ Post heights measured</t>
  </si>
  <si>
    <t>☐ Bearing plates = post count</t>
  </si>
  <si>
    <t>☐ Beam hangers = beam count</t>
  </si>
  <si>
    <t>USERFORM IMPLEMENTATION GUIDE</t>
  </si>
  <si>
    <t>REQUIRED VBA CODE</t>
  </si>
  <si>
    <t>Step 1: Create UserForm</t>
  </si>
  <si>
    <t>• Press ALT+F11 to open VBA Editor</t>
  </si>
  <si>
    <t>• Insert &gt; UserForm</t>
  </si>
  <si>
    <t>• Design form with tabs for each stage</t>
  </si>
  <si>
    <t>Step 2: Add Controls</t>
  </si>
  <si>
    <t>• Tab 1: Project Info (TextBoxes, ComboBoxes)</t>
  </si>
  <si>
    <t>• Tab 2: Post &amp; Beam (Grid, TextBoxes)</t>
  </si>
  <si>
    <t>• Tab 3: Floor Systems (Grid, Dropdowns)</t>
  </si>
  <si>
    <t>• Tab 4: Walls (Grid with Floor Level dropdown)</t>
  </si>
  <si>
    <t>• Tab 5: Roof (Grid with Pitch calculator)</t>
  </si>
  <si>
    <t>• Tab 6: Deck Framing (Grid, Z-MAX reminder)</t>
  </si>
  <si>
    <t>• Tab 7: Deck Surface (Grid, Blocking calculator)</t>
  </si>
  <si>
    <t>Step 3: Add Validation Code</t>
  </si>
  <si>
    <t>• Check required fields before save</t>
  </si>
  <si>
    <t>• Validate numeric ranges</t>
  </si>
  <si>
    <t>• Confirm panel heights match wall heights</t>
  </si>
  <si>
    <t>• Ensure Z-MAX specified for all deck hardware</t>
  </si>
  <si>
    <t>Step 4: Database Writing Code</t>
  </si>
  <si>
    <t>• Generate unique Entry IDs</t>
  </si>
  <si>
    <t>• Write to appropriate data sheets</t>
  </si>
  <si>
    <t>• Update summary statistics</t>
  </si>
  <si>
    <t>• Mark entries as verified</t>
  </si>
  <si>
    <t>SAMPLE VBA CODE STRUCTURE:</t>
  </si>
  <si>
    <t>Private Sub btnSaveProject_Click()</t>
  </si>
  <si>
    <t xml:space="preserve">    ' Validate inputs</t>
  </si>
  <si>
    <t xml:space="preserve">    If txtProjectName.Value = '' Then</t>
  </si>
  <si>
    <t xml:space="preserve">        MsgBox 'Project name required'</t>
  </si>
  <si>
    <t xml:space="preserve">        Exit Sub</t>
  </si>
  <si>
    <t xml:space="preserve">    End If</t>
  </si>
  <si>
    <t xml:space="preserve">    </t>
  </si>
  <si>
    <t xml:space="preserve">    ' Generate Project ID</t>
  </si>
  <si>
    <t xml:space="preserve">    Dim lastRow As Long</t>
  </si>
  <si>
    <t xml:space="preserve">    lastRow = Sheets('Database').Cells(Rows.Count, 1).End(xlUp).Row</t>
  </si>
  <si>
    <t xml:space="preserve">    Dim newID As String</t>
  </si>
  <si>
    <t xml:space="preserve">    newID = 'PROJ-' &amp; Format(lastRow, '000')</t>
  </si>
  <si>
    <t xml:space="preserve">    ' Write to Database sheet</t>
  </si>
  <si>
    <t xml:space="preserve">    With Sheets('Database')</t>
  </si>
  <si>
    <t xml:space="preserve">        .Cells(lastRow + 1, 1) = newID</t>
  </si>
  <si>
    <t xml:space="preserve">        .Cells(lastRow + 1, 2) = txtProjectName.Value</t>
  </si>
  <si>
    <t xml:space="preserve">        .Cells(lastRow + 1, 3) = txtProjectNumber.Value</t>
  </si>
  <si>
    <t xml:space="preserve">        ' ... continue for all fields</t>
  </si>
  <si>
    <t xml:space="preserve">    End With</t>
  </si>
  <si>
    <t xml:space="preserve">    MsgBox 'Project saved: ' &amp; newID</t>
  </si>
  <si>
    <t>End Sub</t>
  </si>
  <si>
    <t>REFERENCE LOOKUP TABLES</t>
  </si>
  <si>
    <t>ROOF PITCH TO SLOPE FACTOR</t>
  </si>
  <si>
    <t>WALL HEIGHT TO PANEL HEIGHT</t>
  </si>
  <si>
    <t>JOIST SPACING CALCULATIONS</t>
  </si>
  <si>
    <t>Wall Height Range</t>
  </si>
  <si>
    <t>Order Panel Height</t>
  </si>
  <si>
    <t>Formula</t>
  </si>
  <si>
    <t>3/12</t>
  </si>
  <si>
    <t>Up to 8 feet</t>
  </si>
  <si>
    <t>8 ft</t>
  </si>
  <si>
    <t>12" O.C.</t>
  </si>
  <si>
    <t>Length + 1</t>
  </si>
  <si>
    <t>Most joists</t>
  </si>
  <si>
    <t>4/12</t>
  </si>
  <si>
    <t>8.01 to 9 feet</t>
  </si>
  <si>
    <t>9 ft</t>
  </si>
  <si>
    <t>16" O.C.</t>
  </si>
  <si>
    <t>Length ÷ 1.33 + 1</t>
  </si>
  <si>
    <t>Standard</t>
  </si>
  <si>
    <t>5/12</t>
  </si>
  <si>
    <t>9.01 to 10 feet</t>
  </si>
  <si>
    <t>10 ft</t>
  </si>
  <si>
    <t>19.2" O.C.</t>
  </si>
  <si>
    <t>Length ÷ 1.6 + 1</t>
  </si>
  <si>
    <t>Engineered</t>
  </si>
  <si>
    <t>6/12</t>
  </si>
  <si>
    <t>10.01 to 12 feet</t>
  </si>
  <si>
    <t>12 ft</t>
  </si>
  <si>
    <t>24" O.C.</t>
  </si>
  <si>
    <t>Length ÷ 2 + 1</t>
  </si>
  <si>
    <t>Wide spacing</t>
  </si>
  <si>
    <t>7/12</t>
  </si>
  <si>
    <t>8/12</t>
  </si>
  <si>
    <t>9/12</t>
  </si>
  <si>
    <t>10/12</t>
  </si>
  <si>
    <t>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</si>
</sst>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i/>
      <sz val="12"/>
      <name val="Calibri"/>
    </font>
    <font>
      <sz val="10"/>
      <color rgb="FF666666"/>
      <name val="Calibri"/>
    </font>
    <font>
      <b/>
      <sz val="12"/>
      <name val="Calibri"/>
    </font>
    <font>
      <b/>
      <sz val="11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b/>
      <sz val="14"/>
      <color rgb="FF1F4E78"/>
      <name val="Calibri"/>
    </font>
    <font>
      <sz val="9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8" fillId="2" borderId="1" xfId="0" applyFont="1" applyFill="1" applyBorder="1"/>
    <xf numFmtId="0" fontId="10" fillId="0" borderId="0" xfId="0" applyFont="1"/>
    <xf numFmtId="0" fontId="0" fillId="3" borderId="0" xfId="0" applyFill="1"/>
    <xf numFmtId="0" fontId="8" fillId="2" borderId="0" xfId="0" applyFont="1" applyFill="1"/>
    <xf numFmtId="0" fontId="1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sqref="A1:H1"/>
    </sheetView>
  </sheetViews>
  <sheetFormatPr defaultRowHeight="14.5" x14ac:dyDescent="0.35"/>
  <cols>
    <col min="1" max="1" width="50" customWidth="1"/>
    <col min="2" max="2" width="15" customWidth="1"/>
  </cols>
  <sheetData>
    <row r="1" spans="1:8" ht="23.5" x14ac:dyDescent="0.55000000000000004">
      <c r="A1" s="16" t="s">
        <v>0</v>
      </c>
      <c r="B1" s="15"/>
      <c r="C1" s="15"/>
      <c r="D1" s="15"/>
      <c r="E1" s="15"/>
      <c r="F1" s="15"/>
      <c r="G1" s="15"/>
      <c r="H1" s="15"/>
    </row>
    <row r="2" spans="1:8" ht="15.5" x14ac:dyDescent="0.35">
      <c r="A2" s="14" t="s">
        <v>1</v>
      </c>
      <c r="B2" s="15"/>
      <c r="C2" s="15"/>
      <c r="D2" s="15"/>
      <c r="E2" s="15"/>
      <c r="F2" s="15"/>
      <c r="G2" s="15"/>
      <c r="H2" s="15"/>
    </row>
    <row r="4" spans="1:8" x14ac:dyDescent="0.35">
      <c r="A4" s="1" t="s">
        <v>2</v>
      </c>
    </row>
    <row r="6" spans="1:8" ht="15.5" x14ac:dyDescent="0.35">
      <c r="A6" s="2" t="s">
        <v>3</v>
      </c>
    </row>
    <row r="7" spans="1:8" x14ac:dyDescent="0.35">
      <c r="A7" t="s">
        <v>4</v>
      </c>
    </row>
    <row r="8" spans="1:8" x14ac:dyDescent="0.35">
      <c r="A8" t="s">
        <v>5</v>
      </c>
    </row>
    <row r="9" spans="1:8" x14ac:dyDescent="0.35">
      <c r="A9" t="s">
        <v>6</v>
      </c>
    </row>
    <row r="10" spans="1:8" x14ac:dyDescent="0.35">
      <c r="A10" t="s">
        <v>7</v>
      </c>
    </row>
    <row r="11" spans="1:8" x14ac:dyDescent="0.35">
      <c r="A11" t="s">
        <v>8</v>
      </c>
    </row>
    <row r="13" spans="1:8" x14ac:dyDescent="0.35">
      <c r="A13" s="3" t="s">
        <v>9</v>
      </c>
    </row>
    <row r="14" spans="1:8" x14ac:dyDescent="0.35">
      <c r="A14" t="s">
        <v>10</v>
      </c>
    </row>
    <row r="15" spans="1:8" x14ac:dyDescent="0.35">
      <c r="A15" t="s">
        <v>11</v>
      </c>
    </row>
    <row r="16" spans="1:8" x14ac:dyDescent="0.35">
      <c r="A16" t="s">
        <v>12</v>
      </c>
      <c r="B16">
        <f>COUNTA(Database!B:B)-1</f>
        <v>1</v>
      </c>
    </row>
    <row r="17" spans="1:2" x14ac:dyDescent="0.35">
      <c r="A17" t="s">
        <v>13</v>
      </c>
      <c r="B17">
        <f>COUNTIF(Database!L:L,"Active")</f>
        <v>1</v>
      </c>
    </row>
    <row r="18" spans="1:2" x14ac:dyDescent="0.35">
      <c r="B18">
        <f>COUNTIF(Database!L:L,"Complete")</f>
        <v>0</v>
      </c>
    </row>
    <row r="19" spans="1:2" x14ac:dyDescent="0.35">
      <c r="B19">
        <f>SUMIF(WallData!B:B,Dashboard!B3,WallData!O:O)</f>
        <v>0</v>
      </c>
    </row>
    <row r="20" spans="1:2" ht="15.5" x14ac:dyDescent="0.35">
      <c r="A20" s="4" t="s">
        <v>14</v>
      </c>
      <c r="B20">
        <f>SUMIF(RoofData!B:B,Dashboard!B3,RoofData!I:I)</f>
        <v>0</v>
      </c>
    </row>
    <row r="21" spans="1:2" x14ac:dyDescent="0.35">
      <c r="A21" t="s">
        <v>15</v>
      </c>
      <c r="B21" s="5">
        <f>COUNTA(Database!B:B)-1</f>
        <v>1</v>
      </c>
    </row>
    <row r="22" spans="1:2" x14ac:dyDescent="0.35">
      <c r="A22" t="s">
        <v>16</v>
      </c>
      <c r="B22">
        <f>COUNTIF(Database!L:L,"Active")</f>
        <v>1</v>
      </c>
    </row>
    <row r="23" spans="1:2" x14ac:dyDescent="0.35">
      <c r="A23" t="s">
        <v>17</v>
      </c>
      <c r="B23">
        <f>COUNTIF(Database!L:L,"Complete")</f>
        <v>0</v>
      </c>
    </row>
    <row r="24" spans="1:2" x14ac:dyDescent="0.35">
      <c r="A24" t="s">
        <v>18</v>
      </c>
      <c r="B24">
        <f>SUM(WallData!M:M)</f>
        <v>0</v>
      </c>
    </row>
    <row r="25" spans="1:2" x14ac:dyDescent="0.35">
      <c r="A25" t="s">
        <v>19</v>
      </c>
      <c r="B25">
        <f>SUM(RoofData!G:G)</f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/>
  </sheetViews>
  <sheetFormatPr defaultRowHeight="14.5" x14ac:dyDescent="0.35"/>
  <cols>
    <col min="1" max="1" width="15" customWidth="1"/>
    <col min="2" max="2" width="25" customWidth="1"/>
    <col min="3" max="3" width="15" customWidth="1"/>
    <col min="4" max="5" width="20" customWidth="1"/>
    <col min="6" max="6" width="12" customWidth="1"/>
    <col min="7" max="7" width="30" customWidth="1"/>
    <col min="8" max="8" width="15" customWidth="1"/>
    <col min="9" max="9" width="8" customWidth="1"/>
    <col min="10" max="10" width="10" customWidth="1"/>
    <col min="11" max="11" width="15" customWidth="1"/>
    <col min="12" max="12" width="12" customWidth="1"/>
    <col min="13" max="14" width="10" customWidth="1"/>
    <col min="15" max="15" width="12" customWidth="1"/>
    <col min="16" max="16" width="40" customWidth="1"/>
  </cols>
  <sheetData>
    <row r="1" spans="1:16" x14ac:dyDescent="0.3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</row>
    <row r="2" spans="1:1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K2" t="s">
        <v>42</v>
      </c>
      <c r="L2" t="s">
        <v>43</v>
      </c>
      <c r="M2">
        <v>2</v>
      </c>
      <c r="N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/>
  </sheetViews>
  <sheetFormatPr defaultRowHeight="14.5" x14ac:dyDescent="0.35"/>
  <cols>
    <col min="1" max="3" width="12" customWidth="1"/>
    <col min="4" max="4" width="8" customWidth="1"/>
    <col min="5" max="6" width="10" customWidth="1"/>
    <col min="7" max="11" width="12" customWidth="1"/>
    <col min="12" max="12" width="10" customWidth="1"/>
    <col min="13" max="16" width="12" customWidth="1"/>
    <col min="17" max="17" width="10" customWidth="1"/>
  </cols>
  <sheetData>
    <row r="1" spans="1:17" x14ac:dyDescent="0.35">
      <c r="A1" s="7" t="s">
        <v>45</v>
      </c>
      <c r="B1" s="7" t="s">
        <v>20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 spans="1:17" x14ac:dyDescent="0.35">
      <c r="A2" s="8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4.5" x14ac:dyDescent="0.35"/>
  <cols>
    <col min="1" max="2" width="12" customWidth="1"/>
    <col min="3" max="3" width="8" customWidth="1"/>
    <col min="4" max="4" width="15" customWidth="1"/>
    <col min="5" max="6" width="12" customWidth="1"/>
    <col min="7" max="7" width="10" customWidth="1"/>
    <col min="8" max="9" width="12" customWidth="1"/>
    <col min="10" max="11" width="10" customWidth="1"/>
    <col min="12" max="15" width="12" customWidth="1"/>
    <col min="16" max="16" width="10" customWidth="1"/>
  </cols>
  <sheetData>
    <row r="1" spans="1:16" x14ac:dyDescent="0.35">
      <c r="A1" s="9" t="s">
        <v>45</v>
      </c>
      <c r="B1" s="9" t="s">
        <v>20</v>
      </c>
      <c r="C1" s="9" t="s">
        <v>47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52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59</v>
      </c>
      <c r="P1" s="9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workbookViewId="0"/>
  </sheetViews>
  <sheetFormatPr defaultRowHeight="14.5" x14ac:dyDescent="0.35"/>
  <cols>
    <col min="1" max="2" width="12" customWidth="1"/>
    <col min="3" max="3" width="15" customWidth="1"/>
    <col min="4" max="4" width="10" customWidth="1"/>
    <col min="5" max="5" width="15" customWidth="1"/>
    <col min="6" max="7" width="12" customWidth="1"/>
    <col min="8" max="8" width="10" customWidth="1"/>
    <col min="9" max="11" width="12" customWidth="1"/>
    <col min="12" max="12" width="10" customWidth="1"/>
    <col min="13" max="13" width="12" customWidth="1"/>
    <col min="14" max="14" width="10" customWidth="1"/>
    <col min="15" max="15" width="12" customWidth="1"/>
    <col min="16" max="16" width="10" customWidth="1"/>
  </cols>
  <sheetData>
    <row r="1" spans="1:16" x14ac:dyDescent="0.35">
      <c r="A1" s="9" t="s">
        <v>45</v>
      </c>
      <c r="B1" s="9" t="s">
        <v>20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  <c r="L1" s="9" t="s">
        <v>81</v>
      </c>
      <c r="M1" s="9" t="s">
        <v>82</v>
      </c>
      <c r="N1" s="9" t="s">
        <v>83</v>
      </c>
      <c r="O1" s="9" t="s">
        <v>59</v>
      </c>
      <c r="P1" s="9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"/>
  <sheetViews>
    <sheetView workbookViewId="0"/>
  </sheetViews>
  <sheetFormatPr defaultRowHeight="14.5" x14ac:dyDescent="0.35"/>
  <cols>
    <col min="1" max="3" width="12" customWidth="1"/>
    <col min="4" max="5" width="15" customWidth="1"/>
    <col min="6" max="6" width="12" customWidth="1"/>
    <col min="7" max="7" width="10" customWidth="1"/>
    <col min="8" max="11" width="12" customWidth="1"/>
    <col min="12" max="12" width="10" customWidth="1"/>
    <col min="13" max="13" width="12" customWidth="1"/>
    <col min="14" max="15" width="10" customWidth="1"/>
    <col min="16" max="16" width="12" customWidth="1"/>
    <col min="17" max="17" width="10" customWidth="1"/>
  </cols>
  <sheetData>
    <row r="1" spans="1:17" x14ac:dyDescent="0.35">
      <c r="A1" s="9" t="s">
        <v>45</v>
      </c>
      <c r="B1" s="9" t="s">
        <v>20</v>
      </c>
      <c r="C1" s="9" t="s">
        <v>46</v>
      </c>
      <c r="D1" s="9" t="s">
        <v>84</v>
      </c>
      <c r="E1" s="9" t="s">
        <v>85</v>
      </c>
      <c r="F1" s="9" t="s">
        <v>86</v>
      </c>
      <c r="G1" s="9" t="s">
        <v>87</v>
      </c>
      <c r="H1" s="9" t="s">
        <v>88</v>
      </c>
      <c r="I1" s="9" t="s">
        <v>89</v>
      </c>
      <c r="J1" s="9" t="s">
        <v>90</v>
      </c>
      <c r="K1" s="9" t="s">
        <v>91</v>
      </c>
      <c r="L1" s="9" t="s">
        <v>92</v>
      </c>
      <c r="M1" s="9" t="s">
        <v>93</v>
      </c>
      <c r="N1" s="9" t="s">
        <v>94</v>
      </c>
      <c r="O1" s="9" t="s">
        <v>83</v>
      </c>
      <c r="P1" s="9" t="s">
        <v>59</v>
      </c>
      <c r="Q1" s="9" t="s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"/>
  <sheetViews>
    <sheetView workbookViewId="0"/>
  </sheetViews>
  <sheetFormatPr defaultRowHeight="14.5" x14ac:dyDescent="0.35"/>
  <cols>
    <col min="1" max="2" width="12" customWidth="1"/>
    <col min="3" max="3" width="15" customWidth="1"/>
    <col min="4" max="4" width="12" customWidth="1"/>
    <col min="5" max="5" width="10" customWidth="1"/>
    <col min="6" max="11" width="12" customWidth="1"/>
    <col min="12" max="12" width="10" customWidth="1"/>
    <col min="13" max="14" width="12" customWidth="1"/>
    <col min="15" max="15" width="15" customWidth="1"/>
    <col min="16" max="16" width="12" customWidth="1"/>
    <col min="17" max="17" width="10" customWidth="1"/>
  </cols>
  <sheetData>
    <row r="1" spans="1:17" x14ac:dyDescent="0.35">
      <c r="A1" s="9" t="s">
        <v>45</v>
      </c>
      <c r="B1" s="9" t="s">
        <v>20</v>
      </c>
      <c r="C1" s="9" t="s">
        <v>95</v>
      </c>
      <c r="D1" s="9" t="s">
        <v>79</v>
      </c>
      <c r="E1" s="9" t="s">
        <v>81</v>
      </c>
      <c r="F1" s="9" t="s">
        <v>75</v>
      </c>
      <c r="G1" s="9" t="s">
        <v>96</v>
      </c>
      <c r="H1" s="9" t="s">
        <v>86</v>
      </c>
      <c r="I1" s="9" t="s">
        <v>97</v>
      </c>
      <c r="J1" s="9" t="s">
        <v>98</v>
      </c>
      <c r="K1" s="9" t="s">
        <v>99</v>
      </c>
      <c r="L1" s="9" t="s">
        <v>92</v>
      </c>
      <c r="M1" s="9" t="s">
        <v>100</v>
      </c>
      <c r="N1" s="9" t="s">
        <v>101</v>
      </c>
      <c r="O1" s="9" t="s">
        <v>102</v>
      </c>
      <c r="P1" s="9" t="s">
        <v>59</v>
      </c>
      <c r="Q1" s="9" t="s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"/>
  <sheetViews>
    <sheetView workbookViewId="0"/>
  </sheetViews>
  <sheetFormatPr defaultRowHeight="14.5" x14ac:dyDescent="0.35"/>
  <cols>
    <col min="1" max="2" width="12" customWidth="1"/>
    <col min="3" max="3" width="15" customWidth="1"/>
    <col min="4" max="4" width="20" customWidth="1"/>
    <col min="5" max="6" width="12" customWidth="1"/>
    <col min="7" max="7" width="10" customWidth="1"/>
    <col min="8" max="11" width="12" customWidth="1"/>
    <col min="12" max="12" width="10" customWidth="1"/>
    <col min="13" max="14" width="12" customWidth="1"/>
    <col min="15" max="15" width="10" customWidth="1"/>
  </cols>
  <sheetData>
    <row r="1" spans="1:15" x14ac:dyDescent="0.35">
      <c r="A1" s="9" t="s">
        <v>45</v>
      </c>
      <c r="B1" s="9" t="s">
        <v>20</v>
      </c>
      <c r="C1" s="9" t="s">
        <v>84</v>
      </c>
      <c r="D1" s="9" t="s">
        <v>103</v>
      </c>
      <c r="E1" s="9" t="s">
        <v>90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108</v>
      </c>
      <c r="K1" s="9" t="s">
        <v>109</v>
      </c>
      <c r="L1" s="9" t="s">
        <v>81</v>
      </c>
      <c r="M1" s="9" t="s">
        <v>110</v>
      </c>
      <c r="N1" s="9" t="s">
        <v>59</v>
      </c>
      <c r="O1" s="9" t="s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workbookViewId="0"/>
  </sheetViews>
  <sheetFormatPr defaultRowHeight="14.5" x14ac:dyDescent="0.35"/>
  <cols>
    <col min="1" max="2" width="15" customWidth="1"/>
    <col min="3" max="3" width="35" customWidth="1"/>
    <col min="4" max="4" width="20" customWidth="1"/>
    <col min="5" max="5" width="12" customWidth="1"/>
    <col min="6" max="6" width="8" customWidth="1"/>
    <col min="7" max="7" width="12" customWidth="1"/>
    <col min="8" max="8" width="15" customWidth="1"/>
    <col min="9" max="9" width="30" customWidth="1"/>
  </cols>
  <sheetData>
    <row r="1" spans="1:9" ht="18.5" x14ac:dyDescent="0.45">
      <c r="A1" s="10" t="s">
        <v>111</v>
      </c>
    </row>
    <row r="3" spans="1:9" x14ac:dyDescent="0.35">
      <c r="A3" t="s">
        <v>112</v>
      </c>
      <c r="B3" s="11"/>
    </row>
    <row r="4" spans="1:9" x14ac:dyDescent="0.35">
      <c r="A4" t="s">
        <v>113</v>
      </c>
      <c r="B4" s="11"/>
    </row>
    <row r="6" spans="1:9" x14ac:dyDescent="0.35">
      <c r="A6" t="s">
        <v>114</v>
      </c>
    </row>
    <row r="7" spans="1:9" x14ac:dyDescent="0.35">
      <c r="A7" t="s">
        <v>115</v>
      </c>
    </row>
    <row r="8" spans="1:9" x14ac:dyDescent="0.35">
      <c r="A8" t="s">
        <v>116</v>
      </c>
    </row>
    <row r="9" spans="1:9" x14ac:dyDescent="0.35">
      <c r="A9" t="s">
        <v>117</v>
      </c>
    </row>
    <row r="11" spans="1:9" x14ac:dyDescent="0.35">
      <c r="A11" s="9" t="s">
        <v>118</v>
      </c>
      <c r="B11" s="9" t="s">
        <v>119</v>
      </c>
      <c r="C11" s="9" t="s">
        <v>120</v>
      </c>
      <c r="D11" s="9" t="s">
        <v>121</v>
      </c>
      <c r="E11" s="9" t="s">
        <v>122</v>
      </c>
      <c r="F11" s="9" t="s">
        <v>123</v>
      </c>
      <c r="G11" s="9" t="s">
        <v>124</v>
      </c>
      <c r="H11" s="9" t="s">
        <v>125</v>
      </c>
      <c r="I11" s="9" t="s">
        <v>35</v>
      </c>
    </row>
    <row r="12" spans="1:9" x14ac:dyDescent="0.35">
      <c r="A12" t="s">
        <v>126</v>
      </c>
      <c r="B12" t="s">
        <v>127</v>
      </c>
      <c r="C12" t="s">
        <v>128</v>
      </c>
      <c r="D12" t="s">
        <v>129</v>
      </c>
      <c r="E12">
        <f>SUMIFS(WallData!O:O,WallData!B:B,$B$3,WallData!N:N,"8")</f>
        <v>0</v>
      </c>
      <c r="F12" t="s">
        <v>130</v>
      </c>
      <c r="G12">
        <v>0</v>
      </c>
      <c r="H12">
        <f t="shared" ref="H12:H41" si="0">E12*G12</f>
        <v>0</v>
      </c>
    </row>
    <row r="13" spans="1:9" x14ac:dyDescent="0.35">
      <c r="A13" t="s">
        <v>126</v>
      </c>
      <c r="B13" t="s">
        <v>131</v>
      </c>
      <c r="C13" t="s">
        <v>132</v>
      </c>
      <c r="D13" t="s">
        <v>133</v>
      </c>
      <c r="E13">
        <f>SUMIFS(WallData!O:O,WallData!B:B,$B$3,WallData!N:N,"9")</f>
        <v>0</v>
      </c>
      <c r="F13" t="s">
        <v>130</v>
      </c>
      <c r="G13">
        <v>0</v>
      </c>
      <c r="H13">
        <f t="shared" si="0"/>
        <v>0</v>
      </c>
    </row>
    <row r="14" spans="1:9" x14ac:dyDescent="0.35">
      <c r="A14" t="s">
        <v>126</v>
      </c>
      <c r="B14" t="s">
        <v>134</v>
      </c>
      <c r="C14" t="s">
        <v>135</v>
      </c>
      <c r="D14" t="s">
        <v>136</v>
      </c>
      <c r="E14">
        <f>SUMIFS(WallData!O:O,WallData!B:B,$B$3,WallData!N:N,"10")</f>
        <v>0</v>
      </c>
      <c r="F14" t="s">
        <v>130</v>
      </c>
      <c r="G14">
        <v>0</v>
      </c>
      <c r="H14">
        <f t="shared" si="0"/>
        <v>0</v>
      </c>
    </row>
    <row r="15" spans="1:9" x14ac:dyDescent="0.35">
      <c r="A15" t="s">
        <v>126</v>
      </c>
      <c r="B15" t="s">
        <v>137</v>
      </c>
      <c r="C15" t="s">
        <v>138</v>
      </c>
      <c r="D15" t="s">
        <v>139</v>
      </c>
      <c r="E15">
        <f>SUMIF(WallData!B:B,$B$3,WallData!G:G)*4.5</f>
        <v>0</v>
      </c>
      <c r="F15" t="s">
        <v>140</v>
      </c>
      <c r="G15">
        <v>0</v>
      </c>
      <c r="H15">
        <f t="shared" si="0"/>
        <v>0</v>
      </c>
    </row>
    <row r="16" spans="1:9" x14ac:dyDescent="0.35">
      <c r="A16" t="s">
        <v>126</v>
      </c>
      <c r="B16" t="s">
        <v>141</v>
      </c>
      <c r="C16" t="s">
        <v>142</v>
      </c>
      <c r="D16" t="s">
        <v>143</v>
      </c>
      <c r="E16">
        <f>SUMIF(WallData!B:B,$B$3,WallData!M:M)</f>
        <v>0</v>
      </c>
      <c r="F16" t="s">
        <v>140</v>
      </c>
      <c r="G16">
        <v>0</v>
      </c>
      <c r="H16">
        <f t="shared" si="0"/>
        <v>0</v>
      </c>
    </row>
    <row r="17" spans="1:8" x14ac:dyDescent="0.35">
      <c r="A17" t="s">
        <v>126</v>
      </c>
      <c r="B17" t="s">
        <v>144</v>
      </c>
      <c r="C17" t="s">
        <v>145</v>
      </c>
      <c r="D17" t="s">
        <v>146</v>
      </c>
      <c r="E17">
        <f>SUMIF(WallData!B:B,$B$3,WallData!L:L)</f>
        <v>0</v>
      </c>
      <c r="F17" t="s">
        <v>130</v>
      </c>
      <c r="G17">
        <v>0</v>
      </c>
      <c r="H17">
        <f t="shared" si="0"/>
        <v>0</v>
      </c>
    </row>
    <row r="18" spans="1:8" x14ac:dyDescent="0.35">
      <c r="A18" t="s">
        <v>147</v>
      </c>
      <c r="B18" t="s">
        <v>148</v>
      </c>
      <c r="C18" t="s">
        <v>149</v>
      </c>
      <c r="D18" t="s">
        <v>150</v>
      </c>
      <c r="E18">
        <f>SUMIF(RoofData!B:B,$B$3,RoofData!I:I)</f>
        <v>0</v>
      </c>
      <c r="F18" t="s">
        <v>151</v>
      </c>
      <c r="G18">
        <v>0</v>
      </c>
      <c r="H18">
        <f t="shared" si="0"/>
        <v>0</v>
      </c>
    </row>
    <row r="19" spans="1:8" x14ac:dyDescent="0.35">
      <c r="A19" t="s">
        <v>147</v>
      </c>
      <c r="B19" t="s">
        <v>152</v>
      </c>
      <c r="C19" t="s">
        <v>153</v>
      </c>
      <c r="D19" t="s">
        <v>154</v>
      </c>
      <c r="E19">
        <f>SUMIF(RoofData!B:B,$B$3,RoofData!L:L)</f>
        <v>0</v>
      </c>
      <c r="F19" t="s">
        <v>140</v>
      </c>
      <c r="G19">
        <v>0</v>
      </c>
      <c r="H19">
        <f t="shared" si="0"/>
        <v>0</v>
      </c>
    </row>
    <row r="20" spans="1:8" x14ac:dyDescent="0.35">
      <c r="A20" t="s">
        <v>147</v>
      </c>
      <c r="B20" t="s">
        <v>155</v>
      </c>
      <c r="C20" t="s">
        <v>156</v>
      </c>
      <c r="D20" t="s">
        <v>157</v>
      </c>
      <c r="E20">
        <f>SUMIF(RoofData!B:B,$B$3,RoofData!M:M)</f>
        <v>0</v>
      </c>
      <c r="F20" t="s">
        <v>140</v>
      </c>
      <c r="G20">
        <v>0</v>
      </c>
      <c r="H20">
        <f t="shared" si="0"/>
        <v>0</v>
      </c>
    </row>
    <row r="21" spans="1:8" x14ac:dyDescent="0.35">
      <c r="A21" t="s">
        <v>147</v>
      </c>
      <c r="B21" t="s">
        <v>158</v>
      </c>
      <c r="C21" t="s">
        <v>159</v>
      </c>
      <c r="D21" t="s">
        <v>157</v>
      </c>
      <c r="E21">
        <f>SUMIF(RoofData!B:B,$B$3,RoofData!N:N)</f>
        <v>0</v>
      </c>
      <c r="F21" t="s">
        <v>140</v>
      </c>
      <c r="G21">
        <v>0</v>
      </c>
      <c r="H21">
        <f t="shared" si="0"/>
        <v>0</v>
      </c>
    </row>
    <row r="22" spans="1:8" x14ac:dyDescent="0.35">
      <c r="A22" t="s">
        <v>160</v>
      </c>
      <c r="B22" t="s">
        <v>161</v>
      </c>
      <c r="C22" t="s">
        <v>162</v>
      </c>
      <c r="D22" t="s">
        <v>163</v>
      </c>
      <c r="E22">
        <f>SUMIF(PostBeamData!B:B,$B$3,PostBeamData!I:I)</f>
        <v>0</v>
      </c>
      <c r="F22" t="s">
        <v>140</v>
      </c>
      <c r="G22">
        <v>0</v>
      </c>
      <c r="H22">
        <f t="shared" si="0"/>
        <v>0</v>
      </c>
    </row>
    <row r="23" spans="1:8" x14ac:dyDescent="0.35">
      <c r="A23" t="s">
        <v>160</v>
      </c>
      <c r="B23" t="s">
        <v>164</v>
      </c>
      <c r="C23" t="s">
        <v>165</v>
      </c>
      <c r="D23" t="s">
        <v>166</v>
      </c>
      <c r="E23">
        <f>SUMIF(PostBeamData!B:B,$B$3,PostBeamData!L:L)</f>
        <v>0</v>
      </c>
      <c r="F23" t="s">
        <v>130</v>
      </c>
      <c r="G23">
        <v>0</v>
      </c>
      <c r="H23">
        <f t="shared" si="0"/>
        <v>0</v>
      </c>
    </row>
    <row r="24" spans="1:8" x14ac:dyDescent="0.35">
      <c r="A24" t="s">
        <v>160</v>
      </c>
      <c r="B24" t="s">
        <v>167</v>
      </c>
      <c r="C24" t="s">
        <v>82</v>
      </c>
      <c r="D24" t="s">
        <v>168</v>
      </c>
      <c r="E24">
        <f>SUMIF(PostBeamData!B:B,$B$3,PostBeamData!M:M)</f>
        <v>0</v>
      </c>
      <c r="F24" t="s">
        <v>130</v>
      </c>
      <c r="G24">
        <v>0</v>
      </c>
      <c r="H24">
        <f t="shared" si="0"/>
        <v>0</v>
      </c>
    </row>
    <row r="25" spans="1:8" x14ac:dyDescent="0.35">
      <c r="A25" t="s">
        <v>160</v>
      </c>
      <c r="B25" t="s">
        <v>169</v>
      </c>
      <c r="C25" t="s">
        <v>170</v>
      </c>
      <c r="D25" t="s">
        <v>171</v>
      </c>
      <c r="E25">
        <f>SUMIF(PostBeamData!B:B,$B$3,PostBeamData!N:N)</f>
        <v>0</v>
      </c>
      <c r="F25" t="s">
        <v>130</v>
      </c>
      <c r="G25">
        <v>0</v>
      </c>
      <c r="H25">
        <f t="shared" si="0"/>
        <v>0</v>
      </c>
    </row>
    <row r="26" spans="1:8" x14ac:dyDescent="0.35">
      <c r="A26" t="s">
        <v>172</v>
      </c>
      <c r="B26" t="s">
        <v>173</v>
      </c>
      <c r="C26" t="s">
        <v>174</v>
      </c>
      <c r="D26" t="s">
        <v>175</v>
      </c>
      <c r="E26">
        <f>SUMIF(FloorSystemData!B:B,$B$3,FloorSystemData!L:L)</f>
        <v>0</v>
      </c>
      <c r="F26" t="s">
        <v>130</v>
      </c>
      <c r="G26">
        <v>0</v>
      </c>
      <c r="H26">
        <f t="shared" si="0"/>
        <v>0</v>
      </c>
    </row>
    <row r="27" spans="1:8" x14ac:dyDescent="0.35">
      <c r="A27" t="s">
        <v>172</v>
      </c>
      <c r="B27" t="s">
        <v>176</v>
      </c>
      <c r="C27" t="s">
        <v>177</v>
      </c>
      <c r="D27" t="s">
        <v>178</v>
      </c>
      <c r="E27">
        <f>SUMIF(FloorSystemData!B:B,$B$3,FloorSystemData!M:M)</f>
        <v>0</v>
      </c>
      <c r="F27" t="s">
        <v>151</v>
      </c>
      <c r="G27">
        <v>0</v>
      </c>
      <c r="H27">
        <f t="shared" si="0"/>
        <v>0</v>
      </c>
    </row>
    <row r="28" spans="1:8" x14ac:dyDescent="0.35">
      <c r="A28" t="s">
        <v>172</v>
      </c>
      <c r="B28" t="s">
        <v>179</v>
      </c>
      <c r="C28" t="s">
        <v>180</v>
      </c>
      <c r="D28" t="s">
        <v>181</v>
      </c>
      <c r="E28">
        <f>SUMIF(FloorSystemData!B:B,$B$3,FloorSystemData!N:N)</f>
        <v>0</v>
      </c>
      <c r="F28" t="s">
        <v>182</v>
      </c>
      <c r="G28">
        <v>0</v>
      </c>
      <c r="H28">
        <f t="shared" si="0"/>
        <v>0</v>
      </c>
    </row>
    <row r="29" spans="1:8" x14ac:dyDescent="0.35">
      <c r="A29" t="s">
        <v>172</v>
      </c>
      <c r="B29" t="s">
        <v>183</v>
      </c>
      <c r="C29" t="s">
        <v>184</v>
      </c>
      <c r="D29" t="s">
        <v>185</v>
      </c>
      <c r="E29">
        <f>SUMIF(FloorSystemData!B:B,$B$3,FloorSystemData!O:O)</f>
        <v>0</v>
      </c>
      <c r="F29" t="s">
        <v>130</v>
      </c>
      <c r="G29">
        <v>0</v>
      </c>
      <c r="H29">
        <f t="shared" si="0"/>
        <v>0</v>
      </c>
    </row>
    <row r="30" spans="1:8" x14ac:dyDescent="0.35">
      <c r="A30" t="s">
        <v>172</v>
      </c>
      <c r="B30" t="s">
        <v>186</v>
      </c>
      <c r="C30" t="s">
        <v>187</v>
      </c>
      <c r="D30" t="s">
        <v>188</v>
      </c>
      <c r="E30">
        <f>SUMIF(FloorSystemData!B:B,$B$3,FloorSystemData!K:K)</f>
        <v>0</v>
      </c>
      <c r="F30" t="s">
        <v>140</v>
      </c>
      <c r="G30">
        <v>0</v>
      </c>
      <c r="H30">
        <f t="shared" si="0"/>
        <v>0</v>
      </c>
    </row>
    <row r="31" spans="1:8" x14ac:dyDescent="0.35">
      <c r="A31" t="s">
        <v>189</v>
      </c>
      <c r="B31" t="s">
        <v>190</v>
      </c>
      <c r="C31" t="s">
        <v>191</v>
      </c>
      <c r="D31" t="s">
        <v>192</v>
      </c>
      <c r="E31">
        <f>SUMIF(DeckFramingData!B:B,$B$3,DeckFramingData!E:E)</f>
        <v>0</v>
      </c>
      <c r="F31" t="s">
        <v>130</v>
      </c>
      <c r="G31">
        <v>0</v>
      </c>
      <c r="H31">
        <f t="shared" si="0"/>
        <v>0</v>
      </c>
    </row>
    <row r="32" spans="1:8" x14ac:dyDescent="0.35">
      <c r="A32" t="s">
        <v>189</v>
      </c>
      <c r="B32" t="s">
        <v>193</v>
      </c>
      <c r="C32" t="s">
        <v>194</v>
      </c>
      <c r="D32" t="s">
        <v>195</v>
      </c>
      <c r="E32">
        <f>SUMIF(DeckFramingData!B:B,$B$3,DeckFramingData!G:G)</f>
        <v>0</v>
      </c>
      <c r="F32" t="s">
        <v>140</v>
      </c>
      <c r="G32">
        <v>0</v>
      </c>
      <c r="H32">
        <f t="shared" si="0"/>
        <v>0</v>
      </c>
    </row>
    <row r="33" spans="1:8" x14ac:dyDescent="0.35">
      <c r="A33" t="s">
        <v>189</v>
      </c>
      <c r="B33" t="s">
        <v>196</v>
      </c>
      <c r="C33" t="s">
        <v>197</v>
      </c>
      <c r="D33" t="s">
        <v>198</v>
      </c>
      <c r="E33">
        <f>SUMIF(DeckFramingData!B:B,$B$3,DeckFramingData!L:L)</f>
        <v>0</v>
      </c>
      <c r="F33" t="s">
        <v>130</v>
      </c>
      <c r="G33">
        <v>0</v>
      </c>
      <c r="H33">
        <f t="shared" si="0"/>
        <v>0</v>
      </c>
    </row>
    <row r="34" spans="1:8" x14ac:dyDescent="0.35">
      <c r="A34" t="s">
        <v>189</v>
      </c>
      <c r="B34" t="s">
        <v>199</v>
      </c>
      <c r="C34" t="s">
        <v>200</v>
      </c>
      <c r="D34" t="s">
        <v>188</v>
      </c>
      <c r="E34">
        <f>SUMIF(DeckFramingData!B:B,$B$3,DeckFramingData!N:N)</f>
        <v>0</v>
      </c>
      <c r="F34" t="s">
        <v>140</v>
      </c>
      <c r="G34">
        <v>0</v>
      </c>
      <c r="H34">
        <f t="shared" si="0"/>
        <v>0</v>
      </c>
    </row>
    <row r="35" spans="1:8" x14ac:dyDescent="0.35">
      <c r="A35" t="s">
        <v>189</v>
      </c>
      <c r="B35" t="s">
        <v>201</v>
      </c>
      <c r="C35" t="s">
        <v>202</v>
      </c>
      <c r="D35" t="s">
        <v>203</v>
      </c>
      <c r="E35">
        <f>SUMIF(DeckFramingData!B:B,$B$3,DeckFramingData!E:E)*4</f>
        <v>0</v>
      </c>
      <c r="F35" t="s">
        <v>130</v>
      </c>
      <c r="G35">
        <v>0</v>
      </c>
      <c r="H35">
        <f t="shared" si="0"/>
        <v>0</v>
      </c>
    </row>
    <row r="36" spans="1:8" x14ac:dyDescent="0.35">
      <c r="A36" t="s">
        <v>204</v>
      </c>
      <c r="B36" t="s">
        <v>205</v>
      </c>
      <c r="C36" t="s">
        <v>206</v>
      </c>
      <c r="D36" t="s">
        <v>207</v>
      </c>
      <c r="E36">
        <f>SUMIF(DeckSurfaceData!B:B,$B$3,DeckSurfaceData!G:G)</f>
        <v>0</v>
      </c>
      <c r="F36" t="s">
        <v>130</v>
      </c>
      <c r="G36">
        <v>0</v>
      </c>
      <c r="H36">
        <f t="shared" si="0"/>
        <v>0</v>
      </c>
    </row>
    <row r="37" spans="1:8" x14ac:dyDescent="0.35">
      <c r="A37" t="s">
        <v>204</v>
      </c>
      <c r="B37" t="s">
        <v>208</v>
      </c>
      <c r="C37" t="s">
        <v>209</v>
      </c>
      <c r="D37" t="s">
        <v>210</v>
      </c>
      <c r="E37">
        <f>SUMIF(DeckSurfaceData!B:B,$B$3,DeckSurfaceData!H:H)</f>
        <v>0</v>
      </c>
      <c r="F37" t="s">
        <v>140</v>
      </c>
      <c r="G37">
        <v>0</v>
      </c>
      <c r="H37">
        <f t="shared" si="0"/>
        <v>0</v>
      </c>
    </row>
    <row r="38" spans="1:8" x14ac:dyDescent="0.35">
      <c r="A38" t="s">
        <v>204</v>
      </c>
      <c r="B38" t="s">
        <v>211</v>
      </c>
      <c r="C38" t="s">
        <v>212</v>
      </c>
      <c r="D38" t="s">
        <v>213</v>
      </c>
      <c r="E38">
        <f>SUMIF(DeckSurfaceData!B:B,$B$3,DeckSurfaceData!I:I)</f>
        <v>0</v>
      </c>
      <c r="F38" t="s">
        <v>130</v>
      </c>
      <c r="G38">
        <v>0</v>
      </c>
      <c r="H38">
        <f t="shared" si="0"/>
        <v>0</v>
      </c>
    </row>
    <row r="39" spans="1:8" x14ac:dyDescent="0.35">
      <c r="A39" t="s">
        <v>204</v>
      </c>
      <c r="B39" t="s">
        <v>214</v>
      </c>
      <c r="C39" t="s">
        <v>215</v>
      </c>
      <c r="D39" t="s">
        <v>216</v>
      </c>
      <c r="E39">
        <f>SUMIF(DeckSurfaceData!B:B,$B$3,DeckSurfaceData!J:J)</f>
        <v>0</v>
      </c>
      <c r="F39" t="s">
        <v>217</v>
      </c>
      <c r="G39">
        <v>0</v>
      </c>
      <c r="H39">
        <f t="shared" si="0"/>
        <v>0</v>
      </c>
    </row>
    <row r="40" spans="1:8" x14ac:dyDescent="0.35">
      <c r="A40" t="s">
        <v>204</v>
      </c>
      <c r="B40" t="s">
        <v>218</v>
      </c>
      <c r="C40" t="s">
        <v>219</v>
      </c>
      <c r="D40" t="s">
        <v>220</v>
      </c>
      <c r="E40">
        <f>SUMIF(DeckSurfaceData!B:B,$B$3,DeckSurfaceData!L:L)</f>
        <v>0</v>
      </c>
      <c r="F40" t="s">
        <v>130</v>
      </c>
      <c r="G40">
        <v>0</v>
      </c>
      <c r="H40">
        <f t="shared" si="0"/>
        <v>0</v>
      </c>
    </row>
    <row r="41" spans="1:8" x14ac:dyDescent="0.35">
      <c r="A41" t="s">
        <v>204</v>
      </c>
      <c r="B41" t="s">
        <v>221</v>
      </c>
      <c r="C41" t="s">
        <v>222</v>
      </c>
      <c r="D41" t="s">
        <v>223</v>
      </c>
      <c r="E41">
        <f>SUMIF(DeckSurfaceData!B:B,$B$3,DeckSurfaceData!M:M)</f>
        <v>0</v>
      </c>
      <c r="F41" t="s">
        <v>130</v>
      </c>
      <c r="G41">
        <v>0</v>
      </c>
      <c r="H41">
        <f t="shared" si="0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/>
  </sheetViews>
  <sheetFormatPr defaultRowHeight="14.5" x14ac:dyDescent="0.35"/>
  <cols>
    <col min="1" max="1" width="20" customWidth="1"/>
    <col min="2" max="3" width="40" customWidth="1"/>
  </cols>
  <sheetData>
    <row r="1" spans="1:3" ht="18.5" x14ac:dyDescent="0.45">
      <c r="A1" s="10" t="s">
        <v>224</v>
      </c>
    </row>
    <row r="3" spans="1:3" x14ac:dyDescent="0.35">
      <c r="A3" s="12" t="s">
        <v>225</v>
      </c>
      <c r="B3" s="12" t="s">
        <v>226</v>
      </c>
      <c r="C3" s="12" t="s">
        <v>227</v>
      </c>
    </row>
    <row r="4" spans="1:3" x14ac:dyDescent="0.35">
      <c r="A4" t="s">
        <v>21</v>
      </c>
      <c r="B4" t="s">
        <v>228</v>
      </c>
      <c r="C4" t="s">
        <v>229</v>
      </c>
    </row>
    <row r="5" spans="1:3" x14ac:dyDescent="0.35">
      <c r="A5" t="s">
        <v>46</v>
      </c>
      <c r="B5" t="s">
        <v>230</v>
      </c>
      <c r="C5" t="s">
        <v>231</v>
      </c>
    </row>
    <row r="6" spans="1:3" x14ac:dyDescent="0.35">
      <c r="A6" t="s">
        <v>232</v>
      </c>
      <c r="B6" t="s">
        <v>233</v>
      </c>
      <c r="C6" t="s">
        <v>234</v>
      </c>
    </row>
    <row r="7" spans="1:3" x14ac:dyDescent="0.35">
      <c r="A7" t="s">
        <v>57</v>
      </c>
      <c r="B7" t="s">
        <v>235</v>
      </c>
      <c r="C7" t="s">
        <v>236</v>
      </c>
    </row>
    <row r="8" spans="1:3" x14ac:dyDescent="0.35">
      <c r="A8" t="s">
        <v>237</v>
      </c>
      <c r="B8" t="s">
        <v>238</v>
      </c>
      <c r="C8" t="s">
        <v>239</v>
      </c>
    </row>
    <row r="9" spans="1:3" x14ac:dyDescent="0.35">
      <c r="A9" t="s">
        <v>97</v>
      </c>
      <c r="B9" t="s">
        <v>240</v>
      </c>
      <c r="C9" t="s">
        <v>241</v>
      </c>
    </row>
    <row r="10" spans="1:3" x14ac:dyDescent="0.35">
      <c r="A10" t="s">
        <v>242</v>
      </c>
      <c r="B10" t="s">
        <v>243</v>
      </c>
      <c r="C10" t="s">
        <v>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4"/>
  <sheetViews>
    <sheetView workbookViewId="0"/>
  </sheetViews>
  <sheetFormatPr defaultRowHeight="14.5" x14ac:dyDescent="0.35"/>
  <cols>
    <col min="1" max="1" width="60" customWidth="1"/>
  </cols>
  <sheetData>
    <row r="1" spans="1:1" ht="18.5" x14ac:dyDescent="0.45">
      <c r="A1" s="10" t="s">
        <v>245</v>
      </c>
    </row>
    <row r="3" spans="1:1" ht="15.5" x14ac:dyDescent="0.35">
      <c r="A3" s="2" t="s">
        <v>246</v>
      </c>
    </row>
    <row r="4" spans="1:1" x14ac:dyDescent="0.35">
      <c r="A4" t="s">
        <v>247</v>
      </c>
    </row>
    <row r="5" spans="1:1" x14ac:dyDescent="0.35">
      <c r="A5" t="s">
        <v>248</v>
      </c>
    </row>
    <row r="6" spans="1:1" x14ac:dyDescent="0.35">
      <c r="A6" t="s">
        <v>249</v>
      </c>
    </row>
    <row r="7" spans="1:1" x14ac:dyDescent="0.35">
      <c r="A7" t="s">
        <v>250</v>
      </c>
    </row>
    <row r="8" spans="1:1" x14ac:dyDescent="0.35">
      <c r="A8" t="s">
        <v>251</v>
      </c>
    </row>
    <row r="9" spans="1:1" x14ac:dyDescent="0.35">
      <c r="A9" t="s">
        <v>252</v>
      </c>
    </row>
    <row r="10" spans="1:1" x14ac:dyDescent="0.35">
      <c r="A10" t="s">
        <v>253</v>
      </c>
    </row>
    <row r="11" spans="1:1" x14ac:dyDescent="0.35">
      <c r="A11" t="s">
        <v>254</v>
      </c>
    </row>
    <row r="13" spans="1:1" ht="15.5" x14ac:dyDescent="0.35">
      <c r="A13" s="2" t="s">
        <v>255</v>
      </c>
    </row>
    <row r="14" spans="1:1" x14ac:dyDescent="0.35">
      <c r="A14" t="s">
        <v>256</v>
      </c>
    </row>
    <row r="15" spans="1:1" x14ac:dyDescent="0.35">
      <c r="A15" t="s">
        <v>257</v>
      </c>
    </row>
    <row r="16" spans="1:1" x14ac:dyDescent="0.35">
      <c r="A16" t="s">
        <v>258</v>
      </c>
    </row>
    <row r="17" spans="1:1" x14ac:dyDescent="0.35">
      <c r="A17" t="s">
        <v>259</v>
      </c>
    </row>
    <row r="18" spans="1:1" x14ac:dyDescent="0.35">
      <c r="A18" t="s">
        <v>260</v>
      </c>
    </row>
    <row r="19" spans="1:1" x14ac:dyDescent="0.35">
      <c r="A19" t="s">
        <v>261</v>
      </c>
    </row>
    <row r="20" spans="1:1" x14ac:dyDescent="0.35">
      <c r="A20" t="s">
        <v>262</v>
      </c>
    </row>
    <row r="21" spans="1:1" x14ac:dyDescent="0.35">
      <c r="A21" t="s">
        <v>263</v>
      </c>
    </row>
    <row r="22" spans="1:1" x14ac:dyDescent="0.35">
      <c r="A22" t="s">
        <v>264</v>
      </c>
    </row>
    <row r="24" spans="1:1" ht="15.5" x14ac:dyDescent="0.35">
      <c r="A24" s="2" t="s">
        <v>265</v>
      </c>
    </row>
    <row r="25" spans="1:1" x14ac:dyDescent="0.35">
      <c r="A25" t="s">
        <v>266</v>
      </c>
    </row>
    <row r="26" spans="1:1" x14ac:dyDescent="0.35">
      <c r="A26" t="s">
        <v>267</v>
      </c>
    </row>
    <row r="27" spans="1:1" x14ac:dyDescent="0.35">
      <c r="A27" t="s">
        <v>268</v>
      </c>
    </row>
    <row r="28" spans="1:1" x14ac:dyDescent="0.35">
      <c r="A28" t="s">
        <v>269</v>
      </c>
    </row>
    <row r="29" spans="1:1" x14ac:dyDescent="0.35">
      <c r="A29" t="s">
        <v>270</v>
      </c>
    </row>
    <row r="30" spans="1:1" x14ac:dyDescent="0.35">
      <c r="A30" t="s">
        <v>271</v>
      </c>
    </row>
    <row r="31" spans="1:1" x14ac:dyDescent="0.35">
      <c r="A31" t="s">
        <v>272</v>
      </c>
    </row>
    <row r="32" spans="1:1" x14ac:dyDescent="0.35">
      <c r="A32" t="s">
        <v>273</v>
      </c>
    </row>
    <row r="33" spans="1:1" x14ac:dyDescent="0.35">
      <c r="A33" t="s">
        <v>274</v>
      </c>
    </row>
    <row r="35" spans="1:1" ht="15.5" x14ac:dyDescent="0.35">
      <c r="A35" s="2" t="s">
        <v>275</v>
      </c>
    </row>
    <row r="36" spans="1:1" x14ac:dyDescent="0.35">
      <c r="A36" t="s">
        <v>276</v>
      </c>
    </row>
    <row r="37" spans="1:1" x14ac:dyDescent="0.35">
      <c r="A37" t="s">
        <v>277</v>
      </c>
    </row>
    <row r="38" spans="1:1" x14ac:dyDescent="0.35">
      <c r="A38" t="s">
        <v>278</v>
      </c>
    </row>
    <row r="39" spans="1:1" x14ac:dyDescent="0.35">
      <c r="A39" t="s">
        <v>279</v>
      </c>
    </row>
    <row r="40" spans="1:1" x14ac:dyDescent="0.35">
      <c r="A40" t="s">
        <v>280</v>
      </c>
    </row>
    <row r="41" spans="1:1" x14ac:dyDescent="0.35">
      <c r="A41" t="s">
        <v>281</v>
      </c>
    </row>
    <row r="42" spans="1:1" x14ac:dyDescent="0.35">
      <c r="A42" t="s">
        <v>282</v>
      </c>
    </row>
    <row r="43" spans="1:1" x14ac:dyDescent="0.35">
      <c r="A43" t="s">
        <v>283</v>
      </c>
    </row>
    <row r="44" spans="1:1" x14ac:dyDescent="0.35">
      <c r="A44" t="s">
        <v>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5"/>
  <sheetViews>
    <sheetView workbookViewId="0"/>
  </sheetViews>
  <sheetFormatPr defaultRowHeight="14.5" x14ac:dyDescent="0.35"/>
  <cols>
    <col min="1" max="1" width="80" customWidth="1"/>
  </cols>
  <sheetData>
    <row r="1" spans="1:1" ht="18.5" x14ac:dyDescent="0.45">
      <c r="A1" s="10" t="s">
        <v>285</v>
      </c>
    </row>
    <row r="3" spans="1:1" ht="15.5" x14ac:dyDescent="0.35">
      <c r="A3" s="2" t="s">
        <v>286</v>
      </c>
    </row>
    <row r="5" spans="1:1" x14ac:dyDescent="0.35">
      <c r="A5" t="s">
        <v>287</v>
      </c>
    </row>
    <row r="6" spans="1:1" x14ac:dyDescent="0.35">
      <c r="A6" t="s">
        <v>288</v>
      </c>
    </row>
    <row r="7" spans="1:1" x14ac:dyDescent="0.35">
      <c r="A7" t="s">
        <v>289</v>
      </c>
    </row>
    <row r="8" spans="1:1" x14ac:dyDescent="0.35">
      <c r="A8" t="s">
        <v>290</v>
      </c>
    </row>
    <row r="10" spans="1:1" x14ac:dyDescent="0.35">
      <c r="A10" t="s">
        <v>291</v>
      </c>
    </row>
    <row r="11" spans="1:1" x14ac:dyDescent="0.35">
      <c r="A11" t="s">
        <v>292</v>
      </c>
    </row>
    <row r="12" spans="1:1" x14ac:dyDescent="0.35">
      <c r="A12" t="s">
        <v>293</v>
      </c>
    </row>
    <row r="13" spans="1:1" x14ac:dyDescent="0.35">
      <c r="A13" t="s">
        <v>294</v>
      </c>
    </row>
    <row r="14" spans="1:1" x14ac:dyDescent="0.35">
      <c r="A14" t="s">
        <v>295</v>
      </c>
    </row>
    <row r="15" spans="1:1" x14ac:dyDescent="0.35">
      <c r="A15" t="s">
        <v>296</v>
      </c>
    </row>
    <row r="16" spans="1:1" x14ac:dyDescent="0.35">
      <c r="A16" t="s">
        <v>297</v>
      </c>
    </row>
    <row r="17" spans="1:1" x14ac:dyDescent="0.35">
      <c r="A17" t="s">
        <v>298</v>
      </c>
    </row>
    <row r="19" spans="1:1" x14ac:dyDescent="0.35">
      <c r="A19" t="s">
        <v>299</v>
      </c>
    </row>
    <row r="20" spans="1:1" x14ac:dyDescent="0.35">
      <c r="A20" t="s">
        <v>300</v>
      </c>
    </row>
    <row r="21" spans="1:1" x14ac:dyDescent="0.35">
      <c r="A21" t="s">
        <v>301</v>
      </c>
    </row>
    <row r="22" spans="1:1" x14ac:dyDescent="0.35">
      <c r="A22" t="s">
        <v>302</v>
      </c>
    </row>
    <row r="23" spans="1:1" x14ac:dyDescent="0.35">
      <c r="A23" t="s">
        <v>303</v>
      </c>
    </row>
    <row r="25" spans="1:1" x14ac:dyDescent="0.35">
      <c r="A25" t="s">
        <v>304</v>
      </c>
    </row>
    <row r="26" spans="1:1" x14ac:dyDescent="0.35">
      <c r="A26" t="s">
        <v>305</v>
      </c>
    </row>
    <row r="27" spans="1:1" x14ac:dyDescent="0.35">
      <c r="A27" t="s">
        <v>306</v>
      </c>
    </row>
    <row r="28" spans="1:1" x14ac:dyDescent="0.35">
      <c r="A28" t="s">
        <v>307</v>
      </c>
    </row>
    <row r="29" spans="1:1" x14ac:dyDescent="0.35">
      <c r="A29" t="s">
        <v>308</v>
      </c>
    </row>
    <row r="31" spans="1:1" x14ac:dyDescent="0.35">
      <c r="A31" s="5" t="s">
        <v>309</v>
      </c>
    </row>
    <row r="33" spans="1:1" x14ac:dyDescent="0.35">
      <c r="A33" s="13" t="s">
        <v>310</v>
      </c>
    </row>
    <row r="34" spans="1:1" x14ac:dyDescent="0.35">
      <c r="A34" s="13" t="s">
        <v>311</v>
      </c>
    </row>
    <row r="35" spans="1:1" x14ac:dyDescent="0.35">
      <c r="A35" s="13" t="s">
        <v>312</v>
      </c>
    </row>
    <row r="36" spans="1:1" x14ac:dyDescent="0.35">
      <c r="A36" s="13" t="s">
        <v>313</v>
      </c>
    </row>
    <row r="37" spans="1:1" x14ac:dyDescent="0.35">
      <c r="A37" s="13" t="s">
        <v>314</v>
      </c>
    </row>
    <row r="38" spans="1:1" x14ac:dyDescent="0.35">
      <c r="A38" s="13" t="s">
        <v>315</v>
      </c>
    </row>
    <row r="39" spans="1:1" x14ac:dyDescent="0.35">
      <c r="A39" s="13" t="s">
        <v>316</v>
      </c>
    </row>
    <row r="40" spans="1:1" x14ac:dyDescent="0.35">
      <c r="A40" s="13" t="s">
        <v>317</v>
      </c>
    </row>
    <row r="41" spans="1:1" x14ac:dyDescent="0.35">
      <c r="A41" s="13" t="s">
        <v>318</v>
      </c>
    </row>
    <row r="42" spans="1:1" x14ac:dyDescent="0.35">
      <c r="A42" s="13" t="s">
        <v>319</v>
      </c>
    </row>
    <row r="43" spans="1:1" x14ac:dyDescent="0.35">
      <c r="A43" s="13" t="s">
        <v>320</v>
      </c>
    </row>
    <row r="44" spans="1:1" x14ac:dyDescent="0.35">
      <c r="A44" s="13" t="s">
        <v>321</v>
      </c>
    </row>
    <row r="45" spans="1:1" x14ac:dyDescent="0.35">
      <c r="A45" s="13" t="s">
        <v>316</v>
      </c>
    </row>
    <row r="46" spans="1:1" x14ac:dyDescent="0.35">
      <c r="A46" s="13" t="s">
        <v>322</v>
      </c>
    </row>
    <row r="47" spans="1:1" x14ac:dyDescent="0.35">
      <c r="A47" s="13" t="s">
        <v>323</v>
      </c>
    </row>
    <row r="48" spans="1:1" x14ac:dyDescent="0.35">
      <c r="A48" s="13" t="s">
        <v>324</v>
      </c>
    </row>
    <row r="49" spans="1:1" x14ac:dyDescent="0.35">
      <c r="A49" s="13" t="s">
        <v>325</v>
      </c>
    </row>
    <row r="50" spans="1:1" x14ac:dyDescent="0.35">
      <c r="A50" s="13" t="s">
        <v>326</v>
      </c>
    </row>
    <row r="51" spans="1:1" x14ac:dyDescent="0.35">
      <c r="A51" s="13" t="s">
        <v>327</v>
      </c>
    </row>
    <row r="52" spans="1:1" x14ac:dyDescent="0.35">
      <c r="A52" s="13" t="s">
        <v>328</v>
      </c>
    </row>
    <row r="53" spans="1:1" x14ac:dyDescent="0.35">
      <c r="A53" s="13" t="s">
        <v>316</v>
      </c>
    </row>
    <row r="54" spans="1:1" x14ac:dyDescent="0.35">
      <c r="A54" s="13" t="s">
        <v>329</v>
      </c>
    </row>
    <row r="55" spans="1:1" x14ac:dyDescent="0.35">
      <c r="A55" s="13" t="s">
        <v>330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workbookViewId="0"/>
  </sheetViews>
  <sheetFormatPr defaultRowHeight="14.5" x14ac:dyDescent="0.35"/>
  <cols>
    <col min="1" max="3" width="15" customWidth="1"/>
    <col min="4" max="5" width="20" customWidth="1"/>
    <col min="6" max="7" width="15" customWidth="1"/>
    <col min="8" max="8" width="20" customWidth="1"/>
    <col min="9" max="9" width="25" customWidth="1"/>
  </cols>
  <sheetData>
    <row r="1" spans="1:9" ht="18.5" x14ac:dyDescent="0.45">
      <c r="A1" s="10" t="s">
        <v>331</v>
      </c>
    </row>
    <row r="3" spans="1:9" x14ac:dyDescent="0.35">
      <c r="A3" s="5" t="s">
        <v>332</v>
      </c>
      <c r="D3" s="5" t="s">
        <v>333</v>
      </c>
      <c r="G3" s="5" t="s">
        <v>334</v>
      </c>
    </row>
    <row r="4" spans="1:9" x14ac:dyDescent="0.35">
      <c r="A4" s="12" t="s">
        <v>65</v>
      </c>
      <c r="B4" s="12" t="s">
        <v>66</v>
      </c>
      <c r="D4" s="12" t="s">
        <v>335</v>
      </c>
      <c r="E4" s="12" t="s">
        <v>336</v>
      </c>
      <c r="G4" s="12" t="s">
        <v>87</v>
      </c>
      <c r="H4" s="12" t="s">
        <v>337</v>
      </c>
      <c r="I4" s="12" t="s">
        <v>120</v>
      </c>
    </row>
    <row r="5" spans="1:9" x14ac:dyDescent="0.35">
      <c r="A5" t="s">
        <v>338</v>
      </c>
      <c r="B5">
        <v>1.0309999999999999</v>
      </c>
      <c r="D5" t="s">
        <v>339</v>
      </c>
      <c r="E5" t="s">
        <v>340</v>
      </c>
      <c r="G5" t="s">
        <v>341</v>
      </c>
      <c r="H5" t="s">
        <v>342</v>
      </c>
      <c r="I5" t="s">
        <v>343</v>
      </c>
    </row>
    <row r="6" spans="1:9" x14ac:dyDescent="0.35">
      <c r="A6" t="s">
        <v>344</v>
      </c>
      <c r="B6">
        <v>1.054</v>
      </c>
      <c r="D6" t="s">
        <v>345</v>
      </c>
      <c r="E6" t="s">
        <v>346</v>
      </c>
      <c r="G6" t="s">
        <v>347</v>
      </c>
      <c r="H6" t="s">
        <v>348</v>
      </c>
      <c r="I6" t="s">
        <v>349</v>
      </c>
    </row>
    <row r="7" spans="1:9" x14ac:dyDescent="0.35">
      <c r="A7" t="s">
        <v>350</v>
      </c>
      <c r="B7">
        <v>1.083</v>
      </c>
      <c r="D7" t="s">
        <v>351</v>
      </c>
      <c r="E7" t="s">
        <v>352</v>
      </c>
      <c r="G7" t="s">
        <v>353</v>
      </c>
      <c r="H7" t="s">
        <v>354</v>
      </c>
      <c r="I7" t="s">
        <v>355</v>
      </c>
    </row>
    <row r="8" spans="1:9" x14ac:dyDescent="0.35">
      <c r="A8" t="s">
        <v>356</v>
      </c>
      <c r="B8">
        <v>1.1180000000000001</v>
      </c>
      <c r="D8" t="s">
        <v>357</v>
      </c>
      <c r="E8" t="s">
        <v>358</v>
      </c>
      <c r="G8" t="s">
        <v>359</v>
      </c>
      <c r="H8" t="s">
        <v>360</v>
      </c>
      <c r="I8" t="s">
        <v>361</v>
      </c>
    </row>
    <row r="9" spans="1:9" x14ac:dyDescent="0.35">
      <c r="A9" t="s">
        <v>362</v>
      </c>
      <c r="B9">
        <v>1.1579999999999999</v>
      </c>
    </row>
    <row r="10" spans="1:9" x14ac:dyDescent="0.35">
      <c r="A10" t="s">
        <v>363</v>
      </c>
      <c r="B10">
        <v>1.202</v>
      </c>
    </row>
    <row r="11" spans="1:9" x14ac:dyDescent="0.35">
      <c r="A11" t="s">
        <v>364</v>
      </c>
      <c r="B11">
        <v>1.25</v>
      </c>
    </row>
    <row r="12" spans="1:9" x14ac:dyDescent="0.35">
      <c r="A12" t="s">
        <v>365</v>
      </c>
      <c r="B12">
        <v>1.302</v>
      </c>
    </row>
    <row r="13" spans="1:9" x14ac:dyDescent="0.35">
      <c r="A13" t="s">
        <v>366</v>
      </c>
      <c r="B13">
        <v>1.4139999999999999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DC2E9-E498-4A14-8757-9ACD93A4B84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Database</vt:lpstr>
      <vt:lpstr>WallData</vt:lpstr>
      <vt:lpstr>RoofData</vt:lpstr>
      <vt:lpstr>PostBeamData</vt:lpstr>
      <vt:lpstr>FloorSystemData</vt:lpstr>
      <vt:lpstr>DeckFramingData</vt:lpstr>
      <vt:lpstr>DeckSurfaceData</vt:lpstr>
      <vt:lpstr>MaterialSummary</vt:lpstr>
      <vt:lpstr>ValidationRules</vt:lpstr>
      <vt:lpstr>Checklists</vt:lpstr>
      <vt:lpstr>UserFormGuide</vt:lpstr>
      <vt:lpstr>LookupTables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Boser</cp:lastModifiedBy>
  <dcterms:created xsi:type="dcterms:W3CDTF">2025-10-18T16:22:46Z</dcterms:created>
  <dcterms:modified xsi:type="dcterms:W3CDTF">2025-10-18T22:59:57Z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{032DC2E9-E498-4A14-8757-9ACD93A4B84D}</vt:lpwstr>
  </property>
</Properties>
</file>