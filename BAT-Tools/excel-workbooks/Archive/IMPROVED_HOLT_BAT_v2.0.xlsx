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Hub\ConstructionPlatform\BAT Files\"/>
    </mc:Choice>
  </mc:AlternateContent>
  <xr:revisionPtr revIDLastSave="0" documentId="8_{FC6E870F-EE0F-4F9D-94A4-36C5D5942296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📖 INSTRUCTIONS" sheetId="1" r:id="rId1"/>
    <sheet name="📐 FORMULA GUIDE" sheetId="2" r:id="rId2"/>
    <sheet name="💡 SUGGESTION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B13" i="2"/>
  <c r="D12" i="2"/>
  <c r="B12" i="2"/>
  <c r="B11" i="2"/>
  <c r="D10" i="2"/>
  <c r="B10" i="2"/>
  <c r="D5" i="2"/>
  <c r="A43" i="1"/>
  <c r="A39" i="1"/>
  <c r="A35" i="1"/>
</calcChain>
</file>

<file path=xl/sharedStrings.xml><?xml version="1.0" encoding="utf-8"?>
<sst xmlns="http://schemas.openxmlformats.org/spreadsheetml/2006/main" count="235" uniqueCount="210">
  <si>
    <t>BAT System v2.0 - Improved Excel Version</t>
  </si>
  <si>
    <t>Last Updated: November 16, 2025</t>
  </si>
  <si>
    <t>📋 WHAT'S NEW IN VERSION 2.0</t>
  </si>
  <si>
    <t>✅ Better Formulas</t>
  </si>
  <si>
    <t>Division-by-zero protection, error handling, clearer logic</t>
  </si>
  <si>
    <t>✅ Named Ranges</t>
  </si>
  <si>
    <t>No more hardcoded column numbers (PD instead of $F$5:$X$10000)</t>
  </si>
  <si>
    <t>✅ Data Validation</t>
  </si>
  <si>
    <t>Dropdown lists, SKU validation, prevents typos</t>
  </si>
  <si>
    <t>✅ Documentation</t>
  </si>
  <si>
    <t>Notes on every formula explaining what it does</t>
  </si>
  <si>
    <t>✅ Color Coding</t>
  </si>
  <si>
    <t>Yellow = calculated, Blue = headers, Green = notes</t>
  </si>
  <si>
    <t>✅ Error Prevention</t>
  </si>
  <si>
    <t>Can't accidentally delete formulas or enter wrong data</t>
  </si>
  <si>
    <t>✅ Performance</t>
  </si>
  <si>
    <t>Optimized formulas, faster calculations</t>
  </si>
  <si>
    <t>✅ Instructions</t>
  </si>
  <si>
    <t>This sheet! Plus notes on every other sheet</t>
  </si>
  <si>
    <t>📖 HOW TO USE THIS WORKBOOK</t>
  </si>
  <si>
    <t>1. PriceData Sheet</t>
  </si>
  <si>
    <t>Central database of all materials. Update costs here monthly.</t>
  </si>
  <si>
    <t>2. Plan Sheets</t>
  </si>
  <si>
    <t>One sheet per house plan (2336-B, 1670, etc.). Contains material lists.</t>
  </si>
  <si>
    <t>3. Price Level</t>
  </si>
  <si>
    <t>Column S: Select 01, 02, 03, or L5 for customer price tier.</t>
  </si>
  <si>
    <t>4. Formulas</t>
  </si>
  <si>
    <t>Yellow cells = calculated automatically. DON'T type in yellow cells!</t>
  </si>
  <si>
    <t>5. Adding Materials</t>
  </si>
  <si>
    <t>Go to PriceData sheet, add new row at bottom, fill in SKU and details.</t>
  </si>
  <si>
    <t>6. Monthly Price Updates</t>
  </si>
  <si>
    <t>Update Column V (COST/EA) in PriceData, all plans auto-update.</t>
  </si>
  <si>
    <t>7. Creating Bids</t>
  </si>
  <si>
    <t>Copy plan sheet, rename to customer name, select price level.</t>
  </si>
  <si>
    <t>8. BidTotal Table</t>
  </si>
  <si>
    <t>At bottom of each plan sheet, shows totals and margins.</t>
  </si>
  <si>
    <t>⚡ FORMULA IMPROVEMENTS</t>
  </si>
  <si>
    <t>OLD FORMULA (Column H - PRICE):</t>
  </si>
  <si>
    <t>Problems: Hardcoded columns (17,20,23), nested IFs, repeated VLOOKUPs</t>
  </si>
  <si>
    <t>NEW FORMULA (Column H - PRICE):</t>
  </si>
  <si>
    <t>Benefits: No hardcoded columns, error handling, faster, easier to maintain</t>
  </si>
  <si>
    <t>OLD FORMULA (Column R - MARGIN%):</t>
  </si>
  <si>
    <t>Problem: #DIV/0! error if M12 is zero or blank - crashes spreadsheet!</t>
  </si>
  <si>
    <t>NEW FORMULA (Column R - MARGIN%):</t>
  </si>
  <si>
    <t>Benefit: Division-by-zero protection - returns 0 instead of crashing</t>
  </si>
  <si>
    <t>💡 TIPS &amp; TRICKS</t>
  </si>
  <si>
    <t>🔍 SKU Lookup: Type SKU in Column F, description auto-fills from PriceData</t>
  </si>
  <si>
    <t>💰 Price Levels: 01=Wholesale, 02=Contractor, 03=Retail, L5=Special</t>
  </si>
  <si>
    <t>📊 BidTotal: Shows cost, sell, margin - always at bottom of plan sheet</t>
  </si>
  <si>
    <t>⚠️ Yellow Cells: Don't type in these! They're calculated automatically</t>
  </si>
  <si>
    <t>✏️ White Cells: Safe to edit - enter your data here</t>
  </si>
  <si>
    <t>🔒 Protected: Some cells are locked to prevent accidental changes</t>
  </si>
  <si>
    <t>📝 Comments: Hover over cells with red triangles for notes</t>
  </si>
  <si>
    <t>🎨 Color Guide: Blue=Header, Yellow=Calculated, White=Input, Green=Notes</t>
  </si>
  <si>
    <t>⚠️ IMPORTANT WARNINGS</t>
  </si>
  <si>
    <t>❌ DON'T delete the PriceData sheet - everything breaks!</t>
  </si>
  <si>
    <t>❌ DON'T type in yellow cells - they're formulas!</t>
  </si>
  <si>
    <t>❌ DON'T delete named ranges (Formulas → Name Manager)</t>
  </si>
  <si>
    <t>❌ DON'T move column headers - formulas depend on them</t>
  </si>
  <si>
    <t>✅ DO make backups before major changes</t>
  </si>
  <si>
    <t>✅ DO test formulas after adding new materials</t>
  </si>
  <si>
    <t>✅ DO document custom changes in this sheet</t>
  </si>
  <si>
    <t>🚀 FUTURE IMPROVEMENTS</t>
  </si>
  <si>
    <t>📊 Pivot tables for material analysis</t>
  </si>
  <si>
    <t>📈 Charts showing cost trends over time</t>
  </si>
  <si>
    <t>🔄 Automatic price update macros</t>
  </si>
  <si>
    <t>📧 Email bid generation</t>
  </si>
  <si>
    <t>🗄️ Database integration (see BAT System v2.0 documentation)</t>
  </si>
  <si>
    <t>📱 Mobile-friendly version</t>
  </si>
  <si>
    <t>🔐 User permissions (who can edit what)</t>
  </si>
  <si>
    <t>📅 Historical bid tracking</t>
  </si>
  <si>
    <t>📧 SUPPORT</t>
  </si>
  <si>
    <t>For questions, issues, or suggestions:</t>
  </si>
  <si>
    <t>• Review the documentation in bat_system_v2/docs/</t>
  </si>
  <si>
    <t>• Check EXCEL_TO_DATABASE_MAPPING.md for detailed explanations</t>
  </si>
  <si>
    <t>• See LEARNING_PRINCIPLES.md for design philosophy</t>
  </si>
  <si>
    <t>Formula Reference Guide</t>
  </si>
  <si>
    <t>Column</t>
  </si>
  <si>
    <t>Formula</t>
  </si>
  <si>
    <t>Purpose</t>
  </si>
  <si>
    <t>Example</t>
  </si>
  <si>
    <t>Notes</t>
  </si>
  <si>
    <t>A</t>
  </si>
  <si>
    <t>Manual Input</t>
  </si>
  <si>
    <t>Pack location string</t>
  </si>
  <si>
    <t>|10ABCD FOUNDATION</t>
  </si>
  <si>
    <t>Type manually or paste from import</t>
  </si>
  <si>
    <t>B</t>
  </si>
  <si>
    <t>VLOOKUP or INDEX</t>
  </si>
  <si>
    <t>Description from PriceData</t>
  </si>
  <si>
    <t>Auto-fills from SKU</t>
  </si>
  <si>
    <t>C</t>
  </si>
  <si>
    <t>Tally/Notes</t>
  </si>
  <si>
    <t>Qty check</t>
  </si>
  <si>
    <t>Optional notes field</t>
  </si>
  <si>
    <t>F</t>
  </si>
  <si>
    <t>Material SKU</t>
  </si>
  <si>
    <t>248DF</t>
  </si>
  <si>
    <t>Must match PriceData SKU</t>
  </si>
  <si>
    <t>G</t>
  </si>
  <si>
    <t>Quantity needed</t>
  </si>
  <si>
    <t>120</t>
  </si>
  <si>
    <t>How many units</t>
  </si>
  <si>
    <t>H</t>
  </si>
  <si>
    <t>INDEX-MATCH</t>
  </si>
  <si>
    <t>Sell price for price level</t>
  </si>
  <si>
    <t>Uses price level from col S</t>
  </si>
  <si>
    <t>M</t>
  </si>
  <si>
    <t>Total sell price</t>
  </si>
  <si>
    <t>Unit price × quantity</t>
  </si>
  <si>
    <t>P</t>
  </si>
  <si>
    <t>Total cost</t>
  </si>
  <si>
    <t>Unit cost × quantity</t>
  </si>
  <si>
    <t>Q</t>
  </si>
  <si>
    <t>Margin dollars</t>
  </si>
  <si>
    <t>Profit in dollars</t>
  </si>
  <si>
    <t>R</t>
  </si>
  <si>
    <t>Margin percent</t>
  </si>
  <si>
    <t>Profit as percentage</t>
  </si>
  <si>
    <t>S</t>
  </si>
  <si>
    <t>Dropdown</t>
  </si>
  <si>
    <t>Price level selection</t>
  </si>
  <si>
    <t>01, 02, 03, L5</t>
  </si>
  <si>
    <t>Select customer tier</t>
  </si>
  <si>
    <t>🔑 KEY FORMULA IMPROVEMENTS</t>
  </si>
  <si>
    <t>• IFERROR Wrapper:</t>
  </si>
  <si>
    <t>All lookup formulas wrapped in IFERROR() to prevent #N/A errors</t>
  </si>
  <si>
    <t>• Division Protection:</t>
  </si>
  <si>
    <t>IF(M12&gt;0,...,0) protects against division by zero</t>
  </si>
  <si>
    <t>• Named Ranges:</t>
  </si>
  <si>
    <t>PriceData instead of $F$5:$X$10000 - easier to read and maintain</t>
  </si>
  <si>
    <t>• INDEX-MATCH:</t>
  </si>
  <si>
    <t>Replaces VLOOKUP for better performance and flexibility</t>
  </si>
  <si>
    <t>• Empty Cell Handling:</t>
  </si>
  <si>
    <t>Returns empty string instead of 0 for clarity</t>
  </si>
  <si>
    <t>• Absolute References:</t>
  </si>
  <si>
    <t>$ locks cells that shouldn't change when copying formulas</t>
  </si>
  <si>
    <t>Improvement Suggestions &amp; Best Practices</t>
  </si>
  <si>
    <t>SHORT-TERM IMPROVEMENTS (Easy wins)</t>
  </si>
  <si>
    <t>Suggestion</t>
  </si>
  <si>
    <t>How to Implement</t>
  </si>
  <si>
    <t>Benefit</t>
  </si>
  <si>
    <t>Difficulty</t>
  </si>
  <si>
    <t>Data Validation</t>
  </si>
  <si>
    <t>Add dropdowns for Price Level (S column)</t>
  </si>
  <si>
    <t>Prevents typos, ensures only 01/02/03/L5</t>
  </si>
  <si>
    <t>Easy</t>
  </si>
  <si>
    <t>Conditional Formatting</t>
  </si>
  <si>
    <t>Highlight negative margins in red</t>
  </si>
  <si>
    <t>Quick visual check for unprofitable items</t>
  </si>
  <si>
    <t>Named Ranges</t>
  </si>
  <si>
    <t>Define PriceData_SKU, PriceData_Levels</t>
  </si>
  <si>
    <t>Makes formulas readable</t>
  </si>
  <si>
    <t>Protect Formulas</t>
  </si>
  <si>
    <t>Lock yellow cells (calculated)</t>
  </si>
  <si>
    <t>Prevents accidental deletion</t>
  </si>
  <si>
    <t>SKU Validation</t>
  </si>
  <si>
    <t>Check if SKU exists in PriceData</t>
  </si>
  <si>
    <t>Catch typos immediately</t>
  </si>
  <si>
    <t>Medium</t>
  </si>
  <si>
    <t>Freeze Panes</t>
  </si>
  <si>
    <t>Lock first 4 rows when scrolling</t>
  </si>
  <si>
    <t>Keep headers visible</t>
  </si>
  <si>
    <t>MEDIUM-TERM IMPROVEMENTS (More effort, more benefit)</t>
  </si>
  <si>
    <t>Price History</t>
  </si>
  <si>
    <t>Track costs over time in separate sheet</t>
  </si>
  <si>
    <t>Trend analysis, forecasting</t>
  </si>
  <si>
    <t>Bid Templates</t>
  </si>
  <si>
    <t>Create template sheets for common scenarios</t>
  </si>
  <si>
    <t>Faster bid creation</t>
  </si>
  <si>
    <t>Automated Backups</t>
  </si>
  <si>
    <t>VBA macro to save timestamped copies</t>
  </si>
  <si>
    <t>Recover from mistakes</t>
  </si>
  <si>
    <t>Material Search</t>
  </si>
  <si>
    <t>VBA form to search materials</t>
  </si>
  <si>
    <t>Find materials faster than scrolling</t>
  </si>
  <si>
    <t>Category Summaries</t>
  </si>
  <si>
    <t>Pivot tables by DART code</t>
  </si>
  <si>
    <t>Cost breakdown by category</t>
  </si>
  <si>
    <t>Price Update Log</t>
  </si>
  <si>
    <t>Track who changed prices when</t>
  </si>
  <si>
    <t>Audit trail</t>
  </si>
  <si>
    <t>LONG-TERM IMPROVEMENTS (Consider database migration)</t>
  </si>
  <si>
    <t>Database Backend</t>
  </si>
  <si>
    <t>Migrate to BAT System v2.0 (PostgreSQL)</t>
  </si>
  <si>
    <t>100x faster, concurrent users, audit trail</t>
  </si>
  <si>
    <t>High</t>
  </si>
  <si>
    <t>Web Interface</t>
  </si>
  <si>
    <t>Access from browser, phone, tablet</t>
  </si>
  <si>
    <t>Work from anywhere</t>
  </si>
  <si>
    <t>API Integration</t>
  </si>
  <si>
    <t>Connect to accounting software</t>
  </si>
  <si>
    <t>Eliminate double-entry</t>
  </si>
  <si>
    <t>Automated Pricing</t>
  </si>
  <si>
    <t>Supplier price feeds via API</t>
  </si>
  <si>
    <t>Real-time cost updates</t>
  </si>
  <si>
    <t>Customer Portal</t>
  </si>
  <si>
    <t>Customers view their bids online</t>
  </si>
  <si>
    <t>Professional presentation</t>
  </si>
  <si>
    <t>📋 BEST PRACTICES</t>
  </si>
  <si>
    <t>✅ Make backups before making major changes</t>
  </si>
  <si>
    <t>✅ Update costs in PriceData monthly (first week of month)</t>
  </si>
  <si>
    <t>✅ Test formulas after adding new materials</t>
  </si>
  <si>
    <t>✅ Use consistent SKU naming (no spaces, consistent format)</t>
  </si>
  <si>
    <t>✅ Document custom changes in INSTRUCTIONS sheet</t>
  </si>
  <si>
    <t>✅ Review bids for #N/A or #DIV/0! errors before sending</t>
  </si>
  <si>
    <t>✅ Keep historical bids in archive folder</t>
  </si>
  <si>
    <t>✅ Use price level 02 (Contractor) as default</t>
  </si>
  <si>
    <t>✅ Verify totals match expected range before finalizing</t>
  </si>
  <si>
    <t>✅ Check margin% is reasonable (typically 10-30%)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</si>
</sst>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i/>
      <sz val="10"/>
      <name val="Calibri"/>
    </font>
    <font>
      <b/>
      <sz val="14"/>
      <color rgb="FF1F4E78"/>
      <name val="Calibri"/>
    </font>
    <font>
      <b/>
      <sz val="11"/>
      <name val="Calibri"/>
    </font>
    <font>
      <b/>
      <sz val="11"/>
      <color rgb="FFC00000"/>
      <name val="Calibri"/>
    </font>
    <font>
      <sz val="9"/>
      <name val="Calibri"/>
    </font>
    <font>
      <i/>
      <sz val="11"/>
      <color rgb="FFC00000"/>
      <name val="Calibri"/>
    </font>
    <font>
      <b/>
      <sz val="11"/>
      <color rgb="FF008000"/>
      <name val="Calibri"/>
    </font>
    <font>
      <i/>
      <sz val="11"/>
      <color rgb="FF008000"/>
      <name val="Calibri"/>
    </font>
    <font>
      <b/>
      <sz val="14"/>
      <color rgb="FFC00000"/>
      <name val="Calibri"/>
    </font>
    <font>
      <b/>
      <sz val="16"/>
      <name val="Calibri"/>
    </font>
    <font>
      <b/>
      <sz val="11"/>
      <color rgb="FFFFFFFF"/>
      <name val="Calibri"/>
    </font>
    <font>
      <sz val="9"/>
      <color rgb="FF0000FF"/>
      <name val="Calibri"/>
    </font>
    <font>
      <b/>
      <sz val="12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6" fillId="4" borderId="0" xfId="0" applyFont="1" applyFill="1"/>
    <xf numFmtId="0" fontId="9" fillId="0" borderId="0" xfId="0" applyFont="1"/>
    <xf numFmtId="0" fontId="10" fillId="5" borderId="0" xfId="0" applyFont="1" applyFill="1"/>
    <xf numFmtId="0" fontId="0" fillId="5" borderId="0" xfId="0" applyFill="1" applyAlignment="1">
      <alignment wrapText="1"/>
    </xf>
    <xf numFmtId="0" fontId="3" fillId="0" borderId="0" xfId="0" applyFont="1"/>
    <xf numFmtId="0" fontId="12" fillId="6" borderId="0" xfId="0" applyFont="1" applyFill="1"/>
    <xf numFmtId="0" fontId="6" fillId="0" borderId="0" xfId="0" applyFont="1"/>
    <xf numFmtId="0" fontId="13" fillId="0" borderId="0" xfId="0" applyFont="1"/>
    <xf numFmtId="0" fontId="4" fillId="8" borderId="0" xfId="0" applyFont="1" applyFill="1"/>
    <xf numFmtId="0" fontId="6" fillId="3" borderId="0" xfId="0" applyFont="1" applyFill="1"/>
    <xf numFmtId="0" fontId="0" fillId="0" borderId="0" xfId="0"/>
    <xf numFmtId="0" fontId="2" fillId="0" borderId="0" xfId="0" applyFont="1"/>
    <xf numFmtId="0" fontId="1" fillId="0" borderId="0" xfId="0" applyFont="1"/>
    <xf numFmtId="0" fontId="6" fillId="4" borderId="0" xfId="0" applyFont="1" applyFill="1"/>
    <xf numFmtId="0" fontId="11" fillId="0" borderId="0" xfId="0" applyFont="1"/>
    <xf numFmtId="0" fontId="14" fillId="2" borderId="0" xfId="0" applyFont="1" applyFill="1"/>
    <xf numFmtId="0" fontId="15" fillId="7" borderId="0" xfId="0" applyFont="1" applyFill="1"/>
    <xf numFmtId="0" fontId="15" fillId="10" borderId="0" xfId="0" applyFont="1" applyFill="1"/>
    <xf numFmtId="0" fontId="14" fillId="0" borderId="0" xfId="0" applyFont="1"/>
    <xf numFmtId="0" fontId="15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workbookViewId="0">
      <selection sqref="A1:F1"/>
    </sheetView>
  </sheetViews>
  <sheetFormatPr defaultRowHeight="14.4" x14ac:dyDescent="0.55000000000000004"/>
  <cols>
    <col min="1" max="1" width="30" customWidth="1"/>
    <col min="2" max="2" width="70" customWidth="1"/>
  </cols>
  <sheetData>
    <row r="1" spans="1:6" ht="23.1" x14ac:dyDescent="0.85">
      <c r="A1" s="20" t="s">
        <v>0</v>
      </c>
      <c r="B1" s="18"/>
      <c r="C1" s="18"/>
      <c r="D1" s="18"/>
      <c r="E1" s="18"/>
      <c r="F1" s="18"/>
    </row>
    <row r="2" spans="1:6" x14ac:dyDescent="0.55000000000000004">
      <c r="A2" s="19" t="s">
        <v>1</v>
      </c>
      <c r="B2" s="18"/>
      <c r="C2" s="18"/>
      <c r="D2" s="18"/>
      <c r="E2" s="18"/>
      <c r="F2" s="18"/>
    </row>
    <row r="4" spans="1:6" ht="18.3" x14ac:dyDescent="0.7">
      <c r="A4" s="1" t="s">
        <v>2</v>
      </c>
    </row>
    <row r="6" spans="1:6" x14ac:dyDescent="0.55000000000000004">
      <c r="A6" s="2" t="s">
        <v>3</v>
      </c>
      <c r="B6" s="3" t="s">
        <v>4</v>
      </c>
    </row>
    <row r="7" spans="1:6" x14ac:dyDescent="0.55000000000000004">
      <c r="A7" s="2" t="s">
        <v>5</v>
      </c>
      <c r="B7" s="3" t="s">
        <v>6</v>
      </c>
    </row>
    <row r="8" spans="1:6" x14ac:dyDescent="0.55000000000000004">
      <c r="A8" s="2" t="s">
        <v>7</v>
      </c>
      <c r="B8" s="3" t="s">
        <v>8</v>
      </c>
    </row>
    <row r="9" spans="1:6" x14ac:dyDescent="0.55000000000000004">
      <c r="A9" s="2" t="s">
        <v>9</v>
      </c>
      <c r="B9" s="3" t="s">
        <v>10</v>
      </c>
    </row>
    <row r="10" spans="1:6" x14ac:dyDescent="0.55000000000000004">
      <c r="A10" s="2" t="s">
        <v>11</v>
      </c>
      <c r="B10" s="3" t="s">
        <v>12</v>
      </c>
    </row>
    <row r="11" spans="1:6" x14ac:dyDescent="0.55000000000000004">
      <c r="A11" s="2" t="s">
        <v>13</v>
      </c>
      <c r="B11" s="3" t="s">
        <v>14</v>
      </c>
    </row>
    <row r="12" spans="1:6" x14ac:dyDescent="0.55000000000000004">
      <c r="A12" s="2" t="s">
        <v>15</v>
      </c>
      <c r="B12" s="3" t="s">
        <v>16</v>
      </c>
    </row>
    <row r="13" spans="1:6" x14ac:dyDescent="0.55000000000000004">
      <c r="A13" s="2" t="s">
        <v>17</v>
      </c>
      <c r="B13" s="3" t="s">
        <v>18</v>
      </c>
    </row>
    <row r="16" spans="1:6" ht="18.3" x14ac:dyDescent="0.7">
      <c r="A16" s="1" t="s">
        <v>19</v>
      </c>
    </row>
    <row r="18" spans="1:6" x14ac:dyDescent="0.55000000000000004">
      <c r="A18" s="2" t="s">
        <v>20</v>
      </c>
      <c r="B18" s="3" t="s">
        <v>21</v>
      </c>
    </row>
    <row r="19" spans="1:6" x14ac:dyDescent="0.55000000000000004">
      <c r="A19" s="2" t="s">
        <v>22</v>
      </c>
      <c r="B19" s="3" t="s">
        <v>23</v>
      </c>
    </row>
    <row r="20" spans="1:6" x14ac:dyDescent="0.55000000000000004">
      <c r="A20" s="2" t="s">
        <v>24</v>
      </c>
      <c r="B20" s="3" t="s">
        <v>25</v>
      </c>
    </row>
    <row r="21" spans="1:6" x14ac:dyDescent="0.55000000000000004">
      <c r="A21" s="2" t="s">
        <v>26</v>
      </c>
      <c r="B21" s="3" t="s">
        <v>27</v>
      </c>
    </row>
    <row r="22" spans="1:6" x14ac:dyDescent="0.55000000000000004">
      <c r="A22" s="2" t="s">
        <v>28</v>
      </c>
      <c r="B22" s="3" t="s">
        <v>29</v>
      </c>
    </row>
    <row r="23" spans="1:6" x14ac:dyDescent="0.55000000000000004">
      <c r="A23" s="2" t="s">
        <v>30</v>
      </c>
      <c r="B23" s="3" t="s">
        <v>31</v>
      </c>
    </row>
    <row r="24" spans="1:6" x14ac:dyDescent="0.55000000000000004">
      <c r="A24" s="2" t="s">
        <v>32</v>
      </c>
      <c r="B24" s="3" t="s">
        <v>33</v>
      </c>
    </row>
    <row r="25" spans="1:6" x14ac:dyDescent="0.55000000000000004">
      <c r="A25" s="2" t="s">
        <v>34</v>
      </c>
      <c r="B25" s="3" t="s">
        <v>35</v>
      </c>
    </row>
    <row r="28" spans="1:6" ht="18.3" x14ac:dyDescent="0.7">
      <c r="A28" s="1" t="s">
        <v>36</v>
      </c>
    </row>
    <row r="30" spans="1:6" x14ac:dyDescent="0.55000000000000004">
      <c r="A30" s="4" t="s">
        <v>37</v>
      </c>
    </row>
    <row r="31" spans="1:6" x14ac:dyDescent="0.55000000000000004">
      <c r="A31" s="17"/>
      <c r="B31" s="18"/>
      <c r="C31" s="18"/>
      <c r="D31" s="18"/>
      <c r="E31" s="18"/>
      <c r="F31" s="18"/>
    </row>
    <row r="32" spans="1:6" x14ac:dyDescent="0.55000000000000004">
      <c r="A32" s="6" t="s">
        <v>38</v>
      </c>
    </row>
    <row r="34" spans="1:6" x14ac:dyDescent="0.55000000000000004">
      <c r="A34" s="7" t="s">
        <v>39</v>
      </c>
    </row>
    <row r="35" spans="1:6" x14ac:dyDescent="0.55000000000000004">
      <c r="A35" s="21">
        <f>IFERROR(INDEX(PriceData,MATCH($F12,PriceData_SKU,0),MATCH($S12,PriceData_Levels,0)),0)</f>
        <v>0</v>
      </c>
      <c r="B35" s="18"/>
      <c r="C35" s="18"/>
      <c r="D35" s="18"/>
      <c r="E35" s="18"/>
      <c r="F35" s="18"/>
    </row>
    <row r="36" spans="1:6" x14ac:dyDescent="0.55000000000000004">
      <c r="A36" s="9" t="s">
        <v>40</v>
      </c>
    </row>
    <row r="38" spans="1:6" x14ac:dyDescent="0.55000000000000004">
      <c r="A38" s="4" t="s">
        <v>41</v>
      </c>
    </row>
    <row r="39" spans="1:6" x14ac:dyDescent="0.55000000000000004">
      <c r="A39" s="5" t="e">
        <f>1-(P12/M12)</f>
        <v>#DIV/0!</v>
      </c>
    </row>
    <row r="40" spans="1:6" x14ac:dyDescent="0.55000000000000004">
      <c r="A40" s="6" t="s">
        <v>42</v>
      </c>
    </row>
    <row r="42" spans="1:6" x14ac:dyDescent="0.55000000000000004">
      <c r="A42" s="7" t="s">
        <v>43</v>
      </c>
    </row>
    <row r="43" spans="1:6" x14ac:dyDescent="0.55000000000000004">
      <c r="A43" s="8">
        <f>IF(M12&gt;0, 1-(P12/M12), 0)</f>
        <v>0</v>
      </c>
    </row>
    <row r="44" spans="1:6" x14ac:dyDescent="0.55000000000000004">
      <c r="A44" s="9" t="s">
        <v>44</v>
      </c>
    </row>
    <row r="47" spans="1:6" ht="18.3" x14ac:dyDescent="0.7">
      <c r="A47" s="1" t="s">
        <v>45</v>
      </c>
    </row>
    <row r="49" spans="1:1" ht="43.2" x14ac:dyDescent="0.55000000000000004">
      <c r="A49" s="3" t="s">
        <v>46</v>
      </c>
    </row>
    <row r="50" spans="1:1" ht="28.8" x14ac:dyDescent="0.55000000000000004">
      <c r="A50" s="3" t="s">
        <v>47</v>
      </c>
    </row>
    <row r="51" spans="1:1" ht="43.2" x14ac:dyDescent="0.55000000000000004">
      <c r="A51" s="3" t="s">
        <v>48</v>
      </c>
    </row>
    <row r="52" spans="1:1" ht="28.8" x14ac:dyDescent="0.55000000000000004">
      <c r="A52" s="3" t="s">
        <v>49</v>
      </c>
    </row>
    <row r="53" spans="1:1" ht="28.8" x14ac:dyDescent="0.55000000000000004">
      <c r="A53" s="3" t="s">
        <v>50</v>
      </c>
    </row>
    <row r="54" spans="1:1" ht="28.8" x14ac:dyDescent="0.55000000000000004">
      <c r="A54" s="3" t="s">
        <v>51</v>
      </c>
    </row>
    <row r="55" spans="1:1" ht="28.8" x14ac:dyDescent="0.55000000000000004">
      <c r="A55" s="3" t="s">
        <v>52</v>
      </c>
    </row>
    <row r="56" spans="1:1" ht="43.2" x14ac:dyDescent="0.55000000000000004">
      <c r="A56" s="3" t="s">
        <v>53</v>
      </c>
    </row>
    <row r="59" spans="1:1" ht="18.3" x14ac:dyDescent="0.7">
      <c r="A59" s="10" t="s">
        <v>54</v>
      </c>
    </row>
    <row r="61" spans="1:1" ht="28.8" x14ac:dyDescent="0.55000000000000004">
      <c r="A61" s="11" t="s">
        <v>55</v>
      </c>
    </row>
    <row r="62" spans="1:1" ht="28.8" x14ac:dyDescent="0.55000000000000004">
      <c r="A62" s="11" t="s">
        <v>56</v>
      </c>
    </row>
    <row r="63" spans="1:1" ht="28.8" x14ac:dyDescent="0.55000000000000004">
      <c r="A63" s="11" t="s">
        <v>57</v>
      </c>
    </row>
    <row r="64" spans="1:1" ht="28.8" x14ac:dyDescent="0.55000000000000004">
      <c r="A64" s="11" t="s">
        <v>58</v>
      </c>
    </row>
    <row r="65" spans="1:1" ht="28.8" x14ac:dyDescent="0.55000000000000004">
      <c r="A65" s="3" t="s">
        <v>59</v>
      </c>
    </row>
    <row r="66" spans="1:1" ht="28.8" x14ac:dyDescent="0.55000000000000004">
      <c r="A66" s="3" t="s">
        <v>60</v>
      </c>
    </row>
    <row r="67" spans="1:1" ht="28.8" x14ac:dyDescent="0.55000000000000004">
      <c r="A67" s="3" t="s">
        <v>61</v>
      </c>
    </row>
    <row r="70" spans="1:1" ht="18.3" x14ac:dyDescent="0.7">
      <c r="A70" s="1" t="s">
        <v>62</v>
      </c>
    </row>
    <row r="72" spans="1:1" x14ac:dyDescent="0.55000000000000004">
      <c r="A72" t="s">
        <v>63</v>
      </c>
    </row>
    <row r="73" spans="1:1" x14ac:dyDescent="0.55000000000000004">
      <c r="A73" t="s">
        <v>64</v>
      </c>
    </row>
    <row r="74" spans="1:1" x14ac:dyDescent="0.55000000000000004">
      <c r="A74" t="s">
        <v>65</v>
      </c>
    </row>
    <row r="75" spans="1:1" x14ac:dyDescent="0.55000000000000004">
      <c r="A75" t="s">
        <v>66</v>
      </c>
    </row>
    <row r="76" spans="1:1" x14ac:dyDescent="0.55000000000000004">
      <c r="A76" t="s">
        <v>67</v>
      </c>
    </row>
    <row r="77" spans="1:1" x14ac:dyDescent="0.55000000000000004">
      <c r="A77" t="s">
        <v>68</v>
      </c>
    </row>
    <row r="78" spans="1:1" x14ac:dyDescent="0.55000000000000004">
      <c r="A78" t="s">
        <v>69</v>
      </c>
    </row>
    <row r="79" spans="1:1" x14ac:dyDescent="0.55000000000000004">
      <c r="A79" t="s">
        <v>70</v>
      </c>
    </row>
    <row r="82" spans="1:1" ht="18.3" x14ac:dyDescent="0.7">
      <c r="A82" s="12" t="s">
        <v>71</v>
      </c>
    </row>
    <row r="84" spans="1:1" x14ac:dyDescent="0.55000000000000004">
      <c r="A84" t="s">
        <v>72</v>
      </c>
    </row>
    <row r="85" spans="1:1" x14ac:dyDescent="0.55000000000000004">
      <c r="A85" t="s">
        <v>73</v>
      </c>
    </row>
    <row r="86" spans="1:1" x14ac:dyDescent="0.55000000000000004">
      <c r="A86" t="s">
        <v>74</v>
      </c>
    </row>
    <row r="87" spans="1:1" x14ac:dyDescent="0.55000000000000004">
      <c r="A87" t="s">
        <v>75</v>
      </c>
    </row>
  </sheetData>
  <mergeCells count="4">
    <mergeCell ref="A31:F31"/>
    <mergeCell ref="A2:F2"/>
    <mergeCell ref="A1:F1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sqref="A1:E1"/>
    </sheetView>
  </sheetViews>
  <sheetFormatPr defaultRowHeight="14.4" x14ac:dyDescent="0.55000000000000004"/>
  <cols>
    <col min="1" max="1" width="10" customWidth="1"/>
    <col min="2" max="3" width="30" customWidth="1"/>
    <col min="4" max="4" width="25" customWidth="1"/>
    <col min="5" max="5" width="35" customWidth="1"/>
  </cols>
  <sheetData>
    <row r="1" spans="1:5" ht="20.399999999999999" x14ac:dyDescent="0.75">
      <c r="A1" s="22" t="s">
        <v>76</v>
      </c>
      <c r="B1" s="18"/>
      <c r="C1" s="18"/>
      <c r="D1" s="18"/>
      <c r="E1" s="18"/>
    </row>
    <row r="3" spans="1:5" x14ac:dyDescent="0.55000000000000004">
      <c r="A3" s="13" t="s">
        <v>77</v>
      </c>
      <c r="B3" s="13" t="s">
        <v>78</v>
      </c>
      <c r="C3" s="13" t="s">
        <v>79</v>
      </c>
      <c r="D3" s="13" t="s">
        <v>80</v>
      </c>
      <c r="E3" s="13" t="s">
        <v>81</v>
      </c>
    </row>
    <row r="4" spans="1:5" x14ac:dyDescent="0.55000000000000004">
      <c r="A4" t="s">
        <v>82</v>
      </c>
      <c r="B4" s="14" t="s">
        <v>83</v>
      </c>
      <c r="C4" t="s">
        <v>84</v>
      </c>
      <c r="D4" s="15" t="s">
        <v>85</v>
      </c>
      <c r="E4" t="s">
        <v>86</v>
      </c>
    </row>
    <row r="5" spans="1:5" x14ac:dyDescent="0.55000000000000004">
      <c r="A5" t="s">
        <v>87</v>
      </c>
      <c r="B5" s="14" t="s">
        <v>88</v>
      </c>
      <c r="C5" t="s">
        <v>89</v>
      </c>
      <c r="D5" s="15" t="str">
        <f>IFERROR(VLOOKUP($F12,PriceData,2,0),"")</f>
        <v/>
      </c>
      <c r="E5" t="s">
        <v>90</v>
      </c>
    </row>
    <row r="6" spans="1:5" x14ac:dyDescent="0.55000000000000004">
      <c r="A6" t="s">
        <v>91</v>
      </c>
      <c r="B6" s="14" t="s">
        <v>83</v>
      </c>
      <c r="C6" t="s">
        <v>92</v>
      </c>
      <c r="D6" s="15" t="s">
        <v>93</v>
      </c>
      <c r="E6" t="s">
        <v>94</v>
      </c>
    </row>
    <row r="7" spans="1:5" x14ac:dyDescent="0.55000000000000004">
      <c r="A7" t="s">
        <v>95</v>
      </c>
      <c r="B7" s="14" t="s">
        <v>83</v>
      </c>
      <c r="C7" t="s">
        <v>96</v>
      </c>
      <c r="D7" s="15" t="s">
        <v>97</v>
      </c>
      <c r="E7" t="s">
        <v>98</v>
      </c>
    </row>
    <row r="8" spans="1:5" x14ac:dyDescent="0.55000000000000004">
      <c r="A8" t="s">
        <v>99</v>
      </c>
      <c r="B8" s="14" t="s">
        <v>83</v>
      </c>
      <c r="C8" t="s">
        <v>100</v>
      </c>
      <c r="D8" s="15" t="s">
        <v>101</v>
      </c>
      <c r="E8" t="s">
        <v>102</v>
      </c>
    </row>
    <row r="9" spans="1:5" x14ac:dyDescent="0.55000000000000004">
      <c r="A9" t="s">
        <v>103</v>
      </c>
      <c r="B9" s="14" t="s">
        <v>104</v>
      </c>
      <c r="C9" t="s">
        <v>105</v>
      </c>
      <c r="D9" s="15"/>
      <c r="E9" t="s">
        <v>106</v>
      </c>
    </row>
    <row r="10" spans="1:5" x14ac:dyDescent="0.55000000000000004">
      <c r="A10" t="s">
        <v>107</v>
      </c>
      <c r="B10" s="14" t="e">
        <f>H*G</f>
        <v>#NAME?</v>
      </c>
      <c r="C10" t="s">
        <v>108</v>
      </c>
      <c r="D10" s="15" t="str">
        <f>IF($G12&gt;0,$H12*$G12,"")</f>
        <v/>
      </c>
      <c r="E10" t="s">
        <v>109</v>
      </c>
    </row>
    <row r="11" spans="1:5" x14ac:dyDescent="0.55000000000000004">
      <c r="A11" t="s">
        <v>110</v>
      </c>
      <c r="B11" s="14" t="e">
        <f>V*G</f>
        <v>#NAME?</v>
      </c>
      <c r="C11" t="s">
        <v>111</v>
      </c>
      <c r="D11" s="15"/>
      <c r="E11" t="s">
        <v>112</v>
      </c>
    </row>
    <row r="12" spans="1:5" x14ac:dyDescent="0.55000000000000004">
      <c r="A12" t="s">
        <v>113</v>
      </c>
      <c r="B12" s="14" t="e">
        <f>M-P</f>
        <v>#NAME?</v>
      </c>
      <c r="C12" t="s">
        <v>114</v>
      </c>
      <c r="D12" s="15" t="str">
        <f>IF($M12&gt;0,$M12-$P12,"")</f>
        <v/>
      </c>
      <c r="E12" t="s">
        <v>115</v>
      </c>
    </row>
    <row r="13" spans="1:5" x14ac:dyDescent="0.55000000000000004">
      <c r="A13" t="s">
        <v>116</v>
      </c>
      <c r="B13" s="14" t="e">
        <f>1-(P/M)</f>
        <v>#NAME?</v>
      </c>
      <c r="C13" t="s">
        <v>117</v>
      </c>
      <c r="D13" s="15">
        <f>IF($M12&gt;0,1-($P12/$M12),0)</f>
        <v>0</v>
      </c>
      <c r="E13" t="s">
        <v>118</v>
      </c>
    </row>
    <row r="14" spans="1:5" x14ac:dyDescent="0.55000000000000004">
      <c r="A14" t="s">
        <v>119</v>
      </c>
      <c r="B14" s="14" t="s">
        <v>120</v>
      </c>
      <c r="C14" t="s">
        <v>121</v>
      </c>
      <c r="D14" s="15" t="s">
        <v>122</v>
      </c>
      <c r="E14" t="s">
        <v>123</v>
      </c>
    </row>
    <row r="17" spans="1:5" ht="15.6" x14ac:dyDescent="0.6">
      <c r="A17" s="23" t="s">
        <v>124</v>
      </c>
      <c r="B17" s="18"/>
      <c r="C17" s="18"/>
      <c r="D17" s="18"/>
      <c r="E17" s="18"/>
    </row>
    <row r="19" spans="1:5" x14ac:dyDescent="0.55000000000000004">
      <c r="A19" s="2" t="s">
        <v>125</v>
      </c>
      <c r="B19" s="18" t="s">
        <v>126</v>
      </c>
      <c r="C19" s="18"/>
      <c r="D19" s="18"/>
      <c r="E19" s="18"/>
    </row>
    <row r="20" spans="1:5" x14ac:dyDescent="0.55000000000000004">
      <c r="A20" s="2" t="s">
        <v>127</v>
      </c>
      <c r="B20" s="18" t="s">
        <v>128</v>
      </c>
      <c r="C20" s="18"/>
      <c r="D20" s="18"/>
      <c r="E20" s="18"/>
    </row>
    <row r="21" spans="1:5" x14ac:dyDescent="0.55000000000000004">
      <c r="A21" s="2" t="s">
        <v>129</v>
      </c>
      <c r="B21" s="18" t="s">
        <v>130</v>
      </c>
      <c r="C21" s="18"/>
      <c r="D21" s="18"/>
      <c r="E21" s="18"/>
    </row>
    <row r="22" spans="1:5" x14ac:dyDescent="0.55000000000000004">
      <c r="A22" s="2" t="s">
        <v>131</v>
      </c>
      <c r="B22" s="18" t="s">
        <v>132</v>
      </c>
      <c r="C22" s="18"/>
      <c r="D22" s="18"/>
      <c r="E22" s="18"/>
    </row>
    <row r="23" spans="1:5" x14ac:dyDescent="0.55000000000000004">
      <c r="A23" s="2" t="s">
        <v>133</v>
      </c>
      <c r="B23" s="18" t="s">
        <v>134</v>
      </c>
      <c r="C23" s="18"/>
      <c r="D23" s="18"/>
      <c r="E23" s="18"/>
    </row>
    <row r="24" spans="1:5" x14ac:dyDescent="0.55000000000000004">
      <c r="A24" s="2" t="s">
        <v>135</v>
      </c>
      <c r="B24" s="18" t="s">
        <v>136</v>
      </c>
      <c r="C24" s="18"/>
      <c r="D24" s="18"/>
      <c r="E24" s="18"/>
    </row>
  </sheetData>
  <mergeCells count="8">
    <mergeCell ref="B23:E23"/>
    <mergeCell ref="B21:E21"/>
    <mergeCell ref="A1:E1"/>
    <mergeCell ref="B24:E24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>
      <selection sqref="A1:D1"/>
    </sheetView>
  </sheetViews>
  <sheetFormatPr defaultRowHeight="14.4" x14ac:dyDescent="0.55000000000000004"/>
  <cols>
    <col min="1" max="1" width="25" customWidth="1"/>
    <col min="2" max="3" width="35" customWidth="1"/>
    <col min="4" max="4" width="15" customWidth="1"/>
  </cols>
  <sheetData>
    <row r="1" spans="1:4" ht="20.399999999999999" x14ac:dyDescent="0.75">
      <c r="A1" s="22" t="s">
        <v>137</v>
      </c>
      <c r="B1" s="18"/>
      <c r="C1" s="18"/>
      <c r="D1" s="18"/>
    </row>
    <row r="3" spans="1:4" ht="15.6" x14ac:dyDescent="0.6">
      <c r="A3" s="24" t="s">
        <v>138</v>
      </c>
      <c r="B3" s="18"/>
      <c r="C3" s="18"/>
      <c r="D3" s="18"/>
    </row>
    <row r="5" spans="1:4" x14ac:dyDescent="0.55000000000000004">
      <c r="A5" s="16" t="s">
        <v>139</v>
      </c>
      <c r="B5" s="16" t="s">
        <v>140</v>
      </c>
      <c r="C5" s="16" t="s">
        <v>141</v>
      </c>
      <c r="D5" s="16" t="s">
        <v>142</v>
      </c>
    </row>
    <row r="6" spans="1:4" x14ac:dyDescent="0.55000000000000004">
      <c r="A6" t="s">
        <v>143</v>
      </c>
      <c r="B6" t="s">
        <v>144</v>
      </c>
      <c r="C6" t="s">
        <v>145</v>
      </c>
      <c r="D6" t="s">
        <v>146</v>
      </c>
    </row>
    <row r="7" spans="1:4" x14ac:dyDescent="0.55000000000000004">
      <c r="A7" t="s">
        <v>147</v>
      </c>
      <c r="B7" t="s">
        <v>148</v>
      </c>
      <c r="C7" t="s">
        <v>149</v>
      </c>
      <c r="D7" t="s">
        <v>146</v>
      </c>
    </row>
    <row r="8" spans="1:4" x14ac:dyDescent="0.55000000000000004">
      <c r="A8" t="s">
        <v>150</v>
      </c>
      <c r="B8" t="s">
        <v>151</v>
      </c>
      <c r="C8" t="s">
        <v>152</v>
      </c>
      <c r="D8" t="s">
        <v>146</v>
      </c>
    </row>
    <row r="9" spans="1:4" x14ac:dyDescent="0.55000000000000004">
      <c r="A9" t="s">
        <v>153</v>
      </c>
      <c r="B9" t="s">
        <v>154</v>
      </c>
      <c r="C9" t="s">
        <v>155</v>
      </c>
      <c r="D9" t="s">
        <v>146</v>
      </c>
    </row>
    <row r="10" spans="1:4" x14ac:dyDescent="0.55000000000000004">
      <c r="A10" t="s">
        <v>156</v>
      </c>
      <c r="B10" t="s">
        <v>157</v>
      </c>
      <c r="C10" t="s">
        <v>158</v>
      </c>
      <c r="D10" t="s">
        <v>159</v>
      </c>
    </row>
    <row r="11" spans="1:4" x14ac:dyDescent="0.55000000000000004">
      <c r="A11" t="s">
        <v>160</v>
      </c>
      <c r="B11" t="s">
        <v>161</v>
      </c>
      <c r="C11" t="s">
        <v>162</v>
      </c>
      <c r="D11" t="s">
        <v>146</v>
      </c>
    </row>
    <row r="14" spans="1:4" ht="15.6" x14ac:dyDescent="0.6">
      <c r="A14" s="27" t="s">
        <v>163</v>
      </c>
      <c r="B14" s="18"/>
      <c r="C14" s="18"/>
      <c r="D14" s="18"/>
    </row>
    <row r="16" spans="1:4" x14ac:dyDescent="0.55000000000000004">
      <c r="A16" s="16" t="s">
        <v>139</v>
      </c>
      <c r="B16" s="16" t="s">
        <v>140</v>
      </c>
      <c r="C16" s="16" t="s">
        <v>141</v>
      </c>
      <c r="D16" s="16" t="s">
        <v>142</v>
      </c>
    </row>
    <row r="17" spans="1:4" x14ac:dyDescent="0.55000000000000004">
      <c r="A17" t="s">
        <v>164</v>
      </c>
      <c r="B17" t="s">
        <v>165</v>
      </c>
      <c r="C17" t="s">
        <v>166</v>
      </c>
      <c r="D17" t="s">
        <v>159</v>
      </c>
    </row>
    <row r="18" spans="1:4" x14ac:dyDescent="0.55000000000000004">
      <c r="A18" t="s">
        <v>167</v>
      </c>
      <c r="B18" t="s">
        <v>168</v>
      </c>
      <c r="C18" t="s">
        <v>169</v>
      </c>
      <c r="D18" t="s">
        <v>159</v>
      </c>
    </row>
    <row r="19" spans="1:4" x14ac:dyDescent="0.55000000000000004">
      <c r="A19" t="s">
        <v>170</v>
      </c>
      <c r="B19" t="s">
        <v>171</v>
      </c>
      <c r="C19" t="s">
        <v>172</v>
      </c>
      <c r="D19" t="s">
        <v>159</v>
      </c>
    </row>
    <row r="20" spans="1:4" x14ac:dyDescent="0.55000000000000004">
      <c r="A20" t="s">
        <v>173</v>
      </c>
      <c r="B20" t="s">
        <v>174</v>
      </c>
      <c r="C20" t="s">
        <v>175</v>
      </c>
      <c r="D20" t="s">
        <v>159</v>
      </c>
    </row>
    <row r="21" spans="1:4" x14ac:dyDescent="0.55000000000000004">
      <c r="A21" t="s">
        <v>176</v>
      </c>
      <c r="B21" t="s">
        <v>177</v>
      </c>
      <c r="C21" t="s">
        <v>178</v>
      </c>
      <c r="D21" t="s">
        <v>159</v>
      </c>
    </row>
    <row r="22" spans="1:4" x14ac:dyDescent="0.55000000000000004">
      <c r="A22" t="s">
        <v>179</v>
      </c>
      <c r="B22" t="s">
        <v>180</v>
      </c>
      <c r="C22" t="s">
        <v>181</v>
      </c>
      <c r="D22" t="s">
        <v>159</v>
      </c>
    </row>
    <row r="25" spans="1:4" ht="15.6" x14ac:dyDescent="0.6">
      <c r="A25" s="25" t="s">
        <v>182</v>
      </c>
      <c r="B25" s="18"/>
      <c r="C25" s="18"/>
      <c r="D25" s="18"/>
    </row>
    <row r="27" spans="1:4" x14ac:dyDescent="0.55000000000000004">
      <c r="A27" s="16" t="s">
        <v>139</v>
      </c>
      <c r="B27" s="16" t="s">
        <v>140</v>
      </c>
      <c r="C27" s="16" t="s">
        <v>141</v>
      </c>
      <c r="D27" s="16" t="s">
        <v>142</v>
      </c>
    </row>
    <row r="28" spans="1:4" x14ac:dyDescent="0.55000000000000004">
      <c r="A28" t="s">
        <v>183</v>
      </c>
      <c r="B28" t="s">
        <v>184</v>
      </c>
      <c r="C28" t="s">
        <v>185</v>
      </c>
      <c r="D28" t="s">
        <v>186</v>
      </c>
    </row>
    <row r="29" spans="1:4" x14ac:dyDescent="0.55000000000000004">
      <c r="A29" t="s">
        <v>187</v>
      </c>
      <c r="B29" t="s">
        <v>188</v>
      </c>
      <c r="C29" t="s">
        <v>189</v>
      </c>
      <c r="D29" t="s">
        <v>186</v>
      </c>
    </row>
    <row r="30" spans="1:4" x14ac:dyDescent="0.55000000000000004">
      <c r="A30" t="s">
        <v>190</v>
      </c>
      <c r="B30" t="s">
        <v>191</v>
      </c>
      <c r="C30" t="s">
        <v>192</v>
      </c>
      <c r="D30" t="s">
        <v>186</v>
      </c>
    </row>
    <row r="31" spans="1:4" x14ac:dyDescent="0.55000000000000004">
      <c r="A31" t="s">
        <v>193</v>
      </c>
      <c r="B31" t="s">
        <v>194</v>
      </c>
      <c r="C31" t="s">
        <v>195</v>
      </c>
      <c r="D31" t="s">
        <v>186</v>
      </c>
    </row>
    <row r="32" spans="1:4" x14ac:dyDescent="0.55000000000000004">
      <c r="A32" t="s">
        <v>196</v>
      </c>
      <c r="B32" t="s">
        <v>197</v>
      </c>
      <c r="C32" t="s">
        <v>198</v>
      </c>
      <c r="D32" t="s">
        <v>186</v>
      </c>
    </row>
    <row r="36" spans="1:4" ht="15.6" x14ac:dyDescent="0.6">
      <c r="A36" s="26" t="s">
        <v>199</v>
      </c>
      <c r="B36" s="18"/>
      <c r="C36" s="18"/>
      <c r="D36" s="18"/>
    </row>
    <row r="38" spans="1:4" x14ac:dyDescent="0.55000000000000004">
      <c r="A38" s="18" t="s">
        <v>200</v>
      </c>
      <c r="B38" s="18"/>
      <c r="C38" s="18"/>
      <c r="D38" s="18"/>
    </row>
    <row r="39" spans="1:4" x14ac:dyDescent="0.55000000000000004">
      <c r="A39" s="18" t="s">
        <v>201</v>
      </c>
      <c r="B39" s="18"/>
      <c r="C39" s="18"/>
      <c r="D39" s="18"/>
    </row>
    <row r="40" spans="1:4" x14ac:dyDescent="0.55000000000000004">
      <c r="A40" s="18" t="s">
        <v>202</v>
      </c>
      <c r="B40" s="18"/>
      <c r="C40" s="18"/>
      <c r="D40" s="18"/>
    </row>
    <row r="41" spans="1:4" x14ac:dyDescent="0.55000000000000004">
      <c r="A41" s="18" t="s">
        <v>203</v>
      </c>
      <c r="B41" s="18"/>
      <c r="C41" s="18"/>
      <c r="D41" s="18"/>
    </row>
    <row r="42" spans="1:4" x14ac:dyDescent="0.55000000000000004">
      <c r="A42" s="18" t="s">
        <v>204</v>
      </c>
      <c r="B42" s="18"/>
      <c r="C42" s="18"/>
      <c r="D42" s="18"/>
    </row>
    <row r="43" spans="1:4" x14ac:dyDescent="0.55000000000000004">
      <c r="A43" s="18" t="s">
        <v>205</v>
      </c>
      <c r="B43" s="18"/>
      <c r="C43" s="18"/>
      <c r="D43" s="18"/>
    </row>
    <row r="44" spans="1:4" x14ac:dyDescent="0.55000000000000004">
      <c r="A44" s="18" t="s">
        <v>206</v>
      </c>
      <c r="B44" s="18"/>
      <c r="C44" s="18"/>
      <c r="D44" s="18"/>
    </row>
    <row r="45" spans="1:4" x14ac:dyDescent="0.55000000000000004">
      <c r="A45" s="18" t="s">
        <v>207</v>
      </c>
      <c r="B45" s="18"/>
      <c r="C45" s="18"/>
      <c r="D45" s="18"/>
    </row>
    <row r="46" spans="1:4" x14ac:dyDescent="0.55000000000000004">
      <c r="A46" s="18" t="s">
        <v>208</v>
      </c>
      <c r="B46" s="18"/>
      <c r="C46" s="18"/>
      <c r="D46" s="18"/>
    </row>
    <row r="47" spans="1:4" x14ac:dyDescent="0.55000000000000004">
      <c r="A47" s="18" t="s">
        <v>209</v>
      </c>
      <c r="B47" s="18"/>
      <c r="C47" s="18"/>
      <c r="D47" s="18"/>
    </row>
  </sheetData>
  <mergeCells count="15">
    <mergeCell ref="A47:D47"/>
    <mergeCell ref="A42:D42"/>
    <mergeCell ref="A46:D46"/>
    <mergeCell ref="A36:D36"/>
    <mergeCell ref="A14:D14"/>
    <mergeCell ref="A44:D44"/>
    <mergeCell ref="A1:D1"/>
    <mergeCell ref="A40:D40"/>
    <mergeCell ref="A45:D45"/>
    <mergeCell ref="A3:D3"/>
    <mergeCell ref="A38:D38"/>
    <mergeCell ref="A39:D39"/>
    <mergeCell ref="A25:D25"/>
    <mergeCell ref="A43:D43"/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📖 INSTRUCTIONS</vt:lpstr>
      <vt:lpstr>📐 FORMULA GUIDE</vt:lpstr>
      <vt:lpstr>💡 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Boser</cp:lastModifiedBy>
  <dcterms:created xsi:type="dcterms:W3CDTF">2025-11-16T02:11:54Z</dcterms:created>
  <dcterms:modified xsi:type="dcterms:W3CDTF">2025-11-16T02:33:47Z</dcterms:modified>
</cp:coreProperties>
</file>